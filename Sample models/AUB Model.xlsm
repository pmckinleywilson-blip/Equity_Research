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2.xml" ContentType="application/vnd.openxmlformats-officedocument.drawing+xml"/>
  <Override PartName="/xl/comments2.xml" ContentType="application/vnd.openxmlformats-officedocument.spreadsheetml.comments+xml"/>
  <Override PartName="/xl/printerSettings/printerSettings4.bin" ContentType="application/vnd.openxmlformats-officedocument.spreadsheetml.printerSettings"/>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mc:AlternateContent xmlns:mc="http://schemas.openxmlformats.org/markup-compatibility/2006">
    <mc:Choice Requires="x15">
      <x15ac:absPath xmlns:x15ac="http://schemas.microsoft.com/office/spreadsheetml/2010/11/ac" url="\\firmwide.corp.gs.com\irroot\projects\au\Financials\FinInst\Ins New\Models\Client Models and Visible Alpha Insurance\"/>
    </mc:Choice>
  </mc:AlternateContent>
  <xr:revisionPtr revIDLastSave="0" documentId="13_ncr:1_{337FE248-F35A-45D9-993C-6429FF9777B4}" xr6:coauthVersionLast="47" xr6:coauthVersionMax="47" xr10:uidLastSave="{00000000-0000-0000-0000-000000000000}"/>
  <bookViews>
    <workbookView xWindow="28800" yWindow="0" windowWidth="28800" windowHeight="23400" tabRatio="774" firstSheet="1" activeTab="1" xr2:uid="{00000000-000D-0000-FFFF-FFFF00000000}"/>
  </bookViews>
  <sheets>
    <sheet name="__FDSCACHE__" sheetId="64" state="veryHidden" r:id="rId1"/>
    <sheet name="Cover" sheetId="49" r:id="rId2"/>
    <sheet name="Summary" sheetId="2" r:id="rId3"/>
    <sheet name="Model" sheetId="1" r:id="rId4"/>
    <sheet name="Statutory P&amp;L" sheetId="56" r:id="rId5"/>
  </sheets>
  <definedNames>
    <definedName name="_2000">#REF!</definedName>
    <definedName name="_2001">#REF!</definedName>
    <definedName name="_2002">#REF!</definedName>
    <definedName name="_2003">#REF!</definedName>
    <definedName name="_2004">#REF!</definedName>
    <definedName name="_2005">#REF!</definedName>
    <definedName name="_2006">#REF!</definedName>
    <definedName name="_2007">#REF!</definedName>
    <definedName name="_2008">#REF!</definedName>
    <definedName name="_2009">#REF!</definedName>
    <definedName name="_2010">#REF!</definedName>
    <definedName name="_2011">#REF!</definedName>
    <definedName name="_2012">#REF!</definedName>
    <definedName name="_2013">#REF!</definedName>
    <definedName name="_2014">#REF!</definedName>
    <definedName name="_2015">#REF!</definedName>
    <definedName name="_2016">#REF!</definedName>
    <definedName name="_2017">#REF!</definedName>
    <definedName name="_2018">#REF!</definedName>
    <definedName name="_2019">#REF!</definedName>
    <definedName name="_2020">#REF!</definedName>
    <definedName name="_2021">#REF!</definedName>
    <definedName name="_2022">#REF!</definedName>
    <definedName name="_2023">#REF!</definedName>
    <definedName name="_2024">#REF!</definedName>
    <definedName name="_2025">#REF!</definedName>
    <definedName name="_bdm.623d25bd52024763a2d7db6647975bcf.edm" hidden="1">Model!$1:$1048576</definedName>
    <definedName name="_bdm.f9204d2d2f2041d38c3eead307b4ef6b.edm" localSheetId="3" hidden="1">Model!$AK$294</definedName>
    <definedName name="_Dps1999">#REF!</definedName>
    <definedName name="_Dps2000">#REF!</definedName>
    <definedName name="_Dps2001">#REF!</definedName>
    <definedName name="_Dps2002">#REF!</definedName>
    <definedName name="_Dps2003">#REF!</definedName>
    <definedName name="_Order1">0</definedName>
    <definedName name="_PAN4">#REF!</definedName>
    <definedName name="_pan7">#REF!</definedName>
    <definedName name="_pan8">#REF!</definedName>
    <definedName name="_pan9">#REF!</definedName>
    <definedName name="_PPE1999">#REF!</definedName>
    <definedName name="_PPE2000">#REF!</definedName>
    <definedName name="_PPE2001">#REF!</definedName>
    <definedName name="_PPE2002">#REF!</definedName>
    <definedName name="_PPE2003">#REF!</definedName>
    <definedName name="_T_PLN_TAX_Y96">#REF!</definedName>
    <definedName name="_T_PLN_TAX_Y97">#REF!</definedName>
    <definedName name="_T_PLN_TAX_Y98">#REF!</definedName>
    <definedName name="_T_PLN_TAX_Y99">#REF!</definedName>
    <definedName name="_Year">#REF!</definedName>
    <definedName name="A_ALL_ANZ.AX">#REF!</definedName>
    <definedName name="A_ALL_ANZ.AX_">#REF!</definedName>
    <definedName name="A_ALL_AUB.AX">#REF!</definedName>
    <definedName name="A_ALL_IAG.AX">#REF!</definedName>
    <definedName name="A_ALL_KEYWORDS_TYPE_ScalarContributed_EQTY_200004992">#REF!,#REF!,#REF!,#REF!,#REF!,#REF!,#REF!,#REF!,#REF!,#REF!</definedName>
    <definedName name="A_ALL_KEYWORDS_TYPE_ScalarContributed_EQTY_200013815">#REF!,#REF!,#REF!,#REF!,#REF!,#REF!,#REF!,#REF!,#REF!</definedName>
    <definedName name="A_ALL_KEYWORDS_TYPE_ScalarContributed_EQTY_200014619">#REF!,#REF!,#REF!,#REF!,#REF!,#REF!,#REF!,#REF!</definedName>
    <definedName name="A_ALL_KEYWORDS_TYPE_ScalarContributed_ISSR_208005522">#REF!</definedName>
    <definedName name="A_ALL_KEYWORDS_TYPE_ScalarContributed_ISSR_208005563">#REF!,#REF!</definedName>
    <definedName name="A_ALL_KEYWORDS_TYPE_ScalarContributed_ISSR_208011369">#REF!,#REF!,#REF!</definedName>
    <definedName name="A_ALL_KEYWORDS_TYPE_ScalarReference_EQTY_200004992">#REF!</definedName>
    <definedName name="A_ALL_KEYWORDS_TYPE_ScalarReference_ISSR_208005522">#REF!</definedName>
    <definedName name="A_ALL_KEYWORDS_TYPE_Vector_EQTY_200004992">#REF!,#REF!,#REF!,#REF!,#REF!,#REF!,#REF!,#REF!,#REF!,#REF!,#REF!,#REF!,#REF!</definedName>
    <definedName name="A_ALL_KEYWORDS_TYPE_Vector_EQTY_200005072">#REF!,#REF!,#REF!,#REF!,#REF!,#REF!,#REF!,#REF!,#REF!,#REF!,#REF!,#REF!,#REF!,#REF!,#REF!,#REF!,#REF!,#REF!,#REF!,#REF!</definedName>
    <definedName name="A_ALL_KEYWORDS_TYPE_Vector_EQTY_200013815">#REF!,#REF!,#REF!,#REF!,#REF!,#REF!,#REF!,#REF!,#REF!,#REF!,#REF!,#REF!,#REF!,#REF!,#REF!,#REF!,#REF!,#REF!,#REF!,#REF!,#REF!,#REF!,#REF!</definedName>
    <definedName name="A_ALL_KEYWORDS_TYPE_Vector_EQTY_200014619">#REF!,#REF!,#REF!,#REF!,#REF!,#REF!,#REF!,#REF!,#REF!,#REF!,#REF!,#REF!,#REF!</definedName>
    <definedName name="A_ALL_KEYWORDS_TYPE_Vector_ISSR_208005522">#REF!,#REF!,#REF!,#REF!,#REF!,#REF!,#REF!,#REF!,#REF!,#REF!,#REF!,#REF!,#REF!,#REF!,#REF!,#REF!,#REF!,#REF!,#REF!,#REF!,#REF!,#REF!,#REF!,#REF!,#REF!</definedName>
    <definedName name="A_ALL_KEYWORDS_TYPE_Vector_ISSR_208005563">#REF!,#REF!,#REF!,#REF!,#REF!,#REF!,#REF!,#REF!,#REF!,#REF!,#REF!,#REF!,#REF!,#REF!,#REF!,#REF!,#REF!,#REF!,#REF!,#REF!,#REF!,#REF!,#REF!,#REF!,#REF!,#REF!,#REF!,#REF!,#REF!,#REF!,#REF!,#REF!,#REF!,#REF!</definedName>
    <definedName name="A_ALL_KEYWORDS_TYPE_Vector_ISSR_208010674">#REF!,#REF!,#REF!,#REF!,#REF!,#REF!,#REF!,#REF!,#REF!,#REF!,#REF!,#REF!,#REF!,#REF!,#REF!,#REF!,#REF!,#REF!,#REF!,#REF!,#REF!,#REF!,#REF!,#REF!,#REF!,#REF!,#REF!,#REF!,#REF!,#REF!,#REF!,#REF!,#REF!,#REF!,#REF!,#REF!,#REF!,#REF!</definedName>
    <definedName name="A_ALL_KEYWORDS_TYPE_Vector_ISSR_208011369">#REF!,#REF!,#REF!,#REF!,#REF!,#REF!,#REF!,#REF!,#REF!,#REF!,#REF!,#REF!,#REF!,#REF!,#REF!,#REF!,#REF!,#REF!,#REF!</definedName>
    <definedName name="A_ALL_KEYWORDS_TYPE_Vector_ISSR_208013265">#REF!,#REF!,#REF!,#REF!,#REF!,#REF!,#REF!,#REF!,#REF!,#REF!,#REF!,#REF!,#REF!,#REF!,#REF!,#REF!,#REF!,#REF!,#REF!,#REF!,#REF!,#REF!,#REF!,#REF!,#REF!,#REF!,#REF!,#REF!,#REF!,#REF!,#REF!,#REF!,#REF!,#REF!,#REF!,#REF!,#REF!</definedName>
    <definedName name="A_ALL_NHF.AX">#REF!</definedName>
    <definedName name="A_ALL_NWL.AX">#REF!</definedName>
    <definedName name="A_ALL_PTM.AX">#REF!</definedName>
    <definedName name="A_ALL_SECTION_KEYWORDS_EQTY_200004992_1314">#REF!</definedName>
    <definedName name="A_ALL_SECTION_KEYWORDS_EQTY_200004992_1316A">#REF!</definedName>
    <definedName name="A_ALL_SECTION_KEYWORDS_EQTY_200004992_1316B">#REF!</definedName>
    <definedName name="A_ALL_SECTION_KEYWORDS_EQTY_200004992_1316C">#REF!</definedName>
    <definedName name="A_ALL_SECTION_KEYWORDS_EQTY_200004992_1316E">#REF!</definedName>
    <definedName name="A_ALL_SECTION_KEYWORDS_EQTY_200004992_1319">#REF!</definedName>
    <definedName name="A_ALL_SECTION_KEYWORDS_EQTY_200004992_131O">#REF!</definedName>
    <definedName name="A_ALL_SECTION_KEYWORDS_EQTY_200004992_131P">#REF!</definedName>
    <definedName name="A_ALL_SECTION_KEYWORDS_EQTY_200004992_13A">#REF!</definedName>
    <definedName name="A_ALL_SECTION_KEYWORDS_EQTY_200004992_13K">#REF!</definedName>
    <definedName name="A_ALL_SECTION_KEYWORDS_EQTY_200004992_13U">#REF!</definedName>
    <definedName name="A_ALL_SECTION_KEYWORDS_EQTY_200004992_13V">#REF!</definedName>
    <definedName name="A_ALL_SECTION_KEYWORDS_EQTY_200004992_Reference_Data">#REF!</definedName>
    <definedName name="A_ALL_SECTION_KEYWORDS_EQTY_200005072_1314">#REF!</definedName>
    <definedName name="A_ALL_SECTION_KEYWORDS_EQTY_200005072_1319">#REF!</definedName>
    <definedName name="A_ALL_SECTION_KEYWORDS_EQTY_200005072_13K">#REF!</definedName>
    <definedName name="A_ALL_SECTION_KEYWORDS_EQTY_200013815_13A">#REF!</definedName>
    <definedName name="A_ALL_SECTION_KEYWORDS_EQTY_200014619_13A">#REF!</definedName>
    <definedName name="A_ALL_SECTION_KEYWORDS_ISSR_208005522_1314">#REF!</definedName>
    <definedName name="A_ALL_SECTION_KEYWORDS_ISSR_208005522_13168">#REF!</definedName>
    <definedName name="A_ALL_SECTION_KEYWORDS_ISSR_208005522_1316B">#REF!</definedName>
    <definedName name="A_ALL_SECTION_KEYWORDS_ISSR_208005522_1316C">#REF!</definedName>
    <definedName name="A_ALL_SECTION_KEYWORDS_ISSR_208005522_1316E">#REF!</definedName>
    <definedName name="A_ALL_SECTION_KEYWORDS_ISSR_208005522_1316U">#REF!</definedName>
    <definedName name="A_ALL_SECTION_KEYWORDS_ISSR_208005522_1319">#REF!</definedName>
    <definedName name="A_ALL_SECTION_KEYWORDS_ISSR_208005522_131E">#REF!</definedName>
    <definedName name="A_ALL_SECTION_KEYWORDS_ISSR_208005522_131J">#REF!</definedName>
    <definedName name="A_ALL_SECTION_KEYWORDS_ISSR_208005522_131O">#REF!</definedName>
    <definedName name="A_ALL_SECTION_KEYWORDS_ISSR_208005522_131P">#REF!</definedName>
    <definedName name="A_ALL_SECTION_KEYWORDS_ISSR_208005522_133M">#REF!</definedName>
    <definedName name="A_ALL_SECTION_KEYWORDS_ISSR_208005522_133R">#REF!</definedName>
    <definedName name="A_ALL_SECTION_KEYWORDS_ISSR_208005522_133W">#REF!</definedName>
    <definedName name="A_ALL_SECTION_KEYWORDS_ISSR_208005522_1341">#REF!</definedName>
    <definedName name="A_ALL_SECTION_KEYWORDS_ISSR_208005522_1346">#REF!</definedName>
    <definedName name="A_ALL_SECTION_KEYWORDS_ISSR_208005522_134B">#REF!</definedName>
    <definedName name="A_ALL_SECTION_KEYWORDS_ISSR_208005522_134G">#REF!</definedName>
    <definedName name="A_ALL_SECTION_KEYWORDS_ISSR_208005522_134L">#REF!</definedName>
    <definedName name="A_ALL_SECTION_KEYWORDS_ISSR_208005522_134Q">#REF!</definedName>
    <definedName name="A_ALL_SECTION_KEYWORDS_ISSR_208005522_134V">#REF!</definedName>
    <definedName name="A_ALL_SECTION_KEYWORDS_ISSR_208005522_13U">#REF!</definedName>
    <definedName name="A_ALL_SECTION_KEYWORDS_ISSR_208005522_13V">#REF!</definedName>
    <definedName name="A_ALL_SECTION_KEYWORDS_ISSR_208005522_Reference_Data">#REF!</definedName>
    <definedName name="A_ALL_SECTION_KEYWORDS_ISSR_208005563_1314">#REF!</definedName>
    <definedName name="A_ALL_SECTION_KEYWORDS_ISSR_208005563_13168">#REF!</definedName>
    <definedName name="A_ALL_SECTION_KEYWORDS_ISSR_208005563_131P">#REF!</definedName>
    <definedName name="A_ALL_SECTION_KEYWORDS_ISSR_208005563_136E">#REF!,#REF!</definedName>
    <definedName name="A_ALL_SECTION_KEYWORDS_ISSR_208005563_13P">#REF!</definedName>
    <definedName name="A_ALL_SECTION_KEYWORDS_ISSR_208005563_13T">#REF!,#REF!</definedName>
    <definedName name="A_ALL_SECTION_KEYWORDS_ISSR_208005563_13U">#REF!</definedName>
    <definedName name="A_ALL_SECTION_KEYWORDS_ISSR_208010674_1314">#REF!</definedName>
    <definedName name="A_ALL_SECTION_KEYWORDS_ISSR_208010674_1319">#REF!,#REF!</definedName>
    <definedName name="A_ALL_SECTION_KEYWORDS_ISSR_208010674_131P">#REF!,#REF!</definedName>
    <definedName name="A_ALL_SECTION_KEYWORDS_ISSR_208010674_13U">#REF!</definedName>
    <definedName name="A_ALL_SECTION_KEYWORDS_ISSR_208010674_13V">#REF!,#REF!</definedName>
    <definedName name="A_ALL_SECTION_KEYWORDS_ISSR_208010674_15">#REF!</definedName>
    <definedName name="A_ALL_SECTION_KEYWORDS_ISSR_208010674_151">#REF!</definedName>
    <definedName name="A_ALL_SECTION_KEYWORDS_ISSR_208011369_13A">#REF!,#REF!</definedName>
    <definedName name="A_ALL_SECTION_KEYWORDS_ISSR_208011369_13V">#REF!,#REF!</definedName>
    <definedName name="A_ALL_SECTIONS_EQTY_200014619">#REF!,#REF!,#REF!,#REF!,#REF!,#REF!,#REF!,#REF!,#REF!,#REF!,#REF!,#REF!,#REF!</definedName>
    <definedName name="A_ALL_SECTIONS_ISSR_208005522">#REF!,#REF!,#REF!,#REF!,#REF!,#REF!,#REF!,#REF!,#REF!,#REF!,#REF!,#REF!,#REF!,#REF!,#REF!,#REF!,#REF!,#REF!,#REF!,#REF!,#REF!,#REF!,#REF!,#REF!</definedName>
    <definedName name="A_ALL_SECTIONS_ISSR_208011369">#REF!,#REF!,#REF!,#REF!,#REF!,#REF!,#REF!,#REF!,#REF!,#REF!,#REF!,#REF!,#REF!,#REF!</definedName>
    <definedName name="A_CURRENCY_EQTY_200004992_PRI">#REF!</definedName>
    <definedName name="A_CURRENCY_EQTY_200004992_PUB">#REF!</definedName>
    <definedName name="A_CURRENCY_EQTY_200004992_REP">#REF!</definedName>
    <definedName name="A_CURRENCY_ISSR_208005522_REP">#REF!</definedName>
    <definedName name="A_KEYWORD_EQTY_200004992_ANZ_CONVICTION">#REF!</definedName>
    <definedName name="A_KEYWORD_EQTY_200004992_ANZ_LIST">#REF!</definedName>
    <definedName name="A_KEYWORD_EQTY_200004992_ASSET_SALES_GAIN_LOSS">#REF!</definedName>
    <definedName name="A_KEYWORD_EQTY_200004992_AVG_ORD_SHOLDERS_EQUITY">#REF!</definedName>
    <definedName name="A_KEYWORD_EQTY_200004992_AVG_PREF_CAPITAL">#REF!</definedName>
    <definedName name="A_KEYWORD_EQTY_200004992_B_BS_L_GSEQUITY">#REF!</definedName>
    <definedName name="A_KEYWORD_EQTY_200004992_B_CAMELOT_BETA">#REF!</definedName>
    <definedName name="A_KEYWORD_EQTY_200004992_B_CAMELOT_CAGR_DPS">#REF!</definedName>
    <definedName name="A_KEYWORD_EQTY_200004992_B_CAMELOT_PB">#REF!</definedName>
    <definedName name="A_KEYWORD_EQTY_200004992_B_CAMELOT_PE">#REF!</definedName>
    <definedName name="A_KEYWORD_EQTY_200004992_B_FORECASTRANGE">#REF!</definedName>
    <definedName name="A_KEYWORD_EQTY_200004992_B_FORECASTYRS">#REF!</definedName>
    <definedName name="A_KEYWORD_EQTY_200004992_B_PL_GSBVPS">#REF!</definedName>
    <definedName name="A_KEYWORD_EQTY_200004992_B_PL_GSEPS">#REF!</definedName>
    <definedName name="A_KEYWORD_EQTY_200004992_B_PL_GSINCOME">#REF!</definedName>
    <definedName name="A_KEYWORD_EQTY_200004992_B_PL_PTASSOC">#REF!</definedName>
    <definedName name="A_KEYWORD_EQTY_200004992_B_RIM_BETA">#REF!</definedName>
    <definedName name="A_KEYWORD_EQTY_200004992_B_RIM_COE">#REF!</definedName>
    <definedName name="A_KEYWORD_EQTY_200004992_B_RIM_PB">#REF!</definedName>
    <definedName name="A_KEYWORD_EQTY_200004992_B_RIM_PE">#REF!</definedName>
    <definedName name="A_KEYWORD_EQTY_200004992_BASE_CASE_VAL_DCF">#REF!</definedName>
    <definedName name="A_KEYWORD_EQTY_200004992_BENEFITS_TAX_LOSSES">#REF!</definedName>
    <definedName name="A_KEYWORD_EQTY_200004992_BETA_ANALYST">#REF!</definedName>
    <definedName name="A_KEYWORD_EQTY_200004992_BVPS">#REF!</definedName>
    <definedName name="A_KEYWORD_EQTY_200004992_BVPS_PUB">#REF!</definedName>
    <definedName name="A_KEYWORD_EQTY_200004992_CASH_EARNINGS_COMPANY">#REF!</definedName>
    <definedName name="A_KEYWORD_EQTY_200004992_CATALYST1_DATE">#REF!</definedName>
    <definedName name="A_KEYWORD_EQTY_200004992_CATALYST1_EVENT">#REF!</definedName>
    <definedName name="A_KEYWORD_EQTY_200004992_CATALYST2_DATE">#REF!</definedName>
    <definedName name="A_KEYWORD_EQTY_200004992_CATALYST2_EVENT">#REF!</definedName>
    <definedName name="A_KEYWORD_EQTY_200004992_CATALYST3_DATE">#REF!</definedName>
    <definedName name="A_KEYWORD_EQTY_200004992_CATALYST3_EVENT">#REF!</definedName>
    <definedName name="A_KEYWORD_EQTY_200004992_CATALYST4_DATE">#REF!</definedName>
    <definedName name="A_KEYWORD_EQTY_200004992_CATALYST4_EVENT">#REF!</definedName>
    <definedName name="A_KEYWORD_EQTY_200004992_CATALYST5_DATE">#REF!</definedName>
    <definedName name="A_KEYWORD_EQTY_200004992_CATALYST5_EVENT">#REF!</definedName>
    <definedName name="A_KEYWORD_EQTY_200004992_COE">#REF!</definedName>
    <definedName name="A_KEYWORD_EQTY_200004992_COMMON_DIV_PAID">#REF!</definedName>
    <definedName name="A_KEYWORD_EQTY_200004992_CONVERTIBLE_NOTES">#REF!</definedName>
    <definedName name="A_KEYWORD_EQTY_200004992_COST_OF_EQUITY_DCF">#REF!</definedName>
    <definedName name="A_KEYWORD_EQTY_200004992_CUM_PRESENT_VAL_CASH_FLOWS_DCF">#REF!</definedName>
    <definedName name="A_KEYWORD_EQTY_200004992_CURRENCY_ISO">#REF!</definedName>
    <definedName name="A_KEYWORD_EQTY_200004992_DCF_CASH_FLOW">#REF!</definedName>
    <definedName name="A_KEYWORD_EQTY_200004992_DEBT_EQUITY">#REF!</definedName>
    <definedName name="A_KEYWORD_EQTY_200004992_DEBT_RISK_MARGIN_DCF">#REF!</definedName>
    <definedName name="A_KEYWORD_EQTY_200004992_DILUTE_NI_IMPAC">#REF!</definedName>
    <definedName name="A_KEYWORD_EQTY_200004992_DILUTE_SHARES">#REF!</definedName>
    <definedName name="A_KEYWORD_EQTY_200004992_DISCOUNT_FACTOR_DCF">#REF!</definedName>
    <definedName name="A_KEYWORD_EQTY_200004992_DPS">#REF!</definedName>
    <definedName name="A_KEYWORD_EQTY_200004992_DPS_PUB">#REF!</definedName>
    <definedName name="A_KEYWORD_EQTY_200004992_DRP_DISCOUNT">#REF!</definedName>
    <definedName name="A_KEYWORD_EQTY_200004992_DRP_PARTICIPATION">#REF!</definedName>
    <definedName name="A_KEYWORD_EQTY_200004992_EBIT_PUB">#REF!</definedName>
    <definedName name="A_KEYWORD_EQTY_200004992_EBITDA_PUB">#REF!</definedName>
    <definedName name="A_KEYWORD_EQTY_200004992_EFF_INT_RATE_IMPACT_POST_TAX">#REF!</definedName>
    <definedName name="A_KEYWORD_EQTY_200004992_EFPO">#REF!</definedName>
    <definedName name="A_KEYWORD_EQTY_200004992_EFPOWA">#REF!</definedName>
    <definedName name="A_KEYWORD_EQTY_200004992_EPS">#REF!</definedName>
    <definedName name="A_KEYWORD_EQTY_200004992_EPS_CONS_PUB">#REF!</definedName>
    <definedName name="A_KEYWORD_EQTY_200004992_EPS_PRE_GWILL">#REF!</definedName>
    <definedName name="A_KEYWORD_EQTY_200004992_EPS_PUB">#REF!</definedName>
    <definedName name="A_KEYWORD_EQTY_200004992_EPS_REPORTED">#REF!</definedName>
    <definedName name="A_KEYWORD_EQTY_200004992_EQ_PUB">#REF!</definedName>
    <definedName name="A_KEYWORD_EQTY_200004992_EQUITY_VALUE_DCF">#REF!</definedName>
    <definedName name="A_KEYWORD_EQTY_200004992_EV_ADJ_PUB">#REF!</definedName>
    <definedName name="A_KEYWORD_EQTY_200004992_FIN_INSTRUMENT_HEDGE_POST_TAX">#REF!</definedName>
    <definedName name="A_KEYWORD_EQTY_200004992_FINAL_DIV_AMOUNT">#REF!</definedName>
    <definedName name="A_KEYWORD_EQTY_200004992_FINAL_DIV_EXDATE">#REF!</definedName>
    <definedName name="A_KEYWORD_EQTY_200004992_FINAL_DIV_FRANK">#REF!</definedName>
    <definedName name="A_KEYWORD_EQTY_200004992_FINAL_DIV_TAXRATE">#REF!</definedName>
    <definedName name="A_KEYWORD_EQTY_200004992_FOREIGN_EXCHANGE_GAIN_LOSS">#REF!</definedName>
    <definedName name="A_KEYWORD_EQTY_200004992_FOREIGN_HOLDNG">#REF!</definedName>
    <definedName name="A_KEYWORD_EQTY_200004992_FRANK_TAX_RATE">#REF!</definedName>
    <definedName name="A_KEYWORD_EQTY_200004992_FRANKING">#REF!</definedName>
    <definedName name="A_KEYWORD_EQTY_200004992_FRANKING_ANZPUB">#REF!</definedName>
    <definedName name="A_KEYWORD_EQTY_200004992_FREE_FLOAT">#REF!</definedName>
    <definedName name="A_KEYWORD_EQTY_200004992_FULLY_DIL_EPS">#REF!</definedName>
    <definedName name="A_KEYWORD_EQTY_200004992_GRTH_CAGR_TOT_ASSET_PROJECTED">#REF!</definedName>
    <definedName name="A_KEYWORD_EQTY_200004992_GRTH_CAGR_TOT_ASSET_TERMINAL">#REF!</definedName>
    <definedName name="A_KEYWORD_EQTY_200004992_GWILL_ASSET_IMP_CHG_POST_TAX">#REF!</definedName>
    <definedName name="A_KEYWORD_EQTY_200004992_IMP_CREDITS_PER_SHARE_DCF">#REF!</definedName>
    <definedName name="A_KEYWORD_EQTY_200004992_INC_MINORITY">#REF!</definedName>
    <definedName name="A_KEYWORD_EQTY_200004992_INCTAX_PL_ON_AB">#REF!</definedName>
    <definedName name="A_KEYWORD_EQTY_200004992_INCTAX_PL_POST_AB">#REF!</definedName>
    <definedName name="A_KEYWORD_EQTY_200004992_INT_DIV_AMOUNT">#REF!</definedName>
    <definedName name="A_KEYWORD_EQTY_200004992_INT_DIV_EXDATE">#REF!</definedName>
    <definedName name="A_KEYWORD_EQTY_200004992_INT_DIV_FRANK">#REF!</definedName>
    <definedName name="A_KEYWORD_EQTY_200004992_INT_DIV_TAXRATE">#REF!</definedName>
    <definedName name="A_KEYWORD_EQTY_200004992_Interim_Type">#REF!</definedName>
    <definedName name="A_KEYWORD_EQTY_200004992_INTRINSIC_PER_SHARE_VALUE_DCF">#REF!</definedName>
    <definedName name="A_KEYWORD_EQTY_200004992_LEGAL_RATING">#REF!</definedName>
    <definedName name="A_KEYWORD_EQTY_200004992_MARGIN_TAX_RATE">#REF!</definedName>
    <definedName name="A_KEYWORD_EQTY_200004992_MARKET_VALUE_OF_INVESTMENTS_DCF">#REF!</definedName>
    <definedName name="A_KEYWORD_EQTY_200004992_MINOR_EQUITY">#REF!</definedName>
    <definedName name="A_KEYWORD_EQTY_200004992_MINOR_NON_EQUITY">#REF!</definedName>
    <definedName name="A_KEYWORD_EQTY_200004992_MKT_EQ_RISK_PREM">#REF!</definedName>
    <definedName name="A_KEYWORD_EQTY_200004992_NET_DEBT_NET_CASH_DCF">#REF!</definedName>
    <definedName name="A_KEYWORD_EQTY_200004992_NET_DEBT_PUB">#REF!</definedName>
    <definedName name="A_KEYWORD_EQTY_200004992_NET_EARNING">#REF!</definedName>
    <definedName name="A_KEYWORD_EQTY_200004992_NET_INC">#REF!</definedName>
    <definedName name="A_KEYWORD_EQTY_200004992_NET_PROFIT">#REF!</definedName>
    <definedName name="A_KEYWORD_EQTY_200004992_NET_TANGIBLE_ASSETS_ADJUSTED_NZ">#REF!</definedName>
    <definedName name="A_KEYWORD_EQTY_200004992_NI_CONS">#REF!</definedName>
    <definedName name="A_KEYWORD_EQTY_200004992_NI_PUB">#REF!</definedName>
    <definedName name="A_KEYWORD_EQTY_200004992_NI_REPT_PUB">#REF!</definedName>
    <definedName name="A_KEYWORD_EQTY_200004992_NON_OP_ADD">#REF!</definedName>
    <definedName name="A_KEYWORD_EQTY_200004992_NOPAT">#REF!</definedName>
    <definedName name="A_KEYWORD_EQTY_200004992_NTA_PER_SHARE">#REF!</definedName>
    <definedName name="A_KEYWORD_EQTY_200004992_NUM_SH">#REF!</definedName>
    <definedName name="A_KEYWORD_EQTY_200004992_OPPL_ATAX_POST_AB">#REF!</definedName>
    <definedName name="A_KEYWORD_EQTY_200004992_OPTIONS">#REF!</definedName>
    <definedName name="A_KEYWORD_EQTY_200004992_OPTIONS_IN_MONEY">#REF!</definedName>
    <definedName name="A_KEYWORD_EQTY_200004992_OTH_ASSET_IMPAIR_CHG_POST_TAX">#REF!</definedName>
    <definedName name="A_KEYWORD_EQTY_200004992_OTHER_ABNORMAL_ITEMS">#REF!</definedName>
    <definedName name="A_KEYWORD_EQTY_200004992_OTHER_CAPITAL">#REF!</definedName>
    <definedName name="A_KEYWORD_EQTY_200004992_OTHER_IFRS_ADJUST_POST_TAX">#REF!</definedName>
    <definedName name="A_KEYWORD_EQTY_200004992_PARTLY_PAID_SHARES">#REF!</definedName>
    <definedName name="A_KEYWORD_EQTY_200004992_PERPETUITY_GROWTH_RATE_DCF">#REF!</definedName>
    <definedName name="A_KEYWORD_EQTY_200004992_PREFERENCE_SHARES">#REF!</definedName>
    <definedName name="A_KEYWORD_EQTY_200004992_PRESENT_VALUE_OF_CASH_FLOW_DCF">#REF!</definedName>
    <definedName name="A_KEYWORD_EQTY_200004992_PRI_TARG_METH">#REF!</definedName>
    <definedName name="A_KEYWORD_EQTY_200004992_PRI_TARG_MULT">#REF!</definedName>
    <definedName name="A_KEYWORD_EQTY_200004992_PRICE_CURRENCY_ISO">#REF!</definedName>
    <definedName name="A_KEYWORD_EQTY_200004992_PROF_ADJUST_EPS">#REF!</definedName>
    <definedName name="A_KEYWORD_EQTY_200004992_PROF_AT">#REF!</definedName>
    <definedName name="A_KEYWORD_EQTY_200004992_PROV_INC_TAX">#REF!</definedName>
    <definedName name="A_KEYWORD_EQTY_200004992_PTP_PUB">#REF!</definedName>
    <definedName name="A_KEYWORD_EQTY_200004992_PUB_CURRENCY_ISO">#REF!</definedName>
    <definedName name="A_KEYWORD_EQTY_200004992_RESTRUC_COSTS">#REF!</definedName>
    <definedName name="A_KEYWORD_EQTY_200004992_REVS_PUB">#REF!</definedName>
    <definedName name="A_KEYWORD_EQTY_200004992_RISK_ADJ_OPTION_VALUE_DCF">#REF!</definedName>
    <definedName name="A_KEYWORD_EQTY_200004992_RISK_FR_RATE">#REF!</definedName>
    <definedName name="A_KEYWORD_EQTY_200004992_RISK_TO_EARNINGS">#REF!</definedName>
    <definedName name="A_KEYWORD_EQTY_200004992_RISK_WEIGHTED_ASSET_APRA">#REF!</definedName>
    <definedName name="A_KEYWORD_EQTY_200004992_ROAA_PROJECTED">#REF!</definedName>
    <definedName name="A_KEYWORD_EQTY_200004992_ROCE_ANZ">#REF!</definedName>
    <definedName name="A_KEYWORD_EQTY_200004992_ROE_TERMINAL">#REF!</definedName>
    <definedName name="A_KEYWORD_EQTY_200004992_Security_Name">#REF!</definedName>
    <definedName name="A_KEYWORD_EQTY_200004992_SH">#REF!</definedName>
    <definedName name="A_KEYWORD_EQTY_200004992_SHOLDERS_EQUITY_MBRS">#REF!</definedName>
    <definedName name="A_KEYWORD_EQTY_200004992_STD_FREE_OP_CASH_FLOW_DCF">#REF!</definedName>
    <definedName name="A_KEYWORD_EQTY_200004992_TANG_BVPS">#REF!</definedName>
    <definedName name="A_KEYWORD_EQTY_200004992_TARGET_PRICE">#REF!</definedName>
    <definedName name="A_KEYWORD_EQTY_200004992_TAX_EXC">#REF!</definedName>
    <definedName name="A_KEYWORD_EQTY_200004992_TAX_RATE_DCF">#REF!</definedName>
    <definedName name="A_KEYWORD_EQTY_200004992_TBVPS_LAST">#REF!</definedName>
    <definedName name="A_KEYWORD_EQTY_200004992_TERMINAL_YEAR_DCF">#REF!</definedName>
    <definedName name="A_KEYWORD_EQTY_200004992_Ticker">#REF!</definedName>
    <definedName name="A_KEYWORD_EQTY_200004992_TOTAL_ANNUAL_DIV_AMOUNT">#REF!</definedName>
    <definedName name="A_KEYWORD_EQTY_200004992_TOTAL_CAPITAL_EFPO">#REF!</definedName>
    <definedName name="A_KEYWORD_EQTY_200004992_TOTAL_CAPITAL_EFPOWA">#REF!</definedName>
    <definedName name="A_KEYWORD_EQTY_200004992_TOTAL_IFRS_ADJUST_POST_TAX">#REF!</definedName>
    <definedName name="A_KEYWORD_EQTY_200004992_TP_PERIOD">#REF!</definedName>
    <definedName name="A_KEYWORD_EQTY_200004992_VALUATION_YEAR">#REF!</definedName>
    <definedName name="A_KEYWORD_EQTY_200004992_WACC_DCF">#REF!</definedName>
    <definedName name="A_KEYWORD_EQTY_200004992_YEAR_END_CAPITAL_EVA">#REF!</definedName>
    <definedName name="A_KEYWORD_ISSR_208005522_ACC_END_DATE">#REF!</definedName>
    <definedName name="A_KEYWORD_ISSR_208005522_ACCEPTANCES_ASSETS">#REF!</definedName>
    <definedName name="A_KEYWORD_ISSR_208005522_ACCEPTANCES_LIABS">#REF!</definedName>
    <definedName name="A_KEYWORD_ISSR_208005522_ACCRUAL">#REF!</definedName>
    <definedName name="A_KEYWORD_ISSR_208005522_AMORT_OF_INTANGIBLES">#REF!</definedName>
    <definedName name="A_KEYWORD_ISSR_208005522_AMORT_OF_INTANGIBLES_ADJ">#REF!</definedName>
    <definedName name="A_KEYWORD_ISSR_208005522_ASIA_ASS">#REF!</definedName>
    <definedName name="A_KEYWORD_ISSR_208005522_ASIA_OP">#REF!</definedName>
    <definedName name="A_KEYWORD_ISSR_208005522_ASIA_SALES">#REF!</definedName>
    <definedName name="A_KEYWORD_ISSR_208005522_ASSET_MISC">#REF!</definedName>
    <definedName name="A_KEYWORD_ISSR_208005522_ASSOCIATE">#REF!</definedName>
    <definedName name="A_KEYWORD_ISSR_208005522_AVG_ACCEPTANCES">#REF!</definedName>
    <definedName name="A_KEYWORD_ISSR_208005522_AVG_CAPITAL_EMPLOYED_ADJ">#REF!</definedName>
    <definedName name="A_KEYWORD_ISSR_208005522_AVG_GROSS_NON_PERF_ASSETS">#REF!</definedName>
    <definedName name="A_KEYWORD_ISSR_208005522_AVG_INT_BEARING_LIABS">#REF!</definedName>
    <definedName name="A_KEYWORD_ISSR_208005522_AVG_INT_EARN_ASSETS">#REF!</definedName>
    <definedName name="A_KEYWORD_ISSR_208005522_AVG_LOANS_ADVANCES">#REF!</definedName>
    <definedName name="A_KEYWORD_ISSR_208005522_AVG_NON_INT_BEARING_LIABS">#REF!</definedName>
    <definedName name="A_KEYWORD_ISSR_208005522_AVG_OTH_PROD_ASSETS">#REF!</definedName>
    <definedName name="A_KEYWORD_ISSR_208005522_AVG_OTHER_ASSETS">#REF!</definedName>
    <definedName name="A_KEYWORD_ISSR_208005522_AVG_OTHER_LIABS">#REF!</definedName>
    <definedName name="A_KEYWORD_ISSR_208005522_AVG_PROD_INT_EARN_ASSETS">#REF!</definedName>
    <definedName name="A_KEYWORD_ISSR_208005522_AVG_PROV_BAD_DEBT">#REF!</definedName>
    <definedName name="A_KEYWORD_ISSR_208005522_AVG_TOTAL_ASSETS">#REF!</definedName>
    <definedName name="A_KEYWORD_ISSR_208005522_B_BS_A_DEBTTOT">#REF!</definedName>
    <definedName name="A_KEYWORD_ISSR_208005522_B_BS_A_LNBNK">#REF!</definedName>
    <definedName name="A_KEYWORD_ISSR_208005522_B_BS_A_NETLOANS">#REF!</definedName>
    <definedName name="A_KEYWORD_ISSR_208005522_B_BS_A_OTHINT1">#REF!</definedName>
    <definedName name="A_KEYWORD_ISSR_208005522_B_BS_A_PERIOD">#REF!</definedName>
    <definedName name="A_KEYWORD_ISSR_208005522_B_BS_L_BANKDEP">#REF!</definedName>
    <definedName name="A_KEYWORD_ISSR_208005522_B_BS_L_CUSTDEP">#REF!</definedName>
    <definedName name="A_KEYWORD_ISSR_208005522_B_BS_L_GSTANGEQ">#REF!</definedName>
    <definedName name="A_KEYWORD_ISSR_208005522_B_BS_L_PERIOD">#REF!</definedName>
    <definedName name="A_KEYWORD_ISSR_208005522_B_CA_BISRATIO">#REF!</definedName>
    <definedName name="A_KEYWORD_ISSR_208005522_B_CA_CAPBASE">#REF!</definedName>
    <definedName name="A_KEYWORD_ISSR_208005522_B_CA_CORECAP">#REF!</definedName>
    <definedName name="A_KEYWORD_ISSR_208005522_B_CA_PREFCAP">#REF!</definedName>
    <definedName name="A_KEYWORD_ISSR_208005522_B_CA_RWA">#REF!</definedName>
    <definedName name="A_KEYWORD_ISSR_208005522_B_CA_T1CAP">#REF!</definedName>
    <definedName name="A_KEYWORD_ISSR_208005522_B_CA_T1RATIO">#REF!</definedName>
    <definedName name="A_KEYWORD_ISSR_208005522_B_CA_T2CAP">#REF!</definedName>
    <definedName name="A_KEYWORD_ISSR_208005522_B_CA_T2RATIO">#REF!</definedName>
    <definedName name="A_KEYWORD_ISSR_208005522_B_CAMELOT_SUST_ROE">#REF!</definedName>
    <definedName name="A_KEYWORD_ISSR_208005522_B_DE_DEMAND">#REF!</definedName>
    <definedName name="A_KEYWORD_ISSR_208005522_B_DE_OTHERS">#REF!</definedName>
    <definedName name="A_KEYWORD_ISSR_208005522_B_DE_TIME">#REF!</definedName>
    <definedName name="A_KEYWORD_ISSR_208005522_B_DE_TOTDEPOSIT">#REF!</definedName>
    <definedName name="A_KEYWORD_ISSR_208005522_B_IH_BKVALUE">#REF!</definedName>
    <definedName name="A_KEYWORD_ISSR_208005522_B_IH_MKTVALUE">#REF!</definedName>
    <definedName name="A_KEYWORD_ISSR_208005522_B_IH_PTAXVALUE">#REF!</definedName>
    <definedName name="A_KEYWORD_ISSR_208005522_B_IH_TAX">#REF!</definedName>
    <definedName name="A_KEYWORD_ISSR_208005522_B_IH_UNREALISE">#REF!</definedName>
    <definedName name="A_KEYWORD_ISSR_208005522_B_LB_COMMCL">#REF!</definedName>
    <definedName name="A_KEYWORD_ISSR_208005522_B_LB_CONSTRUCT">#REF!</definedName>
    <definedName name="A_KEYWORD_ISSR_208005522_B_LB_FINANCL">#REF!</definedName>
    <definedName name="A_KEYWORD_ISSR_208005522_B_LB_FINLEASE">#REF!</definedName>
    <definedName name="A_KEYWORD_ISSR_208005522_B_LB_GOVERNMT">#REF!</definedName>
    <definedName name="A_KEYWORD_ISSR_208005522_B_LB_GROSSLOANS">#REF!</definedName>
    <definedName name="A_KEYWORD_ISSR_208005522_B_LB_MORTG">#REF!</definedName>
    <definedName name="A_KEYWORD_ISSR_208005522_B_LB_OTHER">#REF!</definedName>
    <definedName name="A_KEYWORD_ISSR_208005522_B_LB_OTHLEND">#REF!</definedName>
    <definedName name="A_KEYWORD_ISSR_208005522_B_LB_OTHSECURE">#REF!</definedName>
    <definedName name="A_KEYWORD_ISSR_208005522_B_LB_OVSEASLEND">#REF!</definedName>
    <definedName name="A_KEYWORD_ISSR_208005522_B_LB_PERSON">#REF!</definedName>
    <definedName name="A_KEYWORD_ISSR_208005522_B_LB_TOTCORP">#REF!</definedName>
    <definedName name="A_KEYWORD_ISSR_208005522_B_LB_TOTPERSNL">#REF!</definedName>
    <definedName name="A_KEYWORD_ISSR_208005522_B_LT_DIV_PAYOUT">#REF!</definedName>
    <definedName name="A_KEYWORD_ISSR_208005522_B_MA_REPCOSTLIB">#REF!</definedName>
    <definedName name="A_KEYWORD_ISSR_208005522_B_MA_REPGYLD">#REF!</definedName>
    <definedName name="A_KEYWORD_ISSR_208005522_B_MA_REPIMPSPD">#REF!</definedName>
    <definedName name="A_KEYWORD_ISSR_208005522_B_MA_REPINTAST">#REF!</definedName>
    <definedName name="A_KEYWORD_ISSR_208005522_B_MA_REPINTLIB">#REF!</definedName>
    <definedName name="A_KEYWORD_ISSR_208005522_B_MA_REPNIM">#REF!</definedName>
    <definedName name="A_KEYWORD_ISSR_208005522_B_NPL_PROBLN">#REF!</definedName>
    <definedName name="A_KEYWORD_ISSR_208005522_B_NPL_TOTNPL">#REF!</definedName>
    <definedName name="A_KEYWORD_ISSR_208005522_B_PL_LOANPRV">#REF!</definedName>
    <definedName name="A_KEYWORD_ISSR_208005522_B_PL_NETINTINC">#REF!</definedName>
    <definedName name="A_KEYWORD_ISSR_208005522_B_PV_GLLRCUST">#REF!</definedName>
    <definedName name="A_KEYWORD_ISSR_208005522_B_PV_SLLRCUST">#REF!</definedName>
    <definedName name="A_KEYWORD_ISSR_208005522_B_PV_TOTLLRCUST">#REF!</definedName>
    <definedName name="A_KEYWORD_ISSR_208005522_BAL_MINO_INT">#REF!</definedName>
    <definedName name="A_KEYWORD_ISSR_208005522_BAL_OF_FRANK_CREDITS">#REF!</definedName>
    <definedName name="A_KEYWORD_ISSR_208005522_BONDS_NOTES_SUBORD_DEBT">#REF!</definedName>
    <definedName name="A_KEYWORD_ISSR_208005522_BRANCHES">#REF!</definedName>
    <definedName name="A_KEYWORD_ISSR_208005522_CAP_LEASES">#REF!</definedName>
    <definedName name="A_KEYWORD_ISSR_208005522_CASH_EQ">#REF!</definedName>
    <definedName name="A_KEYWORD_ISSR_208005522_COMMITMENTS">#REF!</definedName>
    <definedName name="A_KEYWORD_ISSR_208005522_CONTINGENCIES">#REF!</definedName>
    <definedName name="A_KEYWORD_ISSR_208005522_COST_OF_DEBT_DCF">#REF!</definedName>
    <definedName name="A_KEYWORD_ISSR_208005522_CURRENCY_ISO">#REF!</definedName>
    <definedName name="A_KEYWORD_ISSR_208005522_DEBT_SECUR">#REF!</definedName>
    <definedName name="A_KEYWORD_ISSR_208005522_DEBT_TO_EQUITY_MKT_VALUES_DCF">#REF!</definedName>
    <definedName name="A_KEYWORD_ISSR_208005522_DEFINED_BENEFIT_OBLIGATION">#REF!</definedName>
    <definedName name="A_KEYWORD_ISSR_208005522_DEFINED_BENEFIT_SURPLUS">#REF!</definedName>
    <definedName name="A_KEYWORD_ISSR_208005522_DEPREC">#REF!</definedName>
    <definedName name="A_KEYWORD_ISSR_208005522_DEVELOPMENT_VENTURES">#REF!</definedName>
    <definedName name="A_KEYWORD_ISSR_208005522_DIV_PAID">#REF!</definedName>
    <definedName name="A_KEYWORD_ISSR_208005522_DIVID_INC">#REF!</definedName>
    <definedName name="A_KEYWORD_ISSR_208005522_DOM_ASS">#REF!</definedName>
    <definedName name="A_KEYWORD_ISSR_208005522_DOM_OP">#REF!</definedName>
    <definedName name="A_KEYWORD_ISSR_208005522_DOM_SALES">#REF!</definedName>
    <definedName name="A_KEYWORD_ISSR_208005522_EBIT_UNDERLYING_PRE_GWILL">#REF!</definedName>
    <definedName name="A_KEYWORD_ISSR_208005522_EFFECT_INT_RATE_IMPACT_PRE_TAX">#REF!</definedName>
    <definedName name="A_KEYWORD_ISSR_208005522_EMER_ASS">#REF!</definedName>
    <definedName name="A_KEYWORD_ISSR_208005522_EMER_OP">#REF!</definedName>
    <definedName name="A_KEYWORD_ISSR_208005522_EMER_SALES">#REF!</definedName>
    <definedName name="A_KEYWORD_ISSR_208005522_EMPLOYEES">#REF!</definedName>
    <definedName name="A_KEYWORD_ISSR_208005522_EQ">#REF!</definedName>
    <definedName name="A_KEYWORD_ISSR_208005522_EQUIP_COSTS">#REF!</definedName>
    <definedName name="A_KEYWORD_ISSR_208005522_EUR_ASS">#REF!</definedName>
    <definedName name="A_KEYWORD_ISSR_208005522_EURO_OP">#REF!</definedName>
    <definedName name="A_KEYWORD_ISSR_208005522_EURO_SALES">#REF!</definedName>
    <definedName name="A_KEYWORD_ISSR_208005522_FIN_INSTR_HEDGE_CURR_LIABILITY">#REF!</definedName>
    <definedName name="A_KEYWORD_ISSR_208005522_FIN_INSTRUMENT_HEDGE_PRE_TAX">#REF!</definedName>
    <definedName name="A_KEYWORD_ISSR_208005522_FIN_TRANS_INC">#REF!</definedName>
    <definedName name="A_KEYWORD_ISSR_208005522_FINANCE_SERVICES_INCOME">#REF!</definedName>
    <definedName name="A_KEYWORD_ISSR_208005522_FIX_ASS_INV">#REF!</definedName>
    <definedName name="A_KEYWORD_ISSR_208005522_FOREIGN_EXCH_INCOME">#REF!</definedName>
    <definedName name="A_KEYWORD_ISSR_208005522_GEN_INS_INC">#REF!</definedName>
    <definedName name="A_KEYWORD_ISSR_208005522_GENERAL_PROV">#REF!</definedName>
    <definedName name="A_KEYWORD_ISSR_208005522_GENERAL_PROV_DOUBTFUL">#REF!</definedName>
    <definedName name="A_KEYWORD_ISSR_208005522_GOODWILL">#REF!</definedName>
    <definedName name="A_KEYWORD_ISSR_208005522_GOODWILL_AMORT">#REF!</definedName>
    <definedName name="A_KEYWORD_ISSR_208005522_GROSS_LOANS_ADVANCES">#REF!</definedName>
    <definedName name="A_KEYWORD_ISSR_208005522_GROSS_NON_ACCRUAL">#REF!</definedName>
    <definedName name="A_KEYWORD_ISSR_208005522_GROSS_OP_PROF">#REF!</definedName>
    <definedName name="A_KEYWORD_ISSR_208005522_GWILL_ASSET_IMPAIR_CHG_PRE_TAX">#REF!</definedName>
    <definedName name="A_KEYWORD_ISSR_208005522_HYBRID_DIST_PRE_TAX">#REF!</definedName>
    <definedName name="A_KEYWORD_ISSR_208005522_INS_CLAIMS">#REF!</definedName>
    <definedName name="A_KEYWORD_ISSR_208005522_INT_EARN_ASSETS">#REF!</definedName>
    <definedName name="A_KEYWORD_ISSR_208005522_INT_EXP">#REF!</definedName>
    <definedName name="A_KEYWORD_ISSR_208005522_INT_INC">#REF!</definedName>
    <definedName name="A_KEYWORD_ISSR_208005522_INV_SECUR">#REF!</definedName>
    <definedName name="A_KEYWORD_ISSR_208005522_INVESTMENT_SECS_INCOME">#REF!</definedName>
    <definedName name="A_KEYWORD_ISSR_208005522_INVESTMENTS">#REF!</definedName>
    <definedName name="A_KEYWORD_ISSR_208005522_Issuer_Name">#REF!</definedName>
    <definedName name="A_KEYWORD_ISSR_208005522_LABOUR">#REF!</definedName>
    <definedName name="A_KEYWORD_ISSR_208005522_LATAM_ASS">#REF!</definedName>
    <definedName name="A_KEYWORD_ISSR_208005522_LATAM_OP">#REF!</definedName>
    <definedName name="A_KEYWORD_ISSR_208005522_LATAM_SALES">#REF!</definedName>
    <definedName name="A_KEYWORD_ISSR_208005522_LEASE_PAY">#REF!</definedName>
    <definedName name="A_KEYWORD_ISSR_208005522_LENDING_FEES">#REF!</definedName>
    <definedName name="A_KEYWORD_ISSR_208005522_LIAB_MISC">#REF!</definedName>
    <definedName name="A_KEYWORD_ISSR_208005522_LIFE_INC">#REF!</definedName>
    <definedName name="A_KEYWORD_ISSR_208005522_LIFE_POLICY_ASS">#REF!</definedName>
    <definedName name="A_KEYWORD_ISSR_208005522_LIFE_POLICY_LIABS">#REF!</definedName>
    <definedName name="A_KEYWORD_ISSR_208005522_LIFE_SHARE">#REF!</definedName>
    <definedName name="A_KEYWORD_ISSR_208005522_LIQUID_ASSETS">#REF!</definedName>
    <definedName name="A_KEYWORD_ISSR_208005522_LOAN_CAPITAL">#REF!</definedName>
    <definedName name="A_KEYWORD_ISSR_208005522_MINOR_EQUITY_BS">#REF!</definedName>
    <definedName name="A_KEYWORD_ISSR_208005522_MINORITIES">#REF!</definedName>
    <definedName name="A_KEYWORD_ISSR_208005522_MONEY_TRANSFER_FEES">#REF!</definedName>
    <definedName name="A_KEYWORD_ISSR_208005522_MV_ASSOCIATES">#REF!</definedName>
    <definedName name="A_KEYWORD_ISSR_208005522_NAM_ASS">#REF!</definedName>
    <definedName name="A_KEYWORD_ISSR_208005522_NAM_OP">#REF!</definedName>
    <definedName name="A_KEYWORD_ISSR_208005522_NAM_SALES">#REF!</definedName>
    <definedName name="A_KEYWORD_ISSR_208005522_NET_ASSETS">#REF!</definedName>
    <definedName name="A_KEYWORD_ISSR_208005522_NET_DEBT">#REF!</definedName>
    <definedName name="A_KEYWORD_ISSR_208005522_NET_FEE">#REF!</definedName>
    <definedName name="A_KEYWORD_ISSR_208005522_NET_FIX_ASS">#REF!</definedName>
    <definedName name="A_KEYWORD_ISSR_208005522_NET_FREE_FUNDS">#REF!</definedName>
    <definedName name="A_KEYWORD_ISSR_208005522_NET_INTANG">#REF!</definedName>
    <definedName name="A_KEYWORD_ISSR_208005522_NET_OP_PROF">#REF!</definedName>
    <definedName name="A_KEYWORD_ISSR_208005522_NET_TANGIBLE_ASSETS">#REF!</definedName>
    <definedName name="A_KEYWORD_ISSR_208005522_NETCHGOFF_BS">#REF!</definedName>
    <definedName name="A_KEYWORD_ISSR_208005522_NEW_SPECIFIC_PROV">#REF!</definedName>
    <definedName name="A_KEYWORD_ISSR_208005522_NON_INT_INC">#REF!</definedName>
    <definedName name="A_KEYWORD_ISSR_208005522_OCCUPANCY_COSTS">#REF!</definedName>
    <definedName name="A_KEYWORD_ISSR_208005522_OP_COST">#REF!</definedName>
    <definedName name="A_KEYWORD_ISSR_208005522_OPPL_BTAX_POST_AB">#REF!</definedName>
    <definedName name="A_KEYWORD_ISSR_208005522_ORD_SH_FUND">#REF!</definedName>
    <definedName name="A_KEYWORD_ISSR_208005522_ORD_SHARE_CAPITAL">#REF!</definedName>
    <definedName name="A_KEYWORD_ISSR_208005522_OTH_ADMIN">#REF!</definedName>
    <definedName name="A_KEYWORD_ISSR_208005522_OTH_ASS">#REF!</definedName>
    <definedName name="A_KEYWORD_ISSR_208005522_OTH_ASSET">#REF!</definedName>
    <definedName name="A_KEYWORD_ISSR_208005522_OTH_COST">#REF!</definedName>
    <definedName name="A_KEYWORD_ISSR_208005522_OTH_COST_INC">#REF!</definedName>
    <definedName name="A_KEYWORD_ISSR_208005522_OTH_DACF_ADJ">#REF!</definedName>
    <definedName name="A_KEYWORD_ISSR_208005522_OTH_GCI_ADJ">#REF!</definedName>
    <definedName name="A_KEYWORD_ISSR_208005522_OTH_INC">#REF!</definedName>
    <definedName name="A_KEYWORD_ISSR_208005522_OTH_INTANG">#REF!</definedName>
    <definedName name="A_KEYWORD_ISSR_208005522_OTH_LIABS">#REF!</definedName>
    <definedName name="A_KEYWORD_ISSR_208005522_OTH_NONOP_EXP">#REF!</definedName>
    <definedName name="A_KEYWORD_ISSR_208005522_OTH_NONOP_INC">#REF!</definedName>
    <definedName name="A_KEYWORD_ISSR_208005522_OTH_OP">#REF!</definedName>
    <definedName name="A_KEYWORD_ISSR_208005522_OTH_PAY_LIABS">#REF!</definedName>
    <definedName name="A_KEYWORD_ISSR_208005522_OTH_PROVS">#REF!</definedName>
    <definedName name="A_KEYWORD_ISSR_208005522_OTH_SALES">#REF!</definedName>
    <definedName name="A_KEYWORD_ISSR_208005522_OTHER_ASSET_IMPAIR_CHG_PRE_TAX">#REF!</definedName>
    <definedName name="A_KEYWORD_ISSR_208005522_OTHER_EXPENSES">#REF!</definedName>
    <definedName name="A_KEYWORD_ISSR_208005522_OTHER_FEES">#REF!</definedName>
    <definedName name="A_KEYWORD_ISSR_208005522_OTHER_IFRS_ADJUST_PRE_TAX">#REF!</definedName>
    <definedName name="A_KEYWORD_ISSR_208005522_OTHER_INCOME">#REF!</definedName>
    <definedName name="A_KEYWORD_ISSR_208005522_OTHER_INTANGIBLES_DEPREC">#REF!</definedName>
    <definedName name="A_KEYWORD_ISSR_208005522_OTHER_INTANGIBLES_NON_DEPREC">#REF!</definedName>
    <definedName name="A_KEYWORD_ISSR_208005522_OTHER_STAFF_COSTS">#REF!</definedName>
    <definedName name="A_KEYWORD_ISSR_208005522_PCT_ASIA_ASS">#REF!</definedName>
    <definedName name="A_KEYWORD_ISSR_208005522_PCT_ASIA_OP">#REF!</definedName>
    <definedName name="A_KEYWORD_ISSR_208005522_PCT_ASIA_SALES">#REF!</definedName>
    <definedName name="A_KEYWORD_ISSR_208005522_PCT_DOM_ASS">#REF!</definedName>
    <definedName name="A_KEYWORD_ISSR_208005522_PCT_DOM_OP">#REF!</definedName>
    <definedName name="A_KEYWORD_ISSR_208005522_PCT_DOM_SALES">#REF!</definedName>
    <definedName name="A_KEYWORD_ISSR_208005522_PCT_EMER_ASS">#REF!</definedName>
    <definedName name="A_KEYWORD_ISSR_208005522_PCT_EMER_OP">#REF!</definedName>
    <definedName name="A_KEYWORD_ISSR_208005522_PCT_EMER_SALES">#REF!</definedName>
    <definedName name="A_KEYWORD_ISSR_208005522_PCT_EURO_ASS">#REF!</definedName>
    <definedName name="A_KEYWORD_ISSR_208005522_PCT_EURO_OP">#REF!</definedName>
    <definedName name="A_KEYWORD_ISSR_208005522_PCT_EURO_SALES">#REF!</definedName>
    <definedName name="A_KEYWORD_ISSR_208005522_PCT_LATAM_ASS">#REF!</definedName>
    <definedName name="A_KEYWORD_ISSR_208005522_PCT_LATAM_OP">#REF!</definedName>
    <definedName name="A_KEYWORD_ISSR_208005522_PCT_LATAM_SALES">#REF!</definedName>
    <definedName name="A_KEYWORD_ISSR_208005522_PCT_NAM_ASS">#REF!</definedName>
    <definedName name="A_KEYWORD_ISSR_208005522_PCT_NAM_OP">#REF!</definedName>
    <definedName name="A_KEYWORD_ISSR_208005522_PCT_NAM_SALES">#REF!</definedName>
    <definedName name="A_KEYWORD_ISSR_208005522_PCT_OTH_ASS">#REF!</definedName>
    <definedName name="A_KEYWORD_ISSR_208005522_PCT_OTH_OP">#REF!</definedName>
    <definedName name="A_KEYWORD_ISSR_208005522_PCT_OTH_SALES">#REF!</definedName>
    <definedName name="A_KEYWORD_ISSR_208005522_PERIOD_MILESTONE">#REF!</definedName>
    <definedName name="A_KEYWORD_ISSR_208005522_PERSONNEL">#REF!</definedName>
    <definedName name="A_KEYWORD_ISSR_208005522_PL_BTAX_ON_AB">#REF!</definedName>
    <definedName name="A_KEYWORD_ISSR_208005522_PRE_PAYMNTS">#REF!</definedName>
    <definedName name="A_KEYWORD_ISSR_208005522_PREF_SH">#REF!</definedName>
    <definedName name="A_KEYWORD_ISSR_208005522_PREF_SHARE_CAP">#REF!</definedName>
    <definedName name="A_KEYWORD_ISSR_208005522_PROF_BTE">#REF!</definedName>
    <definedName name="A_KEYWORD_ISSR_208005522_PROFIT_DEFBEN_PLAN_POST_TAX">#REF!</definedName>
    <definedName name="A_KEYWORD_ISSR_208005522_PROFIT_DEFBEN_PLAN_PRE_TAX">#REF!</definedName>
    <definedName name="A_KEYWORD_ISSR_208005522_PROFIT_ON_DISP">#REF!</definedName>
    <definedName name="A_KEYWORD_ISSR_208005522_PROV_BS">#REF!</definedName>
    <definedName name="A_KEYWORD_ISSR_208005522_PT_PROF">#REF!</definedName>
    <definedName name="A_KEYWORD_ISSR_208005522_RECOVERIES_BS">#REF!</definedName>
    <definedName name="A_KEYWORD_ISSR_208005522_RENTAL_INCOME">#REF!</definedName>
    <definedName name="A_KEYWORD_ISSR_208005522_RESERVES">#REF!</definedName>
    <definedName name="A_KEYWORD_ISSR_208005522_RETAIN_PROFIT_LOSS">#REF!</definedName>
    <definedName name="A_KEYWORD_ISSR_208005522_SALES">#REF!</definedName>
    <definedName name="A_KEYWORD_ISSR_208005522_SALES_AUSTRA">#REF!</definedName>
    <definedName name="A_KEYWORD_ISSR_208005522_SALES_BRAZIL">#REF!</definedName>
    <definedName name="A_KEYWORD_ISSR_208005522_SALES_CEE">#REF!</definedName>
    <definedName name="A_KEYWORD_ISSR_208005522_SALES_CHINA">#REF!</definedName>
    <definedName name="A_KEYWORD_ISSR_208005522_SALES_CONS">#REF!</definedName>
    <definedName name="A_KEYWORD_ISSR_208005522_SALES_EU_EX_UK">#REF!</definedName>
    <definedName name="A_KEYWORD_ISSR_208005522_SALES_FINAN">#REF!</definedName>
    <definedName name="A_KEYWORD_ISSR_208005522_SALES_FX_AUD">#REF!</definedName>
    <definedName name="A_KEYWORD_ISSR_208005522_SALES_FX_BRL">#REF!</definedName>
    <definedName name="A_KEYWORD_ISSR_208005522_SALES_FX_CNY">#REF!</definedName>
    <definedName name="A_KEYWORD_ISSR_208005522_SALES_FX_EUR">#REF!</definedName>
    <definedName name="A_KEYWORD_ISSR_208005522_SALES_FX_GPB">#REF!</definedName>
    <definedName name="A_KEYWORD_ISSR_208005522_SALES_FX_INR">#REF!</definedName>
    <definedName name="A_KEYWORD_ISSR_208005522_SALES_FX_NZD">#REF!</definedName>
    <definedName name="A_KEYWORD_ISSR_208005522_SALES_FX_OTH">#REF!</definedName>
    <definedName name="A_KEYWORD_ISSR_208005522_SALES_FX_RUB">#REF!</definedName>
    <definedName name="A_KEYWORD_ISSR_208005522_SALES_FX_USD">#REF!</definedName>
    <definedName name="A_KEYWORD_ISSR_208005522_SALES_FX_YEN">#REF!</definedName>
    <definedName name="A_KEYWORD_ISSR_208005522_SALES_GOV">#REF!</definedName>
    <definedName name="A_KEYWORD_ISSR_208005522_SALES_IND">#REF!</definedName>
    <definedName name="A_KEYWORD_ISSR_208005522_SALES_INDIA">#REF!</definedName>
    <definedName name="A_KEYWORD_ISSR_208005522_SALES_JAPAN">#REF!</definedName>
    <definedName name="A_KEYWORD_ISSR_208005522_SALES_ME">#REF!</definedName>
    <definedName name="A_KEYWORD_ISSR_208005522_SALES_NZ">#REF!</definedName>
    <definedName name="A_KEYWORD_ISSR_208005522_SALES_OTH_AEJ">#REF!</definedName>
    <definedName name="A_KEYWORD_ISSR_208005522_SALES_OTH_AM">#REF!</definedName>
    <definedName name="A_KEYWORD_ISSR_208005522_SALES_OTH_EMEA">#REF!</definedName>
    <definedName name="A_KEYWORD_ISSR_208005522_SALES_OTHER">#REF!</definedName>
    <definedName name="A_KEYWORD_ISSR_208005522_SALES_RUSSIA">#REF!</definedName>
    <definedName name="A_KEYWORD_ISSR_208005522_SALES_TOT_AFRICA">#REF!</definedName>
    <definedName name="A_KEYWORD_ISSR_208005522_SALES_TOT_AM">#REF!</definedName>
    <definedName name="A_KEYWORD_ISSR_208005522_SALES_TOT_ASIA">#REF!</definedName>
    <definedName name="A_KEYWORD_ISSR_208005522_SALES_TOT_EMEA">#REF!</definedName>
    <definedName name="A_KEYWORD_ISSR_208005522_SALES_UK">#REF!</definedName>
    <definedName name="A_KEYWORD_ISSR_208005522_SALES_US">#REF!</definedName>
    <definedName name="A_KEYWORD_ISSR_208005522_SEL_GL_AD_OTHER">#REF!</definedName>
    <definedName name="A_KEYWORD_ISSR_208005522_SHARE_BASED_PAYMENTS">#REF!</definedName>
    <definedName name="A_KEYWORD_ISSR_208005522_SPECIFIC_PROV_DOUBTFUL">#REF!</definedName>
    <definedName name="A_KEYWORD_ISSR_208005522_SUB_ORD_LIABS">#REF!</definedName>
    <definedName name="A_KEYWORD_ISSR_208005522_TOT_ASS">#REF!</definedName>
    <definedName name="A_KEYWORD_ISSR_208005522_TOT_ASSET">#REF!</definedName>
    <definedName name="A_KEYWORD_ISSR_208005522_TOT_EXCEPTS">#REF!</definedName>
    <definedName name="A_KEYWORD_ISSR_208005522_TOT_LIAB">#REF!</definedName>
    <definedName name="A_KEYWORD_ISSR_208005522_TOT_LIAB_EQ">#REF!</definedName>
    <definedName name="A_KEYWORD_ISSR_208005522_TOT_OP">#REF!</definedName>
    <definedName name="A_KEYWORD_ISSR_208005522_TOT_PROVS">#REF!</definedName>
    <definedName name="A_KEYWORD_ISSR_208005522_TOT_SALES">#REF!</definedName>
    <definedName name="A_KEYWORD_ISSR_208005522_TOTAL_CAPITAL_EMPLOYED_ADJ">#REF!</definedName>
    <definedName name="A_KEYWORD_ISSR_208005522_TOTAL_DEPREC_AMORT">#REF!</definedName>
    <definedName name="A_KEYWORD_ISSR_208005522_TOTAL_IFRS_ADJUST_PRE_TAX">#REF!</definedName>
    <definedName name="A_KEYWORD_ISSR_208005522_TRADING_SECS_INCOME">#REF!</definedName>
    <definedName name="A_KEYWORD_ISSR_208005522_UNEARNED_INCOME">#REF!</definedName>
    <definedName name="A_KEYWORD_ISSR_208005522_UNF_PENS">#REF!</definedName>
    <definedName name="A_KEYWORD_ISSR_208005522_UNF_PENS_LIAB_OTH">#REF!</definedName>
    <definedName name="A_KEYWORD_ISSR_208005522_UNF_PENS_OFF">#REF!</definedName>
    <definedName name="A_KEYWORD_ISSR_208005522_WRITE_OFFS_BS">#REF!</definedName>
    <definedName name="A_KEYWORD_ISSR_208005522_WRITEBACK_RECOVERIES">#REF!</definedName>
    <definedName name="A_LIVEDATA_EQTY_200004992">#REF!</definedName>
    <definedName name="A_LIVEDATA_ISSR_208005522">#REF!</definedName>
    <definedName name="A_SECTION_EQTY_200004992_1314">#REF!</definedName>
    <definedName name="A_SECTION_EQTY_200004992_1316A">#REF!</definedName>
    <definedName name="A_SECTION_EQTY_200004992_1316B">#REF!</definedName>
    <definedName name="A_SECTION_EQTY_200004992_1316C">#REF!</definedName>
    <definedName name="A_SECTION_EQTY_200004992_1316E">#REF!</definedName>
    <definedName name="A_SECTION_EQTY_200004992_1319">#REF!</definedName>
    <definedName name="A_SECTION_EQTY_200004992_131O">#REF!</definedName>
    <definedName name="A_SECTION_EQTY_200004992_131P">#REF!</definedName>
    <definedName name="A_SECTION_EQTY_200004992_13A">#REF!</definedName>
    <definedName name="A_SECTION_EQTY_200004992_13K">#REF!</definedName>
    <definedName name="A_SECTION_EQTY_200004992_13U">#REF!</definedName>
    <definedName name="A_SECTION_EQTY_200004992_13V">#REF!</definedName>
    <definedName name="A_SECTION_EQTY_200004992_Reference_Data">#REF!</definedName>
    <definedName name="A_SECTION_ISSR_208005522_1314">#REF!</definedName>
    <definedName name="A_SECTION_ISSR_208005522_13168">#REF!</definedName>
    <definedName name="A_SECTION_ISSR_208005522_1316B">#REF!</definedName>
    <definedName name="A_SECTION_ISSR_208005522_1316C">#REF!</definedName>
    <definedName name="A_SECTION_ISSR_208005522_1316E">#REF!</definedName>
    <definedName name="A_SECTION_ISSR_208005522_1316U">#REF!</definedName>
    <definedName name="A_SECTION_ISSR_208005522_1319">#REF!</definedName>
    <definedName name="A_SECTION_ISSR_208005522_131E">#REF!</definedName>
    <definedName name="A_SECTION_ISSR_208005522_131J">#REF!</definedName>
    <definedName name="A_SECTION_ISSR_208005522_131O">#REF!</definedName>
    <definedName name="A_SECTION_ISSR_208005522_131P">#REF!</definedName>
    <definedName name="A_SECTION_ISSR_208005522_133M">#REF!</definedName>
    <definedName name="A_SECTION_ISSR_208005522_133R">#REF!</definedName>
    <definedName name="A_SECTION_ISSR_208005522_133W">#REF!</definedName>
    <definedName name="A_SECTION_ISSR_208005522_1341">#REF!</definedName>
    <definedName name="A_SECTION_ISSR_208005522_1346">#REF!</definedName>
    <definedName name="A_SECTION_ISSR_208005522_134B">#REF!</definedName>
    <definedName name="A_SECTION_ISSR_208005522_134G">#REF!</definedName>
    <definedName name="A_SECTION_ISSR_208005522_134L">#REF!</definedName>
    <definedName name="A_SECTION_ISSR_208005522_134Q">#REF!</definedName>
    <definedName name="A_SECTION_ISSR_208005522_134V">#REF!</definedName>
    <definedName name="A_SECTION_ISSR_208005522_13U">#REF!</definedName>
    <definedName name="A_SECTION_ISSR_208005522_13V">#REF!</definedName>
    <definedName name="A_SECTION_ISSR_208005522_Reference_Data">#REF!</definedName>
    <definedName name="abnormals">#REF!</definedName>
    <definedName name="accumulated_amortisation">#REF!</definedName>
    <definedName name="accumulated_amortisation_gwill">#REF!</definedName>
    <definedName name="acquisitions">#REF!</definedName>
    <definedName name="Acquistion1999">#REF!</definedName>
    <definedName name="Acquistion2000">#REF!</definedName>
    <definedName name="Acquistion2001">#REF!</definedName>
    <definedName name="Acquistion2002">#REF!</definedName>
    <definedName name="Acquistion2003">#REF!</definedName>
    <definedName name="Adj_Bond_Cash_Return">#REF!</definedName>
    <definedName name="Adjusted_Total_Capital_Employed1999">#REF!</definedName>
    <definedName name="Adjusted_Total_Capital_Employed2000">#REF!</definedName>
    <definedName name="Adjusted_Total_Capital_Employed2001">#REF!</definedName>
    <definedName name="Adjusted_Total_Capital_Employed2002">#REF!</definedName>
    <definedName name="Adjusted_Total_Capital_Employed2003">#REF!</definedName>
    <definedName name="adjustmentoptions">#REF!</definedName>
    <definedName name="Amort_Int1999">#REF!</definedName>
    <definedName name="Amort_Int2000">#REF!</definedName>
    <definedName name="Amort_Int2001">#REF!</definedName>
    <definedName name="Amort_Int2002">#REF!</definedName>
    <definedName name="Amort_Int2003">#REF!</definedName>
    <definedName name="amortisation">#REF!</definedName>
    <definedName name="anal">#REF!</definedName>
    <definedName name="Assets_Sales1999">#REF!</definedName>
    <definedName name="Assets_Sales2000">#REF!</definedName>
    <definedName name="Assets_Sales2001">#REF!</definedName>
    <definedName name="Assets_Sales2002">#REF!</definedName>
    <definedName name="Assets_Sales2003">#REF!</definedName>
    <definedName name="assets_total">#REF!</definedName>
    <definedName name="assetsales">#REF!</definedName>
    <definedName name="Aust_housing">#REF!</definedName>
    <definedName name="Aust_Risk_Free">#REF!</definedName>
    <definedName name="Ave_Dil_No_Shares">#REF!</definedName>
    <definedName name="Ave_equity">#REF!</definedName>
    <definedName name="average_assets">#REF!</definedName>
    <definedName name="Average_Capital_Employed1999">#REF!</definedName>
    <definedName name="Average_Capital_Employed2000">#REF!</definedName>
    <definedName name="Average_Capital_Employed2001">#REF!</definedName>
    <definedName name="Average_Capital_Employed2002">#REF!</definedName>
    <definedName name="Average_Capital_Employed2003">#REF!</definedName>
    <definedName name="average_equity">#REF!</definedName>
    <definedName name="Average_equity_including_prefs">#REF!</definedName>
    <definedName name="average_gross_loans">#REF!</definedName>
    <definedName name="Beta">#REF!</definedName>
    <definedName name="BeyondFCF">#REF!</definedName>
    <definedName name="Bond_Cash_Yield">#REF!</definedName>
    <definedName name="Borrowings_current">#REF!</definedName>
    <definedName name="Borrowings_non_current">#REF!</definedName>
    <definedName name="Borrowings1999">#REF!</definedName>
    <definedName name="Borrowings2000">#REF!</definedName>
    <definedName name="Borrowings2001">#REF!</definedName>
    <definedName name="Borrowings2002">#REF!</definedName>
    <definedName name="Borrowings2003">#REF!</definedName>
    <definedName name="borrowingsincurredrepaid">#REF!</definedName>
    <definedName name="BV">#REF!</definedName>
    <definedName name="CAPE_BPPS_02">#REF!</definedName>
    <definedName name="CAPE_BPPS_03">#REF!</definedName>
    <definedName name="CAPE_BPPS_04">#REF!</definedName>
    <definedName name="capexexpansion">#REF!</definedName>
    <definedName name="capexmaintenance">#REF!</definedName>
    <definedName name="capital_tier_1">#REF!</definedName>
    <definedName name="capital_tier_2">#REF!</definedName>
    <definedName name="cash">#REF!</definedName>
    <definedName name="Cash_And_Equivs1999">#REF!</definedName>
    <definedName name="Cash_And_Equivs2000">#REF!</definedName>
    <definedName name="Cash_And_Equivs2001">#REF!</definedName>
    <definedName name="Cash_And_Equivs2002">#REF!</definedName>
    <definedName name="Cash_And_Equivs2003">#REF!</definedName>
    <definedName name="Cash_rate">#REF!</definedName>
    <definedName name="CD">#REF!</definedName>
    <definedName name="Cf_Dividends_Received1999">#REF!</definedName>
    <definedName name="Cf_Dividends_Received2000">#REF!</definedName>
    <definedName name="Cf_Dividends_Received2001">#REF!</definedName>
    <definedName name="Cf_Dividends_Received2002">#REF!</definedName>
    <definedName name="Cf_Dividends_Received2003">#REF!</definedName>
    <definedName name="Change_In_Work_Cap1999">#REF!</definedName>
    <definedName name="changeincash">#REF!</definedName>
    <definedName name="changeinworkingcapital">#REF!</definedName>
    <definedName name="changeinworkingcapitaldcf">#REF!</definedName>
    <definedName name="Claims_Incurred">#REF!</definedName>
    <definedName name="CN">#REF!</definedName>
    <definedName name="Code">#REF!</definedName>
    <definedName name="code.GetProfileBook">#REF!</definedName>
    <definedName name="Code_12M">#REF!</definedName>
    <definedName name="code_1m">#REF!</definedName>
    <definedName name="Code_3M">#REF!</definedName>
    <definedName name="Code_YearNow">#REF!</definedName>
    <definedName name="COE_AMP">#REF!</definedName>
    <definedName name="COE_AXA">#REF!</definedName>
    <definedName name="COE_NRM">#REF!</definedName>
    <definedName name="COE_QBE">#REF!</definedName>
    <definedName name="COE_TWR">#REF!</definedName>
    <definedName name="company_eps">#REF!</definedName>
    <definedName name="consolidatedpretaxprofit">#REF!</definedName>
    <definedName name="consolnpat">#REF!</definedName>
    <definedName name="cont_lu">#REF!</definedName>
    <definedName name="core_tier1">#REF!</definedName>
    <definedName name="Core_tier1_ratio">#REF!</definedName>
    <definedName name="cost_income">#REF!</definedName>
    <definedName name="Cost_of_Equity">#REF!</definedName>
    <definedName name="CostDebt">#REF!</definedName>
    <definedName name="CostEquity">#REF!</definedName>
    <definedName name="Creditors1999">#REF!</definedName>
    <definedName name="Creditors2000">#REF!</definedName>
    <definedName name="Creditors2001">#REF!</definedName>
    <definedName name="Creditors2002">#REF!</definedName>
    <definedName name="Creditors2003">#REF!</definedName>
    <definedName name="cs">#REF!</definedName>
    <definedName name="current_borrowings">#REF!</definedName>
    <definedName name="Current_Date">#REF!</definedName>
    <definedName name="current_options">#REF!</definedName>
    <definedName name="Current_price">#REF!</definedName>
    <definedName name="currentL_provisions">#REF!</definedName>
    <definedName name="CV">#REF!</definedName>
    <definedName name="Cwvu.Full_Year." hidden="1">#REF!,#REF!</definedName>
    <definedName name="Cwvu.Summary." hidden="1">#REF!,#REF!,#REF!,#REF!</definedName>
    <definedName name="DAC_current">#REF!</definedName>
    <definedName name="Dates">OFFSET(#REF!,0,0,1,COUNT(#REF!))</definedName>
    <definedName name="DCF_BASE">#REF!</definedName>
    <definedName name="DCF_INF">#REF!</definedName>
    <definedName name="DCF_OPTION">#REF!</definedName>
    <definedName name="DCF_Result">#REF!</definedName>
    <definedName name="DCF_WACC">#REF!</definedName>
    <definedName name="DCFCurrent">#REF!</definedName>
    <definedName name="DDA_FA_EXP1999">#REF!</definedName>
    <definedName name="DDA_FA_EXP2000">#REF!</definedName>
    <definedName name="DDA_FA_EXP2001">#REF!</definedName>
    <definedName name="DDA_FA_EXP2002">#REF!</definedName>
    <definedName name="DDA_FA_EXP2003">#REF!</definedName>
    <definedName name="DDE">#REF!</definedName>
    <definedName name="Debt_equity">#REF!</definedName>
    <definedName name="Debtors">#REF!</definedName>
    <definedName name="debtors1999">#REF!</definedName>
    <definedName name="debtors2000">#REF!</definedName>
    <definedName name="debtors2001">#REF!</definedName>
    <definedName name="debtors2002">#REF!</definedName>
    <definedName name="debtors2003">#REF!</definedName>
    <definedName name="Deferred_income_tax_provision">#REF!</definedName>
    <definedName name="dep_amort">#REF!</definedName>
    <definedName name="DeprAmort">#REF!</definedName>
    <definedName name="depreciation">#REF!</definedName>
    <definedName name="Dividend_income">#REF!</definedName>
    <definedName name="Dividends_Paid1999">#REF!</definedName>
    <definedName name="Dividends_Paid2000">#REF!</definedName>
    <definedName name="Dividends_Paid2001">#REF!</definedName>
    <definedName name="Dividends_Paid2002">#REF!</definedName>
    <definedName name="Dividends_Paid2003">#REF!</definedName>
    <definedName name="dividendsfrominvestments">#REF!</definedName>
    <definedName name="dividendspaid">#REF!</definedName>
    <definedName name="DPS">#REF!</definedName>
    <definedName name="DPS_special">#REF!</definedName>
    <definedName name="E_ALL_ANZ.AX">#REF!</definedName>
    <definedName name="E_ALL_AUB.AX">#REF!</definedName>
    <definedName name="E_ALL_IAG.AX">#REF!</definedName>
    <definedName name="E_ALL_KEYWORDS_TYPE_ScalarContributed_EQTY_200004992">#REF!,#REF!,#REF!,#REF!,#REF!,#REF!,#REF!,#REF!,#REF!,#REF!</definedName>
    <definedName name="E_ALL_KEYWORDS_TYPE_ScalarContributed_EQTY_200013815">#REF!,#REF!,#REF!,#REF!,#REF!,#REF!,#REF!,#REF!,#REF!</definedName>
    <definedName name="E_ALL_KEYWORDS_TYPE_ScalarContributed_EQTY_200014619">#REF!,#REF!,#REF!,#REF!,#REF!,#REF!,#REF!,#REF!</definedName>
    <definedName name="E_ALL_KEYWORDS_TYPE_ScalarContributed_ISSR_208005522">#REF!</definedName>
    <definedName name="E_ALL_KEYWORDS_TYPE_ScalarContributed_ISSR_208011369">#REF!,#REF!,#REF!</definedName>
    <definedName name="E_ALL_KEYWORDS_TYPE_ScalarReference_EQTY_200004992">#REF!</definedName>
    <definedName name="E_ALL_KEYWORDS_TYPE_ScalarReference_ISSR_208005522">#REF!</definedName>
    <definedName name="E_ALL_KEYWORDS_TYPE_Vector_EQTY_200004992">#REF!,#REF!,#REF!,#REF!,#REF!,#REF!,#REF!,#REF!,#REF!,#REF!,#REF!,#REF!,#REF!</definedName>
    <definedName name="E_ALL_KEYWORDS_TYPE_Vector_EQTY_200014619">#REF!,#REF!,#REF!,#REF!,#REF!,#REF!,#REF!,#REF!,#REF!,#REF!,#REF!,#REF!,#REF!</definedName>
    <definedName name="E_ALL_KEYWORDS_TYPE_Vector_ISSR_208005522">#REF!,#REF!,#REF!,#REF!,#REF!,#REF!,#REF!,#REF!,#REF!,#REF!,#REF!,#REF!,#REF!,#REF!,#REF!,#REF!,#REF!,#REF!,#REF!,#REF!,#REF!,#REF!,#REF!,#REF!,#REF!</definedName>
    <definedName name="E_ALL_KEYWORDS_TYPE_Vector_ISSR_208010674">#REF!,#REF!,#REF!,#REF!,#REF!,#REF!,#REF!,#REF!,#REF!,#REF!,#REF!,#REF!,#REF!,#REF!,#REF!,#REF!,#REF!,#REF!,#REF!,#REF!,#REF!,#REF!,#REF!,#REF!,#REF!,#REF!,#REF!,#REF!,#REF!,#REF!,#REF!,#REF!,#REF!,#REF!,#REF!,#REF!,#REF!,#REF!,#REF!,#REF!</definedName>
    <definedName name="E_ALL_KEYWORDS_TYPE_Vector_ISSR_208011369">#REF!,#REF!,#REF!,#REF!,#REF!,#REF!,#REF!,#REF!,#REF!,#REF!,#REF!,#REF!,#REF!,#REF!,#REF!,#REF!,#REF!,#REF!,#REF!</definedName>
    <definedName name="E_ALL_KEYWORDS_TYPE_Vector_ISSR_208013265">#REF!,#REF!,#REF!,#REF!,#REF!,#REF!,#REF!,#REF!,#REF!,#REF!,#REF!,#REF!,#REF!,#REF!,#REF!,#REF!,#REF!,#REF!,#REF!,#REF!,#REF!,#REF!,#REF!,#REF!,#REF!,#REF!,#REF!,#REF!,#REF!,#REF!,#REF!,#REF!,#REF!,#REF!,#REF!,#REF!,#REF!</definedName>
    <definedName name="E_ALL_NHF.AX">#REF!</definedName>
    <definedName name="E_ALL_NWL.AX">#REF!</definedName>
    <definedName name="E_ALL_PEP.AX">#REF!</definedName>
    <definedName name="E_ALL_PTM.AX">#REF!</definedName>
    <definedName name="E_ALL_SECTION_KEYWORDS_EQTY_200004992_1314">#REF!</definedName>
    <definedName name="E_ALL_SECTION_KEYWORDS_EQTY_200004992_1316A">#REF!</definedName>
    <definedName name="E_ALL_SECTION_KEYWORDS_EQTY_200004992_1316B">#REF!</definedName>
    <definedName name="E_ALL_SECTION_KEYWORDS_EQTY_200004992_1316C">#REF!</definedName>
    <definedName name="E_ALL_SECTION_KEYWORDS_EQTY_200004992_1316E">#REF!</definedName>
    <definedName name="E_ALL_SECTION_KEYWORDS_EQTY_200004992_1319">#REF!</definedName>
    <definedName name="E_ALL_SECTION_KEYWORDS_EQTY_200004992_131O">#REF!</definedName>
    <definedName name="E_ALL_SECTION_KEYWORDS_EQTY_200004992_131P">#REF!</definedName>
    <definedName name="E_ALL_SECTION_KEYWORDS_EQTY_200004992_13A">#REF!</definedName>
    <definedName name="E_ALL_SECTION_KEYWORDS_EQTY_200004992_13K">#REF!</definedName>
    <definedName name="E_ALL_SECTION_KEYWORDS_EQTY_200004992_13U">#REF!</definedName>
    <definedName name="E_ALL_SECTION_KEYWORDS_EQTY_200004992_13V">#REF!</definedName>
    <definedName name="E_ALL_SECTION_KEYWORDS_EQTY_200004992_Reference_Data">#REF!</definedName>
    <definedName name="E_ALL_SECTION_KEYWORDS_EQTY_200013815_13A">#REF!</definedName>
    <definedName name="E_ALL_SECTION_KEYWORDS_EQTY_200014619_13A">#REF!</definedName>
    <definedName name="E_ALL_SECTION_KEYWORDS_ISSR_208005522_1314">#REF!</definedName>
    <definedName name="E_ALL_SECTION_KEYWORDS_ISSR_208005522_13168">#REF!</definedName>
    <definedName name="E_ALL_SECTION_KEYWORDS_ISSR_208005522_1316B">#REF!</definedName>
    <definedName name="E_ALL_SECTION_KEYWORDS_ISSR_208005522_1316C">#REF!</definedName>
    <definedName name="E_ALL_SECTION_KEYWORDS_ISSR_208005522_1316E">#REF!</definedName>
    <definedName name="E_ALL_SECTION_KEYWORDS_ISSR_208005522_1316U">#REF!</definedName>
    <definedName name="E_ALL_SECTION_KEYWORDS_ISSR_208005522_1319">#REF!</definedName>
    <definedName name="E_ALL_SECTION_KEYWORDS_ISSR_208005522_131E">#REF!</definedName>
    <definedName name="E_ALL_SECTION_KEYWORDS_ISSR_208005522_131J">#REF!</definedName>
    <definedName name="E_ALL_SECTION_KEYWORDS_ISSR_208005522_131O">#REF!</definedName>
    <definedName name="E_ALL_SECTION_KEYWORDS_ISSR_208005522_131P">#REF!</definedName>
    <definedName name="E_ALL_SECTION_KEYWORDS_ISSR_208005522_133M">#REF!</definedName>
    <definedName name="E_ALL_SECTION_KEYWORDS_ISSR_208005522_133R">#REF!</definedName>
    <definedName name="E_ALL_SECTION_KEYWORDS_ISSR_208005522_133W">#REF!</definedName>
    <definedName name="E_ALL_SECTION_KEYWORDS_ISSR_208005522_1341">#REF!</definedName>
    <definedName name="E_ALL_SECTION_KEYWORDS_ISSR_208005522_1346">#REF!</definedName>
    <definedName name="E_ALL_SECTION_KEYWORDS_ISSR_208005522_134B">#REF!</definedName>
    <definedName name="E_ALL_SECTION_KEYWORDS_ISSR_208005522_134G">#REF!</definedName>
    <definedName name="E_ALL_SECTION_KEYWORDS_ISSR_208005522_134L">#REF!</definedName>
    <definedName name="E_ALL_SECTION_KEYWORDS_ISSR_208005522_134Q">#REF!</definedName>
    <definedName name="E_ALL_SECTION_KEYWORDS_ISSR_208005522_134V">#REF!</definedName>
    <definedName name="E_ALL_SECTION_KEYWORDS_ISSR_208005522_13U">#REF!</definedName>
    <definedName name="E_ALL_SECTION_KEYWORDS_ISSR_208005522_13V">#REF!</definedName>
    <definedName name="E_ALL_SECTION_KEYWORDS_ISSR_208005522_Reference_Data">#REF!</definedName>
    <definedName name="E_ALL_SECTION_KEYWORDS_ISSR_208010674_131P">#REF!</definedName>
    <definedName name="E_ALL_SECTION_KEYWORDS_ISSR_208010674_13U">#REF!</definedName>
    <definedName name="E_ALL_SECTION_KEYWORDS_ISSR_208010674_15">#REF!</definedName>
    <definedName name="E_ALL_SECTION_KEYWORDS_ISSR_208010674_151">#REF!</definedName>
    <definedName name="E_ALL_SECTION_KEYWORDS_ISSR_208011369_13A">#REF!,#REF!</definedName>
    <definedName name="E_ALL_SECTION_KEYWORDS_ISSR_208011369_13V">#REF!,#REF!</definedName>
    <definedName name="E_ALL_SECTIONS_EQTY_200014619">#REF!,#REF!,#REF!,#REF!,#REF!,#REF!,#REF!,#REF!,#REF!,#REF!,#REF!,#REF!,#REF!</definedName>
    <definedName name="E_ALL_SECTIONS_ISSR_208005522">#REF!,#REF!,#REF!,#REF!,#REF!,#REF!,#REF!,#REF!,#REF!,#REF!,#REF!,#REF!,#REF!,#REF!,#REF!,#REF!,#REF!,#REF!,#REF!,#REF!,#REF!,#REF!,#REF!,#REF!</definedName>
    <definedName name="E_ALL_SECTIONS_ISSR_208011369">#REF!,#REF!,#REF!,#REF!,#REF!,#REF!,#REF!,#REF!,#REF!,#REF!,#REF!,#REF!,#REF!,#REF!</definedName>
    <definedName name="E_CURRENCY_EQTY_200004992_PRI">#REF!</definedName>
    <definedName name="E_CURRENCY_EQTY_200004992_PUB">#REF!</definedName>
    <definedName name="E_CURRENCY_EQTY_200004992_REP">#REF!</definedName>
    <definedName name="E_CURRENCY_EQTY_200005072_PRI">#REF!</definedName>
    <definedName name="E_CURRENCY_EQTY_200005072_PUB">#REF!</definedName>
    <definedName name="E_CURRENCY_EQTY_200005072_REP">#REF!</definedName>
    <definedName name="E_CURRENCY_ISSR_208005522_REP">#REF!</definedName>
    <definedName name="E_CURRENCY_ISSR_208005563_REP">#REF!</definedName>
    <definedName name="E_KEYWORD_EQTY_200004992_ANZ_CONVICTION">#REF!</definedName>
    <definedName name="E_KEYWORD_EQTY_200004992_ANZ_LIST">#REF!</definedName>
    <definedName name="E_KEYWORD_EQTY_200004992_ASSET_SALES_GAIN_LOSS">#REF!</definedName>
    <definedName name="E_KEYWORD_EQTY_200004992_AVG_ORD_SHOLDERS_EQUITY">#REF!</definedName>
    <definedName name="E_KEYWORD_EQTY_200004992_AVG_PREF_CAPITAL">#REF!</definedName>
    <definedName name="E_KEYWORD_EQTY_200004992_B_BS_L_GSEQUITY">#REF!</definedName>
    <definedName name="E_KEYWORD_EQTY_200004992_B_CAMELOT_BETA">#REF!</definedName>
    <definedName name="E_KEYWORD_EQTY_200004992_B_CAMELOT_CAGR_DPS">#REF!</definedName>
    <definedName name="E_KEYWORD_EQTY_200004992_B_CAMELOT_PB">#REF!</definedName>
    <definedName name="E_KEYWORD_EQTY_200004992_B_CAMELOT_PE">#REF!</definedName>
    <definedName name="E_KEYWORD_EQTY_200004992_B_FORECASTRANGE">#REF!</definedName>
    <definedName name="E_KEYWORD_EQTY_200004992_B_FORECASTYRS">#REF!</definedName>
    <definedName name="E_KEYWORD_EQTY_200004992_B_PL_GSBVPS">#REF!</definedName>
    <definedName name="E_KEYWORD_EQTY_200004992_B_PL_GSEPS">#REF!</definedName>
    <definedName name="E_KEYWORD_EQTY_200004992_B_PL_GSINCOME">#REF!</definedName>
    <definedName name="E_KEYWORD_EQTY_200004992_B_PL_PTASSOC">#REF!</definedName>
    <definedName name="E_KEYWORD_EQTY_200004992_B_RIM_BETA">#REF!</definedName>
    <definedName name="E_KEYWORD_EQTY_200004992_B_RIM_COE">#REF!</definedName>
    <definedName name="E_KEYWORD_EQTY_200004992_B_RIM_PB">#REF!</definedName>
    <definedName name="E_KEYWORD_EQTY_200004992_B_RIM_PE">#REF!</definedName>
    <definedName name="E_KEYWORD_EQTY_200004992_BASE_CASE_VAL_DCF">#REF!</definedName>
    <definedName name="E_KEYWORD_EQTY_200004992_BENEFITS_TAX_LOSSES">#REF!</definedName>
    <definedName name="E_KEYWORD_EQTY_200004992_BETA_ANALYST">#REF!</definedName>
    <definedName name="E_KEYWORD_EQTY_200004992_BVPS">#REF!</definedName>
    <definedName name="E_KEYWORD_EQTY_200004992_BVPS_PUB">#REF!</definedName>
    <definedName name="E_KEYWORD_EQTY_200004992_CASH_EARNINGS_COMPANY">#REF!</definedName>
    <definedName name="E_KEYWORD_EQTY_200004992_CATALYST1_DATE">#REF!</definedName>
    <definedName name="E_KEYWORD_EQTY_200004992_CATALYST1_EVENT">#REF!</definedName>
    <definedName name="E_KEYWORD_EQTY_200004992_CATALYST2_DATE">#REF!</definedName>
    <definedName name="E_KEYWORD_EQTY_200004992_CATALYST2_EVENT">#REF!</definedName>
    <definedName name="E_KEYWORD_EQTY_200004992_CATALYST3_DATE">#REF!</definedName>
    <definedName name="E_KEYWORD_EQTY_200004992_CATALYST3_EVENT">#REF!</definedName>
    <definedName name="E_KEYWORD_EQTY_200004992_CATALYST4_DATE">#REF!</definedName>
    <definedName name="E_KEYWORD_EQTY_200004992_CATALYST4_EVENT">#REF!</definedName>
    <definedName name="E_KEYWORD_EQTY_200004992_CATALYST5_DATE">#REF!</definedName>
    <definedName name="E_KEYWORD_EQTY_200004992_CATALYST5_EVENT">#REF!</definedName>
    <definedName name="E_KEYWORD_EQTY_200004992_COE">#REF!</definedName>
    <definedName name="E_KEYWORD_EQTY_200004992_COMMON_DIV_PAID">#REF!</definedName>
    <definedName name="E_KEYWORD_EQTY_200004992_CONVERTIBLE_NOTES">#REF!</definedName>
    <definedName name="E_KEYWORD_EQTY_200004992_COST_OF_EQUITY_DCF">#REF!</definedName>
    <definedName name="E_KEYWORD_EQTY_200004992_CUM_PRESENT_VAL_CASH_FLOWS_DCF">#REF!</definedName>
    <definedName name="E_KEYWORD_EQTY_200004992_CURRENCY_ISO">#REF!</definedName>
    <definedName name="E_KEYWORD_EQTY_200004992_DCF_CASH_FLOW">#REF!</definedName>
    <definedName name="E_KEYWORD_EQTY_200004992_DEBT_EQUITY">#REF!</definedName>
    <definedName name="E_KEYWORD_EQTY_200004992_DEBT_RISK_MARGIN_DCF">#REF!</definedName>
    <definedName name="E_KEYWORD_EQTY_200004992_DILUTE_NI_IMPAC">#REF!</definedName>
    <definedName name="E_KEYWORD_EQTY_200004992_DILUTE_SHARES">#REF!</definedName>
    <definedName name="E_KEYWORD_EQTY_200004992_DISCOUNT_FACTOR_DCF">#REF!</definedName>
    <definedName name="E_KEYWORD_EQTY_200004992_DPS">#REF!</definedName>
    <definedName name="E_KEYWORD_EQTY_200004992_DPS_PUB">#REF!</definedName>
    <definedName name="E_KEYWORD_EQTY_200004992_DRP_DISCOUNT">#REF!</definedName>
    <definedName name="E_KEYWORD_EQTY_200004992_DRP_PARTICIPATION">#REF!</definedName>
    <definedName name="E_KEYWORD_EQTY_200004992_EBIT_PUB">#REF!</definedName>
    <definedName name="E_KEYWORD_EQTY_200004992_EBITDA_PUB">#REF!</definedName>
    <definedName name="E_KEYWORD_EQTY_200004992_EFF_INT_RATE_IMPACT_POST_TAX">#REF!</definedName>
    <definedName name="E_KEYWORD_EQTY_200004992_EFPO">#REF!</definedName>
    <definedName name="E_KEYWORD_EQTY_200004992_EFPOWA">#REF!</definedName>
    <definedName name="E_KEYWORD_EQTY_200004992_EPS">#REF!</definedName>
    <definedName name="E_KEYWORD_EQTY_200004992_EPS_CONS_PUB">#REF!</definedName>
    <definedName name="E_KEYWORD_EQTY_200004992_EPS_PRE_GWILL">#REF!</definedName>
    <definedName name="E_KEYWORD_EQTY_200004992_EPS_PUB">#REF!</definedName>
    <definedName name="E_KEYWORD_EQTY_200004992_EPS_REPORTED">#REF!</definedName>
    <definedName name="E_KEYWORD_EQTY_200004992_EQ_PUB">#REF!</definedName>
    <definedName name="E_KEYWORD_EQTY_200004992_EQUITY_VALUE_DCF">#REF!</definedName>
    <definedName name="E_KEYWORD_EQTY_200004992_EV_ADJ_PUB">#REF!</definedName>
    <definedName name="E_KEYWORD_EQTY_200004992_FIN_INSTRUMENT_HEDGE_POST_TAX">#REF!</definedName>
    <definedName name="E_KEYWORD_EQTY_200004992_FINAL_DIV_AMOUNT">#REF!</definedName>
    <definedName name="E_KEYWORD_EQTY_200004992_FINAL_DIV_EXDATE">#REF!</definedName>
    <definedName name="E_KEYWORD_EQTY_200004992_FINAL_DIV_FRANK">#REF!</definedName>
    <definedName name="E_KEYWORD_EQTY_200004992_FINAL_DIV_TAXRATE">#REF!</definedName>
    <definedName name="E_KEYWORD_EQTY_200004992_FOREIGN_EXCHANGE_GAIN_LOSS">#REF!</definedName>
    <definedName name="E_KEYWORD_EQTY_200004992_FOREIGN_HOLDNG">#REF!</definedName>
    <definedName name="E_KEYWORD_EQTY_200004992_FRANK_TAX_RATE">#REF!</definedName>
    <definedName name="E_KEYWORD_EQTY_200004992_FRANKING">#REF!</definedName>
    <definedName name="E_KEYWORD_EQTY_200004992_FRANKING_ANZPUB">#REF!</definedName>
    <definedName name="E_KEYWORD_EQTY_200004992_FREE_FLOAT">#REF!</definedName>
    <definedName name="E_KEYWORD_EQTY_200004992_FULLY_DIL_EPS">#REF!</definedName>
    <definedName name="E_KEYWORD_EQTY_200004992_GRTH_CAGR_TOT_ASSET_PROJECTED">#REF!</definedName>
    <definedName name="E_KEYWORD_EQTY_200004992_GRTH_CAGR_TOT_ASSET_TERMINAL">#REF!</definedName>
    <definedName name="E_KEYWORD_EQTY_200004992_GWILL_ASSET_IMP_CHG_POST_TAX">#REF!</definedName>
    <definedName name="E_KEYWORD_EQTY_200004992_IMP_CREDITS_PER_SHARE_DCF">#REF!</definedName>
    <definedName name="E_KEYWORD_EQTY_200004992_INC_MINORITY">#REF!</definedName>
    <definedName name="E_KEYWORD_EQTY_200004992_INCTAX_PL_ON_AB">#REF!</definedName>
    <definedName name="E_KEYWORD_EQTY_200004992_INCTAX_PL_POST_AB">#REF!</definedName>
    <definedName name="E_KEYWORD_EQTY_200004992_INT_DIV_AMOUNT">#REF!</definedName>
    <definedName name="E_KEYWORD_EQTY_200004992_INT_DIV_EXDATE">#REF!</definedName>
    <definedName name="E_KEYWORD_EQTY_200004992_INT_DIV_FRANK">#REF!</definedName>
    <definedName name="E_KEYWORD_EQTY_200004992_INT_DIV_TAXRATE">#REF!</definedName>
    <definedName name="E_KEYWORD_EQTY_200004992_Interim_Type">#REF!</definedName>
    <definedName name="E_KEYWORD_EQTY_200004992_INTRINSIC_PER_SHARE_VALUE_DCF">#REF!</definedName>
    <definedName name="E_KEYWORD_EQTY_200004992_LEGAL_RATING">#REF!</definedName>
    <definedName name="E_KEYWORD_EQTY_200004992_MARGIN_TAX_RATE">#REF!</definedName>
    <definedName name="E_KEYWORD_EQTY_200004992_MARKET_VALUE_OF_INVESTMENTS_DCF">#REF!</definedName>
    <definedName name="E_KEYWORD_EQTY_200004992_MINOR_EQUITY">#REF!</definedName>
    <definedName name="E_KEYWORD_EQTY_200004992_MINOR_NON_EQUITY">#REF!</definedName>
    <definedName name="E_KEYWORD_EQTY_200004992_MKT_EQ_RISK_PREM">#REF!</definedName>
    <definedName name="E_KEYWORD_EQTY_200004992_NET_DEBT_NET_CASH_DCF">#REF!</definedName>
    <definedName name="E_KEYWORD_EQTY_200004992_NET_DEBT_PUB">#REF!</definedName>
    <definedName name="E_KEYWORD_EQTY_200004992_NET_EARNING">#REF!</definedName>
    <definedName name="E_KEYWORD_EQTY_200004992_NET_INC">#REF!</definedName>
    <definedName name="E_KEYWORD_EQTY_200004992_NET_PROFIT">#REF!</definedName>
    <definedName name="E_KEYWORD_EQTY_200004992_NET_TANGIBLE_ASSETS_ADJUSTED_NZ">#REF!</definedName>
    <definedName name="E_KEYWORD_EQTY_200004992_NI_CONS">#REF!</definedName>
    <definedName name="E_KEYWORD_EQTY_200004992_NI_PUB">#REF!</definedName>
    <definedName name="E_KEYWORD_EQTY_200004992_NI_REPT_PUB">#REF!</definedName>
    <definedName name="E_KEYWORD_EQTY_200004992_NON_OP_ADD">#REF!</definedName>
    <definedName name="E_KEYWORD_EQTY_200004992_NOPAT">#REF!</definedName>
    <definedName name="E_KEYWORD_EQTY_200004992_NTA_PER_SHARE">#REF!</definedName>
    <definedName name="E_KEYWORD_EQTY_200004992_NUM_SH">#REF!</definedName>
    <definedName name="E_KEYWORD_EQTY_200004992_OPPL_ATAX_POST_AB">#REF!</definedName>
    <definedName name="E_KEYWORD_EQTY_200004992_OPTIONS">#REF!</definedName>
    <definedName name="E_KEYWORD_EQTY_200004992_OPTIONS_IN_MONEY">#REF!</definedName>
    <definedName name="E_KEYWORD_EQTY_200004992_OTH_ASSET_IMPAIR_CHG_POST_TAX">#REF!</definedName>
    <definedName name="E_KEYWORD_EQTY_200004992_OTHER_ABNORMAL_ITEMS">#REF!</definedName>
    <definedName name="E_KEYWORD_EQTY_200004992_OTHER_CAPITAL">#REF!</definedName>
    <definedName name="E_KEYWORD_EQTY_200004992_OTHER_IFRS_ADJUST_POST_TAX">#REF!</definedName>
    <definedName name="E_KEYWORD_EQTY_200004992_PARTLY_PAID_SHARES">#REF!</definedName>
    <definedName name="E_KEYWORD_EQTY_200004992_PERPETUITY_GROWTH_RATE_DCF">#REF!</definedName>
    <definedName name="E_KEYWORD_EQTY_200004992_PREFERENCE_SHARES">#REF!</definedName>
    <definedName name="E_KEYWORD_EQTY_200004992_PRESENT_VALUE_OF_CASH_FLOW_DCF">#REF!</definedName>
    <definedName name="E_KEYWORD_EQTY_200004992_PRI_TARG_METH">#REF!</definedName>
    <definedName name="E_KEYWORD_EQTY_200004992_PRI_TARG_MULT">#REF!</definedName>
    <definedName name="E_KEYWORD_EQTY_200004992_PRICE_CURRENCY_ISO">#REF!</definedName>
    <definedName name="E_KEYWORD_EQTY_200004992_PROF_ADJUST_EPS">#REF!</definedName>
    <definedName name="E_KEYWORD_EQTY_200004992_PROF_AT">#REF!</definedName>
    <definedName name="E_KEYWORD_EQTY_200004992_PROV_INC_TAX">#REF!</definedName>
    <definedName name="E_KEYWORD_EQTY_200004992_PTP_PUB">#REF!</definedName>
    <definedName name="E_KEYWORD_EQTY_200004992_PUB_CURRENCY_ISO">#REF!</definedName>
    <definedName name="E_KEYWORD_EQTY_200004992_RESTRUC_COSTS">#REF!</definedName>
    <definedName name="E_KEYWORD_EQTY_200004992_REVS_PUB">#REF!</definedName>
    <definedName name="E_KEYWORD_EQTY_200004992_RISK_ADJ_OPTION_VALUE_DCF">#REF!</definedName>
    <definedName name="E_KEYWORD_EQTY_200004992_RISK_FR_RATE">#REF!</definedName>
    <definedName name="E_KEYWORD_EQTY_200004992_RISK_TO_EARNINGS">#REF!</definedName>
    <definedName name="E_KEYWORD_EQTY_200004992_RISK_WEIGHTED_ASSET_APRA">#REF!</definedName>
    <definedName name="E_KEYWORD_EQTY_200004992_ROAA_PROJECTED">#REF!</definedName>
    <definedName name="E_KEYWORD_EQTY_200004992_ROCE_ANZ">#REF!</definedName>
    <definedName name="E_KEYWORD_EQTY_200004992_ROE_TERMINAL">#REF!</definedName>
    <definedName name="E_KEYWORD_EQTY_200004992_Security_Name">#REF!</definedName>
    <definedName name="E_KEYWORD_EQTY_200004992_SH">#REF!</definedName>
    <definedName name="E_KEYWORD_EQTY_200004992_SHOLDERS_EQUITY_MBRS">#REF!</definedName>
    <definedName name="E_KEYWORD_EQTY_200004992_STD_FREE_OP_CASH_FLOW_DCF">#REF!</definedName>
    <definedName name="E_KEYWORD_EQTY_200004992_TANG_BVPS">#REF!</definedName>
    <definedName name="E_KEYWORD_EQTY_200004992_TARGET_PRICE">#REF!</definedName>
    <definedName name="E_KEYWORD_EQTY_200004992_TAX_EXC">#REF!</definedName>
    <definedName name="E_KEYWORD_EQTY_200004992_TAX_RATE_DCF">#REF!</definedName>
    <definedName name="E_KEYWORD_EQTY_200004992_TBVPS_LAST">#REF!</definedName>
    <definedName name="E_KEYWORD_EQTY_200004992_TERMINAL_YEAR_DCF">#REF!</definedName>
    <definedName name="E_KEYWORD_EQTY_200004992_Ticker">#REF!</definedName>
    <definedName name="E_KEYWORD_EQTY_200004992_TOTAL_ANNUAL_DIV_AMOUNT">#REF!</definedName>
    <definedName name="E_KEYWORD_EQTY_200004992_TOTAL_CAPITAL_EFPO">#REF!</definedName>
    <definedName name="E_KEYWORD_EQTY_200004992_TOTAL_CAPITAL_EFPOWA">#REF!</definedName>
    <definedName name="E_KEYWORD_EQTY_200004992_TOTAL_IFRS_ADJUST_POST_TAX">#REF!</definedName>
    <definedName name="E_KEYWORD_EQTY_200004992_TP_PERIOD">#REF!</definedName>
    <definedName name="E_KEYWORD_EQTY_200004992_VALUATION_YEAR">#REF!</definedName>
    <definedName name="E_KEYWORD_EQTY_200004992_WACC_DCF">#REF!</definedName>
    <definedName name="E_KEYWORD_EQTY_200004992_YEAR_END_CAPITAL_EVA">#REF!</definedName>
    <definedName name="E_KEYWORD_ISSR_208005522_ACC_END_DATE">#REF!</definedName>
    <definedName name="E_KEYWORD_ISSR_208005522_ACCEPTANCES_ASSETS">#REF!</definedName>
    <definedName name="E_KEYWORD_ISSR_208005522_ACCEPTANCES_LIABS">#REF!</definedName>
    <definedName name="E_KEYWORD_ISSR_208005522_ACCRUAL">#REF!</definedName>
    <definedName name="E_KEYWORD_ISSR_208005522_AMORT_OF_INTANGIBLES">#REF!</definedName>
    <definedName name="E_KEYWORD_ISSR_208005522_AMORT_OF_INTANGIBLES_ADJ">#REF!</definedName>
    <definedName name="E_KEYWORD_ISSR_208005522_ASIA_ASS">#REF!</definedName>
    <definedName name="E_KEYWORD_ISSR_208005522_ASIA_OP">#REF!</definedName>
    <definedName name="E_KEYWORD_ISSR_208005522_ASIA_SALES">#REF!</definedName>
    <definedName name="E_KEYWORD_ISSR_208005522_ASSET_MISC">#REF!</definedName>
    <definedName name="E_KEYWORD_ISSR_208005522_ASSOCIATE">#REF!</definedName>
    <definedName name="E_KEYWORD_ISSR_208005522_AVG_ACCEPTANCES">#REF!</definedName>
    <definedName name="E_KEYWORD_ISSR_208005522_AVG_CAPITAL_EMPLOYED_ADJ">#REF!</definedName>
    <definedName name="E_KEYWORD_ISSR_208005522_AVG_GROSS_NON_PERF_ASSETS">#REF!</definedName>
    <definedName name="E_KEYWORD_ISSR_208005522_AVG_INT_BEARING_LIABS">#REF!</definedName>
    <definedName name="E_KEYWORD_ISSR_208005522_AVG_INT_EARN_ASSETS">#REF!</definedName>
    <definedName name="E_KEYWORD_ISSR_208005522_AVG_LOANS_ADVANCES">#REF!</definedName>
    <definedName name="E_KEYWORD_ISSR_208005522_AVG_NON_INT_BEARING_LIABS">#REF!</definedName>
    <definedName name="E_KEYWORD_ISSR_208005522_AVG_OTH_PROD_ASSETS">#REF!</definedName>
    <definedName name="E_KEYWORD_ISSR_208005522_AVG_OTHER_ASSETS">#REF!</definedName>
    <definedName name="E_KEYWORD_ISSR_208005522_AVG_OTHER_LIABS">#REF!</definedName>
    <definedName name="E_KEYWORD_ISSR_208005522_AVG_PROD_INT_EARN_ASSETS">#REF!</definedName>
    <definedName name="E_KEYWORD_ISSR_208005522_AVG_PROV_BAD_DEBT">#REF!</definedName>
    <definedName name="E_KEYWORD_ISSR_208005522_AVG_TOTAL_ASSETS">#REF!</definedName>
    <definedName name="E_KEYWORD_ISSR_208005522_B_BS_A_DEBTTOT">#REF!</definedName>
    <definedName name="E_KEYWORD_ISSR_208005522_B_BS_A_LNBNK">#REF!</definedName>
    <definedName name="E_KEYWORD_ISSR_208005522_B_BS_A_NETLOANS">#REF!</definedName>
    <definedName name="E_KEYWORD_ISSR_208005522_B_BS_A_OTHINT1">#REF!</definedName>
    <definedName name="E_KEYWORD_ISSR_208005522_B_BS_A_PERIOD">#REF!</definedName>
    <definedName name="E_KEYWORD_ISSR_208005522_B_BS_L_BANKDEP">#REF!</definedName>
    <definedName name="E_KEYWORD_ISSR_208005522_B_BS_L_CUSTDEP">#REF!</definedName>
    <definedName name="E_KEYWORD_ISSR_208005522_B_BS_L_GSTANGEQ">#REF!</definedName>
    <definedName name="E_KEYWORD_ISSR_208005522_B_BS_L_PERIOD">#REF!</definedName>
    <definedName name="E_KEYWORD_ISSR_208005522_B_CA_BISRATIO">#REF!</definedName>
    <definedName name="E_KEYWORD_ISSR_208005522_B_CA_CAPBASE">#REF!</definedName>
    <definedName name="E_KEYWORD_ISSR_208005522_B_CA_CORECAP">#REF!</definedName>
    <definedName name="E_KEYWORD_ISSR_208005522_B_CA_PREFCAP">#REF!</definedName>
    <definedName name="E_KEYWORD_ISSR_208005522_B_CA_RWA">#REF!</definedName>
    <definedName name="E_KEYWORD_ISSR_208005522_B_CA_T1CAP">#REF!</definedName>
    <definedName name="E_KEYWORD_ISSR_208005522_B_CA_T1RATIO">#REF!</definedName>
    <definedName name="E_KEYWORD_ISSR_208005522_B_CA_T2CAP">#REF!</definedName>
    <definedName name="E_KEYWORD_ISSR_208005522_B_CA_T2RATIO">#REF!</definedName>
    <definedName name="E_KEYWORD_ISSR_208005522_B_CAMELOT_SUST_ROE">#REF!</definedName>
    <definedName name="E_KEYWORD_ISSR_208005522_B_DE_DEMAND">#REF!</definedName>
    <definedName name="E_KEYWORD_ISSR_208005522_B_DE_OTHERS">#REF!</definedName>
    <definedName name="E_KEYWORD_ISSR_208005522_B_DE_TIME">#REF!</definedName>
    <definedName name="E_KEYWORD_ISSR_208005522_B_DE_TOTDEPOSIT">#REF!</definedName>
    <definedName name="E_KEYWORD_ISSR_208005522_B_IH_BKVALUE">#REF!</definedName>
    <definedName name="E_KEYWORD_ISSR_208005522_B_IH_MKTVALUE">#REF!</definedName>
    <definedName name="E_KEYWORD_ISSR_208005522_B_IH_PTAXVALUE">#REF!</definedName>
    <definedName name="E_KEYWORD_ISSR_208005522_B_IH_TAX">#REF!</definedName>
    <definedName name="E_KEYWORD_ISSR_208005522_B_IH_UNREALISE">#REF!</definedName>
    <definedName name="E_KEYWORD_ISSR_208005522_B_LB_COMMCL">#REF!</definedName>
    <definedName name="E_KEYWORD_ISSR_208005522_B_LB_CONSTRUCT">#REF!</definedName>
    <definedName name="E_KEYWORD_ISSR_208005522_B_LB_FINANCL">#REF!</definedName>
    <definedName name="E_KEYWORD_ISSR_208005522_B_LB_FINLEASE">#REF!</definedName>
    <definedName name="E_KEYWORD_ISSR_208005522_B_LB_GOVERNMT">#REF!</definedName>
    <definedName name="E_KEYWORD_ISSR_208005522_B_LB_GROSSLOANS">#REF!</definedName>
    <definedName name="E_KEYWORD_ISSR_208005522_B_LB_MORTG">#REF!</definedName>
    <definedName name="E_KEYWORD_ISSR_208005522_B_LB_OTHER">#REF!</definedName>
    <definedName name="E_KEYWORD_ISSR_208005522_B_LB_OTHLEND">#REF!</definedName>
    <definedName name="E_KEYWORD_ISSR_208005522_B_LB_OTHSECURE">#REF!</definedName>
    <definedName name="E_KEYWORD_ISSR_208005522_B_LB_OVSEASLEND">#REF!</definedName>
    <definedName name="E_KEYWORD_ISSR_208005522_B_LB_PERSON">#REF!</definedName>
    <definedName name="E_KEYWORD_ISSR_208005522_B_LB_TOTCORP">#REF!</definedName>
    <definedName name="E_KEYWORD_ISSR_208005522_B_LB_TOTPERSNL">#REF!</definedName>
    <definedName name="E_KEYWORD_ISSR_208005522_B_LT_DIV_PAYOUT">#REF!</definedName>
    <definedName name="E_KEYWORD_ISSR_208005522_B_MA_REPCOSTLIB">#REF!</definedName>
    <definedName name="E_KEYWORD_ISSR_208005522_B_MA_REPGYLD">#REF!</definedName>
    <definedName name="E_KEYWORD_ISSR_208005522_B_MA_REPIMPSPD">#REF!</definedName>
    <definedName name="E_KEYWORD_ISSR_208005522_B_MA_REPINTAST">#REF!</definedName>
    <definedName name="E_KEYWORD_ISSR_208005522_B_MA_REPINTLIB">#REF!</definedName>
    <definedName name="E_KEYWORD_ISSR_208005522_B_MA_REPNIM">#REF!</definedName>
    <definedName name="E_KEYWORD_ISSR_208005522_B_NPL_PROBLN">#REF!</definedName>
    <definedName name="E_KEYWORD_ISSR_208005522_B_NPL_TOTNPL">#REF!</definedName>
    <definedName name="E_KEYWORD_ISSR_208005522_B_PL_LOANPRV">#REF!</definedName>
    <definedName name="E_KEYWORD_ISSR_208005522_B_PL_NETINTINC">#REF!</definedName>
    <definedName name="E_KEYWORD_ISSR_208005522_B_PV_GLLRCUST">#REF!</definedName>
    <definedName name="E_KEYWORD_ISSR_208005522_B_PV_SLLRCUST">#REF!</definedName>
    <definedName name="E_KEYWORD_ISSR_208005522_B_PV_TOTLLRCUST">#REF!</definedName>
    <definedName name="E_KEYWORD_ISSR_208005522_BAL_MINO_INT">#REF!</definedName>
    <definedName name="E_KEYWORD_ISSR_208005522_BAL_OF_FRANK_CREDITS">#REF!</definedName>
    <definedName name="E_KEYWORD_ISSR_208005522_BONDS_NOTES_SUBORD_DEBT">#REF!</definedName>
    <definedName name="E_KEYWORD_ISSR_208005522_BRANCHES">#REF!</definedName>
    <definedName name="E_KEYWORD_ISSR_208005522_CAP_LEASES">#REF!</definedName>
    <definedName name="E_KEYWORD_ISSR_208005522_CASH_EQ">#REF!</definedName>
    <definedName name="E_KEYWORD_ISSR_208005522_COMMITMENTS">#REF!</definedName>
    <definedName name="E_KEYWORD_ISSR_208005522_CONTINGENCIES">#REF!</definedName>
    <definedName name="E_KEYWORD_ISSR_208005522_COST_OF_DEBT_DCF">#REF!</definedName>
    <definedName name="E_KEYWORD_ISSR_208005522_CURRENCY_ISO">#REF!</definedName>
    <definedName name="E_KEYWORD_ISSR_208005522_DEBT_SECUR">#REF!</definedName>
    <definedName name="E_KEYWORD_ISSR_208005522_DEBT_TO_EQUITY_MKT_VALUES_DCF">#REF!</definedName>
    <definedName name="E_KEYWORD_ISSR_208005522_DEFINED_BENEFIT_OBLIGATION">#REF!</definedName>
    <definedName name="E_KEYWORD_ISSR_208005522_DEFINED_BENEFIT_SURPLUS">#REF!</definedName>
    <definedName name="E_KEYWORD_ISSR_208005522_DEPREC">#REF!</definedName>
    <definedName name="E_KEYWORD_ISSR_208005522_DEVELOPMENT_VENTURES">#REF!</definedName>
    <definedName name="E_KEYWORD_ISSR_208005522_DIV_PAID">#REF!</definedName>
    <definedName name="E_KEYWORD_ISSR_208005522_DIVID_INC">#REF!</definedName>
    <definedName name="E_KEYWORD_ISSR_208005522_DOM_ASS">#REF!</definedName>
    <definedName name="E_KEYWORD_ISSR_208005522_DOM_OP">#REF!</definedName>
    <definedName name="E_KEYWORD_ISSR_208005522_DOM_SALES">#REF!</definedName>
    <definedName name="E_KEYWORD_ISSR_208005522_EBIT_UNDERLYING_PRE_GWILL">#REF!</definedName>
    <definedName name="E_KEYWORD_ISSR_208005522_EFFECT_INT_RATE_IMPACT_PRE_TAX">#REF!</definedName>
    <definedName name="E_KEYWORD_ISSR_208005522_EMER_ASS">#REF!</definedName>
    <definedName name="E_KEYWORD_ISSR_208005522_EMER_OP">#REF!</definedName>
    <definedName name="E_KEYWORD_ISSR_208005522_EMER_SALES">#REF!</definedName>
    <definedName name="E_KEYWORD_ISSR_208005522_EMPLOYEES">#REF!</definedName>
    <definedName name="E_KEYWORD_ISSR_208005522_EQ">#REF!</definedName>
    <definedName name="E_KEYWORD_ISSR_208005522_EQUIP_COSTS">#REF!</definedName>
    <definedName name="E_KEYWORD_ISSR_208005522_EUR_ASS">#REF!</definedName>
    <definedName name="E_KEYWORD_ISSR_208005522_EURO_OP">#REF!</definedName>
    <definedName name="E_KEYWORD_ISSR_208005522_EURO_SALES">#REF!</definedName>
    <definedName name="E_KEYWORD_ISSR_208005522_FIN_INSTR_HEDGE_CURR_LIABILITY">#REF!</definedName>
    <definedName name="E_KEYWORD_ISSR_208005522_FIN_INSTRUMENT_HEDGE_PRE_TAX">#REF!</definedName>
    <definedName name="E_KEYWORD_ISSR_208005522_FIN_TRANS_INC">#REF!</definedName>
    <definedName name="E_KEYWORD_ISSR_208005522_FINANCE_SERVICES_INCOME">#REF!</definedName>
    <definedName name="E_KEYWORD_ISSR_208005522_FIX_ASS_INV">#REF!</definedName>
    <definedName name="E_KEYWORD_ISSR_208005522_FOREIGN_EXCH_INCOME">#REF!</definedName>
    <definedName name="E_KEYWORD_ISSR_208005522_GEN_INS_INC">#REF!</definedName>
    <definedName name="E_KEYWORD_ISSR_208005522_GENERAL_PROV">#REF!</definedName>
    <definedName name="E_KEYWORD_ISSR_208005522_GENERAL_PROV_DOUBTFUL">#REF!</definedName>
    <definedName name="E_KEYWORD_ISSR_208005522_GOODWILL">#REF!</definedName>
    <definedName name="E_KEYWORD_ISSR_208005522_GOODWILL_AMORT">#REF!</definedName>
    <definedName name="E_KEYWORD_ISSR_208005522_GROSS_LOANS_ADVANCES">#REF!</definedName>
    <definedName name="E_KEYWORD_ISSR_208005522_GROSS_NON_ACCRUAL">#REF!</definedName>
    <definedName name="E_KEYWORD_ISSR_208005522_GROSS_OP_PROF">#REF!</definedName>
    <definedName name="E_KEYWORD_ISSR_208005522_GWILL_ASSET_IMPAIR_CHG_PRE_TAX">#REF!</definedName>
    <definedName name="E_KEYWORD_ISSR_208005522_HYBRID_DIST_PRE_TAX">#REF!</definedName>
    <definedName name="E_KEYWORD_ISSR_208005522_INS_CLAIMS">#REF!</definedName>
    <definedName name="E_KEYWORD_ISSR_208005522_INT_EARN_ASSETS">#REF!</definedName>
    <definedName name="E_KEYWORD_ISSR_208005522_INT_EXP">#REF!</definedName>
    <definedName name="E_KEYWORD_ISSR_208005522_INT_INC">#REF!</definedName>
    <definedName name="E_KEYWORD_ISSR_208005522_INV_SECUR">#REF!</definedName>
    <definedName name="E_KEYWORD_ISSR_208005522_INVESTMENT_SECS_INCOME">#REF!</definedName>
    <definedName name="E_KEYWORD_ISSR_208005522_INVESTMENTS">#REF!</definedName>
    <definedName name="E_KEYWORD_ISSR_208005522_Issuer_Name">#REF!</definedName>
    <definedName name="E_KEYWORD_ISSR_208005522_LABOUR">#REF!</definedName>
    <definedName name="E_KEYWORD_ISSR_208005522_LATAM_ASS">#REF!</definedName>
    <definedName name="E_KEYWORD_ISSR_208005522_LATAM_OP">#REF!</definedName>
    <definedName name="E_KEYWORD_ISSR_208005522_LATAM_SALES">#REF!</definedName>
    <definedName name="E_KEYWORD_ISSR_208005522_LEASE_PAY">#REF!</definedName>
    <definedName name="E_KEYWORD_ISSR_208005522_LENDING_FEES">#REF!</definedName>
    <definedName name="E_KEYWORD_ISSR_208005522_LIAB_MISC">#REF!</definedName>
    <definedName name="E_KEYWORD_ISSR_208005522_LIFE_INC">#REF!</definedName>
    <definedName name="E_KEYWORD_ISSR_208005522_LIFE_POLICY_ASS">#REF!</definedName>
    <definedName name="E_KEYWORD_ISSR_208005522_LIFE_POLICY_LIABS">#REF!</definedName>
    <definedName name="E_KEYWORD_ISSR_208005522_LIFE_SHARE">#REF!</definedName>
    <definedName name="E_KEYWORD_ISSR_208005522_LIQUID_ASSETS">#REF!</definedName>
    <definedName name="E_KEYWORD_ISSR_208005522_LOAN_CAPITAL">#REF!</definedName>
    <definedName name="E_KEYWORD_ISSR_208005522_MINOR_EQUITY_BS">#REF!</definedName>
    <definedName name="E_KEYWORD_ISSR_208005522_MINORITIES">#REF!</definedName>
    <definedName name="E_KEYWORD_ISSR_208005522_MONEY_TRANSFER_FEES">#REF!</definedName>
    <definedName name="E_KEYWORD_ISSR_208005522_MV_ASSOCIATES">#REF!</definedName>
    <definedName name="E_KEYWORD_ISSR_208005522_NAM_ASS">#REF!</definedName>
    <definedName name="E_KEYWORD_ISSR_208005522_NAM_OP">#REF!</definedName>
    <definedName name="E_KEYWORD_ISSR_208005522_NAM_SALES">#REF!</definedName>
    <definedName name="E_KEYWORD_ISSR_208005522_NET_ASSETS">#REF!</definedName>
    <definedName name="E_KEYWORD_ISSR_208005522_NET_DEBT">#REF!</definedName>
    <definedName name="E_KEYWORD_ISSR_208005522_NET_FEE">#REF!</definedName>
    <definedName name="E_KEYWORD_ISSR_208005522_NET_FIX_ASS">#REF!</definedName>
    <definedName name="E_KEYWORD_ISSR_208005522_NET_FREE_FUNDS">#REF!</definedName>
    <definedName name="E_KEYWORD_ISSR_208005522_NET_INTANG">#REF!</definedName>
    <definedName name="E_KEYWORD_ISSR_208005522_NET_OP_PROF">#REF!</definedName>
    <definedName name="E_KEYWORD_ISSR_208005522_NET_TANGIBLE_ASSETS">#REF!</definedName>
    <definedName name="E_KEYWORD_ISSR_208005522_NETCHGOFF_BS">#REF!</definedName>
    <definedName name="E_KEYWORD_ISSR_208005522_NEW_SPECIFIC_PROV">#REF!</definedName>
    <definedName name="E_KEYWORD_ISSR_208005522_NON_INT_INC">#REF!</definedName>
    <definedName name="E_KEYWORD_ISSR_208005522_OCCUPANCY_COSTS">#REF!</definedName>
    <definedName name="E_KEYWORD_ISSR_208005522_OP_COST">#REF!</definedName>
    <definedName name="E_KEYWORD_ISSR_208005522_OPPL_BTAX_POST_AB">#REF!</definedName>
    <definedName name="E_KEYWORD_ISSR_208005522_ORD_SH_FUND">#REF!</definedName>
    <definedName name="E_KEYWORD_ISSR_208005522_ORD_SHARE_CAPITAL">#REF!</definedName>
    <definedName name="E_KEYWORD_ISSR_208005522_OTH_ADMIN">#REF!</definedName>
    <definedName name="E_KEYWORD_ISSR_208005522_OTH_ASS">#REF!</definedName>
    <definedName name="E_KEYWORD_ISSR_208005522_OTH_ASSET">#REF!</definedName>
    <definedName name="E_KEYWORD_ISSR_208005522_OTH_COST">#REF!</definedName>
    <definedName name="E_KEYWORD_ISSR_208005522_OTH_COST_INC">#REF!</definedName>
    <definedName name="E_KEYWORD_ISSR_208005522_OTH_DACF_ADJ">#REF!</definedName>
    <definedName name="E_KEYWORD_ISSR_208005522_OTH_GCI_ADJ">#REF!</definedName>
    <definedName name="E_KEYWORD_ISSR_208005522_OTH_INC">#REF!</definedName>
    <definedName name="E_KEYWORD_ISSR_208005522_OTH_INTANG">#REF!</definedName>
    <definedName name="E_KEYWORD_ISSR_208005522_OTH_LIABS">#REF!</definedName>
    <definedName name="E_KEYWORD_ISSR_208005522_OTH_NONOP_EXP">#REF!</definedName>
    <definedName name="E_KEYWORD_ISSR_208005522_OTH_NONOP_INC">#REF!</definedName>
    <definedName name="E_KEYWORD_ISSR_208005522_OTH_OP">#REF!</definedName>
    <definedName name="E_KEYWORD_ISSR_208005522_OTH_PAY_LIABS">#REF!</definedName>
    <definedName name="E_KEYWORD_ISSR_208005522_OTH_PROVS">#REF!</definedName>
    <definedName name="E_KEYWORD_ISSR_208005522_OTH_SALES">#REF!</definedName>
    <definedName name="E_KEYWORD_ISSR_208005522_OTHER_ASSET_IMPAIR_CHG_PRE_TAX">#REF!</definedName>
    <definedName name="E_KEYWORD_ISSR_208005522_OTHER_EXPENSES">#REF!</definedName>
    <definedName name="E_KEYWORD_ISSR_208005522_OTHER_FEES">#REF!</definedName>
    <definedName name="E_KEYWORD_ISSR_208005522_OTHER_IFRS_ADJUST_PRE_TAX">#REF!</definedName>
    <definedName name="E_KEYWORD_ISSR_208005522_OTHER_INCOME">#REF!</definedName>
    <definedName name="E_KEYWORD_ISSR_208005522_OTHER_INTANGIBLES_DEPREC">#REF!</definedName>
    <definedName name="E_KEYWORD_ISSR_208005522_OTHER_INTANGIBLES_NON_DEPREC">#REF!</definedName>
    <definedName name="E_KEYWORD_ISSR_208005522_OTHER_STAFF_COSTS">#REF!</definedName>
    <definedName name="E_KEYWORD_ISSR_208005522_PCT_ASIA_ASS">#REF!</definedName>
    <definedName name="E_KEYWORD_ISSR_208005522_PCT_ASIA_OP">#REF!</definedName>
    <definedName name="E_KEYWORD_ISSR_208005522_PCT_ASIA_SALES">#REF!</definedName>
    <definedName name="E_KEYWORD_ISSR_208005522_PCT_DOM_ASS">#REF!</definedName>
    <definedName name="E_KEYWORD_ISSR_208005522_PCT_DOM_OP">#REF!</definedName>
    <definedName name="E_KEYWORD_ISSR_208005522_PCT_DOM_SALES">#REF!</definedName>
    <definedName name="E_KEYWORD_ISSR_208005522_PCT_EMER_ASS">#REF!</definedName>
    <definedName name="E_KEYWORD_ISSR_208005522_PCT_EMER_OP">#REF!</definedName>
    <definedName name="E_KEYWORD_ISSR_208005522_PCT_EMER_SALES">#REF!</definedName>
    <definedName name="E_KEYWORD_ISSR_208005522_PCT_EURO_ASS">#REF!</definedName>
    <definedName name="E_KEYWORD_ISSR_208005522_PCT_EURO_OP">#REF!</definedName>
    <definedName name="E_KEYWORD_ISSR_208005522_PCT_EURO_SALES">#REF!</definedName>
    <definedName name="E_KEYWORD_ISSR_208005522_PCT_LATAM_ASS">#REF!</definedName>
    <definedName name="E_KEYWORD_ISSR_208005522_PCT_LATAM_OP">#REF!</definedName>
    <definedName name="E_KEYWORD_ISSR_208005522_PCT_LATAM_SALES">#REF!</definedName>
    <definedName name="E_KEYWORD_ISSR_208005522_PCT_NAM_ASS">#REF!</definedName>
    <definedName name="E_KEYWORD_ISSR_208005522_PCT_NAM_OP">#REF!</definedName>
    <definedName name="E_KEYWORD_ISSR_208005522_PCT_NAM_SALES">#REF!</definedName>
    <definedName name="E_KEYWORD_ISSR_208005522_PCT_OTH_ASS">#REF!</definedName>
    <definedName name="E_KEYWORD_ISSR_208005522_PCT_OTH_OP">#REF!</definedName>
    <definedName name="E_KEYWORD_ISSR_208005522_PCT_OTH_SALES">#REF!</definedName>
    <definedName name="E_KEYWORD_ISSR_208005522_PERIOD_MILESTONE">#REF!</definedName>
    <definedName name="E_KEYWORD_ISSR_208005522_PERSONNEL">#REF!</definedName>
    <definedName name="E_KEYWORD_ISSR_208005522_PL_BTAX_ON_AB">#REF!</definedName>
    <definedName name="E_KEYWORD_ISSR_208005522_PRE_PAYMNTS">#REF!</definedName>
    <definedName name="E_KEYWORD_ISSR_208005522_PREF_SH">#REF!</definedName>
    <definedName name="E_KEYWORD_ISSR_208005522_PREF_SHARE_CAP">#REF!</definedName>
    <definedName name="E_KEYWORD_ISSR_208005522_PROF_BTE">#REF!</definedName>
    <definedName name="E_KEYWORD_ISSR_208005522_PROFIT_DEFBEN_PLAN_POST_TAX">#REF!</definedName>
    <definedName name="E_KEYWORD_ISSR_208005522_PROFIT_DEFBEN_PLAN_PRE_TAX">#REF!</definedName>
    <definedName name="E_KEYWORD_ISSR_208005522_PROFIT_ON_DISP">#REF!</definedName>
    <definedName name="E_KEYWORD_ISSR_208005522_PROV_BS">#REF!</definedName>
    <definedName name="E_KEYWORD_ISSR_208005522_PT_PROF">#REF!</definedName>
    <definedName name="E_KEYWORD_ISSR_208005522_RECOVERIES_BS">#REF!</definedName>
    <definedName name="E_KEYWORD_ISSR_208005522_RENTAL_INCOME">#REF!</definedName>
    <definedName name="E_KEYWORD_ISSR_208005522_RESERVES">#REF!</definedName>
    <definedName name="E_KEYWORD_ISSR_208005522_RETAIN_PROFIT_LOSS">#REF!</definedName>
    <definedName name="E_KEYWORD_ISSR_208005522_SALES">#REF!</definedName>
    <definedName name="E_KEYWORD_ISSR_208005522_SALES_AUSTRA">#REF!</definedName>
    <definedName name="E_KEYWORD_ISSR_208005522_SALES_BRAZIL">#REF!</definedName>
    <definedName name="E_KEYWORD_ISSR_208005522_SALES_CEE">#REF!</definedName>
    <definedName name="E_KEYWORD_ISSR_208005522_SALES_CHINA">#REF!</definedName>
    <definedName name="E_KEYWORD_ISSR_208005522_SALES_CONS">#REF!</definedName>
    <definedName name="E_KEYWORD_ISSR_208005522_SALES_EU_EX_UK">#REF!</definedName>
    <definedName name="E_KEYWORD_ISSR_208005522_SALES_FINAN">#REF!</definedName>
    <definedName name="E_KEYWORD_ISSR_208005522_SALES_FX_AUD">#REF!</definedName>
    <definedName name="E_KEYWORD_ISSR_208005522_SALES_FX_BRL">#REF!</definedName>
    <definedName name="E_KEYWORD_ISSR_208005522_SALES_FX_CNY">#REF!</definedName>
    <definedName name="E_KEYWORD_ISSR_208005522_SALES_FX_EUR">#REF!</definedName>
    <definedName name="E_KEYWORD_ISSR_208005522_SALES_FX_GPB">#REF!</definedName>
    <definedName name="E_KEYWORD_ISSR_208005522_SALES_FX_INR">#REF!</definedName>
    <definedName name="E_KEYWORD_ISSR_208005522_SALES_FX_NZD">#REF!</definedName>
    <definedName name="E_KEYWORD_ISSR_208005522_SALES_FX_OTH">#REF!</definedName>
    <definedName name="E_KEYWORD_ISSR_208005522_SALES_FX_RUB">#REF!</definedName>
    <definedName name="E_KEYWORD_ISSR_208005522_SALES_FX_USD">#REF!</definedName>
    <definedName name="E_KEYWORD_ISSR_208005522_SALES_FX_YEN">#REF!</definedName>
    <definedName name="E_KEYWORD_ISSR_208005522_SALES_GOV">#REF!</definedName>
    <definedName name="E_KEYWORD_ISSR_208005522_SALES_IND">#REF!</definedName>
    <definedName name="E_KEYWORD_ISSR_208005522_SALES_INDIA">#REF!</definedName>
    <definedName name="E_KEYWORD_ISSR_208005522_SALES_JAPAN">#REF!</definedName>
    <definedName name="E_KEYWORD_ISSR_208005522_SALES_ME">#REF!</definedName>
    <definedName name="E_KEYWORD_ISSR_208005522_SALES_NZ">#REF!</definedName>
    <definedName name="E_KEYWORD_ISSR_208005522_SALES_OTH_AEJ">#REF!</definedName>
    <definedName name="E_KEYWORD_ISSR_208005522_SALES_OTH_AM">#REF!</definedName>
    <definedName name="E_KEYWORD_ISSR_208005522_SALES_OTH_EMEA">#REF!</definedName>
    <definedName name="E_KEYWORD_ISSR_208005522_SALES_OTHER">#REF!</definedName>
    <definedName name="E_KEYWORD_ISSR_208005522_SALES_RUSSIA">#REF!</definedName>
    <definedName name="E_KEYWORD_ISSR_208005522_SALES_TOT_AFRICA">#REF!</definedName>
    <definedName name="E_KEYWORD_ISSR_208005522_SALES_TOT_AM">#REF!</definedName>
    <definedName name="E_KEYWORD_ISSR_208005522_SALES_TOT_ASIA">#REF!</definedName>
    <definedName name="E_KEYWORD_ISSR_208005522_SALES_TOT_EMEA">#REF!</definedName>
    <definedName name="E_KEYWORD_ISSR_208005522_SALES_UK">#REF!</definedName>
    <definedName name="E_KEYWORD_ISSR_208005522_SALES_US">#REF!</definedName>
    <definedName name="E_KEYWORD_ISSR_208005522_SEL_GL_AD_OTHER">#REF!</definedName>
    <definedName name="E_KEYWORD_ISSR_208005522_SHARE_BASED_PAYMENTS">#REF!</definedName>
    <definedName name="E_KEYWORD_ISSR_208005522_SPECIFIC_PROV_DOUBTFUL">#REF!</definedName>
    <definedName name="E_KEYWORD_ISSR_208005522_SUB_ORD_LIABS">#REF!</definedName>
    <definedName name="E_KEYWORD_ISSR_208005522_TOT_ASS">#REF!</definedName>
    <definedName name="E_KEYWORD_ISSR_208005522_TOT_ASSET">#REF!</definedName>
    <definedName name="E_KEYWORD_ISSR_208005522_TOT_EXCEPTS">#REF!</definedName>
    <definedName name="E_KEYWORD_ISSR_208005522_TOT_LIAB">#REF!</definedName>
    <definedName name="E_KEYWORD_ISSR_208005522_TOT_LIAB_EQ">#REF!</definedName>
    <definedName name="E_KEYWORD_ISSR_208005522_TOT_OP">#REF!</definedName>
    <definedName name="E_KEYWORD_ISSR_208005522_TOT_PROVS">#REF!</definedName>
    <definedName name="E_KEYWORD_ISSR_208005522_TOT_SALES">#REF!</definedName>
    <definedName name="E_KEYWORD_ISSR_208005522_TOTAL_CAPITAL_EMPLOYED_ADJ">#REF!</definedName>
    <definedName name="E_KEYWORD_ISSR_208005522_TOTAL_DEPREC_AMORT">#REF!</definedName>
    <definedName name="E_KEYWORD_ISSR_208005522_TOTAL_IFRS_ADJUST_PRE_TAX">#REF!</definedName>
    <definedName name="E_KEYWORD_ISSR_208005522_TRADING_SECS_INCOME">#REF!</definedName>
    <definedName name="E_KEYWORD_ISSR_208005522_UNEARNED_INCOME">#REF!</definedName>
    <definedName name="E_KEYWORD_ISSR_208005522_UNF_PENS">#REF!</definedName>
    <definedName name="E_KEYWORD_ISSR_208005522_UNF_PENS_LIAB_OTH">#REF!</definedName>
    <definedName name="E_KEYWORD_ISSR_208005522_UNF_PENS_OFF">#REF!</definedName>
    <definedName name="E_KEYWORD_ISSR_208005522_WRITE_OFFS_BS">#REF!</definedName>
    <definedName name="E_KEYWORD_ISSR_208005522_WRITEBACK_RECOVERIES">#REF!</definedName>
    <definedName name="E_LIVEDATA_EQTY_200004992">#REF!</definedName>
    <definedName name="E_LIVEDATA_ISSR_208005522">#REF!</definedName>
    <definedName name="E_SECTION_EQTY_200004992_1314">#REF!</definedName>
    <definedName name="E_SECTION_EQTY_200004992_1316A">#REF!</definedName>
    <definedName name="E_SECTION_EQTY_200004992_1316B">#REF!</definedName>
    <definedName name="E_SECTION_EQTY_200004992_1316C">#REF!</definedName>
    <definedName name="E_SECTION_EQTY_200004992_1316E">#REF!</definedName>
    <definedName name="E_SECTION_EQTY_200004992_1319">#REF!</definedName>
    <definedName name="E_SECTION_EQTY_200004992_131O">#REF!</definedName>
    <definedName name="E_SECTION_EQTY_200004992_131P">#REF!</definedName>
    <definedName name="E_SECTION_EQTY_200004992_13A">#REF!</definedName>
    <definedName name="E_SECTION_EQTY_200004992_13K">#REF!</definedName>
    <definedName name="E_SECTION_EQTY_200004992_13U">#REF!</definedName>
    <definedName name="E_SECTION_EQTY_200004992_13V">#REF!</definedName>
    <definedName name="E_SECTION_EQTY_200004992_Reference_Data">#REF!</definedName>
    <definedName name="E_SECTION_ISSR_208005522_1314">#REF!</definedName>
    <definedName name="E_SECTION_ISSR_208005522_13168">#REF!</definedName>
    <definedName name="E_SECTION_ISSR_208005522_1316B">#REF!</definedName>
    <definedName name="E_SECTION_ISSR_208005522_1316C">#REF!</definedName>
    <definedName name="E_SECTION_ISSR_208005522_1316E">#REF!</definedName>
    <definedName name="E_SECTION_ISSR_208005522_1316U">#REF!</definedName>
    <definedName name="E_SECTION_ISSR_208005522_1319">#REF!</definedName>
    <definedName name="E_SECTION_ISSR_208005522_131E">#REF!</definedName>
    <definedName name="E_SECTION_ISSR_208005522_131J">#REF!</definedName>
    <definedName name="E_SECTION_ISSR_208005522_131O">#REF!</definedName>
    <definedName name="E_SECTION_ISSR_208005522_131P">#REF!</definedName>
    <definedName name="E_SECTION_ISSR_208005522_133M">#REF!</definedName>
    <definedName name="E_SECTION_ISSR_208005522_133R">#REF!</definedName>
    <definedName name="E_SECTION_ISSR_208005522_133W">#REF!</definedName>
    <definedName name="E_SECTION_ISSR_208005522_1341">#REF!</definedName>
    <definedName name="E_SECTION_ISSR_208005522_1346">#REF!</definedName>
    <definedName name="E_SECTION_ISSR_208005522_134B">#REF!</definedName>
    <definedName name="E_SECTION_ISSR_208005522_134G">#REF!</definedName>
    <definedName name="E_SECTION_ISSR_208005522_134L">#REF!</definedName>
    <definedName name="E_SECTION_ISSR_208005522_134Q">#REF!</definedName>
    <definedName name="E_SECTION_ISSR_208005522_134V">#REF!</definedName>
    <definedName name="E_SECTION_ISSR_208005522_13U">#REF!</definedName>
    <definedName name="E_SECTION_ISSR_208005522_13V">#REF!</definedName>
    <definedName name="E_SECTION_ISSR_208005522_Reference_Data">#REF!</definedName>
    <definedName name="EBITDA_ADJ1999">#REF!</definedName>
    <definedName name="EBITDA_ADJ2000">#REF!</definedName>
    <definedName name="EBITDA_ADJ2001">#REF!</definedName>
    <definedName name="EBITDA_ADJ2003">#REF!</definedName>
    <definedName name="EFPO">#REF!</definedName>
    <definedName name="EFPOWA">#REF!</definedName>
    <definedName name="Efpowa1999">#REF!</definedName>
    <definedName name="Efpowa2000">#REF!</definedName>
    <definedName name="Efpowa2001">#REF!</definedName>
    <definedName name="Efpowa2002">#REF!</definedName>
    <definedName name="Efpowa2003">#REF!</definedName>
    <definedName name="EFPOWAbasic_issuedshares">#REF!</definedName>
    <definedName name="EFPOWAdilutedissuedshares">#REF!</definedName>
    <definedName name="End_Dil_No_Shares">#REF!</definedName>
    <definedName name="EPS">#REF!</definedName>
    <definedName name="EPS_GS">#REF!</definedName>
    <definedName name="EPS_pre_goodwill_amortisation">#REF!</definedName>
    <definedName name="equity">#REF!</definedName>
    <definedName name="equity_buyback">#REF!</definedName>
    <definedName name="equity_drp">#REF!</definedName>
    <definedName name="Equity_raised">#REF!</definedName>
    <definedName name="Equity_Reserves1999">#REF!</definedName>
    <definedName name="Equity_Reserves2000">#REF!</definedName>
    <definedName name="Equity_Reserves2001">#REF!</definedName>
    <definedName name="Equity_Reserves2002">#REF!</definedName>
    <definedName name="Equity_Reserves2003">#REF!</definedName>
    <definedName name="equity_SPP">#REF!</definedName>
    <definedName name="equityprofits">#REF!</definedName>
    <definedName name="FIN_INSTR_HEDGE_CURRENT">#REF!</definedName>
    <definedName name="financial_instr_hedging">#REF!</definedName>
    <definedName name="Financial_Services">#REF!</definedName>
    <definedName name="fininstrnoncurrliab">#REF!</definedName>
    <definedName name="FITB">#REF!</definedName>
    <definedName name="franking">#REF!</definedName>
    <definedName name="Franking1999">#REF!</definedName>
    <definedName name="Franking2000">#REF!</definedName>
    <definedName name="Franking2001">#REF!</definedName>
    <definedName name="Franking2002">#REF!</definedName>
    <definedName name="Franking2003">#REF!</definedName>
    <definedName name="Free_Float">#REF!</definedName>
    <definedName name="GetFromOra_Click">#REF!</definedName>
    <definedName name="GNAL">#REF!</definedName>
    <definedName name="goodwill">#REF!</definedName>
    <definedName name="Goodwill1999">#REF!</definedName>
    <definedName name="Goodwill2000">#REF!</definedName>
    <definedName name="Goodwill2001">#REF!</definedName>
    <definedName name="Goodwill2002">#REF!</definedName>
    <definedName name="Goodwill2003">#REF!</definedName>
    <definedName name="Gross_Earned_Premiums">#REF!</definedName>
    <definedName name="gross_impaired_assets">#REF!</definedName>
    <definedName name="gross_loans">#REF!</definedName>
    <definedName name="Gross_Written_Premiums">#REF!</definedName>
    <definedName name="GSJBW_Valuation">#REF!</definedName>
    <definedName name="ID">#REF!</definedName>
    <definedName name="Imp_Credit">#REF!</definedName>
    <definedName name="income_Tax">#REF!</definedName>
    <definedName name="Income_Taxes_Paid1999">#REF!</definedName>
    <definedName name="Income_Taxes_Paid2000">#REF!</definedName>
    <definedName name="Income_Taxes_Paid2001">#REF!</definedName>
    <definedName name="Income_Taxes_Paid2002">#REF!</definedName>
    <definedName name="Income_Taxes_Paid2003">#REF!</definedName>
    <definedName name="incometaxexpense">#REF!</definedName>
    <definedName name="INCTAX_OTHER__1999">#REF!</definedName>
    <definedName name="INCTAX_OTHER__2000">#REF!</definedName>
    <definedName name="INCTAX_OTHER__2001">#REF!</definedName>
    <definedName name="INCTAX_OTHER__2002">#REF!</definedName>
    <definedName name="INCTAX_OTHER__2003">#REF!</definedName>
    <definedName name="Initial_gas_price">#REF!</definedName>
    <definedName name="Insure_PNAV">#REF!</definedName>
    <definedName name="Int_Expense">#REF!</definedName>
    <definedName name="Int_Others_Paid1999">#REF!</definedName>
    <definedName name="Int_Others_Paid2000">#REF!</definedName>
    <definedName name="Int_Others_Paid2001">#REF!</definedName>
    <definedName name="Int_Others_Paid2002">#REF!</definedName>
    <definedName name="Int_Others_Paid2003">#REF!</definedName>
    <definedName name="Int_Others_Received1999">#REF!</definedName>
    <definedName name="Int_Others_Received2000">#REF!</definedName>
    <definedName name="Int_Others_Received2001">#REF!</definedName>
    <definedName name="Int_Others_Received2002">#REF!</definedName>
    <definedName name="Int_Others_Received2003">#REF!</definedName>
    <definedName name="intangibles">#REF!</definedName>
    <definedName name="interest_expense">#REF!</definedName>
    <definedName name="interest_income">#REF!</definedName>
    <definedName name="invent">#REF!</definedName>
    <definedName name="Inventories1999">#REF!</definedName>
    <definedName name="Inventories2000">#REF!</definedName>
    <definedName name="Inventories2001">#REF!</definedName>
    <definedName name="Inventories2002">#REF!</definedName>
    <definedName name="Inventories2003">#REF!</definedName>
    <definedName name="Investment_income_SHF">#REF!</definedName>
    <definedName name="Investment_Income_TR">#REF!</definedName>
    <definedName name="investments">#REF!</definedName>
    <definedName name="investments_total">#REF!</definedName>
    <definedName name="Investments1999">#REF!</definedName>
    <definedName name="Investments2000">#REF!</definedName>
    <definedName name="Investments2001">#REF!</definedName>
    <definedName name="Investments2002">#REF!</definedName>
    <definedName name="Investments2003">#REF!</definedName>
    <definedName name="IRR___WACC">#REF!</definedName>
    <definedName name="issued_shares">#REF!</definedName>
    <definedName name="IsValidDate">#REF!</definedName>
    <definedName name="IsValidNum">#REF!</definedName>
    <definedName name="IsValidRepType">#REF!</definedName>
    <definedName name="IsValidStr">#REF!</definedName>
    <definedName name="IsYesNo">#REF!</definedName>
    <definedName name="L_ALL_ANZ.AX">#REF!</definedName>
    <definedName name="L_ALL_ANZ.AX_">#REF!</definedName>
    <definedName name="L_ALL_AUB.AX">#REF!</definedName>
    <definedName name="L_ALL_IAG.AX">#REF!</definedName>
    <definedName name="L_ALL_KEYWORDS_TYPE_ScalarContributed_EQTY_200004992">#REF!,#REF!,#REF!,#REF!,#REF!,#REF!,#REF!,#REF!,#REF!,#REF!</definedName>
    <definedName name="L_ALL_KEYWORDS_TYPE_ScalarContributed_EQTY_200013815">#REF!,#REF!,#REF!,#REF!,#REF!,#REF!,#REF!,#REF!,#REF!</definedName>
    <definedName name="L_ALL_KEYWORDS_TYPE_ScalarContributed_EQTY_200014619">#REF!,#REF!,#REF!,#REF!,#REF!,#REF!,#REF!,#REF!</definedName>
    <definedName name="L_ALL_KEYWORDS_TYPE_ScalarContributed_ISSR_208005522">#REF!</definedName>
    <definedName name="L_ALL_KEYWORDS_TYPE_ScalarContributed_ISSR_208005563">#REF!,#REF!</definedName>
    <definedName name="L_ALL_KEYWORDS_TYPE_ScalarContributed_ISSR_208011369">#REF!,#REF!,#REF!</definedName>
    <definedName name="L_ALL_KEYWORDS_TYPE_ScalarReference_EQTY_200004992">#REF!</definedName>
    <definedName name="L_ALL_KEYWORDS_TYPE_ScalarReference_ISSR_208005522">#REF!</definedName>
    <definedName name="L_ALL_KEYWORDS_TYPE_Vector_EQTY_200004992">#REF!,#REF!,#REF!,#REF!,#REF!,#REF!,#REF!,#REF!,#REF!,#REF!,#REF!,#REF!,#REF!</definedName>
    <definedName name="L_ALL_KEYWORDS_TYPE_Vector_EQTY_200005072">#REF!,#REF!,#REF!,#REF!,#REF!,#REF!,#REF!,#REF!,#REF!,#REF!,#REF!,#REF!,#REF!,#REF!,#REF!,#REF!,#REF!,#REF!,#REF!,#REF!</definedName>
    <definedName name="L_ALL_KEYWORDS_TYPE_Vector_EQTY_200013815">#REF!,#REF!,#REF!,#REF!,#REF!,#REF!,#REF!,#REF!,#REF!,#REF!,#REF!,#REF!,#REF!,#REF!,#REF!,#REF!,#REF!,#REF!,#REF!,#REF!,#REF!,#REF!,#REF!</definedName>
    <definedName name="L_ALL_KEYWORDS_TYPE_Vector_EQTY_200014619">#REF!,#REF!,#REF!,#REF!,#REF!,#REF!,#REF!,#REF!,#REF!,#REF!,#REF!,#REF!,#REF!</definedName>
    <definedName name="L_ALL_KEYWORDS_TYPE_Vector_ISSR_208005522">#REF!,#REF!,#REF!,#REF!,#REF!,#REF!,#REF!,#REF!,#REF!,#REF!,#REF!,#REF!,#REF!,#REF!,#REF!,#REF!,#REF!,#REF!,#REF!,#REF!,#REF!,#REF!,#REF!,#REF!,#REF!</definedName>
    <definedName name="L_ALL_KEYWORDS_TYPE_Vector_ISSR_208005563">#REF!,#REF!,#REF!,#REF!,#REF!,#REF!,#REF!,#REF!,#REF!,#REF!,#REF!,#REF!,#REF!,#REF!,#REF!,#REF!,#REF!,#REF!,#REF!,#REF!,#REF!,#REF!,#REF!,#REF!,#REF!,#REF!,#REF!,#REF!,#REF!,#REF!,#REF!,#REF!,#REF!,#REF!</definedName>
    <definedName name="L_ALL_KEYWORDS_TYPE_Vector_ISSR_208010674">#REF!,#REF!,#REF!,#REF!,#REF!,#REF!,#REF!,#REF!,#REF!,#REF!,#REF!,#REF!,#REF!,#REF!,#REF!,#REF!,#REF!,#REF!,#REF!,#REF!,#REF!,#REF!,#REF!,#REF!,#REF!,#REF!,#REF!,#REF!,#REF!,#REF!,#REF!,#REF!,#REF!,#REF!,#REF!,#REF!,#REF!,#REF!</definedName>
    <definedName name="L_ALL_KEYWORDS_TYPE_Vector_ISSR_208011369">#REF!,#REF!,#REF!,#REF!,#REF!,#REF!,#REF!,#REF!,#REF!,#REF!,#REF!,#REF!,#REF!,#REF!,#REF!,#REF!,#REF!,#REF!,#REF!</definedName>
    <definedName name="L_ALL_KEYWORDS_TYPE_Vector_ISSR_208013265">#REF!,#REF!,#REF!,#REF!,#REF!,#REF!,#REF!,#REF!,#REF!,#REF!,#REF!,#REF!,#REF!,#REF!,#REF!,#REF!,#REF!,#REF!,#REF!,#REF!,#REF!,#REF!,#REF!,#REF!,#REF!,#REF!,#REF!,#REF!,#REF!,#REF!,#REF!,#REF!,#REF!,#REF!,#REF!,#REF!,#REF!</definedName>
    <definedName name="L_ALL_NHF.AX">#REF!</definedName>
    <definedName name="L_ALL_NWL.AX">#REF!</definedName>
    <definedName name="L_ALL_PEP.AX">#REF!</definedName>
    <definedName name="L_ALL_PTM.AX">#REF!</definedName>
    <definedName name="L_ALL_SECTION_KEYWORDS_EQTY_200004992_1314">#REF!</definedName>
    <definedName name="L_ALL_SECTION_KEYWORDS_EQTY_200004992_1316A">#REF!</definedName>
    <definedName name="L_ALL_SECTION_KEYWORDS_EQTY_200004992_1316B">#REF!</definedName>
    <definedName name="L_ALL_SECTION_KEYWORDS_EQTY_200004992_1316C">#REF!</definedName>
    <definedName name="L_ALL_SECTION_KEYWORDS_EQTY_200004992_1316E">#REF!</definedName>
    <definedName name="L_ALL_SECTION_KEYWORDS_EQTY_200004992_1319">#REF!</definedName>
    <definedName name="L_ALL_SECTION_KEYWORDS_EQTY_200004992_131O">#REF!</definedName>
    <definedName name="L_ALL_SECTION_KEYWORDS_EQTY_200004992_131P">#REF!</definedName>
    <definedName name="L_ALL_SECTION_KEYWORDS_EQTY_200004992_13A">#REF!</definedName>
    <definedName name="L_ALL_SECTION_KEYWORDS_EQTY_200004992_13K">#REF!</definedName>
    <definedName name="L_ALL_SECTION_KEYWORDS_EQTY_200004992_13U">#REF!</definedName>
    <definedName name="L_ALL_SECTION_KEYWORDS_EQTY_200004992_13V">#REF!</definedName>
    <definedName name="L_ALL_SECTION_KEYWORDS_EQTY_200004992_Reference_Data">#REF!</definedName>
    <definedName name="L_ALL_SECTION_KEYWORDS_EQTY_200005072_1314">#REF!</definedName>
    <definedName name="L_ALL_SECTION_KEYWORDS_EQTY_200005072_1319">#REF!</definedName>
    <definedName name="L_ALL_SECTION_KEYWORDS_EQTY_200005072_13K">#REF!</definedName>
    <definedName name="L_ALL_SECTION_KEYWORDS_EQTY_200013815_13A">#REF!</definedName>
    <definedName name="L_ALL_SECTION_KEYWORDS_EQTY_200014619_13A">#REF!</definedName>
    <definedName name="L_ALL_SECTION_KEYWORDS_ISSR_208005522_1314">#REF!</definedName>
    <definedName name="L_ALL_SECTION_KEYWORDS_ISSR_208005522_13168">#REF!</definedName>
    <definedName name="L_ALL_SECTION_KEYWORDS_ISSR_208005522_1316B">#REF!</definedName>
    <definedName name="L_ALL_SECTION_KEYWORDS_ISSR_208005522_1316C">#REF!</definedName>
    <definedName name="L_ALL_SECTION_KEYWORDS_ISSR_208005522_1316E">#REF!</definedName>
    <definedName name="L_ALL_SECTION_KEYWORDS_ISSR_208005522_1316U">#REF!</definedName>
    <definedName name="L_ALL_SECTION_KEYWORDS_ISSR_208005522_1319">#REF!</definedName>
    <definedName name="L_ALL_SECTION_KEYWORDS_ISSR_208005522_131E">#REF!</definedName>
    <definedName name="L_ALL_SECTION_KEYWORDS_ISSR_208005522_131J">#REF!</definedName>
    <definedName name="L_ALL_SECTION_KEYWORDS_ISSR_208005522_131O">#REF!</definedName>
    <definedName name="L_ALL_SECTION_KEYWORDS_ISSR_208005522_131P">#REF!</definedName>
    <definedName name="L_ALL_SECTION_KEYWORDS_ISSR_208005522_133M">#REF!</definedName>
    <definedName name="L_ALL_SECTION_KEYWORDS_ISSR_208005522_133R">#REF!</definedName>
    <definedName name="L_ALL_SECTION_KEYWORDS_ISSR_208005522_133W">#REF!</definedName>
    <definedName name="L_ALL_SECTION_KEYWORDS_ISSR_208005522_1341">#REF!</definedName>
    <definedName name="L_ALL_SECTION_KEYWORDS_ISSR_208005522_1346">#REF!</definedName>
    <definedName name="L_ALL_SECTION_KEYWORDS_ISSR_208005522_134B">#REF!</definedName>
    <definedName name="L_ALL_SECTION_KEYWORDS_ISSR_208005522_134G">#REF!</definedName>
    <definedName name="L_ALL_SECTION_KEYWORDS_ISSR_208005522_134L">#REF!</definedName>
    <definedName name="L_ALL_SECTION_KEYWORDS_ISSR_208005522_134Q">#REF!</definedName>
    <definedName name="L_ALL_SECTION_KEYWORDS_ISSR_208005522_134V">#REF!</definedName>
    <definedName name="L_ALL_SECTION_KEYWORDS_ISSR_208005522_13U">#REF!</definedName>
    <definedName name="L_ALL_SECTION_KEYWORDS_ISSR_208005522_13V">#REF!</definedName>
    <definedName name="L_ALL_SECTION_KEYWORDS_ISSR_208005522_Reference_Data">#REF!</definedName>
    <definedName name="L_ALL_SECTION_KEYWORDS_ISSR_208005563_1314">#REF!</definedName>
    <definedName name="L_ALL_SECTION_KEYWORDS_ISSR_208005563_13168">#REF!</definedName>
    <definedName name="L_ALL_SECTION_KEYWORDS_ISSR_208005563_131P">#REF!</definedName>
    <definedName name="L_ALL_SECTION_KEYWORDS_ISSR_208005563_136E">#REF!,#REF!</definedName>
    <definedName name="L_ALL_SECTION_KEYWORDS_ISSR_208005563_13P">#REF!</definedName>
    <definedName name="L_ALL_SECTION_KEYWORDS_ISSR_208005563_13T">#REF!,#REF!</definedName>
    <definedName name="L_ALL_SECTION_KEYWORDS_ISSR_208005563_13U">#REF!</definedName>
    <definedName name="L_ALL_SECTION_KEYWORDS_ISSR_208010674_1314">#REF!</definedName>
    <definedName name="L_ALL_SECTION_KEYWORDS_ISSR_208010674_1319">#REF!,#REF!</definedName>
    <definedName name="L_ALL_SECTION_KEYWORDS_ISSR_208010674_131P">#REF!,#REF!</definedName>
    <definedName name="L_ALL_SECTION_KEYWORDS_ISSR_208010674_13U">#REF!</definedName>
    <definedName name="L_ALL_SECTION_KEYWORDS_ISSR_208010674_13V">#REF!,#REF!</definedName>
    <definedName name="L_ALL_SECTION_KEYWORDS_ISSR_208010674_15">#REF!</definedName>
    <definedName name="L_ALL_SECTION_KEYWORDS_ISSR_208010674_151">#REF!</definedName>
    <definedName name="L_ALL_SECTION_KEYWORDS_ISSR_208011369_13A">#REF!,#REF!</definedName>
    <definedName name="L_ALL_SECTION_KEYWORDS_ISSR_208011369_13V">#REF!,#REF!</definedName>
    <definedName name="L_ALL_SECTIONS_EQTY_200014619">#REF!,#REF!,#REF!,#REF!,#REF!,#REF!,#REF!,#REF!,#REF!,#REF!,#REF!,#REF!,#REF!</definedName>
    <definedName name="L_ALL_SECTIONS_ISSR_208005522">#REF!,#REF!,#REF!,#REF!,#REF!,#REF!,#REF!,#REF!,#REF!,#REF!,#REF!,#REF!,#REF!,#REF!,#REF!,#REF!,#REF!,#REF!,#REF!,#REF!,#REF!,#REF!,#REF!,#REF!</definedName>
    <definedName name="L_ALL_SECTIONS_ISSR_208011369">#REF!,#REF!,#REF!,#REF!,#REF!,#REF!,#REF!,#REF!,#REF!,#REF!,#REF!,#REF!,#REF!,#REF!</definedName>
    <definedName name="L_CURRENCY_EQTY_200004992_PRI">#REF!</definedName>
    <definedName name="L_CURRENCY_EQTY_200004992_PUB">#REF!</definedName>
    <definedName name="L_CURRENCY_EQTY_200004992_REP">#REF!</definedName>
    <definedName name="L_CURRENCY_ISSR_208005522_REP">#REF!</definedName>
    <definedName name="L_KEYWORD_EQTY_200004992_ANZ_CONVICTION">#REF!</definedName>
    <definedName name="L_KEYWORD_EQTY_200004992_ANZ_LIST">#REF!</definedName>
    <definedName name="L_KEYWORD_EQTY_200004992_ASSET_SALES_GAIN_LOSS">#REF!</definedName>
    <definedName name="L_KEYWORD_EQTY_200004992_AVG_ORD_SHOLDERS_EQUITY">#REF!</definedName>
    <definedName name="L_KEYWORD_EQTY_200004992_AVG_PREF_CAPITAL">#REF!</definedName>
    <definedName name="L_KEYWORD_EQTY_200004992_B_BS_L_GSEQUITY">#REF!</definedName>
    <definedName name="L_KEYWORD_EQTY_200004992_B_CAMELOT_BETA">#REF!</definedName>
    <definedName name="L_KEYWORD_EQTY_200004992_B_CAMELOT_CAGR_DPS">#REF!</definedName>
    <definedName name="L_KEYWORD_EQTY_200004992_B_CAMELOT_PB">#REF!</definedName>
    <definedName name="L_KEYWORD_EQTY_200004992_B_CAMELOT_PE">#REF!</definedName>
    <definedName name="L_KEYWORD_EQTY_200004992_B_FORECASTRANGE">#REF!</definedName>
    <definedName name="L_KEYWORD_EQTY_200004992_B_FORECASTYRS">#REF!</definedName>
    <definedName name="L_KEYWORD_EQTY_200004992_B_PL_GSBVPS">#REF!</definedName>
    <definedName name="L_KEYWORD_EQTY_200004992_B_PL_GSEPS">#REF!</definedName>
    <definedName name="L_KEYWORD_EQTY_200004992_B_PL_GSINCOME">#REF!</definedName>
    <definedName name="L_KEYWORD_EQTY_200004992_B_PL_PTASSOC">#REF!</definedName>
    <definedName name="L_KEYWORD_EQTY_200004992_B_RIM_BETA">#REF!</definedName>
    <definedName name="L_KEYWORD_EQTY_200004992_B_RIM_COE">#REF!</definedName>
    <definedName name="L_KEYWORD_EQTY_200004992_B_RIM_PB">#REF!</definedName>
    <definedName name="L_KEYWORD_EQTY_200004992_B_RIM_PE">#REF!</definedName>
    <definedName name="L_KEYWORD_EQTY_200004992_BASE_CASE_VAL_DCF">#REF!</definedName>
    <definedName name="L_KEYWORD_EQTY_200004992_BENEFITS_TAX_LOSSES">#REF!</definedName>
    <definedName name="L_KEYWORD_EQTY_200004992_BETA_ANALYST">#REF!</definedName>
    <definedName name="L_KEYWORD_EQTY_200004992_BVPS">#REF!</definedName>
    <definedName name="L_KEYWORD_EQTY_200004992_BVPS_PUB">#REF!</definedName>
    <definedName name="L_KEYWORD_EQTY_200004992_CASH_EARNINGS_COMPANY">#REF!</definedName>
    <definedName name="L_KEYWORD_EQTY_200004992_CATALYST1_DATE">#REF!</definedName>
    <definedName name="L_KEYWORD_EQTY_200004992_CATALYST1_EVENT">#REF!</definedName>
    <definedName name="L_KEYWORD_EQTY_200004992_CATALYST2_DATE">#REF!</definedName>
    <definedName name="L_KEYWORD_EQTY_200004992_CATALYST2_EVENT">#REF!</definedName>
    <definedName name="L_KEYWORD_EQTY_200004992_CATALYST3_DATE">#REF!</definedName>
    <definedName name="L_KEYWORD_EQTY_200004992_CATALYST3_EVENT">#REF!</definedName>
    <definedName name="L_KEYWORD_EQTY_200004992_CATALYST4_DATE">#REF!</definedName>
    <definedName name="L_KEYWORD_EQTY_200004992_CATALYST4_EVENT">#REF!</definedName>
    <definedName name="L_KEYWORD_EQTY_200004992_CATALYST5_DATE">#REF!</definedName>
    <definedName name="L_KEYWORD_EQTY_200004992_CATALYST5_EVENT">#REF!</definedName>
    <definedName name="L_KEYWORD_EQTY_200004992_COE">#REF!</definedName>
    <definedName name="L_KEYWORD_EQTY_200004992_COMMON_DIV_PAID">#REF!</definedName>
    <definedName name="L_KEYWORD_EQTY_200004992_CONVERTIBLE_NOTES">#REF!</definedName>
    <definedName name="L_KEYWORD_EQTY_200004992_COST_OF_EQUITY_DCF">#REF!</definedName>
    <definedName name="L_KEYWORD_EQTY_200004992_CUM_PRESENT_VAL_CASH_FLOWS_DCF">#REF!</definedName>
    <definedName name="L_KEYWORD_EQTY_200004992_CURRENCY_ISO">#REF!</definedName>
    <definedName name="L_KEYWORD_EQTY_200004992_DCF_CASH_FLOW">#REF!</definedName>
    <definedName name="L_KEYWORD_EQTY_200004992_DEBT_EQUITY">#REF!</definedName>
    <definedName name="L_KEYWORD_EQTY_200004992_DEBT_RISK_MARGIN_DCF">#REF!</definedName>
    <definedName name="L_KEYWORD_EQTY_200004992_DILUTE_NI_IMPAC">#REF!</definedName>
    <definedName name="L_KEYWORD_EQTY_200004992_DILUTE_SHARES">#REF!</definedName>
    <definedName name="L_KEYWORD_EQTY_200004992_DISCOUNT_FACTOR_DCF">#REF!</definedName>
    <definedName name="L_KEYWORD_EQTY_200004992_DPS">#REF!</definedName>
    <definedName name="L_KEYWORD_EQTY_200004992_DPS_PUB">#REF!</definedName>
    <definedName name="L_KEYWORD_EQTY_200004992_DRP_DISCOUNT">#REF!</definedName>
    <definedName name="L_KEYWORD_EQTY_200004992_DRP_PARTICIPATION">#REF!</definedName>
    <definedName name="L_KEYWORD_EQTY_200004992_EBIT_PUB">#REF!</definedName>
    <definedName name="L_KEYWORD_EQTY_200004992_EBITDA_PUB">#REF!</definedName>
    <definedName name="L_KEYWORD_EQTY_200004992_EFF_INT_RATE_IMPACT_POST_TAX">#REF!</definedName>
    <definedName name="L_KEYWORD_EQTY_200004992_EFPO">#REF!</definedName>
    <definedName name="L_KEYWORD_EQTY_200004992_EFPOWA">#REF!</definedName>
    <definedName name="L_KEYWORD_EQTY_200004992_EPS">#REF!</definedName>
    <definedName name="L_KEYWORD_EQTY_200004992_EPS_CONS_PUB">#REF!</definedName>
    <definedName name="L_KEYWORD_EQTY_200004992_EPS_PRE_GWILL">#REF!</definedName>
    <definedName name="L_KEYWORD_EQTY_200004992_EPS_PUB">#REF!</definedName>
    <definedName name="L_KEYWORD_EQTY_200004992_EPS_REPORTED">#REF!</definedName>
    <definedName name="L_KEYWORD_EQTY_200004992_EQ_PUB">#REF!</definedName>
    <definedName name="L_KEYWORD_EQTY_200004992_EQUITY_VALUE_DCF">#REF!</definedName>
    <definedName name="L_KEYWORD_EQTY_200004992_EV_ADJ_PUB">#REF!</definedName>
    <definedName name="L_KEYWORD_EQTY_200004992_FIN_INSTRUMENT_HEDGE_POST_TAX">#REF!</definedName>
    <definedName name="L_KEYWORD_EQTY_200004992_FINAL_DIV_AMOUNT">#REF!</definedName>
    <definedName name="L_KEYWORD_EQTY_200004992_FINAL_DIV_EXDATE">#REF!</definedName>
    <definedName name="L_KEYWORD_EQTY_200004992_FINAL_DIV_FRANK">#REF!</definedName>
    <definedName name="L_KEYWORD_EQTY_200004992_FINAL_DIV_TAXRATE">#REF!</definedName>
    <definedName name="L_KEYWORD_EQTY_200004992_FOREIGN_EXCHANGE_GAIN_LOSS">#REF!</definedName>
    <definedName name="L_KEYWORD_EQTY_200004992_FOREIGN_HOLDNG">#REF!</definedName>
    <definedName name="L_KEYWORD_EQTY_200004992_FRANK_TAX_RATE">#REF!</definedName>
    <definedName name="L_KEYWORD_EQTY_200004992_FRANKING">#REF!</definedName>
    <definedName name="L_KEYWORD_EQTY_200004992_FRANKING_ANZPUB">#REF!</definedName>
    <definedName name="L_KEYWORD_EQTY_200004992_FREE_FLOAT">#REF!</definedName>
    <definedName name="L_KEYWORD_EQTY_200004992_FULLY_DIL_EPS">#REF!</definedName>
    <definedName name="L_KEYWORD_EQTY_200004992_GRTH_CAGR_TOT_ASSET_PROJECTED">#REF!</definedName>
    <definedName name="L_KEYWORD_EQTY_200004992_GRTH_CAGR_TOT_ASSET_TERMINAL">#REF!</definedName>
    <definedName name="L_KEYWORD_EQTY_200004992_GWILL_ASSET_IMP_CHG_POST_TAX">#REF!</definedName>
    <definedName name="L_KEYWORD_EQTY_200004992_IMP_CREDITS_PER_SHARE_DCF">#REF!</definedName>
    <definedName name="L_KEYWORD_EQTY_200004992_INC_MINORITY">#REF!</definedName>
    <definedName name="L_KEYWORD_EQTY_200004992_INCTAX_PL_ON_AB">#REF!</definedName>
    <definedName name="L_KEYWORD_EQTY_200004992_INCTAX_PL_POST_AB">#REF!</definedName>
    <definedName name="L_KEYWORD_EQTY_200004992_INT_DIV_AMOUNT">#REF!</definedName>
    <definedName name="L_KEYWORD_EQTY_200004992_INT_DIV_EXDATE">#REF!</definedName>
    <definedName name="L_KEYWORD_EQTY_200004992_INT_DIV_FRANK">#REF!</definedName>
    <definedName name="L_KEYWORD_EQTY_200004992_INT_DIV_TAXRATE">#REF!</definedName>
    <definedName name="L_KEYWORD_EQTY_200004992_Interim_Type">#REF!</definedName>
    <definedName name="L_KEYWORD_EQTY_200004992_INTRINSIC_PER_SHARE_VALUE_DCF">#REF!</definedName>
    <definedName name="L_KEYWORD_EQTY_200004992_LEGAL_RATING">#REF!</definedName>
    <definedName name="L_KEYWORD_EQTY_200004992_MARGIN_TAX_RATE">#REF!</definedName>
    <definedName name="L_KEYWORD_EQTY_200004992_MARKET_VALUE_OF_INVESTMENTS_DCF">#REF!</definedName>
    <definedName name="L_KEYWORD_EQTY_200004992_MINOR_EQUITY">#REF!</definedName>
    <definedName name="L_KEYWORD_EQTY_200004992_MINOR_NON_EQUITY">#REF!</definedName>
    <definedName name="L_KEYWORD_EQTY_200004992_MKT_EQ_RISK_PREM">#REF!</definedName>
    <definedName name="L_KEYWORD_EQTY_200004992_NET_DEBT_NET_CASH_DCF">#REF!</definedName>
    <definedName name="L_KEYWORD_EQTY_200004992_NET_DEBT_PUB">#REF!</definedName>
    <definedName name="L_KEYWORD_EQTY_200004992_NET_EARNING">#REF!</definedName>
    <definedName name="L_KEYWORD_EQTY_200004992_NET_INC">#REF!</definedName>
    <definedName name="L_KEYWORD_EQTY_200004992_NET_PROFIT">#REF!</definedName>
    <definedName name="L_KEYWORD_EQTY_200004992_NET_TANGIBLE_ASSETS_ADJUSTED_NZ">#REF!</definedName>
    <definedName name="L_KEYWORD_EQTY_200004992_NI_CONS">#REF!</definedName>
    <definedName name="L_KEYWORD_EQTY_200004992_NI_PUB">#REF!</definedName>
    <definedName name="L_KEYWORD_EQTY_200004992_NI_REPT_PUB">#REF!</definedName>
    <definedName name="L_KEYWORD_EQTY_200004992_NON_OP_ADD">#REF!</definedName>
    <definedName name="L_KEYWORD_EQTY_200004992_NOPAT">#REF!</definedName>
    <definedName name="L_KEYWORD_EQTY_200004992_NTA_PER_SHARE">#REF!</definedName>
    <definedName name="L_KEYWORD_EQTY_200004992_NUM_SH">#REF!</definedName>
    <definedName name="L_KEYWORD_EQTY_200004992_OPPL_ATAX_POST_AB">#REF!</definedName>
    <definedName name="L_KEYWORD_EQTY_200004992_OPTIONS">#REF!</definedName>
    <definedName name="L_KEYWORD_EQTY_200004992_OPTIONS_IN_MONEY">#REF!</definedName>
    <definedName name="L_KEYWORD_EQTY_200004992_OTH_ASSET_IMPAIR_CHG_POST_TAX">#REF!</definedName>
    <definedName name="L_KEYWORD_EQTY_200004992_OTHER_ABNORMAL_ITEMS">#REF!</definedName>
    <definedName name="L_KEYWORD_EQTY_200004992_OTHER_CAPITAL">#REF!</definedName>
    <definedName name="L_KEYWORD_EQTY_200004992_OTHER_IFRS_ADJUST_POST_TAX">#REF!</definedName>
    <definedName name="L_KEYWORD_EQTY_200004992_PARTLY_PAID_SHARES">#REF!</definedName>
    <definedName name="L_KEYWORD_EQTY_200004992_PERPETUITY_GROWTH_RATE_DCF">#REF!</definedName>
    <definedName name="L_KEYWORD_EQTY_200004992_PREFERENCE_SHARES">#REF!</definedName>
    <definedName name="L_KEYWORD_EQTY_200004992_PRESENT_VALUE_OF_CASH_FLOW_DCF">#REF!</definedName>
    <definedName name="L_KEYWORD_EQTY_200004992_PRI_TARG_METH">#REF!</definedName>
    <definedName name="L_KEYWORD_EQTY_200004992_PRI_TARG_MULT">#REF!</definedName>
    <definedName name="L_KEYWORD_EQTY_200004992_PRICE_CURRENCY_ISO">#REF!</definedName>
    <definedName name="L_KEYWORD_EQTY_200004992_PROF_ADJUST_EPS">#REF!</definedName>
    <definedName name="L_KEYWORD_EQTY_200004992_PROF_AT">#REF!</definedName>
    <definedName name="L_KEYWORD_EQTY_200004992_PROV_INC_TAX">#REF!</definedName>
    <definedName name="L_KEYWORD_EQTY_200004992_PTP_PUB">#REF!</definedName>
    <definedName name="L_KEYWORD_EQTY_200004992_PUB_CURRENCY_ISO">#REF!</definedName>
    <definedName name="L_KEYWORD_EQTY_200004992_RESTRUC_COSTS">#REF!</definedName>
    <definedName name="L_KEYWORD_EQTY_200004992_REVS_PUB">#REF!</definedName>
    <definedName name="L_KEYWORD_EQTY_200004992_RISK_ADJ_OPTION_VALUE_DCF">#REF!</definedName>
    <definedName name="L_KEYWORD_EQTY_200004992_RISK_FR_RATE">#REF!</definedName>
    <definedName name="L_KEYWORD_EQTY_200004992_RISK_TO_EARNINGS">#REF!</definedName>
    <definedName name="L_KEYWORD_EQTY_200004992_RISK_WEIGHTED_ASSET_APRA">#REF!</definedName>
    <definedName name="L_KEYWORD_EQTY_200004992_ROAA_PROJECTED">#REF!</definedName>
    <definedName name="L_KEYWORD_EQTY_200004992_ROCE_ANZ">#REF!</definedName>
    <definedName name="L_KEYWORD_EQTY_200004992_ROE_TERMINAL">#REF!</definedName>
    <definedName name="L_KEYWORD_EQTY_200004992_Security_Name">#REF!</definedName>
    <definedName name="L_KEYWORD_EQTY_200004992_SH">#REF!</definedName>
    <definedName name="L_KEYWORD_EQTY_200004992_SHOLDERS_EQUITY_MBRS">#REF!</definedName>
    <definedName name="L_KEYWORD_EQTY_200004992_STD_FREE_OP_CASH_FLOW_DCF">#REF!</definedName>
    <definedName name="L_KEYWORD_EQTY_200004992_TANG_BVPS">#REF!</definedName>
    <definedName name="L_KEYWORD_EQTY_200004992_TARGET_PRICE">#REF!</definedName>
    <definedName name="L_KEYWORD_EQTY_200004992_TAX_EXC">#REF!</definedName>
    <definedName name="L_KEYWORD_EQTY_200004992_TAX_RATE_DCF">#REF!</definedName>
    <definedName name="L_KEYWORD_EQTY_200004992_TBVPS_LAST">#REF!</definedName>
    <definedName name="L_KEYWORD_EQTY_200004992_TERMINAL_YEAR_DCF">#REF!</definedName>
    <definedName name="L_KEYWORD_EQTY_200004992_Ticker">#REF!</definedName>
    <definedName name="L_KEYWORD_EQTY_200004992_TOTAL_ANNUAL_DIV_AMOUNT">#REF!</definedName>
    <definedName name="L_KEYWORD_EQTY_200004992_TOTAL_CAPITAL_EFPO">#REF!</definedName>
    <definedName name="L_KEYWORD_EQTY_200004992_TOTAL_CAPITAL_EFPOWA">#REF!</definedName>
    <definedName name="L_KEYWORD_EQTY_200004992_TOTAL_IFRS_ADJUST_POST_TAX">#REF!</definedName>
    <definedName name="L_KEYWORD_EQTY_200004992_TP_PERIOD">#REF!</definedName>
    <definedName name="L_KEYWORD_EQTY_200004992_VALUATION_YEAR">#REF!</definedName>
    <definedName name="L_KEYWORD_EQTY_200004992_WACC_DCF">#REF!</definedName>
    <definedName name="L_KEYWORD_EQTY_200004992_YEAR_END_CAPITAL_EVA">#REF!</definedName>
    <definedName name="L_KEYWORD_ISSR_208005522_ACC_END_DATE">#REF!</definedName>
    <definedName name="L_KEYWORD_ISSR_208005522_ACCEPTANCES_ASSETS">#REF!</definedName>
    <definedName name="L_KEYWORD_ISSR_208005522_ACCEPTANCES_LIABS">#REF!</definedName>
    <definedName name="L_KEYWORD_ISSR_208005522_ACCRUAL">#REF!</definedName>
    <definedName name="L_KEYWORD_ISSR_208005522_AMORT_OF_INTANGIBLES">#REF!</definedName>
    <definedName name="L_KEYWORD_ISSR_208005522_AMORT_OF_INTANGIBLES_ADJ">#REF!</definedName>
    <definedName name="L_KEYWORD_ISSR_208005522_ASIA_ASS">#REF!</definedName>
    <definedName name="L_KEYWORD_ISSR_208005522_ASIA_OP">#REF!</definedName>
    <definedName name="L_KEYWORD_ISSR_208005522_ASIA_SALES">#REF!</definedName>
    <definedName name="L_KEYWORD_ISSR_208005522_ASSET_MISC">#REF!</definedName>
    <definedName name="L_KEYWORD_ISSR_208005522_ASSOCIATE">#REF!</definedName>
    <definedName name="L_KEYWORD_ISSR_208005522_AVG_ACCEPTANCES">#REF!</definedName>
    <definedName name="L_KEYWORD_ISSR_208005522_AVG_CAPITAL_EMPLOYED_ADJ">#REF!</definedName>
    <definedName name="L_KEYWORD_ISSR_208005522_AVG_GROSS_NON_PERF_ASSETS">#REF!</definedName>
    <definedName name="L_KEYWORD_ISSR_208005522_AVG_INT_BEARING_LIABS">#REF!</definedName>
    <definedName name="L_KEYWORD_ISSR_208005522_AVG_INT_EARN_ASSETS">#REF!</definedName>
    <definedName name="L_KEYWORD_ISSR_208005522_AVG_LOANS_ADVANCES">#REF!</definedName>
    <definedName name="L_KEYWORD_ISSR_208005522_AVG_NON_INT_BEARING_LIABS">#REF!</definedName>
    <definedName name="L_KEYWORD_ISSR_208005522_AVG_OTH_PROD_ASSETS">#REF!</definedName>
    <definedName name="L_KEYWORD_ISSR_208005522_AVG_OTHER_ASSETS">#REF!</definedName>
    <definedName name="L_KEYWORD_ISSR_208005522_AVG_OTHER_LIABS">#REF!</definedName>
    <definedName name="L_KEYWORD_ISSR_208005522_AVG_PROD_INT_EARN_ASSETS">#REF!</definedName>
    <definedName name="L_KEYWORD_ISSR_208005522_AVG_PROV_BAD_DEBT">#REF!</definedName>
    <definedName name="L_KEYWORD_ISSR_208005522_AVG_TOTAL_ASSETS">#REF!</definedName>
    <definedName name="L_KEYWORD_ISSR_208005522_B_BS_A_DEBTTOT">#REF!</definedName>
    <definedName name="L_KEYWORD_ISSR_208005522_B_BS_A_LNBNK">#REF!</definedName>
    <definedName name="L_KEYWORD_ISSR_208005522_B_BS_A_NETLOANS">#REF!</definedName>
    <definedName name="L_KEYWORD_ISSR_208005522_B_BS_A_OTHINT1">#REF!</definedName>
    <definedName name="L_KEYWORD_ISSR_208005522_B_BS_A_PERIOD">#REF!</definedName>
    <definedName name="L_KEYWORD_ISSR_208005522_B_BS_L_BANKDEP">#REF!</definedName>
    <definedName name="L_KEYWORD_ISSR_208005522_B_BS_L_CUSTDEP">#REF!</definedName>
    <definedName name="L_KEYWORD_ISSR_208005522_B_BS_L_GSTANGEQ">#REF!</definedName>
    <definedName name="L_KEYWORD_ISSR_208005522_B_BS_L_PERIOD">#REF!</definedName>
    <definedName name="L_KEYWORD_ISSR_208005522_B_CA_BISRATIO">#REF!</definedName>
    <definedName name="L_KEYWORD_ISSR_208005522_B_CA_CAPBASE">#REF!</definedName>
    <definedName name="L_KEYWORD_ISSR_208005522_B_CA_CORECAP">#REF!</definedName>
    <definedName name="L_KEYWORD_ISSR_208005522_B_CA_PREFCAP">#REF!</definedName>
    <definedName name="L_KEYWORD_ISSR_208005522_B_CA_RWA">#REF!</definedName>
    <definedName name="L_KEYWORD_ISSR_208005522_B_CA_T1CAP">#REF!</definedName>
    <definedName name="L_KEYWORD_ISSR_208005522_B_CA_T1RATIO">#REF!</definedName>
    <definedName name="L_KEYWORD_ISSR_208005522_B_CA_T2CAP">#REF!</definedName>
    <definedName name="L_KEYWORD_ISSR_208005522_B_CA_T2RATIO">#REF!</definedName>
    <definedName name="L_KEYWORD_ISSR_208005522_B_CAMELOT_SUST_ROE">#REF!</definedName>
    <definedName name="L_KEYWORD_ISSR_208005522_B_DE_DEMAND">#REF!</definedName>
    <definedName name="L_KEYWORD_ISSR_208005522_B_DE_OTHERS">#REF!</definedName>
    <definedName name="L_KEYWORD_ISSR_208005522_B_DE_TIME">#REF!</definedName>
    <definedName name="L_KEYWORD_ISSR_208005522_B_DE_TOTDEPOSIT">#REF!</definedName>
    <definedName name="L_KEYWORD_ISSR_208005522_B_IH_BKVALUE">#REF!</definedName>
    <definedName name="L_KEYWORD_ISSR_208005522_B_IH_MKTVALUE">#REF!</definedName>
    <definedName name="L_KEYWORD_ISSR_208005522_B_IH_PTAXVALUE">#REF!</definedName>
    <definedName name="L_KEYWORD_ISSR_208005522_B_IH_TAX">#REF!</definedName>
    <definedName name="L_KEYWORD_ISSR_208005522_B_IH_UNREALISE">#REF!</definedName>
    <definedName name="L_KEYWORD_ISSR_208005522_B_LB_COMMCL">#REF!</definedName>
    <definedName name="L_KEYWORD_ISSR_208005522_B_LB_CONSTRUCT">#REF!</definedName>
    <definedName name="L_KEYWORD_ISSR_208005522_B_LB_FINANCL">#REF!</definedName>
    <definedName name="L_KEYWORD_ISSR_208005522_B_LB_FINLEASE">#REF!</definedName>
    <definedName name="L_KEYWORD_ISSR_208005522_B_LB_GOVERNMT">#REF!</definedName>
    <definedName name="L_KEYWORD_ISSR_208005522_B_LB_GROSSLOANS">#REF!</definedName>
    <definedName name="L_KEYWORD_ISSR_208005522_B_LB_MORTG">#REF!</definedName>
    <definedName name="L_KEYWORD_ISSR_208005522_B_LB_OTHER">#REF!</definedName>
    <definedName name="L_KEYWORD_ISSR_208005522_B_LB_OTHLEND">#REF!</definedName>
    <definedName name="L_KEYWORD_ISSR_208005522_B_LB_OTHSECURE">#REF!</definedName>
    <definedName name="L_KEYWORD_ISSR_208005522_B_LB_OVSEASLEND">#REF!</definedName>
    <definedName name="L_KEYWORD_ISSR_208005522_B_LB_PERSON">#REF!</definedName>
    <definedName name="L_KEYWORD_ISSR_208005522_B_LB_TOTCORP">#REF!</definedName>
    <definedName name="L_KEYWORD_ISSR_208005522_B_LB_TOTPERSNL">#REF!</definedName>
    <definedName name="L_KEYWORD_ISSR_208005522_B_LT_DIV_PAYOUT">#REF!</definedName>
    <definedName name="L_KEYWORD_ISSR_208005522_B_MA_REPCOSTLIB">#REF!</definedName>
    <definedName name="L_KEYWORD_ISSR_208005522_B_MA_REPGYLD">#REF!</definedName>
    <definedName name="L_KEYWORD_ISSR_208005522_B_MA_REPIMPSPD">#REF!</definedName>
    <definedName name="L_KEYWORD_ISSR_208005522_B_MA_REPINTAST">#REF!</definedName>
    <definedName name="L_KEYWORD_ISSR_208005522_B_MA_REPINTLIB">#REF!</definedName>
    <definedName name="L_KEYWORD_ISSR_208005522_B_MA_REPNIM">#REF!</definedName>
    <definedName name="L_KEYWORD_ISSR_208005522_B_NPL_PROBLN">#REF!</definedName>
    <definedName name="L_KEYWORD_ISSR_208005522_B_NPL_TOTNPL">#REF!</definedName>
    <definedName name="L_KEYWORD_ISSR_208005522_B_PL_LOANPRV">#REF!</definedName>
    <definedName name="L_KEYWORD_ISSR_208005522_B_PL_NETINTINC">#REF!</definedName>
    <definedName name="L_KEYWORD_ISSR_208005522_B_PV_GLLRCUST">#REF!</definedName>
    <definedName name="L_KEYWORD_ISSR_208005522_B_PV_SLLRCUST">#REF!</definedName>
    <definedName name="L_KEYWORD_ISSR_208005522_B_PV_TOTLLRCUST">#REF!</definedName>
    <definedName name="L_KEYWORD_ISSR_208005522_BAL_MINO_INT">#REF!</definedName>
    <definedName name="L_KEYWORD_ISSR_208005522_BAL_OF_FRANK_CREDITS">#REF!</definedName>
    <definedName name="L_KEYWORD_ISSR_208005522_BONDS_NOTES_SUBORD_DEBT">#REF!</definedName>
    <definedName name="L_KEYWORD_ISSR_208005522_BRANCHES">#REF!</definedName>
    <definedName name="L_KEYWORD_ISSR_208005522_CAP_LEASES">#REF!</definedName>
    <definedName name="L_KEYWORD_ISSR_208005522_CASH_EQ">#REF!</definedName>
    <definedName name="L_KEYWORD_ISSR_208005522_COMMITMENTS">#REF!</definedName>
    <definedName name="L_KEYWORD_ISSR_208005522_CONTINGENCIES">#REF!</definedName>
    <definedName name="L_KEYWORD_ISSR_208005522_COST_OF_DEBT_DCF">#REF!</definedName>
    <definedName name="L_KEYWORD_ISSR_208005522_CURRENCY_ISO">#REF!</definedName>
    <definedName name="L_KEYWORD_ISSR_208005522_DEBT_SECUR">#REF!</definedName>
    <definedName name="L_KEYWORD_ISSR_208005522_DEBT_TO_EQUITY_MKT_VALUES_DCF">#REF!</definedName>
    <definedName name="L_KEYWORD_ISSR_208005522_DEFINED_BENEFIT_OBLIGATION">#REF!</definedName>
    <definedName name="L_KEYWORD_ISSR_208005522_DEFINED_BENEFIT_SURPLUS">#REF!</definedName>
    <definedName name="L_KEYWORD_ISSR_208005522_DEPREC">#REF!</definedName>
    <definedName name="L_KEYWORD_ISSR_208005522_DEVELOPMENT_VENTURES">#REF!</definedName>
    <definedName name="L_KEYWORD_ISSR_208005522_DIV_PAID">#REF!</definedName>
    <definedName name="L_KEYWORD_ISSR_208005522_DIVID_INC">#REF!</definedName>
    <definedName name="L_KEYWORD_ISSR_208005522_DOM_ASS">#REF!</definedName>
    <definedName name="L_KEYWORD_ISSR_208005522_DOM_OP">#REF!</definedName>
    <definedName name="L_KEYWORD_ISSR_208005522_DOM_SALES">#REF!</definedName>
    <definedName name="L_KEYWORD_ISSR_208005522_EBIT_UNDERLYING_PRE_GWILL">#REF!</definedName>
    <definedName name="L_KEYWORD_ISSR_208005522_EFFECT_INT_RATE_IMPACT_PRE_TAX">#REF!</definedName>
    <definedName name="L_KEYWORD_ISSR_208005522_EMER_ASS">#REF!</definedName>
    <definedName name="L_KEYWORD_ISSR_208005522_EMER_OP">#REF!</definedName>
    <definedName name="L_KEYWORD_ISSR_208005522_EMER_SALES">#REF!</definedName>
    <definedName name="L_KEYWORD_ISSR_208005522_EMPLOYEES">#REF!</definedName>
    <definedName name="L_KEYWORD_ISSR_208005522_EQ">#REF!</definedName>
    <definedName name="L_KEYWORD_ISSR_208005522_EQUIP_COSTS">#REF!</definedName>
    <definedName name="L_KEYWORD_ISSR_208005522_EUR_ASS">#REF!</definedName>
    <definedName name="L_KEYWORD_ISSR_208005522_EURO_OP">#REF!</definedName>
    <definedName name="L_KEYWORD_ISSR_208005522_EURO_SALES">#REF!</definedName>
    <definedName name="L_KEYWORD_ISSR_208005522_FIN_INSTR_HEDGE_CURR_LIABILITY">#REF!</definedName>
    <definedName name="L_KEYWORD_ISSR_208005522_FIN_INSTRUMENT_HEDGE_PRE_TAX">#REF!</definedName>
    <definedName name="L_KEYWORD_ISSR_208005522_FIN_TRANS_INC">#REF!</definedName>
    <definedName name="L_KEYWORD_ISSR_208005522_FINANCE_SERVICES_INCOME">#REF!</definedName>
    <definedName name="L_KEYWORD_ISSR_208005522_FIX_ASS_INV">#REF!</definedName>
    <definedName name="L_KEYWORD_ISSR_208005522_FOREIGN_EXCH_INCOME">#REF!</definedName>
    <definedName name="L_KEYWORD_ISSR_208005522_GEN_INS_INC">#REF!</definedName>
    <definedName name="L_KEYWORD_ISSR_208005522_GENERAL_PROV">#REF!</definedName>
    <definedName name="L_KEYWORD_ISSR_208005522_GENERAL_PROV_DOUBTFUL">#REF!</definedName>
    <definedName name="L_KEYWORD_ISSR_208005522_GOODWILL">#REF!</definedName>
    <definedName name="L_KEYWORD_ISSR_208005522_GOODWILL_AMORT">#REF!</definedName>
    <definedName name="L_KEYWORD_ISSR_208005522_GROSS_LOANS_ADVANCES">#REF!</definedName>
    <definedName name="L_KEYWORD_ISSR_208005522_GROSS_NON_ACCRUAL">#REF!</definedName>
    <definedName name="L_KEYWORD_ISSR_208005522_GROSS_OP_PROF">#REF!</definedName>
    <definedName name="L_KEYWORD_ISSR_208005522_GWILL_ASSET_IMPAIR_CHG_PRE_TAX">#REF!</definedName>
    <definedName name="L_KEYWORD_ISSR_208005522_HYBRID_DIST_PRE_TAX">#REF!</definedName>
    <definedName name="L_KEYWORD_ISSR_208005522_INS_CLAIMS">#REF!</definedName>
    <definedName name="L_KEYWORD_ISSR_208005522_INT_EARN_ASSETS">#REF!</definedName>
    <definedName name="L_KEYWORD_ISSR_208005522_INT_EXP">#REF!</definedName>
    <definedName name="L_KEYWORD_ISSR_208005522_INT_INC">#REF!</definedName>
    <definedName name="L_KEYWORD_ISSR_208005522_INV_SECUR">#REF!</definedName>
    <definedName name="L_KEYWORD_ISSR_208005522_INVESTMENT_SECS_INCOME">#REF!</definedName>
    <definedName name="L_KEYWORD_ISSR_208005522_INVESTMENTS">#REF!</definedName>
    <definedName name="L_KEYWORD_ISSR_208005522_Issuer_Name">#REF!</definedName>
    <definedName name="L_KEYWORD_ISSR_208005522_LABOUR">#REF!</definedName>
    <definedName name="L_KEYWORD_ISSR_208005522_LATAM_ASS">#REF!</definedName>
    <definedName name="L_KEYWORD_ISSR_208005522_LATAM_OP">#REF!</definedName>
    <definedName name="L_KEYWORD_ISSR_208005522_LATAM_SALES">#REF!</definedName>
    <definedName name="L_KEYWORD_ISSR_208005522_LEASE_PAY">#REF!</definedName>
    <definedName name="L_KEYWORD_ISSR_208005522_LENDING_FEES">#REF!</definedName>
    <definedName name="L_KEYWORD_ISSR_208005522_LIAB_MISC">#REF!</definedName>
    <definedName name="L_KEYWORD_ISSR_208005522_LIFE_INC">#REF!</definedName>
    <definedName name="L_KEYWORD_ISSR_208005522_LIFE_POLICY_ASS">#REF!</definedName>
    <definedName name="L_KEYWORD_ISSR_208005522_LIFE_POLICY_LIABS">#REF!</definedName>
    <definedName name="L_KEYWORD_ISSR_208005522_LIFE_SHARE">#REF!</definedName>
    <definedName name="L_KEYWORD_ISSR_208005522_LIQUID_ASSETS">#REF!</definedName>
    <definedName name="L_KEYWORD_ISSR_208005522_LOAN_CAPITAL">#REF!</definedName>
    <definedName name="L_KEYWORD_ISSR_208005522_MINOR_EQUITY_BS">#REF!</definedName>
    <definedName name="L_KEYWORD_ISSR_208005522_MINORITIES">#REF!</definedName>
    <definedName name="L_KEYWORD_ISSR_208005522_MONEY_TRANSFER_FEES">#REF!</definedName>
    <definedName name="L_KEYWORD_ISSR_208005522_MV_ASSOCIATES">#REF!</definedName>
    <definedName name="L_KEYWORD_ISSR_208005522_NAM_ASS">#REF!</definedName>
    <definedName name="L_KEYWORD_ISSR_208005522_NAM_OP">#REF!</definedName>
    <definedName name="L_KEYWORD_ISSR_208005522_NAM_SALES">#REF!</definedName>
    <definedName name="L_KEYWORD_ISSR_208005522_NET_ASSETS">#REF!</definedName>
    <definedName name="L_KEYWORD_ISSR_208005522_NET_DEBT">#REF!</definedName>
    <definedName name="L_KEYWORD_ISSR_208005522_NET_FEE">#REF!</definedName>
    <definedName name="L_KEYWORD_ISSR_208005522_NET_FIX_ASS">#REF!</definedName>
    <definedName name="L_KEYWORD_ISSR_208005522_NET_FREE_FUNDS">#REF!</definedName>
    <definedName name="L_KEYWORD_ISSR_208005522_NET_INTANG">#REF!</definedName>
    <definedName name="L_KEYWORD_ISSR_208005522_NET_OP_PROF">#REF!</definedName>
    <definedName name="L_KEYWORD_ISSR_208005522_NET_TANGIBLE_ASSETS">#REF!</definedName>
    <definedName name="L_KEYWORD_ISSR_208005522_NETCHGOFF_BS">#REF!</definedName>
    <definedName name="L_KEYWORD_ISSR_208005522_NEW_SPECIFIC_PROV">#REF!</definedName>
    <definedName name="L_KEYWORD_ISSR_208005522_NON_INT_INC">#REF!</definedName>
    <definedName name="L_KEYWORD_ISSR_208005522_OCCUPANCY_COSTS">#REF!</definedName>
    <definedName name="L_KEYWORD_ISSR_208005522_OP_COST">#REF!</definedName>
    <definedName name="L_KEYWORD_ISSR_208005522_OPPL_BTAX_POST_AB">#REF!</definedName>
    <definedName name="L_KEYWORD_ISSR_208005522_ORD_SH_FUND">#REF!</definedName>
    <definedName name="L_KEYWORD_ISSR_208005522_ORD_SHARE_CAPITAL">#REF!</definedName>
    <definedName name="L_KEYWORD_ISSR_208005522_OTH_ADMIN">#REF!</definedName>
    <definedName name="L_KEYWORD_ISSR_208005522_OTH_ASS">#REF!</definedName>
    <definedName name="L_KEYWORD_ISSR_208005522_OTH_ASSET">#REF!</definedName>
    <definedName name="L_KEYWORD_ISSR_208005522_OTH_COST">#REF!</definedName>
    <definedName name="L_KEYWORD_ISSR_208005522_OTH_COST_INC">#REF!</definedName>
    <definedName name="L_KEYWORD_ISSR_208005522_OTH_DACF_ADJ">#REF!</definedName>
    <definedName name="L_KEYWORD_ISSR_208005522_OTH_GCI_ADJ">#REF!</definedName>
    <definedName name="L_KEYWORD_ISSR_208005522_OTH_INC">#REF!</definedName>
    <definedName name="L_KEYWORD_ISSR_208005522_OTH_INTANG">#REF!</definedName>
    <definedName name="L_KEYWORD_ISSR_208005522_OTH_LIABS">#REF!</definedName>
    <definedName name="L_KEYWORD_ISSR_208005522_OTH_NONOP_EXP">#REF!</definedName>
    <definedName name="L_KEYWORD_ISSR_208005522_OTH_NONOP_INC">#REF!</definedName>
    <definedName name="L_KEYWORD_ISSR_208005522_OTH_OP">#REF!</definedName>
    <definedName name="L_KEYWORD_ISSR_208005522_OTH_PAY_LIABS">#REF!</definedName>
    <definedName name="L_KEYWORD_ISSR_208005522_OTH_PROVS">#REF!</definedName>
    <definedName name="L_KEYWORD_ISSR_208005522_OTH_SALES">#REF!</definedName>
    <definedName name="L_KEYWORD_ISSR_208005522_OTHER_ASSET_IMPAIR_CHG_PRE_TAX">#REF!</definedName>
    <definedName name="L_KEYWORD_ISSR_208005522_OTHER_EXPENSES">#REF!</definedName>
    <definedName name="L_KEYWORD_ISSR_208005522_OTHER_FEES">#REF!</definedName>
    <definedName name="L_KEYWORD_ISSR_208005522_OTHER_IFRS_ADJUST_PRE_TAX">#REF!</definedName>
    <definedName name="L_KEYWORD_ISSR_208005522_OTHER_INCOME">#REF!</definedName>
    <definedName name="L_KEYWORD_ISSR_208005522_OTHER_INTANGIBLES_DEPREC">#REF!</definedName>
    <definedName name="L_KEYWORD_ISSR_208005522_OTHER_INTANGIBLES_NON_DEPREC">#REF!</definedName>
    <definedName name="L_KEYWORD_ISSR_208005522_OTHER_STAFF_COSTS">#REF!</definedName>
    <definedName name="L_KEYWORD_ISSR_208005522_PCT_ASIA_ASS">#REF!</definedName>
    <definedName name="L_KEYWORD_ISSR_208005522_PCT_ASIA_OP">#REF!</definedName>
    <definedName name="L_KEYWORD_ISSR_208005522_PCT_ASIA_SALES">#REF!</definedName>
    <definedName name="L_KEYWORD_ISSR_208005522_PCT_DOM_ASS">#REF!</definedName>
    <definedName name="L_KEYWORD_ISSR_208005522_PCT_DOM_OP">#REF!</definedName>
    <definedName name="L_KEYWORD_ISSR_208005522_PCT_DOM_SALES">#REF!</definedName>
    <definedName name="L_KEYWORD_ISSR_208005522_PCT_EMER_ASS">#REF!</definedName>
    <definedName name="L_KEYWORD_ISSR_208005522_PCT_EMER_OP">#REF!</definedName>
    <definedName name="L_KEYWORD_ISSR_208005522_PCT_EMER_SALES">#REF!</definedName>
    <definedName name="L_KEYWORD_ISSR_208005522_PCT_EURO_ASS">#REF!</definedName>
    <definedName name="L_KEYWORD_ISSR_208005522_PCT_EURO_OP">#REF!</definedName>
    <definedName name="L_KEYWORD_ISSR_208005522_PCT_EURO_SALES">#REF!</definedName>
    <definedName name="L_KEYWORD_ISSR_208005522_PCT_LATAM_ASS">#REF!</definedName>
    <definedName name="L_KEYWORD_ISSR_208005522_PCT_LATAM_OP">#REF!</definedName>
    <definedName name="L_KEYWORD_ISSR_208005522_PCT_LATAM_SALES">#REF!</definedName>
    <definedName name="L_KEYWORD_ISSR_208005522_PCT_NAM_ASS">#REF!</definedName>
    <definedName name="L_KEYWORD_ISSR_208005522_PCT_NAM_OP">#REF!</definedName>
    <definedName name="L_KEYWORD_ISSR_208005522_PCT_NAM_SALES">#REF!</definedName>
    <definedName name="L_KEYWORD_ISSR_208005522_PCT_OTH_ASS">#REF!</definedName>
    <definedName name="L_KEYWORD_ISSR_208005522_PCT_OTH_OP">#REF!</definedName>
    <definedName name="L_KEYWORD_ISSR_208005522_PCT_OTH_SALES">#REF!</definedName>
    <definedName name="L_KEYWORD_ISSR_208005522_PERIOD_MILESTONE">#REF!</definedName>
    <definedName name="L_KEYWORD_ISSR_208005522_PERSONNEL">#REF!</definedName>
    <definedName name="L_KEYWORD_ISSR_208005522_PL_BTAX_ON_AB">#REF!</definedName>
    <definedName name="L_KEYWORD_ISSR_208005522_PRE_PAYMNTS">#REF!</definedName>
    <definedName name="L_KEYWORD_ISSR_208005522_PREF_SH">#REF!</definedName>
    <definedName name="L_KEYWORD_ISSR_208005522_PREF_SHARE_CAP">#REF!</definedName>
    <definedName name="L_KEYWORD_ISSR_208005522_PROF_BTE">#REF!</definedName>
    <definedName name="L_KEYWORD_ISSR_208005522_PROFIT_DEFBEN_PLAN_POST_TAX">#REF!</definedName>
    <definedName name="L_KEYWORD_ISSR_208005522_PROFIT_DEFBEN_PLAN_PRE_TAX">#REF!</definedName>
    <definedName name="L_KEYWORD_ISSR_208005522_PROFIT_ON_DISP">#REF!</definedName>
    <definedName name="L_KEYWORD_ISSR_208005522_PROV_BS">#REF!</definedName>
    <definedName name="L_KEYWORD_ISSR_208005522_PT_PROF">#REF!</definedName>
    <definedName name="L_KEYWORD_ISSR_208005522_RECOVERIES_BS">#REF!</definedName>
    <definedName name="L_KEYWORD_ISSR_208005522_RENTAL_INCOME">#REF!</definedName>
    <definedName name="L_KEYWORD_ISSR_208005522_RESERVES">#REF!</definedName>
    <definedName name="L_KEYWORD_ISSR_208005522_RETAIN_PROFIT_LOSS">#REF!</definedName>
    <definedName name="L_KEYWORD_ISSR_208005522_SALES">#REF!</definedName>
    <definedName name="L_KEYWORD_ISSR_208005522_SALES_AUSTRA">#REF!</definedName>
    <definedName name="L_KEYWORD_ISSR_208005522_SALES_BRAZIL">#REF!</definedName>
    <definedName name="L_KEYWORD_ISSR_208005522_SALES_CEE">#REF!</definedName>
    <definedName name="L_KEYWORD_ISSR_208005522_SALES_CHINA">#REF!</definedName>
    <definedName name="L_KEYWORD_ISSR_208005522_SALES_CONS">#REF!</definedName>
    <definedName name="L_KEYWORD_ISSR_208005522_SALES_EU_EX_UK">#REF!</definedName>
    <definedName name="L_KEYWORD_ISSR_208005522_SALES_FINAN">#REF!</definedName>
    <definedName name="L_KEYWORD_ISSR_208005522_SALES_FX_AUD">#REF!</definedName>
    <definedName name="L_KEYWORD_ISSR_208005522_SALES_FX_BRL">#REF!</definedName>
    <definedName name="L_KEYWORD_ISSR_208005522_SALES_FX_CNY">#REF!</definedName>
    <definedName name="L_KEYWORD_ISSR_208005522_SALES_FX_EUR">#REF!</definedName>
    <definedName name="L_KEYWORD_ISSR_208005522_SALES_FX_GPB">#REF!</definedName>
    <definedName name="L_KEYWORD_ISSR_208005522_SALES_FX_INR">#REF!</definedName>
    <definedName name="L_KEYWORD_ISSR_208005522_SALES_FX_NZD">#REF!</definedName>
    <definedName name="L_KEYWORD_ISSR_208005522_SALES_FX_OTH">#REF!</definedName>
    <definedName name="L_KEYWORD_ISSR_208005522_SALES_FX_RUB">#REF!</definedName>
    <definedName name="L_KEYWORD_ISSR_208005522_SALES_FX_USD">#REF!</definedName>
    <definedName name="L_KEYWORD_ISSR_208005522_SALES_FX_YEN">#REF!</definedName>
    <definedName name="L_KEYWORD_ISSR_208005522_SALES_GOV">#REF!</definedName>
    <definedName name="L_KEYWORD_ISSR_208005522_SALES_IND">#REF!</definedName>
    <definedName name="L_KEYWORD_ISSR_208005522_SALES_INDIA">#REF!</definedName>
    <definedName name="L_KEYWORD_ISSR_208005522_SALES_JAPAN">#REF!</definedName>
    <definedName name="L_KEYWORD_ISSR_208005522_SALES_ME">#REF!</definedName>
    <definedName name="L_KEYWORD_ISSR_208005522_SALES_NZ">#REF!</definedName>
    <definedName name="L_KEYWORD_ISSR_208005522_SALES_OTH_AEJ">#REF!</definedName>
    <definedName name="L_KEYWORD_ISSR_208005522_SALES_OTH_AM">#REF!</definedName>
    <definedName name="L_KEYWORD_ISSR_208005522_SALES_OTH_EMEA">#REF!</definedName>
    <definedName name="L_KEYWORD_ISSR_208005522_SALES_OTHER">#REF!</definedName>
    <definedName name="L_KEYWORD_ISSR_208005522_SALES_RUSSIA">#REF!</definedName>
    <definedName name="L_KEYWORD_ISSR_208005522_SALES_TOT_AFRICA">#REF!</definedName>
    <definedName name="L_KEYWORD_ISSR_208005522_SALES_TOT_AM">#REF!</definedName>
    <definedName name="L_KEYWORD_ISSR_208005522_SALES_TOT_ASIA">#REF!</definedName>
    <definedName name="L_KEYWORD_ISSR_208005522_SALES_TOT_EMEA">#REF!</definedName>
    <definedName name="L_KEYWORD_ISSR_208005522_SALES_UK">#REF!</definedName>
    <definedName name="L_KEYWORD_ISSR_208005522_SALES_US">#REF!</definedName>
    <definedName name="L_KEYWORD_ISSR_208005522_SEL_GL_AD_OTHER">#REF!</definedName>
    <definedName name="L_KEYWORD_ISSR_208005522_SHARE_BASED_PAYMENTS">#REF!</definedName>
    <definedName name="L_KEYWORD_ISSR_208005522_SPECIFIC_PROV_DOUBTFUL">#REF!</definedName>
    <definedName name="L_KEYWORD_ISSR_208005522_SUB_ORD_LIABS">#REF!</definedName>
    <definedName name="L_KEYWORD_ISSR_208005522_TOT_ASS">#REF!</definedName>
    <definedName name="L_KEYWORD_ISSR_208005522_TOT_ASSET">#REF!</definedName>
    <definedName name="L_KEYWORD_ISSR_208005522_TOT_EXCEPTS">#REF!</definedName>
    <definedName name="L_KEYWORD_ISSR_208005522_TOT_LIAB">#REF!</definedName>
    <definedName name="L_KEYWORD_ISSR_208005522_TOT_LIAB_EQ">#REF!</definedName>
    <definedName name="L_KEYWORD_ISSR_208005522_TOT_OP">#REF!</definedName>
    <definedName name="L_KEYWORD_ISSR_208005522_TOT_PROVS">#REF!</definedName>
    <definedName name="L_KEYWORD_ISSR_208005522_TOT_SALES">#REF!</definedName>
    <definedName name="L_KEYWORD_ISSR_208005522_TOTAL_CAPITAL_EMPLOYED_ADJ">#REF!</definedName>
    <definedName name="L_KEYWORD_ISSR_208005522_TOTAL_DEPREC_AMORT">#REF!</definedName>
    <definedName name="L_KEYWORD_ISSR_208005522_TOTAL_IFRS_ADJUST_PRE_TAX">#REF!</definedName>
    <definedName name="L_KEYWORD_ISSR_208005522_TRADING_SECS_INCOME">#REF!</definedName>
    <definedName name="L_KEYWORD_ISSR_208005522_UNEARNED_INCOME">#REF!</definedName>
    <definedName name="L_KEYWORD_ISSR_208005522_UNF_PENS">#REF!</definedName>
    <definedName name="L_KEYWORD_ISSR_208005522_UNF_PENS_LIAB_OTH">#REF!</definedName>
    <definedName name="L_KEYWORD_ISSR_208005522_UNF_PENS_OFF">#REF!</definedName>
    <definedName name="L_KEYWORD_ISSR_208005522_WRITE_OFFS_BS">#REF!</definedName>
    <definedName name="L_KEYWORD_ISSR_208005522_WRITEBACK_RECOVERIES">#REF!</definedName>
    <definedName name="L_LIVEDATA_EQTY_200004992">#REF!</definedName>
    <definedName name="L_LIVEDATA_ISSR_208005522">#REF!</definedName>
    <definedName name="L_SECTION_EQTY_200004992_1314">#REF!</definedName>
    <definedName name="L_SECTION_EQTY_200004992_1316A">#REF!</definedName>
    <definedName name="L_SECTION_EQTY_200004992_1316B">#REF!</definedName>
    <definedName name="L_SECTION_EQTY_200004992_1316C">#REF!</definedName>
    <definedName name="L_SECTION_EQTY_200004992_1316E">#REF!</definedName>
    <definedName name="L_SECTION_EQTY_200004992_1319">#REF!</definedName>
    <definedName name="L_SECTION_EQTY_200004992_131O">#REF!</definedName>
    <definedName name="L_SECTION_EQTY_200004992_131P">#REF!</definedName>
    <definedName name="L_SECTION_EQTY_200004992_13A">#REF!</definedName>
    <definedName name="L_SECTION_EQTY_200004992_13K">#REF!</definedName>
    <definedName name="L_SECTION_EQTY_200004992_13U">#REF!</definedName>
    <definedName name="L_SECTION_EQTY_200004992_13V">#REF!</definedName>
    <definedName name="L_SECTION_EQTY_200004992_Reference_Data">#REF!</definedName>
    <definedName name="L_SECTION_ISSR_208005522_1314">#REF!</definedName>
    <definedName name="L_SECTION_ISSR_208005522_13168">#REF!</definedName>
    <definedName name="L_SECTION_ISSR_208005522_1316B">#REF!</definedName>
    <definedName name="L_SECTION_ISSR_208005522_1316C">#REF!</definedName>
    <definedName name="L_SECTION_ISSR_208005522_1316E">#REF!</definedName>
    <definedName name="L_SECTION_ISSR_208005522_1316U">#REF!</definedName>
    <definedName name="L_SECTION_ISSR_208005522_1319">#REF!</definedName>
    <definedName name="L_SECTION_ISSR_208005522_131E">#REF!</definedName>
    <definedName name="L_SECTION_ISSR_208005522_131J">#REF!</definedName>
    <definedName name="L_SECTION_ISSR_208005522_131O">#REF!</definedName>
    <definedName name="L_SECTION_ISSR_208005522_131P">#REF!</definedName>
    <definedName name="L_SECTION_ISSR_208005522_133M">#REF!</definedName>
    <definedName name="L_SECTION_ISSR_208005522_133R">#REF!</definedName>
    <definedName name="L_SECTION_ISSR_208005522_133W">#REF!</definedName>
    <definedName name="L_SECTION_ISSR_208005522_1341">#REF!</definedName>
    <definedName name="L_SECTION_ISSR_208005522_1346">#REF!</definedName>
    <definedName name="L_SECTION_ISSR_208005522_134B">#REF!</definedName>
    <definedName name="L_SECTION_ISSR_208005522_134G">#REF!</definedName>
    <definedName name="L_SECTION_ISSR_208005522_134L">#REF!</definedName>
    <definedName name="L_SECTION_ISSR_208005522_134Q">#REF!</definedName>
    <definedName name="L_SECTION_ISSR_208005522_134V">#REF!</definedName>
    <definedName name="L_SECTION_ISSR_208005522_13U">#REF!</definedName>
    <definedName name="L_SECTION_ISSR_208005522_13V">#REF!</definedName>
    <definedName name="L_SECTION_ISSR_208005522_Reference_Data">#REF!</definedName>
    <definedName name="LBD">#REF!</definedName>
    <definedName name="Lease">#REF!</definedName>
    <definedName name="Lease_liabilities_current">#REF!</definedName>
    <definedName name="Lease_liabilities_non_current">#REF!</definedName>
    <definedName name="Long_Term_Recommendation">#REF!</definedName>
    <definedName name="main_baseyr">#REF!</definedName>
    <definedName name="maintenance">#REF!</definedName>
    <definedName name="Mi">#REF!</definedName>
    <definedName name="minorities">#REF!</definedName>
    <definedName name="minorities_interest">#REF!</definedName>
    <definedName name="minority">#REF!</definedName>
    <definedName name="minorityinterestsebit">#REF!</definedName>
    <definedName name="MSCIWD_12m">#REF!</definedName>
    <definedName name="MSCIWD_1m">#REF!</definedName>
    <definedName name="MSCIWD_3M">#REF!</definedName>
    <definedName name="NBD">#REF!</definedName>
    <definedName name="NCASSET_RECEIVABLES">#REF!</definedName>
    <definedName name="ndebt_98">#REF!</definedName>
    <definedName name="net_amortised_intangibles">#REF!</definedName>
    <definedName name="Net_Debt1999">#REF!</definedName>
    <definedName name="Net_Debt2000">#REF!</definedName>
    <definedName name="Net_Debt2001">#REF!</definedName>
    <definedName name="Net_Debt2002">#REF!</definedName>
    <definedName name="Net_Debt2003">#REF!</definedName>
    <definedName name="Net_earned_premiums">#REF!</definedName>
    <definedName name="Net_Interest_Inc_Exp1999">#REF!</definedName>
    <definedName name="Net_Interest_Inc_Exp2000">#REF!</definedName>
    <definedName name="Net_Interest_Inc_Exp2001">#REF!</definedName>
    <definedName name="Net_Interest_Inc_Exp2002">#REF!</definedName>
    <definedName name="Net_Interest_Inc_Exp2003">#REF!</definedName>
    <definedName name="Net_operating_cashflow">#REF!</definedName>
    <definedName name="Net_Opr_Cash_Flows1999">#REF!</definedName>
    <definedName name="Net_Opr_Cash_Flows2000">#REF!</definedName>
    <definedName name="Net_Other_Income">#REF!</definedName>
    <definedName name="Net_plant___equipment">#REF!</definedName>
    <definedName name="net_ppe">#REF!</definedName>
    <definedName name="netdebt">#REF!</definedName>
    <definedName name="netgoodwill">#REF!</definedName>
    <definedName name="netinterestexpense">#REF!</definedName>
    <definedName name="netinterestpaid">#REF!</definedName>
    <definedName name="netprofitafterNRI">#REF!</definedName>
    <definedName name="NFCF">#REF!</definedName>
    <definedName name="No_Shares">#REF!</definedName>
    <definedName name="NOCF">#REF!</definedName>
    <definedName name="non_current_ass_inventories">#REF!</definedName>
    <definedName name="non_current_borrowings">#REF!</definedName>
    <definedName name="noncurrentL_provisions">#REF!</definedName>
    <definedName name="noncurrliabotherliab">#REF!</definedName>
    <definedName name="nonrecurringaftertax">#REF!</definedName>
    <definedName name="NOPAT1999">#REF!</definedName>
    <definedName name="NOPAT2000">#REF!</definedName>
    <definedName name="NOPAT2001">#REF!</definedName>
    <definedName name="NOPAT2002">#REF!</definedName>
    <definedName name="NOPAT2003">#REF!</definedName>
    <definedName name="npat_96">#REF!</definedName>
    <definedName name="npat_97">#REF!</definedName>
    <definedName name="npat_98">#REF!</definedName>
    <definedName name="npat_99">#REF!</definedName>
    <definedName name="NPV">#REF!</definedName>
    <definedName name="npvbc">#REF!</definedName>
    <definedName name="NTA">#REF!</definedName>
    <definedName name="Nta_Per_Share1999">#REF!</definedName>
    <definedName name="Nta_Per_Share2000">#REF!</definedName>
    <definedName name="Nta_Per_Share2001">#REF!</definedName>
    <definedName name="Nta_Per_Share2002">#REF!</definedName>
    <definedName name="Nta_Per_Share2003">#REF!</definedName>
    <definedName name="NZX50_12M">#REF!</definedName>
    <definedName name="NZX50_1m">#REF!</definedName>
    <definedName name="NZX50_3M">#REF!</definedName>
    <definedName name="op_prof">#REF!</definedName>
    <definedName name="Oper_Profit">#REF!</definedName>
    <definedName name="operatingEBIT">#REF!</definedName>
    <definedName name="options_av_price">#REF!</definedName>
    <definedName name="options_no_conv">#REF!</definedName>
    <definedName name="Ord_Shares_Issued1999">#REF!</definedName>
    <definedName name="Ord_Shares_Issued2000">#REF!</definedName>
    <definedName name="Ord_Shares_Issued2001">#REF!</definedName>
    <definedName name="Ord_Shares_Issued2002">#REF!</definedName>
    <definedName name="Ord_Shares_Issued2003">#REF!</definedName>
    <definedName name="osh_cagr">#REF!</definedName>
    <definedName name="OTH_CUR_ASS">#REF!</definedName>
    <definedName name="Other_101999">#REF!</definedName>
    <definedName name="Other_102000">#REF!</definedName>
    <definedName name="Other_102001">#REF!</definedName>
    <definedName name="Other_102002">#REF!</definedName>
    <definedName name="Other_102003">#REF!</definedName>
    <definedName name="Other_41999">#REF!</definedName>
    <definedName name="Other_42000">#REF!</definedName>
    <definedName name="Other_42001">#REF!</definedName>
    <definedName name="Other_42002">#REF!</definedName>
    <definedName name="Other_42003">#REF!</definedName>
    <definedName name="Other_91999">#REF!</definedName>
    <definedName name="Other_92000">#REF!</definedName>
    <definedName name="Other_92001">#REF!</definedName>
    <definedName name="Other_92002">#REF!</definedName>
    <definedName name="Other_92003">#REF!</definedName>
    <definedName name="other_creditors">#REF!</definedName>
    <definedName name="Other_Expenses">#REF!</definedName>
    <definedName name="Other_financing">#REF!</definedName>
    <definedName name="Other_investing">#REF!</definedName>
    <definedName name="Other_liabilities_current">#REF!</definedName>
    <definedName name="Other_liabilities_non_current">#REF!</definedName>
    <definedName name="Other_Net_Expenses">#REF!</definedName>
    <definedName name="Other_non_current">#REF!</definedName>
    <definedName name="Other_non_Op_inc.1999">#REF!</definedName>
    <definedName name="Other_non_Op_inc.2000">#REF!</definedName>
    <definedName name="Other_non_Op_inc.2001">#REF!</definedName>
    <definedName name="Other_non_Op_inc.2002">#REF!</definedName>
    <definedName name="Other_non_Op_inc.2003">#REF!</definedName>
    <definedName name="other_receivables">#REF!</definedName>
    <definedName name="othercurrent_liabilities">#REF!</definedName>
    <definedName name="otherinvestingCF">#REF!</definedName>
    <definedName name="Output_WACC">IF(#REF!=TRUE,#REF!,#REF!)</definedName>
    <definedName name="Outside_Eqty_In_Oppl1999">#REF!</definedName>
    <definedName name="Outside_Eqty_In_Oppl2000">#REF!</definedName>
    <definedName name="Outside_Eqty_In_Oppl2001">#REF!</definedName>
    <definedName name="Outside_Eqty_In_Oppl2002">#REF!</definedName>
    <definedName name="Outside_Eqty_In_Oppl2003">#REF!</definedName>
    <definedName name="Outside_Equity1999">#REF!</definedName>
    <definedName name="Outside_Equity2000">#REF!</definedName>
    <definedName name="Outside_Equity2001">#REF!</definedName>
    <definedName name="Outside_Equity2002">#REF!</definedName>
    <definedName name="Outside_Equity2003">#REF!</definedName>
    <definedName name="past_90">#REF!</definedName>
    <definedName name="PDIT">#REF!</definedName>
    <definedName name="pension_plan_noncurrass">#REF!</definedName>
    <definedName name="Pl_Atax_On_Ab1999">#REF!</definedName>
    <definedName name="Pl_Atax_On_Ab2000">#REF!</definedName>
    <definedName name="Pl_Atax_On_Ab2001">#REF!</definedName>
    <definedName name="Pl_Atax_On_Ab2002">#REF!</definedName>
    <definedName name="Pl_Atax_On_Ab2003">#REF!</definedName>
    <definedName name="PPE">#REF!</definedName>
    <definedName name="pre_tax_profit">#REF!</definedName>
    <definedName name="Pref_Conv_Oth_Capital1999">#REF!</definedName>
    <definedName name="Pref_Conv_Oth_Capital2000">#REF!</definedName>
    <definedName name="Pref_Conv_Oth_Capital2001">#REF!</definedName>
    <definedName name="Pref_Conv_Oth_Capital2002">#REF!</definedName>
    <definedName name="Pref_Conv_Oth_Capital2003">#REF!</definedName>
    <definedName name="Pref_Dividends_Prov1999">#REF!</definedName>
    <definedName name="Pref_Dividends_Prov2000">#REF!</definedName>
    <definedName name="Pref_Dividends_Prov2001">#REF!</definedName>
    <definedName name="Pref_Dividends_Prov2002">#REF!</definedName>
    <definedName name="Pref_Dividends_Prov2003">#REF!</definedName>
    <definedName name="Price">#REF!</definedName>
    <definedName name="Price_Target">#REF!</definedName>
    <definedName name="_xlnm.Print_Area" localSheetId="2">Summary!$B$2:$I$11,Summary!#REF!,Summary!$B$12:$I$87</definedName>
    <definedName name="_xlnm.Print_Titles" localSheetId="3">Model!$1:$5</definedName>
    <definedName name="_xlnm.Print_Titles" localSheetId="2">Summary!$2:$11</definedName>
    <definedName name="Proceeds_Share_Issues1999">#REF!</definedName>
    <definedName name="Proceeds_Share_Issues2000">#REF!</definedName>
    <definedName name="Proceeds_Share_Issues2001">#REF!</definedName>
    <definedName name="Proceeds_Share_Issues2002">#REF!</definedName>
    <definedName name="Proceeds_Share_Issues2003">#REF!</definedName>
    <definedName name="prod_96">#REF!</definedName>
    <definedName name="prod_97">#REF!</definedName>
    <definedName name="prod_98">#REF!</definedName>
    <definedName name="prod_99">#REF!</definedName>
    <definedName name="Prof_Adjust_Eps1999">#REF!</definedName>
    <definedName name="Prof_Adjust_Eps2000">#REF!</definedName>
    <definedName name="Prof_Adjust_Eps2001">#REF!</definedName>
    <definedName name="Prof_Adjust_Eps2002">#REF!</definedName>
    <definedName name="Prof_Adjust_Eps2003">#REF!</definedName>
    <definedName name="Prof_JBW">#REF!</definedName>
    <definedName name="Profit_loss_on_asset_sales">#REF!</definedName>
    <definedName name="profitlossassetsales">#REF!</definedName>
    <definedName name="Provisions_current">#REF!</definedName>
    <definedName name="provisions_general">#REF!</definedName>
    <definedName name="Provisions_non_current">#REF!</definedName>
    <definedName name="provisions_specific">#REF!</definedName>
    <definedName name="Provisions1999">#REF!</definedName>
    <definedName name="Provisions2000">#REF!</definedName>
    <definedName name="Provisions2001">#REF!</definedName>
    <definedName name="Provisions2002">#REF!</definedName>
    <definedName name="Provisions2003">#REF!</definedName>
    <definedName name="PT_Price">#REF!</definedName>
    <definedName name="Purch_Prop_Plant_Expan1999">#REF!</definedName>
    <definedName name="Purch_Prop_Plant_Expan2000">#REF!</definedName>
    <definedName name="Purch_Prop_Plant_Expan2001">#REF!</definedName>
    <definedName name="Purch_Prop_Plant_Expan2002">#REF!</definedName>
    <definedName name="Purch_Prop_Plant_Expan2003">#REF!</definedName>
    <definedName name="Purch_Prop_Plant_Maint1999">#REF!</definedName>
    <definedName name="Purch_Prop_Plant_Maint2000">#REF!</definedName>
    <definedName name="Purch_Prop_Plant_Maint2001">#REF!</definedName>
    <definedName name="Purch_Prop_Plant_Maint2002">#REF!</definedName>
    <definedName name="Purch_Prop_Plant_Maint2003">#REF!</definedName>
    <definedName name="PVCF">#REF!</definedName>
    <definedName name="quant_label">#REF!</definedName>
    <definedName name="R_">#REF!</definedName>
    <definedName name="Rebate_expenses">#REF!</definedName>
    <definedName name="recoveries">#REF!</definedName>
    <definedName name="reserves">#REF!</definedName>
    <definedName name="Retain_Profit_Loss1999">#REF!</definedName>
    <definedName name="Retain_Profit_Loss2000">#REF!</definedName>
    <definedName name="Retain_Profit_Loss2001">#REF!</definedName>
    <definedName name="Retain_Profit_Loss2002">#REF!</definedName>
    <definedName name="Retain_Profit_Loss2003">#REF!</definedName>
    <definedName name="retainedprofits">#REF!</definedName>
    <definedName name="risked_upside">#REF!</definedName>
    <definedName name="ROCE1999">#REF!</definedName>
    <definedName name="ROCE2000">#REF!</definedName>
    <definedName name="ROCE2001">#REF!</definedName>
    <definedName name="ROCE2002">#REF!</definedName>
    <definedName name="ROCE2003">#REF!</definedName>
    <definedName name="ROE">#REF!</definedName>
    <definedName name="ROE_03_AMP">#REF!</definedName>
    <definedName name="ROE_03_AXA">#REF!</definedName>
    <definedName name="ROE_03_NRM">#REF!</definedName>
    <definedName name="ROE_03_QBE">#REF!</definedName>
    <definedName name="ROE_03_TWR">#REF!</definedName>
    <definedName name="Row_Number">#REF!</definedName>
    <definedName name="RWA">#REF!</definedName>
    <definedName name="RWA_credit">#REF!</definedName>
    <definedName name="Rwvu.Full_Year." hidden="1">#REF!,#REF!,#REF!</definedName>
    <definedName name="sales_96">#REF!</definedName>
    <definedName name="sales_97">#REF!</definedName>
    <definedName name="sales_98">#REF!</definedName>
    <definedName name="sales_99">#REF!</definedName>
    <definedName name="sales_AU">#REF!</definedName>
    <definedName name="sales_customer">#REF!</definedName>
    <definedName name="sales_industry">#REF!</definedName>
    <definedName name="sales_NZ">#REF!</definedName>
    <definedName name="Sales_Revenue1999">#REF!</definedName>
    <definedName name="Sales_Revenue2000">#REF!</definedName>
    <definedName name="Sales_Revenue2001">#REF!</definedName>
    <definedName name="Sales_Revenue2003">#REF!</definedName>
    <definedName name="Scatter_Data_1">"$F$4:$N$5"</definedName>
    <definedName name="Scatter_Data_2">"$F$4:$N$5"</definedName>
    <definedName name="Scatter_Data_3">"$F$4:$N$5"</definedName>
    <definedName name="Scatter_Data_4">"$F$4:$N$5"</definedName>
    <definedName name="Scatter_Data_5">"$L$10:$O$103"</definedName>
    <definedName name="Scatter_Data_6">"$L$10:$O$103"</definedName>
    <definedName name="Scatter_Data_7">"$F$4:$N$5"</definedName>
    <definedName name="Sensitivities.UpdateSensitivities">#REF!</definedName>
    <definedName name="Sh">#REF!</definedName>
    <definedName name="share_cap">#REF!</definedName>
    <definedName name="Share_Of_Assoc_Earns1999">#REF!</definedName>
    <definedName name="Share_Of_Assoc_Earns2000">#REF!</definedName>
    <definedName name="Share_Of_Assoc_Earns2001">#REF!</definedName>
    <definedName name="Share_Of_Assoc_Earns2002">#REF!</definedName>
    <definedName name="Share_Of_Assoc_Earns2003">#REF!</definedName>
    <definedName name="sharesissued">#REF!</definedName>
    <definedName name="SHF_investments">#REF!</definedName>
    <definedName name="staff">#REF!</definedName>
    <definedName name="TableNames">#REF!,#REF!</definedName>
    <definedName name="TableTypes">#REF!,#REF!</definedName>
    <definedName name="taxpaid">#REF!</definedName>
    <definedName name="taxratepreamort">#REF!</definedName>
    <definedName name="TCA">#REF!</definedName>
    <definedName name="Tier_1_hybrids">#REF!</definedName>
    <definedName name="tier_1_ratio">#REF!</definedName>
    <definedName name="Tier1">#REF!</definedName>
    <definedName name="Tigr_Exhibit24a4b3fe_0f43_415e_9cf3_a099f65a2437" hidden="1">#REF!</definedName>
    <definedName name="Tigr_Exhibit480a7ef5_0fd4_4624_bc55_87ec8c9300b8" hidden="1">#REF!</definedName>
    <definedName name="Tigr_Exhibit9a00f476_9331_4932_ae49_5a4c458a5032" hidden="1">#REF!</definedName>
    <definedName name="Tigr_Exhibita4d40d38_d788_4265_9f5c_9405d39340f3" hidden="1">#REF!</definedName>
    <definedName name="Tigr_Exhibita4db7dc2_eabe_4f57_a1be_87ff3af75a61" hidden="1">#REF!</definedName>
    <definedName name="Tigr_Exhibitb0ab45d5_3506_4f30_be63_d018cc60afdb" hidden="1">#REF!</definedName>
    <definedName name="Tigr_Exhibitbe30b791_50a3_447d_847d_5f0b76269208" hidden="1">Model!#REF!</definedName>
    <definedName name="Tigr_Exhibitcb16795e_2ce0_4658_95c8_c6c8e7ef70be" hidden="1">#REF!</definedName>
    <definedName name="Tigr_Exhibited97845e_7962_47b8_b778_8788b41b6d02" hidden="1">#REF!</definedName>
    <definedName name="Tigr_Exhibitfa40eac5_d899_43bf_92df_e654430d1123" hidden="1">#REF!</definedName>
    <definedName name="Tot_CUR_ASS">#REF!</definedName>
    <definedName name="tot_current_liabilities">#REF!</definedName>
    <definedName name="tot_non_current_liabilities">#REF!</definedName>
    <definedName name="total_assets">#REF!</definedName>
    <definedName name="Total_Assets1999">#REF!</definedName>
    <definedName name="Total_Assets2000">#REF!</definedName>
    <definedName name="Total_Assets2001">#REF!</definedName>
    <definedName name="Total_Assets2002">#REF!</definedName>
    <definedName name="Total_Assets2003">#REF!</definedName>
    <definedName name="Total_capital">#REF!</definedName>
    <definedName name="total_equity">#REF!</definedName>
    <definedName name="total_fee">#REF!</definedName>
    <definedName name="total_interest_assets">#REF!</definedName>
    <definedName name="total_liabilities">#REF!</definedName>
    <definedName name="Total_Liabilities1999">#REF!</definedName>
    <definedName name="Total_Liabilities2000">#REF!</definedName>
    <definedName name="Total_Liabilities2001">#REF!</definedName>
    <definedName name="Total_Liabilities2002">#REF!</definedName>
    <definedName name="Total_Liabilities2003">#REF!</definedName>
    <definedName name="total_revenue">#REF!</definedName>
    <definedName name="Total_sales">#REF!</definedName>
    <definedName name="totaldivpayoutpreford">#REF!</definedName>
    <definedName name="totnonoperating">#REF!</definedName>
    <definedName name="TPLATE_FUNCS.ValidPeriodFlag">#REF!</definedName>
    <definedName name="TR_Investments">#REF!</definedName>
    <definedName name="trade_creditors">#REF!</definedName>
    <definedName name="trading_income">#REF!</definedName>
    <definedName name="unamortised_intangibles">#REF!</definedName>
    <definedName name="Underwriting_result">#REF!</definedName>
    <definedName name="UW_expenses">#REF!</definedName>
    <definedName name="V_ALL_ANZ.AX">#REF!</definedName>
    <definedName name="V_ALL_ANZ.AX_">#REF!</definedName>
    <definedName name="V_ALL_AUB.AX">#REF!</definedName>
    <definedName name="V_ALL_IAG.AX">#REF!</definedName>
    <definedName name="V_ALL_KEYWORDS_TYPE_ScalarContributed_EQTY_200004992">#REF!,#REF!,#REF!,#REF!,#REF!,#REF!,#REF!,#REF!,#REF!,#REF!</definedName>
    <definedName name="V_ALL_KEYWORDS_TYPE_ScalarContributed_EQTY_200013815">#REF!,#REF!,#REF!,#REF!,#REF!,#REF!,#REF!,#REF!,#REF!</definedName>
    <definedName name="V_ALL_KEYWORDS_TYPE_ScalarContributed_EQTY_200014619">#REF!,#REF!,#REF!,#REF!,#REF!,#REF!,#REF!,#REF!</definedName>
    <definedName name="V_ALL_KEYWORDS_TYPE_ScalarContributed_ISSR_208005522">#REF!</definedName>
    <definedName name="V_ALL_KEYWORDS_TYPE_ScalarContributed_ISSR_208005563">#REF!,#REF!</definedName>
    <definedName name="V_ALL_KEYWORDS_TYPE_ScalarContributed_ISSR_208011369">#REF!,#REF!,#REF!</definedName>
    <definedName name="V_ALL_KEYWORDS_TYPE_ScalarReference_EQTY_200004992">#REF!</definedName>
    <definedName name="V_ALL_KEYWORDS_TYPE_ScalarReference_ISSR_208005522">#REF!</definedName>
    <definedName name="V_ALL_KEYWORDS_TYPE_Vector_EQTY_200004992">#REF!,#REF!,#REF!,#REF!,#REF!,#REF!,#REF!,#REF!,#REF!,#REF!,#REF!,#REF!,#REF!</definedName>
    <definedName name="V_ALL_KEYWORDS_TYPE_Vector_EQTY_200005072">#REF!,#REF!,#REF!,#REF!,#REF!,#REF!,#REF!,#REF!,#REF!,#REF!,#REF!,#REF!,#REF!,#REF!,#REF!,#REF!,#REF!,#REF!,#REF!,#REF!</definedName>
    <definedName name="V_ALL_KEYWORDS_TYPE_Vector_EQTY_200013815">#REF!,#REF!,#REF!,#REF!,#REF!,#REF!,#REF!,#REF!,#REF!,#REF!,#REF!,#REF!,#REF!,#REF!,#REF!,#REF!,#REF!,#REF!,#REF!,#REF!,#REF!,#REF!,#REF!</definedName>
    <definedName name="V_ALL_KEYWORDS_TYPE_Vector_EQTY_200014619">#REF!,#REF!,#REF!,#REF!,#REF!,#REF!,#REF!,#REF!,#REF!,#REF!,#REF!,#REF!,#REF!</definedName>
    <definedName name="V_ALL_KEYWORDS_TYPE_Vector_ISSR_208005522">#REF!,#REF!,#REF!,#REF!,#REF!,#REF!,#REF!,#REF!,#REF!,#REF!,#REF!,#REF!,#REF!,#REF!,#REF!,#REF!,#REF!,#REF!,#REF!,#REF!,#REF!,#REF!,#REF!,#REF!,#REF!</definedName>
    <definedName name="V_ALL_KEYWORDS_TYPE_Vector_ISSR_208005563">#REF!,#REF!,#REF!,#REF!,#REF!,#REF!,#REF!,#REF!,#REF!,#REF!,#REF!,#REF!,#REF!,#REF!,#REF!,#REF!,#REF!,#REF!,#REF!,#REF!,#REF!,#REF!,#REF!,#REF!,#REF!,#REF!,#REF!,#REF!,#REF!,#REF!,#REF!,#REF!,#REF!,#REF!</definedName>
    <definedName name="V_ALL_KEYWORDS_TYPE_Vector_ISSR_208010674">#REF!,#REF!,#REF!,#REF!,#REF!,#REF!,#REF!,#REF!,#REF!,#REF!,#REF!,#REF!,#REF!,#REF!,#REF!,#REF!,#REF!,#REF!,#REF!,#REF!,#REF!,#REF!,#REF!,#REF!,#REF!,#REF!,#REF!,#REF!,#REF!,#REF!,#REF!,#REF!,#REF!,#REF!,#REF!,#REF!,#REF!,#REF!</definedName>
    <definedName name="V_ALL_KEYWORDS_TYPE_Vector_ISSR_208011369">#REF!,#REF!,#REF!,#REF!,#REF!,#REF!,#REF!,#REF!,#REF!,#REF!,#REF!,#REF!,#REF!,#REF!,#REF!,#REF!,#REF!,#REF!,#REF!</definedName>
    <definedName name="V_ALL_KEYWORDS_TYPE_Vector_ISSR_208013265">#REF!,#REF!,#REF!,#REF!,#REF!,#REF!,#REF!,#REF!,#REF!,#REF!,#REF!,#REF!,#REF!,#REF!,#REF!,#REF!,#REF!,#REF!,#REF!,#REF!,#REF!,#REF!,#REF!,#REF!,#REF!,#REF!,#REF!,#REF!,#REF!,#REF!,#REF!,#REF!,#REF!,#REF!,#REF!,#REF!,#REF!</definedName>
    <definedName name="V_ALL_NHF.AX">#REF!</definedName>
    <definedName name="V_ALL_NWL.AX">#REF!</definedName>
    <definedName name="V_ALL_PEP.AX">#REF!</definedName>
    <definedName name="V_ALL_PTM.AX">#REF!</definedName>
    <definedName name="V_ALL_SECTION_KEYWORDS_EQTY_200004992_1314">#REF!</definedName>
    <definedName name="V_ALL_SECTION_KEYWORDS_EQTY_200004992_1316A">#REF!</definedName>
    <definedName name="V_ALL_SECTION_KEYWORDS_EQTY_200004992_1316B">#REF!</definedName>
    <definedName name="V_ALL_SECTION_KEYWORDS_EQTY_200004992_1316C">#REF!</definedName>
    <definedName name="V_ALL_SECTION_KEYWORDS_EQTY_200004992_1316E">#REF!</definedName>
    <definedName name="V_ALL_SECTION_KEYWORDS_EQTY_200004992_1319">#REF!</definedName>
    <definedName name="V_ALL_SECTION_KEYWORDS_EQTY_200004992_131O">#REF!</definedName>
    <definedName name="V_ALL_SECTION_KEYWORDS_EQTY_200004992_131P">#REF!</definedName>
    <definedName name="V_ALL_SECTION_KEYWORDS_EQTY_200004992_13A">#REF!</definedName>
    <definedName name="V_ALL_SECTION_KEYWORDS_EQTY_200004992_13K">#REF!</definedName>
    <definedName name="V_ALL_SECTION_KEYWORDS_EQTY_200004992_13U">#REF!</definedName>
    <definedName name="V_ALL_SECTION_KEYWORDS_EQTY_200004992_13V">#REF!</definedName>
    <definedName name="V_ALL_SECTION_KEYWORDS_EQTY_200004992_Reference_Data">#REF!</definedName>
    <definedName name="V_ALL_SECTION_KEYWORDS_EQTY_200005072_1314">#REF!</definedName>
    <definedName name="V_ALL_SECTION_KEYWORDS_EQTY_200005072_1319">#REF!</definedName>
    <definedName name="V_ALL_SECTION_KEYWORDS_EQTY_200005072_13K">#REF!</definedName>
    <definedName name="V_ALL_SECTION_KEYWORDS_EQTY_200013815_13A">#REF!</definedName>
    <definedName name="V_ALL_SECTION_KEYWORDS_EQTY_200014619_13A">#REF!</definedName>
    <definedName name="V_ALL_SECTION_KEYWORDS_ISSR_208005522_1314">#REF!</definedName>
    <definedName name="V_ALL_SECTION_KEYWORDS_ISSR_208005522_13168">#REF!</definedName>
    <definedName name="V_ALL_SECTION_KEYWORDS_ISSR_208005522_1316B">#REF!</definedName>
    <definedName name="V_ALL_SECTION_KEYWORDS_ISSR_208005522_1316C">#REF!</definedName>
    <definedName name="V_ALL_SECTION_KEYWORDS_ISSR_208005522_1316E">#REF!</definedName>
    <definedName name="V_ALL_SECTION_KEYWORDS_ISSR_208005522_1316U">#REF!</definedName>
    <definedName name="V_ALL_SECTION_KEYWORDS_ISSR_208005522_1319">#REF!</definedName>
    <definedName name="V_ALL_SECTION_KEYWORDS_ISSR_208005522_131E">#REF!</definedName>
    <definedName name="V_ALL_SECTION_KEYWORDS_ISSR_208005522_131J">#REF!</definedName>
    <definedName name="V_ALL_SECTION_KEYWORDS_ISSR_208005522_131O">#REF!</definedName>
    <definedName name="V_ALL_SECTION_KEYWORDS_ISSR_208005522_131P">#REF!</definedName>
    <definedName name="V_ALL_SECTION_KEYWORDS_ISSR_208005522_133M">#REF!</definedName>
    <definedName name="V_ALL_SECTION_KEYWORDS_ISSR_208005522_133R">#REF!</definedName>
    <definedName name="V_ALL_SECTION_KEYWORDS_ISSR_208005522_133W">#REF!</definedName>
    <definedName name="V_ALL_SECTION_KEYWORDS_ISSR_208005522_1341">#REF!</definedName>
    <definedName name="V_ALL_SECTION_KEYWORDS_ISSR_208005522_1346">#REF!</definedName>
    <definedName name="V_ALL_SECTION_KEYWORDS_ISSR_208005522_134B">#REF!</definedName>
    <definedName name="V_ALL_SECTION_KEYWORDS_ISSR_208005522_134G">#REF!</definedName>
    <definedName name="V_ALL_SECTION_KEYWORDS_ISSR_208005522_134L">#REF!</definedName>
    <definedName name="V_ALL_SECTION_KEYWORDS_ISSR_208005522_134Q">#REF!</definedName>
    <definedName name="V_ALL_SECTION_KEYWORDS_ISSR_208005522_134V">#REF!</definedName>
    <definedName name="V_ALL_SECTION_KEYWORDS_ISSR_208005522_13U">#REF!</definedName>
    <definedName name="V_ALL_SECTION_KEYWORDS_ISSR_208005522_13V">#REF!</definedName>
    <definedName name="V_ALL_SECTION_KEYWORDS_ISSR_208005522_Reference_Data">#REF!</definedName>
    <definedName name="V_ALL_SECTION_KEYWORDS_ISSR_208005563_1314">#REF!</definedName>
    <definedName name="V_ALL_SECTION_KEYWORDS_ISSR_208005563_13168">#REF!</definedName>
    <definedName name="V_ALL_SECTION_KEYWORDS_ISSR_208005563_131P">#REF!</definedName>
    <definedName name="V_ALL_SECTION_KEYWORDS_ISSR_208005563_136E">#REF!,#REF!</definedName>
    <definedName name="V_ALL_SECTION_KEYWORDS_ISSR_208005563_13P">#REF!</definedName>
    <definedName name="V_ALL_SECTION_KEYWORDS_ISSR_208005563_13T">#REF!,#REF!</definedName>
    <definedName name="V_ALL_SECTION_KEYWORDS_ISSR_208005563_13U">#REF!</definedName>
    <definedName name="V_ALL_SECTION_KEYWORDS_ISSR_208010674_1314">#REF!</definedName>
    <definedName name="V_ALL_SECTION_KEYWORDS_ISSR_208010674_1319">#REF!,#REF!</definedName>
    <definedName name="V_ALL_SECTION_KEYWORDS_ISSR_208010674_131P">#REF!,#REF!</definedName>
    <definedName name="V_ALL_SECTION_KEYWORDS_ISSR_208010674_13U">#REF!</definedName>
    <definedName name="V_ALL_SECTION_KEYWORDS_ISSR_208010674_13V">#REF!,#REF!</definedName>
    <definedName name="V_ALL_SECTION_KEYWORDS_ISSR_208010674_15">#REF!</definedName>
    <definedName name="V_ALL_SECTION_KEYWORDS_ISSR_208010674_151">#REF!</definedName>
    <definedName name="V_ALL_SECTION_KEYWORDS_ISSR_208011369_13A">#REF!,#REF!</definedName>
    <definedName name="V_ALL_SECTION_KEYWORDS_ISSR_208011369_13V">#REF!,#REF!</definedName>
    <definedName name="V_ALL_SECTIONS_EQTY_200014619">#REF!,#REF!,#REF!,#REF!,#REF!,#REF!,#REF!,#REF!,#REF!,#REF!,#REF!,#REF!,#REF!</definedName>
    <definedName name="V_ALL_SECTIONS_ISSR_208005522">#REF!,#REF!,#REF!,#REF!,#REF!,#REF!,#REF!,#REF!,#REF!,#REF!,#REF!,#REF!,#REF!,#REF!,#REF!,#REF!,#REF!,#REF!,#REF!,#REF!,#REF!,#REF!,#REF!,#REF!</definedName>
    <definedName name="V_ALL_SECTIONS_ISSR_208011369">#REF!,#REF!,#REF!,#REF!,#REF!,#REF!,#REF!,#REF!,#REF!,#REF!,#REF!,#REF!,#REF!,#REF!</definedName>
    <definedName name="V_CURRENCY_EQTY_200004992_PRI">#REF!</definedName>
    <definedName name="V_CURRENCY_EQTY_200004992_PUB">#REF!</definedName>
    <definedName name="V_CURRENCY_EQTY_200004992_REP">#REF!</definedName>
    <definedName name="V_CURRENCY_ISSR_208005522_REP">#REF!</definedName>
    <definedName name="V_KEYWORD_EQTY_200004992_ANZ_CONVICTION">#REF!</definedName>
    <definedName name="V_KEYWORD_EQTY_200004992_ANZ_LIST">#REF!</definedName>
    <definedName name="V_KEYWORD_EQTY_200004992_ASSET_SALES_GAIN_LOSS">#REF!</definedName>
    <definedName name="V_KEYWORD_EQTY_200004992_AVG_ORD_SHOLDERS_EQUITY">#REF!</definedName>
    <definedName name="V_KEYWORD_EQTY_200004992_AVG_PREF_CAPITAL">#REF!</definedName>
    <definedName name="V_KEYWORD_EQTY_200004992_B_BS_L_GSEQUITY">#REF!</definedName>
    <definedName name="V_KEYWORD_EQTY_200004992_B_CAMELOT_BETA">#REF!</definedName>
    <definedName name="V_KEYWORD_EQTY_200004992_B_CAMELOT_CAGR_DPS">#REF!</definedName>
    <definedName name="V_KEYWORD_EQTY_200004992_B_CAMELOT_PB">#REF!</definedName>
    <definedName name="V_KEYWORD_EQTY_200004992_B_CAMELOT_PE">#REF!</definedName>
    <definedName name="V_KEYWORD_EQTY_200004992_B_FORECASTRANGE">#REF!</definedName>
    <definedName name="V_KEYWORD_EQTY_200004992_B_FORECASTYRS">#REF!</definedName>
    <definedName name="V_KEYWORD_EQTY_200004992_B_PL_GSBVPS">#REF!</definedName>
    <definedName name="V_KEYWORD_EQTY_200004992_B_PL_GSEPS">#REF!</definedName>
    <definedName name="V_KEYWORD_EQTY_200004992_B_PL_GSINCOME">#REF!</definedName>
    <definedName name="V_KEYWORD_EQTY_200004992_B_PL_PTASSOC">#REF!</definedName>
    <definedName name="V_KEYWORD_EQTY_200004992_B_RIM_BETA">#REF!</definedName>
    <definedName name="V_KEYWORD_EQTY_200004992_B_RIM_COE">#REF!</definedName>
    <definedName name="V_KEYWORD_EQTY_200004992_B_RIM_PB">#REF!</definedName>
    <definedName name="V_KEYWORD_EQTY_200004992_B_RIM_PE">#REF!</definedName>
    <definedName name="V_KEYWORD_EQTY_200004992_BASE_CASE_VAL_DCF">#REF!</definedName>
    <definedName name="V_KEYWORD_EQTY_200004992_BENEFITS_TAX_LOSSES">#REF!</definedName>
    <definedName name="V_KEYWORD_EQTY_200004992_BETA_ANALYST">#REF!</definedName>
    <definedName name="V_KEYWORD_EQTY_200004992_BVPS">#REF!</definedName>
    <definedName name="V_KEYWORD_EQTY_200004992_BVPS_PUB">#REF!</definedName>
    <definedName name="V_KEYWORD_EQTY_200004992_CASH_EARNINGS_COMPANY">#REF!</definedName>
    <definedName name="V_KEYWORD_EQTY_200004992_CATALYST1_DATE">#REF!</definedName>
    <definedName name="V_KEYWORD_EQTY_200004992_CATALYST1_EVENT">#REF!</definedName>
    <definedName name="V_KEYWORD_EQTY_200004992_CATALYST2_DATE">#REF!</definedName>
    <definedName name="V_KEYWORD_EQTY_200004992_CATALYST2_EVENT">#REF!</definedName>
    <definedName name="V_KEYWORD_EQTY_200004992_CATALYST3_DATE">#REF!</definedName>
    <definedName name="V_KEYWORD_EQTY_200004992_CATALYST3_EVENT">#REF!</definedName>
    <definedName name="V_KEYWORD_EQTY_200004992_CATALYST4_DATE">#REF!</definedName>
    <definedName name="V_KEYWORD_EQTY_200004992_CATALYST4_EVENT">#REF!</definedName>
    <definedName name="V_KEYWORD_EQTY_200004992_CATALYST5_DATE">#REF!</definedName>
    <definedName name="V_KEYWORD_EQTY_200004992_CATALYST5_EVENT">#REF!</definedName>
    <definedName name="V_KEYWORD_EQTY_200004992_COE">#REF!</definedName>
    <definedName name="V_KEYWORD_EQTY_200004992_COMMON_DIV_PAID">#REF!</definedName>
    <definedName name="V_KEYWORD_EQTY_200004992_CONVERTIBLE_NOTES">#REF!</definedName>
    <definedName name="V_KEYWORD_EQTY_200004992_COST_OF_EQUITY_DCF">#REF!</definedName>
    <definedName name="V_KEYWORD_EQTY_200004992_CUM_PRESENT_VAL_CASH_FLOWS_DCF">#REF!</definedName>
    <definedName name="V_KEYWORD_EQTY_200004992_CURRENCY_ISO">#REF!</definedName>
    <definedName name="V_KEYWORD_EQTY_200004992_DCF_CASH_FLOW">#REF!</definedName>
    <definedName name="V_KEYWORD_EQTY_200004992_DEBT_EQUITY">#REF!</definedName>
    <definedName name="V_KEYWORD_EQTY_200004992_DEBT_RISK_MARGIN_DCF">#REF!</definedName>
    <definedName name="V_KEYWORD_EQTY_200004992_DILUTE_NI_IMPAC">#REF!</definedName>
    <definedName name="V_KEYWORD_EQTY_200004992_DILUTE_SHARES">#REF!</definedName>
    <definedName name="V_KEYWORD_EQTY_200004992_DISCOUNT_FACTOR_DCF">#REF!</definedName>
    <definedName name="V_KEYWORD_EQTY_200004992_DPS">#REF!</definedName>
    <definedName name="V_KEYWORD_EQTY_200004992_DPS_PUB">#REF!</definedName>
    <definedName name="V_KEYWORD_EQTY_200004992_DRP_DISCOUNT">#REF!</definedName>
    <definedName name="V_KEYWORD_EQTY_200004992_DRP_PARTICIPATION">#REF!</definedName>
    <definedName name="V_KEYWORD_EQTY_200004992_EBIT_PUB">#REF!</definedName>
    <definedName name="V_KEYWORD_EQTY_200004992_EBITDA_PUB">#REF!</definedName>
    <definedName name="V_KEYWORD_EQTY_200004992_EFF_INT_RATE_IMPACT_POST_TAX">#REF!</definedName>
    <definedName name="V_KEYWORD_EQTY_200004992_EFPO">#REF!</definedName>
    <definedName name="V_KEYWORD_EQTY_200004992_EFPOWA">#REF!</definedName>
    <definedName name="V_KEYWORD_EQTY_200004992_EPS">#REF!</definedName>
    <definedName name="V_KEYWORD_EQTY_200004992_EPS_CONS_PUB">#REF!</definedName>
    <definedName name="V_KEYWORD_EQTY_200004992_EPS_PRE_GWILL">#REF!</definedName>
    <definedName name="V_KEYWORD_EQTY_200004992_EPS_PUB">#REF!</definedName>
    <definedName name="V_KEYWORD_EQTY_200004992_EPS_REPORTED">#REF!</definedName>
    <definedName name="V_KEYWORD_EQTY_200004992_EQ_PUB">#REF!</definedName>
    <definedName name="V_KEYWORD_EQTY_200004992_EQUITY_VALUE_DCF">#REF!</definedName>
    <definedName name="V_KEYWORD_EQTY_200004992_EV_ADJ_PUB">#REF!</definedName>
    <definedName name="V_KEYWORD_EQTY_200004992_FIN_INSTRUMENT_HEDGE_POST_TAX">#REF!</definedName>
    <definedName name="V_KEYWORD_EQTY_200004992_FINAL_DIV_AMOUNT">#REF!</definedName>
    <definedName name="V_KEYWORD_EQTY_200004992_FINAL_DIV_EXDATE">#REF!</definedName>
    <definedName name="V_KEYWORD_EQTY_200004992_FINAL_DIV_FRANK">#REF!</definedName>
    <definedName name="V_KEYWORD_EQTY_200004992_FINAL_DIV_TAXRATE">#REF!</definedName>
    <definedName name="V_KEYWORD_EQTY_200004992_FOREIGN_EXCHANGE_GAIN_LOSS">#REF!</definedName>
    <definedName name="V_KEYWORD_EQTY_200004992_FOREIGN_HOLDNG">#REF!</definedName>
    <definedName name="V_KEYWORD_EQTY_200004992_FRANK_TAX_RATE">#REF!</definedName>
    <definedName name="V_KEYWORD_EQTY_200004992_FRANKING">#REF!</definedName>
    <definedName name="V_KEYWORD_EQTY_200004992_FRANKING_ANZPUB">#REF!</definedName>
    <definedName name="V_KEYWORD_EQTY_200004992_FREE_FLOAT">#REF!</definedName>
    <definedName name="V_KEYWORD_EQTY_200004992_FULLY_DIL_EPS">#REF!</definedName>
    <definedName name="V_KEYWORD_EQTY_200004992_GRTH_CAGR_TOT_ASSET_PROJECTED">#REF!</definedName>
    <definedName name="V_KEYWORD_EQTY_200004992_GRTH_CAGR_TOT_ASSET_TERMINAL">#REF!</definedName>
    <definedName name="V_KEYWORD_EQTY_200004992_GWILL_ASSET_IMP_CHG_POST_TAX">#REF!</definedName>
    <definedName name="V_KEYWORD_EQTY_200004992_IMP_CREDITS_PER_SHARE_DCF">#REF!</definedName>
    <definedName name="V_KEYWORD_EQTY_200004992_INC_MINORITY">#REF!</definedName>
    <definedName name="V_KEYWORD_EQTY_200004992_INCTAX_PL_ON_AB">#REF!</definedName>
    <definedName name="V_KEYWORD_EQTY_200004992_INCTAX_PL_POST_AB">#REF!</definedName>
    <definedName name="V_KEYWORD_EQTY_200004992_INT_DIV_AMOUNT">#REF!</definedName>
    <definedName name="V_KEYWORD_EQTY_200004992_INT_DIV_EXDATE">#REF!</definedName>
    <definedName name="V_KEYWORD_EQTY_200004992_INT_DIV_FRANK">#REF!</definedName>
    <definedName name="V_KEYWORD_EQTY_200004992_INT_DIV_TAXRATE">#REF!</definedName>
    <definedName name="V_KEYWORD_EQTY_200004992_Interim_Type">#REF!</definedName>
    <definedName name="V_KEYWORD_EQTY_200004992_INTRINSIC_PER_SHARE_VALUE_DCF">#REF!</definedName>
    <definedName name="V_KEYWORD_EQTY_200004992_LEGAL_RATING">#REF!</definedName>
    <definedName name="V_KEYWORD_EQTY_200004992_MARGIN_TAX_RATE">#REF!</definedName>
    <definedName name="V_KEYWORD_EQTY_200004992_MARKET_VALUE_OF_INVESTMENTS_DCF">#REF!</definedName>
    <definedName name="V_KEYWORD_EQTY_200004992_MINOR_EQUITY">#REF!</definedName>
    <definedName name="V_KEYWORD_EQTY_200004992_MINOR_NON_EQUITY">#REF!</definedName>
    <definedName name="V_KEYWORD_EQTY_200004992_MKT_EQ_RISK_PREM">#REF!</definedName>
    <definedName name="V_KEYWORD_EQTY_200004992_NET_DEBT_NET_CASH_DCF">#REF!</definedName>
    <definedName name="V_KEYWORD_EQTY_200004992_NET_DEBT_PUB">#REF!</definedName>
    <definedName name="V_KEYWORD_EQTY_200004992_NET_EARNING">#REF!</definedName>
    <definedName name="V_KEYWORD_EQTY_200004992_NET_INC">#REF!</definedName>
    <definedName name="V_KEYWORD_EQTY_200004992_NET_PROFIT">#REF!</definedName>
    <definedName name="V_KEYWORD_EQTY_200004992_NET_TANGIBLE_ASSETS_ADJUSTED_NZ">#REF!</definedName>
    <definedName name="V_KEYWORD_EQTY_200004992_NI_CONS">#REF!</definedName>
    <definedName name="V_KEYWORD_EQTY_200004992_NI_PUB">#REF!</definedName>
    <definedName name="V_KEYWORD_EQTY_200004992_NI_REPT_PUB">#REF!</definedName>
    <definedName name="V_KEYWORD_EQTY_200004992_NON_OP_ADD">#REF!</definedName>
    <definedName name="V_KEYWORD_EQTY_200004992_NOPAT">#REF!</definedName>
    <definedName name="V_KEYWORD_EQTY_200004992_NTA_PER_SHARE">#REF!</definedName>
    <definedName name="V_KEYWORD_EQTY_200004992_NUM_SH">#REF!</definedName>
    <definedName name="V_KEYWORD_EQTY_200004992_OPPL_ATAX_POST_AB">#REF!</definedName>
    <definedName name="V_KEYWORD_EQTY_200004992_OPTIONS">#REF!</definedName>
    <definedName name="V_KEYWORD_EQTY_200004992_OPTIONS_IN_MONEY">#REF!</definedName>
    <definedName name="V_KEYWORD_EQTY_200004992_OTH_ASSET_IMPAIR_CHG_POST_TAX">#REF!</definedName>
    <definedName name="V_KEYWORD_EQTY_200004992_OTHER_ABNORMAL_ITEMS">#REF!</definedName>
    <definedName name="V_KEYWORD_EQTY_200004992_OTHER_CAPITAL">#REF!</definedName>
    <definedName name="V_KEYWORD_EQTY_200004992_OTHER_IFRS_ADJUST_POST_TAX">#REF!</definedName>
    <definedName name="V_KEYWORD_EQTY_200004992_PARTLY_PAID_SHARES">#REF!</definedName>
    <definedName name="V_KEYWORD_EQTY_200004992_PERPETUITY_GROWTH_RATE_DCF">#REF!</definedName>
    <definedName name="V_KEYWORD_EQTY_200004992_PREFERENCE_SHARES">#REF!</definedName>
    <definedName name="V_KEYWORD_EQTY_200004992_PRESENT_VALUE_OF_CASH_FLOW_DCF">#REF!</definedName>
    <definedName name="V_KEYWORD_EQTY_200004992_PRI_TARG_METH">#REF!</definedName>
    <definedName name="V_KEYWORD_EQTY_200004992_PRI_TARG_MULT">#REF!</definedName>
    <definedName name="V_KEYWORD_EQTY_200004992_PRICE_CURRENCY_ISO">#REF!</definedName>
    <definedName name="V_KEYWORD_EQTY_200004992_PROF_ADJUST_EPS">#REF!</definedName>
    <definedName name="V_KEYWORD_EQTY_200004992_PROF_AT">#REF!</definedName>
    <definedName name="V_KEYWORD_EQTY_200004992_PROV_INC_TAX">#REF!</definedName>
    <definedName name="V_KEYWORD_EQTY_200004992_PTP_PUB">#REF!</definedName>
    <definedName name="V_KEYWORD_EQTY_200004992_PUB_CURRENCY_ISO">#REF!</definedName>
    <definedName name="V_KEYWORD_EQTY_200004992_RESTRUC_COSTS">#REF!</definedName>
    <definedName name="V_KEYWORD_EQTY_200004992_REVS_PUB">#REF!</definedName>
    <definedName name="V_KEYWORD_EQTY_200004992_RISK_ADJ_OPTION_VALUE_DCF">#REF!</definedName>
    <definedName name="V_KEYWORD_EQTY_200004992_RISK_FR_RATE">#REF!</definedName>
    <definedName name="V_KEYWORD_EQTY_200004992_RISK_TO_EARNINGS">#REF!</definedName>
    <definedName name="V_KEYWORD_EQTY_200004992_RISK_WEIGHTED_ASSET_APRA">#REF!</definedName>
    <definedName name="V_KEYWORD_EQTY_200004992_ROAA_PROJECTED">#REF!</definedName>
    <definedName name="V_KEYWORD_EQTY_200004992_ROCE_ANZ">#REF!</definedName>
    <definedName name="V_KEYWORD_EQTY_200004992_ROE_TERMINAL">#REF!</definedName>
    <definedName name="V_KEYWORD_EQTY_200004992_Security_Name">#REF!</definedName>
    <definedName name="V_KEYWORD_EQTY_200004992_SH">#REF!</definedName>
    <definedName name="V_KEYWORD_EQTY_200004992_SHOLDERS_EQUITY_MBRS">#REF!</definedName>
    <definedName name="V_KEYWORD_EQTY_200004992_STD_FREE_OP_CASH_FLOW_DCF">#REF!</definedName>
    <definedName name="V_KEYWORD_EQTY_200004992_TANG_BVPS">#REF!</definedName>
    <definedName name="V_KEYWORD_EQTY_200004992_TARGET_PRICE">#REF!</definedName>
    <definedName name="V_KEYWORD_EQTY_200004992_TAX_EXC">#REF!</definedName>
    <definedName name="V_KEYWORD_EQTY_200004992_TAX_RATE_DCF">#REF!</definedName>
    <definedName name="V_KEYWORD_EQTY_200004992_TBVPS_LAST">#REF!</definedName>
    <definedName name="V_KEYWORD_EQTY_200004992_TERMINAL_YEAR_DCF">#REF!</definedName>
    <definedName name="V_KEYWORD_EQTY_200004992_Ticker">#REF!</definedName>
    <definedName name="V_KEYWORD_EQTY_200004992_TOTAL_ANNUAL_DIV_AMOUNT">#REF!</definedName>
    <definedName name="V_KEYWORD_EQTY_200004992_TOTAL_CAPITAL_EFPO">#REF!</definedName>
    <definedName name="V_KEYWORD_EQTY_200004992_TOTAL_CAPITAL_EFPOWA">#REF!</definedName>
    <definedName name="V_KEYWORD_EQTY_200004992_TOTAL_IFRS_ADJUST_POST_TAX">#REF!</definedName>
    <definedName name="V_KEYWORD_EQTY_200004992_TP_PERIOD">#REF!</definedName>
    <definedName name="V_KEYWORD_EQTY_200004992_VALUATION_YEAR">#REF!</definedName>
    <definedName name="V_KEYWORD_EQTY_200004992_WACC_DCF">#REF!</definedName>
    <definedName name="V_KEYWORD_EQTY_200004992_YEAR_END_CAPITAL_EVA">#REF!</definedName>
    <definedName name="V_KEYWORD_ISSR_208005522_ACC_END_DATE">#REF!</definedName>
    <definedName name="V_KEYWORD_ISSR_208005522_ACCEPTANCES_ASSETS">#REF!</definedName>
    <definedName name="V_KEYWORD_ISSR_208005522_ACCEPTANCES_LIABS">#REF!</definedName>
    <definedName name="V_KEYWORD_ISSR_208005522_ACCRUAL">#REF!</definedName>
    <definedName name="V_KEYWORD_ISSR_208005522_AMORT_OF_INTANGIBLES">#REF!</definedName>
    <definedName name="V_KEYWORD_ISSR_208005522_AMORT_OF_INTANGIBLES_ADJ">#REF!</definedName>
    <definedName name="V_KEYWORD_ISSR_208005522_ASIA_ASS">#REF!</definedName>
    <definedName name="V_KEYWORD_ISSR_208005522_ASIA_OP">#REF!</definedName>
    <definedName name="V_KEYWORD_ISSR_208005522_ASIA_SALES">#REF!</definedName>
    <definedName name="V_KEYWORD_ISSR_208005522_ASSET_MISC">#REF!</definedName>
    <definedName name="V_KEYWORD_ISSR_208005522_ASSOCIATE">#REF!</definedName>
    <definedName name="V_KEYWORD_ISSR_208005522_AVG_ACCEPTANCES">#REF!</definedName>
    <definedName name="V_KEYWORD_ISSR_208005522_AVG_CAPITAL_EMPLOYED_ADJ">#REF!</definedName>
    <definedName name="V_KEYWORD_ISSR_208005522_AVG_GROSS_NON_PERF_ASSETS">#REF!</definedName>
    <definedName name="V_KEYWORD_ISSR_208005522_AVG_INT_BEARING_LIABS">#REF!</definedName>
    <definedName name="V_KEYWORD_ISSR_208005522_AVG_INT_EARN_ASSETS">#REF!</definedName>
    <definedName name="V_KEYWORD_ISSR_208005522_AVG_LOANS_ADVANCES">#REF!</definedName>
    <definedName name="V_KEYWORD_ISSR_208005522_AVG_NON_INT_BEARING_LIABS">#REF!</definedName>
    <definedName name="V_KEYWORD_ISSR_208005522_AVG_OTH_PROD_ASSETS">#REF!</definedName>
    <definedName name="V_KEYWORD_ISSR_208005522_AVG_OTHER_ASSETS">#REF!</definedName>
    <definedName name="V_KEYWORD_ISSR_208005522_AVG_OTHER_LIABS">#REF!</definedName>
    <definedName name="V_KEYWORD_ISSR_208005522_AVG_PROD_INT_EARN_ASSETS">#REF!</definedName>
    <definedName name="V_KEYWORD_ISSR_208005522_AVG_PROV_BAD_DEBT">#REF!</definedName>
    <definedName name="V_KEYWORD_ISSR_208005522_AVG_TOTAL_ASSETS">#REF!</definedName>
    <definedName name="V_KEYWORD_ISSR_208005522_B_BS_A_DEBTTOT">#REF!</definedName>
    <definedName name="V_KEYWORD_ISSR_208005522_B_BS_A_LNBNK">#REF!</definedName>
    <definedName name="V_KEYWORD_ISSR_208005522_B_BS_A_NETLOANS">#REF!</definedName>
    <definedName name="V_KEYWORD_ISSR_208005522_B_BS_A_OTHINT1">#REF!</definedName>
    <definedName name="V_KEYWORD_ISSR_208005522_B_BS_A_PERIOD">#REF!</definedName>
    <definedName name="V_KEYWORD_ISSR_208005522_B_BS_L_BANKDEP">#REF!</definedName>
    <definedName name="V_KEYWORD_ISSR_208005522_B_BS_L_CUSTDEP">#REF!</definedName>
    <definedName name="V_KEYWORD_ISSR_208005522_B_BS_L_GSTANGEQ">#REF!</definedName>
    <definedName name="V_KEYWORD_ISSR_208005522_B_BS_L_PERIOD">#REF!</definedName>
    <definedName name="V_KEYWORD_ISSR_208005522_B_CA_BISRATIO">#REF!</definedName>
    <definedName name="V_KEYWORD_ISSR_208005522_B_CA_CAPBASE">#REF!</definedName>
    <definedName name="V_KEYWORD_ISSR_208005522_B_CA_CORECAP">#REF!</definedName>
    <definedName name="V_KEYWORD_ISSR_208005522_B_CA_PREFCAP">#REF!</definedName>
    <definedName name="V_KEYWORD_ISSR_208005522_B_CA_RWA">#REF!</definedName>
    <definedName name="V_KEYWORD_ISSR_208005522_B_CA_T1CAP">#REF!</definedName>
    <definedName name="V_KEYWORD_ISSR_208005522_B_CA_T1RATIO">#REF!</definedName>
    <definedName name="V_KEYWORD_ISSR_208005522_B_CA_T2CAP">#REF!</definedName>
    <definedName name="V_KEYWORD_ISSR_208005522_B_CA_T2RATIO">#REF!</definedName>
    <definedName name="V_KEYWORD_ISSR_208005522_B_CAMELOT_SUST_ROE">#REF!</definedName>
    <definedName name="V_KEYWORD_ISSR_208005522_B_DE_DEMAND">#REF!</definedName>
    <definedName name="V_KEYWORD_ISSR_208005522_B_DE_OTHERS">#REF!</definedName>
    <definedName name="V_KEYWORD_ISSR_208005522_B_DE_TIME">#REF!</definedName>
    <definedName name="V_KEYWORD_ISSR_208005522_B_DE_TOTDEPOSIT">#REF!</definedName>
    <definedName name="V_KEYWORD_ISSR_208005522_B_IH_BKVALUE">#REF!</definedName>
    <definedName name="V_KEYWORD_ISSR_208005522_B_IH_MKTVALUE">#REF!</definedName>
    <definedName name="V_KEYWORD_ISSR_208005522_B_IH_PTAXVALUE">#REF!</definedName>
    <definedName name="V_KEYWORD_ISSR_208005522_B_IH_TAX">#REF!</definedName>
    <definedName name="V_KEYWORD_ISSR_208005522_B_IH_UNREALISE">#REF!</definedName>
    <definedName name="V_KEYWORD_ISSR_208005522_B_LB_COMMCL">#REF!</definedName>
    <definedName name="V_KEYWORD_ISSR_208005522_B_LB_CONSTRUCT">#REF!</definedName>
    <definedName name="V_KEYWORD_ISSR_208005522_B_LB_FINANCL">#REF!</definedName>
    <definedName name="V_KEYWORD_ISSR_208005522_B_LB_FINLEASE">#REF!</definedName>
    <definedName name="V_KEYWORD_ISSR_208005522_B_LB_GOVERNMT">#REF!</definedName>
    <definedName name="V_KEYWORD_ISSR_208005522_B_LB_GROSSLOANS">#REF!</definedName>
    <definedName name="V_KEYWORD_ISSR_208005522_B_LB_MORTG">#REF!</definedName>
    <definedName name="V_KEYWORD_ISSR_208005522_B_LB_OTHER">#REF!</definedName>
    <definedName name="V_KEYWORD_ISSR_208005522_B_LB_OTHLEND">#REF!</definedName>
    <definedName name="V_KEYWORD_ISSR_208005522_B_LB_OTHSECURE">#REF!</definedName>
    <definedName name="V_KEYWORD_ISSR_208005522_B_LB_OVSEASLEND">#REF!</definedName>
    <definedName name="V_KEYWORD_ISSR_208005522_B_LB_PERSON">#REF!</definedName>
    <definedName name="V_KEYWORD_ISSR_208005522_B_LB_TOTCORP">#REF!</definedName>
    <definedName name="V_KEYWORD_ISSR_208005522_B_LB_TOTPERSNL">#REF!</definedName>
    <definedName name="V_KEYWORD_ISSR_208005522_B_LT_DIV_PAYOUT">#REF!</definedName>
    <definedName name="V_KEYWORD_ISSR_208005522_B_MA_REPCOSTLIB">#REF!</definedName>
    <definedName name="V_KEYWORD_ISSR_208005522_B_MA_REPGYLD">#REF!</definedName>
    <definedName name="V_KEYWORD_ISSR_208005522_B_MA_REPIMPSPD">#REF!</definedName>
    <definedName name="V_KEYWORD_ISSR_208005522_B_MA_REPINTAST">#REF!</definedName>
    <definedName name="V_KEYWORD_ISSR_208005522_B_MA_REPINTLIB">#REF!</definedName>
    <definedName name="V_KEYWORD_ISSR_208005522_B_MA_REPNIM">#REF!</definedName>
    <definedName name="V_KEYWORD_ISSR_208005522_B_NPL_PROBLN">#REF!</definedName>
    <definedName name="V_KEYWORD_ISSR_208005522_B_NPL_TOTNPL">#REF!</definedName>
    <definedName name="V_KEYWORD_ISSR_208005522_B_PL_LOANPRV">#REF!</definedName>
    <definedName name="V_KEYWORD_ISSR_208005522_B_PL_NETINTINC">#REF!</definedName>
    <definedName name="V_KEYWORD_ISSR_208005522_B_PV_GLLRCUST">#REF!</definedName>
    <definedName name="V_KEYWORD_ISSR_208005522_B_PV_SLLRCUST">#REF!</definedName>
    <definedName name="V_KEYWORD_ISSR_208005522_B_PV_TOTLLRCUST">#REF!</definedName>
    <definedName name="V_KEYWORD_ISSR_208005522_BAL_MINO_INT">#REF!</definedName>
    <definedName name="V_KEYWORD_ISSR_208005522_BAL_OF_FRANK_CREDITS">#REF!</definedName>
    <definedName name="V_KEYWORD_ISSR_208005522_BONDS_NOTES_SUBORD_DEBT">#REF!</definedName>
    <definedName name="V_KEYWORD_ISSR_208005522_BRANCHES">#REF!</definedName>
    <definedName name="V_KEYWORD_ISSR_208005522_CAP_LEASES">#REF!</definedName>
    <definedName name="V_KEYWORD_ISSR_208005522_CASH_EQ">#REF!</definedName>
    <definedName name="V_KEYWORD_ISSR_208005522_COMMITMENTS">#REF!</definedName>
    <definedName name="V_KEYWORD_ISSR_208005522_CONTINGENCIES">#REF!</definedName>
    <definedName name="V_KEYWORD_ISSR_208005522_COST_OF_DEBT_DCF">#REF!</definedName>
    <definedName name="V_KEYWORD_ISSR_208005522_CURRENCY_ISO">#REF!</definedName>
    <definedName name="V_KEYWORD_ISSR_208005522_DEBT_SECUR">#REF!</definedName>
    <definedName name="V_KEYWORD_ISSR_208005522_DEBT_TO_EQUITY_MKT_VALUES_DCF">#REF!</definedName>
    <definedName name="V_KEYWORD_ISSR_208005522_DEFINED_BENEFIT_OBLIGATION">#REF!</definedName>
    <definedName name="V_KEYWORD_ISSR_208005522_DEFINED_BENEFIT_SURPLUS">#REF!</definedName>
    <definedName name="V_KEYWORD_ISSR_208005522_DEPREC">#REF!</definedName>
    <definedName name="V_KEYWORD_ISSR_208005522_DEVELOPMENT_VENTURES">#REF!</definedName>
    <definedName name="V_KEYWORD_ISSR_208005522_DIV_PAID">#REF!</definedName>
    <definedName name="V_KEYWORD_ISSR_208005522_DIVID_INC">#REF!</definedName>
    <definedName name="V_KEYWORD_ISSR_208005522_DOM_ASS">#REF!</definedName>
    <definedName name="V_KEYWORD_ISSR_208005522_DOM_OP">#REF!</definedName>
    <definedName name="V_KEYWORD_ISSR_208005522_DOM_SALES">#REF!</definedName>
    <definedName name="V_KEYWORD_ISSR_208005522_EBIT_UNDERLYING_PRE_GWILL">#REF!</definedName>
    <definedName name="V_KEYWORD_ISSR_208005522_EFFECT_INT_RATE_IMPACT_PRE_TAX">#REF!</definedName>
    <definedName name="V_KEYWORD_ISSR_208005522_EMER_ASS">#REF!</definedName>
    <definedName name="V_KEYWORD_ISSR_208005522_EMER_OP">#REF!</definedName>
    <definedName name="V_KEYWORD_ISSR_208005522_EMER_SALES">#REF!</definedName>
    <definedName name="V_KEYWORD_ISSR_208005522_EMPLOYEES">#REF!</definedName>
    <definedName name="V_KEYWORD_ISSR_208005522_EQ">#REF!</definedName>
    <definedName name="V_KEYWORD_ISSR_208005522_EQUIP_COSTS">#REF!</definedName>
    <definedName name="V_KEYWORD_ISSR_208005522_EUR_ASS">#REF!</definedName>
    <definedName name="V_KEYWORD_ISSR_208005522_EURO_OP">#REF!</definedName>
    <definedName name="V_KEYWORD_ISSR_208005522_EURO_SALES">#REF!</definedName>
    <definedName name="V_KEYWORD_ISSR_208005522_FIN_INSTR_HEDGE_CURR_LIABILITY">#REF!</definedName>
    <definedName name="V_KEYWORD_ISSR_208005522_FIN_INSTRUMENT_HEDGE_PRE_TAX">#REF!</definedName>
    <definedName name="V_KEYWORD_ISSR_208005522_FIN_TRANS_INC">#REF!</definedName>
    <definedName name="V_KEYWORD_ISSR_208005522_FINANCE_SERVICES_INCOME">#REF!</definedName>
    <definedName name="V_KEYWORD_ISSR_208005522_FIX_ASS_INV">#REF!</definedName>
    <definedName name="V_KEYWORD_ISSR_208005522_FOREIGN_EXCH_INCOME">#REF!</definedName>
    <definedName name="V_KEYWORD_ISSR_208005522_GEN_INS_INC">#REF!</definedName>
    <definedName name="V_KEYWORD_ISSR_208005522_GENERAL_PROV">#REF!</definedName>
    <definedName name="V_KEYWORD_ISSR_208005522_GENERAL_PROV_DOUBTFUL">#REF!</definedName>
    <definedName name="V_KEYWORD_ISSR_208005522_GOODWILL">#REF!</definedName>
    <definedName name="V_KEYWORD_ISSR_208005522_GOODWILL_AMORT">#REF!</definedName>
    <definedName name="V_KEYWORD_ISSR_208005522_GROSS_LOANS_ADVANCES">#REF!</definedName>
    <definedName name="V_KEYWORD_ISSR_208005522_GROSS_NON_ACCRUAL">#REF!</definedName>
    <definedName name="V_KEYWORD_ISSR_208005522_GROSS_OP_PROF">#REF!</definedName>
    <definedName name="V_KEYWORD_ISSR_208005522_GWILL_ASSET_IMPAIR_CHG_PRE_TAX">#REF!</definedName>
    <definedName name="V_KEYWORD_ISSR_208005522_HYBRID_DIST_PRE_TAX">#REF!</definedName>
    <definedName name="V_KEYWORD_ISSR_208005522_INS_CLAIMS">#REF!</definedName>
    <definedName name="V_KEYWORD_ISSR_208005522_INT_EARN_ASSETS">#REF!</definedName>
    <definedName name="V_KEYWORD_ISSR_208005522_INT_EXP">#REF!</definedName>
    <definedName name="V_KEYWORD_ISSR_208005522_INT_INC">#REF!</definedName>
    <definedName name="V_KEYWORD_ISSR_208005522_INV_SECUR">#REF!</definedName>
    <definedName name="V_KEYWORD_ISSR_208005522_INVESTMENT_SECS_INCOME">#REF!</definedName>
    <definedName name="V_KEYWORD_ISSR_208005522_INVESTMENTS">#REF!</definedName>
    <definedName name="V_KEYWORD_ISSR_208005522_Issuer_Name">#REF!</definedName>
    <definedName name="V_KEYWORD_ISSR_208005522_LABOUR">#REF!</definedName>
    <definedName name="V_KEYWORD_ISSR_208005522_LATAM_ASS">#REF!</definedName>
    <definedName name="V_KEYWORD_ISSR_208005522_LATAM_OP">#REF!</definedName>
    <definedName name="V_KEYWORD_ISSR_208005522_LATAM_SALES">#REF!</definedName>
    <definedName name="V_KEYWORD_ISSR_208005522_LEASE_PAY">#REF!</definedName>
    <definedName name="V_KEYWORD_ISSR_208005522_LENDING_FEES">#REF!</definedName>
    <definedName name="V_KEYWORD_ISSR_208005522_LIAB_MISC">#REF!</definedName>
    <definedName name="V_KEYWORD_ISSR_208005522_LIFE_INC">#REF!</definedName>
    <definedName name="V_KEYWORD_ISSR_208005522_LIFE_POLICY_ASS">#REF!</definedName>
    <definedName name="V_KEYWORD_ISSR_208005522_LIFE_POLICY_LIABS">#REF!</definedName>
    <definedName name="V_KEYWORD_ISSR_208005522_LIFE_SHARE">#REF!</definedName>
    <definedName name="V_KEYWORD_ISSR_208005522_LIQUID_ASSETS">#REF!</definedName>
    <definedName name="V_KEYWORD_ISSR_208005522_LOAN_CAPITAL">#REF!</definedName>
    <definedName name="V_KEYWORD_ISSR_208005522_MINOR_EQUITY_BS">#REF!</definedName>
    <definedName name="V_KEYWORD_ISSR_208005522_MINORITIES">#REF!</definedName>
    <definedName name="V_KEYWORD_ISSR_208005522_MONEY_TRANSFER_FEES">#REF!</definedName>
    <definedName name="V_KEYWORD_ISSR_208005522_MV_ASSOCIATES">#REF!</definedName>
    <definedName name="V_KEYWORD_ISSR_208005522_NAM_ASS">#REF!</definedName>
    <definedName name="V_KEYWORD_ISSR_208005522_NAM_OP">#REF!</definedName>
    <definedName name="V_KEYWORD_ISSR_208005522_NAM_SALES">#REF!</definedName>
    <definedName name="V_KEYWORD_ISSR_208005522_NET_ASSETS">#REF!</definedName>
    <definedName name="V_KEYWORD_ISSR_208005522_NET_DEBT">#REF!</definedName>
    <definedName name="V_KEYWORD_ISSR_208005522_NET_FEE">#REF!</definedName>
    <definedName name="V_KEYWORD_ISSR_208005522_NET_FIX_ASS">#REF!</definedName>
    <definedName name="V_KEYWORD_ISSR_208005522_NET_FREE_FUNDS">#REF!</definedName>
    <definedName name="V_KEYWORD_ISSR_208005522_NET_INTANG">#REF!</definedName>
    <definedName name="V_KEYWORD_ISSR_208005522_NET_OP_PROF">#REF!</definedName>
    <definedName name="V_KEYWORD_ISSR_208005522_NET_TANGIBLE_ASSETS">#REF!</definedName>
    <definedName name="V_KEYWORD_ISSR_208005522_NETCHGOFF_BS">#REF!</definedName>
    <definedName name="V_KEYWORD_ISSR_208005522_NEW_SPECIFIC_PROV">#REF!</definedName>
    <definedName name="V_KEYWORD_ISSR_208005522_NON_INT_INC">#REF!</definedName>
    <definedName name="V_KEYWORD_ISSR_208005522_OCCUPANCY_COSTS">#REF!</definedName>
    <definedName name="V_KEYWORD_ISSR_208005522_OP_COST">#REF!</definedName>
    <definedName name="V_KEYWORD_ISSR_208005522_OPPL_BTAX_POST_AB">#REF!</definedName>
    <definedName name="V_KEYWORD_ISSR_208005522_ORD_SH_FUND">#REF!</definedName>
    <definedName name="V_KEYWORD_ISSR_208005522_ORD_SHARE_CAPITAL">#REF!</definedName>
    <definedName name="V_KEYWORD_ISSR_208005522_OTH_ADMIN">#REF!</definedName>
    <definedName name="V_KEYWORD_ISSR_208005522_OTH_ASS">#REF!</definedName>
    <definedName name="V_KEYWORD_ISSR_208005522_OTH_ASSET">#REF!</definedName>
    <definedName name="V_KEYWORD_ISSR_208005522_OTH_COST">#REF!</definedName>
    <definedName name="V_KEYWORD_ISSR_208005522_OTH_COST_INC">#REF!</definedName>
    <definedName name="V_KEYWORD_ISSR_208005522_OTH_DACF_ADJ">#REF!</definedName>
    <definedName name="V_KEYWORD_ISSR_208005522_OTH_GCI_ADJ">#REF!</definedName>
    <definedName name="V_KEYWORD_ISSR_208005522_OTH_INC">#REF!</definedName>
    <definedName name="V_KEYWORD_ISSR_208005522_OTH_INTANG">#REF!</definedName>
    <definedName name="V_KEYWORD_ISSR_208005522_OTH_LIABS">#REF!</definedName>
    <definedName name="V_KEYWORD_ISSR_208005522_OTH_NONOP_EXP">#REF!</definedName>
    <definedName name="V_KEYWORD_ISSR_208005522_OTH_NONOP_INC">#REF!</definedName>
    <definedName name="V_KEYWORD_ISSR_208005522_OTH_OP">#REF!</definedName>
    <definedName name="V_KEYWORD_ISSR_208005522_OTH_PAY_LIABS">#REF!</definedName>
    <definedName name="V_KEYWORD_ISSR_208005522_OTH_PROVS">#REF!</definedName>
    <definedName name="V_KEYWORD_ISSR_208005522_OTH_SALES">#REF!</definedName>
    <definedName name="V_KEYWORD_ISSR_208005522_OTHER_ASSET_IMPAIR_CHG_PRE_TAX">#REF!</definedName>
    <definedName name="V_KEYWORD_ISSR_208005522_OTHER_EXPENSES">#REF!</definedName>
    <definedName name="V_KEYWORD_ISSR_208005522_OTHER_FEES">#REF!</definedName>
    <definedName name="V_KEYWORD_ISSR_208005522_OTHER_IFRS_ADJUST_PRE_TAX">#REF!</definedName>
    <definedName name="V_KEYWORD_ISSR_208005522_OTHER_INCOME">#REF!</definedName>
    <definedName name="V_KEYWORD_ISSR_208005522_OTHER_INTANGIBLES_DEPREC">#REF!</definedName>
    <definedName name="V_KEYWORD_ISSR_208005522_OTHER_INTANGIBLES_NON_DEPREC">#REF!</definedName>
    <definedName name="V_KEYWORD_ISSR_208005522_OTHER_STAFF_COSTS">#REF!</definedName>
    <definedName name="V_KEYWORD_ISSR_208005522_PCT_ASIA_ASS">#REF!</definedName>
    <definedName name="V_KEYWORD_ISSR_208005522_PCT_ASIA_OP">#REF!</definedName>
    <definedName name="V_KEYWORD_ISSR_208005522_PCT_ASIA_SALES">#REF!</definedName>
    <definedName name="V_KEYWORD_ISSR_208005522_PCT_DOM_ASS">#REF!</definedName>
    <definedName name="V_KEYWORD_ISSR_208005522_PCT_DOM_OP">#REF!</definedName>
    <definedName name="V_KEYWORD_ISSR_208005522_PCT_DOM_SALES">#REF!</definedName>
    <definedName name="V_KEYWORD_ISSR_208005522_PCT_EMER_ASS">#REF!</definedName>
    <definedName name="V_KEYWORD_ISSR_208005522_PCT_EMER_OP">#REF!</definedName>
    <definedName name="V_KEYWORD_ISSR_208005522_PCT_EMER_SALES">#REF!</definedName>
    <definedName name="V_KEYWORD_ISSR_208005522_PCT_EURO_ASS">#REF!</definedName>
    <definedName name="V_KEYWORD_ISSR_208005522_PCT_EURO_OP">#REF!</definedName>
    <definedName name="V_KEYWORD_ISSR_208005522_PCT_EURO_SALES">#REF!</definedName>
    <definedName name="V_KEYWORD_ISSR_208005522_PCT_LATAM_ASS">#REF!</definedName>
    <definedName name="V_KEYWORD_ISSR_208005522_PCT_LATAM_OP">#REF!</definedName>
    <definedName name="V_KEYWORD_ISSR_208005522_PCT_LATAM_SALES">#REF!</definedName>
    <definedName name="V_KEYWORD_ISSR_208005522_PCT_NAM_ASS">#REF!</definedName>
    <definedName name="V_KEYWORD_ISSR_208005522_PCT_NAM_OP">#REF!</definedName>
    <definedName name="V_KEYWORD_ISSR_208005522_PCT_NAM_SALES">#REF!</definedName>
    <definedName name="V_KEYWORD_ISSR_208005522_PCT_OTH_ASS">#REF!</definedName>
    <definedName name="V_KEYWORD_ISSR_208005522_PCT_OTH_OP">#REF!</definedName>
    <definedName name="V_KEYWORD_ISSR_208005522_PCT_OTH_SALES">#REF!</definedName>
    <definedName name="V_KEYWORD_ISSR_208005522_PERIOD_MILESTONE">#REF!</definedName>
    <definedName name="V_KEYWORD_ISSR_208005522_PERSONNEL">#REF!</definedName>
    <definedName name="V_KEYWORD_ISSR_208005522_PL_BTAX_ON_AB">#REF!</definedName>
    <definedName name="V_KEYWORD_ISSR_208005522_PRE_PAYMNTS">#REF!</definedName>
    <definedName name="V_KEYWORD_ISSR_208005522_PREF_SH">#REF!</definedName>
    <definedName name="V_KEYWORD_ISSR_208005522_PREF_SHARE_CAP">#REF!</definedName>
    <definedName name="V_KEYWORD_ISSR_208005522_PROF_BTE">#REF!</definedName>
    <definedName name="V_KEYWORD_ISSR_208005522_PROFIT_DEFBEN_PLAN_POST_TAX">#REF!</definedName>
    <definedName name="V_KEYWORD_ISSR_208005522_PROFIT_DEFBEN_PLAN_PRE_TAX">#REF!</definedName>
    <definedName name="V_KEYWORD_ISSR_208005522_PROFIT_ON_DISP">#REF!</definedName>
    <definedName name="V_KEYWORD_ISSR_208005522_PROV_BS">#REF!</definedName>
    <definedName name="V_KEYWORD_ISSR_208005522_PT_PROF">#REF!</definedName>
    <definedName name="V_KEYWORD_ISSR_208005522_RECOVERIES_BS">#REF!</definedName>
    <definedName name="V_KEYWORD_ISSR_208005522_RENTAL_INCOME">#REF!</definedName>
    <definedName name="V_KEYWORD_ISSR_208005522_RESERVES">#REF!</definedName>
    <definedName name="V_KEYWORD_ISSR_208005522_RETAIN_PROFIT_LOSS">#REF!</definedName>
    <definedName name="V_KEYWORD_ISSR_208005522_SALES">#REF!</definedName>
    <definedName name="V_KEYWORD_ISSR_208005522_SALES_AUSTRA">#REF!</definedName>
    <definedName name="V_KEYWORD_ISSR_208005522_SALES_BRAZIL">#REF!</definedName>
    <definedName name="V_KEYWORD_ISSR_208005522_SALES_CEE">#REF!</definedName>
    <definedName name="V_KEYWORD_ISSR_208005522_SALES_CHINA">#REF!</definedName>
    <definedName name="V_KEYWORD_ISSR_208005522_SALES_CONS">#REF!</definedName>
    <definedName name="V_KEYWORD_ISSR_208005522_SALES_EU_EX_UK">#REF!</definedName>
    <definedName name="V_KEYWORD_ISSR_208005522_SALES_FINAN">#REF!</definedName>
    <definedName name="V_KEYWORD_ISSR_208005522_SALES_FX_AUD">#REF!</definedName>
    <definedName name="V_KEYWORD_ISSR_208005522_SALES_FX_BRL">#REF!</definedName>
    <definedName name="V_KEYWORD_ISSR_208005522_SALES_FX_CNY">#REF!</definedName>
    <definedName name="V_KEYWORD_ISSR_208005522_SALES_FX_EUR">#REF!</definedName>
    <definedName name="V_KEYWORD_ISSR_208005522_SALES_FX_GPB">#REF!</definedName>
    <definedName name="V_KEYWORD_ISSR_208005522_SALES_FX_INR">#REF!</definedName>
    <definedName name="V_KEYWORD_ISSR_208005522_SALES_FX_NZD">#REF!</definedName>
    <definedName name="V_KEYWORD_ISSR_208005522_SALES_FX_OTH">#REF!</definedName>
    <definedName name="V_KEYWORD_ISSR_208005522_SALES_FX_RUB">#REF!</definedName>
    <definedName name="V_KEYWORD_ISSR_208005522_SALES_FX_USD">#REF!</definedName>
    <definedName name="V_KEYWORD_ISSR_208005522_SALES_FX_YEN">#REF!</definedName>
    <definedName name="V_KEYWORD_ISSR_208005522_SALES_GOV">#REF!</definedName>
    <definedName name="V_KEYWORD_ISSR_208005522_SALES_IND">#REF!</definedName>
    <definedName name="V_KEYWORD_ISSR_208005522_SALES_INDIA">#REF!</definedName>
    <definedName name="V_KEYWORD_ISSR_208005522_SALES_JAPAN">#REF!</definedName>
    <definedName name="V_KEYWORD_ISSR_208005522_SALES_ME">#REF!</definedName>
    <definedName name="V_KEYWORD_ISSR_208005522_SALES_NZ">#REF!</definedName>
    <definedName name="V_KEYWORD_ISSR_208005522_SALES_OTH_AEJ">#REF!</definedName>
    <definedName name="V_KEYWORD_ISSR_208005522_SALES_OTH_AM">#REF!</definedName>
    <definedName name="V_KEYWORD_ISSR_208005522_SALES_OTH_EMEA">#REF!</definedName>
    <definedName name="V_KEYWORD_ISSR_208005522_SALES_OTHER">#REF!</definedName>
    <definedName name="V_KEYWORD_ISSR_208005522_SALES_RUSSIA">#REF!</definedName>
    <definedName name="V_KEYWORD_ISSR_208005522_SALES_TOT_AFRICA">#REF!</definedName>
    <definedName name="V_KEYWORD_ISSR_208005522_SALES_TOT_AM">#REF!</definedName>
    <definedName name="V_KEYWORD_ISSR_208005522_SALES_TOT_ASIA">#REF!</definedName>
    <definedName name="V_KEYWORD_ISSR_208005522_SALES_TOT_EMEA">#REF!</definedName>
    <definedName name="V_KEYWORD_ISSR_208005522_SALES_UK">#REF!</definedName>
    <definedName name="V_KEYWORD_ISSR_208005522_SALES_US">#REF!</definedName>
    <definedName name="V_KEYWORD_ISSR_208005522_SEL_GL_AD_OTHER">#REF!</definedName>
    <definedName name="V_KEYWORD_ISSR_208005522_SHARE_BASED_PAYMENTS">#REF!</definedName>
    <definedName name="V_KEYWORD_ISSR_208005522_SPECIFIC_PROV_DOUBTFUL">#REF!</definedName>
    <definedName name="V_KEYWORD_ISSR_208005522_SUB_ORD_LIABS">#REF!</definedName>
    <definedName name="V_KEYWORD_ISSR_208005522_TOT_ASS">#REF!</definedName>
    <definedName name="V_KEYWORD_ISSR_208005522_TOT_ASSET">#REF!</definedName>
    <definedName name="V_KEYWORD_ISSR_208005522_TOT_EXCEPTS">#REF!</definedName>
    <definedName name="V_KEYWORD_ISSR_208005522_TOT_LIAB">#REF!</definedName>
    <definedName name="V_KEYWORD_ISSR_208005522_TOT_LIAB_EQ">#REF!</definedName>
    <definedName name="V_KEYWORD_ISSR_208005522_TOT_OP">#REF!</definedName>
    <definedName name="V_KEYWORD_ISSR_208005522_TOT_PROVS">#REF!</definedName>
    <definedName name="V_KEYWORD_ISSR_208005522_TOT_SALES">#REF!</definedName>
    <definedName name="V_KEYWORD_ISSR_208005522_TOTAL_CAPITAL_EMPLOYED_ADJ">#REF!</definedName>
    <definedName name="V_KEYWORD_ISSR_208005522_TOTAL_DEPREC_AMORT">#REF!</definedName>
    <definedName name="V_KEYWORD_ISSR_208005522_TOTAL_IFRS_ADJUST_PRE_TAX">#REF!</definedName>
    <definedName name="V_KEYWORD_ISSR_208005522_TRADING_SECS_INCOME">#REF!</definedName>
    <definedName name="V_KEYWORD_ISSR_208005522_UNEARNED_INCOME">#REF!</definedName>
    <definedName name="V_KEYWORD_ISSR_208005522_UNF_PENS">#REF!</definedName>
    <definedName name="V_KEYWORD_ISSR_208005522_UNF_PENS_LIAB_OTH">#REF!</definedName>
    <definedName name="V_KEYWORD_ISSR_208005522_UNF_PENS_OFF">#REF!</definedName>
    <definedName name="V_KEYWORD_ISSR_208005522_WRITE_OFFS_BS">#REF!</definedName>
    <definedName name="V_KEYWORD_ISSR_208005522_WRITEBACK_RECOVERIES">#REF!</definedName>
    <definedName name="V_LIVEDATA_EQTY_200004992">#REF!</definedName>
    <definedName name="V_LIVEDATA_ISSR_208005522">#REF!</definedName>
    <definedName name="V_SECTION_EQTY_200004992_1314">#REF!</definedName>
    <definedName name="V_SECTION_EQTY_200004992_1316A">#REF!</definedName>
    <definedName name="V_SECTION_EQTY_200004992_1316B">#REF!</definedName>
    <definedName name="V_SECTION_EQTY_200004992_1316C">#REF!</definedName>
    <definedName name="V_SECTION_EQTY_200004992_1316E">#REF!</definedName>
    <definedName name="V_SECTION_EQTY_200004992_1319">#REF!</definedName>
    <definedName name="V_SECTION_EQTY_200004992_131O">#REF!</definedName>
    <definedName name="V_SECTION_EQTY_200004992_131P">#REF!</definedName>
    <definedName name="V_SECTION_EQTY_200004992_13A">#REF!</definedName>
    <definedName name="V_SECTION_EQTY_200004992_13K">#REF!</definedName>
    <definedName name="V_SECTION_EQTY_200004992_13U">#REF!</definedName>
    <definedName name="V_SECTION_EQTY_200004992_13V">#REF!</definedName>
    <definedName name="V_SECTION_EQTY_200004992_Reference_Data">#REF!</definedName>
    <definedName name="V_SECTION_ISSR_208005522_1314">#REF!</definedName>
    <definedName name="V_SECTION_ISSR_208005522_13168">#REF!</definedName>
    <definedName name="V_SECTION_ISSR_208005522_1316B">#REF!</definedName>
    <definedName name="V_SECTION_ISSR_208005522_1316C">#REF!</definedName>
    <definedName name="V_SECTION_ISSR_208005522_1316E">#REF!</definedName>
    <definedName name="V_SECTION_ISSR_208005522_1316U">#REF!</definedName>
    <definedName name="V_SECTION_ISSR_208005522_1319">#REF!</definedName>
    <definedName name="V_SECTION_ISSR_208005522_131E">#REF!</definedName>
    <definedName name="V_SECTION_ISSR_208005522_131J">#REF!</definedName>
    <definedName name="V_SECTION_ISSR_208005522_131O">#REF!</definedName>
    <definedName name="V_SECTION_ISSR_208005522_131P">#REF!</definedName>
    <definedName name="V_SECTION_ISSR_208005522_133M">#REF!</definedName>
    <definedName name="V_SECTION_ISSR_208005522_133R">#REF!</definedName>
    <definedName name="V_SECTION_ISSR_208005522_133W">#REF!</definedName>
    <definedName name="V_SECTION_ISSR_208005522_1341">#REF!</definedName>
    <definedName name="V_SECTION_ISSR_208005522_1346">#REF!</definedName>
    <definedName name="V_SECTION_ISSR_208005522_134B">#REF!</definedName>
    <definedName name="V_SECTION_ISSR_208005522_134G">#REF!</definedName>
    <definedName name="V_SECTION_ISSR_208005522_134L">#REF!</definedName>
    <definedName name="V_SECTION_ISSR_208005522_134Q">#REF!</definedName>
    <definedName name="V_SECTION_ISSR_208005522_134V">#REF!</definedName>
    <definedName name="V_SECTION_ISSR_208005522_13U">#REF!</definedName>
    <definedName name="V_SECTION_ISSR_208005522_13V">#REF!</definedName>
    <definedName name="V_SECTION_ISSR_208005522_Reference_Data">#REF!</definedName>
    <definedName name="ValidRecom">#REF!</definedName>
    <definedName name="ValidSTerm">#REF!</definedName>
    <definedName name="Valuation_B">#REF!</definedName>
    <definedName name="WACC">#REF!</definedName>
    <definedName name="WACC1999">#REF!</definedName>
    <definedName name="WACC2000">#REF!</definedName>
    <definedName name="WACC2001">#REF!</definedName>
    <definedName name="WACC2002">#REF!</definedName>
    <definedName name="WACC2003">#REF!</definedName>
    <definedName name="Working_capital_adjustment">#REF!</definedName>
    <definedName name="write_offs_general">#REF!</definedName>
    <definedName name="write_offs_specific">#REF!</definedName>
    <definedName name="Year_Value">#REF!</definedName>
    <definedName name="years_row">#REF!</definedName>
    <definedName name="zDebt">#REF!</definedName>
    <definedName name="zEquityValue">#REF!</definedName>
    <definedName name="zIssued_Shares">#REF!</definedName>
    <definedName name="zMktValue_invest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18" i="1" l="1"/>
  <c r="Y283" i="1"/>
  <c r="Y274" i="1"/>
  <c r="Y273" i="1"/>
  <c r="Y262" i="1"/>
  <c r="DS580" i="1"/>
  <c r="DS579" i="1"/>
  <c r="DS575" i="1"/>
  <c r="DS574" i="1"/>
  <c r="DS473" i="1"/>
  <c r="BZ580" i="1"/>
  <c r="BZ579" i="1"/>
  <c r="BZ575" i="1"/>
  <c r="BZ574" i="1"/>
  <c r="BY580" i="1"/>
  <c r="BY579" i="1"/>
  <c r="BY575" i="1"/>
  <c r="BY574" i="1"/>
  <c r="BX580" i="1"/>
  <c r="BX579" i="1"/>
  <c r="BX575" i="1"/>
  <c r="BX574" i="1"/>
  <c r="BW580" i="1"/>
  <c r="BW579" i="1"/>
  <c r="BW575" i="1"/>
  <c r="BW574" i="1"/>
  <c r="BW473" i="1"/>
  <c r="BV580" i="1"/>
  <c r="BV579" i="1"/>
  <c r="BV575" i="1"/>
  <c r="BV574" i="1"/>
  <c r="BV473" i="1"/>
  <c r="BU580" i="1"/>
  <c r="BU579" i="1"/>
  <c r="BU575" i="1"/>
  <c r="BU574" i="1"/>
  <c r="BU473" i="1"/>
  <c r="BU262" i="1"/>
  <c r="BT580" i="1"/>
  <c r="BT579" i="1"/>
  <c r="BT575" i="1"/>
  <c r="BT574" i="1"/>
  <c r="BT473" i="1"/>
  <c r="BT262" i="1"/>
  <c r="BS580" i="1"/>
  <c r="BS579" i="1"/>
  <c r="BS575" i="1"/>
  <c r="BS574" i="1"/>
  <c r="BS473" i="1"/>
  <c r="BS314" i="1"/>
  <c r="BS283" i="1"/>
  <c r="BS262" i="1"/>
  <c r="BR580" i="1"/>
  <c r="BR579" i="1"/>
  <c r="BR575" i="1"/>
  <c r="BR473" i="1"/>
  <c r="BR314" i="1"/>
  <c r="BR283" i="1"/>
  <c r="BR262" i="1"/>
  <c r="BQ580" i="1"/>
  <c r="BQ579" i="1"/>
  <c r="BQ575" i="1"/>
  <c r="BQ473" i="1"/>
  <c r="BQ314" i="1"/>
  <c r="BQ283" i="1"/>
  <c r="BQ262" i="1"/>
  <c r="BP575" i="1"/>
  <c r="BP473" i="1"/>
  <c r="BP314" i="1"/>
  <c r="BP283" i="1"/>
  <c r="BP262" i="1"/>
  <c r="BO575" i="1"/>
  <c r="BO283" i="1"/>
  <c r="BO262" i="1"/>
  <c r="BO276" i="1" s="1"/>
  <c r="BO542" i="1" s="1"/>
  <c r="BN283" i="1"/>
  <c r="BN262" i="1"/>
  <c r="BM283" i="1"/>
  <c r="BM262" i="1"/>
  <c r="BM277" i="1" s="1"/>
  <c r="BM543" i="1" s="1"/>
  <c r="AZ523" i="1"/>
  <c r="AZ520" i="1"/>
  <c r="BZ520" i="1" s="1"/>
  <c r="AZ519" i="1"/>
  <c r="AZ518" i="1"/>
  <c r="AZ473" i="1"/>
  <c r="AZ314" i="1"/>
  <c r="AY523" i="1"/>
  <c r="BZ523" i="1" s="1"/>
  <c r="AY520" i="1"/>
  <c r="AY519" i="1"/>
  <c r="AY518" i="1"/>
  <c r="AY473" i="1"/>
  <c r="AY314" i="1"/>
  <c r="AX523" i="1"/>
  <c r="AX520" i="1"/>
  <c r="AX519" i="1"/>
  <c r="AX518" i="1"/>
  <c r="AX473" i="1"/>
  <c r="AX314" i="1"/>
  <c r="AX315" i="1" s="1"/>
  <c r="AW523" i="1"/>
  <c r="AW520" i="1"/>
  <c r="AW519" i="1"/>
  <c r="AW518" i="1"/>
  <c r="AW473" i="1"/>
  <c r="AW314" i="1"/>
  <c r="AV523" i="1"/>
  <c r="AV520" i="1"/>
  <c r="AV519" i="1"/>
  <c r="AV518" i="1"/>
  <c r="BX518" i="1" s="1"/>
  <c r="AV473" i="1"/>
  <c r="AV314" i="1"/>
  <c r="AU523" i="1"/>
  <c r="AU520" i="1"/>
  <c r="AU519" i="1"/>
  <c r="AU518" i="1"/>
  <c r="AU473" i="1"/>
  <c r="AU314" i="1"/>
  <c r="BX314" i="1" s="1"/>
  <c r="AT523" i="1"/>
  <c r="AT520" i="1"/>
  <c r="BW520" i="1" s="1"/>
  <c r="AT519" i="1"/>
  <c r="AT518" i="1"/>
  <c r="AT473" i="1"/>
  <c r="AT314" i="1"/>
  <c r="AS523" i="1"/>
  <c r="BW523" i="1" s="1"/>
  <c r="AS520" i="1"/>
  <c r="AS519" i="1"/>
  <c r="BW519" i="1" s="1"/>
  <c r="AS518" i="1"/>
  <c r="AS473" i="1"/>
  <c r="AS314" i="1"/>
  <c r="BW314" i="1" s="1"/>
  <c r="AR523" i="1"/>
  <c r="AR520" i="1"/>
  <c r="AR519" i="1"/>
  <c r="AR518" i="1"/>
  <c r="AR473" i="1"/>
  <c r="AR314" i="1"/>
  <c r="AR315" i="1" s="1"/>
  <c r="AQ523" i="1"/>
  <c r="AQ520" i="1"/>
  <c r="AQ519" i="1"/>
  <c r="BV519" i="1" s="1"/>
  <c r="AQ518" i="1"/>
  <c r="BV518" i="1" s="1"/>
  <c r="AQ473" i="1"/>
  <c r="AQ314" i="1"/>
  <c r="AQ34" i="1"/>
  <c r="AR34" i="1" s="1"/>
  <c r="AS34" i="1" s="1"/>
  <c r="AT34" i="1" s="1"/>
  <c r="AU34" i="1" s="1"/>
  <c r="AV34" i="1" s="1"/>
  <c r="AW34" i="1" s="1"/>
  <c r="AX34" i="1" s="1"/>
  <c r="AY34" i="1" s="1"/>
  <c r="AZ34" i="1" s="1"/>
  <c r="AP523" i="1"/>
  <c r="AP520" i="1"/>
  <c r="AP519" i="1"/>
  <c r="BU519" i="1" s="1"/>
  <c r="AP518" i="1"/>
  <c r="BU518" i="1" s="1"/>
  <c r="AP473" i="1"/>
  <c r="AP314" i="1"/>
  <c r="AP283" i="1"/>
  <c r="AP262" i="1"/>
  <c r="AO523" i="1"/>
  <c r="BU523" i="1" s="1"/>
  <c r="AO520" i="1"/>
  <c r="BU520" i="1" s="1"/>
  <c r="AO519" i="1"/>
  <c r="AO518" i="1"/>
  <c r="AO473" i="1"/>
  <c r="AO314" i="1"/>
  <c r="AO283" i="1"/>
  <c r="AO262" i="1"/>
  <c r="AN523" i="1"/>
  <c r="AN520" i="1"/>
  <c r="AN519" i="1"/>
  <c r="AN518" i="1"/>
  <c r="AN473" i="1"/>
  <c r="AN314" i="1"/>
  <c r="BU314" i="1" s="1"/>
  <c r="BU316" i="1" s="1"/>
  <c r="AN283" i="1"/>
  <c r="AN262" i="1"/>
  <c r="AN276" i="1" s="1"/>
  <c r="AN542" i="1" s="1"/>
  <c r="AM523" i="1"/>
  <c r="AM520" i="1"/>
  <c r="BT520" i="1" s="1"/>
  <c r="AM519" i="1"/>
  <c r="AM518" i="1"/>
  <c r="BT518" i="1" s="1"/>
  <c r="AM473" i="1"/>
  <c r="AM314" i="1"/>
  <c r="BT314" i="1" s="1"/>
  <c r="AM283" i="1"/>
  <c r="AM262" i="1"/>
  <c r="AM276" i="1" s="1"/>
  <c r="AM542" i="1" s="1"/>
  <c r="AL523" i="1"/>
  <c r="AL520" i="1"/>
  <c r="AL519" i="1"/>
  <c r="AL518" i="1"/>
  <c r="AL473" i="1"/>
  <c r="AL314" i="1"/>
  <c r="AL283" i="1"/>
  <c r="AL262" i="1"/>
  <c r="AL277" i="1" s="1"/>
  <c r="AL543" i="1" s="1"/>
  <c r="AL544" i="1" s="1"/>
  <c r="AK523" i="1"/>
  <c r="AK520" i="1"/>
  <c r="AK519" i="1"/>
  <c r="AK518" i="1"/>
  <c r="AK473" i="1"/>
  <c r="AK314" i="1"/>
  <c r="AK283" i="1"/>
  <c r="AK262" i="1"/>
  <c r="AJ523" i="1"/>
  <c r="AJ520" i="1"/>
  <c r="BS520" i="1" s="1"/>
  <c r="AJ519" i="1"/>
  <c r="BS519" i="1" s="1"/>
  <c r="AJ518" i="1"/>
  <c r="BS518" i="1" s="1"/>
  <c r="AJ473" i="1"/>
  <c r="AJ314" i="1"/>
  <c r="AJ283" i="1"/>
  <c r="AJ262" i="1"/>
  <c r="AI523" i="1"/>
  <c r="BR523" i="1" s="1"/>
  <c r="AI520" i="1"/>
  <c r="BR520" i="1" s="1"/>
  <c r="AI519" i="1"/>
  <c r="AI518" i="1"/>
  <c r="AI473" i="1"/>
  <c r="AI314" i="1"/>
  <c r="AI283" i="1"/>
  <c r="AI274" i="1"/>
  <c r="AI262" i="1"/>
  <c r="AH523" i="1"/>
  <c r="AH520" i="1"/>
  <c r="AH519" i="1"/>
  <c r="AH518" i="1"/>
  <c r="BQ518" i="1" s="1"/>
  <c r="AH473" i="1"/>
  <c r="AH314" i="1"/>
  <c r="AH283" i="1"/>
  <c r="AH262" i="1"/>
  <c r="AG523" i="1"/>
  <c r="BQ523" i="1" s="1"/>
  <c r="AG520" i="1"/>
  <c r="BQ520" i="1" s="1"/>
  <c r="AG519" i="1"/>
  <c r="AG518" i="1"/>
  <c r="AG473" i="1"/>
  <c r="AG314" i="1"/>
  <c r="AG316" i="1" s="1"/>
  <c r="AG283" i="1"/>
  <c r="AG262" i="1"/>
  <c r="AG276" i="1" s="1"/>
  <c r="AG542" i="1" s="1"/>
  <c r="AF523" i="1"/>
  <c r="AF520" i="1"/>
  <c r="AF519" i="1"/>
  <c r="AF518" i="1"/>
  <c r="AF473" i="1"/>
  <c r="AF283" i="1"/>
  <c r="AF262" i="1"/>
  <c r="AF276" i="1" s="1"/>
  <c r="AF542" i="1" s="1"/>
  <c r="AE523" i="1"/>
  <c r="AE520" i="1"/>
  <c r="AE519" i="1"/>
  <c r="AE518" i="1"/>
  <c r="AE283" i="1"/>
  <c r="AE262" i="1"/>
  <c r="AE277" i="1" s="1"/>
  <c r="AE543" i="1" s="1"/>
  <c r="AD523" i="1"/>
  <c r="AD520" i="1"/>
  <c r="AD519" i="1"/>
  <c r="AD518" i="1"/>
  <c r="AD283" i="1"/>
  <c r="AD262" i="1"/>
  <c r="AC523" i="1"/>
  <c r="AC520" i="1"/>
  <c r="AC519" i="1"/>
  <c r="AC518" i="1"/>
  <c r="AC283" i="1"/>
  <c r="AC262" i="1"/>
  <c r="AC277" i="1" s="1"/>
  <c r="AC543" i="1" s="1"/>
  <c r="AC544" i="1" s="1"/>
  <c r="AB523" i="1"/>
  <c r="AB520" i="1"/>
  <c r="AB519" i="1"/>
  <c r="AB518" i="1"/>
  <c r="AB283" i="1"/>
  <c r="AB262" i="1"/>
  <c r="AB277" i="1" s="1"/>
  <c r="AB543" i="1" s="1"/>
  <c r="AB544" i="1" s="1"/>
  <c r="AA523" i="1"/>
  <c r="AA520" i="1"/>
  <c r="AA519" i="1"/>
  <c r="AA518" i="1"/>
  <c r="BN518" i="1" s="1"/>
  <c r="AA283" i="1"/>
  <c r="AA274" i="1"/>
  <c r="AA273" i="1"/>
  <c r="AA262" i="1"/>
  <c r="Z523" i="1"/>
  <c r="Z520" i="1"/>
  <c r="Z519" i="1"/>
  <c r="Z518" i="1"/>
  <c r="BM518" i="1" s="1"/>
  <c r="Z283" i="1"/>
  <c r="Z262" i="1"/>
  <c r="Y523" i="1"/>
  <c r="Y520" i="1"/>
  <c r="Y519" i="1"/>
  <c r="BM519" i="1" s="1"/>
  <c r="BZ473" i="1"/>
  <c r="BY473" i="1"/>
  <c r="BX473" i="1"/>
  <c r="BU588" i="1"/>
  <c r="BT588" i="1"/>
  <c r="BS588" i="1"/>
  <c r="BR588" i="1"/>
  <c r="BQ588" i="1"/>
  <c r="BU586" i="1"/>
  <c r="BT586" i="1"/>
  <c r="BS586" i="1"/>
  <c r="BR586" i="1"/>
  <c r="BQ586" i="1"/>
  <c r="BU585" i="1"/>
  <c r="BT585" i="1"/>
  <c r="BS585" i="1"/>
  <c r="BR585" i="1"/>
  <c r="BQ585" i="1"/>
  <c r="BU584" i="1"/>
  <c r="BT584" i="1"/>
  <c r="BS584" i="1"/>
  <c r="BR584" i="1"/>
  <c r="BQ584" i="1"/>
  <c r="BT571" i="1"/>
  <c r="DS570" i="1"/>
  <c r="BZ570" i="1"/>
  <c r="BY570" i="1"/>
  <c r="BX570" i="1"/>
  <c r="BW570" i="1"/>
  <c r="BV570" i="1"/>
  <c r="BU570" i="1"/>
  <c r="BT570" i="1"/>
  <c r="BO570" i="1"/>
  <c r="DS569" i="1"/>
  <c r="BZ569" i="1"/>
  <c r="BY569" i="1"/>
  <c r="BX569" i="1"/>
  <c r="BW569" i="1"/>
  <c r="BV569" i="1"/>
  <c r="BU569" i="1"/>
  <c r="BT569" i="1"/>
  <c r="BS569" i="1"/>
  <c r="BR569" i="1"/>
  <c r="BQ569" i="1"/>
  <c r="BP569" i="1"/>
  <c r="BO569" i="1"/>
  <c r="DS568" i="1"/>
  <c r="BZ568" i="1"/>
  <c r="BY568" i="1"/>
  <c r="BX568" i="1"/>
  <c r="BW568" i="1"/>
  <c r="BV568" i="1"/>
  <c r="BU568" i="1"/>
  <c r="BT568" i="1"/>
  <c r="BS568" i="1"/>
  <c r="BR568" i="1"/>
  <c r="BQ568" i="1"/>
  <c r="BP568" i="1"/>
  <c r="BO568" i="1"/>
  <c r="DS567" i="1"/>
  <c r="BZ567" i="1"/>
  <c r="BY567" i="1"/>
  <c r="BX567" i="1"/>
  <c r="BW567" i="1"/>
  <c r="BV567" i="1"/>
  <c r="BU567" i="1"/>
  <c r="BT567" i="1"/>
  <c r="BS567" i="1"/>
  <c r="BR567" i="1"/>
  <c r="BQ567" i="1"/>
  <c r="BP567" i="1"/>
  <c r="BO567" i="1"/>
  <c r="DS566" i="1"/>
  <c r="BZ566" i="1"/>
  <c r="BY566" i="1"/>
  <c r="BX566" i="1"/>
  <c r="BW566" i="1"/>
  <c r="BV566" i="1"/>
  <c r="BU566" i="1"/>
  <c r="BT566" i="1"/>
  <c r="BS566" i="1"/>
  <c r="BR566" i="1"/>
  <c r="BQ566" i="1"/>
  <c r="BP566" i="1"/>
  <c r="BO566" i="1"/>
  <c r="DS565" i="1"/>
  <c r="BU565" i="1"/>
  <c r="BU571" i="1" s="1"/>
  <c r="BT565" i="1"/>
  <c r="BS565" i="1"/>
  <c r="BR565" i="1"/>
  <c r="BQ565" i="1"/>
  <c r="BP565" i="1"/>
  <c r="BO565" i="1"/>
  <c r="BO571" i="1" s="1"/>
  <c r="DS556" i="1"/>
  <c r="DS555" i="1"/>
  <c r="AO548" i="1"/>
  <c r="AB548" i="1"/>
  <c r="AA548" i="1"/>
  <c r="AO547" i="1"/>
  <c r="AI547" i="1"/>
  <c r="AH547" i="1"/>
  <c r="AD547" i="1"/>
  <c r="AC547" i="1"/>
  <c r="AB547" i="1"/>
  <c r="AZ546" i="1"/>
  <c r="AY546" i="1"/>
  <c r="AX546" i="1"/>
  <c r="AW546" i="1"/>
  <c r="AV546" i="1"/>
  <c r="AU546" i="1"/>
  <c r="AT546" i="1"/>
  <c r="AS546" i="1"/>
  <c r="AR546" i="1"/>
  <c r="AQ546" i="1"/>
  <c r="AP546" i="1"/>
  <c r="AO546" i="1"/>
  <c r="AN546" i="1"/>
  <c r="AM546" i="1"/>
  <c r="AL546" i="1"/>
  <c r="AK546" i="1"/>
  <c r="AJ546" i="1"/>
  <c r="AI546" i="1"/>
  <c r="AH546" i="1"/>
  <c r="AG546" i="1"/>
  <c r="AF546" i="1"/>
  <c r="AE546" i="1"/>
  <c r="AD546" i="1"/>
  <c r="AC546" i="1"/>
  <c r="AC548" i="1" s="1"/>
  <c r="AB546" i="1"/>
  <c r="AA546" i="1"/>
  <c r="Z546" i="1"/>
  <c r="Y546" i="1"/>
  <c r="AO545" i="1"/>
  <c r="AM545" i="1"/>
  <c r="AM547" i="1" s="1"/>
  <c r="AK545" i="1"/>
  <c r="AJ545" i="1"/>
  <c r="AI545" i="1"/>
  <c r="AH545" i="1"/>
  <c r="AG545" i="1"/>
  <c r="AG547" i="1" s="1"/>
  <c r="AF545" i="1"/>
  <c r="AE545" i="1"/>
  <c r="AD545" i="1"/>
  <c r="AC545" i="1"/>
  <c r="AB545" i="1"/>
  <c r="AA545" i="1"/>
  <c r="AA547" i="1" s="1"/>
  <c r="AK543" i="1"/>
  <c r="AI543" i="1"/>
  <c r="AA543" i="1"/>
  <c r="Y543" i="1"/>
  <c r="AA542" i="1"/>
  <c r="Y542" i="1"/>
  <c r="BO537" i="1"/>
  <c r="BN537" i="1"/>
  <c r="BM537" i="1"/>
  <c r="AO537" i="1"/>
  <c r="AG537" i="1"/>
  <c r="AF537" i="1"/>
  <c r="DS536" i="1"/>
  <c r="BZ536" i="1"/>
  <c r="BY536" i="1"/>
  <c r="BX536" i="1"/>
  <c r="BW536" i="1"/>
  <c r="BV536" i="1"/>
  <c r="BO536" i="1"/>
  <c r="BN536" i="1"/>
  <c r="BM536" i="1"/>
  <c r="DS533" i="1"/>
  <c r="BZ533" i="1"/>
  <c r="BY533" i="1"/>
  <c r="BX533" i="1"/>
  <c r="BW533" i="1"/>
  <c r="BV533" i="1"/>
  <c r="BO533" i="1"/>
  <c r="BN533" i="1"/>
  <c r="BM533" i="1"/>
  <c r="AN533" i="1"/>
  <c r="AG533" i="1"/>
  <c r="DS532" i="1"/>
  <c r="BO532" i="1"/>
  <c r="BN532" i="1"/>
  <c r="BM532" i="1"/>
  <c r="DS531" i="1"/>
  <c r="BO531" i="1"/>
  <c r="BN531" i="1"/>
  <c r="BM531" i="1"/>
  <c r="AP531" i="1"/>
  <c r="BU528" i="1"/>
  <c r="BT528" i="1"/>
  <c r="BS528" i="1"/>
  <c r="BR528" i="1"/>
  <c r="BQ528" i="1"/>
  <c r="BP528" i="1"/>
  <c r="BO528" i="1"/>
  <c r="BN528" i="1"/>
  <c r="BM528" i="1"/>
  <c r="DS527" i="1"/>
  <c r="BM527" i="1"/>
  <c r="DS526" i="1"/>
  <c r="BM526" i="1"/>
  <c r="DS523" i="1"/>
  <c r="BX523" i="1"/>
  <c r="BT523" i="1"/>
  <c r="BO523" i="1"/>
  <c r="BN523" i="1"/>
  <c r="DS520" i="1"/>
  <c r="BX520" i="1"/>
  <c r="BO520" i="1"/>
  <c r="BV520" i="1"/>
  <c r="BP520" i="1"/>
  <c r="BN520" i="1"/>
  <c r="DS519" i="1"/>
  <c r="BP519" i="1"/>
  <c r="BY519" i="1"/>
  <c r="BX519" i="1"/>
  <c r="BO519" i="1"/>
  <c r="DS518" i="1"/>
  <c r="BY518" i="1"/>
  <c r="BZ518" i="1"/>
  <c r="BW518" i="1"/>
  <c r="BP518" i="1"/>
  <c r="BO518" i="1"/>
  <c r="DS515" i="1"/>
  <c r="AP512" i="1"/>
  <c r="AP315" i="1" s="1"/>
  <c r="AN512" i="1"/>
  <c r="AL512" i="1"/>
  <c r="AJ512" i="1"/>
  <c r="AH512" i="1"/>
  <c r="AF512" i="1"/>
  <c r="BT509" i="1"/>
  <c r="DS508" i="1"/>
  <c r="BZ508" i="1"/>
  <c r="BY508" i="1"/>
  <c r="BX508" i="1"/>
  <c r="BW508" i="1"/>
  <c r="BV508" i="1"/>
  <c r="AP508" i="1"/>
  <c r="AN508" i="1"/>
  <c r="AL508" i="1"/>
  <c r="AJ508" i="1"/>
  <c r="AH508" i="1"/>
  <c r="AF508" i="1"/>
  <c r="AD508" i="1"/>
  <c r="AB508" i="1"/>
  <c r="Z508" i="1"/>
  <c r="DS507" i="1"/>
  <c r="BV507" i="1"/>
  <c r="AL507" i="1"/>
  <c r="AJ507" i="1"/>
  <c r="AH507" i="1"/>
  <c r="AF507" i="1"/>
  <c r="AD507" i="1"/>
  <c r="AB507" i="1"/>
  <c r="Z507" i="1"/>
  <c r="BT506" i="1"/>
  <c r="BP506" i="1"/>
  <c r="BP509" i="1" s="1"/>
  <c r="BO506" i="1"/>
  <c r="BO509" i="1" s="1"/>
  <c r="AK506" i="1"/>
  <c r="BT504" i="1"/>
  <c r="BQ504" i="1"/>
  <c r="AH504" i="1" s="1"/>
  <c r="BP504" i="1"/>
  <c r="BO504" i="1"/>
  <c r="BN504" i="1"/>
  <c r="AB504" i="1" s="1"/>
  <c r="BM504" i="1"/>
  <c r="AO504" i="1"/>
  <c r="AM504" i="1"/>
  <c r="AK504" i="1"/>
  <c r="AI504" i="1"/>
  <c r="AG504" i="1"/>
  <c r="AE504" i="1"/>
  <c r="AA504" i="1"/>
  <c r="AA506" i="1" s="1"/>
  <c r="AA509" i="1" s="1"/>
  <c r="Z504" i="1"/>
  <c r="Y504" i="1"/>
  <c r="Y506" i="1" s="1"/>
  <c r="Y509" i="1" s="1"/>
  <c r="DS503" i="1"/>
  <c r="BZ503" i="1"/>
  <c r="BY503" i="1"/>
  <c r="BX503" i="1"/>
  <c r="BW503" i="1"/>
  <c r="BV503" i="1"/>
  <c r="BU503" i="1"/>
  <c r="BT503" i="1"/>
  <c r="BS503" i="1"/>
  <c r="BS504" i="1" s="1"/>
  <c r="AL504" i="1" s="1"/>
  <c r="BR503" i="1"/>
  <c r="AN503" i="1"/>
  <c r="AL503" i="1"/>
  <c r="AH503" i="1"/>
  <c r="AF503" i="1"/>
  <c r="AC503" i="1"/>
  <c r="AB503" i="1"/>
  <c r="Z503" i="1"/>
  <c r="DS502" i="1"/>
  <c r="BZ502" i="1"/>
  <c r="BY502" i="1"/>
  <c r="BX502" i="1"/>
  <c r="BW502" i="1"/>
  <c r="BV502" i="1"/>
  <c r="AP502" i="1"/>
  <c r="AN502" i="1"/>
  <c r="AL502" i="1"/>
  <c r="AJ502" i="1"/>
  <c r="AH502" i="1"/>
  <c r="AF502" i="1"/>
  <c r="AD502" i="1"/>
  <c r="AB502" i="1"/>
  <c r="Z502" i="1"/>
  <c r="DS501" i="1"/>
  <c r="BZ501" i="1"/>
  <c r="BY501" i="1"/>
  <c r="BX501" i="1"/>
  <c r="BW501" i="1"/>
  <c r="BV501" i="1"/>
  <c r="AP501" i="1"/>
  <c r="AN501" i="1"/>
  <c r="AL501" i="1"/>
  <c r="AJ501" i="1"/>
  <c r="AH501" i="1"/>
  <c r="AF501" i="1"/>
  <c r="AD501" i="1"/>
  <c r="AB501" i="1"/>
  <c r="Z501" i="1"/>
  <c r="DS500" i="1"/>
  <c r="BZ500" i="1"/>
  <c r="BY500" i="1"/>
  <c r="BX500" i="1"/>
  <c r="BW500" i="1"/>
  <c r="BV500" i="1"/>
  <c r="AP500" i="1"/>
  <c r="AN500" i="1"/>
  <c r="AL500" i="1"/>
  <c r="AJ500" i="1"/>
  <c r="AH500" i="1"/>
  <c r="AF500" i="1"/>
  <c r="AD500" i="1"/>
  <c r="AB500" i="1"/>
  <c r="Z500" i="1"/>
  <c r="DS499" i="1"/>
  <c r="AP499" i="1"/>
  <c r="AN499" i="1"/>
  <c r="AL499" i="1"/>
  <c r="AJ499" i="1"/>
  <c r="AH499" i="1"/>
  <c r="AF499" i="1"/>
  <c r="AD499" i="1"/>
  <c r="AB499" i="1"/>
  <c r="Z499" i="1"/>
  <c r="DS498" i="1"/>
  <c r="AP498" i="1"/>
  <c r="AN498" i="1"/>
  <c r="AL498" i="1"/>
  <c r="AJ498" i="1"/>
  <c r="AH498" i="1"/>
  <c r="AF498" i="1"/>
  <c r="AD498" i="1"/>
  <c r="AB498" i="1"/>
  <c r="Z498" i="1"/>
  <c r="BU495" i="1"/>
  <c r="BT495" i="1"/>
  <c r="BS495" i="1"/>
  <c r="BS506" i="1" s="1"/>
  <c r="BS509" i="1" s="1"/>
  <c r="BR495" i="1"/>
  <c r="BQ495" i="1"/>
  <c r="BQ506" i="1" s="1"/>
  <c r="BQ509" i="1" s="1"/>
  <c r="BP495" i="1"/>
  <c r="BO495" i="1"/>
  <c r="BN495" i="1"/>
  <c r="BM495" i="1"/>
  <c r="AO495" i="1"/>
  <c r="AO506" i="1" s="1"/>
  <c r="AM495" i="1"/>
  <c r="AM506" i="1" s="1"/>
  <c r="AK495" i="1"/>
  <c r="AI495" i="1"/>
  <c r="AI506" i="1" s="1"/>
  <c r="AG495" i="1"/>
  <c r="AG506" i="1" s="1"/>
  <c r="AE495" i="1"/>
  <c r="AD495" i="1"/>
  <c r="AB495" i="1"/>
  <c r="AB494" i="1" s="1"/>
  <c r="DS494" i="1"/>
  <c r="AP494" i="1"/>
  <c r="AN494" i="1"/>
  <c r="AL494" i="1"/>
  <c r="AA494" i="1"/>
  <c r="Y494" i="1"/>
  <c r="Z494" i="1" s="1"/>
  <c r="DS493" i="1"/>
  <c r="BZ493" i="1"/>
  <c r="BY493" i="1"/>
  <c r="BX493" i="1"/>
  <c r="BW493" i="1"/>
  <c r="BV493" i="1"/>
  <c r="AP493" i="1"/>
  <c r="AN493" i="1"/>
  <c r="AL493" i="1"/>
  <c r="AJ493" i="1"/>
  <c r="AH493" i="1"/>
  <c r="AF493" i="1"/>
  <c r="AD493" i="1"/>
  <c r="AB493" i="1"/>
  <c r="Z493" i="1"/>
  <c r="DS492" i="1"/>
  <c r="AQ492" i="1"/>
  <c r="AP492" i="1"/>
  <c r="AN492" i="1"/>
  <c r="AL492" i="1"/>
  <c r="AJ492" i="1"/>
  <c r="AH492" i="1"/>
  <c r="AF492" i="1"/>
  <c r="AD492" i="1"/>
  <c r="AB492" i="1"/>
  <c r="Z492" i="1"/>
  <c r="DS491" i="1"/>
  <c r="BZ491" i="1"/>
  <c r="BY491" i="1"/>
  <c r="BX491" i="1"/>
  <c r="BW491" i="1"/>
  <c r="BV491" i="1"/>
  <c r="AP491" i="1"/>
  <c r="AN491" i="1"/>
  <c r="AL491" i="1"/>
  <c r="AL495" i="1" s="1"/>
  <c r="AJ491" i="1"/>
  <c r="AH491" i="1"/>
  <c r="AF491" i="1"/>
  <c r="AD491" i="1"/>
  <c r="AB491" i="1"/>
  <c r="Z491" i="1"/>
  <c r="DS490" i="1"/>
  <c r="BW490" i="1"/>
  <c r="AZ490" i="1"/>
  <c r="AY490" i="1"/>
  <c r="BZ490" i="1" s="1"/>
  <c r="AX490" i="1"/>
  <c r="AW490" i="1"/>
  <c r="AV490" i="1"/>
  <c r="AU490" i="1"/>
  <c r="AT490" i="1"/>
  <c r="AS490" i="1"/>
  <c r="AR490" i="1"/>
  <c r="AQ490" i="1"/>
  <c r="AP490" i="1"/>
  <c r="AN490" i="1"/>
  <c r="AL490" i="1"/>
  <c r="AJ490" i="1"/>
  <c r="AH490" i="1"/>
  <c r="AH495" i="1" s="1"/>
  <c r="AF490" i="1"/>
  <c r="AF495" i="1" s="1"/>
  <c r="AD490" i="1"/>
  <c r="AD494" i="1" s="1"/>
  <c r="AC490" i="1"/>
  <c r="AC494" i="1" s="1"/>
  <c r="AB490" i="1"/>
  <c r="Z490" i="1"/>
  <c r="DS487" i="1"/>
  <c r="AP487" i="1"/>
  <c r="AN487" i="1"/>
  <c r="AL487" i="1"/>
  <c r="AJ487" i="1"/>
  <c r="AH487" i="1"/>
  <c r="AF487" i="1"/>
  <c r="AB487" i="1"/>
  <c r="Z487" i="1"/>
  <c r="AP486" i="1"/>
  <c r="AN486" i="1"/>
  <c r="AL486" i="1"/>
  <c r="AJ486" i="1"/>
  <c r="AH486" i="1"/>
  <c r="AF486" i="1"/>
  <c r="AD486" i="1"/>
  <c r="AB486" i="1"/>
  <c r="Z486" i="1"/>
  <c r="BU485" i="1"/>
  <c r="BT485" i="1"/>
  <c r="BS485" i="1"/>
  <c r="BR485" i="1"/>
  <c r="BR484" i="1" s="1"/>
  <c r="BQ485" i="1"/>
  <c r="BP485" i="1"/>
  <c r="BP484" i="1" s="1"/>
  <c r="BO485" i="1"/>
  <c r="BN485" i="1"/>
  <c r="BM485" i="1"/>
  <c r="AP485" i="1"/>
  <c r="AP537" i="1" s="1"/>
  <c r="AO485" i="1"/>
  <c r="AO484" i="1" s="1"/>
  <c r="AN485" i="1"/>
  <c r="AN537" i="1" s="1"/>
  <c r="AM485" i="1"/>
  <c r="AM537" i="1" s="1"/>
  <c r="AL485" i="1"/>
  <c r="AL537" i="1" s="1"/>
  <c r="AK485" i="1"/>
  <c r="AK537" i="1" s="1"/>
  <c r="AJ485" i="1"/>
  <c r="AI485" i="1"/>
  <c r="AI537" i="1" s="1"/>
  <c r="AH485" i="1"/>
  <c r="AG485" i="1"/>
  <c r="AF485" i="1"/>
  <c r="AE485" i="1"/>
  <c r="AE537" i="1" s="1"/>
  <c r="AD485" i="1"/>
  <c r="AC485" i="1"/>
  <c r="AB485" i="1"/>
  <c r="AA485" i="1"/>
  <c r="Z485" i="1"/>
  <c r="Y485" i="1"/>
  <c r="BU484" i="1"/>
  <c r="BT484" i="1"/>
  <c r="BS484" i="1"/>
  <c r="BQ484" i="1"/>
  <c r="BO484" i="1"/>
  <c r="BN484" i="1"/>
  <c r="BM484" i="1"/>
  <c r="AP484" i="1"/>
  <c r="AM484" i="1"/>
  <c r="AL484" i="1"/>
  <c r="AK484" i="1"/>
  <c r="AI484" i="1"/>
  <c r="AG484" i="1"/>
  <c r="AF484" i="1"/>
  <c r="AE484" i="1"/>
  <c r="AC484" i="1"/>
  <c r="AA484" i="1"/>
  <c r="Y484" i="1"/>
  <c r="AP483" i="1"/>
  <c r="AN483" i="1"/>
  <c r="AL483" i="1"/>
  <c r="AJ483" i="1"/>
  <c r="AH483" i="1"/>
  <c r="AF483" i="1"/>
  <c r="AD483" i="1"/>
  <c r="AB483" i="1"/>
  <c r="Z483" i="1"/>
  <c r="AP482" i="1"/>
  <c r="AN482" i="1"/>
  <c r="AL482" i="1"/>
  <c r="AJ482" i="1"/>
  <c r="AH482" i="1"/>
  <c r="AF482" i="1"/>
  <c r="AD482" i="1"/>
  <c r="AB482" i="1"/>
  <c r="Z482" i="1"/>
  <c r="AP481" i="1"/>
  <c r="AN481" i="1"/>
  <c r="AL481" i="1"/>
  <c r="AJ481" i="1"/>
  <c r="AH481" i="1"/>
  <c r="AF481" i="1"/>
  <c r="AD481" i="1"/>
  <c r="AD484" i="1" s="1"/>
  <c r="AB481" i="1"/>
  <c r="Z481" i="1"/>
  <c r="BO475" i="1"/>
  <c r="BN475" i="1"/>
  <c r="BT474" i="1"/>
  <c r="BN474" i="1"/>
  <c r="BS570" i="1"/>
  <c r="BS571" i="1" s="1"/>
  <c r="BR574" i="1" s="1"/>
  <c r="BR570" i="1"/>
  <c r="BQ570" i="1"/>
  <c r="BP570" i="1"/>
  <c r="BU472" i="1"/>
  <c r="BT472" i="1"/>
  <c r="BS472" i="1"/>
  <c r="BR472" i="1"/>
  <c r="BQ472" i="1"/>
  <c r="BP472" i="1"/>
  <c r="BO472" i="1"/>
  <c r="BN472" i="1"/>
  <c r="BM472" i="1"/>
  <c r="AO472" i="1"/>
  <c r="AM472" i="1"/>
  <c r="AK472" i="1"/>
  <c r="AI472" i="1"/>
  <c r="AG472" i="1"/>
  <c r="AE472" i="1"/>
  <c r="BT470" i="1"/>
  <c r="BO470" i="1"/>
  <c r="BN470" i="1"/>
  <c r="AG470" i="1"/>
  <c r="AD470" i="1"/>
  <c r="DS469" i="1"/>
  <c r="DS585" i="1" s="1"/>
  <c r="BV469" i="1"/>
  <c r="BV585" i="1" s="1"/>
  <c r="AQ469" i="1"/>
  <c r="AR469" i="1" s="1"/>
  <c r="AS469" i="1" s="1"/>
  <c r="AT469" i="1" s="1"/>
  <c r="AP469" i="1"/>
  <c r="AN469" i="1"/>
  <c r="AL469" i="1"/>
  <c r="AJ469" i="1"/>
  <c r="AH469" i="1"/>
  <c r="AF469" i="1"/>
  <c r="AD469" i="1"/>
  <c r="AB469" i="1"/>
  <c r="Z469" i="1"/>
  <c r="DS468" i="1"/>
  <c r="DS470" i="1" s="1"/>
  <c r="BU468" i="1"/>
  <c r="BU470" i="1" s="1"/>
  <c r="BU474" i="1" s="1"/>
  <c r="BS468" i="1"/>
  <c r="BS470" i="1" s="1"/>
  <c r="BP468" i="1"/>
  <c r="BP470" i="1" s="1"/>
  <c r="BO468" i="1"/>
  <c r="AD468" i="1" s="1"/>
  <c r="BM468" i="1"/>
  <c r="BM470" i="1" s="1"/>
  <c r="AO468" i="1"/>
  <c r="AO470" i="1" s="1"/>
  <c r="AM468" i="1"/>
  <c r="AM470" i="1" s="1"/>
  <c r="AM474" i="1" s="1"/>
  <c r="AL468" i="1"/>
  <c r="AL470" i="1" s="1"/>
  <c r="AK468" i="1"/>
  <c r="AK470" i="1" s="1"/>
  <c r="AI468" i="1"/>
  <c r="AI470" i="1" s="1"/>
  <c r="AG468" i="1"/>
  <c r="AE468" i="1"/>
  <c r="AE470" i="1" s="1"/>
  <c r="AC468" i="1"/>
  <c r="AC470" i="1" s="1"/>
  <c r="AA468" i="1"/>
  <c r="AA470" i="1" s="1"/>
  <c r="Z468" i="1"/>
  <c r="Y468" i="1"/>
  <c r="Y470" i="1" s="1"/>
  <c r="DS467" i="1"/>
  <c r="BU467" i="1"/>
  <c r="BT467" i="1"/>
  <c r="BT468" i="1" s="1"/>
  <c r="BS467" i="1"/>
  <c r="BR467" i="1"/>
  <c r="BQ467" i="1"/>
  <c r="BP467" i="1"/>
  <c r="BO467" i="1"/>
  <c r="BN467" i="1"/>
  <c r="BN468" i="1" s="1"/>
  <c r="AB468" i="1" s="1"/>
  <c r="BM467" i="1"/>
  <c r="AR467" i="1"/>
  <c r="BV467" i="1" s="1"/>
  <c r="AP467" i="1"/>
  <c r="AQ467" i="1" s="1"/>
  <c r="AO467" i="1"/>
  <c r="AN467" i="1"/>
  <c r="AM467" i="1"/>
  <c r="AL467" i="1"/>
  <c r="AK467" i="1"/>
  <c r="AI467" i="1"/>
  <c r="AG467" i="1"/>
  <c r="AF467" i="1"/>
  <c r="AE467" i="1"/>
  <c r="AD467" i="1"/>
  <c r="AC467" i="1"/>
  <c r="AB467" i="1"/>
  <c r="AA467" i="1"/>
  <c r="Z467" i="1"/>
  <c r="Y467" i="1"/>
  <c r="DS466" i="1"/>
  <c r="AP466" i="1"/>
  <c r="AN466" i="1"/>
  <c r="AL466" i="1"/>
  <c r="AJ466" i="1"/>
  <c r="AH466" i="1"/>
  <c r="AF466" i="1"/>
  <c r="AD466" i="1"/>
  <c r="AB466" i="1"/>
  <c r="Z466" i="1"/>
  <c r="DS465" i="1"/>
  <c r="AP465" i="1"/>
  <c r="AN465" i="1"/>
  <c r="AL465" i="1"/>
  <c r="AJ465" i="1"/>
  <c r="AH465" i="1"/>
  <c r="AF465" i="1"/>
  <c r="AF468" i="1" s="1"/>
  <c r="AD465" i="1"/>
  <c r="AB465" i="1"/>
  <c r="Z465" i="1"/>
  <c r="BP460" i="1"/>
  <c r="BS459" i="1"/>
  <c r="BR459" i="1"/>
  <c r="BQ459" i="1"/>
  <c r="BP459" i="1"/>
  <c r="AO459" i="1"/>
  <c r="AM459" i="1"/>
  <c r="AK459" i="1"/>
  <c r="AI459" i="1"/>
  <c r="AG459" i="1"/>
  <c r="AF459" i="1"/>
  <c r="BP456" i="1"/>
  <c r="AF456" i="1" s="1"/>
  <c r="AP456" i="1"/>
  <c r="AN456" i="1"/>
  <c r="AH455" i="1"/>
  <c r="BP454" i="1"/>
  <c r="AP453" i="1"/>
  <c r="AN453" i="1"/>
  <c r="AL453" i="1"/>
  <c r="AJ453" i="1"/>
  <c r="AH453" i="1"/>
  <c r="AP452" i="1"/>
  <c r="AN452" i="1"/>
  <c r="AL452" i="1"/>
  <c r="AJ452" i="1"/>
  <c r="AH452" i="1"/>
  <c r="AH451" i="1"/>
  <c r="AO450" i="1"/>
  <c r="BP448" i="1"/>
  <c r="AP447" i="1"/>
  <c r="AO447" i="1"/>
  <c r="AN447" i="1"/>
  <c r="AM447" i="1"/>
  <c r="AK447" i="1"/>
  <c r="AI447" i="1"/>
  <c r="BR446" i="1"/>
  <c r="AQ446" i="1"/>
  <c r="AH446" i="1"/>
  <c r="BP445" i="1"/>
  <c r="BP447" i="1" s="1"/>
  <c r="AP444" i="1"/>
  <c r="AN444" i="1"/>
  <c r="AL444" i="1"/>
  <c r="AJ444" i="1"/>
  <c r="AH444" i="1"/>
  <c r="AP443" i="1"/>
  <c r="AN443" i="1"/>
  <c r="AL443" i="1"/>
  <c r="AJ443" i="1"/>
  <c r="AH443" i="1"/>
  <c r="AQ442" i="1"/>
  <c r="AN442" i="1"/>
  <c r="AN445" i="1" s="1"/>
  <c r="AH442" i="1"/>
  <c r="AQ441" i="1"/>
  <c r="AP441" i="1"/>
  <c r="AP442" i="1" s="1"/>
  <c r="AP445" i="1" s="1"/>
  <c r="AO441" i="1"/>
  <c r="AN441" i="1"/>
  <c r="AL441" i="1"/>
  <c r="AJ441" i="1"/>
  <c r="BR439" i="1"/>
  <c r="AN439" i="1"/>
  <c r="AM439" i="1"/>
  <c r="BS438" i="1"/>
  <c r="BR438" i="1"/>
  <c r="BQ438" i="1"/>
  <c r="BP438" i="1"/>
  <c r="AO438" i="1"/>
  <c r="AN438" i="1"/>
  <c r="AM438" i="1"/>
  <c r="AK438" i="1"/>
  <c r="AK439" i="1" s="1"/>
  <c r="AI438" i="1"/>
  <c r="AH438" i="1"/>
  <c r="AG438" i="1"/>
  <c r="BS437" i="1"/>
  <c r="BR437" i="1"/>
  <c r="BQ437" i="1"/>
  <c r="BP437" i="1"/>
  <c r="AO437" i="1"/>
  <c r="AO439" i="1" s="1"/>
  <c r="AM437" i="1"/>
  <c r="AK437" i="1"/>
  <c r="AI437" i="1"/>
  <c r="AI439" i="1" s="1"/>
  <c r="AG437" i="1"/>
  <c r="AG439" i="1" s="1"/>
  <c r="BP435" i="1"/>
  <c r="BU434" i="1"/>
  <c r="BT434" i="1"/>
  <c r="BS434" i="1"/>
  <c r="BR434" i="1"/>
  <c r="AP434" i="1"/>
  <c r="AO434" i="1"/>
  <c r="AP428" i="1" s="1"/>
  <c r="AN434" i="1"/>
  <c r="AO428" i="1" s="1"/>
  <c r="AM434" i="1"/>
  <c r="AL434" i="1"/>
  <c r="AK434" i="1"/>
  <c r="AJ434" i="1"/>
  <c r="AI434" i="1"/>
  <c r="AJ428" i="1" s="1"/>
  <c r="AG434" i="1"/>
  <c r="DS433" i="1"/>
  <c r="AH433" i="1"/>
  <c r="DS432" i="1"/>
  <c r="BP432" i="1"/>
  <c r="BP434" i="1" s="1"/>
  <c r="BP439" i="1" s="1"/>
  <c r="DS431" i="1"/>
  <c r="BZ431" i="1"/>
  <c r="BY431" i="1"/>
  <c r="BX431" i="1"/>
  <c r="BW431" i="1"/>
  <c r="BV431" i="1"/>
  <c r="AP431" i="1"/>
  <c r="AN431" i="1"/>
  <c r="AL431" i="1"/>
  <c r="AJ431" i="1"/>
  <c r="AH431" i="1"/>
  <c r="DS430" i="1"/>
  <c r="BZ430" i="1"/>
  <c r="BY430" i="1"/>
  <c r="BX430" i="1"/>
  <c r="BW430" i="1"/>
  <c r="BV430" i="1"/>
  <c r="AP430" i="1"/>
  <c r="AN430" i="1"/>
  <c r="AL430" i="1"/>
  <c r="AJ430" i="1"/>
  <c r="AH430" i="1"/>
  <c r="DS429" i="1"/>
  <c r="DS434" i="1" s="1"/>
  <c r="AH429" i="1"/>
  <c r="DS428" i="1"/>
  <c r="BV428" i="1"/>
  <c r="BU428" i="1"/>
  <c r="BS428" i="1"/>
  <c r="BS435" i="1" s="1"/>
  <c r="BQ428" i="1"/>
  <c r="AQ428" i="1"/>
  <c r="AN428" i="1"/>
  <c r="AL428" i="1"/>
  <c r="AK428" i="1"/>
  <c r="AH428" i="1"/>
  <c r="DS425" i="1"/>
  <c r="AE425" i="1"/>
  <c r="DS424" i="1"/>
  <c r="AR424" i="1"/>
  <c r="AP424" i="1"/>
  <c r="AQ424" i="1" s="1"/>
  <c r="AN424" i="1"/>
  <c r="AL424" i="1"/>
  <c r="AJ424" i="1"/>
  <c r="AH424" i="1"/>
  <c r="AF424" i="1"/>
  <c r="DS423" i="1"/>
  <c r="AS423" i="1"/>
  <c r="AT423" i="1" s="1"/>
  <c r="AR423" i="1"/>
  <c r="BV423" i="1" s="1"/>
  <c r="AP423" i="1"/>
  <c r="AQ423" i="1" s="1"/>
  <c r="AN423" i="1"/>
  <c r="AL423" i="1"/>
  <c r="AJ423" i="1"/>
  <c r="AH423" i="1"/>
  <c r="AF423" i="1"/>
  <c r="DS422" i="1"/>
  <c r="BU422" i="1"/>
  <c r="BS422" i="1"/>
  <c r="BS425" i="1" s="1"/>
  <c r="AL425" i="1" s="1"/>
  <c r="BR422" i="1"/>
  <c r="AL422" i="1"/>
  <c r="AK422" i="1"/>
  <c r="AK425" i="1" s="1"/>
  <c r="AE422" i="1"/>
  <c r="AD422" i="1"/>
  <c r="AD425" i="1" s="1"/>
  <c r="DS420" i="1"/>
  <c r="BU420" i="1"/>
  <c r="BT420" i="1"/>
  <c r="AN420" i="1" s="1"/>
  <c r="BS420" i="1"/>
  <c r="BR420" i="1"/>
  <c r="BQ420" i="1"/>
  <c r="AH420" i="1" s="1"/>
  <c r="BP420" i="1"/>
  <c r="AF420" i="1" s="1"/>
  <c r="AP420" i="1"/>
  <c r="AO420" i="1"/>
  <c r="AM420" i="1"/>
  <c r="AL420" i="1"/>
  <c r="AK420" i="1"/>
  <c r="AJ420" i="1"/>
  <c r="AI420" i="1"/>
  <c r="AG420" i="1"/>
  <c r="AE420" i="1"/>
  <c r="AD420" i="1"/>
  <c r="AP419" i="1"/>
  <c r="AN419" i="1"/>
  <c r="AL419" i="1"/>
  <c r="AJ419" i="1"/>
  <c r="AH419" i="1"/>
  <c r="AF419" i="1"/>
  <c r="AP418" i="1"/>
  <c r="AN418" i="1"/>
  <c r="AL418" i="1"/>
  <c r="AJ418" i="1"/>
  <c r="AH418" i="1"/>
  <c r="AF418" i="1"/>
  <c r="DS415" i="1"/>
  <c r="BU415" i="1"/>
  <c r="BT415" i="1"/>
  <c r="BS415" i="1"/>
  <c r="BR415" i="1"/>
  <c r="BQ415" i="1"/>
  <c r="BP415" i="1"/>
  <c r="AR415" i="1"/>
  <c r="AP415" i="1"/>
  <c r="AQ415" i="1" s="1"/>
  <c r="AO415" i="1"/>
  <c r="AN415" i="1"/>
  <c r="AM415" i="1"/>
  <c r="AM422" i="1" s="1"/>
  <c r="AM425" i="1" s="1"/>
  <c r="AL415" i="1"/>
  <c r="AK415" i="1"/>
  <c r="AJ415" i="1"/>
  <c r="AI415" i="1"/>
  <c r="AG415" i="1"/>
  <c r="AD415" i="1"/>
  <c r="AP414" i="1"/>
  <c r="AN414" i="1"/>
  <c r="AL414" i="1"/>
  <c r="AJ414" i="1"/>
  <c r="AH414" i="1"/>
  <c r="AF414" i="1"/>
  <c r="AE414" i="1"/>
  <c r="AE415" i="1" s="1"/>
  <c r="AD414" i="1"/>
  <c r="AP413" i="1"/>
  <c r="AN413" i="1"/>
  <c r="AL413" i="1"/>
  <c r="AJ413" i="1"/>
  <c r="AH413" i="1"/>
  <c r="AF413" i="1"/>
  <c r="BS408" i="1"/>
  <c r="BM408" i="1"/>
  <c r="Z408" i="1" s="1"/>
  <c r="AI408" i="1"/>
  <c r="Y408" i="1"/>
  <c r="BU407" i="1"/>
  <c r="BT407" i="1"/>
  <c r="BS407" i="1"/>
  <c r="BR407" i="1"/>
  <c r="BQ407" i="1"/>
  <c r="BP407" i="1"/>
  <c r="BO407" i="1"/>
  <c r="BN407" i="1"/>
  <c r="BM407" i="1"/>
  <c r="AO407" i="1"/>
  <c r="AM407" i="1"/>
  <c r="AK407" i="1"/>
  <c r="AI407" i="1"/>
  <c r="AG407" i="1"/>
  <c r="AE407" i="1"/>
  <c r="AC407" i="1"/>
  <c r="AA407" i="1"/>
  <c r="Z407" i="1"/>
  <c r="Y407" i="1"/>
  <c r="DS406" i="1"/>
  <c r="BZ406" i="1"/>
  <c r="BY406" i="1"/>
  <c r="BX406" i="1"/>
  <c r="BW406" i="1"/>
  <c r="BV406" i="1"/>
  <c r="DS405" i="1"/>
  <c r="AP405" i="1"/>
  <c r="AN405" i="1"/>
  <c r="AL405" i="1"/>
  <c r="AJ405" i="1"/>
  <c r="AH405" i="1"/>
  <c r="AF405" i="1"/>
  <c r="AD405" i="1"/>
  <c r="AB405" i="1"/>
  <c r="Z405" i="1"/>
  <c r="DS404" i="1"/>
  <c r="AP404" i="1"/>
  <c r="AP438" i="1" s="1"/>
  <c r="AN404" i="1"/>
  <c r="AL404" i="1"/>
  <c r="AL438" i="1" s="1"/>
  <c r="AJ404" i="1"/>
  <c r="AJ438" i="1" s="1"/>
  <c r="AH404" i="1"/>
  <c r="AF404" i="1"/>
  <c r="AF438" i="1" s="1"/>
  <c r="AD404" i="1"/>
  <c r="AB404" i="1"/>
  <c r="Z404" i="1"/>
  <c r="DS403" i="1"/>
  <c r="AQ403" i="1"/>
  <c r="AP403" i="1"/>
  <c r="AN403" i="1"/>
  <c r="AL403" i="1"/>
  <c r="AJ403" i="1"/>
  <c r="AH403" i="1"/>
  <c r="AF403" i="1"/>
  <c r="AD403" i="1"/>
  <c r="AB403" i="1"/>
  <c r="Z403" i="1"/>
  <c r="DS402" i="1"/>
  <c r="DS407" i="1" s="1"/>
  <c r="AR402" i="1"/>
  <c r="AP402" i="1"/>
  <c r="AQ402" i="1" s="1"/>
  <c r="AN402" i="1"/>
  <c r="AL402" i="1"/>
  <c r="AJ402" i="1"/>
  <c r="AH402" i="1"/>
  <c r="AF402" i="1"/>
  <c r="AD402" i="1"/>
  <c r="AB402" i="1"/>
  <c r="Z402" i="1"/>
  <c r="DS401" i="1"/>
  <c r="BV401" i="1"/>
  <c r="AQ401" i="1"/>
  <c r="AR401" i="1" s="1"/>
  <c r="AP401" i="1"/>
  <c r="AN401" i="1"/>
  <c r="AN407" i="1" s="1"/>
  <c r="AL401" i="1"/>
  <c r="AL407" i="1" s="1"/>
  <c r="AJ401" i="1"/>
  <c r="AH401" i="1"/>
  <c r="AF401" i="1"/>
  <c r="AD401" i="1"/>
  <c r="AB401" i="1"/>
  <c r="AB407" i="1" s="1"/>
  <c r="Z401" i="1"/>
  <c r="AM400" i="1"/>
  <c r="BR398" i="1"/>
  <c r="BR408" i="1" s="1"/>
  <c r="BQ398" i="1"/>
  <c r="BQ408" i="1" s="1"/>
  <c r="BP398" i="1"/>
  <c r="BO398" i="1"/>
  <c r="BO408" i="1" s="1"/>
  <c r="BN398" i="1"/>
  <c r="BN408" i="1" s="1"/>
  <c r="BM398" i="1"/>
  <c r="AI398" i="1"/>
  <c r="AG398" i="1"/>
  <c r="AG408" i="1" s="1"/>
  <c r="AB398" i="1"/>
  <c r="AB408" i="1" s="1"/>
  <c r="AA398" i="1"/>
  <c r="AA408" i="1" s="1"/>
  <c r="Z398" i="1"/>
  <c r="Y398" i="1"/>
  <c r="DS397" i="1"/>
  <c r="BZ397" i="1"/>
  <c r="BY397" i="1"/>
  <c r="BX397" i="1"/>
  <c r="BW397" i="1"/>
  <c r="BV397" i="1"/>
  <c r="DS396" i="1"/>
  <c r="AQ396" i="1"/>
  <c r="AP396" i="1"/>
  <c r="AN396" i="1"/>
  <c r="AL396" i="1"/>
  <c r="AJ396" i="1"/>
  <c r="AH396" i="1"/>
  <c r="AF396" i="1"/>
  <c r="AD396" i="1"/>
  <c r="AB396" i="1"/>
  <c r="Z396" i="1"/>
  <c r="DS395" i="1"/>
  <c r="AR395" i="1"/>
  <c r="AQ395" i="1"/>
  <c r="AP395" i="1"/>
  <c r="AP437" i="1" s="1"/>
  <c r="AN395" i="1"/>
  <c r="AN437" i="1" s="1"/>
  <c r="AL395" i="1"/>
  <c r="AL437" i="1" s="1"/>
  <c r="AJ395" i="1"/>
  <c r="AJ437" i="1" s="1"/>
  <c r="AH395" i="1"/>
  <c r="AH437" i="1" s="1"/>
  <c r="AF395" i="1"/>
  <c r="AF437" i="1" s="1"/>
  <c r="AD395" i="1"/>
  <c r="AB395" i="1"/>
  <c r="Z395" i="1"/>
  <c r="DS394" i="1"/>
  <c r="AP394" i="1"/>
  <c r="AP526" i="1" s="1"/>
  <c r="AN394" i="1"/>
  <c r="AL394" i="1"/>
  <c r="AJ394" i="1"/>
  <c r="AH394" i="1"/>
  <c r="AF394" i="1"/>
  <c r="AD394" i="1"/>
  <c r="AB394" i="1"/>
  <c r="Z394" i="1"/>
  <c r="AA526" i="1" s="1"/>
  <c r="DS393" i="1"/>
  <c r="BV393" i="1"/>
  <c r="AS393" i="1"/>
  <c r="AT393" i="1" s="1"/>
  <c r="AQ393" i="1"/>
  <c r="AR393" i="1" s="1"/>
  <c r="AP393" i="1"/>
  <c r="AN393" i="1"/>
  <c r="AL393" i="1"/>
  <c r="AJ393" i="1"/>
  <c r="AK525" i="1" s="1"/>
  <c r="AH393" i="1"/>
  <c r="AF393" i="1"/>
  <c r="AD393" i="1"/>
  <c r="AB393" i="1"/>
  <c r="Z393" i="1"/>
  <c r="DS392" i="1"/>
  <c r="AP392" i="1"/>
  <c r="AN392" i="1"/>
  <c r="AL392" i="1"/>
  <c r="AJ392" i="1"/>
  <c r="AH392" i="1"/>
  <c r="AF392" i="1"/>
  <c r="AD392" i="1"/>
  <c r="AB392" i="1"/>
  <c r="Z392" i="1"/>
  <c r="AA527" i="1" s="1"/>
  <c r="DS391" i="1"/>
  <c r="DS398" i="1" s="1"/>
  <c r="BU391" i="1"/>
  <c r="BU398" i="1" s="1"/>
  <c r="BU408" i="1" s="1"/>
  <c r="BT391" i="1"/>
  <c r="BT398" i="1" s="1"/>
  <c r="BT408" i="1" s="1"/>
  <c r="BS391" i="1"/>
  <c r="BS398" i="1" s="1"/>
  <c r="AP391" i="1"/>
  <c r="AP525" i="1" s="1"/>
  <c r="AO391" i="1"/>
  <c r="AN391" i="1"/>
  <c r="AM391" i="1"/>
  <c r="AL391" i="1"/>
  <c r="AK391" i="1"/>
  <c r="AK398" i="1" s="1"/>
  <c r="AK408" i="1" s="1"/>
  <c r="AJ391" i="1"/>
  <c r="AH391" i="1"/>
  <c r="AF391" i="1"/>
  <c r="AE391" i="1"/>
  <c r="AD391" i="1"/>
  <c r="AC391" i="1"/>
  <c r="AC398" i="1" s="1"/>
  <c r="AC408" i="1" s="1"/>
  <c r="AB391" i="1"/>
  <c r="Z391" i="1"/>
  <c r="BS385" i="1"/>
  <c r="BR385" i="1"/>
  <c r="BQ385" i="1"/>
  <c r="AZ384" i="1"/>
  <c r="AY384" i="1"/>
  <c r="AX384" i="1"/>
  <c r="AW384" i="1"/>
  <c r="AV384" i="1"/>
  <c r="AU384" i="1"/>
  <c r="AT384" i="1"/>
  <c r="AS384" i="1"/>
  <c r="AR384" i="1"/>
  <c r="AQ384" i="1"/>
  <c r="AO384" i="1"/>
  <c r="AM384" i="1"/>
  <c r="AK384" i="1"/>
  <c r="AI384" i="1"/>
  <c r="BR383" i="1"/>
  <c r="BQ383" i="1"/>
  <c r="BP383" i="1"/>
  <c r="AZ383" i="1"/>
  <c r="AY383" i="1"/>
  <c r="AX383" i="1"/>
  <c r="AW383" i="1"/>
  <c r="AV383" i="1"/>
  <c r="AU383" i="1"/>
  <c r="AT383" i="1"/>
  <c r="AS383" i="1"/>
  <c r="AR383" i="1"/>
  <c r="AQ383" i="1"/>
  <c r="AO383" i="1"/>
  <c r="AM383" i="1"/>
  <c r="AK383" i="1"/>
  <c r="AI383" i="1"/>
  <c r="BS382" i="1"/>
  <c r="BQ382" i="1"/>
  <c r="AZ382" i="1"/>
  <c r="AY382" i="1"/>
  <c r="AX382" i="1"/>
  <c r="AW382" i="1"/>
  <c r="AV382" i="1"/>
  <c r="AU382" i="1"/>
  <c r="AT382" i="1"/>
  <c r="AS382" i="1"/>
  <c r="AR382" i="1"/>
  <c r="AQ382" i="1"/>
  <c r="AO382" i="1"/>
  <c r="AM382" i="1"/>
  <c r="AK382" i="1"/>
  <c r="AI382" i="1"/>
  <c r="BS381" i="1"/>
  <c r="BS380" i="1"/>
  <c r="AQ380" i="1"/>
  <c r="AK380" i="1"/>
  <c r="BS377" i="1"/>
  <c r="AZ377" i="1"/>
  <c r="AY377" i="1"/>
  <c r="AX377" i="1"/>
  <c r="AW377" i="1"/>
  <c r="AV377" i="1"/>
  <c r="AU377" i="1"/>
  <c r="AT377" i="1"/>
  <c r="AS377" i="1"/>
  <c r="AR377" i="1"/>
  <c r="AQ377" i="1"/>
  <c r="AO377" i="1"/>
  <c r="AM377" i="1"/>
  <c r="AK377" i="1"/>
  <c r="AI377" i="1"/>
  <c r="BR376" i="1"/>
  <c r="AZ376" i="1"/>
  <c r="AY376" i="1"/>
  <c r="AX376" i="1"/>
  <c r="AW376" i="1"/>
  <c r="AV376" i="1"/>
  <c r="AU376" i="1"/>
  <c r="AT376" i="1"/>
  <c r="AS376" i="1"/>
  <c r="AR376" i="1"/>
  <c r="AQ376" i="1"/>
  <c r="AO376" i="1"/>
  <c r="AM376" i="1"/>
  <c r="AK376" i="1"/>
  <c r="AI376" i="1"/>
  <c r="BS375" i="1"/>
  <c r="BR375" i="1"/>
  <c r="AZ375" i="1"/>
  <c r="AY375" i="1"/>
  <c r="AX375" i="1"/>
  <c r="AW375" i="1"/>
  <c r="AV375" i="1"/>
  <c r="AU375" i="1"/>
  <c r="AT375" i="1"/>
  <c r="AS375" i="1"/>
  <c r="AR375" i="1"/>
  <c r="AQ375" i="1"/>
  <c r="AO375" i="1"/>
  <c r="AM375" i="1"/>
  <c r="AK375" i="1"/>
  <c r="AI375" i="1"/>
  <c r="BS374" i="1"/>
  <c r="BR374" i="1"/>
  <c r="BQ374" i="1"/>
  <c r="AQ373" i="1"/>
  <c r="BP370" i="1"/>
  <c r="AQ370" i="1"/>
  <c r="AO370" i="1"/>
  <c r="AM370" i="1"/>
  <c r="BS367" i="1"/>
  <c r="AK362" i="1" s="1"/>
  <c r="BR367" i="1"/>
  <c r="BQ367" i="1"/>
  <c r="BP367" i="1"/>
  <c r="BQ362" i="1" s="1"/>
  <c r="BQ380" i="1" s="1"/>
  <c r="BS366" i="1"/>
  <c r="BS365" i="1"/>
  <c r="BS383" i="1" s="1"/>
  <c r="BR365" i="1"/>
  <c r="BQ365" i="1"/>
  <c r="BS363" i="1"/>
  <c r="BR363" i="1"/>
  <c r="BR381" i="1" s="1"/>
  <c r="BQ363" i="1"/>
  <c r="BP363" i="1"/>
  <c r="AQ363" i="1"/>
  <c r="AQ356" i="1" s="1"/>
  <c r="BS362" i="1"/>
  <c r="BR362" i="1"/>
  <c r="BP362" i="1"/>
  <c r="BP380" i="1" s="1"/>
  <c r="AQ362" i="1"/>
  <c r="AO362" i="1"/>
  <c r="AM362" i="1"/>
  <c r="AI362" i="1"/>
  <c r="BS359" i="1"/>
  <c r="BR359" i="1"/>
  <c r="BQ359" i="1"/>
  <c r="BQ377" i="1" s="1"/>
  <c r="BP359" i="1"/>
  <c r="BP377" i="1" s="1"/>
  <c r="BP358" i="1"/>
  <c r="BS357" i="1"/>
  <c r="BR357" i="1"/>
  <c r="BQ357" i="1"/>
  <c r="BQ375" i="1" s="1"/>
  <c r="BP357" i="1"/>
  <c r="BP375" i="1" s="1"/>
  <c r="BP356" i="1"/>
  <c r="BP374" i="1" s="1"/>
  <c r="BP355" i="1"/>
  <c r="BP360" i="1" s="1"/>
  <c r="AQ355" i="1"/>
  <c r="AO355" i="1"/>
  <c r="AM355" i="1"/>
  <c r="AO353" i="1"/>
  <c r="BP352" i="1"/>
  <c r="BP387" i="1" s="1"/>
  <c r="AQ352" i="1"/>
  <c r="AO352" i="1"/>
  <c r="AO387" i="1" s="1"/>
  <c r="AM352" i="1"/>
  <c r="BS350" i="1"/>
  <c r="BR350" i="1"/>
  <c r="BQ350" i="1"/>
  <c r="BQ349" i="1" s="1"/>
  <c r="BP350" i="1"/>
  <c r="AZ350" i="1"/>
  <c r="AY350" i="1"/>
  <c r="AX350" i="1"/>
  <c r="AW350" i="1"/>
  <c r="AV350" i="1"/>
  <c r="AU350" i="1"/>
  <c r="AT350" i="1"/>
  <c r="AS350" i="1"/>
  <c r="AR350" i="1"/>
  <c r="AQ350" i="1"/>
  <c r="AO350" i="1"/>
  <c r="AM350" i="1"/>
  <c r="AK350" i="1"/>
  <c r="AI350" i="1"/>
  <c r="BR349" i="1"/>
  <c r="BS347" i="1"/>
  <c r="BS349" i="1" s="1"/>
  <c r="BR347" i="1"/>
  <c r="BR382" i="1" s="1"/>
  <c r="BQ347" i="1"/>
  <c r="BP347" i="1"/>
  <c r="BP382" i="1" s="1"/>
  <c r="BP343" i="1"/>
  <c r="BP353" i="1" s="1"/>
  <c r="BQ352" i="1" s="1"/>
  <c r="AQ343" i="1"/>
  <c r="AM343" i="1"/>
  <c r="AM353" i="1" s="1"/>
  <c r="BS342" i="1"/>
  <c r="BR342" i="1"/>
  <c r="BQ342" i="1"/>
  <c r="BS341" i="1"/>
  <c r="BS376" i="1" s="1"/>
  <c r="BR341" i="1"/>
  <c r="BQ341" i="1"/>
  <c r="BQ376" i="1" s="1"/>
  <c r="BS340" i="1"/>
  <c r="BR340" i="1"/>
  <c r="BQ340" i="1"/>
  <c r="BQ338" i="1"/>
  <c r="BQ343" i="1" s="1"/>
  <c r="BP338" i="1"/>
  <c r="BP373" i="1" s="1"/>
  <c r="AQ338" i="1"/>
  <c r="AO338" i="1"/>
  <c r="AO343" i="1" s="1"/>
  <c r="AM338" i="1"/>
  <c r="AQ335" i="1"/>
  <c r="AQ387" i="1" s="1"/>
  <c r="AO335" i="1"/>
  <c r="AM335" i="1"/>
  <c r="BP333" i="1"/>
  <c r="BR331" i="1"/>
  <c r="BP331" i="1"/>
  <c r="AQ328" i="1"/>
  <c r="AQ332" i="1" s="1"/>
  <c r="BS327" i="1"/>
  <c r="BS331" i="1" s="1"/>
  <c r="BR327" i="1"/>
  <c r="BR380" i="1" s="1"/>
  <c r="BQ327" i="1"/>
  <c r="BQ331" i="1" s="1"/>
  <c r="AR327" i="1"/>
  <c r="AQ327" i="1"/>
  <c r="AO327" i="1"/>
  <c r="AM327" i="1"/>
  <c r="AK327" i="1"/>
  <c r="AI327" i="1"/>
  <c r="BP323" i="1"/>
  <c r="AQ321" i="1"/>
  <c r="AQ320" i="1"/>
  <c r="AO320" i="1"/>
  <c r="AM320" i="1"/>
  <c r="BU317" i="1"/>
  <c r="BV311" i="1" s="1"/>
  <c r="BT317" i="1"/>
  <c r="BS317" i="1"/>
  <c r="BT311" i="1" s="1"/>
  <c r="AO317" i="1"/>
  <c r="AM317" i="1"/>
  <c r="AL317" i="1"/>
  <c r="AK317" i="1"/>
  <c r="AJ317" i="1"/>
  <c r="AI317" i="1"/>
  <c r="AH317" i="1"/>
  <c r="AG317" i="1"/>
  <c r="AH311" i="1" s="1"/>
  <c r="AF317" i="1"/>
  <c r="DS316" i="1"/>
  <c r="DS315" i="1"/>
  <c r="BS315" i="1"/>
  <c r="BR315" i="1"/>
  <c r="BQ315" i="1"/>
  <c r="BP315" i="1"/>
  <c r="AV315" i="1"/>
  <c r="AU315" i="1"/>
  <c r="AT315" i="1"/>
  <c r="AO315" i="1"/>
  <c r="AN315" i="1"/>
  <c r="BU315" i="1" s="1"/>
  <c r="AM315" i="1"/>
  <c r="BT315" i="1" s="1"/>
  <c r="AL315" i="1"/>
  <c r="AK315" i="1"/>
  <c r="AJ315" i="1"/>
  <c r="AI315" i="1"/>
  <c r="AH315" i="1"/>
  <c r="AG315" i="1"/>
  <c r="DS314" i="1"/>
  <c r="BS316" i="1"/>
  <c r="AZ315" i="1"/>
  <c r="AY315" i="1"/>
  <c r="AP316" i="1"/>
  <c r="DS313" i="1"/>
  <c r="BZ313" i="1"/>
  <c r="BY313" i="1"/>
  <c r="BX313" i="1"/>
  <c r="BW313" i="1"/>
  <c r="BV313" i="1"/>
  <c r="BU313" i="1"/>
  <c r="BT313" i="1"/>
  <c r="DS312" i="1"/>
  <c r="BZ312" i="1"/>
  <c r="BY312" i="1"/>
  <c r="BX312" i="1"/>
  <c r="BW312" i="1"/>
  <c r="BV312" i="1"/>
  <c r="BU312" i="1"/>
  <c r="BT312" i="1"/>
  <c r="DS311" i="1"/>
  <c r="BU311" i="1"/>
  <c r="BS311" i="1"/>
  <c r="BR311" i="1"/>
  <c r="BQ311" i="1"/>
  <c r="AQ311" i="1"/>
  <c r="AP311" i="1"/>
  <c r="AM311" i="1"/>
  <c r="AK311" i="1"/>
  <c r="AI311" i="1"/>
  <c r="AG311" i="1"/>
  <c r="BT308" i="1"/>
  <c r="BS308" i="1"/>
  <c r="BS409" i="1" s="1"/>
  <c r="BR308" i="1"/>
  <c r="BR409" i="1" s="1"/>
  <c r="BP308" i="1"/>
  <c r="AC308" i="1"/>
  <c r="BU307" i="1"/>
  <c r="BT307" i="1"/>
  <c r="BS307" i="1"/>
  <c r="BR307" i="1"/>
  <c r="BQ307" i="1"/>
  <c r="BP307" i="1"/>
  <c r="BO307" i="1"/>
  <c r="BN307" i="1"/>
  <c r="AB307" i="1" s="1"/>
  <c r="BM307" i="1"/>
  <c r="Z307" i="1" s="1"/>
  <c r="AO307" i="1"/>
  <c r="AM307" i="1"/>
  <c r="AK307" i="1"/>
  <c r="AI307" i="1"/>
  <c r="AG307" i="1"/>
  <c r="AE307" i="1"/>
  <c r="AC307" i="1"/>
  <c r="AA307" i="1"/>
  <c r="Y307" i="1"/>
  <c r="DS306" i="1"/>
  <c r="AQ306" i="1"/>
  <c r="AR306" i="1" s="1"/>
  <c r="BV306" i="1" s="1"/>
  <c r="AP306" i="1"/>
  <c r="AN306" i="1"/>
  <c r="AL306" i="1"/>
  <c r="AJ306" i="1"/>
  <c r="AH306" i="1"/>
  <c r="AF306" i="1"/>
  <c r="AD306" i="1"/>
  <c r="AB306" i="1"/>
  <c r="Z306" i="1"/>
  <c r="DS305" i="1"/>
  <c r="AP305" i="1"/>
  <c r="AQ305" i="1" s="1"/>
  <c r="AR305" i="1" s="1"/>
  <c r="AN305" i="1"/>
  <c r="AL305" i="1"/>
  <c r="AJ305" i="1"/>
  <c r="AH305" i="1"/>
  <c r="AF305" i="1"/>
  <c r="AD305" i="1"/>
  <c r="AB305" i="1"/>
  <c r="Z305" i="1"/>
  <c r="DS304" i="1"/>
  <c r="AP304" i="1"/>
  <c r="AN304" i="1"/>
  <c r="AL304" i="1"/>
  <c r="AJ304" i="1"/>
  <c r="AH304" i="1"/>
  <c r="AF304" i="1"/>
  <c r="AD304" i="1"/>
  <c r="AB304" i="1"/>
  <c r="Z304" i="1"/>
  <c r="DS303" i="1"/>
  <c r="AR303" i="1"/>
  <c r="AP303" i="1"/>
  <c r="AQ303" i="1" s="1"/>
  <c r="AN303" i="1"/>
  <c r="AL303" i="1"/>
  <c r="AJ303" i="1"/>
  <c r="AH303" i="1"/>
  <c r="AF303" i="1"/>
  <c r="AD303" i="1"/>
  <c r="AB303" i="1"/>
  <c r="Z303" i="1"/>
  <c r="DS302" i="1"/>
  <c r="AR302" i="1"/>
  <c r="AQ302" i="1"/>
  <c r="AP302" i="1"/>
  <c r="AN302" i="1"/>
  <c r="AL302" i="1"/>
  <c r="AJ302" i="1"/>
  <c r="AH302" i="1"/>
  <c r="AF302" i="1"/>
  <c r="AD302" i="1"/>
  <c r="AB302" i="1"/>
  <c r="Z302" i="1"/>
  <c r="DS301" i="1"/>
  <c r="DS586" i="1" s="1"/>
  <c r="AP301" i="1"/>
  <c r="AP317" i="1" s="1"/>
  <c r="AN301" i="1"/>
  <c r="AL301" i="1"/>
  <c r="AJ301" i="1"/>
  <c r="AH301" i="1"/>
  <c r="AF301" i="1"/>
  <c r="AD301" i="1"/>
  <c r="AB301" i="1"/>
  <c r="Z301" i="1"/>
  <c r="DS300" i="1"/>
  <c r="AQ300" i="1"/>
  <c r="AR300" i="1" s="1"/>
  <c r="AP300" i="1"/>
  <c r="AN300" i="1"/>
  <c r="AL300" i="1"/>
  <c r="AJ300" i="1"/>
  <c r="AJ307" i="1" s="1"/>
  <c r="AH300" i="1"/>
  <c r="AF300" i="1"/>
  <c r="AD300" i="1"/>
  <c r="AB300" i="1"/>
  <c r="Z300" i="1"/>
  <c r="DS297" i="1"/>
  <c r="BU297" i="1"/>
  <c r="BS297" i="1"/>
  <c r="AL297" i="1" s="1"/>
  <c r="BR297" i="1"/>
  <c r="BQ297" i="1"/>
  <c r="BP297" i="1"/>
  <c r="BO297" i="1"/>
  <c r="BO308" i="1" s="1"/>
  <c r="BO409" i="1" s="1"/>
  <c r="BM297" i="1"/>
  <c r="AM297" i="1"/>
  <c r="AK297" i="1"/>
  <c r="AK308" i="1" s="1"/>
  <c r="AK409" i="1" s="1"/>
  <c r="AI297" i="1"/>
  <c r="AG297" i="1"/>
  <c r="AG308" i="1" s="1"/>
  <c r="AG409" i="1" s="1"/>
  <c r="AF297" i="1"/>
  <c r="AE297" i="1"/>
  <c r="AC297" i="1"/>
  <c r="AA297" i="1"/>
  <c r="AA308" i="1" s="1"/>
  <c r="AA409" i="1" s="1"/>
  <c r="Y297" i="1"/>
  <c r="DS296" i="1"/>
  <c r="BU296" i="1"/>
  <c r="BT296" i="1"/>
  <c r="BT297" i="1" s="1"/>
  <c r="AN297" i="1" s="1"/>
  <c r="BS296" i="1"/>
  <c r="BN296" i="1"/>
  <c r="BN297" i="1" s="1"/>
  <c r="AB297" i="1" s="1"/>
  <c r="BM296" i="1"/>
  <c r="Z296" i="1" s="1"/>
  <c r="AP296" i="1"/>
  <c r="AO296" i="1"/>
  <c r="AM296" i="1"/>
  <c r="AL296" i="1"/>
  <c r="AL532" i="1" s="1"/>
  <c r="AK296" i="1"/>
  <c r="AJ296" i="1"/>
  <c r="AJ532" i="1" s="1"/>
  <c r="AH296" i="1"/>
  <c r="AF296" i="1"/>
  <c r="AD296" i="1"/>
  <c r="AE532" i="1" s="1"/>
  <c r="AB296" i="1"/>
  <c r="DS295" i="1"/>
  <c r="AP295" i="1"/>
  <c r="AN295" i="1"/>
  <c r="AN459" i="1" s="1"/>
  <c r="AN460" i="1" s="1"/>
  <c r="AN461" i="1" s="1"/>
  <c r="AL295" i="1"/>
  <c r="AL459" i="1" s="1"/>
  <c r="AJ295" i="1"/>
  <c r="AJ459" i="1" s="1"/>
  <c r="AH295" i="1"/>
  <c r="AH459" i="1" s="1"/>
  <c r="AF295" i="1"/>
  <c r="AD295" i="1"/>
  <c r="AB295" i="1"/>
  <c r="Z295" i="1"/>
  <c r="DS294" i="1"/>
  <c r="AQ294" i="1"/>
  <c r="AP294" i="1"/>
  <c r="AN294" i="1"/>
  <c r="AL294" i="1"/>
  <c r="AJ294" i="1"/>
  <c r="AH294" i="1"/>
  <c r="AF294" i="1"/>
  <c r="AD294" i="1"/>
  <c r="AE531" i="1" s="1"/>
  <c r="AB294" i="1"/>
  <c r="Z294" i="1"/>
  <c r="DS293" i="1"/>
  <c r="AP293" i="1"/>
  <c r="AN293" i="1"/>
  <c r="AO533" i="1" s="1"/>
  <c r="AL293" i="1"/>
  <c r="AJ293" i="1"/>
  <c r="AH293" i="1"/>
  <c r="AF293" i="1"/>
  <c r="AF533" i="1" s="1"/>
  <c r="AD293" i="1"/>
  <c r="AE533" i="1" s="1"/>
  <c r="BP533" i="1" s="1"/>
  <c r="AB293" i="1"/>
  <c r="Z293" i="1"/>
  <c r="DS292" i="1"/>
  <c r="AP292" i="1"/>
  <c r="AN292" i="1"/>
  <c r="AL292" i="1"/>
  <c r="AJ292" i="1"/>
  <c r="AH292" i="1"/>
  <c r="AF292" i="1"/>
  <c r="AD292" i="1"/>
  <c r="AB292" i="1"/>
  <c r="Z292" i="1"/>
  <c r="DS286" i="1"/>
  <c r="BZ286" i="1"/>
  <c r="BY286" i="1"/>
  <c r="BX286" i="1"/>
  <c r="BW286" i="1"/>
  <c r="BV286" i="1"/>
  <c r="BQ286" i="1"/>
  <c r="BP286" i="1"/>
  <c r="BO286" i="1"/>
  <c r="BM286" i="1"/>
  <c r="AO286" i="1"/>
  <c r="AM286" i="1"/>
  <c r="AK286" i="1"/>
  <c r="AI286" i="1"/>
  <c r="AH286" i="1"/>
  <c r="AG286" i="1"/>
  <c r="AE286" i="1"/>
  <c r="AF286" i="1" s="1"/>
  <c r="AD286" i="1"/>
  <c r="AC286" i="1"/>
  <c r="AA286" i="1"/>
  <c r="Y286" i="1"/>
  <c r="Z286" i="1" s="1"/>
  <c r="DS285" i="1"/>
  <c r="AP285" i="1"/>
  <c r="AN285" i="1"/>
  <c r="AL285" i="1"/>
  <c r="AJ285" i="1"/>
  <c r="AH285" i="1"/>
  <c r="AF285" i="1"/>
  <c r="AD285" i="1"/>
  <c r="AB285" i="1"/>
  <c r="Z285" i="1"/>
  <c r="DS284" i="1"/>
  <c r="BO284" i="1"/>
  <c r="AP284" i="1"/>
  <c r="AN284" i="1"/>
  <c r="AL284" i="1"/>
  <c r="AJ284" i="1"/>
  <c r="AH284" i="1"/>
  <c r="AF284" i="1"/>
  <c r="AD284" i="1"/>
  <c r="AB284" i="1"/>
  <c r="Z284" i="1"/>
  <c r="DS283" i="1"/>
  <c r="BT283" i="1"/>
  <c r="DS282" i="1"/>
  <c r="DS288" i="1" s="1"/>
  <c r="BM282" i="1"/>
  <c r="BM288" i="1" s="1"/>
  <c r="Y282" i="1"/>
  <c r="BO278" i="1"/>
  <c r="BO27" i="1" s="1"/>
  <c r="BU277" i="1"/>
  <c r="BU543" i="1" s="1"/>
  <c r="BS277" i="1"/>
  <c r="BS543" i="1" s="1"/>
  <c r="BP277" i="1"/>
  <c r="BP543" i="1" s="1"/>
  <c r="BO277" i="1"/>
  <c r="BO543" i="1" s="1"/>
  <c r="BU276" i="1"/>
  <c r="BU542" i="1" s="1"/>
  <c r="BN276" i="1"/>
  <c r="BN542" i="1" s="1"/>
  <c r="DS274" i="1"/>
  <c r="AP274" i="1"/>
  <c r="AO274" i="1"/>
  <c r="AN274" i="1"/>
  <c r="AN277" i="1" s="1"/>
  <c r="AN543" i="1" s="1"/>
  <c r="AM274" i="1"/>
  <c r="AL274" i="1"/>
  <c r="AK274" i="1"/>
  <c r="AJ274" i="1"/>
  <c r="AH274" i="1"/>
  <c r="AF274" i="1"/>
  <c r="AD274" i="1"/>
  <c r="AB274" i="1"/>
  <c r="Z274" i="1"/>
  <c r="DS273" i="1"/>
  <c r="DS588" i="1" s="1"/>
  <c r="AP273" i="1"/>
  <c r="AN273" i="1"/>
  <c r="AL273" i="1"/>
  <c r="AJ273" i="1"/>
  <c r="AH273" i="1"/>
  <c r="AF273" i="1"/>
  <c r="AD273" i="1"/>
  <c r="AB273" i="1"/>
  <c r="Z273" i="1"/>
  <c r="DS272" i="1"/>
  <c r="AQ272" i="1"/>
  <c r="AP272" i="1"/>
  <c r="AN272" i="1"/>
  <c r="AL272" i="1"/>
  <c r="AJ272" i="1"/>
  <c r="AH272" i="1"/>
  <c r="AF272" i="1"/>
  <c r="AG271" i="1" s="1"/>
  <c r="AD272" i="1"/>
  <c r="AB272" i="1"/>
  <c r="Z272" i="1"/>
  <c r="DS271" i="1"/>
  <c r="BU271" i="1"/>
  <c r="BT271" i="1"/>
  <c r="BS271" i="1"/>
  <c r="BR271" i="1"/>
  <c r="BQ271" i="1"/>
  <c r="BP271" i="1"/>
  <c r="BO271" i="1"/>
  <c r="BN271" i="1"/>
  <c r="BM271" i="1"/>
  <c r="AQ271" i="1"/>
  <c r="AP271" i="1"/>
  <c r="AO271" i="1"/>
  <c r="AN271" i="1"/>
  <c r="AM271" i="1"/>
  <c r="AL271" i="1"/>
  <c r="AJ271" i="1"/>
  <c r="AI271" i="1"/>
  <c r="AH271" i="1"/>
  <c r="AF271" i="1"/>
  <c r="AE271" i="1"/>
  <c r="AD271" i="1"/>
  <c r="AC271" i="1"/>
  <c r="AB271" i="1"/>
  <c r="AA271" i="1"/>
  <c r="Z271" i="1"/>
  <c r="Y271" i="1"/>
  <c r="DS267" i="1"/>
  <c r="DS265" i="1"/>
  <c r="DS264" i="1"/>
  <c r="AG264" i="1"/>
  <c r="BT277" i="1"/>
  <c r="BT543" i="1" s="1"/>
  <c r="BT544" i="1" s="1"/>
  <c r="BP276" i="1"/>
  <c r="BP542" i="1" s="1"/>
  <c r="BM261" i="1"/>
  <c r="AI276" i="1"/>
  <c r="AI542" i="1" s="1"/>
  <c r="AA261" i="1"/>
  <c r="DS258" i="1"/>
  <c r="BS258" i="1"/>
  <c r="BO258" i="1"/>
  <c r="BN258" i="1"/>
  <c r="BM258" i="1"/>
  <c r="AC258" i="1"/>
  <c r="DS257" i="1"/>
  <c r="AP257" i="1"/>
  <c r="AN257" i="1"/>
  <c r="AL257" i="1"/>
  <c r="AJ257" i="1"/>
  <c r="AH257" i="1"/>
  <c r="AF257" i="1"/>
  <c r="AD257" i="1"/>
  <c r="AB257" i="1"/>
  <c r="Z257" i="1"/>
  <c r="DS256" i="1"/>
  <c r="BS256" i="1"/>
  <c r="BQ256" i="1"/>
  <c r="BP256" i="1"/>
  <c r="BO256" i="1"/>
  <c r="AD256" i="1" s="1"/>
  <c r="AD18" i="1" s="1"/>
  <c r="BN256" i="1"/>
  <c r="BM256" i="1"/>
  <c r="AK256" i="1"/>
  <c r="AC256" i="1"/>
  <c r="AB256" i="1"/>
  <c r="AA256" i="1"/>
  <c r="AA258" i="1" s="1"/>
  <c r="Y256" i="1"/>
  <c r="DS255" i="1"/>
  <c r="BO255" i="1"/>
  <c r="BN255" i="1"/>
  <c r="BM255" i="1"/>
  <c r="DS254" i="1"/>
  <c r="BO254" i="1"/>
  <c r="BN254" i="1"/>
  <c r="BM254" i="1"/>
  <c r="DS253" i="1"/>
  <c r="DS252" i="1"/>
  <c r="DS251" i="1"/>
  <c r="DS250" i="1"/>
  <c r="AG250" i="1"/>
  <c r="DS249" i="1"/>
  <c r="AO249" i="1"/>
  <c r="AM249" i="1"/>
  <c r="AK249" i="1"/>
  <c r="AG249" i="1"/>
  <c r="AE249" i="1"/>
  <c r="AE250" i="1" s="1"/>
  <c r="DS248" i="1"/>
  <c r="AO248" i="1"/>
  <c r="AM248" i="1"/>
  <c r="AM250" i="1" s="1"/>
  <c r="AK248" i="1"/>
  <c r="AI248" i="1"/>
  <c r="AG248" i="1"/>
  <c r="AE248" i="1"/>
  <c r="BQ244" i="1"/>
  <c r="BQ245" i="1" s="1"/>
  <c r="BQ243" i="1"/>
  <c r="BP243" i="1"/>
  <c r="BO243" i="1"/>
  <c r="AK242" i="1"/>
  <c r="AK241" i="1"/>
  <c r="AK240" i="1"/>
  <c r="BU236" i="1"/>
  <c r="BT236" i="1"/>
  <c r="BU235" i="1"/>
  <c r="AM235" i="1"/>
  <c r="AK235" i="1"/>
  <c r="AO231" i="1"/>
  <c r="AN231" i="1"/>
  <c r="AM231" i="1"/>
  <c r="AO230" i="1"/>
  <c r="AM230" i="1"/>
  <c r="AP228" i="1"/>
  <c r="AN228" i="1"/>
  <c r="AL228" i="1"/>
  <c r="DS227" i="1"/>
  <c r="DS236" i="1" s="1"/>
  <c r="BU227" i="1"/>
  <c r="BT227" i="1"/>
  <c r="BR227" i="1"/>
  <c r="DS226" i="1"/>
  <c r="BU226" i="1"/>
  <c r="BT226" i="1"/>
  <c r="BR226" i="1"/>
  <c r="DS225" i="1"/>
  <c r="AP225" i="1"/>
  <c r="AN225" i="1"/>
  <c r="AL225" i="1"/>
  <c r="DS224" i="1"/>
  <c r="BZ224" i="1"/>
  <c r="BY224" i="1"/>
  <c r="BX224" i="1"/>
  <c r="BW224" i="1"/>
  <c r="BV224" i="1"/>
  <c r="BU224" i="1"/>
  <c r="BR224" i="1"/>
  <c r="AO224" i="1"/>
  <c r="AK224" i="1"/>
  <c r="DS223" i="1"/>
  <c r="DS235" i="1" s="1"/>
  <c r="BU223" i="1"/>
  <c r="BT223" i="1"/>
  <c r="BS223" i="1"/>
  <c r="BS224" i="1" s="1"/>
  <c r="AO223" i="1"/>
  <c r="AO235" i="1" s="1"/>
  <c r="AM223" i="1"/>
  <c r="AM224" i="1" s="1"/>
  <c r="AL223" i="1"/>
  <c r="AL224" i="1" s="1"/>
  <c r="AK223" i="1"/>
  <c r="DS222" i="1"/>
  <c r="AT222" i="1"/>
  <c r="AV222" i="1" s="1"/>
  <c r="AX222" i="1" s="1"/>
  <c r="AZ222" i="1" s="1"/>
  <c r="AR222" i="1"/>
  <c r="AQ222" i="1"/>
  <c r="AP222" i="1"/>
  <c r="AP231" i="1" s="1"/>
  <c r="AN222" i="1"/>
  <c r="AL222" i="1"/>
  <c r="BQ221" i="1"/>
  <c r="BP221" i="1"/>
  <c r="AP221" i="1"/>
  <c r="AN221" i="1"/>
  <c r="AL221" i="1"/>
  <c r="AG221" i="1"/>
  <c r="AH221" i="1" s="1"/>
  <c r="BQ220" i="1"/>
  <c r="BP220" i="1"/>
  <c r="AP220" i="1"/>
  <c r="AN220" i="1"/>
  <c r="AL220" i="1"/>
  <c r="AG220" i="1"/>
  <c r="AH220" i="1" s="1"/>
  <c r="BQ219" i="1"/>
  <c r="BP219" i="1"/>
  <c r="AP219" i="1"/>
  <c r="AN219" i="1"/>
  <c r="AL219" i="1"/>
  <c r="DS218" i="1"/>
  <c r="BQ218" i="1"/>
  <c r="BP218" i="1"/>
  <c r="AS218" i="1"/>
  <c r="AU218" i="1" s="1"/>
  <c r="AQ218" i="1"/>
  <c r="AP218" i="1"/>
  <c r="AN218" i="1"/>
  <c r="AN230" i="1" s="1"/>
  <c r="AL218" i="1"/>
  <c r="AG218" i="1"/>
  <c r="AM217" i="1"/>
  <c r="AP216" i="1"/>
  <c r="AO216" i="1"/>
  <c r="AN216" i="1"/>
  <c r="AH212" i="1"/>
  <c r="AF212" i="1"/>
  <c r="AD212" i="1"/>
  <c r="AB212" i="1"/>
  <c r="Z212" i="1"/>
  <c r="BQ211" i="1"/>
  <c r="BP211" i="1"/>
  <c r="BO211" i="1"/>
  <c r="BN211" i="1"/>
  <c r="AB211" i="1" s="1"/>
  <c r="BM211" i="1"/>
  <c r="AH211" i="1"/>
  <c r="AG211" i="1"/>
  <c r="AE211" i="1"/>
  <c r="AF211" i="1" s="1"/>
  <c r="AC211" i="1"/>
  <c r="AD211" i="1" s="1"/>
  <c r="AA211" i="1"/>
  <c r="Y211" i="1"/>
  <c r="AH210" i="1"/>
  <c r="AF210" i="1"/>
  <c r="AD210" i="1"/>
  <c r="AB210" i="1"/>
  <c r="Z210" i="1"/>
  <c r="AH208" i="1"/>
  <c r="DS205" i="1"/>
  <c r="DS204" i="1"/>
  <c r="BZ204" i="1"/>
  <c r="AZ204" i="1"/>
  <c r="AY204" i="1"/>
  <c r="AX204" i="1"/>
  <c r="AW204" i="1"/>
  <c r="AV204" i="1"/>
  <c r="BX204" i="1" s="1"/>
  <c r="AU204" i="1"/>
  <c r="AT204" i="1"/>
  <c r="AS204" i="1"/>
  <c r="BW204" i="1" s="1"/>
  <c r="AR204" i="1"/>
  <c r="AQ204" i="1"/>
  <c r="AO204" i="1"/>
  <c r="AM204" i="1"/>
  <c r="BT204" i="1" s="1"/>
  <c r="AK204" i="1"/>
  <c r="AI204" i="1"/>
  <c r="AG204" i="1"/>
  <c r="AE204" i="1"/>
  <c r="BP204" i="1" s="1"/>
  <c r="DS203" i="1"/>
  <c r="BS203" i="1"/>
  <c r="AO203" i="1"/>
  <c r="AO205" i="1" s="1"/>
  <c r="AN203" i="1"/>
  <c r="AM203" i="1"/>
  <c r="AL203" i="1"/>
  <c r="AK203" i="1"/>
  <c r="AI203" i="1"/>
  <c r="AE203" i="1"/>
  <c r="DS202" i="1"/>
  <c r="BU202" i="1"/>
  <c r="BS202" i="1"/>
  <c r="AP202" i="1"/>
  <c r="AO202" i="1"/>
  <c r="AN202" i="1"/>
  <c r="AN205" i="1" s="1"/>
  <c r="AM202" i="1"/>
  <c r="AL202" i="1"/>
  <c r="AK202" i="1"/>
  <c r="AJ202" i="1"/>
  <c r="AI202" i="1"/>
  <c r="AI205" i="1" s="1"/>
  <c r="AH202" i="1"/>
  <c r="AG202" i="1"/>
  <c r="AE202" i="1"/>
  <c r="DS201" i="1"/>
  <c r="AR201" i="1"/>
  <c r="DS199" i="1"/>
  <c r="AN199" i="1"/>
  <c r="AN251" i="1" s="1"/>
  <c r="AM199" i="1"/>
  <c r="AM251" i="1" s="1"/>
  <c r="AG199" i="1"/>
  <c r="DS198" i="1"/>
  <c r="AP198" i="1"/>
  <c r="BU198" i="1" s="1"/>
  <c r="AO198" i="1"/>
  <c r="AN198" i="1"/>
  <c r="AM198" i="1"/>
  <c r="AK198" i="1"/>
  <c r="AJ198" i="1"/>
  <c r="BR198" i="1" s="1"/>
  <c r="AI198" i="1"/>
  <c r="AE198" i="1"/>
  <c r="DS197" i="1"/>
  <c r="BY197" i="1"/>
  <c r="BW197" i="1"/>
  <c r="BV197" i="1"/>
  <c r="BP197" i="1"/>
  <c r="AZ197" i="1"/>
  <c r="AY197" i="1"/>
  <c r="AY201" i="1" s="1"/>
  <c r="AX197" i="1"/>
  <c r="AX201" i="1" s="1"/>
  <c r="AW197" i="1"/>
  <c r="AV197" i="1"/>
  <c r="AU197" i="1"/>
  <c r="AT197" i="1"/>
  <c r="AT201" i="1" s="1"/>
  <c r="BW201" i="1" s="1"/>
  <c r="AS197" i="1"/>
  <c r="AS201" i="1" s="1"/>
  <c r="AR197" i="1"/>
  <c r="AQ197" i="1"/>
  <c r="AO197" i="1"/>
  <c r="AN197" i="1"/>
  <c r="AN201" i="1" s="1"/>
  <c r="AM197" i="1"/>
  <c r="AM201" i="1" s="1"/>
  <c r="BT201" i="1" s="1"/>
  <c r="AK197" i="1"/>
  <c r="AI197" i="1"/>
  <c r="AH197" i="1"/>
  <c r="BQ197" i="1" s="1"/>
  <c r="AG197" i="1"/>
  <c r="AG201" i="1" s="1"/>
  <c r="AF197" i="1"/>
  <c r="AF201" i="1" s="1"/>
  <c r="AE197" i="1"/>
  <c r="AE199" i="1" s="1"/>
  <c r="DS192" i="1"/>
  <c r="BR192" i="1"/>
  <c r="BR256" i="1" s="1"/>
  <c r="BQ192" i="1"/>
  <c r="BP192" i="1"/>
  <c r="AO192" i="1"/>
  <c r="AO256" i="1" s="1"/>
  <c r="AM192" i="1"/>
  <c r="AM256" i="1" s="1"/>
  <c r="AK192" i="1"/>
  <c r="AI192" i="1"/>
  <c r="AI256" i="1" s="1"/>
  <c r="AE192" i="1"/>
  <c r="AE256" i="1" s="1"/>
  <c r="AD192" i="1"/>
  <c r="AD191" i="1" s="1"/>
  <c r="AB192" i="1"/>
  <c r="Z192" i="1"/>
  <c r="DS191" i="1"/>
  <c r="BZ191" i="1"/>
  <c r="BY191" i="1"/>
  <c r="BX191" i="1"/>
  <c r="BW191" i="1"/>
  <c r="BV191" i="1"/>
  <c r="BO191" i="1"/>
  <c r="BN191" i="1"/>
  <c r="BM191" i="1"/>
  <c r="AP191" i="1"/>
  <c r="AC191" i="1"/>
  <c r="AB191" i="1"/>
  <c r="AA191" i="1"/>
  <c r="Z191" i="1"/>
  <c r="Y191" i="1"/>
  <c r="DS190" i="1"/>
  <c r="BA190" i="1"/>
  <c r="AP190" i="1"/>
  <c r="AP203" i="1" s="1"/>
  <c r="BU203" i="1" s="1"/>
  <c r="AN190" i="1"/>
  <c r="AL190" i="1"/>
  <c r="AJ190" i="1"/>
  <c r="AJ203" i="1" s="1"/>
  <c r="AG190" i="1"/>
  <c r="AH190" i="1" s="1"/>
  <c r="AH203" i="1" s="1"/>
  <c r="AF190" i="1"/>
  <c r="AF203" i="1" s="1"/>
  <c r="BP203" i="1" s="1"/>
  <c r="DS189" i="1"/>
  <c r="BZ189" i="1"/>
  <c r="BY189" i="1"/>
  <c r="BX189" i="1"/>
  <c r="BW189" i="1"/>
  <c r="BV189" i="1"/>
  <c r="AP189" i="1"/>
  <c r="AN189" i="1"/>
  <c r="AL189" i="1"/>
  <c r="AL198" i="1" s="1"/>
  <c r="BS198" i="1" s="1"/>
  <c r="AJ189" i="1"/>
  <c r="AH189" i="1"/>
  <c r="AH198" i="1" s="1"/>
  <c r="AG189" i="1"/>
  <c r="AG198" i="1" s="1"/>
  <c r="AF189" i="1"/>
  <c r="DS188" i="1"/>
  <c r="BV188" i="1"/>
  <c r="AQ188" i="1"/>
  <c r="AP188" i="1"/>
  <c r="AR188" i="1" s="1"/>
  <c r="AN188" i="1"/>
  <c r="AL188" i="1"/>
  <c r="AJ188" i="1"/>
  <c r="AH188" i="1"/>
  <c r="AF188" i="1"/>
  <c r="AD188" i="1"/>
  <c r="AB188" i="1"/>
  <c r="Z188" i="1"/>
  <c r="DS187" i="1"/>
  <c r="BZ187" i="1"/>
  <c r="BY187" i="1"/>
  <c r="BX187" i="1"/>
  <c r="BW187" i="1"/>
  <c r="BV187" i="1"/>
  <c r="AP187" i="1"/>
  <c r="AP197" i="1" s="1"/>
  <c r="AP201" i="1" s="1"/>
  <c r="AN187" i="1"/>
  <c r="AN204" i="1" s="1"/>
  <c r="AL187" i="1"/>
  <c r="AJ187" i="1"/>
  <c r="AH187" i="1"/>
  <c r="AF187" i="1"/>
  <c r="AF204" i="1" s="1"/>
  <c r="BU182" i="1"/>
  <c r="BT182" i="1"/>
  <c r="BS182" i="1"/>
  <c r="BR182" i="1"/>
  <c r="BQ182" i="1"/>
  <c r="BP182" i="1"/>
  <c r="BU181" i="1"/>
  <c r="BT181" i="1"/>
  <c r="BS181" i="1"/>
  <c r="BR181" i="1"/>
  <c r="BQ181" i="1"/>
  <c r="BP181" i="1"/>
  <c r="BU180" i="1"/>
  <c r="BT180" i="1"/>
  <c r="BS180" i="1"/>
  <c r="BR180" i="1"/>
  <c r="BQ180" i="1"/>
  <c r="BU178" i="1"/>
  <c r="BT178" i="1"/>
  <c r="BS178" i="1"/>
  <c r="BR178" i="1"/>
  <c r="BQ178" i="1"/>
  <c r="AN174" i="1"/>
  <c r="AI174" i="1"/>
  <c r="AC174" i="1"/>
  <c r="BU173" i="1"/>
  <c r="BT173" i="1"/>
  <c r="BO173" i="1"/>
  <c r="BN173" i="1"/>
  <c r="AO173" i="1"/>
  <c r="AI173" i="1"/>
  <c r="DS172" i="1"/>
  <c r="BU172" i="1"/>
  <c r="BT172" i="1"/>
  <c r="BS172" i="1"/>
  <c r="BR172" i="1"/>
  <c r="BQ172" i="1"/>
  <c r="BP172" i="1"/>
  <c r="BO172" i="1"/>
  <c r="BN172" i="1"/>
  <c r="AP172" i="1"/>
  <c r="AO172" i="1"/>
  <c r="AM172" i="1"/>
  <c r="AK172" i="1"/>
  <c r="AI172" i="1"/>
  <c r="AG172" i="1"/>
  <c r="AF172" i="1"/>
  <c r="AE172" i="1"/>
  <c r="AD172" i="1"/>
  <c r="AC172" i="1"/>
  <c r="AA172" i="1"/>
  <c r="DS171" i="1"/>
  <c r="BU171" i="1"/>
  <c r="BT171" i="1"/>
  <c r="BS171" i="1"/>
  <c r="BR171" i="1"/>
  <c r="BQ171" i="1"/>
  <c r="AS171" i="1"/>
  <c r="AQ171" i="1"/>
  <c r="AO171" i="1"/>
  <c r="AM171" i="1"/>
  <c r="AK171" i="1"/>
  <c r="AI171" i="1"/>
  <c r="AH171" i="1"/>
  <c r="AG171" i="1"/>
  <c r="BQ168" i="1"/>
  <c r="BP168" i="1"/>
  <c r="AM168" i="1"/>
  <c r="BU166" i="1"/>
  <c r="BT166" i="1"/>
  <c r="BS166" i="1"/>
  <c r="BR166" i="1"/>
  <c r="BQ166" i="1"/>
  <c r="BP166" i="1"/>
  <c r="AO166" i="1"/>
  <c r="AM166" i="1"/>
  <c r="AL166" i="1"/>
  <c r="AK166" i="1"/>
  <c r="AI166" i="1"/>
  <c r="AG166" i="1"/>
  <c r="AF166" i="1"/>
  <c r="AE166" i="1"/>
  <c r="BQ165" i="1"/>
  <c r="AM165" i="1"/>
  <c r="AG165" i="1"/>
  <c r="AA165" i="1"/>
  <c r="DS164" i="1"/>
  <c r="BU164" i="1"/>
  <c r="BT164" i="1"/>
  <c r="BS164" i="1"/>
  <c r="BR164" i="1"/>
  <c r="BQ164" i="1"/>
  <c r="BP164" i="1"/>
  <c r="BO164" i="1"/>
  <c r="AO164" i="1"/>
  <c r="AN164" i="1"/>
  <c r="AM164" i="1"/>
  <c r="AK164" i="1"/>
  <c r="AI164" i="1"/>
  <c r="AG164" i="1"/>
  <c r="AE164" i="1"/>
  <c r="AC164" i="1"/>
  <c r="AA164" i="1"/>
  <c r="BU163" i="1"/>
  <c r="BT163" i="1"/>
  <c r="BS163" i="1"/>
  <c r="BR163" i="1"/>
  <c r="BQ163" i="1"/>
  <c r="AO163" i="1"/>
  <c r="AM163" i="1"/>
  <c r="AK163" i="1"/>
  <c r="AI163" i="1"/>
  <c r="AH163" i="1"/>
  <c r="AG163" i="1"/>
  <c r="AZ161" i="1"/>
  <c r="AY161" i="1"/>
  <c r="AX161" i="1"/>
  <c r="AW161" i="1"/>
  <c r="AV161" i="1"/>
  <c r="AU161" i="1"/>
  <c r="AT161" i="1"/>
  <c r="AS161" i="1"/>
  <c r="AR161" i="1"/>
  <c r="AQ161" i="1"/>
  <c r="DS155" i="1"/>
  <c r="AP155" i="1"/>
  <c r="AN155" i="1"/>
  <c r="AL155" i="1"/>
  <c r="AK156" i="1" s="1"/>
  <c r="AJ155" i="1"/>
  <c r="AI156" i="1" s="1"/>
  <c r="AH155" i="1"/>
  <c r="AF155" i="1"/>
  <c r="AD155" i="1"/>
  <c r="AB155" i="1"/>
  <c r="Z155" i="1"/>
  <c r="DS154" i="1"/>
  <c r="DS165" i="1" s="1"/>
  <c r="BU154" i="1"/>
  <c r="BT154" i="1"/>
  <c r="BT165" i="1" s="1"/>
  <c r="BS154" i="1"/>
  <c r="BS165" i="1" s="1"/>
  <c r="BR154" i="1"/>
  <c r="BR165" i="1" s="1"/>
  <c r="BQ154" i="1"/>
  <c r="BP154" i="1"/>
  <c r="BP165" i="1" s="1"/>
  <c r="BO154" i="1"/>
  <c r="BN154" i="1"/>
  <c r="AB154" i="1" s="1"/>
  <c r="AB165" i="1" s="1"/>
  <c r="BM154" i="1"/>
  <c r="BM165" i="1" s="1"/>
  <c r="AO154" i="1"/>
  <c r="AN154" i="1"/>
  <c r="AM154" i="1"/>
  <c r="AM255" i="1" s="1"/>
  <c r="AM254" i="1" s="1"/>
  <c r="AL154" i="1"/>
  <c r="AL165" i="1" s="1"/>
  <c r="AK154" i="1"/>
  <c r="AI154" i="1"/>
  <c r="AI165" i="1" s="1"/>
  <c r="AH154" i="1"/>
  <c r="AH165" i="1" s="1"/>
  <c r="AG154" i="1"/>
  <c r="AF154" i="1"/>
  <c r="AE154" i="1"/>
  <c r="AC154" i="1"/>
  <c r="AC165" i="1" s="1"/>
  <c r="AA154" i="1"/>
  <c r="Z154" i="1"/>
  <c r="Z165" i="1" s="1"/>
  <c r="Y154" i="1"/>
  <c r="Y165" i="1" s="1"/>
  <c r="DS153" i="1"/>
  <c r="AP153" i="1"/>
  <c r="AN153" i="1"/>
  <c r="AL153" i="1"/>
  <c r="AJ153" i="1"/>
  <c r="AH153" i="1"/>
  <c r="AF153" i="1"/>
  <c r="AD153" i="1"/>
  <c r="AB153" i="1"/>
  <c r="Z153" i="1"/>
  <c r="DS152" i="1"/>
  <c r="DS168" i="1" s="1"/>
  <c r="BZ152" i="1"/>
  <c r="BY152" i="1"/>
  <c r="BX152" i="1"/>
  <c r="BW152" i="1"/>
  <c r="BV152" i="1"/>
  <c r="BU152" i="1"/>
  <c r="BU168" i="1" s="1"/>
  <c r="BT152" i="1"/>
  <c r="BT168" i="1" s="1"/>
  <c r="BS152" i="1"/>
  <c r="BS168" i="1" s="1"/>
  <c r="AM152" i="1"/>
  <c r="AK152" i="1"/>
  <c r="AK168" i="1" s="1"/>
  <c r="AI152" i="1"/>
  <c r="AI168" i="1" s="1"/>
  <c r="AC152" i="1"/>
  <c r="Y152" i="1"/>
  <c r="DS151" i="1"/>
  <c r="DS173" i="1" s="1"/>
  <c r="BR151" i="1"/>
  <c r="BQ151" i="1"/>
  <c r="BQ173" i="1" s="1"/>
  <c r="BP151" i="1"/>
  <c r="BP173" i="1" s="1"/>
  <c r="BO151" i="1"/>
  <c r="BN151" i="1"/>
  <c r="BM151" i="1"/>
  <c r="Z151" i="1" s="1"/>
  <c r="Z174" i="1" s="1"/>
  <c r="AO151" i="1"/>
  <c r="AN151" i="1"/>
  <c r="AM151" i="1"/>
  <c r="AK151" i="1"/>
  <c r="AI151" i="1"/>
  <c r="AG151" i="1"/>
  <c r="AE151" i="1"/>
  <c r="AE152" i="1" s="1"/>
  <c r="AE168" i="1" s="1"/>
  <c r="AC151" i="1"/>
  <c r="AA151" i="1"/>
  <c r="Y151" i="1"/>
  <c r="Y174" i="1" s="1"/>
  <c r="DS150" i="1"/>
  <c r="AR150" i="1"/>
  <c r="BV150" i="1" s="1"/>
  <c r="BV164" i="1" s="1"/>
  <c r="AQ150" i="1"/>
  <c r="AP150" i="1"/>
  <c r="AP164" i="1" s="1"/>
  <c r="AN150" i="1"/>
  <c r="AL150" i="1"/>
  <c r="AJ150" i="1"/>
  <c r="AH150" i="1"/>
  <c r="AH249" i="1" s="1"/>
  <c r="AF150" i="1"/>
  <c r="AD150" i="1"/>
  <c r="AD164" i="1" s="1"/>
  <c r="AB150" i="1"/>
  <c r="AB164" i="1" s="1"/>
  <c r="Z150" i="1"/>
  <c r="DS149" i="1"/>
  <c r="AP149" i="1"/>
  <c r="AN149" i="1"/>
  <c r="AL149" i="1"/>
  <c r="AJ149" i="1"/>
  <c r="AH149" i="1"/>
  <c r="AJ172" i="1" s="1"/>
  <c r="AF149" i="1"/>
  <c r="AD149" i="1"/>
  <c r="AB149" i="1"/>
  <c r="Z149" i="1"/>
  <c r="AB172" i="1" s="1"/>
  <c r="DS148" i="1"/>
  <c r="BZ148" i="1"/>
  <c r="BY148" i="1"/>
  <c r="BX148" i="1"/>
  <c r="BW148" i="1"/>
  <c r="BV148" i="1"/>
  <c r="BU148" i="1"/>
  <c r="BT148" i="1"/>
  <c r="BS148" i="1"/>
  <c r="BR148" i="1"/>
  <c r="BQ148" i="1"/>
  <c r="BP148" i="1"/>
  <c r="BO148" i="1"/>
  <c r="AD148" i="1" s="1"/>
  <c r="BN148" i="1"/>
  <c r="AB148" i="1" s="1"/>
  <c r="AO148" i="1"/>
  <c r="AM148" i="1"/>
  <c r="AK148" i="1"/>
  <c r="AI148" i="1"/>
  <c r="AG148" i="1"/>
  <c r="AE148" i="1"/>
  <c r="DS147" i="1"/>
  <c r="DS166" i="1" s="1"/>
  <c r="AQ147" i="1"/>
  <c r="AP147" i="1"/>
  <c r="AP166" i="1" s="1"/>
  <c r="AQ166" i="1" s="1"/>
  <c r="AN147" i="1"/>
  <c r="AN166" i="1" s="1"/>
  <c r="AL147" i="1"/>
  <c r="AJ147" i="1"/>
  <c r="AJ166" i="1" s="1"/>
  <c r="AH147" i="1"/>
  <c r="AF147" i="1"/>
  <c r="DS146" i="1"/>
  <c r="DS163" i="1" s="1"/>
  <c r="AU146" i="1"/>
  <c r="AU171" i="1" s="1"/>
  <c r="AS146" i="1"/>
  <c r="AQ146" i="1"/>
  <c r="AP146" i="1"/>
  <c r="AN146" i="1"/>
  <c r="AL146" i="1"/>
  <c r="AJ146" i="1"/>
  <c r="AH146" i="1"/>
  <c r="AF146" i="1"/>
  <c r="DS145" i="1"/>
  <c r="AU145" i="1"/>
  <c r="AS145" i="1"/>
  <c r="AQ145" i="1"/>
  <c r="AP145" i="1"/>
  <c r="AN145" i="1"/>
  <c r="AL145" i="1"/>
  <c r="AJ145" i="1"/>
  <c r="AH145" i="1"/>
  <c r="AF145" i="1"/>
  <c r="AF148" i="1" s="1"/>
  <c r="AD145" i="1"/>
  <c r="AB145" i="1"/>
  <c r="Z145" i="1"/>
  <c r="DS141" i="1"/>
  <c r="BU141" i="1"/>
  <c r="BT141" i="1"/>
  <c r="BS141" i="1"/>
  <c r="BR141" i="1"/>
  <c r="BQ141" i="1"/>
  <c r="BP141" i="1"/>
  <c r="AO141" i="1"/>
  <c r="AM141" i="1"/>
  <c r="AK141" i="1"/>
  <c r="AI141" i="1"/>
  <c r="AH141" i="1"/>
  <c r="AG141" i="1"/>
  <c r="AF141" i="1"/>
  <c r="BU140" i="1"/>
  <c r="BT140" i="1"/>
  <c r="BS140" i="1"/>
  <c r="BR140" i="1"/>
  <c r="BQ140" i="1"/>
  <c r="BP140" i="1"/>
  <c r="AO140" i="1"/>
  <c r="AM140" i="1"/>
  <c r="AL140" i="1"/>
  <c r="AK140" i="1"/>
  <c r="AJ140" i="1"/>
  <c r="AI140" i="1"/>
  <c r="AG140" i="1"/>
  <c r="AF140" i="1"/>
  <c r="DS139" i="1"/>
  <c r="BU139" i="1"/>
  <c r="BT139" i="1"/>
  <c r="AN139" i="1"/>
  <c r="AM139" i="1"/>
  <c r="AI139" i="1"/>
  <c r="AG139" i="1"/>
  <c r="AK136" i="1"/>
  <c r="AJ136" i="1"/>
  <c r="AF136" i="1"/>
  <c r="BT135" i="1"/>
  <c r="DS134" i="1"/>
  <c r="BV134" i="1"/>
  <c r="BU134" i="1"/>
  <c r="BT134" i="1"/>
  <c r="BS134" i="1"/>
  <c r="BR134" i="1"/>
  <c r="AO134" i="1"/>
  <c r="AN134" i="1"/>
  <c r="AM134" i="1"/>
  <c r="AH134" i="1"/>
  <c r="DS133" i="1"/>
  <c r="BU133" i="1"/>
  <c r="BT133" i="1"/>
  <c r="BS133" i="1"/>
  <c r="BR133" i="1"/>
  <c r="AP133" i="1"/>
  <c r="AO133" i="1"/>
  <c r="AN133" i="1"/>
  <c r="AM133" i="1"/>
  <c r="AK133" i="1"/>
  <c r="AJ133" i="1"/>
  <c r="AI133" i="1"/>
  <c r="AH133" i="1"/>
  <c r="DS130" i="1"/>
  <c r="AP130" i="1"/>
  <c r="AN130" i="1"/>
  <c r="AN141" i="1" s="1"/>
  <c r="AL130" i="1"/>
  <c r="AL141" i="1" s="1"/>
  <c r="AJ130" i="1"/>
  <c r="AH130" i="1"/>
  <c r="DS129" i="1"/>
  <c r="BU129" i="1"/>
  <c r="BT129" i="1"/>
  <c r="BS129" i="1"/>
  <c r="BR129" i="1"/>
  <c r="BQ129" i="1"/>
  <c r="BP129" i="1"/>
  <c r="AO129" i="1"/>
  <c r="AO136" i="1" s="1"/>
  <c r="AN129" i="1"/>
  <c r="AN136" i="1" s="1"/>
  <c r="AM129" i="1"/>
  <c r="AM136" i="1" s="1"/>
  <c r="AL129" i="1"/>
  <c r="AL136" i="1" s="1"/>
  <c r="AK129" i="1"/>
  <c r="AI129" i="1"/>
  <c r="AI136" i="1" s="1"/>
  <c r="AH129" i="1"/>
  <c r="AH136" i="1" s="1"/>
  <c r="AG129" i="1"/>
  <c r="AG136" i="1" s="1"/>
  <c r="AF129" i="1"/>
  <c r="DS128" i="1"/>
  <c r="DS140" i="1" s="1"/>
  <c r="AP128" i="1"/>
  <c r="AN128" i="1"/>
  <c r="AN140" i="1" s="1"/>
  <c r="AL128" i="1"/>
  <c r="AJ128" i="1"/>
  <c r="AJ129" i="1" s="1"/>
  <c r="AH128" i="1"/>
  <c r="AH140" i="1" s="1"/>
  <c r="DS127" i="1"/>
  <c r="DS135" i="1" s="1"/>
  <c r="BU127" i="1"/>
  <c r="BU135" i="1" s="1"/>
  <c r="BT127" i="1"/>
  <c r="BS127" i="1"/>
  <c r="AM127" i="1"/>
  <c r="AG127" i="1"/>
  <c r="AF127" i="1"/>
  <c r="DS126" i="1"/>
  <c r="BU126" i="1"/>
  <c r="BT126" i="1"/>
  <c r="BS126" i="1"/>
  <c r="BS139" i="1" s="1"/>
  <c r="BR126" i="1"/>
  <c r="BQ126" i="1"/>
  <c r="BP126" i="1"/>
  <c r="BP127" i="1" s="1"/>
  <c r="AQ126" i="1"/>
  <c r="AQ139" i="1" s="1"/>
  <c r="AO126" i="1"/>
  <c r="AO127" i="1" s="1"/>
  <c r="AN126" i="1"/>
  <c r="AM126" i="1"/>
  <c r="AK126" i="1"/>
  <c r="AI126" i="1"/>
  <c r="AI127" i="1" s="1"/>
  <c r="AG126" i="1"/>
  <c r="AF126" i="1"/>
  <c r="AF139" i="1" s="1"/>
  <c r="DS125" i="1"/>
  <c r="AS125" i="1"/>
  <c r="AR125" i="1"/>
  <c r="BV125" i="1" s="1"/>
  <c r="AQ125" i="1"/>
  <c r="AP125" i="1"/>
  <c r="AN125" i="1"/>
  <c r="AP134" i="1" s="1"/>
  <c r="AL125" i="1"/>
  <c r="AL249" i="1" s="1"/>
  <c r="AL250" i="1" s="1"/>
  <c r="AI125" i="1"/>
  <c r="AJ125" i="1" s="1"/>
  <c r="AJ134" i="1" s="1"/>
  <c r="AH125" i="1"/>
  <c r="DS124" i="1"/>
  <c r="AQ124" i="1"/>
  <c r="AP124" i="1"/>
  <c r="AR124" i="1" s="1"/>
  <c r="AN124" i="1"/>
  <c r="AL124" i="1"/>
  <c r="AL133" i="1" s="1"/>
  <c r="AJ124" i="1"/>
  <c r="AJ141" i="1" s="1"/>
  <c r="AH124" i="1"/>
  <c r="BU120" i="1"/>
  <c r="BT120" i="1"/>
  <c r="BS120" i="1"/>
  <c r="BR120" i="1"/>
  <c r="BQ120" i="1"/>
  <c r="BP120" i="1"/>
  <c r="BU119" i="1"/>
  <c r="BT119" i="1"/>
  <c r="BS119" i="1"/>
  <c r="BR119" i="1"/>
  <c r="BQ119" i="1"/>
  <c r="BP119" i="1"/>
  <c r="BU117" i="1"/>
  <c r="BT117" i="1"/>
  <c r="BS117" i="1"/>
  <c r="BR117" i="1"/>
  <c r="BQ117" i="1"/>
  <c r="BU115" i="1"/>
  <c r="BT115" i="1"/>
  <c r="BS115" i="1"/>
  <c r="BR115" i="1"/>
  <c r="BQ115" i="1"/>
  <c r="AE111" i="1"/>
  <c r="AA111" i="1"/>
  <c r="BS110" i="1"/>
  <c r="AK110" i="1"/>
  <c r="AE110" i="1"/>
  <c r="DS109" i="1"/>
  <c r="BU109" i="1"/>
  <c r="BT109" i="1"/>
  <c r="BS109" i="1"/>
  <c r="BR109" i="1"/>
  <c r="BQ109" i="1"/>
  <c r="BP109" i="1"/>
  <c r="BO109" i="1"/>
  <c r="BN109" i="1"/>
  <c r="AO109" i="1"/>
  <c r="AM109" i="1"/>
  <c r="AL109" i="1"/>
  <c r="AK109" i="1"/>
  <c r="AI109" i="1"/>
  <c r="AG109" i="1"/>
  <c r="AE109" i="1"/>
  <c r="AD109" i="1"/>
  <c r="AC109" i="1"/>
  <c r="AA109" i="1"/>
  <c r="DS108" i="1"/>
  <c r="BU108" i="1"/>
  <c r="BT108" i="1"/>
  <c r="BS108" i="1"/>
  <c r="BR108" i="1"/>
  <c r="BQ108" i="1"/>
  <c r="BP108" i="1"/>
  <c r="BO108" i="1"/>
  <c r="BN108" i="1"/>
  <c r="AO108" i="1"/>
  <c r="AN108" i="1"/>
  <c r="AM108" i="1"/>
  <c r="AK108" i="1"/>
  <c r="AI108" i="1"/>
  <c r="AG108" i="1"/>
  <c r="AE108" i="1"/>
  <c r="AC108" i="1"/>
  <c r="AB108" i="1"/>
  <c r="AA108" i="1"/>
  <c r="AO105" i="1"/>
  <c r="AK105" i="1"/>
  <c r="AI105" i="1"/>
  <c r="DS104" i="1"/>
  <c r="BU104" i="1"/>
  <c r="BT104" i="1"/>
  <c r="BS104" i="1"/>
  <c r="BR104" i="1"/>
  <c r="BQ104" i="1"/>
  <c r="BP104" i="1"/>
  <c r="AP104" i="1"/>
  <c r="AO104" i="1"/>
  <c r="AN104" i="1"/>
  <c r="AM104" i="1"/>
  <c r="AK104" i="1"/>
  <c r="AI104" i="1"/>
  <c r="AH104" i="1"/>
  <c r="AG104" i="1"/>
  <c r="AE104" i="1"/>
  <c r="BU103" i="1"/>
  <c r="BT103" i="1"/>
  <c r="BS103" i="1"/>
  <c r="BR103" i="1"/>
  <c r="BQ103" i="1"/>
  <c r="BP103" i="1"/>
  <c r="AQ103" i="1"/>
  <c r="AO103" i="1"/>
  <c r="AN103" i="1"/>
  <c r="AM103" i="1"/>
  <c r="AK103" i="1"/>
  <c r="AI103" i="1"/>
  <c r="AG103" i="1"/>
  <c r="AE103" i="1"/>
  <c r="BS102" i="1"/>
  <c r="BM102" i="1"/>
  <c r="AO102" i="1"/>
  <c r="AI102" i="1"/>
  <c r="AG102" i="1"/>
  <c r="AC102" i="1"/>
  <c r="AA102" i="1"/>
  <c r="BU101" i="1"/>
  <c r="BT101" i="1"/>
  <c r="BS101" i="1"/>
  <c r="BR101" i="1"/>
  <c r="BQ101" i="1"/>
  <c r="BP101" i="1"/>
  <c r="BO101" i="1"/>
  <c r="AO101" i="1"/>
  <c r="AM101" i="1"/>
  <c r="AK101" i="1"/>
  <c r="AJ101" i="1"/>
  <c r="AI101" i="1"/>
  <c r="AH101" i="1"/>
  <c r="AG101" i="1"/>
  <c r="AE101" i="1"/>
  <c r="AC101" i="1"/>
  <c r="AA101" i="1"/>
  <c r="AZ99" i="1"/>
  <c r="AY99" i="1"/>
  <c r="AX99" i="1"/>
  <c r="AW99" i="1"/>
  <c r="AV99" i="1"/>
  <c r="AU99" i="1"/>
  <c r="AT99" i="1"/>
  <c r="AS99" i="1"/>
  <c r="AR99" i="1"/>
  <c r="AQ99" i="1"/>
  <c r="AQ84" i="1" s="1"/>
  <c r="DS93" i="1"/>
  <c r="AP93" i="1"/>
  <c r="AN93" i="1"/>
  <c r="AL93" i="1"/>
  <c r="AJ93" i="1"/>
  <c r="AJ92" i="1" s="1"/>
  <c r="AJ102" i="1" s="1"/>
  <c r="AH93" i="1"/>
  <c r="AF93" i="1"/>
  <c r="AD93" i="1"/>
  <c r="AB93" i="1"/>
  <c r="Z93" i="1"/>
  <c r="DS92" i="1"/>
  <c r="DS102" i="1" s="1"/>
  <c r="BU92" i="1"/>
  <c r="BU102" i="1" s="1"/>
  <c r="BT92" i="1"/>
  <c r="BT102" i="1" s="1"/>
  <c r="BS92" i="1"/>
  <c r="BR92" i="1"/>
  <c r="BR102" i="1" s="1"/>
  <c r="BQ92" i="1"/>
  <c r="BQ102" i="1" s="1"/>
  <c r="BP92" i="1"/>
  <c r="BP102" i="1" s="1"/>
  <c r="BO92" i="1"/>
  <c r="BO102" i="1" s="1"/>
  <c r="BN92" i="1"/>
  <c r="BN102" i="1" s="1"/>
  <c r="BM92" i="1"/>
  <c r="AO92" i="1"/>
  <c r="AM92" i="1"/>
  <c r="AM102" i="1" s="1"/>
  <c r="AL92" i="1"/>
  <c r="AL102" i="1" s="1"/>
  <c r="AK92" i="1"/>
  <c r="AK102" i="1" s="1"/>
  <c r="AI92" i="1"/>
  <c r="AG92" i="1"/>
  <c r="AF92" i="1"/>
  <c r="AF102" i="1" s="1"/>
  <c r="AE92" i="1"/>
  <c r="AE102" i="1" s="1"/>
  <c r="AC92" i="1"/>
  <c r="AB92" i="1"/>
  <c r="AB102" i="1" s="1"/>
  <c r="AA92" i="1"/>
  <c r="Y92" i="1"/>
  <c r="Y102" i="1" s="1"/>
  <c r="DS91" i="1"/>
  <c r="AP91" i="1"/>
  <c r="AP92" i="1" s="1"/>
  <c r="AP102" i="1" s="1"/>
  <c r="AQ102" i="1" s="1"/>
  <c r="AN91" i="1"/>
  <c r="AL91" i="1"/>
  <c r="AJ91" i="1"/>
  <c r="AH91" i="1"/>
  <c r="AF91" i="1"/>
  <c r="AD91" i="1"/>
  <c r="AD92" i="1" s="1"/>
  <c r="AD102" i="1" s="1"/>
  <c r="AB91" i="1"/>
  <c r="Z91" i="1"/>
  <c r="DS90" i="1"/>
  <c r="DS105" i="1" s="1"/>
  <c r="BZ90" i="1"/>
  <c r="BY90" i="1"/>
  <c r="BX90" i="1"/>
  <c r="BW90" i="1"/>
  <c r="BV90" i="1"/>
  <c r="BT90" i="1"/>
  <c r="BT105" i="1" s="1"/>
  <c r="BS90" i="1"/>
  <c r="BS105" i="1" s="1"/>
  <c r="BR90" i="1"/>
  <c r="BR105" i="1" s="1"/>
  <c r="BQ90" i="1"/>
  <c r="BQ105" i="1" s="1"/>
  <c r="BN90" i="1"/>
  <c r="BM90" i="1"/>
  <c r="AO90" i="1"/>
  <c r="AK90" i="1"/>
  <c r="AJ90" i="1"/>
  <c r="AJ105" i="1" s="1"/>
  <c r="AI90" i="1"/>
  <c r="AE90" i="1"/>
  <c r="AE105" i="1" s="1"/>
  <c r="AC90" i="1"/>
  <c r="DS89" i="1"/>
  <c r="DS110" i="1" s="1"/>
  <c r="BU89" i="1"/>
  <c r="BT89" i="1"/>
  <c r="BT110" i="1" s="1"/>
  <c r="BS89" i="1"/>
  <c r="BR89" i="1"/>
  <c r="BQ89" i="1"/>
  <c r="BR110" i="1" s="1"/>
  <c r="BP89" i="1"/>
  <c r="BP90" i="1" s="1"/>
  <c r="BP105" i="1" s="1"/>
  <c r="BO89" i="1"/>
  <c r="BN89" i="1"/>
  <c r="BM89" i="1"/>
  <c r="AO89" i="1"/>
  <c r="AO111" i="1" s="1"/>
  <c r="AM89" i="1"/>
  <c r="AM90" i="1" s="1"/>
  <c r="AM105" i="1" s="1"/>
  <c r="AK89" i="1"/>
  <c r="AK111" i="1" s="1"/>
  <c r="AJ89" i="1"/>
  <c r="AI89" i="1"/>
  <c r="AI111" i="1" s="1"/>
  <c r="AG89" i="1"/>
  <c r="AG90" i="1" s="1"/>
  <c r="AG105" i="1" s="1"/>
  <c r="AE89" i="1"/>
  <c r="AC89" i="1"/>
  <c r="AC111" i="1" s="1"/>
  <c r="AA89" i="1"/>
  <c r="AA90" i="1" s="1"/>
  <c r="Y89" i="1"/>
  <c r="Y90" i="1" s="1"/>
  <c r="DS88" i="1"/>
  <c r="DS101" i="1" s="1"/>
  <c r="AQ88" i="1"/>
  <c r="AS88" i="1" s="1"/>
  <c r="AU88" i="1" s="1"/>
  <c r="AP88" i="1"/>
  <c r="AR88" i="1" s="1"/>
  <c r="AT88" i="1" s="1"/>
  <c r="AV88" i="1" s="1"/>
  <c r="AX88" i="1" s="1"/>
  <c r="AZ88" i="1" s="1"/>
  <c r="AN88" i="1"/>
  <c r="AN101" i="1" s="1"/>
  <c r="AL88" i="1"/>
  <c r="AL101" i="1" s="1"/>
  <c r="AJ88" i="1"/>
  <c r="AH88" i="1"/>
  <c r="AF88" i="1"/>
  <c r="AD88" i="1"/>
  <c r="AD89" i="1" s="1"/>
  <c r="AB88" i="1"/>
  <c r="AB101" i="1" s="1"/>
  <c r="Z88" i="1"/>
  <c r="DS87" i="1"/>
  <c r="AP87" i="1"/>
  <c r="AN87" i="1"/>
  <c r="AL87" i="1"/>
  <c r="AJ87" i="1"/>
  <c r="AH87" i="1"/>
  <c r="AH248" i="1" s="1"/>
  <c r="BQ248" i="1" s="1"/>
  <c r="AF87" i="1"/>
  <c r="AD87" i="1"/>
  <c r="AB87" i="1"/>
  <c r="AB109" i="1" s="1"/>
  <c r="Z87" i="1"/>
  <c r="DS86" i="1"/>
  <c r="BU86" i="1"/>
  <c r="BT86" i="1"/>
  <c r="BS86" i="1"/>
  <c r="BR86" i="1"/>
  <c r="BQ86" i="1"/>
  <c r="BP86" i="1"/>
  <c r="BO86" i="1"/>
  <c r="BN86" i="1"/>
  <c r="BM86" i="1"/>
  <c r="Z86" i="1" s="1"/>
  <c r="AS86" i="1"/>
  <c r="BW86" i="1" s="1"/>
  <c r="AP86" i="1"/>
  <c r="AR86" i="1" s="1"/>
  <c r="AT86" i="1" s="1"/>
  <c r="AV86" i="1" s="1"/>
  <c r="AX86" i="1" s="1"/>
  <c r="AZ86" i="1" s="1"/>
  <c r="AO86" i="1"/>
  <c r="AQ86" i="1" s="1"/>
  <c r="AN86" i="1"/>
  <c r="AM86" i="1"/>
  <c r="AK86" i="1"/>
  <c r="AI86" i="1"/>
  <c r="AG86" i="1"/>
  <c r="AE86" i="1"/>
  <c r="AC86" i="1"/>
  <c r="AD86" i="1" s="1"/>
  <c r="AB86" i="1"/>
  <c r="AA86" i="1"/>
  <c r="Y86" i="1"/>
  <c r="DS85" i="1"/>
  <c r="DS103" i="1" s="1"/>
  <c r="AP85" i="1"/>
  <c r="AP103" i="1" s="1"/>
  <c r="AN85" i="1"/>
  <c r="AL85" i="1"/>
  <c r="AL104" i="1" s="1"/>
  <c r="AJ85" i="1"/>
  <c r="AJ86" i="1" s="1"/>
  <c r="AH85" i="1"/>
  <c r="AH103" i="1" s="1"/>
  <c r="AF85" i="1"/>
  <c r="AF104" i="1" s="1"/>
  <c r="DS84" i="1"/>
  <c r="AR84" i="1"/>
  <c r="AP84" i="1"/>
  <c r="AP108" i="1" s="1"/>
  <c r="AN84" i="1"/>
  <c r="AL84" i="1"/>
  <c r="AL108" i="1" s="1"/>
  <c r="AJ84" i="1"/>
  <c r="AH84" i="1"/>
  <c r="AJ108" i="1" s="1"/>
  <c r="AF84" i="1"/>
  <c r="AD84" i="1"/>
  <c r="AD108" i="1" s="1"/>
  <c r="AB84" i="1"/>
  <c r="Z84" i="1"/>
  <c r="BU80" i="1"/>
  <c r="BT80" i="1"/>
  <c r="BS80" i="1"/>
  <c r="BR80" i="1"/>
  <c r="BQ80" i="1"/>
  <c r="BU79" i="1"/>
  <c r="BT79" i="1"/>
  <c r="BS79" i="1"/>
  <c r="BR79" i="1"/>
  <c r="BQ79" i="1"/>
  <c r="BP79" i="1"/>
  <c r="BU78" i="1"/>
  <c r="BT78" i="1"/>
  <c r="BS78" i="1"/>
  <c r="BR78" i="1"/>
  <c r="BQ78" i="1"/>
  <c r="BP78" i="1"/>
  <c r="BU77" i="1"/>
  <c r="BT77" i="1"/>
  <c r="BS77" i="1"/>
  <c r="BR77" i="1"/>
  <c r="BQ77" i="1"/>
  <c r="BP77" i="1"/>
  <c r="BU74" i="1"/>
  <c r="BT74" i="1"/>
  <c r="BS74" i="1"/>
  <c r="BQ74" i="1"/>
  <c r="BQ73" i="1"/>
  <c r="BR74" i="1" s="1"/>
  <c r="BP73" i="1"/>
  <c r="BT70" i="1"/>
  <c r="BS70" i="1"/>
  <c r="BR70" i="1"/>
  <c r="BQ70" i="1"/>
  <c r="BN70" i="1"/>
  <c r="AI70" i="1"/>
  <c r="AC70" i="1"/>
  <c r="DS69" i="1"/>
  <c r="BU69" i="1"/>
  <c r="BO69" i="1"/>
  <c r="BN69" i="1"/>
  <c r="AI69" i="1"/>
  <c r="AA69" i="1"/>
  <c r="BU68" i="1"/>
  <c r="BT68" i="1"/>
  <c r="BS68" i="1"/>
  <c r="BR68" i="1"/>
  <c r="BQ68" i="1"/>
  <c r="BP68" i="1"/>
  <c r="BO68" i="1"/>
  <c r="BN68" i="1"/>
  <c r="AO68" i="1"/>
  <c r="AM68" i="1"/>
  <c r="AK68" i="1"/>
  <c r="AI68" i="1"/>
  <c r="AG68" i="1"/>
  <c r="AF68" i="1"/>
  <c r="AE68" i="1"/>
  <c r="AC68" i="1"/>
  <c r="AA68" i="1"/>
  <c r="BU67" i="1"/>
  <c r="BT67" i="1"/>
  <c r="BS67" i="1"/>
  <c r="BR67" i="1"/>
  <c r="BQ67" i="1"/>
  <c r="BP67" i="1"/>
  <c r="BO67" i="1"/>
  <c r="BN67" i="1"/>
  <c r="AQ67" i="1"/>
  <c r="AP67" i="1"/>
  <c r="AO67" i="1"/>
  <c r="AM67" i="1"/>
  <c r="AK67" i="1"/>
  <c r="AJ67" i="1"/>
  <c r="AI67" i="1"/>
  <c r="AG67" i="1"/>
  <c r="AF67" i="1"/>
  <c r="AE67" i="1"/>
  <c r="AC67" i="1"/>
  <c r="AA67" i="1"/>
  <c r="DS64" i="1"/>
  <c r="BS64" i="1"/>
  <c r="BR64" i="1"/>
  <c r="BQ64" i="1"/>
  <c r="BP64" i="1"/>
  <c r="AO64" i="1"/>
  <c r="AN64" i="1"/>
  <c r="BT64" i="1" s="1"/>
  <c r="AM64" i="1"/>
  <c r="AK64" i="1"/>
  <c r="AI64" i="1"/>
  <c r="AH64" i="1"/>
  <c r="AG64" i="1"/>
  <c r="AF64" i="1"/>
  <c r="AE64" i="1"/>
  <c r="BR63" i="1"/>
  <c r="AI63" i="1"/>
  <c r="AE63" i="1"/>
  <c r="BU62" i="1"/>
  <c r="BT62" i="1"/>
  <c r="BS62" i="1"/>
  <c r="BR62" i="1"/>
  <c r="BQ62" i="1"/>
  <c r="BP62" i="1"/>
  <c r="AP62" i="1"/>
  <c r="AQ62" i="1" s="1"/>
  <c r="AR62" i="1" s="1"/>
  <c r="AS62" i="1" s="1"/>
  <c r="AO62" i="1"/>
  <c r="AM62" i="1"/>
  <c r="AK62" i="1"/>
  <c r="AJ62" i="1"/>
  <c r="AI62" i="1"/>
  <c r="AH62" i="1"/>
  <c r="AG62" i="1"/>
  <c r="AE62" i="1"/>
  <c r="BU61" i="1"/>
  <c r="BS61" i="1"/>
  <c r="BR61" i="1"/>
  <c r="BO61" i="1"/>
  <c r="AT61" i="1"/>
  <c r="AU61" i="1" s="1"/>
  <c r="AR61" i="1"/>
  <c r="AS61" i="1" s="1"/>
  <c r="AC61" i="1"/>
  <c r="DS60" i="1"/>
  <c r="BU60" i="1"/>
  <c r="BT60" i="1"/>
  <c r="BS60" i="1"/>
  <c r="BR60" i="1"/>
  <c r="BQ60" i="1"/>
  <c r="BP60" i="1"/>
  <c r="BO60" i="1"/>
  <c r="AO60" i="1"/>
  <c r="AN60" i="1"/>
  <c r="AM60" i="1"/>
  <c r="AK60" i="1"/>
  <c r="AJ60" i="1"/>
  <c r="AI60" i="1"/>
  <c r="AG60" i="1"/>
  <c r="AE60" i="1"/>
  <c r="AD60" i="1"/>
  <c r="AC60" i="1"/>
  <c r="AB60" i="1"/>
  <c r="AA60" i="1"/>
  <c r="BU59" i="1"/>
  <c r="BT59" i="1"/>
  <c r="BS59" i="1"/>
  <c r="BR59" i="1"/>
  <c r="BQ59" i="1"/>
  <c r="AO59" i="1"/>
  <c r="AN59" i="1"/>
  <c r="AM59" i="1"/>
  <c r="AL59" i="1"/>
  <c r="AK59" i="1"/>
  <c r="AI59" i="1"/>
  <c r="AH59" i="1"/>
  <c r="AG59" i="1"/>
  <c r="AZ57" i="1"/>
  <c r="AY57" i="1"/>
  <c r="AX57" i="1"/>
  <c r="AW57" i="1"/>
  <c r="AV57" i="1"/>
  <c r="AU57" i="1"/>
  <c r="AT57" i="1"/>
  <c r="AS57" i="1"/>
  <c r="AR57" i="1"/>
  <c r="AQ57" i="1"/>
  <c r="AO52" i="1"/>
  <c r="AK52" i="1"/>
  <c r="AI52" i="1"/>
  <c r="DS51" i="1"/>
  <c r="AP51" i="1"/>
  <c r="AN51" i="1"/>
  <c r="AL51" i="1"/>
  <c r="AJ51" i="1"/>
  <c r="AH51" i="1"/>
  <c r="AF51" i="1"/>
  <c r="AD51" i="1"/>
  <c r="AB51" i="1"/>
  <c r="Z51" i="1"/>
  <c r="DS50" i="1"/>
  <c r="BU50" i="1"/>
  <c r="BT50" i="1"/>
  <c r="BT61" i="1" s="1"/>
  <c r="BS50" i="1"/>
  <c r="BR50" i="1"/>
  <c r="BQ50" i="1"/>
  <c r="BQ61" i="1" s="1"/>
  <c r="BP50" i="1"/>
  <c r="BP61" i="1" s="1"/>
  <c r="BO50" i="1"/>
  <c r="BN50" i="1"/>
  <c r="AB50" i="1" s="1"/>
  <c r="AB61" i="1" s="1"/>
  <c r="BM50" i="1"/>
  <c r="Z50" i="1" s="1"/>
  <c r="AP50" i="1"/>
  <c r="AP61" i="1" s="1"/>
  <c r="AO50" i="1"/>
  <c r="AO61" i="1" s="1"/>
  <c r="AN50" i="1"/>
  <c r="AN61" i="1" s="1"/>
  <c r="AM50" i="1"/>
  <c r="AM61" i="1" s="1"/>
  <c r="AK50" i="1"/>
  <c r="AK61" i="1" s="1"/>
  <c r="AI50" i="1"/>
  <c r="AI61" i="1" s="1"/>
  <c r="AG50" i="1"/>
  <c r="AG61" i="1" s="1"/>
  <c r="AE50" i="1"/>
  <c r="AE61" i="1" s="1"/>
  <c r="AD50" i="1"/>
  <c r="AD61" i="1" s="1"/>
  <c r="AC50" i="1"/>
  <c r="AA50" i="1"/>
  <c r="AA61" i="1" s="1"/>
  <c r="Y50" i="1"/>
  <c r="Y61" i="1" s="1"/>
  <c r="DS49" i="1"/>
  <c r="DS48" i="1" s="1"/>
  <c r="DS63" i="1" s="1"/>
  <c r="AP49" i="1"/>
  <c r="AN49" i="1"/>
  <c r="AL49" i="1"/>
  <c r="AL50" i="1" s="1"/>
  <c r="AL61" i="1" s="1"/>
  <c r="AJ49" i="1"/>
  <c r="AH49" i="1"/>
  <c r="AH50" i="1" s="1"/>
  <c r="AH61" i="1" s="1"/>
  <c r="AF49" i="1"/>
  <c r="AF50" i="1" s="1"/>
  <c r="AF61" i="1" s="1"/>
  <c r="AD49" i="1"/>
  <c r="AB49" i="1"/>
  <c r="Z49" i="1"/>
  <c r="BU48" i="1"/>
  <c r="BT48" i="1"/>
  <c r="BT63" i="1" s="1"/>
  <c r="BO48" i="1"/>
  <c r="BN48" i="1"/>
  <c r="BM48" i="1"/>
  <c r="AK48" i="1"/>
  <c r="AK63" i="1" s="1"/>
  <c r="AG48" i="1"/>
  <c r="AG63" i="1" s="1"/>
  <c r="AE48" i="1"/>
  <c r="Y48" i="1"/>
  <c r="DS47" i="1"/>
  <c r="BU47" i="1"/>
  <c r="BU70" i="1" s="1"/>
  <c r="BT47" i="1"/>
  <c r="BS47" i="1"/>
  <c r="AL47" i="1" s="1"/>
  <c r="BR47" i="1"/>
  <c r="BR48" i="1" s="1"/>
  <c r="BQ47" i="1"/>
  <c r="BR69" i="1" s="1"/>
  <c r="BP47" i="1"/>
  <c r="BP48" i="1" s="1"/>
  <c r="BP63" i="1" s="1"/>
  <c r="BO47" i="1"/>
  <c r="BO70" i="1" s="1"/>
  <c r="BN47" i="1"/>
  <c r="BM47" i="1"/>
  <c r="BM70" i="1" s="1"/>
  <c r="AO47" i="1"/>
  <c r="AM47" i="1"/>
  <c r="AM48" i="1" s="1"/>
  <c r="AK47" i="1"/>
  <c r="AK70" i="1" s="1"/>
  <c r="AI47" i="1"/>
  <c r="AI48" i="1" s="1"/>
  <c r="AG47" i="1"/>
  <c r="AG69" i="1" s="1"/>
  <c r="AE47" i="1"/>
  <c r="AE70" i="1" s="1"/>
  <c r="AC47" i="1"/>
  <c r="AC48" i="1" s="1"/>
  <c r="AA47" i="1"/>
  <c r="AC69" i="1" s="1"/>
  <c r="Z47" i="1"/>
  <c r="Y47" i="1"/>
  <c r="Y70" i="1" s="1"/>
  <c r="DS46" i="1"/>
  <c r="AR46" i="1"/>
  <c r="AT46" i="1" s="1"/>
  <c r="AV46" i="1" s="1"/>
  <c r="AX46" i="1" s="1"/>
  <c r="AZ46" i="1" s="1"/>
  <c r="AQ46" i="1"/>
  <c r="BV46" i="1" s="1"/>
  <c r="BV60" i="1" s="1"/>
  <c r="AP46" i="1"/>
  <c r="AN46" i="1"/>
  <c r="AL46" i="1"/>
  <c r="AJ46" i="1"/>
  <c r="AH46" i="1"/>
  <c r="AH60" i="1" s="1"/>
  <c r="AF46" i="1"/>
  <c r="AF60" i="1" s="1"/>
  <c r="AD46" i="1"/>
  <c r="AB46" i="1"/>
  <c r="Z46" i="1"/>
  <c r="DS45" i="1"/>
  <c r="DS68" i="1" s="1"/>
  <c r="AP45" i="1"/>
  <c r="AP68" i="1" s="1"/>
  <c r="AN45" i="1"/>
  <c r="AL45" i="1"/>
  <c r="AL248" i="1" s="1"/>
  <c r="AJ45" i="1"/>
  <c r="AH45" i="1"/>
  <c r="AH68" i="1" s="1"/>
  <c r="AF45" i="1"/>
  <c r="AD45" i="1"/>
  <c r="AD68" i="1" s="1"/>
  <c r="AB45" i="1"/>
  <c r="Z45" i="1"/>
  <c r="AB68" i="1" s="1"/>
  <c r="DS44" i="1"/>
  <c r="BU44" i="1"/>
  <c r="AP44" i="1" s="1"/>
  <c r="AQ44" i="1" s="1"/>
  <c r="BT44" i="1"/>
  <c r="AN44" i="1" s="1"/>
  <c r="BS44" i="1"/>
  <c r="BR44" i="1"/>
  <c r="BQ44" i="1"/>
  <c r="BP44" i="1"/>
  <c r="BO44" i="1"/>
  <c r="BN44" i="1"/>
  <c r="AB44" i="1" s="1"/>
  <c r="BM44" i="1"/>
  <c r="AO44" i="1"/>
  <c r="AM44" i="1"/>
  <c r="AK44" i="1"/>
  <c r="AL44" i="1" s="1"/>
  <c r="AI44" i="1"/>
  <c r="AJ44" i="1" s="1"/>
  <c r="AG44" i="1"/>
  <c r="AH44" i="1" s="1"/>
  <c r="AE44" i="1"/>
  <c r="AF44" i="1" s="1"/>
  <c r="AD44" i="1"/>
  <c r="AC44" i="1"/>
  <c r="AA44" i="1"/>
  <c r="Y44" i="1"/>
  <c r="Z44" i="1" s="1"/>
  <c r="DS43" i="1"/>
  <c r="DS62" i="1" s="1"/>
  <c r="BV43" i="1"/>
  <c r="AS43" i="1"/>
  <c r="AR43" i="1"/>
  <c r="AP43" i="1"/>
  <c r="AP64" i="1" s="1"/>
  <c r="BU64" i="1" s="1"/>
  <c r="AN43" i="1"/>
  <c r="AN62" i="1" s="1"/>
  <c r="AL43" i="1"/>
  <c r="AL62" i="1" s="1"/>
  <c r="AJ43" i="1"/>
  <c r="AJ64" i="1" s="1"/>
  <c r="AH43" i="1"/>
  <c r="AF43" i="1"/>
  <c r="AF62" i="1" s="1"/>
  <c r="DS42" i="1"/>
  <c r="DS59" i="1" s="1"/>
  <c r="AQ42" i="1"/>
  <c r="AP42" i="1"/>
  <c r="AP59" i="1" s="1"/>
  <c r="AN42" i="1"/>
  <c r="AL42" i="1"/>
  <c r="AJ42" i="1"/>
  <c r="AH42" i="1"/>
  <c r="AF42" i="1"/>
  <c r="DS41" i="1"/>
  <c r="DS67" i="1" s="1"/>
  <c r="AT41" i="1"/>
  <c r="AT67" i="1" s="1"/>
  <c r="AQ41" i="1"/>
  <c r="AP41" i="1"/>
  <c r="AR41" i="1" s="1"/>
  <c r="AR67" i="1" s="1"/>
  <c r="AN41" i="1"/>
  <c r="AL41" i="1"/>
  <c r="AL67" i="1" s="1"/>
  <c r="AJ41" i="1"/>
  <c r="AH41" i="1"/>
  <c r="AH67" i="1" s="1"/>
  <c r="AF41" i="1"/>
  <c r="AD41" i="1"/>
  <c r="AD67" i="1" s="1"/>
  <c r="AB41" i="1"/>
  <c r="Z41" i="1"/>
  <c r="BP35" i="1"/>
  <c r="AA35" i="1"/>
  <c r="AB35" i="1" s="1"/>
  <c r="AC35" i="1" s="1"/>
  <c r="AD35" i="1" s="1"/>
  <c r="AE35" i="1" s="1"/>
  <c r="AF35" i="1" s="1"/>
  <c r="AG35" i="1" s="1"/>
  <c r="AH35" i="1" s="1"/>
  <c r="AI35" i="1" s="1"/>
  <c r="AJ35" i="1" s="1"/>
  <c r="AK35" i="1" s="1"/>
  <c r="AL35" i="1" s="1"/>
  <c r="AM35" i="1" s="1"/>
  <c r="AN35" i="1" s="1"/>
  <c r="AO35" i="1" s="1"/>
  <c r="AP35" i="1" s="1"/>
  <c r="Y35" i="1"/>
  <c r="Z35" i="1" s="1"/>
  <c r="DS34" i="1"/>
  <c r="AP34" i="1"/>
  <c r="AN34" i="1"/>
  <c r="AJ34" i="1"/>
  <c r="AH34" i="1"/>
  <c r="AF34" i="1"/>
  <c r="AD34" i="1"/>
  <c r="AB34" i="1"/>
  <c r="Z34" i="1"/>
  <c r="AP33" i="1"/>
  <c r="AO33" i="1"/>
  <c r="AN33" i="1"/>
  <c r="AM33" i="1"/>
  <c r="AL33" i="1"/>
  <c r="AI33" i="1"/>
  <c r="AH33" i="1"/>
  <c r="AG33" i="1"/>
  <c r="AF33" i="1"/>
  <c r="AE33" i="1"/>
  <c r="AD33" i="1"/>
  <c r="AC33" i="1"/>
  <c r="AB33" i="1"/>
  <c r="AA33" i="1"/>
  <c r="Z33" i="1"/>
  <c r="Y33" i="1"/>
  <c r="DS32" i="1"/>
  <c r="DS35" i="1" s="1"/>
  <c r="BU32" i="1"/>
  <c r="BU35" i="1" s="1"/>
  <c r="BT32" i="1"/>
  <c r="BT35" i="1" s="1"/>
  <c r="BS32" i="1"/>
  <c r="BS35" i="1" s="1"/>
  <c r="BR32" i="1"/>
  <c r="BR35" i="1" s="1"/>
  <c r="BQ32" i="1"/>
  <c r="BQ35" i="1" s="1"/>
  <c r="BP32" i="1"/>
  <c r="BO32" i="1"/>
  <c r="BO35" i="1" s="1"/>
  <c r="BN32" i="1"/>
  <c r="BN35" i="1" s="1"/>
  <c r="BM32" i="1"/>
  <c r="AP32" i="1"/>
  <c r="AO32" i="1"/>
  <c r="AN32" i="1"/>
  <c r="AM32" i="1"/>
  <c r="AL32" i="1"/>
  <c r="AK32" i="1"/>
  <c r="AJ32" i="1"/>
  <c r="AI32" i="1"/>
  <c r="AH32" i="1"/>
  <c r="AG32" i="1"/>
  <c r="AF32" i="1"/>
  <c r="AE32" i="1"/>
  <c r="AD32" i="1"/>
  <c r="AC32" i="1"/>
  <c r="AB32" i="1"/>
  <c r="AA32" i="1"/>
  <c r="Z32" i="1"/>
  <c r="Y32" i="1"/>
  <c r="DS31" i="1"/>
  <c r="BU31" i="1"/>
  <c r="BT31" i="1"/>
  <c r="BS31" i="1"/>
  <c r="BR31" i="1"/>
  <c r="BQ31" i="1"/>
  <c r="BO31" i="1"/>
  <c r="BN31" i="1"/>
  <c r="BM31" i="1"/>
  <c r="DS30" i="1"/>
  <c r="BZ30" i="1"/>
  <c r="BY30" i="1"/>
  <c r="BX30" i="1"/>
  <c r="BW30" i="1"/>
  <c r="BV30" i="1"/>
  <c r="BU30" i="1"/>
  <c r="BT30" i="1"/>
  <c r="BS30" i="1"/>
  <c r="BR30" i="1"/>
  <c r="BQ30" i="1"/>
  <c r="BP30" i="1"/>
  <c r="BO30" i="1"/>
  <c r="BN30" i="1"/>
  <c r="BM30" i="1"/>
  <c r="DS26" i="1"/>
  <c r="BS26" i="1"/>
  <c r="AA26" i="1"/>
  <c r="DS25" i="1"/>
  <c r="BS25" i="1"/>
  <c r="BR25" i="1"/>
  <c r="AO25" i="1"/>
  <c r="AN25" i="1"/>
  <c r="AM25" i="1"/>
  <c r="AL25" i="1"/>
  <c r="AK25" i="1"/>
  <c r="AJ25" i="1"/>
  <c r="AI25" i="1"/>
  <c r="AH25" i="1"/>
  <c r="AG25" i="1"/>
  <c r="BQ25" i="1" s="1"/>
  <c r="AF25" i="1"/>
  <c r="AE25" i="1"/>
  <c r="AD25" i="1"/>
  <c r="AC25" i="1"/>
  <c r="BO25" i="1" s="1"/>
  <c r="AB25" i="1"/>
  <c r="AA25" i="1"/>
  <c r="Z25" i="1"/>
  <c r="DS24" i="1"/>
  <c r="DS546" i="1" s="1"/>
  <c r="BZ24" i="1"/>
  <c r="BZ546" i="1" s="1"/>
  <c r="BY24" i="1"/>
  <c r="BY546" i="1" s="1"/>
  <c r="BX24" i="1"/>
  <c r="BX546" i="1" s="1"/>
  <c r="BW24" i="1"/>
  <c r="BV24" i="1"/>
  <c r="BV546" i="1" s="1"/>
  <c r="BU24" i="1"/>
  <c r="BU546" i="1" s="1"/>
  <c r="BT24" i="1"/>
  <c r="BT546" i="1" s="1"/>
  <c r="BS24" i="1"/>
  <c r="BS546" i="1" s="1"/>
  <c r="BR24" i="1"/>
  <c r="BR546" i="1" s="1"/>
  <c r="BQ24" i="1"/>
  <c r="BP24" i="1"/>
  <c r="BP546" i="1" s="1"/>
  <c r="BO24" i="1"/>
  <c r="BO546" i="1" s="1"/>
  <c r="BN24" i="1"/>
  <c r="BN546" i="1" s="1"/>
  <c r="BM24" i="1"/>
  <c r="BM546" i="1" s="1"/>
  <c r="DS23" i="1"/>
  <c r="DS545" i="1" s="1"/>
  <c r="BT23" i="1"/>
  <c r="BT545" i="1" s="1"/>
  <c r="BR23" i="1"/>
  <c r="BR545" i="1" s="1"/>
  <c r="BQ23" i="1"/>
  <c r="BP23" i="1"/>
  <c r="BP545" i="1" s="1"/>
  <c r="BO23" i="1"/>
  <c r="BO545" i="1" s="1"/>
  <c r="BN23" i="1"/>
  <c r="BN545" i="1" s="1"/>
  <c r="AP23" i="1"/>
  <c r="AN23" i="1"/>
  <c r="AN545" i="1" s="1"/>
  <c r="AL23" i="1"/>
  <c r="AL545" i="1" s="1"/>
  <c r="Z23" i="1"/>
  <c r="Z545" i="1" s="1"/>
  <c r="Y23" i="1"/>
  <c r="DS20" i="1"/>
  <c r="DS19" i="1"/>
  <c r="DS18" i="1"/>
  <c r="BS18" i="1"/>
  <c r="BR18" i="1"/>
  <c r="BO18" i="1"/>
  <c r="BN18" i="1"/>
  <c r="BM18" i="1"/>
  <c r="AO18" i="1"/>
  <c r="AM18" i="1"/>
  <c r="AI18" i="1"/>
  <c r="AC18" i="1"/>
  <c r="AB18" i="1"/>
  <c r="AA18" i="1"/>
  <c r="DS17" i="1"/>
  <c r="AP17" i="1"/>
  <c r="AN17" i="1"/>
  <c r="AL17" i="1"/>
  <c r="AF17" i="1"/>
  <c r="AG17" i="1" s="1"/>
  <c r="AD17" i="1"/>
  <c r="AE17" i="1" s="1"/>
  <c r="BF3" i="1"/>
  <c r="BE3" i="1"/>
  <c r="BD3" i="1"/>
  <c r="BC3" i="1"/>
  <c r="BB3" i="1"/>
  <c r="S3" i="1"/>
  <c r="R3" i="1"/>
  <c r="Q3" i="1"/>
  <c r="G3" i="1"/>
  <c r="F3" i="1"/>
  <c r="E3" i="1"/>
  <c r="D3" i="1"/>
  <c r="C3" i="1"/>
  <c r="BD2" i="1"/>
  <c r="BC2" i="1"/>
  <c r="BB2" i="1"/>
  <c r="S2" i="1"/>
  <c r="R2" i="1"/>
  <c r="Q2" i="1"/>
  <c r="G2" i="1"/>
  <c r="F2" i="1"/>
  <c r="E2" i="1"/>
  <c r="D2" i="1"/>
  <c r="C2" i="1"/>
  <c r="DS1" i="1"/>
  <c r="BG1" i="1"/>
  <c r="BG3" i="1" s="1"/>
  <c r="BE1" i="1"/>
  <c r="BF1" i="1" s="1"/>
  <c r="BF2" i="1" s="1"/>
  <c r="T1" i="1"/>
  <c r="T2" i="1" s="1"/>
  <c r="R1" i="1"/>
  <c r="H1" i="1"/>
  <c r="I1" i="1" s="1"/>
  <c r="J1" i="1" s="1"/>
  <c r="AP76" i="56"/>
  <c r="AN76" i="56"/>
  <c r="AL76" i="56"/>
  <c r="AJ76" i="56"/>
  <c r="AH76" i="56"/>
  <c r="AF76" i="56"/>
  <c r="AB76" i="56"/>
  <c r="Z76" i="56"/>
  <c r="BM75" i="56"/>
  <c r="AL75" i="56" s="1"/>
  <c r="BK75" i="56"/>
  <c r="BG75" i="56"/>
  <c r="AO75" i="56"/>
  <c r="AK75" i="56"/>
  <c r="AI75" i="56"/>
  <c r="AE75" i="56"/>
  <c r="Y75" i="56"/>
  <c r="AP74" i="56"/>
  <c r="AN74" i="56"/>
  <c r="AL74" i="56"/>
  <c r="AJ74" i="56"/>
  <c r="AH74" i="56"/>
  <c r="AF74" i="56"/>
  <c r="AD74" i="56"/>
  <c r="AB74" i="56"/>
  <c r="Z74" i="56"/>
  <c r="BG73" i="56"/>
  <c r="Z73" i="56" s="1"/>
  <c r="AP73" i="56"/>
  <c r="AN73" i="56"/>
  <c r="AL73" i="56"/>
  <c r="AJ73" i="56"/>
  <c r="AH73" i="56"/>
  <c r="AF73" i="56"/>
  <c r="AC73" i="56"/>
  <c r="AB73" i="56"/>
  <c r="BO72" i="56"/>
  <c r="BO75" i="56" s="1"/>
  <c r="AP75" i="56" s="1"/>
  <c r="BN72" i="56"/>
  <c r="AN72" i="56" s="1"/>
  <c r="BM72" i="56"/>
  <c r="BL72" i="56"/>
  <c r="BL75" i="56" s="1"/>
  <c r="AJ75" i="56" s="1"/>
  <c r="BK72" i="56"/>
  <c r="BJ72" i="56"/>
  <c r="BJ75" i="56" s="1"/>
  <c r="AF75" i="56" s="1"/>
  <c r="BI72" i="56"/>
  <c r="BI75" i="56" s="1"/>
  <c r="BH72" i="56"/>
  <c r="AB72" i="56" s="1"/>
  <c r="BG72" i="56"/>
  <c r="AP72" i="56"/>
  <c r="AO72" i="56"/>
  <c r="AM72" i="56"/>
  <c r="AM75" i="56" s="1"/>
  <c r="AL72" i="56"/>
  <c r="AK72" i="56"/>
  <c r="AI72" i="56"/>
  <c r="AG72" i="56"/>
  <c r="AH72" i="56" s="1"/>
  <c r="AF72" i="56"/>
  <c r="AE72" i="56"/>
  <c r="AD72" i="56"/>
  <c r="AC72" i="56"/>
  <c r="AA72" i="56"/>
  <c r="AA75" i="56" s="1"/>
  <c r="Z72" i="56"/>
  <c r="Y72" i="56"/>
  <c r="AP71" i="56"/>
  <c r="AN71" i="56"/>
  <c r="AL71" i="56"/>
  <c r="AJ71" i="56"/>
  <c r="AH71" i="56"/>
  <c r="AF71" i="56"/>
  <c r="AD71" i="56"/>
  <c r="AB71" i="56"/>
  <c r="Z71" i="56"/>
  <c r="AP70" i="56"/>
  <c r="AN70" i="56"/>
  <c r="AL70" i="56"/>
  <c r="AJ70" i="56"/>
  <c r="AH70" i="56"/>
  <c r="AF70" i="56"/>
  <c r="AD70" i="56"/>
  <c r="AB70" i="56"/>
  <c r="Z70" i="56"/>
  <c r="AP69" i="56"/>
  <c r="AN69" i="56"/>
  <c r="AL69" i="56"/>
  <c r="AJ69" i="56"/>
  <c r="AH69" i="56"/>
  <c r="AF69" i="56"/>
  <c r="AD69" i="56"/>
  <c r="AB69" i="56"/>
  <c r="Z69" i="56"/>
  <c r="AP63" i="56"/>
  <c r="AN63" i="56"/>
  <c r="AL63" i="56"/>
  <c r="AJ63" i="56"/>
  <c r="AH63" i="56"/>
  <c r="AF63" i="56"/>
  <c r="AC63" i="56"/>
  <c r="AD63" i="56" s="1"/>
  <c r="AA63" i="56"/>
  <c r="Z63" i="56"/>
  <c r="BI62" i="56"/>
  <c r="AM62" i="56"/>
  <c r="AM64" i="56" s="1"/>
  <c r="AP61" i="56"/>
  <c r="AN61" i="56"/>
  <c r="AL61" i="56"/>
  <c r="AJ61" i="56"/>
  <c r="AH61" i="56"/>
  <c r="AF61" i="56"/>
  <c r="AD61" i="56"/>
  <c r="AB61" i="56"/>
  <c r="Z61" i="56"/>
  <c r="BO60" i="56"/>
  <c r="AP60" i="56" s="1"/>
  <c r="BI60" i="56"/>
  <c r="AM60" i="56"/>
  <c r="AG60" i="56"/>
  <c r="AG62" i="56" s="1"/>
  <c r="AG64" i="56" s="1"/>
  <c r="BO59" i="56"/>
  <c r="BN59" i="56"/>
  <c r="AN59" i="56" s="1"/>
  <c r="BM59" i="56"/>
  <c r="AP59" i="56"/>
  <c r="AL59" i="56"/>
  <c r="AJ59" i="56"/>
  <c r="AH59" i="56"/>
  <c r="AF59" i="56"/>
  <c r="AD59" i="56"/>
  <c r="AB59" i="56"/>
  <c r="Z59" i="56"/>
  <c r="Y59" i="56"/>
  <c r="BO58" i="56"/>
  <c r="AP58" i="56" s="1"/>
  <c r="BM58" i="56"/>
  <c r="BK58" i="56"/>
  <c r="AH58" i="56" s="1"/>
  <c r="BI58" i="56"/>
  <c r="BG58" i="56"/>
  <c r="AO58" i="56"/>
  <c r="AO60" i="56" s="1"/>
  <c r="AO62" i="56" s="1"/>
  <c r="AO64" i="56" s="1"/>
  <c r="AM58" i="56"/>
  <c r="AK58" i="56"/>
  <c r="AI58" i="56"/>
  <c r="AI60" i="56" s="1"/>
  <c r="AI62" i="56" s="1"/>
  <c r="AI64" i="56" s="1"/>
  <c r="AG58" i="56"/>
  <c r="Y58" i="56"/>
  <c r="Y60" i="56" s="1"/>
  <c r="Y62" i="56" s="1"/>
  <c r="Y64" i="56" s="1"/>
  <c r="BO57" i="56"/>
  <c r="BN57" i="56"/>
  <c r="BN58" i="56" s="1"/>
  <c r="BN10" i="56" s="1"/>
  <c r="BM57" i="56"/>
  <c r="BL57" i="56"/>
  <c r="BL58" i="56" s="1"/>
  <c r="BK57" i="56"/>
  <c r="BJ57" i="56"/>
  <c r="BI57" i="56"/>
  <c r="BH57" i="56"/>
  <c r="AB57" i="56" s="1"/>
  <c r="BG57" i="56"/>
  <c r="AP57" i="56"/>
  <c r="AO57" i="56"/>
  <c r="AN57" i="56"/>
  <c r="AM57" i="56"/>
  <c r="AL57" i="56"/>
  <c r="AH57" i="56"/>
  <c r="AE57" i="56"/>
  <c r="AE58" i="56" s="1"/>
  <c r="AC57" i="56"/>
  <c r="AD57" i="56" s="1"/>
  <c r="AA57" i="56"/>
  <c r="AA58" i="56" s="1"/>
  <c r="AA10" i="56" s="1"/>
  <c r="AA16" i="56" s="1"/>
  <c r="Y57" i="56"/>
  <c r="AP56" i="56"/>
  <c r="AN56" i="56"/>
  <c r="AL56" i="56"/>
  <c r="AJ56" i="56"/>
  <c r="AH56" i="56"/>
  <c r="AF56" i="56"/>
  <c r="AD56" i="56"/>
  <c r="AB56" i="56"/>
  <c r="Z56" i="56"/>
  <c r="BO46" i="56"/>
  <c r="BN46" i="56"/>
  <c r="BM46" i="56"/>
  <c r="BL46" i="56"/>
  <c r="BK46" i="56"/>
  <c r="BJ46" i="56"/>
  <c r="BI46" i="56"/>
  <c r="BH46" i="56"/>
  <c r="BG46" i="56"/>
  <c r="AI46" i="56"/>
  <c r="AH46" i="56"/>
  <c r="AG46" i="56"/>
  <c r="AF46" i="56"/>
  <c r="AE46" i="56"/>
  <c r="AC46" i="56"/>
  <c r="AB46" i="56"/>
  <c r="AA46" i="56"/>
  <c r="Z46" i="56"/>
  <c r="Y46" i="56"/>
  <c r="AP45" i="56"/>
  <c r="AO45" i="56"/>
  <c r="AN45" i="56"/>
  <c r="AM45" i="56"/>
  <c r="AL45" i="56"/>
  <c r="AJ45" i="56"/>
  <c r="AH45" i="56"/>
  <c r="AF45" i="56"/>
  <c r="AD45" i="56"/>
  <c r="AB45" i="56"/>
  <c r="Z45" i="56"/>
  <c r="AO44" i="56"/>
  <c r="AP44" i="56" s="1"/>
  <c r="AP46" i="56" s="1"/>
  <c r="AM44" i="56"/>
  <c r="AK44" i="56"/>
  <c r="AL44" i="56" s="1"/>
  <c r="AL46" i="56" s="1"/>
  <c r="AJ44" i="56"/>
  <c r="AJ46" i="56" s="1"/>
  <c r="AH44" i="56"/>
  <c r="AF44" i="56"/>
  <c r="AD44" i="56"/>
  <c r="AB44" i="56"/>
  <c r="Z44" i="56"/>
  <c r="BO41" i="56"/>
  <c r="BN41" i="56"/>
  <c r="BM41" i="56"/>
  <c r="BL41" i="56"/>
  <c r="BK41" i="56"/>
  <c r="BO38" i="56"/>
  <c r="BN38" i="56"/>
  <c r="BM38" i="56"/>
  <c r="BL38" i="56"/>
  <c r="BK38" i="56"/>
  <c r="BJ38" i="56"/>
  <c r="BO37" i="56"/>
  <c r="BN37" i="56"/>
  <c r="BM37" i="56"/>
  <c r="BL37" i="56"/>
  <c r="BK37" i="56"/>
  <c r="BJ37" i="56"/>
  <c r="BO33" i="56"/>
  <c r="BO39" i="56" s="1"/>
  <c r="BN33" i="56"/>
  <c r="BN39" i="56" s="1"/>
  <c r="BM33" i="56"/>
  <c r="BM39" i="56" s="1"/>
  <c r="BL33" i="56"/>
  <c r="BL39" i="56" s="1"/>
  <c r="BK33" i="56"/>
  <c r="BK39" i="56" s="1"/>
  <c r="BJ33" i="56"/>
  <c r="BJ39" i="56" s="1"/>
  <c r="BO30" i="56"/>
  <c r="BN30" i="56"/>
  <c r="BM30" i="56"/>
  <c r="BL30" i="56"/>
  <c r="BK30" i="56"/>
  <c r="BJ30" i="56"/>
  <c r="BO28" i="56"/>
  <c r="BN28" i="56"/>
  <c r="BM28" i="56"/>
  <c r="BL28" i="56"/>
  <c r="BK28" i="56"/>
  <c r="BJ28" i="56"/>
  <c r="AP21" i="56"/>
  <c r="AN21" i="56"/>
  <c r="AL21" i="56"/>
  <c r="AJ21" i="56"/>
  <c r="AH21" i="56"/>
  <c r="AF21" i="56"/>
  <c r="AD21" i="56"/>
  <c r="AB21" i="56"/>
  <c r="Z21" i="56"/>
  <c r="AP18" i="56"/>
  <c r="AN18" i="56"/>
  <c r="AL18" i="56"/>
  <c r="AJ18" i="56"/>
  <c r="AH18" i="56"/>
  <c r="AF18" i="56"/>
  <c r="AD18" i="56"/>
  <c r="AB18" i="56"/>
  <c r="Z18" i="56"/>
  <c r="AP17" i="56"/>
  <c r="AN17" i="56"/>
  <c r="AL17" i="56"/>
  <c r="AJ17" i="56"/>
  <c r="AH17" i="56"/>
  <c r="AF17" i="56"/>
  <c r="AD17" i="56"/>
  <c r="AB17" i="56"/>
  <c r="Z17" i="56"/>
  <c r="AP14" i="56"/>
  <c r="AN14" i="56"/>
  <c r="AL14" i="56"/>
  <c r="AJ14" i="56"/>
  <c r="AH14" i="56"/>
  <c r="AF14" i="56"/>
  <c r="AD14" i="56"/>
  <c r="AB14" i="56"/>
  <c r="Z14" i="56"/>
  <c r="BO13" i="56"/>
  <c r="BN13" i="56"/>
  <c r="BM13" i="56"/>
  <c r="BL13" i="56"/>
  <c r="BK13" i="56"/>
  <c r="AH13" i="56" s="1"/>
  <c r="BJ13" i="56"/>
  <c r="BI13" i="56"/>
  <c r="BH13" i="56"/>
  <c r="AB13" i="56" s="1"/>
  <c r="BG13" i="56"/>
  <c r="AO13" i="56"/>
  <c r="AM13" i="56"/>
  <c r="AL13" i="56"/>
  <c r="AK13" i="56"/>
  <c r="AI13" i="56"/>
  <c r="AJ13" i="56" s="1"/>
  <c r="AG13" i="56"/>
  <c r="AF13" i="56"/>
  <c r="AE13" i="56"/>
  <c r="AC13" i="56"/>
  <c r="AA13" i="56"/>
  <c r="Z13" i="56"/>
  <c r="Y13" i="56"/>
  <c r="BO12" i="56"/>
  <c r="BN12" i="56"/>
  <c r="BM12" i="56"/>
  <c r="BL12" i="56"/>
  <c r="BK12" i="56"/>
  <c r="BJ12" i="56"/>
  <c r="AP12" i="56"/>
  <c r="AN12" i="56"/>
  <c r="AL12" i="56"/>
  <c r="AJ12" i="56"/>
  <c r="AH12" i="56"/>
  <c r="AF12" i="56"/>
  <c r="AD12" i="56"/>
  <c r="AB12" i="56"/>
  <c r="Z12" i="56"/>
  <c r="BO11" i="56"/>
  <c r="BN11" i="56"/>
  <c r="BM11" i="56"/>
  <c r="BL11" i="56"/>
  <c r="BK11" i="56"/>
  <c r="AH11" i="56" s="1"/>
  <c r="BJ11" i="56"/>
  <c r="BI11" i="56"/>
  <c r="BH11" i="56"/>
  <c r="AB11" i="56" s="1"/>
  <c r="BG11" i="56"/>
  <c r="AO11" i="56"/>
  <c r="AM11" i="56"/>
  <c r="AL11" i="56"/>
  <c r="AK11" i="56"/>
  <c r="AI11" i="56"/>
  <c r="AJ11" i="56" s="1"/>
  <c r="AG11" i="56"/>
  <c r="AF11" i="56"/>
  <c r="AE11" i="56"/>
  <c r="AC11" i="56"/>
  <c r="AA11" i="56"/>
  <c r="Z11" i="56"/>
  <c r="Y11" i="56"/>
  <c r="BO10" i="56"/>
  <c r="BO16" i="56" s="1"/>
  <c r="BL10" i="56"/>
  <c r="BL16" i="56" s="1"/>
  <c r="BK10" i="56"/>
  <c r="BI10" i="56"/>
  <c r="BI16" i="56" s="1"/>
  <c r="AO10" i="56"/>
  <c r="AO16" i="56" s="1"/>
  <c r="AO50" i="56" s="1"/>
  <c r="AM10" i="56"/>
  <c r="AM16" i="56" s="1"/>
  <c r="AM15" i="56" s="1"/>
  <c r="AM49" i="56" s="1"/>
  <c r="AI10" i="56"/>
  <c r="AI16" i="56" s="1"/>
  <c r="AI50" i="56" s="1"/>
  <c r="AH10" i="56"/>
  <c r="AG10" i="56"/>
  <c r="Y10" i="56"/>
  <c r="Y16" i="56" s="1"/>
  <c r="Y20" i="56" s="1"/>
  <c r="Y22" i="56" s="1"/>
  <c r="AX3" i="56"/>
  <c r="AW3" i="56"/>
  <c r="AV3" i="56"/>
  <c r="S3" i="56"/>
  <c r="Q3" i="56"/>
  <c r="G3" i="56"/>
  <c r="F3" i="56"/>
  <c r="E3" i="56"/>
  <c r="D3" i="56"/>
  <c r="AX2" i="56"/>
  <c r="AW2" i="56"/>
  <c r="AV2" i="56"/>
  <c r="S2" i="56"/>
  <c r="Q2" i="56"/>
  <c r="G2" i="56"/>
  <c r="F2" i="56"/>
  <c r="E2" i="56"/>
  <c r="D2" i="56"/>
  <c r="AY1" i="56"/>
  <c r="AY2" i="56" s="1"/>
  <c r="T1" i="56"/>
  <c r="T3" i="56" s="1"/>
  <c r="R1" i="56"/>
  <c r="R3" i="56" s="1"/>
  <c r="H1" i="56"/>
  <c r="H3" i="56" s="1"/>
  <c r="AG277" i="1" l="1"/>
  <c r="AG543" i="1" s="1"/>
  <c r="AS315" i="1"/>
  <c r="BW315" i="1" s="1"/>
  <c r="AM277" i="1"/>
  <c r="AM543" i="1" s="1"/>
  <c r="AM544" i="1" s="1"/>
  <c r="BR519" i="1"/>
  <c r="AN544" i="1"/>
  <c r="BR518" i="1"/>
  <c r="AD276" i="1"/>
  <c r="AD542" i="1" s="1"/>
  <c r="AP276" i="1"/>
  <c r="AP542" i="1" s="1"/>
  <c r="BM276" i="1"/>
  <c r="BM542" i="1" s="1"/>
  <c r="BX88" i="1"/>
  <c r="AW88" i="1"/>
  <c r="AM63" i="1"/>
  <c r="AN48" i="1"/>
  <c r="AN63" i="1" s="1"/>
  <c r="AL264" i="1"/>
  <c r="BW43" i="1"/>
  <c r="AT124" i="1"/>
  <c r="AR126" i="1"/>
  <c r="AQ35" i="1"/>
  <c r="AL70" i="1"/>
  <c r="BV34" i="1"/>
  <c r="AG548" i="1"/>
  <c r="AH17" i="1"/>
  <c r="AV61" i="1"/>
  <c r="AQ108" i="1"/>
  <c r="AS84" i="1"/>
  <c r="BV84" i="1"/>
  <c r="BV108" i="1" s="1"/>
  <c r="AQ85" i="1"/>
  <c r="AQ87" i="1" s="1"/>
  <c r="AR166" i="1"/>
  <c r="BQ201" i="1"/>
  <c r="AR44" i="1"/>
  <c r="AS44" i="1" s="1"/>
  <c r="AT62" i="1"/>
  <c r="AD111" i="1"/>
  <c r="AD110" i="1"/>
  <c r="AM265" i="1"/>
  <c r="J3" i="1"/>
  <c r="J2" i="1"/>
  <c r="BN61" i="1"/>
  <c r="AM70" i="1"/>
  <c r="AF86" i="1"/>
  <c r="AF109" i="1"/>
  <c r="BU110" i="1"/>
  <c r="BU90" i="1"/>
  <c r="BU105" i="1" s="1"/>
  <c r="AH108" i="1"/>
  <c r="AW145" i="1"/>
  <c r="BQ249" i="1"/>
  <c r="AH250" i="1"/>
  <c r="BQ250" i="1" s="1"/>
  <c r="BQ264" i="1" s="1"/>
  <c r="AA174" i="1"/>
  <c r="AA173" i="1"/>
  <c r="AB151" i="1"/>
  <c r="AF255" i="1"/>
  <c r="AF165" i="1"/>
  <c r="AH164" i="1"/>
  <c r="AG203" i="1"/>
  <c r="BQ203" i="1" s="1"/>
  <c r="BP258" i="1"/>
  <c r="AK271" i="1"/>
  <c r="AJ33" i="1"/>
  <c r="AO297" i="1"/>
  <c r="AO308" i="1" s="1"/>
  <c r="U1" i="1"/>
  <c r="BH1" i="1"/>
  <c r="BP18" i="1"/>
  <c r="Z70" i="1"/>
  <c r="AN47" i="1"/>
  <c r="Z48" i="1"/>
  <c r="Z89" i="1"/>
  <c r="AH126" i="1"/>
  <c r="BQ127" i="1"/>
  <c r="BQ139" i="1"/>
  <c r="AJ171" i="1"/>
  <c r="AJ163" i="1"/>
  <c r="AN165" i="1"/>
  <c r="AN255" i="1"/>
  <c r="BT255" i="1" s="1"/>
  <c r="BN165" i="1"/>
  <c r="AP199" i="1"/>
  <c r="AP251" i="1" s="1"/>
  <c r="AR218" i="1"/>
  <c r="AP230" i="1"/>
  <c r="BV222" i="1"/>
  <c r="AS222" i="1"/>
  <c r="AP248" i="1"/>
  <c r="BU248" i="1" s="1"/>
  <c r="AC559" i="1"/>
  <c r="AC515" i="1"/>
  <c r="AC259" i="1"/>
  <c r="AC26" i="1"/>
  <c r="BM554" i="1"/>
  <c r="BM553" i="1"/>
  <c r="BM550" i="1"/>
  <c r="BM549" i="1"/>
  <c r="BN282" i="1"/>
  <c r="AH532" i="1"/>
  <c r="AI532" i="1"/>
  <c r="BR532" i="1" s="1"/>
  <c r="AL525" i="1"/>
  <c r="AL398" i="1"/>
  <c r="AL408" i="1" s="1"/>
  <c r="BN547" i="1"/>
  <c r="AO48" i="1"/>
  <c r="AO63" i="1" s="1"/>
  <c r="AP47" i="1"/>
  <c r="AN68" i="1"/>
  <c r="AM69" i="1"/>
  <c r="AF101" i="1"/>
  <c r="BV88" i="1"/>
  <c r="BV101" i="1" s="1"/>
  <c r="AP89" i="1"/>
  <c r="Z92" i="1"/>
  <c r="Z102" i="1" s="1"/>
  <c r="AA110" i="1"/>
  <c r="AP129" i="1"/>
  <c r="AP136" i="1" s="1"/>
  <c r="AQ136" i="1" s="1"/>
  <c r="AL171" i="1"/>
  <c r="BU165" i="1"/>
  <c r="AP154" i="1"/>
  <c r="AI199" i="1"/>
  <c r="BR202" i="1"/>
  <c r="AP205" i="1"/>
  <c r="BU205" i="1" s="1"/>
  <c r="AQ223" i="1"/>
  <c r="AD258" i="1"/>
  <c r="AD261" i="1" s="1"/>
  <c r="BO559" i="1"/>
  <c r="BO572" i="1"/>
  <c r="BO261" i="1"/>
  <c r="AC276" i="1"/>
  <c r="AC542" i="1" s="1"/>
  <c r="AC261" i="1"/>
  <c r="AO276" i="1"/>
  <c r="AO542" i="1" s="1"/>
  <c r="AO277" i="1"/>
  <c r="AO543" i="1" s="1"/>
  <c r="AO544" i="1" s="1"/>
  <c r="AO261" i="1"/>
  <c r="BQ276" i="1"/>
  <c r="BQ542" i="1" s="1"/>
  <c r="BQ277" i="1"/>
  <c r="BQ543" i="1" s="1"/>
  <c r="BQ544" i="1" s="1"/>
  <c r="AC278" i="1"/>
  <c r="AC27" i="1" s="1"/>
  <c r="DS550" i="1"/>
  <c r="DS549" i="1"/>
  <c r="DS554" i="1"/>
  <c r="DS553" i="1"/>
  <c r="DS578" i="1"/>
  <c r="AI338" i="1"/>
  <c r="AI343" i="1" s="1"/>
  <c r="AI353" i="1" s="1"/>
  <c r="BQ353" i="1"/>
  <c r="AQ353" i="1"/>
  <c r="AR352" i="1" s="1"/>
  <c r="AR338" i="1"/>
  <c r="AR343" i="1" s="1"/>
  <c r="BP461" i="1"/>
  <c r="BP462" i="1" s="1"/>
  <c r="I2" i="1"/>
  <c r="BG2" i="1"/>
  <c r="F5" i="1"/>
  <c r="E5" i="1"/>
  <c r="Z548" i="1"/>
  <c r="Z547" i="1"/>
  <c r="BO547" i="1"/>
  <c r="BO26" i="1"/>
  <c r="BO28" i="1" s="1"/>
  <c r="AK33" i="1"/>
  <c r="AB67" i="1"/>
  <c r="AN67" i="1"/>
  <c r="AF248" i="1"/>
  <c r="BP248" i="1" s="1"/>
  <c r="BP266" i="1" s="1"/>
  <c r="AQ45" i="1"/>
  <c r="AL60" i="1"/>
  <c r="AB47" i="1"/>
  <c r="DS61" i="1"/>
  <c r="BS69" i="1"/>
  <c r="AU86" i="1"/>
  <c r="BW88" i="1"/>
  <c r="BW101" i="1" s="1"/>
  <c r="AJ111" i="1"/>
  <c r="AH92" i="1"/>
  <c r="AH102" i="1" s="1"/>
  <c r="AD101" i="1"/>
  <c r="AL103" i="1"/>
  <c r="BP110" i="1"/>
  <c r="AG111" i="1"/>
  <c r="AU125" i="1"/>
  <c r="AK127" i="1"/>
  <c r="AL126" i="1"/>
  <c r="AK139" i="1"/>
  <c r="AN127" i="1"/>
  <c r="AP141" i="1"/>
  <c r="AO139" i="1"/>
  <c r="BP139" i="1"/>
  <c r="AN163" i="1"/>
  <c r="AN171" i="1"/>
  <c r="AW146" i="1"/>
  <c r="AJ148" i="1"/>
  <c r="AG174" i="1"/>
  <c r="AG173" i="1"/>
  <c r="AG152" i="1"/>
  <c r="AG168" i="1" s="1"/>
  <c r="AP151" i="1"/>
  <c r="AP152" i="1" s="1"/>
  <c r="AP168" i="1" s="1"/>
  <c r="AQ168" i="1" s="1"/>
  <c r="AR168" i="1" s="1"/>
  <c r="AS168" i="1" s="1"/>
  <c r="AT168" i="1" s="1"/>
  <c r="AU168" i="1" s="1"/>
  <c r="AV168" i="1" s="1"/>
  <c r="AW168" i="1" s="1"/>
  <c r="AX168" i="1" s="1"/>
  <c r="AY168" i="1" s="1"/>
  <c r="AZ168" i="1" s="1"/>
  <c r="AO174" i="1"/>
  <c r="AO152" i="1"/>
  <c r="AO168" i="1" s="1"/>
  <c r="AL163" i="1"/>
  <c r="AJ204" i="1"/>
  <c r="BR204" i="1" s="1"/>
  <c r="AJ192" i="1"/>
  <c r="AJ197" i="1"/>
  <c r="AT188" i="1"/>
  <c r="AR202" i="1"/>
  <c r="AR198" i="1"/>
  <c r="AR199" i="1" s="1"/>
  <c r="AR251" i="1" s="1"/>
  <c r="AM258" i="1"/>
  <c r="AM266" i="1"/>
  <c r="AG251" i="1"/>
  <c r="BQ251" i="1" s="1"/>
  <c r="BQ199" i="1"/>
  <c r="AW218" i="1"/>
  <c r="BP244" i="1"/>
  <c r="BQ222" i="1"/>
  <c r="BP231" i="1"/>
  <c r="BQ231" i="1"/>
  <c r="AH255" i="1"/>
  <c r="AF256" i="1"/>
  <c r="AD277" i="1"/>
  <c r="AD543" i="1" s="1"/>
  <c r="AD544" i="1" s="1"/>
  <c r="AJ277" i="1"/>
  <c r="AJ543" i="1" s="1"/>
  <c r="AJ544" i="1" s="1"/>
  <c r="AJ276" i="1"/>
  <c r="AJ542" i="1" s="1"/>
  <c r="AP277" i="1"/>
  <c r="AP543" i="1" s="1"/>
  <c r="BR277" i="1"/>
  <c r="BR543" i="1" s="1"/>
  <c r="BR261" i="1"/>
  <c r="BR276" i="1"/>
  <c r="BR542" i="1" s="1"/>
  <c r="AI533" i="1"/>
  <c r="AH533" i="1"/>
  <c r="AH472" i="1"/>
  <c r="AQ374" i="1"/>
  <c r="BS384" i="1"/>
  <c r="AQ381" i="1"/>
  <c r="AH526" i="1"/>
  <c r="AI526" i="1"/>
  <c r="AH398" i="1"/>
  <c r="AO446" i="1"/>
  <c r="AL68" i="1"/>
  <c r="AR108" i="1"/>
  <c r="AT84" i="1"/>
  <c r="AF89" i="1"/>
  <c r="BO110" i="1"/>
  <c r="BO90" i="1"/>
  <c r="AM111" i="1"/>
  <c r="AH205" i="1"/>
  <c r="BQ202" i="1"/>
  <c r="AH109" i="1"/>
  <c r="AH89" i="1"/>
  <c r="AR102" i="1"/>
  <c r="AP126" i="1"/>
  <c r="AP139" i="1" s="1"/>
  <c r="T3" i="1"/>
  <c r="S5" i="1" s="1"/>
  <c r="Y545" i="1"/>
  <c r="Y25" i="1"/>
  <c r="BM23" i="1"/>
  <c r="AV41" i="1"/>
  <c r="BQ69" i="1"/>
  <c r="BQ48" i="1"/>
  <c r="BQ63" i="1" s="1"/>
  <c r="AG70" i="1"/>
  <c r="AN92" i="1"/>
  <c r="AN102" i="1" s="1"/>
  <c r="BP547" i="1"/>
  <c r="BP25" i="1"/>
  <c r="AR45" i="1"/>
  <c r="AO69" i="1"/>
  <c r="AA70" i="1"/>
  <c r="Y111" i="1"/>
  <c r="BV124" i="1"/>
  <c r="BV133" i="1" s="1"/>
  <c r="AS124" i="1"/>
  <c r="AT125" i="1"/>
  <c r="AV125" i="1" s="1"/>
  <c r="AX125" i="1" s="1"/>
  <c r="AZ125" i="1" s="1"/>
  <c r="AN172" i="1"/>
  <c r="AL148" i="1"/>
  <c r="AL172" i="1"/>
  <c r="AL204" i="1"/>
  <c r="BS204" i="1" s="1"/>
  <c r="AL192" i="1"/>
  <c r="AL197" i="1"/>
  <c r="AF192" i="1"/>
  <c r="AF198" i="1"/>
  <c r="AF199" i="1" s="1"/>
  <c r="AF251" i="1" s="1"/>
  <c r="AF202" i="1"/>
  <c r="AF205" i="1" s="1"/>
  <c r="AQ198" i="1"/>
  <c r="BV198" i="1" s="1"/>
  <c r="AQ202" i="1"/>
  <c r="AO266" i="1"/>
  <c r="AO258" i="1"/>
  <c r="AH199" i="1"/>
  <c r="AH251" i="1" s="1"/>
  <c r="AH201" i="1"/>
  <c r="AZ201" i="1"/>
  <c r="BZ201" i="1" s="1"/>
  <c r="AM205" i="1"/>
  <c r="BT205" i="1" s="1"/>
  <c r="BT203" i="1"/>
  <c r="AI255" i="1"/>
  <c r="AI254" i="1" s="1"/>
  <c r="Y258" i="1"/>
  <c r="Y18" i="1"/>
  <c r="AF407" i="1"/>
  <c r="BP31" i="1"/>
  <c r="I3" i="1"/>
  <c r="I5" i="1" s="1"/>
  <c r="AP545" i="1"/>
  <c r="AP25" i="1"/>
  <c r="AQ285" i="1" s="1"/>
  <c r="DS548" i="1"/>
  <c r="DS547" i="1"/>
  <c r="AF47" i="1"/>
  <c r="AF48" i="1" s="1"/>
  <c r="AF63" i="1" s="1"/>
  <c r="BU63" i="1"/>
  <c r="AP48" i="1"/>
  <c r="AP63" i="1" s="1"/>
  <c r="AQ63" i="1" s="1"/>
  <c r="AR63" i="1" s="1"/>
  <c r="AS63" i="1" s="1"/>
  <c r="AT63" i="1" s="1"/>
  <c r="AU63" i="1" s="1"/>
  <c r="AV63" i="1" s="1"/>
  <c r="AW63" i="1" s="1"/>
  <c r="AX63" i="1" s="1"/>
  <c r="AY63" i="1" s="1"/>
  <c r="AZ63" i="1" s="1"/>
  <c r="AJ103" i="1"/>
  <c r="AJ104" i="1"/>
  <c r="AB90" i="1"/>
  <c r="AR249" i="1"/>
  <c r="AT150" i="1"/>
  <c r="AG192" i="1"/>
  <c r="AG256" i="1" s="1"/>
  <c r="AO199" i="1"/>
  <c r="AO201" i="1"/>
  <c r="BU201" i="1" s="1"/>
  <c r="BU197" i="1"/>
  <c r="BT224" i="1"/>
  <c r="AN223" i="1"/>
  <c r="AN235" i="1" s="1"/>
  <c r="BT235" i="1"/>
  <c r="AE264" i="1"/>
  <c r="BP250" i="1"/>
  <c r="BP264" i="1" s="1"/>
  <c r="AR492" i="1"/>
  <c r="BV492" i="1" s="1"/>
  <c r="AS302" i="1"/>
  <c r="BV302" i="1"/>
  <c r="K1" i="1"/>
  <c r="BT547" i="1"/>
  <c r="BU25" i="1"/>
  <c r="AC28" i="1"/>
  <c r="BP70" i="1"/>
  <c r="BP69" i="1"/>
  <c r="AP101" i="1"/>
  <c r="AJ249" i="1"/>
  <c r="AC173" i="1"/>
  <c r="BR173" i="1"/>
  <c r="AJ151" i="1"/>
  <c r="BS173" i="1"/>
  <c r="AG255" i="1"/>
  <c r="BQ258" i="1"/>
  <c r="AH256" i="1"/>
  <c r="BQ266" i="1"/>
  <c r="BN559" i="1"/>
  <c r="AB258" i="1"/>
  <c r="BN278" i="1"/>
  <c r="BN27" i="1" s="1"/>
  <c r="AP532" i="1"/>
  <c r="AQ296" i="1"/>
  <c r="AD525" i="1"/>
  <c r="AD398" i="1"/>
  <c r="H2" i="1"/>
  <c r="H5" i="1"/>
  <c r="D5" i="1" s="1"/>
  <c r="BQ18" i="1"/>
  <c r="BU23" i="1"/>
  <c r="BU545" i="1" s="1"/>
  <c r="AS46" i="1"/>
  <c r="AH47" i="1"/>
  <c r="AA48" i="1"/>
  <c r="AO70" i="1"/>
  <c r="AD90" i="1"/>
  <c r="AR103" i="1"/>
  <c r="AM110" i="1"/>
  <c r="AK134" i="1"/>
  <c r="AI249" i="1"/>
  <c r="AJ126" i="1"/>
  <c r="BR127" i="1"/>
  <c r="BR139" i="1"/>
  <c r="AH148" i="1"/>
  <c r="AH172" i="1"/>
  <c r="AN173" i="1"/>
  <c r="BO165" i="1"/>
  <c r="AD154" i="1"/>
  <c r="AD165" i="1" s="1"/>
  <c r="J5" i="1"/>
  <c r="T5" i="1"/>
  <c r="AR42" i="1"/>
  <c r="AT42" i="1" s="1"/>
  <c r="AV42" i="1" s="1"/>
  <c r="AX42" i="1" s="1"/>
  <c r="AZ42" i="1" s="1"/>
  <c r="BS48" i="1"/>
  <c r="AL64" i="1"/>
  <c r="BT69" i="1"/>
  <c r="AN109" i="1"/>
  <c r="AN89" i="1"/>
  <c r="AP90" i="1"/>
  <c r="AP105" i="1" s="1"/>
  <c r="AQ105" i="1" s="1"/>
  <c r="AR105" i="1" s="1"/>
  <c r="AS105" i="1" s="1"/>
  <c r="AT105" i="1" s="1"/>
  <c r="AU105" i="1" s="1"/>
  <c r="AV105" i="1" s="1"/>
  <c r="AW105" i="1" s="1"/>
  <c r="AX105" i="1" s="1"/>
  <c r="AY105" i="1" s="1"/>
  <c r="AZ105" i="1" s="1"/>
  <c r="AP109" i="1"/>
  <c r="BQ110" i="1"/>
  <c r="AL134" i="1"/>
  <c r="AI134" i="1"/>
  <c r="AH151" i="1"/>
  <c r="DS2" i="1"/>
  <c r="H3" i="1"/>
  <c r="G5" i="1" s="1"/>
  <c r="C5" i="1" s="1"/>
  <c r="DS3" i="1"/>
  <c r="BQ545" i="1"/>
  <c r="BQ546" i="1"/>
  <c r="BW546" i="1"/>
  <c r="BN25" i="1"/>
  <c r="BT25" i="1"/>
  <c r="AS41" i="1"/>
  <c r="BV41" i="1"/>
  <c r="BV67" i="1" s="1"/>
  <c r="AJ59" i="1"/>
  <c r="AS42" i="1"/>
  <c r="AT43" i="1"/>
  <c r="AU43" i="1" s="1"/>
  <c r="AJ68" i="1"/>
  <c r="AJ248" i="1"/>
  <c r="AJ47" i="1"/>
  <c r="AP249" i="1"/>
  <c r="AP250" i="1" s="1"/>
  <c r="DS70" i="1"/>
  <c r="AJ50" i="1"/>
  <c r="AJ61" i="1" s="1"/>
  <c r="Z61" i="1"/>
  <c r="AM52" i="1"/>
  <c r="AP60" i="1"/>
  <c r="BM61" i="1"/>
  <c r="AF108" i="1"/>
  <c r="AR85" i="1"/>
  <c r="AR87" i="1" s="1"/>
  <c r="AH86" i="1"/>
  <c r="BV86" i="1"/>
  <c r="AL89" i="1"/>
  <c r="BN110" i="1"/>
  <c r="AB89" i="1"/>
  <c r="AF103" i="1"/>
  <c r="AJ109" i="1"/>
  <c r="AG110" i="1"/>
  <c r="AP140" i="1"/>
  <c r="AF249" i="1"/>
  <c r="AF250" i="1" s="1"/>
  <c r="AF164" i="1"/>
  <c r="AS150" i="1"/>
  <c r="AQ249" i="1"/>
  <c r="AA152" i="1"/>
  <c r="BR152" i="1"/>
  <c r="BR168" i="1" s="1"/>
  <c r="AS188" i="1"/>
  <c r="BQ198" i="1"/>
  <c r="AQ190" i="1"/>
  <c r="AE254" i="1"/>
  <c r="AE266" i="1"/>
  <c r="AE258" i="1"/>
  <c r="AE18" i="1"/>
  <c r="AP192" i="1"/>
  <c r="AP256" i="1" s="1"/>
  <c r="BX197" i="1"/>
  <c r="AU201" i="1"/>
  <c r="AI201" i="1"/>
  <c r="AM252" i="1"/>
  <c r="AM264" i="1"/>
  <c r="AO250" i="1"/>
  <c r="AL255" i="1"/>
  <c r="Z256" i="1"/>
  <c r="Z18" i="1" s="1"/>
  <c r="AK258" i="1"/>
  <c r="AK18" i="1"/>
  <c r="AK266" i="1"/>
  <c r="AI261" i="1"/>
  <c r="BM308" i="1"/>
  <c r="Z297" i="1"/>
  <c r="AP297" i="1"/>
  <c r="BU308" i="1"/>
  <c r="BU409" i="1" s="1"/>
  <c r="BU476" i="1" s="1"/>
  <c r="AS305" i="1"/>
  <c r="AT305" i="1" s="1"/>
  <c r="BV305" i="1"/>
  <c r="AM373" i="1"/>
  <c r="AM328" i="1"/>
  <c r="AR403" i="1"/>
  <c r="AU423" i="1"/>
  <c r="AV423" i="1" s="1"/>
  <c r="BW423" i="1"/>
  <c r="BQ435" i="1"/>
  <c r="BQ432" i="1"/>
  <c r="BQ434" i="1" s="1"/>
  <c r="BP544" i="1"/>
  <c r="BS532" i="1"/>
  <c r="DS308" i="1"/>
  <c r="DS409" i="1" s="1"/>
  <c r="DS289" i="1" s="1"/>
  <c r="AE527" i="1"/>
  <c r="AD527" i="1"/>
  <c r="AQ392" i="1"/>
  <c r="AP527" i="1"/>
  <c r="BV395" i="1"/>
  <c r="AS395" i="1"/>
  <c r="AT395" i="1" s="1"/>
  <c r="BP408" i="1"/>
  <c r="AF398" i="1"/>
  <c r="AF408" i="1" s="1"/>
  <c r="AP474" i="1"/>
  <c r="AQ405" i="1"/>
  <c r="BQ441" i="1"/>
  <c r="AF447" i="1"/>
  <c r="AG441" i="1" s="1"/>
  <c r="AG447" i="1" s="1"/>
  <c r="AH441" i="1" s="1"/>
  <c r="AH445" i="1" s="1"/>
  <c r="BM474" i="1"/>
  <c r="Z470" i="1"/>
  <c r="AI266" i="1"/>
  <c r="AI258" i="1"/>
  <c r="AN311" i="1"/>
  <c r="AM316" i="1"/>
  <c r="AL439" i="1"/>
  <c r="AM428" i="1"/>
  <c r="AN148" i="1"/>
  <c r="AL151" i="1"/>
  <c r="AK174" i="1"/>
  <c r="AK173" i="1"/>
  <c r="AE205" i="1"/>
  <c r="AP204" i="1"/>
  <c r="AM216" i="1"/>
  <c r="AN224" i="1"/>
  <c r="BE2" i="1"/>
  <c r="AL548" i="1"/>
  <c r="AL547" i="1"/>
  <c r="BR547" i="1"/>
  <c r="AN248" i="1"/>
  <c r="BT248" i="1" s="1"/>
  <c r="AD47" i="1"/>
  <c r="AE69" i="1"/>
  <c r="AK69" i="1"/>
  <c r="AC110" i="1"/>
  <c r="AI110" i="1"/>
  <c r="AO110" i="1"/>
  <c r="AR145" i="1"/>
  <c r="AH166" i="1"/>
  <c r="AP148" i="1"/>
  <c r="AL164" i="1"/>
  <c r="AM174" i="1"/>
  <c r="AM173" i="1"/>
  <c r="AD151" i="1"/>
  <c r="AD152" i="1" s="1"/>
  <c r="Z152" i="1"/>
  <c r="AL152" i="1"/>
  <c r="AL168" i="1" s="1"/>
  <c r="AJ154" i="1"/>
  <c r="AE251" i="1"/>
  <c r="BP251" i="1" s="1"/>
  <c r="BP199" i="1"/>
  <c r="AK199" i="1"/>
  <c r="BP198" i="1"/>
  <c r="AV201" i="1"/>
  <c r="BR203" i="1"/>
  <c r="BV204" i="1"/>
  <c r="BY204" i="1"/>
  <c r="AL276" i="1"/>
  <c r="AL542" i="1" s="1"/>
  <c r="BU544" i="1"/>
  <c r="AK507" i="1"/>
  <c r="AJ472" i="1"/>
  <c r="AJ297" i="1"/>
  <c r="AJ308" i="1" s="1"/>
  <c r="AP533" i="1"/>
  <c r="AQ293" i="1"/>
  <c r="AR293" i="1" s="1"/>
  <c r="AM531" i="1"/>
  <c r="BT531" i="1" s="1"/>
  <c r="AL531" i="1"/>
  <c r="AN307" i="1"/>
  <c r="AN308" i="1" s="1"/>
  <c r="BT409" i="1"/>
  <c r="AH316" i="1"/>
  <c r="AM363" i="1"/>
  <c r="AM356" i="1" s="1"/>
  <c r="AM360" i="1"/>
  <c r="BQ368" i="1"/>
  <c r="BQ381" i="1"/>
  <c r="BP366" i="1"/>
  <c r="AS415" i="1"/>
  <c r="AR396" i="1"/>
  <c r="BV396" i="1" s="1"/>
  <c r="BV415" i="1"/>
  <c r="AK474" i="1"/>
  <c r="AK476" i="1"/>
  <c r="AM509" i="1"/>
  <c r="AE506" i="1"/>
  <c r="AF504" i="1"/>
  <c r="AF506" i="1" s="1"/>
  <c r="AF509" i="1" s="1"/>
  <c r="AP171" i="1"/>
  <c r="AR146" i="1"/>
  <c r="AJ164" i="1"/>
  <c r="AO255" i="1"/>
  <c r="AK205" i="1"/>
  <c r="BQ204" i="1"/>
  <c r="BR248" i="1"/>
  <c r="BR266" i="1" s="1"/>
  <c r="AG252" i="1"/>
  <c r="Z277" i="1"/>
  <c r="Z543" i="1" s="1"/>
  <c r="Z276" i="1"/>
  <c r="Z542" i="1" s="1"/>
  <c r="AF277" i="1"/>
  <c r="AF543" i="1" s="1"/>
  <c r="AF544" i="1" s="1"/>
  <c r="BN277" i="1"/>
  <c r="BN543" i="1" s="1"/>
  <c r="BN544" i="1" s="1"/>
  <c r="BN261" i="1"/>
  <c r="BV303" i="1"/>
  <c r="AS303" i="1"/>
  <c r="AT303" i="1" s="1"/>
  <c r="AN548" i="1"/>
  <c r="AN547" i="1"/>
  <c r="BS23" i="1"/>
  <c r="BS545" i="1" s="1"/>
  <c r="AL256" i="1"/>
  <c r="AL86" i="1"/>
  <c r="AQ149" i="1"/>
  <c r="AN249" i="1"/>
  <c r="AF151" i="1"/>
  <c r="AE174" i="1"/>
  <c r="AE173" i="1"/>
  <c r="AB152" i="1"/>
  <c r="AN152" i="1"/>
  <c r="AN168" i="1" s="1"/>
  <c r="AE255" i="1"/>
  <c r="BP255" i="1" s="1"/>
  <c r="AE165" i="1"/>
  <c r="AK255" i="1"/>
  <c r="BS255" i="1" s="1"/>
  <c r="AK165" i="1"/>
  <c r="AP163" i="1"/>
  <c r="AH204" i="1"/>
  <c r="AH192" i="1"/>
  <c r="BR258" i="1"/>
  <c r="AJ256" i="1"/>
  <c r="BT198" i="1"/>
  <c r="BT251" i="1"/>
  <c r="BT199" i="1"/>
  <c r="AG205" i="1"/>
  <c r="BT202" i="1"/>
  <c r="AG219" i="1"/>
  <c r="AH219" i="1" s="1"/>
  <c r="BS249" i="1"/>
  <c r="AH277" i="1"/>
  <c r="AH543" i="1" s="1"/>
  <c r="AH544" i="1" s="1"/>
  <c r="AR273" i="1"/>
  <c r="AR271" i="1"/>
  <c r="BV271" i="1" s="1"/>
  <c r="AR272" i="1"/>
  <c r="BT276" i="1"/>
  <c r="BT542" i="1" s="1"/>
  <c r="AN531" i="1"/>
  <c r="AO531" i="1"/>
  <c r="BU531" i="1" s="1"/>
  <c r="Y308" i="1"/>
  <c r="Y409" i="1" s="1"/>
  <c r="Y476" i="1" s="1"/>
  <c r="DS307" i="1"/>
  <c r="AD307" i="1"/>
  <c r="AP307" i="1"/>
  <c r="AQ304" i="1"/>
  <c r="AR304" i="1" s="1"/>
  <c r="BV314" i="1"/>
  <c r="AQ315" i="1"/>
  <c r="BV315" i="1" s="1"/>
  <c r="AW315" i="1"/>
  <c r="BY315" i="1" s="1"/>
  <c r="BY314" i="1"/>
  <c r="BQ366" i="1"/>
  <c r="BQ384" i="1" s="1"/>
  <c r="AJ407" i="1"/>
  <c r="BV402" i="1"/>
  <c r="AS402" i="1"/>
  <c r="AT402" i="1" s="1"/>
  <c r="AQ433" i="1"/>
  <c r="BV490" i="1"/>
  <c r="BY490" i="1"/>
  <c r="AO165" i="1"/>
  <c r="AE201" i="1"/>
  <c r="BP201" i="1" s="1"/>
  <c r="AK201" i="1"/>
  <c r="AQ201" i="1"/>
  <c r="BV201" i="1" s="1"/>
  <c r="AW201" i="1"/>
  <c r="BY201" i="1" s="1"/>
  <c r="Z211" i="1"/>
  <c r="BR218" i="1"/>
  <c r="AH218" i="1"/>
  <c r="AO217" i="1"/>
  <c r="BO244" i="1"/>
  <c r="BP222" i="1"/>
  <c r="BS248" i="1"/>
  <c r="AK250" i="1"/>
  <c r="AA515" i="1"/>
  <c r="AA559" i="1"/>
  <c r="AA278" i="1"/>
  <c r="AA27" i="1" s="1"/>
  <c r="DS266" i="1"/>
  <c r="BS572" i="1"/>
  <c r="BS559" i="1"/>
  <c r="DS559" i="1"/>
  <c r="DS558" i="1"/>
  <c r="DS557" i="1"/>
  <c r="DS572" i="1"/>
  <c r="Y261" i="1"/>
  <c r="AE261" i="1"/>
  <c r="BS261" i="1"/>
  <c r="AQ273" i="1"/>
  <c r="AQ274" i="1"/>
  <c r="AK276" i="1"/>
  <c r="AK542" i="1" s="1"/>
  <c r="BS278" i="1"/>
  <c r="BS27" i="1" s="1"/>
  <c r="BS28" i="1" s="1"/>
  <c r="DS278" i="1"/>
  <c r="DS27" i="1" s="1"/>
  <c r="DS28" i="1" s="1"/>
  <c r="BU533" i="1"/>
  <c r="AG531" i="1"/>
  <c r="AF531" i="1"/>
  <c r="BP531" i="1" s="1"/>
  <c r="AQ531" i="1"/>
  <c r="AR294" i="1"/>
  <c r="AI308" i="1"/>
  <c r="AI409" i="1" s="1"/>
  <c r="AL307" i="1"/>
  <c r="AL308" i="1" s="1"/>
  <c r="BQ316" i="1"/>
  <c r="BZ315" i="1"/>
  <c r="AI316" i="1"/>
  <c r="AJ311" i="1"/>
  <c r="AJ316" i="1" s="1"/>
  <c r="AO328" i="1"/>
  <c r="AO373" i="1"/>
  <c r="AM380" i="1"/>
  <c r="BP385" i="1"/>
  <c r="BP349" i="1"/>
  <c r="AO363" i="1"/>
  <c r="BP371" i="1"/>
  <c r="BQ370" i="1" s="1"/>
  <c r="BQ355" i="1"/>
  <c r="BQ360" i="1" s="1"/>
  <c r="AE525" i="1"/>
  <c r="AE398" i="1"/>
  <c r="AE408" i="1" s="1"/>
  <c r="AM525" i="1"/>
  <c r="DS408" i="1"/>
  <c r="BP422" i="1"/>
  <c r="AF415" i="1"/>
  <c r="AJ422" i="1"/>
  <c r="BR425" i="1"/>
  <c r="AJ425" i="1" s="1"/>
  <c r="AK433" i="1"/>
  <c r="AF434" i="1"/>
  <c r="AA476" i="1"/>
  <c r="BS474" i="1"/>
  <c r="BS476" i="1"/>
  <c r="BM506" i="1"/>
  <c r="BM509" i="1" s="1"/>
  <c r="Z495" i="1"/>
  <c r="Z506" i="1" s="1"/>
  <c r="Z509" i="1" s="1"/>
  <c r="BR316" i="1"/>
  <c r="DS317" i="1"/>
  <c r="AQ325" i="1"/>
  <c r="BP376" i="1"/>
  <c r="BP325" i="1"/>
  <c r="AO332" i="1"/>
  <c r="BR377" i="1"/>
  <c r="AQ360" i="1"/>
  <c r="BR366" i="1"/>
  <c r="BR384" i="1" s="1"/>
  <c r="AF525" i="1"/>
  <c r="AG525" i="1"/>
  <c r="AN525" i="1"/>
  <c r="AN398" i="1"/>
  <c r="AN408" i="1" s="1"/>
  <c r="BN527" i="1"/>
  <c r="AM527" i="1"/>
  <c r="AL527" i="1"/>
  <c r="BW393" i="1"/>
  <c r="AU393" i="1"/>
  <c r="AV393" i="1" s="1"/>
  <c r="BQ422" i="1"/>
  <c r="AH415" i="1"/>
  <c r="AK475" i="1"/>
  <c r="BS475" i="1" s="1"/>
  <c r="BT428" i="1"/>
  <c r="BS439" i="1"/>
  <c r="BQ468" i="1"/>
  <c r="BQ470" i="1" s="1"/>
  <c r="AH467" i="1"/>
  <c r="AP503" i="1"/>
  <c r="BU504" i="1"/>
  <c r="AE548" i="1"/>
  <c r="AE547" i="1"/>
  <c r="AK548" i="1"/>
  <c r="AK547" i="1"/>
  <c r="AN192" i="1"/>
  <c r="AN256" i="1" s="1"/>
  <c r="BT197" i="1"/>
  <c r="BZ197" i="1"/>
  <c r="BU204" i="1"/>
  <c r="AP223" i="1"/>
  <c r="AL235" i="1"/>
  <c r="BS235" i="1"/>
  <c r="BT249" i="1"/>
  <c r="BM559" i="1"/>
  <c r="AG544" i="1"/>
  <c r="AE276" i="1"/>
  <c r="AE542" i="1" s="1"/>
  <c r="BS276" i="1"/>
  <c r="BS542" i="1" s="1"/>
  <c r="BM278" i="1"/>
  <c r="BM27" i="1" s="1"/>
  <c r="BU283" i="1"/>
  <c r="AG507" i="1"/>
  <c r="AF472" i="1"/>
  <c r="AF532" i="1"/>
  <c r="BP532" i="1" s="1"/>
  <c r="AG532" i="1"/>
  <c r="BQ532" i="1" s="1"/>
  <c r="AN296" i="1"/>
  <c r="AN532" i="1" s="1"/>
  <c r="AC409" i="1"/>
  <c r="AC476" i="1" s="1"/>
  <c r="BP409" i="1"/>
  <c r="AQ317" i="1"/>
  <c r="BX315" i="1"/>
  <c r="AM387" i="1"/>
  <c r="BP381" i="1"/>
  <c r="BP368" i="1"/>
  <c r="AO380" i="1"/>
  <c r="AC527" i="1"/>
  <c r="BO527" i="1" s="1"/>
  <c r="AB527" i="1"/>
  <c r="AO527" i="1"/>
  <c r="AN527" i="1"/>
  <c r="AM398" i="1"/>
  <c r="AM408" i="1" s="1"/>
  <c r="AH407" i="1"/>
  <c r="AS401" i="1"/>
  <c r="AQ404" i="1"/>
  <c r="AR404" i="1" s="1"/>
  <c r="AG422" i="1"/>
  <c r="AG425" i="1" s="1"/>
  <c r="AG475" i="1" s="1"/>
  <c r="AS424" i="1"/>
  <c r="AT424" i="1" s="1"/>
  <c r="BV424" i="1"/>
  <c r="BR468" i="1"/>
  <c r="BR470" i="1" s="1"/>
  <c r="AJ467" i="1"/>
  <c r="AJ468" i="1" s="1"/>
  <c r="AJ470" i="1" s="1"/>
  <c r="AE474" i="1"/>
  <c r="AO474" i="1"/>
  <c r="AE475" i="1"/>
  <c r="AL506" i="1"/>
  <c r="AL509" i="1" s="1"/>
  <c r="BQ533" i="1"/>
  <c r="AB276" i="1"/>
  <c r="AB542" i="1" s="1"/>
  <c r="AH276" i="1"/>
  <c r="AH542" i="1" s="1"/>
  <c r="Y288" i="1"/>
  <c r="AC507" i="1"/>
  <c r="AO507" i="1"/>
  <c r="AO509" i="1" s="1"/>
  <c r="AN507" i="1"/>
  <c r="AN472" i="1"/>
  <c r="AP459" i="1"/>
  <c r="AQ295" i="1"/>
  <c r="AR295" i="1" s="1"/>
  <c r="AF307" i="1"/>
  <c r="AF308" i="1" s="1"/>
  <c r="AF409" i="1" s="1"/>
  <c r="AI380" i="1"/>
  <c r="AK526" i="1"/>
  <c r="AJ526" i="1"/>
  <c r="BS526" i="1" s="1"/>
  <c r="AL475" i="1"/>
  <c r="AH432" i="1"/>
  <c r="BW469" i="1"/>
  <c r="BW585" i="1" s="1"/>
  <c r="AU469" i="1"/>
  <c r="AV469" i="1" s="1"/>
  <c r="AG476" i="1"/>
  <c r="AG474" i="1"/>
  <c r="BV218" i="1"/>
  <c r="AE507" i="1"/>
  <c r="AD297" i="1"/>
  <c r="AD308" i="1" s="1"/>
  <c r="AP507" i="1"/>
  <c r="AP472" i="1"/>
  <c r="AM533" i="1"/>
  <c r="BT533" i="1" s="1"/>
  <c r="AL533" i="1"/>
  <c r="AK531" i="1"/>
  <c r="AJ531" i="1"/>
  <c r="AE308" i="1"/>
  <c r="AE409" i="1" s="1"/>
  <c r="AE476" i="1" s="1"/>
  <c r="AM308" i="1"/>
  <c r="AM409" i="1" s="1"/>
  <c r="AM476" i="1" s="1"/>
  <c r="BQ308" i="1"/>
  <c r="BQ409" i="1" s="1"/>
  <c r="AH307" i="1"/>
  <c r="AS300" i="1"/>
  <c r="BV300" i="1"/>
  <c r="AF461" i="1"/>
  <c r="AS306" i="1"/>
  <c r="AT306" i="1" s="1"/>
  <c r="BN308" i="1"/>
  <c r="BP316" i="1"/>
  <c r="AK316" i="1"/>
  <c r="AL311" i="1"/>
  <c r="AL316" i="1" s="1"/>
  <c r="BT316" i="1"/>
  <c r="BP384" i="1"/>
  <c r="AQ367" i="1"/>
  <c r="BN526" i="1"/>
  <c r="AM526" i="1"/>
  <c r="AL526" i="1"/>
  <c r="AD407" i="1"/>
  <c r="AP407" i="1"/>
  <c r="AM475" i="1"/>
  <c r="BU425" i="1"/>
  <c r="AP422" i="1"/>
  <c r="AO433" i="1"/>
  <c r="AK509" i="1"/>
  <c r="AI507" i="1"/>
  <c r="AI509" i="1" s="1"/>
  <c r="AK532" i="1"/>
  <c r="AH297" i="1"/>
  <c r="AH308" i="1" s="1"/>
  <c r="BZ314" i="1"/>
  <c r="AA525" i="1"/>
  <c r="AI525" i="1"/>
  <c r="AH525" i="1"/>
  <c r="AO525" i="1"/>
  <c r="AG527" i="1"/>
  <c r="BQ527" i="1" s="1"/>
  <c r="AF527" i="1"/>
  <c r="AB526" i="1"/>
  <c r="AC526" i="1"/>
  <c r="BO526" i="1" s="1"/>
  <c r="AN526" i="1"/>
  <c r="AO526" i="1"/>
  <c r="BU526" i="1" s="1"/>
  <c r="AO398" i="1"/>
  <c r="AO408" i="1" s="1"/>
  <c r="DS475" i="1"/>
  <c r="AQ445" i="1"/>
  <c r="AQ447" i="1" s="1"/>
  <c r="AR441" i="1" s="1"/>
  <c r="BQ450" i="1"/>
  <c r="AP468" i="1"/>
  <c r="AP470" i="1" s="1"/>
  <c r="BN506" i="1"/>
  <c r="BN509" i="1" s="1"/>
  <c r="AB525" i="1"/>
  <c r="AJ525" i="1"/>
  <c r="AI527" i="1"/>
  <c r="BR527" i="1" s="1"/>
  <c r="AH527" i="1"/>
  <c r="AD526" i="1"/>
  <c r="AE526" i="1"/>
  <c r="DS528" i="1"/>
  <c r="AJ398" i="1"/>
  <c r="AJ408" i="1" s="1"/>
  <c r="AP398" i="1"/>
  <c r="AP408" i="1" s="1"/>
  <c r="AI422" i="1"/>
  <c r="AI425" i="1" s="1"/>
  <c r="AI475" i="1" s="1"/>
  <c r="AO422" i="1"/>
  <c r="AO425" i="1" s="1"/>
  <c r="AO475" i="1" s="1"/>
  <c r="BT422" i="1"/>
  <c r="AJ439" i="1"/>
  <c r="AP439" i="1"/>
  <c r="AO455" i="1"/>
  <c r="AF460" i="1"/>
  <c r="AF470" i="1"/>
  <c r="AI476" i="1"/>
  <c r="AI474" i="1"/>
  <c r="BP476" i="1"/>
  <c r="BP474" i="1"/>
  <c r="AB470" i="1"/>
  <c r="AM507" i="1"/>
  <c r="AL472" i="1"/>
  <c r="DS472" i="1"/>
  <c r="AK533" i="1"/>
  <c r="AJ533" i="1"/>
  <c r="BS533" i="1" s="1"/>
  <c r="AI531" i="1"/>
  <c r="BR531" i="1" s="1"/>
  <c r="AH531" i="1"/>
  <c r="AM532" i="1"/>
  <c r="AC525" i="1"/>
  <c r="AQ391" i="1"/>
  <c r="AK527" i="1"/>
  <c r="AJ527" i="1"/>
  <c r="AG526" i="1"/>
  <c r="BQ526" i="1" s="1"/>
  <c r="AF526" i="1"/>
  <c r="AQ394" i="1"/>
  <c r="AL474" i="1"/>
  <c r="DS584" i="1"/>
  <c r="DS474" i="1"/>
  <c r="BS446" i="1"/>
  <c r="AG450" i="1"/>
  <c r="AG456" i="1" s="1"/>
  <c r="AP460" i="1"/>
  <c r="AP461" i="1" s="1"/>
  <c r="AQ450" i="1"/>
  <c r="AH468" i="1"/>
  <c r="AH470" i="1" s="1"/>
  <c r="AS467" i="1"/>
  <c r="AT467" i="1" s="1"/>
  <c r="BO476" i="1"/>
  <c r="BO474" i="1"/>
  <c r="AB484" i="1"/>
  <c r="AH484" i="1"/>
  <c r="AH537" i="1"/>
  <c r="BQ537" i="1" s="1"/>
  <c r="AH506" i="1"/>
  <c r="AH509" i="1" s="1"/>
  <c r="BR506" i="1"/>
  <c r="BR509" i="1" s="1"/>
  <c r="BM523" i="1"/>
  <c r="BP523" i="1"/>
  <c r="BV523" i="1"/>
  <c r="BY523" i="1"/>
  <c r="AN468" i="1"/>
  <c r="AN470" i="1" s="1"/>
  <c r="Z484" i="1"/>
  <c r="AJ537" i="1"/>
  <c r="BS537" i="1" s="1"/>
  <c r="AJ484" i="1"/>
  <c r="BT476" i="1"/>
  <c r="BP537" i="1"/>
  <c r="AN495" i="1"/>
  <c r="AN506" i="1" s="1"/>
  <c r="AN509" i="1" s="1"/>
  <c r="DS504" i="1"/>
  <c r="AC504" i="1"/>
  <c r="AD503" i="1"/>
  <c r="AB506" i="1"/>
  <c r="AB509" i="1" s="1"/>
  <c r="AP495" i="1"/>
  <c r="BX490" i="1"/>
  <c r="BQ519" i="1"/>
  <c r="DS537" i="1"/>
  <c r="AJ495" i="1"/>
  <c r="DS495" i="1"/>
  <c r="DS506" i="1" s="1"/>
  <c r="DS509" i="1" s="1"/>
  <c r="AN484" i="1"/>
  <c r="AG509" i="1"/>
  <c r="AJ503" i="1"/>
  <c r="BR504" i="1"/>
  <c r="AJ504" i="1" s="1"/>
  <c r="AN504" i="1"/>
  <c r="BN519" i="1"/>
  <c r="BT519" i="1"/>
  <c r="BZ519" i="1"/>
  <c r="BM520" i="1"/>
  <c r="BY520" i="1"/>
  <c r="BS523" i="1"/>
  <c r="AD548" i="1"/>
  <c r="AJ547" i="1"/>
  <c r="BP571" i="1"/>
  <c r="BO574" i="1" s="1"/>
  <c r="AF548" i="1"/>
  <c r="AF547" i="1"/>
  <c r="AM548" i="1"/>
  <c r="BQ571" i="1"/>
  <c r="BR571" i="1"/>
  <c r="BQ574" i="1" s="1"/>
  <c r="DS571" i="1"/>
  <c r="AE60" i="56"/>
  <c r="AE62" i="56" s="1"/>
  <c r="AE64" i="56" s="1"/>
  <c r="AE10" i="56"/>
  <c r="AE16" i="56" s="1"/>
  <c r="BN16" i="56"/>
  <c r="AN10" i="56"/>
  <c r="R2" i="56"/>
  <c r="AP10" i="56"/>
  <c r="AI20" i="56"/>
  <c r="AI22" i="56" s="1"/>
  <c r="BI64" i="56"/>
  <c r="Z75" i="56"/>
  <c r="BN60" i="56"/>
  <c r="AN58" i="56"/>
  <c r="AK10" i="56"/>
  <c r="AK16" i="56" s="1"/>
  <c r="AK60" i="56"/>
  <c r="AK62" i="56" s="1"/>
  <c r="AK64" i="56" s="1"/>
  <c r="U1" i="56"/>
  <c r="AJ10" i="56"/>
  <c r="BO20" i="56"/>
  <c r="AP16" i="56"/>
  <c r="BO50" i="56"/>
  <c r="AO15" i="56"/>
  <c r="AO49" i="56" s="1"/>
  <c r="AO20" i="56"/>
  <c r="AO22" i="56" s="1"/>
  <c r="AM46" i="56"/>
  <c r="AN44" i="56"/>
  <c r="AN46" i="56" s="1"/>
  <c r="Y50" i="56"/>
  <c r="AA20" i="56"/>
  <c r="AA22" i="56" s="1"/>
  <c r="AA50" i="56"/>
  <c r="BJ58" i="56"/>
  <c r="AF57" i="56"/>
  <c r="AA60" i="56"/>
  <c r="AA62" i="56" s="1"/>
  <c r="AA64" i="56" s="1"/>
  <c r="BO62" i="56"/>
  <c r="BL50" i="56"/>
  <c r="AJ16" i="56"/>
  <c r="BL20" i="56"/>
  <c r="BL15" i="56"/>
  <c r="BL49" i="56" s="1"/>
  <c r="BM10" i="56"/>
  <c r="BM60" i="56"/>
  <c r="AL58" i="56"/>
  <c r="BI20" i="56"/>
  <c r="BI50" i="56"/>
  <c r="Y15" i="56"/>
  <c r="Y49" i="56" s="1"/>
  <c r="BO15" i="56"/>
  <c r="AD46" i="56"/>
  <c r="BG10" i="56"/>
  <c r="BG60" i="56"/>
  <c r="Z58" i="56"/>
  <c r="AC75" i="56"/>
  <c r="AD75" i="56" s="1"/>
  <c r="AD76" i="56" s="1"/>
  <c r="AD73" i="56"/>
  <c r="H2" i="56"/>
  <c r="T2" i="56"/>
  <c r="I1" i="56"/>
  <c r="AY3" i="56"/>
  <c r="AM20" i="56"/>
  <c r="AM22" i="56" s="1"/>
  <c r="AM50" i="56"/>
  <c r="AN11" i="56"/>
  <c r="AN13" i="56"/>
  <c r="AI15" i="56"/>
  <c r="AI49" i="56" s="1"/>
  <c r="AJ58" i="56"/>
  <c r="BL60" i="56"/>
  <c r="Y51" i="56"/>
  <c r="Y24" i="56"/>
  <c r="Y52" i="56" s="1"/>
  <c r="AZ1" i="56"/>
  <c r="AG16" i="56"/>
  <c r="BK16" i="56"/>
  <c r="AD11" i="56"/>
  <c r="AP11" i="56"/>
  <c r="AD13" i="56"/>
  <c r="AP13" i="56"/>
  <c r="AA15" i="56"/>
  <c r="AA49" i="56" s="1"/>
  <c r="BI15" i="56"/>
  <c r="Y47" i="56"/>
  <c r="Z57" i="56"/>
  <c r="AJ72" i="56"/>
  <c r="AO46" i="56"/>
  <c r="BH58" i="56"/>
  <c r="BH75" i="56"/>
  <c r="AB75" i="56" s="1"/>
  <c r="BN75" i="56"/>
  <c r="AN75" i="56" s="1"/>
  <c r="BK60" i="56"/>
  <c r="AG75" i="56"/>
  <c r="AH75" i="56" s="1"/>
  <c r="AK46" i="56"/>
  <c r="AJ57" i="56"/>
  <c r="AC58" i="56"/>
  <c r="BR544" i="1" l="1"/>
  <c r="BP574" i="1"/>
  <c r="AK544" i="1"/>
  <c r="AR109" i="1"/>
  <c r="AR89" i="1"/>
  <c r="AN266" i="1"/>
  <c r="AN254" i="1"/>
  <c r="AN18" i="1"/>
  <c r="BT256" i="1"/>
  <c r="AP266" i="1"/>
  <c r="AP18" i="1"/>
  <c r="BU256" i="1"/>
  <c r="AJ474" i="1"/>
  <c r="AQ498" i="1"/>
  <c r="AI265" i="1"/>
  <c r="AQ109" i="1"/>
  <c r="BV87" i="1"/>
  <c r="BV109" i="1" s="1"/>
  <c r="AQ89" i="1"/>
  <c r="BQ457" i="1"/>
  <c r="BQ454" i="1"/>
  <c r="BQ456" i="1" s="1"/>
  <c r="BW306" i="1"/>
  <c r="AU306" i="1"/>
  <c r="AV306" i="1" s="1"/>
  <c r="AO254" i="1"/>
  <c r="AP264" i="1"/>
  <c r="AP252" i="1"/>
  <c r="AH174" i="1"/>
  <c r="AH173" i="1"/>
  <c r="BS63" i="1"/>
  <c r="AL48" i="1"/>
  <c r="AL63" i="1" s="1"/>
  <c r="AH266" i="1"/>
  <c r="AH254" i="1"/>
  <c r="AH18" i="1"/>
  <c r="AR68" i="1"/>
  <c r="AR47" i="1"/>
  <c r="AO442" i="1"/>
  <c r="AO445" i="1" s="1"/>
  <c r="AP446" i="1"/>
  <c r="AL139" i="1"/>
  <c r="AL127" i="1"/>
  <c r="AP255" i="1"/>
  <c r="BU255" i="1" s="1"/>
  <c r="AP165" i="1"/>
  <c r="AQ165" i="1" s="1"/>
  <c r="BR537" i="1"/>
  <c r="AQ525" i="1"/>
  <c r="AQ398" i="1"/>
  <c r="AQ408" i="1" s="1"/>
  <c r="AR391" i="1"/>
  <c r="AR446" i="1"/>
  <c r="AR442" i="1" s="1"/>
  <c r="AR445" i="1"/>
  <c r="AR447" i="1" s="1"/>
  <c r="AS441" i="1" s="1"/>
  <c r="BV404" i="1"/>
  <c r="AS404" i="1"/>
  <c r="AT404" i="1" s="1"/>
  <c r="AK429" i="1"/>
  <c r="AL433" i="1"/>
  <c r="BR572" i="1"/>
  <c r="BR559" i="1"/>
  <c r="BR267" i="1"/>
  <c r="AJ258" i="1"/>
  <c r="BR278" i="1"/>
  <c r="BR27" i="1" s="1"/>
  <c r="AJ255" i="1"/>
  <c r="AJ165" i="1"/>
  <c r="AU305" i="1"/>
  <c r="AV305" i="1" s="1"/>
  <c r="BW305" i="1"/>
  <c r="BV249" i="1"/>
  <c r="BQ547" i="1"/>
  <c r="AN110" i="1"/>
  <c r="AN111" i="1"/>
  <c r="AH69" i="1"/>
  <c r="AH48" i="1"/>
  <c r="AH63" i="1" s="1"/>
  <c r="AH70" i="1"/>
  <c r="AB559" i="1"/>
  <c r="AB515" i="1"/>
  <c r="BN515" i="1" s="1"/>
  <c r="AB261" i="1"/>
  <c r="AB278" i="1"/>
  <c r="AA259" i="1"/>
  <c r="AB26" i="1"/>
  <c r="BQ572" i="1"/>
  <c r="BQ559" i="1"/>
  <c r="BQ278" i="1"/>
  <c r="BQ267" i="1"/>
  <c r="BO544" i="1"/>
  <c r="Y548" i="1"/>
  <c r="Y547" i="1"/>
  <c r="AG222" i="1"/>
  <c r="AH222" i="1" s="1"/>
  <c r="BR222" i="1"/>
  <c r="BR220" i="1"/>
  <c r="AJ506" i="1"/>
  <c r="AJ509" i="1" s="1"/>
  <c r="AQ528" i="1"/>
  <c r="AQ526" i="1"/>
  <c r="AR394" i="1"/>
  <c r="AF476" i="1"/>
  <c r="AF474" i="1"/>
  <c r="BS531" i="1"/>
  <c r="BV295" i="1"/>
  <c r="AS295" i="1"/>
  <c r="AT295" i="1" s="1"/>
  <c r="Y553" i="1"/>
  <c r="Y549" i="1"/>
  <c r="Y554" i="1"/>
  <c r="Y550" i="1"/>
  <c r="Z282" i="1"/>
  <c r="Y289" i="1"/>
  <c r="Y4" i="1" s="1"/>
  <c r="BR474" i="1"/>
  <c r="BR476" i="1"/>
  <c r="AT401" i="1"/>
  <c r="AP235" i="1"/>
  <c r="AP224" i="1"/>
  <c r="BP378" i="1"/>
  <c r="BP336" i="1"/>
  <c r="BQ320" i="1"/>
  <c r="AO367" i="1"/>
  <c r="AO356" i="1"/>
  <c r="AO360" i="1" s="1"/>
  <c r="AO371" i="1" s="1"/>
  <c r="BQ531" i="1"/>
  <c r="BQ205" i="1"/>
  <c r="AN250" i="1"/>
  <c r="AR171" i="1"/>
  <c r="AT146" i="1"/>
  <c r="AL173" i="1"/>
  <c r="AL174" i="1"/>
  <c r="BV403" i="1"/>
  <c r="AS403" i="1"/>
  <c r="AO264" i="1"/>
  <c r="BU250" i="1"/>
  <c r="BU264" i="1" s="1"/>
  <c r="BX201" i="1"/>
  <c r="AE559" i="1"/>
  <c r="AE515" i="1"/>
  <c r="AE267" i="1"/>
  <c r="AE278" i="1"/>
  <c r="AE26" i="1"/>
  <c r="AS249" i="1"/>
  <c r="BW249" i="1" s="1"/>
  <c r="BW150" i="1"/>
  <c r="BW164" i="1" s="1"/>
  <c r="AU150" i="1"/>
  <c r="AS67" i="1"/>
  <c r="AS45" i="1"/>
  <c r="AU41" i="1"/>
  <c r="BW41" i="1"/>
  <c r="BW67" i="1" s="1"/>
  <c r="AS103" i="1"/>
  <c r="AU46" i="1"/>
  <c r="BW46" i="1"/>
  <c r="BW60" i="1" s="1"/>
  <c r="AD408" i="1"/>
  <c r="AD409" i="1" s="1"/>
  <c r="AD476" i="1" s="1"/>
  <c r="AO251" i="1"/>
  <c r="BU251" i="1" s="1"/>
  <c r="BU199" i="1"/>
  <c r="BV31" i="1"/>
  <c r="AL205" i="1"/>
  <c r="AS102" i="1"/>
  <c r="AT108" i="1"/>
  <c r="AV84" i="1"/>
  <c r="AH408" i="1"/>
  <c r="BQ223" i="1"/>
  <c r="BP245" i="1"/>
  <c r="BX125" i="1"/>
  <c r="AW125" i="1"/>
  <c r="AW86" i="1"/>
  <c r="BX86" i="1"/>
  <c r="AO409" i="1"/>
  <c r="AO476" i="1" s="1"/>
  <c r="BP572" i="1"/>
  <c r="BP278" i="1"/>
  <c r="BP267" i="1"/>
  <c r="BP261" i="1"/>
  <c r="AF258" i="1"/>
  <c r="AE259" i="1" s="1"/>
  <c r="BP559" i="1"/>
  <c r="AU62" i="1"/>
  <c r="BW34" i="1"/>
  <c r="AF439" i="1"/>
  <c r="AG428" i="1"/>
  <c r="AJ254" i="1"/>
  <c r="AJ18" i="1"/>
  <c r="AJ266" i="1"/>
  <c r="AA544" i="1"/>
  <c r="Z544" i="1"/>
  <c r="AL111" i="1"/>
  <c r="AL110" i="1"/>
  <c r="AL90" i="1"/>
  <c r="AL105" i="1" s="1"/>
  <c r="AP548" i="1"/>
  <c r="AP547" i="1"/>
  <c r="BM25" i="1"/>
  <c r="AN70" i="1"/>
  <c r="AN69" i="1"/>
  <c r="AH252" i="1"/>
  <c r="BQ252" i="1" s="1"/>
  <c r="AH264" i="1"/>
  <c r="AU84" i="1"/>
  <c r="AS85" i="1"/>
  <c r="AS108" i="1"/>
  <c r="BW84" i="1"/>
  <c r="BW108" i="1" s="1"/>
  <c r="AQ32" i="1"/>
  <c r="AR35" i="1"/>
  <c r="AH409" i="1"/>
  <c r="AW469" i="1"/>
  <c r="AX469" i="1" s="1"/>
  <c r="BX469" i="1"/>
  <c r="BX585" i="1" s="1"/>
  <c r="AO385" i="1"/>
  <c r="AO321" i="1"/>
  <c r="AO381" i="1"/>
  <c r="BV304" i="1"/>
  <c r="AS304" i="1"/>
  <c r="AT304" i="1" s="1"/>
  <c r="AF152" i="1"/>
  <c r="AF168" i="1" s="1"/>
  <c r="AF174" i="1"/>
  <c r="AF173" i="1"/>
  <c r="AS293" i="1"/>
  <c r="AT293" i="1" s="1"/>
  <c r="BV293" i="1"/>
  <c r="AR392" i="1"/>
  <c r="AQ527" i="1"/>
  <c r="BX423" i="1"/>
  <c r="AW423" i="1"/>
  <c r="AX423" i="1" s="1"/>
  <c r="AS202" i="1"/>
  <c r="AS198" i="1"/>
  <c r="AU188" i="1"/>
  <c r="BW188" i="1"/>
  <c r="AJ70" i="1"/>
  <c r="AJ69" i="1"/>
  <c r="K3" i="1"/>
  <c r="K2" i="1"/>
  <c r="L1" i="1"/>
  <c r="AO559" i="1"/>
  <c r="AO515" i="1"/>
  <c r="AO278" i="1"/>
  <c r="AO267" i="1"/>
  <c r="AO26" i="1"/>
  <c r="AU124" i="1"/>
  <c r="AS126" i="1"/>
  <c r="BW124" i="1"/>
  <c r="BW133" i="1" s="1"/>
  <c r="AF110" i="1"/>
  <c r="AF111" i="1"/>
  <c r="AB70" i="1"/>
  <c r="AB69" i="1"/>
  <c r="AB48" i="1"/>
  <c r="AU222" i="1"/>
  <c r="BW222" i="1"/>
  <c r="AS166" i="1"/>
  <c r="AI544" i="1"/>
  <c r="AU467" i="1"/>
  <c r="AV467" i="1" s="1"/>
  <c r="BW467" i="1"/>
  <c r="BT532" i="1"/>
  <c r="DS476" i="1"/>
  <c r="DS4" i="1" s="1"/>
  <c r="BT425" i="1"/>
  <c r="AN422" i="1"/>
  <c r="BP526" i="1"/>
  <c r="BU475" i="1"/>
  <c r="AP425" i="1"/>
  <c r="AP475" i="1" s="1"/>
  <c r="BT526" i="1"/>
  <c r="AT300" i="1"/>
  <c r="AJ475" i="1"/>
  <c r="BR475" i="1" s="1"/>
  <c r="AL409" i="1"/>
  <c r="AL476" i="1" s="1"/>
  <c r="AQ429" i="1"/>
  <c r="BV272" i="1"/>
  <c r="AS271" i="1"/>
  <c r="AS272" i="1"/>
  <c r="AQ172" i="1"/>
  <c r="AQ151" i="1"/>
  <c r="AU303" i="1"/>
  <c r="AV303" i="1" s="1"/>
  <c r="BW303" i="1"/>
  <c r="AJ409" i="1"/>
  <c r="AJ476" i="1" s="1"/>
  <c r="AQ199" i="1"/>
  <c r="BP527" i="1"/>
  <c r="AE544" i="1"/>
  <c r="AM381" i="1"/>
  <c r="AM321" i="1"/>
  <c r="AM332" i="1"/>
  <c r="AP308" i="1"/>
  <c r="AP409" i="1" s="1"/>
  <c r="AP476" i="1" s="1"/>
  <c r="BU249" i="1"/>
  <c r="AA28" i="1"/>
  <c r="BQ255" i="1"/>
  <c r="AJ250" i="1"/>
  <c r="AS492" i="1"/>
  <c r="AT302" i="1"/>
  <c r="AG258" i="1"/>
  <c r="AH258" i="1" s="1"/>
  <c r="AG266" i="1"/>
  <c r="AG254" i="1"/>
  <c r="AG18" i="1"/>
  <c r="AQ407" i="1"/>
  <c r="Y559" i="1"/>
  <c r="Y515" i="1"/>
  <c r="Y278" i="1"/>
  <c r="Y27" i="1" s="1"/>
  <c r="Y26" i="1"/>
  <c r="Z258" i="1"/>
  <c r="AX41" i="1"/>
  <c r="AV67" i="1"/>
  <c r="AH111" i="1"/>
  <c r="AH110" i="1"/>
  <c r="BR526" i="1"/>
  <c r="AP544" i="1"/>
  <c r="AF254" i="1"/>
  <c r="AF18" i="1"/>
  <c r="AF266" i="1"/>
  <c r="AS223" i="1"/>
  <c r="AT202" i="1"/>
  <c r="AT198" i="1"/>
  <c r="AT199" i="1" s="1"/>
  <c r="AT251" i="1" s="1"/>
  <c r="AV188" i="1"/>
  <c r="AY146" i="1"/>
  <c r="AW171" i="1"/>
  <c r="BW125" i="1"/>
  <c r="BW134" i="1" s="1"/>
  <c r="AH90" i="1"/>
  <c r="AH105" i="1" s="1"/>
  <c r="AQ248" i="1"/>
  <c r="AQ47" i="1"/>
  <c r="BV45" i="1"/>
  <c r="BV68" i="1" s="1"/>
  <c r="AQ68" i="1"/>
  <c r="AS338" i="1"/>
  <c r="AS343" i="1" s="1"/>
  <c r="AR353" i="1"/>
  <c r="AS352" i="1" s="1"/>
  <c r="BQ261" i="1"/>
  <c r="AJ205" i="1"/>
  <c r="BR205" i="1" s="1"/>
  <c r="AP111" i="1"/>
  <c r="AP110" i="1"/>
  <c r="AP69" i="1"/>
  <c r="AP70" i="1"/>
  <c r="AH152" i="1"/>
  <c r="AH168" i="1" s="1"/>
  <c r="AH139" i="1"/>
  <c r="AH127" i="1"/>
  <c r="AO532" i="1"/>
  <c r="BU532" i="1" s="1"/>
  <c r="AB173" i="1"/>
  <c r="AB174" i="1"/>
  <c r="AY145" i="1"/>
  <c r="AM253" i="1"/>
  <c r="AW61" i="1"/>
  <c r="AH476" i="1"/>
  <c r="AH474" i="1"/>
  <c r="BR221" i="1"/>
  <c r="AK251" i="1"/>
  <c r="AK252" i="1" s="1"/>
  <c r="BS252" i="1" s="1"/>
  <c r="BP202" i="1"/>
  <c r="BW395" i="1"/>
  <c r="AU395" i="1"/>
  <c r="AV395" i="1" s="1"/>
  <c r="BQ439" i="1"/>
  <c r="BR428" i="1"/>
  <c r="BR435" i="1" s="1"/>
  <c r="AH434" i="1"/>
  <c r="AK559" i="1"/>
  <c r="AK515" i="1"/>
  <c r="AK536" i="1" s="1"/>
  <c r="AK267" i="1"/>
  <c r="AK278" i="1"/>
  <c r="AL258" i="1"/>
  <c r="AK26" i="1"/>
  <c r="AK259" i="1"/>
  <c r="BP254" i="1"/>
  <c r="BP265" i="1" s="1"/>
  <c r="AE265" i="1"/>
  <c r="AF264" i="1"/>
  <c r="AF252" i="1"/>
  <c r="AB111" i="1"/>
  <c r="AB110" i="1"/>
  <c r="BX43" i="1"/>
  <c r="AV43" i="1"/>
  <c r="AW43" i="1" s="1"/>
  <c r="AJ139" i="1"/>
  <c r="AJ127" i="1"/>
  <c r="BU547" i="1"/>
  <c r="AQ532" i="1"/>
  <c r="AR296" i="1"/>
  <c r="BR255" i="1"/>
  <c r="BV202" i="1"/>
  <c r="AL199" i="1"/>
  <c r="AL251" i="1" s="1"/>
  <c r="AL252" i="1" s="1"/>
  <c r="BS197" i="1"/>
  <c r="AL201" i="1"/>
  <c r="BS201" i="1" s="1"/>
  <c r="BN26" i="1"/>
  <c r="BN28" i="1" s="1"/>
  <c r="AN90" i="1"/>
  <c r="AN105" i="1" s="1"/>
  <c r="BR533" i="1"/>
  <c r="AM515" i="1"/>
  <c r="AM559" i="1"/>
  <c r="AM278" i="1"/>
  <c r="AM26" i="1"/>
  <c r="AM261" i="1"/>
  <c r="AM267" i="1"/>
  <c r="AJ199" i="1"/>
  <c r="AJ251" i="1" s="1"/>
  <c r="AJ201" i="1"/>
  <c r="BR201" i="1" s="1"/>
  <c r="AP174" i="1"/>
  <c r="AP173" i="1"/>
  <c r="AD559" i="1"/>
  <c r="AD515" i="1"/>
  <c r="BO515" i="1" s="1"/>
  <c r="AD26" i="1"/>
  <c r="AD278" i="1"/>
  <c r="BR197" i="1"/>
  <c r="AP127" i="1"/>
  <c r="AQ127" i="1" s="1"/>
  <c r="AT218" i="1"/>
  <c r="AR223" i="1"/>
  <c r="Z111" i="1"/>
  <c r="Z90" i="1"/>
  <c r="BH3" i="1"/>
  <c r="BH2" i="1"/>
  <c r="BI1" i="1"/>
  <c r="AT44" i="1"/>
  <c r="AU44" i="1" s="1"/>
  <c r="BW44" i="1"/>
  <c r="BV85" i="1"/>
  <c r="AH548" i="1"/>
  <c r="AI17" i="1"/>
  <c r="AL69" i="1"/>
  <c r="AR139" i="1"/>
  <c r="BV126" i="1"/>
  <c r="BV139" i="1" s="1"/>
  <c r="AY88" i="1"/>
  <c r="BZ88" i="1" s="1"/>
  <c r="BZ101" i="1" s="1"/>
  <c r="BY88" i="1"/>
  <c r="BY101" i="1" s="1"/>
  <c r="AF422" i="1"/>
  <c r="BP425" i="1"/>
  <c r="AF425" i="1" s="1"/>
  <c r="AF475" i="1" s="1"/>
  <c r="BP475" i="1" s="1"/>
  <c r="BR223" i="1"/>
  <c r="AI218" i="1"/>
  <c r="AI230" i="1" s="1"/>
  <c r="BS547" i="1"/>
  <c r="AS396" i="1"/>
  <c r="AT415" i="1"/>
  <c r="AQ499" i="1"/>
  <c r="AR405" i="1"/>
  <c r="AQ420" i="1"/>
  <c r="AQ422" i="1" s="1"/>
  <c r="AQ425" i="1" s="1"/>
  <c r="AJ173" i="1"/>
  <c r="AJ174" i="1"/>
  <c r="AJ152" i="1"/>
  <c r="AJ168" i="1" s="1"/>
  <c r="AF70" i="1"/>
  <c r="AF69" i="1"/>
  <c r="AQ225" i="1"/>
  <c r="AQ235" i="1"/>
  <c r="BV223" i="1"/>
  <c r="BV235" i="1" s="1"/>
  <c r="AG460" i="1"/>
  <c r="AG461" i="1" s="1"/>
  <c r="AH450" i="1"/>
  <c r="AH454" i="1" s="1"/>
  <c r="AP433" i="1"/>
  <c r="AO429" i="1"/>
  <c r="BU527" i="1"/>
  <c r="BU506" i="1"/>
  <c r="BU509" i="1" s="1"/>
  <c r="AP504" i="1"/>
  <c r="AP506" i="1" s="1"/>
  <c r="AP509" i="1" s="1"/>
  <c r="AQ507" i="1" s="1"/>
  <c r="BX393" i="1"/>
  <c r="AW393" i="1"/>
  <c r="AX393" i="1" s="1"/>
  <c r="AR274" i="1"/>
  <c r="BP223" i="1"/>
  <c r="BP235" i="1" s="1"/>
  <c r="BO245" i="1"/>
  <c r="AP455" i="1"/>
  <c r="AO451" i="1"/>
  <c r="AO454" i="1" s="1"/>
  <c r="AO456" i="1" s="1"/>
  <c r="AQ301" i="1"/>
  <c r="AR311" i="1"/>
  <c r="AR317" i="1" s="1"/>
  <c r="AH422" i="1"/>
  <c r="BQ425" i="1"/>
  <c r="AH425" i="1" s="1"/>
  <c r="AH475" i="1" s="1"/>
  <c r="BQ475" i="1" s="1"/>
  <c r="BT527" i="1"/>
  <c r="AQ336" i="1"/>
  <c r="AR320" i="1"/>
  <c r="AQ378" i="1"/>
  <c r="AK264" i="1"/>
  <c r="BS250" i="1"/>
  <c r="BS264" i="1" s="1"/>
  <c r="AN409" i="1"/>
  <c r="AN476" i="1" s="1"/>
  <c r="AD173" i="1"/>
  <c r="AD174" i="1"/>
  <c r="AR147" i="1"/>
  <c r="BV147" i="1" s="1"/>
  <c r="AT145" i="1"/>
  <c r="BV145" i="1"/>
  <c r="AD48" i="1"/>
  <c r="AD70" i="1"/>
  <c r="AD69" i="1"/>
  <c r="AI559" i="1"/>
  <c r="AI515" i="1"/>
  <c r="AI278" i="1"/>
  <c r="AI267" i="1"/>
  <c r="AI259" i="1"/>
  <c r="AI26" i="1"/>
  <c r="AC506" i="1"/>
  <c r="AC509" i="1" s="1"/>
  <c r="AD504" i="1"/>
  <c r="AD506" i="1" s="1"/>
  <c r="AD509" i="1" s="1"/>
  <c r="AQ455" i="1"/>
  <c r="AQ451" i="1" s="1"/>
  <c r="AQ454" i="1" s="1"/>
  <c r="AQ456" i="1" s="1"/>
  <c r="AR450" i="1" s="1"/>
  <c r="BS527" i="1"/>
  <c r="AN474" i="1"/>
  <c r="AR362" i="1"/>
  <c r="AQ385" i="1"/>
  <c r="AB308" i="1"/>
  <c r="AB409" i="1" s="1"/>
  <c r="AB476" i="1" s="1"/>
  <c r="BN409" i="1"/>
  <c r="BN476" i="1" s="1"/>
  <c r="BW424" i="1"/>
  <c r="AU424" i="1"/>
  <c r="AV424" i="1" s="1"/>
  <c r="BQ476" i="1"/>
  <c r="BQ474" i="1"/>
  <c r="AR407" i="1"/>
  <c r="AR355" i="1"/>
  <c r="AQ371" i="1"/>
  <c r="AR370" i="1" s="1"/>
  <c r="BR355" i="1"/>
  <c r="AI355" i="1"/>
  <c r="BQ371" i="1"/>
  <c r="AR531" i="1"/>
  <c r="BV531" i="1" s="1"/>
  <c r="BV294" i="1"/>
  <c r="AS294" i="1"/>
  <c r="AK261" i="1"/>
  <c r="BS266" i="1"/>
  <c r="BS267" i="1"/>
  <c r="BW402" i="1"/>
  <c r="AU402" i="1"/>
  <c r="AV402" i="1" s="1"/>
  <c r="BR219" i="1"/>
  <c r="AL254" i="1"/>
  <c r="AL266" i="1"/>
  <c r="AL18" i="1"/>
  <c r="BS544" i="1"/>
  <c r="BS205" i="1"/>
  <c r="AE509" i="1"/>
  <c r="AM367" i="1"/>
  <c r="AM371" i="1" s="1"/>
  <c r="BP205" i="1"/>
  <c r="AM433" i="1"/>
  <c r="BQ448" i="1"/>
  <c r="BQ445" i="1"/>
  <c r="BQ447" i="1" s="1"/>
  <c r="BM409" i="1"/>
  <c r="Z308" i="1"/>
  <c r="AK254" i="1"/>
  <c r="AQ203" i="1"/>
  <c r="AQ205" i="1" s="1"/>
  <c r="AR190" i="1"/>
  <c r="BV146" i="1"/>
  <c r="AU42" i="1"/>
  <c r="BW42" i="1"/>
  <c r="BW59" i="1" s="1"/>
  <c r="AJ48" i="1"/>
  <c r="AJ63" i="1" s="1"/>
  <c r="AI250" i="1"/>
  <c r="BR249" i="1"/>
  <c r="AE252" i="1"/>
  <c r="BP252" i="1" s="1"/>
  <c r="AT249" i="1"/>
  <c r="AV150" i="1"/>
  <c r="AQ192" i="1"/>
  <c r="BM545" i="1"/>
  <c r="BM26" i="1"/>
  <c r="BM28" i="1" s="1"/>
  <c r="AY218" i="1"/>
  <c r="AJ110" i="1"/>
  <c r="BV42" i="1"/>
  <c r="BV59" i="1" s="1"/>
  <c r="BR338" i="1"/>
  <c r="BR343" i="1" s="1"/>
  <c r="BR353" i="1" s="1"/>
  <c r="BR352" i="1"/>
  <c r="AI352" i="1"/>
  <c r="BP249" i="1"/>
  <c r="BR199" i="1"/>
  <c r="AI251" i="1"/>
  <c r="BR251" i="1" s="1"/>
  <c r="AR136" i="1"/>
  <c r="BN286" i="1"/>
  <c r="AB286" i="1" s="1"/>
  <c r="U2" i="1"/>
  <c r="U3" i="1"/>
  <c r="V1" i="1"/>
  <c r="BR26" i="1"/>
  <c r="BR28" i="1" s="1"/>
  <c r="BV44" i="1"/>
  <c r="AT126" i="1"/>
  <c r="AV124" i="1"/>
  <c r="AF90" i="1"/>
  <c r="AF105" i="1" s="1"/>
  <c r="BX101" i="1"/>
  <c r="AM51" i="56"/>
  <c r="AM24" i="56"/>
  <c r="AM52" i="56" s="1"/>
  <c r="AM47" i="56"/>
  <c r="BL22" i="56"/>
  <c r="AJ20" i="56"/>
  <c r="BJ60" i="56"/>
  <c r="AF58" i="56"/>
  <c r="BJ10" i="56"/>
  <c r="AO47" i="56"/>
  <c r="AO51" i="56"/>
  <c r="AO24" i="56"/>
  <c r="AO52" i="56" s="1"/>
  <c r="U3" i="56"/>
  <c r="U2" i="56"/>
  <c r="V1" i="56"/>
  <c r="AG20" i="56"/>
  <c r="AG22" i="56" s="1"/>
  <c r="AG50" i="56"/>
  <c r="AG15" i="56"/>
  <c r="AG49" i="56" s="1"/>
  <c r="BI22" i="56"/>
  <c r="BH60" i="56"/>
  <c r="AB58" i="56"/>
  <c r="BH10" i="56"/>
  <c r="AJ50" i="56"/>
  <c r="AJ15" i="56"/>
  <c r="AJ49" i="56" s="1"/>
  <c r="BG16" i="56"/>
  <c r="Z10" i="56"/>
  <c r="AA51" i="56"/>
  <c r="AA24" i="56"/>
  <c r="AA52" i="56" s="1"/>
  <c r="AA47" i="56"/>
  <c r="AK20" i="56"/>
  <c r="AK22" i="56" s="1"/>
  <c r="AK15" i="56"/>
  <c r="AK49" i="56" s="1"/>
  <c r="AK50" i="56"/>
  <c r="BN20" i="56"/>
  <c r="AN16" i="56"/>
  <c r="AN50" i="56" s="1"/>
  <c r="BN50" i="56"/>
  <c r="BN15" i="56"/>
  <c r="BK50" i="56"/>
  <c r="BK20" i="56"/>
  <c r="AH16" i="56"/>
  <c r="BK15" i="56"/>
  <c r="BK49" i="56" s="1"/>
  <c r="AZ3" i="56"/>
  <c r="BA1" i="56"/>
  <c r="AZ2" i="56"/>
  <c r="Z60" i="56"/>
  <c r="BG62" i="56"/>
  <c r="BO64" i="56"/>
  <c r="AP64" i="56" s="1"/>
  <c r="AP62" i="56"/>
  <c r="AP50" i="56"/>
  <c r="AE20" i="56"/>
  <c r="AE22" i="56" s="1"/>
  <c r="AE50" i="56"/>
  <c r="AE15" i="56"/>
  <c r="AE49" i="56" s="1"/>
  <c r="BI49" i="56"/>
  <c r="BL62" i="56"/>
  <c r="AJ60" i="56"/>
  <c r="I3" i="56"/>
  <c r="J1" i="56"/>
  <c r="I2" i="56"/>
  <c r="BK62" i="56"/>
  <c r="AH60" i="56"/>
  <c r="AL60" i="56"/>
  <c r="BM62" i="56"/>
  <c r="AC60" i="56"/>
  <c r="AC10" i="56"/>
  <c r="AD58" i="56"/>
  <c r="BO49" i="56"/>
  <c r="AP15" i="56"/>
  <c r="AP49" i="56" s="1"/>
  <c r="BM16" i="56"/>
  <c r="AL10" i="56"/>
  <c r="BO22" i="56"/>
  <c r="AP20" i="56"/>
  <c r="BN62" i="56"/>
  <c r="AN60" i="56"/>
  <c r="AI47" i="56"/>
  <c r="AI51" i="56"/>
  <c r="AI23" i="56"/>
  <c r="AI24" i="56" s="1"/>
  <c r="AI52" i="56" s="1"/>
  <c r="Y28" i="1" l="1"/>
  <c r="AR455" i="1"/>
  <c r="AR451" i="1" s="1"/>
  <c r="AR454" i="1"/>
  <c r="AR456" i="1" s="1"/>
  <c r="AS450" i="1" s="1"/>
  <c r="BV205" i="1"/>
  <c r="AH559" i="1"/>
  <c r="AH515" i="1"/>
  <c r="AH536" i="1" s="1"/>
  <c r="AH261" i="1"/>
  <c r="AH267" i="1"/>
  <c r="AH278" i="1"/>
  <c r="AH26" i="1"/>
  <c r="AV249" i="1"/>
  <c r="AX150" i="1"/>
  <c r="BX424" i="1"/>
  <c r="AW424" i="1"/>
  <c r="AX424" i="1" s="1"/>
  <c r="BW202" i="1"/>
  <c r="BW85" i="1"/>
  <c r="BX34" i="1"/>
  <c r="BQ235" i="1"/>
  <c r="AG223" i="1"/>
  <c r="AH223" i="1"/>
  <c r="AT102" i="1"/>
  <c r="AU45" i="1"/>
  <c r="AU67" i="1"/>
  <c r="AW41" i="1"/>
  <c r="BX41" i="1"/>
  <c r="BX67" i="1" s="1"/>
  <c r="AT403" i="1"/>
  <c r="BW31" i="1"/>
  <c r="Y555" i="1"/>
  <c r="AI222" i="1"/>
  <c r="AI231" i="1" s="1"/>
  <c r="AJ222" i="1"/>
  <c r="BX305" i="1"/>
  <c r="AW305" i="1"/>
  <c r="AX305" i="1" s="1"/>
  <c r="AU404" i="1"/>
  <c r="AV404" i="1" s="1"/>
  <c r="BW404" i="1"/>
  <c r="AQ504" i="1"/>
  <c r="BU266" i="1"/>
  <c r="BU258" i="1"/>
  <c r="BU18" i="1"/>
  <c r="AN265" i="1"/>
  <c r="BT254" i="1"/>
  <c r="BT265" i="1" s="1"/>
  <c r="BR441" i="1"/>
  <c r="BR448" i="1" s="1"/>
  <c r="AH447" i="1"/>
  <c r="AI441" i="1" s="1"/>
  <c r="AR527" i="1"/>
  <c r="AS392" i="1"/>
  <c r="BV392" i="1"/>
  <c r="AO252" i="1"/>
  <c r="BU252" i="1" s="1"/>
  <c r="AI220" i="1"/>
  <c r="AJ220" i="1" s="1"/>
  <c r="AK265" i="1"/>
  <c r="BS254" i="1"/>
  <c r="BS265" i="1" s="1"/>
  <c r="AK253" i="1"/>
  <c r="BX402" i="1"/>
  <c r="AW402" i="1"/>
  <c r="AX402" i="1" s="1"/>
  <c r="AI536" i="1"/>
  <c r="AQ307" i="1"/>
  <c r="AQ494" i="1"/>
  <c r="BX44" i="1"/>
  <c r="AV44" i="1"/>
  <c r="AW395" i="1"/>
  <c r="AX395" i="1" s="1"/>
  <c r="BX395" i="1"/>
  <c r="AY171" i="1"/>
  <c r="AS225" i="1"/>
  <c r="AS235" i="1"/>
  <c r="AM385" i="1"/>
  <c r="AT272" i="1"/>
  <c r="AT273" i="1"/>
  <c r="AT271" i="1"/>
  <c r="BW271" i="1" s="1"/>
  <c r="AQ432" i="1"/>
  <c r="AU304" i="1"/>
  <c r="AV304" i="1" s="1"/>
  <c r="BW304" i="1"/>
  <c r="BY469" i="1"/>
  <c r="BY585" i="1" s="1"/>
  <c r="AY469" i="1"/>
  <c r="AZ469" i="1" s="1"/>
  <c r="BZ469" i="1" s="1"/>
  <c r="BZ585" i="1" s="1"/>
  <c r="W1" i="1"/>
  <c r="V3" i="1"/>
  <c r="U5" i="1" s="1"/>
  <c r="V2" i="1"/>
  <c r="AS136" i="1"/>
  <c r="BV163" i="1"/>
  <c r="BV171" i="1"/>
  <c r="AN433" i="1"/>
  <c r="AM429" i="1"/>
  <c r="AR363" i="1"/>
  <c r="AR356" i="1" s="1"/>
  <c r="AR360" i="1" s="1"/>
  <c r="AT147" i="1"/>
  <c r="AU147" i="1" s="1"/>
  <c r="AV145" i="1"/>
  <c r="AT149" i="1"/>
  <c r="BW145" i="1"/>
  <c r="AR335" i="1"/>
  <c r="AR387" i="1" s="1"/>
  <c r="AQ388" i="1"/>
  <c r="AP450" i="1"/>
  <c r="AO460" i="1"/>
  <c r="AO461" i="1" s="1"/>
  <c r="AR499" i="1"/>
  <c r="AR420" i="1"/>
  <c r="AS405" i="1"/>
  <c r="AS407" i="1" s="1"/>
  <c r="BV405" i="1"/>
  <c r="BI3" i="1"/>
  <c r="BI2" i="1"/>
  <c r="BJ1" i="1"/>
  <c r="AV218" i="1"/>
  <c r="AT223" i="1"/>
  <c r="BW218" i="1"/>
  <c r="AQ70" i="1"/>
  <c r="AQ69" i="1"/>
  <c r="AQ49" i="1"/>
  <c r="BV47" i="1"/>
  <c r="AJ264" i="1"/>
  <c r="AJ252" i="1"/>
  <c r="AM374" i="1"/>
  <c r="AM325" i="1"/>
  <c r="AS273" i="1"/>
  <c r="AO27" i="1"/>
  <c r="AO28" i="1"/>
  <c r="AT45" i="1"/>
  <c r="AU293" i="1"/>
  <c r="AV293" i="1" s="1"/>
  <c r="BW293" i="1"/>
  <c r="AU108" i="1"/>
  <c r="AW84" i="1"/>
  <c r="BX84" i="1"/>
  <c r="BX108" i="1" s="1"/>
  <c r="AV62" i="1"/>
  <c r="BP26" i="1"/>
  <c r="BP27" i="1"/>
  <c r="BW45" i="1"/>
  <c r="BW68" i="1" s="1"/>
  <c r="AS47" i="1"/>
  <c r="AS68" i="1"/>
  <c r="AE27" i="1"/>
  <c r="AE28" i="1"/>
  <c r="AN252" i="1"/>
  <c r="BT252" i="1" s="1"/>
  <c r="AN264" i="1"/>
  <c r="BT250" i="1"/>
  <c r="BT264" i="1" s="1"/>
  <c r="AU295" i="1"/>
  <c r="AV295" i="1" s="1"/>
  <c r="BW295" i="1"/>
  <c r="AH253" i="1"/>
  <c r="AH265" i="1"/>
  <c r="BX306" i="1"/>
  <c r="AW306" i="1"/>
  <c r="AX306" i="1" s="1"/>
  <c r="AT139" i="1"/>
  <c r="AR253" i="1"/>
  <c r="AR203" i="1"/>
  <c r="AR205" i="1" s="1"/>
  <c r="AS190" i="1"/>
  <c r="AR192" i="1"/>
  <c r="BV192" i="1" s="1"/>
  <c r="AL265" i="1"/>
  <c r="AL253" i="1"/>
  <c r="BV203" i="1"/>
  <c r="AI219" i="1"/>
  <c r="AJ219" i="1" s="1"/>
  <c r="AP429" i="1"/>
  <c r="AP432" i="1" s="1"/>
  <c r="AO432" i="1"/>
  <c r="AI223" i="1"/>
  <c r="AJ223" i="1" s="1"/>
  <c r="BR235" i="1"/>
  <c r="Z515" i="1"/>
  <c r="BM515" i="1" s="1"/>
  <c r="Z559" i="1"/>
  <c r="Z278" i="1"/>
  <c r="Z26" i="1"/>
  <c r="Z261" i="1"/>
  <c r="BW302" i="1"/>
  <c r="AU302" i="1"/>
  <c r="AT492" i="1"/>
  <c r="AT166" i="1"/>
  <c r="AL429" i="1"/>
  <c r="AL432" i="1" s="1"/>
  <c r="AK432" i="1"/>
  <c r="BN288" i="1"/>
  <c r="BX42" i="1"/>
  <c r="BX59" i="1" s="1"/>
  <c r="AW42" i="1"/>
  <c r="AS531" i="1"/>
  <c r="AT294" i="1"/>
  <c r="BY393" i="1"/>
  <c r="AY393" i="1"/>
  <c r="AZ393" i="1" s="1"/>
  <c r="BZ393" i="1" s="1"/>
  <c r="AR225" i="1"/>
  <c r="AR235" i="1"/>
  <c r="BS352" i="1"/>
  <c r="BS338" i="1"/>
  <c r="BS343" i="1" s="1"/>
  <c r="Z409" i="1"/>
  <c r="Z476" i="1" s="1"/>
  <c r="BM476" i="1"/>
  <c r="BM289" i="1"/>
  <c r="BM4" i="1" s="1"/>
  <c r="AI548" i="1"/>
  <c r="AJ17" i="1"/>
  <c r="AJ548" i="1" s="1"/>
  <c r="AR127" i="1"/>
  <c r="BV127" i="1" s="1"/>
  <c r="BV135" i="1" s="1"/>
  <c r="AQ135" i="1"/>
  <c r="AQ128" i="1"/>
  <c r="AM536" i="1"/>
  <c r="AL515" i="1"/>
  <c r="AL536" i="1" s="1"/>
  <c r="AL278" i="1"/>
  <c r="AL267" i="1"/>
  <c r="AL26" i="1"/>
  <c r="AL559" i="1"/>
  <c r="AL261" i="1"/>
  <c r="AX61" i="1"/>
  <c r="AQ250" i="1"/>
  <c r="AX188" i="1"/>
  <c r="AV198" i="1"/>
  <c r="AV199" i="1" s="1"/>
  <c r="AV251" i="1" s="1"/>
  <c r="AV202" i="1"/>
  <c r="AG265" i="1"/>
  <c r="BQ254" i="1"/>
  <c r="BQ265" i="1" s="1"/>
  <c r="AG253" i="1"/>
  <c r="BX303" i="1"/>
  <c r="AW303" i="1"/>
  <c r="AX303" i="1" s="1"/>
  <c r="BX222" i="1"/>
  <c r="AU223" i="1"/>
  <c r="AW222" i="1"/>
  <c r="L5" i="1"/>
  <c r="L2" i="1"/>
  <c r="M1" i="1"/>
  <c r="L3" i="1"/>
  <c r="K5" i="1" s="1"/>
  <c r="BY423" i="1"/>
  <c r="AY423" i="1"/>
  <c r="AZ423" i="1" s="1"/>
  <c r="BZ423" i="1" s="1"/>
  <c r="AR32" i="1"/>
  <c r="AR284" i="1" s="1"/>
  <c r="AS35" i="1"/>
  <c r="AS87" i="1"/>
  <c r="AJ253" i="1"/>
  <c r="AJ265" i="1"/>
  <c r="AY86" i="1"/>
  <c r="BZ86" i="1" s="1"/>
  <c r="BY86" i="1"/>
  <c r="AV108" i="1"/>
  <c r="AX84" i="1"/>
  <c r="AW46" i="1"/>
  <c r="BX46" i="1"/>
  <c r="BX60" i="1" s="1"/>
  <c r="Z287" i="1"/>
  <c r="Z288" i="1" s="1"/>
  <c r="AR528" i="1"/>
  <c r="AR526" i="1"/>
  <c r="BV394" i="1"/>
  <c r="BV528" i="1" s="1"/>
  <c r="AS394" i="1"/>
  <c r="BQ27" i="1"/>
  <c r="BQ26" i="1"/>
  <c r="AS445" i="1"/>
  <c r="AS447" i="1" s="1"/>
  <c r="AT441" i="1" s="1"/>
  <c r="AS446" i="1"/>
  <c r="AS442" i="1" s="1"/>
  <c r="AR110" i="1"/>
  <c r="AR111" i="1"/>
  <c r="AR91" i="1"/>
  <c r="AI363" i="1"/>
  <c r="AR367" i="1"/>
  <c r="AS362" i="1" s="1"/>
  <c r="AR380" i="1"/>
  <c r="BR360" i="1"/>
  <c r="BR368" i="1"/>
  <c r="AS311" i="1"/>
  <c r="AS317" i="1" s="1"/>
  <c r="AR301" i="1"/>
  <c r="AI221" i="1"/>
  <c r="AJ221" i="1" s="1"/>
  <c r="AQ251" i="1"/>
  <c r="BV251" i="1" s="1"/>
  <c r="BV199" i="1"/>
  <c r="AN425" i="1"/>
  <c r="AN475" i="1" s="1"/>
  <c r="BT475" i="1"/>
  <c r="AS199" i="1"/>
  <c r="BW198" i="1"/>
  <c r="AV146" i="1"/>
  <c r="AT171" i="1"/>
  <c r="BW146" i="1"/>
  <c r="BP388" i="1"/>
  <c r="BQ335" i="1"/>
  <c r="BQ387" i="1" s="1"/>
  <c r="AQ111" i="1"/>
  <c r="BV89" i="1"/>
  <c r="BV110" i="1" s="1"/>
  <c r="AQ91" i="1"/>
  <c r="AQ110" i="1"/>
  <c r="AR328" i="1"/>
  <c r="AR373" i="1"/>
  <c r="AQ217" i="1"/>
  <c r="AQ228" i="1"/>
  <c r="AM27" i="1"/>
  <c r="AM28" i="1"/>
  <c r="BV190" i="1"/>
  <c r="AV126" i="1"/>
  <c r="AX124" i="1"/>
  <c r="BM547" i="1"/>
  <c r="AI252" i="1"/>
  <c r="AI264" i="1"/>
  <c r="BR250" i="1"/>
  <c r="BR264" i="1" s="1"/>
  <c r="AQ253" i="1"/>
  <c r="AI370" i="1"/>
  <c r="BR370" i="1"/>
  <c r="AR149" i="1"/>
  <c r="BV499" i="1"/>
  <c r="AJ218" i="1"/>
  <c r="AR532" i="1"/>
  <c r="AS296" i="1"/>
  <c r="BV296" i="1"/>
  <c r="AX43" i="1"/>
  <c r="AY43" i="1" s="1"/>
  <c r="AE253" i="1"/>
  <c r="AK27" i="1"/>
  <c r="AK28" i="1"/>
  <c r="AH439" i="1"/>
  <c r="AI428" i="1"/>
  <c r="BS199" i="1"/>
  <c r="AF265" i="1"/>
  <c r="AF253" i="1"/>
  <c r="AZ41" i="1"/>
  <c r="AX67" i="1"/>
  <c r="AQ174" i="1"/>
  <c r="AQ173" i="1"/>
  <c r="AQ153" i="1"/>
  <c r="BW300" i="1"/>
  <c r="AU300" i="1"/>
  <c r="AW467" i="1"/>
  <c r="AX467" i="1" s="1"/>
  <c r="BX467" i="1"/>
  <c r="BW126" i="1"/>
  <c r="BW139" i="1" s="1"/>
  <c r="AS139" i="1"/>
  <c r="AO536" i="1"/>
  <c r="AU202" i="1"/>
  <c r="AU198" i="1"/>
  <c r="AW188" i="1"/>
  <c r="BX188" i="1"/>
  <c r="AO374" i="1"/>
  <c r="AO325" i="1"/>
  <c r="AQ465" i="1"/>
  <c r="AQ284" i="1"/>
  <c r="BY125" i="1"/>
  <c r="BY134" i="1" s="1"/>
  <c r="AY125" i="1"/>
  <c r="BZ125" i="1" s="1"/>
  <c r="AT85" i="1"/>
  <c r="AT87" i="1" s="1"/>
  <c r="AT103" i="1"/>
  <c r="AU249" i="1"/>
  <c r="BX249" i="1" s="1"/>
  <c r="AW150" i="1"/>
  <c r="BX150" i="1"/>
  <c r="BX164" i="1" s="1"/>
  <c r="BW401" i="1"/>
  <c r="AU401" i="1"/>
  <c r="BV526" i="1"/>
  <c r="AB27" i="1"/>
  <c r="AB28" i="1"/>
  <c r="AQ154" i="1"/>
  <c r="AR165" i="1"/>
  <c r="AR70" i="1"/>
  <c r="AR69" i="1"/>
  <c r="AR49" i="1"/>
  <c r="AO265" i="1"/>
  <c r="BQ460" i="1"/>
  <c r="BR456" i="1"/>
  <c r="BR450" i="1"/>
  <c r="BR457" i="1" s="1"/>
  <c r="AH456" i="1"/>
  <c r="BR254" i="1"/>
  <c r="BR265" i="1" s="1"/>
  <c r="AP254" i="1"/>
  <c r="BU254" i="1" s="1"/>
  <c r="BU265" i="1" s="1"/>
  <c r="AI27" i="1"/>
  <c r="AI28" i="1"/>
  <c r="AT396" i="1"/>
  <c r="BW396" i="1" s="1"/>
  <c r="AU415" i="1"/>
  <c r="BW415" i="1"/>
  <c r="BV104" i="1"/>
  <c r="AD27" i="1"/>
  <c r="AD28" i="1"/>
  <c r="BV532" i="1"/>
  <c r="BS251" i="1"/>
  <c r="AS353" i="1"/>
  <c r="AT352" i="1" s="1"/>
  <c r="AT338" i="1"/>
  <c r="AT343" i="1" s="1"/>
  <c r="AG559" i="1"/>
  <c r="AG515" i="1"/>
  <c r="AG278" i="1"/>
  <c r="AG259" i="1"/>
  <c r="AG267" i="1"/>
  <c r="AG261" i="1"/>
  <c r="AG26" i="1"/>
  <c r="BX124" i="1"/>
  <c r="BX133" i="1" s="1"/>
  <c r="AU126" i="1"/>
  <c r="AW124" i="1"/>
  <c r="BV527" i="1"/>
  <c r="AF559" i="1"/>
  <c r="AF515" i="1"/>
  <c r="AF536" i="1" s="1"/>
  <c r="AF278" i="1"/>
  <c r="AF267" i="1"/>
  <c r="AF26" i="1"/>
  <c r="AF261" i="1"/>
  <c r="BX134" i="1"/>
  <c r="BP515" i="1"/>
  <c r="AE536" i="1"/>
  <c r="BQ333" i="1"/>
  <c r="BQ325" i="1"/>
  <c r="BQ373" i="1"/>
  <c r="Y556" i="1"/>
  <c r="AJ559" i="1"/>
  <c r="AJ515" i="1"/>
  <c r="AJ267" i="1"/>
  <c r="AJ278" i="1"/>
  <c r="AJ26" i="1"/>
  <c r="AJ261" i="1"/>
  <c r="AR525" i="1"/>
  <c r="AR398" i="1"/>
  <c r="AR408" i="1" s="1"/>
  <c r="BV391" i="1"/>
  <c r="AS391" i="1"/>
  <c r="BT266" i="1"/>
  <c r="BT258" i="1"/>
  <c r="BT18" i="1"/>
  <c r="AS147" i="1"/>
  <c r="BK64" i="56"/>
  <c r="AH64" i="56" s="1"/>
  <c r="AH62" i="56"/>
  <c r="BA3" i="56"/>
  <c r="BA2" i="56"/>
  <c r="BB1" i="56"/>
  <c r="AN15" i="56"/>
  <c r="AN49" i="56" s="1"/>
  <c r="BN49" i="56"/>
  <c r="AK51" i="56"/>
  <c r="AK24" i="56"/>
  <c r="AK52" i="56" s="1"/>
  <c r="AK47" i="56"/>
  <c r="BI51" i="56"/>
  <c r="BI24" i="56"/>
  <c r="BI47" i="56"/>
  <c r="BI23" i="56"/>
  <c r="AD23" i="56" s="1"/>
  <c r="AF60" i="56"/>
  <c r="BJ62" i="56"/>
  <c r="BO51" i="56"/>
  <c r="BO24" i="56"/>
  <c r="BO47" i="56"/>
  <c r="AP47" i="56" s="1"/>
  <c r="BO23" i="56"/>
  <c r="AP23" i="56" s="1"/>
  <c r="AP22" i="56"/>
  <c r="AP51" i="56" s="1"/>
  <c r="AC16" i="56"/>
  <c r="AD10" i="56"/>
  <c r="AC62" i="56"/>
  <c r="AD60" i="56"/>
  <c r="J2" i="56"/>
  <c r="J3" i="56"/>
  <c r="K1" i="56"/>
  <c r="BH16" i="56"/>
  <c r="AB10" i="56"/>
  <c r="BL47" i="56"/>
  <c r="AJ47" i="56" s="1"/>
  <c r="BL23" i="56"/>
  <c r="AJ23" i="56" s="1"/>
  <c r="BL51" i="56"/>
  <c r="BL24" i="56"/>
  <c r="AJ22" i="56"/>
  <c r="AJ51" i="56" s="1"/>
  <c r="BM20" i="56"/>
  <c r="AL16" i="56"/>
  <c r="AL50" i="56" s="1"/>
  <c r="BM50" i="56"/>
  <c r="BM15" i="56"/>
  <c r="AL62" i="56"/>
  <c r="BM64" i="56"/>
  <c r="AL64" i="56" s="1"/>
  <c r="Z62" i="56"/>
  <c r="BG64" i="56"/>
  <c r="Z64" i="56" s="1"/>
  <c r="AH15" i="56"/>
  <c r="AH49" i="56" s="1"/>
  <c r="AH50" i="56"/>
  <c r="AN20" i="56"/>
  <c r="BN22" i="56"/>
  <c r="AG51" i="56"/>
  <c r="AG24" i="56"/>
  <c r="AG52" i="56" s="1"/>
  <c r="AG23" i="56"/>
  <c r="AG47" i="56"/>
  <c r="AE51" i="56"/>
  <c r="AE24" i="56"/>
  <c r="AE52" i="56" s="1"/>
  <c r="AE23" i="56"/>
  <c r="AE47" i="56"/>
  <c r="AH20" i="56"/>
  <c r="BK22" i="56"/>
  <c r="BH62" i="56"/>
  <c r="AB60" i="56"/>
  <c r="V2" i="56"/>
  <c r="W1" i="56"/>
  <c r="V3" i="56"/>
  <c r="BJ16" i="56"/>
  <c r="AF10" i="56"/>
  <c r="BN64" i="56"/>
  <c r="AN64" i="56" s="1"/>
  <c r="AN62" i="56"/>
  <c r="AJ62" i="56"/>
  <c r="BL64" i="56"/>
  <c r="AJ64" i="56" s="1"/>
  <c r="BG20" i="56"/>
  <c r="BG50" i="56"/>
  <c r="Z16" i="56"/>
  <c r="Z50" i="56" s="1"/>
  <c r="BG15" i="56"/>
  <c r="BP536" i="1" l="1"/>
  <c r="AJ235" i="1"/>
  <c r="AJ225" i="1"/>
  <c r="AU149" i="1"/>
  <c r="AS355" i="1"/>
  <c r="AR371" i="1"/>
  <c r="AS370" i="1" s="1"/>
  <c r="AZ150" i="1"/>
  <c r="AZ249" i="1" s="1"/>
  <c r="AX249" i="1"/>
  <c r="BT559" i="1"/>
  <c r="BT572" i="1"/>
  <c r="AN258" i="1"/>
  <c r="BT278" i="1"/>
  <c r="BT27" i="1" s="1"/>
  <c r="BT267" i="1"/>
  <c r="BT26" i="1"/>
  <c r="BT261" i="1"/>
  <c r="BQ461" i="1"/>
  <c r="BQ462" i="1" s="1"/>
  <c r="AV401" i="1"/>
  <c r="BX198" i="1"/>
  <c r="AU199" i="1"/>
  <c r="BV91" i="1"/>
  <c r="AQ92" i="1"/>
  <c r="AQ93" i="1" s="1"/>
  <c r="AU166" i="1"/>
  <c r="AY402" i="1"/>
  <c r="AZ402" i="1" s="1"/>
  <c r="BZ402" i="1" s="1"/>
  <c r="BY402" i="1"/>
  <c r="AY424" i="1"/>
  <c r="AZ424" i="1" s="1"/>
  <c r="BZ424" i="1" s="1"/>
  <c r="BY424" i="1"/>
  <c r="AZ67" i="1"/>
  <c r="BP28" i="1"/>
  <c r="BV168" i="1"/>
  <c r="BV105" i="1"/>
  <c r="BV407" i="1"/>
  <c r="AP451" i="1"/>
  <c r="AP454" i="1" s="1"/>
  <c r="AS525" i="1"/>
  <c r="AT391" i="1"/>
  <c r="AS398" i="1"/>
  <c r="AS408" i="1" s="1"/>
  <c r="AY124" i="1"/>
  <c r="AW126" i="1"/>
  <c r="BY124" i="1"/>
  <c r="BY133" i="1" s="1"/>
  <c r="AT109" i="1"/>
  <c r="AT89" i="1"/>
  <c r="AZ188" i="1"/>
  <c r="AX202" i="1"/>
  <c r="AX198" i="1"/>
  <c r="AX199" i="1" s="1"/>
  <c r="AX251" i="1" s="1"/>
  <c r="BN553" i="1"/>
  <c r="BN554" i="1"/>
  <c r="BN550" i="1"/>
  <c r="BN549" i="1"/>
  <c r="BN289" i="1"/>
  <c r="BN4" i="1" s="1"/>
  <c r="BO282" i="1"/>
  <c r="BO288" i="1" s="1"/>
  <c r="AT225" i="1"/>
  <c r="AT235" i="1"/>
  <c r="BS253" i="1"/>
  <c r="AJ231" i="1"/>
  <c r="AL231" i="1"/>
  <c r="AH225" i="1"/>
  <c r="AH235" i="1"/>
  <c r="BV398" i="1"/>
  <c r="BV408" i="1" s="1"/>
  <c r="BX126" i="1"/>
  <c r="BX139" i="1" s="1"/>
  <c r="AU139" i="1"/>
  <c r="AG27" i="1"/>
  <c r="AG28" i="1"/>
  <c r="AT353" i="1"/>
  <c r="AU352" i="1" s="1"/>
  <c r="AU338" i="1"/>
  <c r="AU343" i="1" s="1"/>
  <c r="AU396" i="1"/>
  <c r="AV415" i="1"/>
  <c r="AI450" i="1"/>
  <c r="AH460" i="1"/>
  <c r="AH461" i="1" s="1"/>
  <c r="BZ134" i="1"/>
  <c r="AV300" i="1"/>
  <c r="BP253" i="1"/>
  <c r="AJ230" i="1"/>
  <c r="AL230" i="1"/>
  <c r="AV139" i="1"/>
  <c r="AS251" i="1"/>
  <c r="BW251" i="1" s="1"/>
  <c r="BW199" i="1"/>
  <c r="AU235" i="1"/>
  <c r="AU225" i="1"/>
  <c r="AQ264" i="1"/>
  <c r="AQ252" i="1"/>
  <c r="BY306" i="1"/>
  <c r="AY306" i="1"/>
  <c r="AZ306" i="1" s="1"/>
  <c r="BZ306" i="1" s="1"/>
  <c r="AS70" i="1"/>
  <c r="AS69" i="1"/>
  <c r="AS49" i="1"/>
  <c r="BW47" i="1"/>
  <c r="AM378" i="1"/>
  <c r="AM336" i="1"/>
  <c r="AM388" i="1" s="1"/>
  <c r="AX218" i="1"/>
  <c r="AV223" i="1"/>
  <c r="BX218" i="1"/>
  <c r="BW492" i="1"/>
  <c r="AS527" i="1"/>
  <c r="AT392" i="1"/>
  <c r="AY41" i="1"/>
  <c r="BY41" i="1"/>
  <c r="BY67" i="1" s="1"/>
  <c r="AW67" i="1"/>
  <c r="AG235" i="1"/>
  <c r="AG225" i="1"/>
  <c r="AI320" i="1"/>
  <c r="BR320" i="1"/>
  <c r="BQ378" i="1"/>
  <c r="BQ336" i="1"/>
  <c r="AS32" i="1"/>
  <c r="AS284" i="1" s="1"/>
  <c r="AT35" i="1"/>
  <c r="AY61" i="1"/>
  <c r="AI235" i="1"/>
  <c r="AI225" i="1"/>
  <c r="BR225" i="1" s="1"/>
  <c r="AT172" i="1"/>
  <c r="AT151" i="1"/>
  <c r="AW304" i="1"/>
  <c r="AX304" i="1" s="1"/>
  <c r="BX304" i="1"/>
  <c r="BU559" i="1"/>
  <c r="BU572" i="1"/>
  <c r="BU278" i="1"/>
  <c r="BU27" i="1" s="1"/>
  <c r="BU267" i="1"/>
  <c r="AP258" i="1"/>
  <c r="BU261" i="1"/>
  <c r="BU26" i="1"/>
  <c r="AU102" i="1"/>
  <c r="AH27" i="1"/>
  <c r="AH28" i="1"/>
  <c r="AU103" i="1"/>
  <c r="BQ253" i="1"/>
  <c r="AR135" i="1"/>
  <c r="AS127" i="1"/>
  <c r="AR128" i="1"/>
  <c r="BV70" i="1"/>
  <c r="BV69" i="1"/>
  <c r="AV147" i="1"/>
  <c r="AV149" i="1" s="1"/>
  <c r="AX145" i="1"/>
  <c r="BX145" i="1"/>
  <c r="AQ434" i="1"/>
  <c r="AR428" i="1" s="1"/>
  <c r="BW403" i="1"/>
  <c r="AU403" i="1"/>
  <c r="AJ27" i="1"/>
  <c r="AJ28" i="1"/>
  <c r="AF27" i="1"/>
  <c r="AF28" i="1"/>
  <c r="AQ255" i="1"/>
  <c r="AQ155" i="1"/>
  <c r="AX126" i="1"/>
  <c r="AZ124" i="1"/>
  <c r="AZ126" i="1" s="1"/>
  <c r="AY46" i="1"/>
  <c r="BZ46" i="1" s="1"/>
  <c r="BZ60" i="1" s="1"/>
  <c r="BY46" i="1"/>
  <c r="BY60" i="1" s="1"/>
  <c r="BY222" i="1"/>
  <c r="AY222" i="1"/>
  <c r="AW223" i="1"/>
  <c r="W3" i="1"/>
  <c r="W2" i="1"/>
  <c r="X1" i="1"/>
  <c r="AR50" i="1"/>
  <c r="AR51" i="1"/>
  <c r="BY150" i="1"/>
  <c r="BY164" i="1" s="1"/>
  <c r="AY150" i="1"/>
  <c r="AW249" i="1"/>
  <c r="BY188" i="1"/>
  <c r="AY188" i="1"/>
  <c r="AW202" i="1"/>
  <c r="AW198" i="1"/>
  <c r="BZ43" i="1"/>
  <c r="AZ43" i="1"/>
  <c r="AR321" i="1"/>
  <c r="AR381" i="1"/>
  <c r="AR332" i="1"/>
  <c r="BV301" i="1"/>
  <c r="AR494" i="1"/>
  <c r="AR495" i="1" s="1"/>
  <c r="AR307" i="1"/>
  <c r="AI356" i="1"/>
  <c r="AI360" i="1" s="1"/>
  <c r="AI367" i="1"/>
  <c r="AT446" i="1"/>
  <c r="AT442" i="1" s="1"/>
  <c r="AT445" i="1" s="1"/>
  <c r="AT447" i="1" s="1"/>
  <c r="AU441" i="1" s="1"/>
  <c r="AX108" i="1"/>
  <c r="AZ84" i="1"/>
  <c r="BS353" i="1"/>
  <c r="AK352" i="1" s="1"/>
  <c r="AK338" i="1"/>
  <c r="AK343" i="1" s="1"/>
  <c r="AK353" i="1" s="1"/>
  <c r="BW294" i="1"/>
  <c r="AT531" i="1"/>
  <c r="AU294" i="1"/>
  <c r="AT190" i="1"/>
  <c r="AS203" i="1"/>
  <c r="AS192" i="1"/>
  <c r="BX293" i="1"/>
  <c r="AW293" i="1"/>
  <c r="AX293" i="1" s="1"/>
  <c r="BK1" i="1"/>
  <c r="BJ3" i="1"/>
  <c r="BJ2" i="1"/>
  <c r="BV420" i="1"/>
  <c r="AR422" i="1"/>
  <c r="AT136" i="1"/>
  <c r="BY395" i="1"/>
  <c r="AY395" i="1"/>
  <c r="AZ395" i="1" s="1"/>
  <c r="BZ395" i="1" s="1"/>
  <c r="BR536" i="1"/>
  <c r="AN253" i="1"/>
  <c r="BT253" i="1" s="1"/>
  <c r="AS454" i="1"/>
  <c r="AS456" i="1" s="1"/>
  <c r="AT450" i="1" s="1"/>
  <c r="AS455" i="1"/>
  <c r="AS451" i="1" s="1"/>
  <c r="AR465" i="1"/>
  <c r="AR92" i="1"/>
  <c r="AR93" i="1" s="1"/>
  <c r="Z554" i="1"/>
  <c r="Z550" i="1"/>
  <c r="Z549" i="1"/>
  <c r="Z553" i="1"/>
  <c r="Z289" i="1"/>
  <c r="Z4" i="1" s="1"/>
  <c r="AA282" i="1"/>
  <c r="BY42" i="1"/>
  <c r="BY59" i="1" s="1"/>
  <c r="AY42" i="1"/>
  <c r="BZ42" i="1" s="1"/>
  <c r="Z27" i="1"/>
  <c r="Z28" i="1"/>
  <c r="AS217" i="1"/>
  <c r="AI446" i="1"/>
  <c r="AY305" i="1"/>
  <c r="AZ305" i="1" s="1"/>
  <c r="BZ305" i="1" s="1"/>
  <c r="BY305" i="1"/>
  <c r="AP253" i="1"/>
  <c r="AP265" i="1"/>
  <c r="AS165" i="1"/>
  <c r="AO336" i="1"/>
  <c r="AO388" i="1" s="1"/>
  <c r="AO378" i="1"/>
  <c r="BX202" i="1"/>
  <c r="AS532" i="1"/>
  <c r="AT296" i="1"/>
  <c r="AV171" i="1"/>
  <c r="AX146" i="1"/>
  <c r="BX146" i="1"/>
  <c r="BS355" i="1"/>
  <c r="BR371" i="1"/>
  <c r="BS370" i="1" s="1"/>
  <c r="AS528" i="1"/>
  <c r="AS526" i="1"/>
  <c r="AT394" i="1"/>
  <c r="BW104" i="1"/>
  <c r="AO253" i="1"/>
  <c r="BY467" i="1"/>
  <c r="AY467" i="1"/>
  <c r="AZ467" i="1" s="1"/>
  <c r="BZ467" i="1" s="1"/>
  <c r="BV253" i="1"/>
  <c r="AU492" i="1"/>
  <c r="AV302" i="1"/>
  <c r="BX295" i="1"/>
  <c r="AW295" i="1"/>
  <c r="AX295" i="1" s="1"/>
  <c r="AW62" i="1"/>
  <c r="AU85" i="1"/>
  <c r="AQ50" i="1"/>
  <c r="BV50" i="1" s="1"/>
  <c r="BV61" i="1" s="1"/>
  <c r="BV49" i="1"/>
  <c r="BV48" i="1" s="1"/>
  <c r="BV63" i="1" s="1"/>
  <c r="AQ51" i="1"/>
  <c r="AS499" i="1"/>
  <c r="AT405" i="1"/>
  <c r="AT407" i="1" s="1"/>
  <c r="AS420" i="1"/>
  <c r="AS422" i="1" s="1"/>
  <c r="AS425" i="1" s="1"/>
  <c r="AQ495" i="1"/>
  <c r="BW147" i="1"/>
  <c r="AS149" i="1"/>
  <c r="BS515" i="1"/>
  <c r="AJ536" i="1"/>
  <c r="BS536" i="1" s="1"/>
  <c r="BQ515" i="1"/>
  <c r="AG536" i="1"/>
  <c r="BQ536" i="1" s="1"/>
  <c r="BR460" i="1"/>
  <c r="BS450" i="1"/>
  <c r="BS457" i="1" s="1"/>
  <c r="BS456" i="1"/>
  <c r="AJ456" i="1"/>
  <c r="BR454" i="1"/>
  <c r="BV284" i="1"/>
  <c r="AI433" i="1"/>
  <c r="BY43" i="1"/>
  <c r="AR151" i="1"/>
  <c r="AR172" i="1"/>
  <c r="BV149" i="1"/>
  <c r="BV172" i="1" s="1"/>
  <c r="AR248" i="1"/>
  <c r="BR252" i="1"/>
  <c r="AI253" i="1"/>
  <c r="BR253" i="1" s="1"/>
  <c r="AQ226" i="1"/>
  <c r="AR228" i="1"/>
  <c r="AQ229" i="1"/>
  <c r="BW163" i="1"/>
  <c r="BW171" i="1"/>
  <c r="AT311" i="1"/>
  <c r="AT317" i="1" s="1"/>
  <c r="AS301" i="1"/>
  <c r="BQ28" i="1"/>
  <c r="AS109" i="1"/>
  <c r="AS89" i="1"/>
  <c r="BW87" i="1"/>
  <c r="BW109" i="1" s="1"/>
  <c r="M2" i="1"/>
  <c r="N1" i="1"/>
  <c r="M3" i="1"/>
  <c r="AY303" i="1"/>
  <c r="AZ303" i="1" s="1"/>
  <c r="BZ303" i="1" s="1"/>
  <c r="BY303" i="1"/>
  <c r="AL27" i="1"/>
  <c r="AL28" i="1"/>
  <c r="AQ130" i="1"/>
  <c r="AQ140" i="1"/>
  <c r="BV128" i="1"/>
  <c r="BV140" i="1" s="1"/>
  <c r="AQ129" i="1"/>
  <c r="BW531" i="1"/>
  <c r="AW108" i="1"/>
  <c r="AY84" i="1"/>
  <c r="BY84" i="1"/>
  <c r="BY108" i="1" s="1"/>
  <c r="AT248" i="1"/>
  <c r="AT250" i="1" s="1"/>
  <c r="AT47" i="1"/>
  <c r="AT68" i="1"/>
  <c r="AN429" i="1"/>
  <c r="AN432" i="1" s="1"/>
  <c r="AM432" i="1"/>
  <c r="V5" i="1"/>
  <c r="AU272" i="1"/>
  <c r="AU273" i="1"/>
  <c r="BW272" i="1"/>
  <c r="AU271" i="1"/>
  <c r="BW223" i="1"/>
  <c r="BW235" i="1" s="1"/>
  <c r="AW44" i="1"/>
  <c r="AV45" i="1"/>
  <c r="BR515" i="1"/>
  <c r="AS274" i="1"/>
  <c r="AT274" i="1" s="1"/>
  <c r="AW404" i="1"/>
  <c r="AX404" i="1" s="1"/>
  <c r="BX404" i="1"/>
  <c r="AU68" i="1"/>
  <c r="BX45" i="1"/>
  <c r="BX68" i="1" s="1"/>
  <c r="AU47" i="1"/>
  <c r="BZ34" i="1"/>
  <c r="BY34" i="1"/>
  <c r="BI52" i="56"/>
  <c r="BG49" i="56"/>
  <c r="Z15" i="56"/>
  <c r="Z49" i="56" s="1"/>
  <c r="AL20" i="56"/>
  <c r="BM22" i="56"/>
  <c r="AC64" i="56"/>
  <c r="AD64" i="56" s="1"/>
  <c r="AD62" i="56"/>
  <c r="BO52" i="56"/>
  <c r="AP24" i="56"/>
  <c r="AP52" i="56" s="1"/>
  <c r="AF62" i="56"/>
  <c r="BJ64" i="56"/>
  <c r="AF64" i="56" s="1"/>
  <c r="BC1" i="56"/>
  <c r="BB2" i="56"/>
  <c r="BB3" i="56"/>
  <c r="AN22" i="56"/>
  <c r="AN51" i="56" s="1"/>
  <c r="BN51" i="56"/>
  <c r="BN24" i="56"/>
  <c r="BN47" i="56"/>
  <c r="AN47" i="56" s="1"/>
  <c r="BN23" i="56"/>
  <c r="AN23" i="56" s="1"/>
  <c r="BH20" i="56"/>
  <c r="BH50" i="56"/>
  <c r="AB16" i="56"/>
  <c r="AB50" i="56" s="1"/>
  <c r="BH15" i="56"/>
  <c r="AB62" i="56"/>
  <c r="BH63" i="56"/>
  <c r="AB63" i="56" s="1"/>
  <c r="BL52" i="56"/>
  <c r="AJ24" i="56"/>
  <c r="AJ52" i="56" s="1"/>
  <c r="L1" i="56"/>
  <c r="K2" i="56"/>
  <c r="K3" i="56"/>
  <c r="AC50" i="56"/>
  <c r="AC20" i="56"/>
  <c r="AD16" i="56"/>
  <c r="AD50" i="56" s="1"/>
  <c r="AC15" i="56"/>
  <c r="Z20" i="56"/>
  <c r="BG22" i="56"/>
  <c r="BJ20" i="56"/>
  <c r="BJ15" i="56"/>
  <c r="BJ49" i="56" s="1"/>
  <c r="BJ50" i="56"/>
  <c r="AF16" i="56"/>
  <c r="AH22" i="56"/>
  <c r="AH51" i="56" s="1"/>
  <c r="BK47" i="56"/>
  <c r="AH47" i="56" s="1"/>
  <c r="BK23" i="56"/>
  <c r="AH23" i="56" s="1"/>
  <c r="BK51" i="56"/>
  <c r="BM49" i="56"/>
  <c r="AL15" i="56"/>
  <c r="AL49" i="56" s="1"/>
  <c r="X1" i="56"/>
  <c r="W2" i="56"/>
  <c r="W3" i="56"/>
  <c r="BV494" i="1" l="1"/>
  <c r="BV495" i="1" s="1"/>
  <c r="AV151" i="1"/>
  <c r="AV172" i="1"/>
  <c r="BV93" i="1"/>
  <c r="AU446" i="1"/>
  <c r="AU442" i="1" s="1"/>
  <c r="AU445" i="1" s="1"/>
  <c r="AU447" i="1" s="1"/>
  <c r="AV441" i="1" s="1"/>
  <c r="AR250" i="1"/>
  <c r="BV248" i="1"/>
  <c r="AS172" i="1"/>
  <c r="AS151" i="1"/>
  <c r="BW149" i="1"/>
  <c r="BW172" i="1" s="1"/>
  <c r="AU136" i="1"/>
  <c r="AY249" i="1"/>
  <c r="BZ249" i="1" s="1"/>
  <c r="BZ150" i="1"/>
  <c r="BZ164" i="1" s="1"/>
  <c r="BR325" i="1"/>
  <c r="BR373" i="1"/>
  <c r="BR333" i="1"/>
  <c r="AQ254" i="1"/>
  <c r="AW139" i="1"/>
  <c r="BY126" i="1"/>
  <c r="BY139" i="1" s="1"/>
  <c r="AS228" i="1"/>
  <c r="AR226" i="1"/>
  <c r="AR227" i="1" s="1"/>
  <c r="AR236" i="1" s="1"/>
  <c r="BY198" i="1"/>
  <c r="AW199" i="1"/>
  <c r="AZ139" i="1"/>
  <c r="AZ61" i="1"/>
  <c r="AY126" i="1"/>
  <c r="BZ124" i="1"/>
  <c r="BZ133" i="1" s="1"/>
  <c r="AN559" i="1"/>
  <c r="AN515" i="1"/>
  <c r="AN278" i="1"/>
  <c r="AN267" i="1"/>
  <c r="AN261" i="1"/>
  <c r="AN26" i="1"/>
  <c r="AM259" i="1"/>
  <c r="AT252" i="1"/>
  <c r="AT264" i="1"/>
  <c r="AQ227" i="1"/>
  <c r="AQ257" i="1"/>
  <c r="BV51" i="1"/>
  <c r="AY295" i="1"/>
  <c r="AZ295" i="1" s="1"/>
  <c r="BZ295" i="1" s="1"/>
  <c r="BY295" i="1"/>
  <c r="Z555" i="1"/>
  <c r="AI371" i="1"/>
  <c r="AW235" i="1"/>
  <c r="AW225" i="1"/>
  <c r="AX139" i="1"/>
  <c r="AR433" i="1"/>
  <c r="AV102" i="1"/>
  <c r="AU35" i="1"/>
  <c r="AT32" i="1"/>
  <c r="AT284" i="1" s="1"/>
  <c r="AT527" i="1"/>
  <c r="BW527" i="1" s="1"/>
  <c r="AU392" i="1"/>
  <c r="BW392" i="1"/>
  <c r="AV235" i="1"/>
  <c r="AV225" i="1"/>
  <c r="AI455" i="1"/>
  <c r="AZ202" i="1"/>
  <c r="AZ198" i="1"/>
  <c r="AZ199" i="1" s="1"/>
  <c r="AZ251" i="1" s="1"/>
  <c r="BX147" i="1"/>
  <c r="AU311" i="1"/>
  <c r="AU317" i="1" s="1"/>
  <c r="AT301" i="1"/>
  <c r="BV225" i="1"/>
  <c r="BV228" i="1" s="1"/>
  <c r="AR174" i="1"/>
  <c r="AR173" i="1"/>
  <c r="AR153" i="1"/>
  <c r="BV151" i="1"/>
  <c r="BV173" i="1" s="1"/>
  <c r="AT532" i="1"/>
  <c r="AU296" i="1"/>
  <c r="BW296" i="1"/>
  <c r="BZ59" i="1"/>
  <c r="AS465" i="1"/>
  <c r="BV465" i="1"/>
  <c r="BW203" i="1"/>
  <c r="AS205" i="1"/>
  <c r="BW205" i="1" s="1"/>
  <c r="AZ108" i="1"/>
  <c r="AY202" i="1"/>
  <c r="AY198" i="1"/>
  <c r="BZ188" i="1"/>
  <c r="BZ222" i="1"/>
  <c r="AY223" i="1"/>
  <c r="AW147" i="1"/>
  <c r="BU28" i="1"/>
  <c r="BW284" i="1"/>
  <c r="AX223" i="1"/>
  <c r="AZ218" i="1"/>
  <c r="BY218" i="1"/>
  <c r="AU217" i="1"/>
  <c r="BX300" i="1"/>
  <c r="AW300" i="1"/>
  <c r="BX415" i="1"/>
  <c r="AW415" i="1"/>
  <c r="AV396" i="1"/>
  <c r="BX396" i="1" s="1"/>
  <c r="AT91" i="1"/>
  <c r="AT111" i="1"/>
  <c r="AT110" i="1"/>
  <c r="BX199" i="1"/>
  <c r="AU251" i="1"/>
  <c r="BX251" i="1" s="1"/>
  <c r="BZ84" i="1"/>
  <c r="BZ108" i="1" s="1"/>
  <c r="AY108" i="1"/>
  <c r="AY293" i="1"/>
  <c r="AZ293" i="1" s="1"/>
  <c r="BZ293" i="1" s="1"/>
  <c r="BY293" i="1"/>
  <c r="AS327" i="1"/>
  <c r="AR385" i="1"/>
  <c r="AS135" i="1"/>
  <c r="BW127" i="1"/>
  <c r="BW135" i="1" s="1"/>
  <c r="AT127" i="1"/>
  <c r="AS128" i="1"/>
  <c r="O1" i="1"/>
  <c r="N5" i="1"/>
  <c r="N2" i="1"/>
  <c r="N3" i="1"/>
  <c r="M5" i="1" s="1"/>
  <c r="BR461" i="1"/>
  <c r="BR447" i="1" s="1"/>
  <c r="BR462" i="1"/>
  <c r="AX171" i="1"/>
  <c r="AZ146" i="1"/>
  <c r="BY146" i="1"/>
  <c r="BV422" i="1"/>
  <c r="AR425" i="1"/>
  <c r="AU531" i="1"/>
  <c r="AV294" i="1"/>
  <c r="BZ41" i="1"/>
  <c r="BZ67" i="1" s="1"/>
  <c r="AY67" i="1"/>
  <c r="BX149" i="1"/>
  <c r="BX172" i="1" s="1"/>
  <c r="AU172" i="1"/>
  <c r="AU151" i="1"/>
  <c r="AX44" i="1"/>
  <c r="BY44" i="1"/>
  <c r="AS307" i="1"/>
  <c r="AS494" i="1"/>
  <c r="BW526" i="1"/>
  <c r="AR374" i="1"/>
  <c r="AR325" i="1"/>
  <c r="BY202" i="1"/>
  <c r="AT173" i="1"/>
  <c r="AT174" i="1"/>
  <c r="AT153" i="1"/>
  <c r="AY404" i="1"/>
  <c r="AZ404" i="1" s="1"/>
  <c r="BZ404" i="1" s="1"/>
  <c r="BY404" i="1"/>
  <c r="AJ460" i="1"/>
  <c r="AJ461" i="1" s="1"/>
  <c r="AK450" i="1"/>
  <c r="AV492" i="1"/>
  <c r="BX302" i="1"/>
  <c r="AW302" i="1"/>
  <c r="BU253" i="1"/>
  <c r="BW532" i="1"/>
  <c r="AT165" i="1"/>
  <c r="AI442" i="1"/>
  <c r="AI445" i="1" s="1"/>
  <c r="AJ446" i="1"/>
  <c r="AS253" i="1"/>
  <c r="AV103" i="1"/>
  <c r="BR335" i="1"/>
  <c r="BR387" i="1" s="1"/>
  <c r="AI335" i="1"/>
  <c r="AI387" i="1" s="1"/>
  <c r="BQ388" i="1"/>
  <c r="AT525" i="1"/>
  <c r="AU391" i="1"/>
  <c r="BW391" i="1"/>
  <c r="BW398" i="1" s="1"/>
  <c r="AT398" i="1"/>
  <c r="AT408" i="1" s="1"/>
  <c r="BT28" i="1"/>
  <c r="AS363" i="1"/>
  <c r="AX62" i="1"/>
  <c r="BX171" i="1"/>
  <c r="BX163" i="1"/>
  <c r="AA288" i="1"/>
  <c r="AA287" i="1"/>
  <c r="AU190" i="1"/>
  <c r="AT253" i="1"/>
  <c r="AT203" i="1"/>
  <c r="AT205" i="1" s="1"/>
  <c r="AT192" i="1"/>
  <c r="BW192" i="1" s="1"/>
  <c r="AZ145" i="1"/>
  <c r="AX147" i="1"/>
  <c r="AY147" i="1" s="1"/>
  <c r="BY145" i="1"/>
  <c r="BW69" i="1"/>
  <c r="BW70" i="1"/>
  <c r="AV338" i="1"/>
  <c r="AV343" i="1" s="1"/>
  <c r="AU353" i="1"/>
  <c r="AV352" i="1" s="1"/>
  <c r="BV92" i="1"/>
  <c r="BV102" i="1" s="1"/>
  <c r="AS248" i="1"/>
  <c r="AV68" i="1"/>
  <c r="AV47" i="1"/>
  <c r="AT70" i="1"/>
  <c r="AT49" i="1"/>
  <c r="AT69" i="1"/>
  <c r="AQ141" i="1"/>
  <c r="AT528" i="1"/>
  <c r="AT526" i="1"/>
  <c r="BW394" i="1"/>
  <c r="BW528" i="1" s="1"/>
  <c r="AU394" i="1"/>
  <c r="BY304" i="1"/>
  <c r="AY304" i="1"/>
  <c r="AZ304" i="1" s="1"/>
  <c r="BZ304" i="1" s="1"/>
  <c r="AI373" i="1"/>
  <c r="AI328" i="1"/>
  <c r="BW49" i="1"/>
  <c r="BW48" i="1" s="1"/>
  <c r="BW63" i="1" s="1"/>
  <c r="AS50" i="1"/>
  <c r="AS51" i="1" s="1"/>
  <c r="AV271" i="1"/>
  <c r="BX271" i="1" s="1"/>
  <c r="AV272" i="1"/>
  <c r="AV273" i="1" s="1"/>
  <c r="AU49" i="1"/>
  <c r="AU69" i="1"/>
  <c r="AU70" i="1"/>
  <c r="AU274" i="1"/>
  <c r="AS91" i="1"/>
  <c r="AS110" i="1"/>
  <c r="AS111" i="1"/>
  <c r="BW89" i="1"/>
  <c r="BW110" i="1" s="1"/>
  <c r="AJ433" i="1"/>
  <c r="AI429" i="1"/>
  <c r="AL456" i="1"/>
  <c r="BS454" i="1"/>
  <c r="BS460" i="1"/>
  <c r="AT499" i="1"/>
  <c r="BW499" i="1" s="1"/>
  <c r="AT420" i="1"/>
  <c r="AU405" i="1"/>
  <c r="BW405" i="1"/>
  <c r="BX85" i="1"/>
  <c r="AU87" i="1"/>
  <c r="AV85" i="1"/>
  <c r="BX492" i="1"/>
  <c r="BS360" i="1"/>
  <c r="BS368" i="1"/>
  <c r="Z556" i="1"/>
  <c r="AT455" i="1"/>
  <c r="AT451" i="1" s="1"/>
  <c r="AT454" i="1"/>
  <c r="AT456" i="1" s="1"/>
  <c r="AU450" i="1" s="1"/>
  <c r="BL1" i="1"/>
  <c r="BK2" i="1"/>
  <c r="BK3" i="1"/>
  <c r="BW190" i="1"/>
  <c r="BV586" i="1"/>
  <c r="BV317" i="1"/>
  <c r="BV307" i="1"/>
  <c r="BY249" i="1"/>
  <c r="X5" i="1"/>
  <c r="X3" i="1"/>
  <c r="W5" i="1" s="1"/>
  <c r="Y1" i="1"/>
  <c r="X2" i="1"/>
  <c r="AV403" i="1"/>
  <c r="BX31" i="1"/>
  <c r="AR130" i="1"/>
  <c r="AR141" i="1" s="1"/>
  <c r="AR140" i="1"/>
  <c r="AR129" i="1"/>
  <c r="BV129" i="1" s="1"/>
  <c r="AP559" i="1"/>
  <c r="AP515" i="1"/>
  <c r="AP267" i="1"/>
  <c r="AP278" i="1"/>
  <c r="AP26" i="1"/>
  <c r="AP261" i="1"/>
  <c r="AO259" i="1"/>
  <c r="AW45" i="1"/>
  <c r="BX223" i="1"/>
  <c r="BX235" i="1" s="1"/>
  <c r="BO549" i="1"/>
  <c r="BO554" i="1"/>
  <c r="BO553" i="1"/>
  <c r="BO550" i="1"/>
  <c r="BP282" i="1"/>
  <c r="BO289" i="1"/>
  <c r="BO4" i="1" s="1"/>
  <c r="AV166" i="1"/>
  <c r="BX401" i="1"/>
  <c r="AW401" i="1"/>
  <c r="M1" i="56"/>
  <c r="L3" i="56"/>
  <c r="L2" i="56"/>
  <c r="AB15" i="56"/>
  <c r="AB49" i="56" s="1"/>
  <c r="BH49" i="56"/>
  <c r="AN24" i="56"/>
  <c r="AN52" i="56" s="1"/>
  <c r="BN52" i="56"/>
  <c r="BM23" i="56"/>
  <c r="AL23" i="56" s="1"/>
  <c r="BM51" i="56"/>
  <c r="AL22" i="56"/>
  <c r="AL51" i="56" s="1"/>
  <c r="BM24" i="56"/>
  <c r="BM47" i="56"/>
  <c r="AL47" i="56" s="1"/>
  <c r="BK24" i="56"/>
  <c r="AC22" i="56"/>
  <c r="AD20" i="56"/>
  <c r="BJ22" i="56"/>
  <c r="AF20" i="56"/>
  <c r="AB20" i="56"/>
  <c r="BH22" i="56"/>
  <c r="Y1" i="56"/>
  <c r="X3" i="56"/>
  <c r="X2" i="56"/>
  <c r="BG23" i="56"/>
  <c r="Z23" i="56" s="1"/>
  <c r="BG51" i="56"/>
  <c r="Z22" i="56"/>
  <c r="Z51" i="56" s="1"/>
  <c r="BG47" i="56"/>
  <c r="Z47" i="56" s="1"/>
  <c r="AF50" i="56"/>
  <c r="AF15" i="56"/>
  <c r="AF49" i="56" s="1"/>
  <c r="AC49" i="56"/>
  <c r="AD15" i="56"/>
  <c r="AD49" i="56" s="1"/>
  <c r="BH64" i="56"/>
  <c r="AB64" i="56" s="1"/>
  <c r="BC2" i="56"/>
  <c r="BD1" i="56"/>
  <c r="BC3" i="56"/>
  <c r="AV446" i="1" l="1"/>
  <c r="AV442" i="1" s="1"/>
  <c r="AV445" i="1" s="1"/>
  <c r="AV447" i="1" s="1"/>
  <c r="AW441" i="1" s="1"/>
  <c r="AY149" i="1"/>
  <c r="AX401" i="1"/>
  <c r="AW47" i="1"/>
  <c r="AW68" i="1"/>
  <c r="AP536" i="1"/>
  <c r="BU536" i="1" s="1"/>
  <c r="BU537" i="1" s="1"/>
  <c r="BU515" i="1"/>
  <c r="BY163" i="1"/>
  <c r="BY171" i="1"/>
  <c r="AX415" i="1"/>
  <c r="AW396" i="1"/>
  <c r="AU301" i="1"/>
  <c r="AV311" i="1"/>
  <c r="AV317" i="1" s="1"/>
  <c r="BR336" i="1"/>
  <c r="BS320" i="1"/>
  <c r="BR378" i="1"/>
  <c r="BX104" i="1"/>
  <c r="AU525" i="1"/>
  <c r="AV391" i="1"/>
  <c r="AU398" i="1"/>
  <c r="BZ198" i="1"/>
  <c r="AY199" i="1"/>
  <c r="AN536" i="1"/>
  <c r="BT536" i="1" s="1"/>
  <c r="BT537" i="1" s="1"/>
  <c r="BT515" i="1"/>
  <c r="AS226" i="1"/>
  <c r="BW225" i="1"/>
  <c r="BW228" i="1" s="1"/>
  <c r="AT228" i="1"/>
  <c r="BX403" i="1"/>
  <c r="AW403" i="1"/>
  <c r="BL2" i="1"/>
  <c r="BM1" i="1"/>
  <c r="BL3" i="1"/>
  <c r="AK355" i="1"/>
  <c r="BS371" i="1"/>
  <c r="AK370" i="1" s="1"/>
  <c r="BW168" i="1"/>
  <c r="BW105" i="1"/>
  <c r="AU51" i="1"/>
  <c r="AU50" i="1"/>
  <c r="BV130" i="1"/>
  <c r="BV141" i="1" s="1"/>
  <c r="AW338" i="1"/>
  <c r="AW343" i="1" s="1"/>
  <c r="AV353" i="1"/>
  <c r="AW352" i="1" s="1"/>
  <c r="AX149" i="1"/>
  <c r="BX151" i="1"/>
  <c r="BX173" i="1" s="1"/>
  <c r="AU173" i="1"/>
  <c r="AU153" i="1"/>
  <c r="AU174" i="1"/>
  <c r="AV531" i="1"/>
  <c r="BX294" i="1"/>
  <c r="AW294" i="1"/>
  <c r="P1" i="1"/>
  <c r="O3" i="1"/>
  <c r="O2" i="1"/>
  <c r="BY147" i="1"/>
  <c r="AW149" i="1"/>
  <c r="BZ202" i="1"/>
  <c r="AV35" i="1"/>
  <c r="AU32" i="1"/>
  <c r="AU284" i="1" s="1"/>
  <c r="AQ256" i="1"/>
  <c r="AQ265" i="1"/>
  <c r="AS140" i="1"/>
  <c r="AS129" i="1"/>
  <c r="AS130" i="1" s="1"/>
  <c r="AT92" i="1"/>
  <c r="AT93" i="1" s="1"/>
  <c r="AY225" i="1"/>
  <c r="BZ223" i="1"/>
  <c r="BZ235" i="1" s="1"/>
  <c r="AY235" i="1"/>
  <c r="AU532" i="1"/>
  <c r="AV296" i="1"/>
  <c r="AW217" i="1"/>
  <c r="AQ236" i="1"/>
  <c r="BV227" i="1"/>
  <c r="BV236" i="1" s="1"/>
  <c r="AR264" i="1"/>
  <c r="AR252" i="1"/>
  <c r="BV250" i="1"/>
  <c r="BV264" i="1" s="1"/>
  <c r="AV173" i="1"/>
  <c r="AV174" i="1"/>
  <c r="AV153" i="1"/>
  <c r="AS174" i="1"/>
  <c r="AS173" i="1"/>
  <c r="AS153" i="1"/>
  <c r="BW151" i="1"/>
  <c r="BW173" i="1" s="1"/>
  <c r="AY62" i="1"/>
  <c r="AR155" i="1"/>
  <c r="BV155" i="1" s="1"/>
  <c r="BV153" i="1"/>
  <c r="AR154" i="1"/>
  <c r="AU454" i="1"/>
  <c r="AU456" i="1" s="1"/>
  <c r="AV450" i="1" s="1"/>
  <c r="AU455" i="1"/>
  <c r="AU451" i="1" s="1"/>
  <c r="AU499" i="1"/>
  <c r="AU420" i="1"/>
  <c r="AU422" i="1" s="1"/>
  <c r="AU425" i="1" s="1"/>
  <c r="AV405" i="1"/>
  <c r="AU407" i="1"/>
  <c r="BW91" i="1"/>
  <c r="AS92" i="1"/>
  <c r="BW92" i="1" s="1"/>
  <c r="BW102" i="1" s="1"/>
  <c r="AZ147" i="1"/>
  <c r="BZ147" i="1" s="1"/>
  <c r="BZ145" i="1"/>
  <c r="AA554" i="1"/>
  <c r="AA553" i="1"/>
  <c r="AA549" i="1"/>
  <c r="AA289" i="1"/>
  <c r="AA4" i="1" s="1"/>
  <c r="AA550" i="1"/>
  <c r="AB282" i="1"/>
  <c r="AS356" i="1"/>
  <c r="AS360" i="1" s="1"/>
  <c r="AS367" i="1"/>
  <c r="AT362" i="1" s="1"/>
  <c r="AS495" i="1"/>
  <c r="BX531" i="1"/>
  <c r="AS380" i="1"/>
  <c r="AZ223" i="1"/>
  <c r="BZ218" i="1"/>
  <c r="AW166" i="1"/>
  <c r="AP27" i="1"/>
  <c r="AP28" i="1"/>
  <c r="Y3" i="1"/>
  <c r="Z1" i="1"/>
  <c r="Y2" i="1"/>
  <c r="AJ429" i="1"/>
  <c r="AJ432" i="1" s="1"/>
  <c r="AI432" i="1"/>
  <c r="AV274" i="1"/>
  <c r="AI381" i="1"/>
  <c r="AI321" i="1"/>
  <c r="AI332" i="1"/>
  <c r="AI385" i="1" s="1"/>
  <c r="AS250" i="1"/>
  <c r="BW248" i="1"/>
  <c r="BW253" i="1"/>
  <c r="AS320" i="1"/>
  <c r="AR336" i="1"/>
  <c r="AR378" i="1"/>
  <c r="BV425" i="1"/>
  <c r="BR445" i="1"/>
  <c r="AJ442" i="1" s="1"/>
  <c r="AJ445" i="1" s="1"/>
  <c r="BS441" i="1"/>
  <c r="BS448" i="1" s="1"/>
  <c r="AJ447" i="1"/>
  <c r="AK441" i="1" s="1"/>
  <c r="AT135" i="1"/>
  <c r="AU127" i="1"/>
  <c r="AT128" i="1"/>
  <c r="AX300" i="1"/>
  <c r="AX225" i="1"/>
  <c r="AX235" i="1"/>
  <c r="BV32" i="1"/>
  <c r="BV35" i="1" s="1"/>
  <c r="AW102" i="1"/>
  <c r="BY223" i="1"/>
  <c r="BY235" i="1" s="1"/>
  <c r="BV226" i="1"/>
  <c r="AW251" i="1"/>
  <c r="BY251" i="1" s="1"/>
  <c r="BY199" i="1"/>
  <c r="AV136" i="1"/>
  <c r="BP287" i="1"/>
  <c r="BP288" i="1"/>
  <c r="AU89" i="1"/>
  <c r="AU109" i="1"/>
  <c r="AU248" i="1"/>
  <c r="AJ455" i="1"/>
  <c r="AI451" i="1"/>
  <c r="AI454" i="1" s="1"/>
  <c r="AI456" i="1" s="1"/>
  <c r="AT254" i="1"/>
  <c r="BS461" i="1"/>
  <c r="BS447" i="1" s="1"/>
  <c r="BS462" i="1"/>
  <c r="AV49" i="1"/>
  <c r="BX49" i="1" s="1"/>
  <c r="BX48" i="1" s="1"/>
  <c r="AV70" i="1"/>
  <c r="AV69" i="1"/>
  <c r="AU203" i="1"/>
  <c r="AV190" i="1"/>
  <c r="BX190" i="1" s="1"/>
  <c r="AU192" i="1"/>
  <c r="AW103" i="1"/>
  <c r="AW492" i="1"/>
  <c r="AX302" i="1"/>
  <c r="AY44" i="1"/>
  <c r="AX45" i="1"/>
  <c r="BY45" i="1" s="1"/>
  <c r="BY68" i="1" s="1"/>
  <c r="AZ171" i="1"/>
  <c r="BZ146" i="1"/>
  <c r="BV316" i="1"/>
  <c r="AN317" i="1"/>
  <c r="BW311" i="1"/>
  <c r="AL460" i="1"/>
  <c r="AL461" i="1" s="1"/>
  <c r="AM450" i="1"/>
  <c r="BX272" i="1"/>
  <c r="AW272" i="1"/>
  <c r="AW273" i="1" s="1"/>
  <c r="AW271" i="1"/>
  <c r="AU528" i="1"/>
  <c r="AU526" i="1"/>
  <c r="AV394" i="1"/>
  <c r="AU165" i="1"/>
  <c r="AT154" i="1"/>
  <c r="AV87" i="1"/>
  <c r="AW85" i="1"/>
  <c r="BW420" i="1"/>
  <c r="AT422" i="1"/>
  <c r="BX47" i="1"/>
  <c r="AT51" i="1"/>
  <c r="BW51" i="1" s="1"/>
  <c r="AT50" i="1"/>
  <c r="BW50" i="1" s="1"/>
  <c r="BW61" i="1" s="1"/>
  <c r="AK455" i="1"/>
  <c r="AT465" i="1"/>
  <c r="BW301" i="1"/>
  <c r="AT307" i="1"/>
  <c r="AT494" i="1"/>
  <c r="AT495" i="1" s="1"/>
  <c r="AU527" i="1"/>
  <c r="AV392" i="1"/>
  <c r="AR429" i="1"/>
  <c r="BV433" i="1"/>
  <c r="AN27" i="1"/>
  <c r="AN28" i="1"/>
  <c r="BZ126" i="1"/>
  <c r="BZ139" i="1" s="1"/>
  <c r="AY139" i="1"/>
  <c r="BW407" i="1"/>
  <c r="BW408" i="1" s="1"/>
  <c r="AL24" i="56"/>
  <c r="AL52" i="56" s="1"/>
  <c r="BM52" i="56"/>
  <c r="BD2" i="56"/>
  <c r="BE1" i="56"/>
  <c r="BD3" i="56"/>
  <c r="BJ24" i="56"/>
  <c r="BJ47" i="56"/>
  <c r="AF22" i="56"/>
  <c r="BJ23" i="56"/>
  <c r="AF23" i="56" s="1"/>
  <c r="BJ51" i="56"/>
  <c r="BG24" i="56"/>
  <c r="Y3" i="56"/>
  <c r="Y2" i="56"/>
  <c r="Z1" i="56"/>
  <c r="AC47" i="56"/>
  <c r="AC51" i="56"/>
  <c r="AC24" i="56"/>
  <c r="AD22" i="56"/>
  <c r="AB22" i="56"/>
  <c r="AB51" i="56" s="1"/>
  <c r="BH51" i="56"/>
  <c r="BH47" i="56"/>
  <c r="AB47" i="56" s="1"/>
  <c r="BH23" i="56"/>
  <c r="AB23" i="56" s="1"/>
  <c r="AH24" i="56"/>
  <c r="AH52" i="56" s="1"/>
  <c r="BK52" i="56"/>
  <c r="N1" i="56"/>
  <c r="M3" i="56"/>
  <c r="M2" i="56"/>
  <c r="BX63" i="1" l="1"/>
  <c r="AS141" i="1"/>
  <c r="AW446" i="1"/>
  <c r="AW442" i="1" s="1"/>
  <c r="AW445" i="1" s="1"/>
  <c r="AW447" i="1" s="1"/>
  <c r="AX441" i="1" s="1"/>
  <c r="AT255" i="1"/>
  <c r="AT256" i="1" s="1"/>
  <c r="AT140" i="1"/>
  <c r="AT129" i="1"/>
  <c r="AT130" i="1" s="1"/>
  <c r="BW128" i="1"/>
  <c r="BW140" i="1" s="1"/>
  <c r="AV301" i="1"/>
  <c r="AW311" i="1"/>
  <c r="AW317" i="1" s="1"/>
  <c r="AT155" i="1"/>
  <c r="AZ44" i="1"/>
  <c r="AZ45" i="1" s="1"/>
  <c r="AY45" i="1"/>
  <c r="BW250" i="1"/>
  <c r="BW264" i="1" s="1"/>
  <c r="AS252" i="1"/>
  <c r="AS264" i="1"/>
  <c r="AA555" i="1"/>
  <c r="BX284" i="1"/>
  <c r="AX151" i="1"/>
  <c r="AX172" i="1"/>
  <c r="AU494" i="1"/>
  <c r="AU307" i="1"/>
  <c r="BV429" i="1"/>
  <c r="AR432" i="1"/>
  <c r="AV528" i="1"/>
  <c r="AV526" i="1"/>
  <c r="BX394" i="1"/>
  <c r="BX528" i="1" s="1"/>
  <c r="AW394" i="1"/>
  <c r="AN316" i="1"/>
  <c r="AO311" i="1"/>
  <c r="AO316" i="1" s="1"/>
  <c r="AX492" i="1"/>
  <c r="BY492" i="1" s="1"/>
  <c r="BY302" i="1"/>
  <c r="AY302" i="1"/>
  <c r="AX166" i="1"/>
  <c r="AT355" i="1"/>
  <c r="AS371" i="1"/>
  <c r="AT370" i="1" s="1"/>
  <c r="AA556" i="1"/>
  <c r="AS93" i="1"/>
  <c r="AR254" i="1"/>
  <c r="BV252" i="1"/>
  <c r="AV32" i="1"/>
  <c r="AV284" i="1" s="1"/>
  <c r="AW35" i="1"/>
  <c r="AK363" i="1"/>
  <c r="AU228" i="1"/>
  <c r="AT226" i="1"/>
  <c r="AT227" i="1" s="1"/>
  <c r="AT236" i="1" s="1"/>
  <c r="AY251" i="1"/>
  <c r="BZ251" i="1" s="1"/>
  <c r="BZ199" i="1"/>
  <c r="AB287" i="1"/>
  <c r="AB288" i="1"/>
  <c r="AX338" i="1"/>
  <c r="AX343" i="1" s="1"/>
  <c r="AW353" i="1"/>
  <c r="AX352" i="1" s="1"/>
  <c r="BY401" i="1"/>
  <c r="AY401" i="1"/>
  <c r="BX70" i="1"/>
  <c r="BX69" i="1"/>
  <c r="AJ450" i="1"/>
  <c r="AI460" i="1"/>
  <c r="AI461" i="1" s="1"/>
  <c r="AW172" i="1"/>
  <c r="AW151" i="1"/>
  <c r="BY149" i="1"/>
  <c r="BY172" i="1" s="1"/>
  <c r="AX403" i="1"/>
  <c r="BY31" i="1"/>
  <c r="AW70" i="1"/>
  <c r="AW69" i="1"/>
  <c r="BY47" i="1"/>
  <c r="AW49" i="1"/>
  <c r="BW586" i="1"/>
  <c r="BW317" i="1"/>
  <c r="BW307" i="1"/>
  <c r="AU154" i="1"/>
  <c r="AV165" i="1"/>
  <c r="AV51" i="1"/>
  <c r="AV50" i="1"/>
  <c r="BP549" i="1"/>
  <c r="BP550" i="1"/>
  <c r="BP289" i="1"/>
  <c r="BP4" i="1" s="1"/>
  <c r="BQ282" i="1"/>
  <c r="BQ288" i="1" s="1"/>
  <c r="BX127" i="1"/>
  <c r="BX135" i="1" s="1"/>
  <c r="AV127" i="1"/>
  <c r="AU135" i="1"/>
  <c r="AU128" i="1"/>
  <c r="BW465" i="1"/>
  <c r="AU465" i="1"/>
  <c r="AW87" i="1"/>
  <c r="AX85" i="1"/>
  <c r="AU250" i="1"/>
  <c r="AK446" i="1"/>
  <c r="AI374" i="1"/>
  <c r="AI325" i="1"/>
  <c r="AV455" i="1"/>
  <c r="AV451" i="1" s="1"/>
  <c r="AV454" i="1" s="1"/>
  <c r="AV456" i="1" s="1"/>
  <c r="AW450" i="1" s="1"/>
  <c r="AZ62" i="1"/>
  <c r="AR257" i="1"/>
  <c r="BV257" i="1" s="1"/>
  <c r="BX527" i="1"/>
  <c r="AV109" i="1"/>
  <c r="AV89" i="1"/>
  <c r="AV248" i="1"/>
  <c r="AV250" i="1" s="1"/>
  <c r="AM455" i="1"/>
  <c r="BZ171" i="1"/>
  <c r="BZ163" i="1"/>
  <c r="AX103" i="1"/>
  <c r="AU253" i="1"/>
  <c r="AL447" i="1"/>
  <c r="AM441" i="1" s="1"/>
  <c r="BS445" i="1"/>
  <c r="AL442" i="1" s="1"/>
  <c r="AL445" i="1" s="1"/>
  <c r="AX102" i="1"/>
  <c r="AS373" i="1"/>
  <c r="AS328" i="1"/>
  <c r="AA1" i="1"/>
  <c r="Z5" i="1"/>
  <c r="Z2" i="1"/>
  <c r="Z3" i="1"/>
  <c r="Y5" i="1" s="1"/>
  <c r="AZ149" i="1"/>
  <c r="AV420" i="1"/>
  <c r="AV499" i="1"/>
  <c r="BX499" i="1" s="1"/>
  <c r="AW405" i="1"/>
  <c r="BX405" i="1"/>
  <c r="BX407" i="1" s="1"/>
  <c r="AV407" i="1"/>
  <c r="AV532" i="1"/>
  <c r="AW296" i="1"/>
  <c r="BX296" i="1"/>
  <c r="AQ266" i="1"/>
  <c r="AQ258" i="1"/>
  <c r="AU155" i="1"/>
  <c r="BX153" i="1"/>
  <c r="BM3" i="1"/>
  <c r="BN1" i="1"/>
  <c r="BM2" i="1"/>
  <c r="AS227" i="1"/>
  <c r="AU408" i="1"/>
  <c r="BS333" i="1"/>
  <c r="BS373" i="1"/>
  <c r="BS325" i="1"/>
  <c r="AY415" i="1"/>
  <c r="BY415" i="1"/>
  <c r="AX396" i="1"/>
  <c r="BY396" i="1" s="1"/>
  <c r="AY151" i="1"/>
  <c r="BZ149" i="1"/>
  <c r="BZ172" i="1" s="1"/>
  <c r="AY172" i="1"/>
  <c r="AX273" i="1"/>
  <c r="AX271" i="1"/>
  <c r="BY271" i="1" s="1"/>
  <c r="AX272" i="1"/>
  <c r="AX47" i="1"/>
  <c r="AX68" i="1"/>
  <c r="AU111" i="1"/>
  <c r="AU110" i="1"/>
  <c r="BX89" i="1"/>
  <c r="BX110" i="1" s="1"/>
  <c r="AU91" i="1"/>
  <c r="AS155" i="1"/>
  <c r="BW155" i="1" s="1"/>
  <c r="BW153" i="1"/>
  <c r="AS154" i="1"/>
  <c r="AW531" i="1"/>
  <c r="AX294" i="1"/>
  <c r="AT425" i="1"/>
  <c r="BW422" i="1"/>
  <c r="AV253" i="1"/>
  <c r="AW190" i="1"/>
  <c r="AV203" i="1"/>
  <c r="AV205" i="1" s="1"/>
  <c r="AV192" i="1"/>
  <c r="BX192" i="1" s="1"/>
  <c r="AV527" i="1"/>
  <c r="BX392" i="1"/>
  <c r="AW392" i="1"/>
  <c r="AK451" i="1"/>
  <c r="AK454" i="1" s="1"/>
  <c r="AK456" i="1" s="1"/>
  <c r="AL455" i="1"/>
  <c r="BX526" i="1"/>
  <c r="BX203" i="1"/>
  <c r="AU205" i="1"/>
  <c r="BX205" i="1" s="1"/>
  <c r="AW136" i="1"/>
  <c r="AR388" i="1"/>
  <c r="AS335" i="1"/>
  <c r="AS387" i="1" s="1"/>
  <c r="AT265" i="1"/>
  <c r="BX87" i="1"/>
  <c r="BX109" i="1" s="1"/>
  <c r="BY300" i="1"/>
  <c r="AY300" i="1"/>
  <c r="AW274" i="1"/>
  <c r="AX274" i="1" s="1"/>
  <c r="AZ225" i="1"/>
  <c r="AZ235" i="1"/>
  <c r="BW494" i="1"/>
  <c r="BW495" i="1" s="1"/>
  <c r="AR255" i="1"/>
  <c r="BV255" i="1" s="1"/>
  <c r="BV154" i="1"/>
  <c r="BV165" i="1" s="1"/>
  <c r="BW129" i="1"/>
  <c r="P3" i="1"/>
  <c r="P2" i="1"/>
  <c r="P5" i="1"/>
  <c r="BX50" i="1"/>
  <c r="BX61" i="1" s="1"/>
  <c r="AV525" i="1"/>
  <c r="AW391" i="1"/>
  <c r="AV398" i="1"/>
  <c r="AV408" i="1" s="1"/>
  <c r="BX391" i="1"/>
  <c r="BR388" i="1"/>
  <c r="BS335" i="1"/>
  <c r="BS387" i="1" s="1"/>
  <c r="BH24" i="56"/>
  <c r="AC52" i="56"/>
  <c r="AD24" i="56"/>
  <c r="AD52" i="56" s="1"/>
  <c r="N3" i="56"/>
  <c r="O1" i="56"/>
  <c r="N2" i="56"/>
  <c r="AD47" i="56"/>
  <c r="AD51" i="56"/>
  <c r="BJ52" i="56"/>
  <c r="AF24" i="56"/>
  <c r="AF52" i="56" s="1"/>
  <c r="Z24" i="56"/>
  <c r="Z52" i="56" s="1"/>
  <c r="BG52" i="56"/>
  <c r="BE2" i="56"/>
  <c r="BF1" i="56"/>
  <c r="BE3" i="56"/>
  <c r="Z3" i="56"/>
  <c r="Z2" i="56"/>
  <c r="AA1" i="56"/>
  <c r="AF51" i="56"/>
  <c r="AF47" i="56"/>
  <c r="AT141" i="1" l="1"/>
  <c r="BW130" i="1"/>
  <c r="BW141" i="1" s="1"/>
  <c r="AT257" i="1"/>
  <c r="AT258" i="1" s="1"/>
  <c r="AT266" i="1"/>
  <c r="AW454" i="1"/>
  <c r="AW456" i="1" s="1"/>
  <c r="AX450" i="1" s="1"/>
  <c r="AW455" i="1"/>
  <c r="AW451" i="1" s="1"/>
  <c r="AX446" i="1"/>
  <c r="AX442" i="1" s="1"/>
  <c r="AX445" i="1" s="1"/>
  <c r="AX447" i="1" s="1"/>
  <c r="AY441" i="1" s="1"/>
  <c r="BX301" i="1"/>
  <c r="AV307" i="1"/>
  <c r="AV494" i="1"/>
  <c r="AV495" i="1" s="1"/>
  <c r="AI336" i="1"/>
  <c r="AI388" i="1" s="1"/>
  <c r="AI378" i="1"/>
  <c r="AY68" i="1"/>
  <c r="AY47" i="1"/>
  <c r="BZ45" i="1"/>
  <c r="BZ68" i="1" s="1"/>
  <c r="BX398" i="1"/>
  <c r="BX408" i="1" s="1"/>
  <c r="AZ300" i="1"/>
  <c r="BW425" i="1"/>
  <c r="AX70" i="1"/>
  <c r="AX69" i="1"/>
  <c r="AX49" i="1"/>
  <c r="AZ415" i="1"/>
  <c r="AY396" i="1"/>
  <c r="BW226" i="1"/>
  <c r="AM446" i="1"/>
  <c r="AN455" i="1"/>
  <c r="AM451" i="1"/>
  <c r="AM454" i="1" s="1"/>
  <c r="AM456" i="1" s="1"/>
  <c r="BW32" i="1"/>
  <c r="BW35" i="1" s="1"/>
  <c r="AY338" i="1"/>
  <c r="AY343" i="1" s="1"/>
  <c r="AX353" i="1"/>
  <c r="AY352" i="1" s="1"/>
  <c r="AV228" i="1"/>
  <c r="AU226" i="1"/>
  <c r="AY492" i="1"/>
  <c r="AZ302" i="1"/>
  <c r="BX494" i="1"/>
  <c r="BX495" i="1" s="1"/>
  <c r="AU495" i="1"/>
  <c r="BZ44" i="1"/>
  <c r="AU140" i="1"/>
  <c r="AU130" i="1"/>
  <c r="AU129" i="1"/>
  <c r="BY151" i="1"/>
  <c r="BY173" i="1" s="1"/>
  <c r="AW174" i="1"/>
  <c r="AW173" i="1"/>
  <c r="AW153" i="1"/>
  <c r="AB554" i="1"/>
  <c r="AB553" i="1"/>
  <c r="AB550" i="1"/>
  <c r="AB549" i="1"/>
  <c r="AB289" i="1"/>
  <c r="AB4" i="1" s="1"/>
  <c r="AC282" i="1"/>
  <c r="AT363" i="1"/>
  <c r="AZ68" i="1"/>
  <c r="AZ47" i="1"/>
  <c r="AW532" i="1"/>
  <c r="AX296" i="1"/>
  <c r="AY102" i="1"/>
  <c r="AU264" i="1"/>
  <c r="BX250" i="1"/>
  <c r="AU252" i="1"/>
  <c r="AV465" i="1"/>
  <c r="BY49" i="1"/>
  <c r="BY48" i="1" s="1"/>
  <c r="AW50" i="1"/>
  <c r="BV434" i="1"/>
  <c r="BW428" i="1" s="1"/>
  <c r="AA2" i="1"/>
  <c r="AA3" i="1"/>
  <c r="AB1" i="1"/>
  <c r="BQ549" i="1"/>
  <c r="BQ550" i="1"/>
  <c r="BR282" i="1"/>
  <c r="BQ289" i="1"/>
  <c r="BQ4" i="1" s="1"/>
  <c r="BY69" i="1"/>
  <c r="BY70" i="1"/>
  <c r="AJ451" i="1"/>
  <c r="AJ454" i="1" s="1"/>
  <c r="BX91" i="1"/>
  <c r="AU92" i="1"/>
  <c r="AU93" i="1" s="1"/>
  <c r="AS381" i="1"/>
  <c r="AS321" i="1"/>
  <c r="AS332" i="1"/>
  <c r="AK442" i="1"/>
  <c r="AK445" i="1" s="1"/>
  <c r="AL446" i="1"/>
  <c r="AY271" i="1"/>
  <c r="BY272" i="1"/>
  <c r="AY273" i="1"/>
  <c r="AY272" i="1"/>
  <c r="BN3" i="1"/>
  <c r="BN2" i="1"/>
  <c r="BO1" i="1"/>
  <c r="BX168" i="1"/>
  <c r="BX105" i="1"/>
  <c r="BM20" i="1"/>
  <c r="BM19" i="1"/>
  <c r="BM17" i="1"/>
  <c r="BM548" i="1" s="1"/>
  <c r="Y557" i="1"/>
  <c r="Y558" i="1"/>
  <c r="AY103" i="1"/>
  <c r="AV264" i="1"/>
  <c r="AV252" i="1"/>
  <c r="AV254" i="1" s="1"/>
  <c r="AW109" i="1"/>
  <c r="AW89" i="1"/>
  <c r="BY87" i="1"/>
  <c r="BY109" i="1" s="1"/>
  <c r="AW248" i="1"/>
  <c r="BW316" i="1"/>
  <c r="BX311" i="1"/>
  <c r="AK356" i="1"/>
  <c r="AK360" i="1" s="1"/>
  <c r="AK371" i="1" s="1"/>
  <c r="AK367" i="1"/>
  <c r="AR265" i="1"/>
  <c r="AR256" i="1"/>
  <c r="BV254" i="1"/>
  <c r="BV265" i="1" s="1"/>
  <c r="AX153" i="1"/>
  <c r="AX174" i="1"/>
  <c r="AX173" i="1"/>
  <c r="AW527" i="1"/>
  <c r="AX392" i="1"/>
  <c r="Z558" i="1"/>
  <c r="Z557" i="1"/>
  <c r="BX51" i="1"/>
  <c r="AW32" i="1"/>
  <c r="AW284" i="1" s="1"/>
  <c r="AX35" i="1"/>
  <c r="BW227" i="1"/>
  <c r="BW236" i="1" s="1"/>
  <c r="AS236" i="1"/>
  <c r="BX420" i="1"/>
  <c r="AV422" i="1"/>
  <c r="AW165" i="1"/>
  <c r="AV154" i="1"/>
  <c r="BX154" i="1" s="1"/>
  <c r="BX165" i="1" s="1"/>
  <c r="AW526" i="1"/>
  <c r="AW528" i="1"/>
  <c r="AX394" i="1"/>
  <c r="Q5" i="1"/>
  <c r="R5" i="1"/>
  <c r="O5" i="1"/>
  <c r="AX531" i="1"/>
  <c r="BY294" i="1"/>
  <c r="AY294" i="1"/>
  <c r="BS378" i="1"/>
  <c r="BS336" i="1"/>
  <c r="AK320" i="1"/>
  <c r="AQ572" i="1"/>
  <c r="AQ565" i="1"/>
  <c r="AQ487" i="1"/>
  <c r="AQ283" i="1"/>
  <c r="AQ267" i="1"/>
  <c r="AQ292" i="1"/>
  <c r="AQ278" i="1"/>
  <c r="AQ27" i="1" s="1"/>
  <c r="AQ28" i="1" s="1"/>
  <c r="AQ515" i="1"/>
  <c r="AQ23" i="1"/>
  <c r="AQ466" i="1"/>
  <c r="AZ151" i="1"/>
  <c r="AZ172" i="1"/>
  <c r="BX253" i="1"/>
  <c r="AX87" i="1"/>
  <c r="AY85" i="1"/>
  <c r="AW525" i="1"/>
  <c r="AW398" i="1"/>
  <c r="AX391" i="1"/>
  <c r="BY531" i="1"/>
  <c r="AY174" i="1"/>
  <c r="AY173" i="1"/>
  <c r="AY153" i="1"/>
  <c r="BZ151" i="1"/>
  <c r="BZ173" i="1" s="1"/>
  <c r="BX532" i="1"/>
  <c r="AX136" i="1"/>
  <c r="AL450" i="1"/>
  <c r="AK460" i="1"/>
  <c r="AK461" i="1" s="1"/>
  <c r="AW203" i="1"/>
  <c r="AX190" i="1"/>
  <c r="BY190" i="1"/>
  <c r="AW253" i="1"/>
  <c r="AW192" i="1"/>
  <c r="BW154" i="1"/>
  <c r="BW165" i="1" s="1"/>
  <c r="AS255" i="1"/>
  <c r="BW255" i="1" s="1"/>
  <c r="AW499" i="1"/>
  <c r="AX405" i="1"/>
  <c r="AW420" i="1"/>
  <c r="AW422" i="1" s="1"/>
  <c r="AW425" i="1" s="1"/>
  <c r="AV111" i="1"/>
  <c r="AV110" i="1"/>
  <c r="AV91" i="1"/>
  <c r="BX248" i="1"/>
  <c r="BY85" i="1"/>
  <c r="AW127" i="1"/>
  <c r="AV135" i="1"/>
  <c r="AV128" i="1"/>
  <c r="BX128" i="1" s="1"/>
  <c r="BX140" i="1" s="1"/>
  <c r="AY403" i="1"/>
  <c r="BY403" i="1"/>
  <c r="AZ401" i="1"/>
  <c r="BW93" i="1"/>
  <c r="AS257" i="1"/>
  <c r="BW257" i="1" s="1"/>
  <c r="AY166" i="1"/>
  <c r="AR434" i="1"/>
  <c r="AS428" i="1" s="1"/>
  <c r="BV432" i="1"/>
  <c r="AS254" i="1"/>
  <c r="BW252" i="1"/>
  <c r="AW301" i="1"/>
  <c r="AX311" i="1"/>
  <c r="AX317" i="1" s="1"/>
  <c r="AW407" i="1"/>
  <c r="AA3" i="56"/>
  <c r="AA2" i="56"/>
  <c r="AB1" i="56"/>
  <c r="O3" i="56"/>
  <c r="P1" i="56"/>
  <c r="O2" i="56"/>
  <c r="BF3" i="56"/>
  <c r="BF2" i="56"/>
  <c r="BG1" i="56"/>
  <c r="AB24" i="56"/>
  <c r="AB52" i="56" s="1"/>
  <c r="BH52" i="56"/>
  <c r="AU257" i="1" l="1"/>
  <c r="AT565" i="1"/>
  <c r="AT571" i="1" s="1"/>
  <c r="AT572" i="1"/>
  <c r="AT487" i="1"/>
  <c r="AT515" i="1"/>
  <c r="AT537" i="1" s="1"/>
  <c r="AT267" i="1"/>
  <c r="AT23" i="1"/>
  <c r="AT283" i="1"/>
  <c r="AT278" i="1"/>
  <c r="AT27" i="1" s="1"/>
  <c r="AT28" i="1" s="1"/>
  <c r="AY445" i="1"/>
  <c r="AY447" i="1" s="1"/>
  <c r="AZ441" i="1" s="1"/>
  <c r="AY446" i="1"/>
  <c r="AY442" i="1" s="1"/>
  <c r="BY104" i="1"/>
  <c r="AX499" i="1"/>
  <c r="AX420" i="1"/>
  <c r="AY405" i="1"/>
  <c r="BY405" i="1"/>
  <c r="AX407" i="1"/>
  <c r="AQ537" i="1"/>
  <c r="AX165" i="1"/>
  <c r="AW154" i="1"/>
  <c r="AR266" i="1"/>
  <c r="AR258" i="1"/>
  <c r="BV256" i="1"/>
  <c r="BY63" i="1"/>
  <c r="AZ102" i="1"/>
  <c r="AU227" i="1"/>
  <c r="AN446" i="1"/>
  <c r="AM442" i="1"/>
  <c r="AM445" i="1" s="1"/>
  <c r="BZ300" i="1"/>
  <c r="AX455" i="1"/>
  <c r="AX451" i="1" s="1"/>
  <c r="AX454" i="1" s="1"/>
  <c r="AX456" i="1" s="1"/>
  <c r="AY450" i="1" s="1"/>
  <c r="AZ166" i="1"/>
  <c r="AL451" i="1"/>
  <c r="AL454" i="1" s="1"/>
  <c r="AV226" i="1"/>
  <c r="AV227" i="1" s="1"/>
  <c r="AV236" i="1" s="1"/>
  <c r="AW228" i="1"/>
  <c r="AW494" i="1"/>
  <c r="AW307" i="1"/>
  <c r="AZ403" i="1"/>
  <c r="BZ403" i="1" s="1"/>
  <c r="BZ31" i="1"/>
  <c r="AV93" i="1"/>
  <c r="AV257" i="1" s="1"/>
  <c r="AV92" i="1"/>
  <c r="BY499" i="1"/>
  <c r="AY136" i="1"/>
  <c r="AW408" i="1"/>
  <c r="AZ174" i="1"/>
  <c r="AZ173" i="1"/>
  <c r="AZ153" i="1"/>
  <c r="BZ153" i="1" s="1"/>
  <c r="AQ472" i="1"/>
  <c r="AQ297" i="1"/>
  <c r="AQ308" i="1" s="1"/>
  <c r="AQ409" i="1" s="1"/>
  <c r="AQ64" i="1"/>
  <c r="AQ104" i="1"/>
  <c r="AQ167" i="1"/>
  <c r="AY531" i="1"/>
  <c r="AZ294" i="1"/>
  <c r="AX528" i="1"/>
  <c r="AX526" i="1"/>
  <c r="BY394" i="1"/>
  <c r="BY528" i="1" s="1"/>
  <c r="AY394" i="1"/>
  <c r="AW91" i="1"/>
  <c r="AW111" i="1"/>
  <c r="AW110" i="1"/>
  <c r="AZ272" i="1"/>
  <c r="BZ272" i="1" s="1"/>
  <c r="AZ271" i="1"/>
  <c r="BZ271" i="1" s="1"/>
  <c r="AC1" i="1"/>
  <c r="AB3" i="1"/>
  <c r="AA5" i="1" s="1"/>
  <c r="AB2" i="1"/>
  <c r="AB5" i="1"/>
  <c r="AW465" i="1"/>
  <c r="BX465" i="1"/>
  <c r="AX532" i="1"/>
  <c r="AY296" i="1"/>
  <c r="BY296" i="1"/>
  <c r="AB555" i="1"/>
  <c r="BX129" i="1"/>
  <c r="BX252" i="1"/>
  <c r="AU254" i="1"/>
  <c r="BY532" i="1"/>
  <c r="AT356" i="1"/>
  <c r="AT360" i="1" s="1"/>
  <c r="AT367" i="1"/>
  <c r="AU362" i="1" s="1"/>
  <c r="AB556" i="1"/>
  <c r="AZ492" i="1"/>
  <c r="BZ302" i="1"/>
  <c r="AZ338" i="1"/>
  <c r="AZ343" i="1" s="1"/>
  <c r="AZ353" i="1" s="1"/>
  <c r="AY353" i="1"/>
  <c r="AZ352" i="1" s="1"/>
  <c r="AS433" i="1"/>
  <c r="BS388" i="1"/>
  <c r="AK335" i="1"/>
  <c r="AK387" i="1" s="1"/>
  <c r="BY527" i="1"/>
  <c r="BY248" i="1"/>
  <c r="AW250" i="1"/>
  <c r="AZ103" i="1"/>
  <c r="AZ69" i="1"/>
  <c r="AZ70" i="1"/>
  <c r="AZ49" i="1"/>
  <c r="AX50" i="1"/>
  <c r="AX51" i="1" s="1"/>
  <c r="BX586" i="1"/>
  <c r="BX317" i="1"/>
  <c r="BX307" i="1"/>
  <c r="AX301" i="1"/>
  <c r="AY311" i="1"/>
  <c r="AY317" i="1" s="1"/>
  <c r="BY192" i="1"/>
  <c r="AX525" i="1"/>
  <c r="BY391" i="1"/>
  <c r="AY391" i="1"/>
  <c r="AX398" i="1"/>
  <c r="AV425" i="1"/>
  <c r="BX422" i="1"/>
  <c r="BX92" i="1"/>
  <c r="BX102" i="1" s="1"/>
  <c r="AV130" i="1"/>
  <c r="AV141" i="1" s="1"/>
  <c r="AV140" i="1"/>
  <c r="AV129" i="1"/>
  <c r="AQ468" i="1"/>
  <c r="AQ470" i="1" s="1"/>
  <c r="AQ545" i="1"/>
  <c r="AQ25" i="1"/>
  <c r="BY526" i="1"/>
  <c r="AV265" i="1"/>
  <c r="AS385" i="1"/>
  <c r="AT327" i="1"/>
  <c r="BX264" i="1"/>
  <c r="AY274" i="1"/>
  <c r="AC287" i="1"/>
  <c r="AC288" i="1" s="1"/>
  <c r="AW155" i="1"/>
  <c r="BY153" i="1"/>
  <c r="BX130" i="1"/>
  <c r="BX141" i="1" s="1"/>
  <c r="AU141" i="1"/>
  <c r="BZ492" i="1"/>
  <c r="AN450" i="1"/>
  <c r="AM460" i="1"/>
  <c r="AM461" i="1" s="1"/>
  <c r="BZ415" i="1"/>
  <c r="AZ396" i="1"/>
  <c r="BZ396" i="1" s="1"/>
  <c r="BZ47" i="1"/>
  <c r="AY69" i="1"/>
  <c r="AY70" i="1"/>
  <c r="AY49" i="1"/>
  <c r="BZ401" i="1"/>
  <c r="AQ571" i="1"/>
  <c r="AS265" i="1"/>
  <c r="BW254" i="1"/>
  <c r="BW265" i="1" s="1"/>
  <c r="AS256" i="1"/>
  <c r="AX203" i="1"/>
  <c r="AX205" i="1" s="1"/>
  <c r="AY190" i="1"/>
  <c r="AX192" i="1"/>
  <c r="AZ85" i="1"/>
  <c r="AZ87" i="1" s="1"/>
  <c r="AY87" i="1"/>
  <c r="AY407" i="1"/>
  <c r="AX127" i="1"/>
  <c r="BY127" i="1" s="1"/>
  <c r="BY135" i="1" s="1"/>
  <c r="AW135" i="1"/>
  <c r="AW128" i="1"/>
  <c r="BY203" i="1"/>
  <c r="AW205" i="1"/>
  <c r="AX109" i="1"/>
  <c r="AX89" i="1"/>
  <c r="BY89" i="1" s="1"/>
  <c r="BY110" i="1" s="1"/>
  <c r="AX248" i="1"/>
  <c r="AX250" i="1" s="1"/>
  <c r="AQ506" i="1"/>
  <c r="AQ509" i="1" s="1"/>
  <c r="AR507" i="1" s="1"/>
  <c r="AK373" i="1"/>
  <c r="AK328" i="1"/>
  <c r="AV255" i="1"/>
  <c r="AV256" i="1" s="1"/>
  <c r="AV155" i="1"/>
  <c r="BX155" i="1" s="1"/>
  <c r="AX32" i="1"/>
  <c r="AX284" i="1" s="1"/>
  <c r="BY284" i="1" s="1"/>
  <c r="AY35" i="1"/>
  <c r="AX527" i="1"/>
  <c r="AY392" i="1"/>
  <c r="BY392" i="1"/>
  <c r="BP1" i="1"/>
  <c r="BO3" i="1"/>
  <c r="BO2" i="1"/>
  <c r="AS374" i="1"/>
  <c r="AS325" i="1"/>
  <c r="BR286" i="1"/>
  <c r="AJ286" i="1" s="1"/>
  <c r="AW51" i="1"/>
  <c r="BX225" i="1"/>
  <c r="BX228" i="1" s="1"/>
  <c r="AU255" i="1"/>
  <c r="BX255" i="1" s="1"/>
  <c r="AB2" i="56"/>
  <c r="AB3" i="56"/>
  <c r="AC1" i="56"/>
  <c r="P2" i="56"/>
  <c r="P3" i="56"/>
  <c r="BG3" i="56"/>
  <c r="BG2" i="56"/>
  <c r="BH1" i="56"/>
  <c r="BR288" i="1" l="1"/>
  <c r="AC554" i="1"/>
  <c r="AC553" i="1"/>
  <c r="AC550" i="1"/>
  <c r="AC549" i="1"/>
  <c r="AC289" i="1"/>
  <c r="AC4" i="1" s="1"/>
  <c r="AD282" i="1"/>
  <c r="AD288" i="1" s="1"/>
  <c r="AY455" i="1"/>
  <c r="AY451" i="1" s="1"/>
  <c r="AY454" i="1" s="1"/>
  <c r="AY456" i="1" s="1"/>
  <c r="AZ450" i="1" s="1"/>
  <c r="AV258" i="1"/>
  <c r="AV266" i="1"/>
  <c r="BR549" i="1"/>
  <c r="BR550" i="1"/>
  <c r="BR289" i="1"/>
  <c r="BR4" i="1" s="1"/>
  <c r="BS282" i="1"/>
  <c r="AZ35" i="1"/>
  <c r="AZ32" i="1" s="1"/>
  <c r="AZ284" i="1" s="1"/>
  <c r="AY32" i="1"/>
  <c r="AY284" i="1" s="1"/>
  <c r="BZ284" i="1" s="1"/>
  <c r="AS258" i="1"/>
  <c r="BW256" i="1"/>
  <c r="AS266" i="1"/>
  <c r="BX32" i="1"/>
  <c r="BX35" i="1" s="1"/>
  <c r="BX227" i="1"/>
  <c r="BX236" i="1" s="1"/>
  <c r="AU236" i="1"/>
  <c r="BZ85" i="1"/>
  <c r="AX465" i="1"/>
  <c r="AW93" i="1"/>
  <c r="BY91" i="1"/>
  <c r="AW92" i="1"/>
  <c r="AZ531" i="1"/>
  <c r="BZ294" i="1"/>
  <c r="BX226" i="1"/>
  <c r="AS336" i="1"/>
  <c r="AS378" i="1"/>
  <c r="AT320" i="1"/>
  <c r="BY205" i="1"/>
  <c r="AQ548" i="1"/>
  <c r="AQ547" i="1"/>
  <c r="BX425" i="1"/>
  <c r="AU355" i="1"/>
  <c r="AT371" i="1"/>
  <c r="AU370" i="1" s="1"/>
  <c r="AZ273" i="1"/>
  <c r="AZ274" i="1" s="1"/>
  <c r="AZ136" i="1"/>
  <c r="AW255" i="1"/>
  <c r="BY154" i="1"/>
  <c r="BY165" i="1" s="1"/>
  <c r="BY168" i="1"/>
  <c r="BY105" i="1"/>
  <c r="AY528" i="1"/>
  <c r="AY526" i="1"/>
  <c r="AZ394" i="1"/>
  <c r="AX154" i="1"/>
  <c r="AY165" i="1"/>
  <c r="AY499" i="1"/>
  <c r="AZ405" i="1"/>
  <c r="AY420" i="1"/>
  <c r="AY422" i="1" s="1"/>
  <c r="AY425" i="1" s="1"/>
  <c r="AZ446" i="1"/>
  <c r="AZ442" i="1" s="1"/>
  <c r="AZ445" i="1" s="1"/>
  <c r="AZ447" i="1" s="1"/>
  <c r="BX257" i="1"/>
  <c r="AC3" i="1"/>
  <c r="AC2" i="1"/>
  <c r="AD1" i="1"/>
  <c r="AR572" i="1"/>
  <c r="AR565" i="1"/>
  <c r="AR515" i="1"/>
  <c r="AR487" i="1"/>
  <c r="AR278" i="1"/>
  <c r="AR27" i="1" s="1"/>
  <c r="AR28" i="1" s="1"/>
  <c r="AR267" i="1"/>
  <c r="AR23" i="1"/>
  <c r="AR283" i="1"/>
  <c r="BV283" i="1" s="1"/>
  <c r="BV258" i="1"/>
  <c r="BX316" i="1"/>
  <c r="BY311" i="1"/>
  <c r="BZ190" i="1"/>
  <c r="AZ190" i="1"/>
  <c r="AY203" i="1"/>
  <c r="AY253" i="1"/>
  <c r="AY192" i="1"/>
  <c r="AY51" i="1"/>
  <c r="BZ49" i="1"/>
  <c r="BZ48" i="1" s="1"/>
  <c r="AY50" i="1"/>
  <c r="AK321" i="1"/>
  <c r="AK381" i="1"/>
  <c r="AK332" i="1"/>
  <c r="AK385" i="1" s="1"/>
  <c r="BY50" i="1"/>
  <c r="BY61" i="1" s="1"/>
  <c r="AY525" i="1"/>
  <c r="AZ391" i="1"/>
  <c r="AY398" i="1"/>
  <c r="AY408" i="1" s="1"/>
  <c r="AZ311" i="1"/>
  <c r="AZ317" i="1" s="1"/>
  <c r="AZ301" i="1" s="1"/>
  <c r="AY301" i="1"/>
  <c r="AS429" i="1"/>
  <c r="AU256" i="1"/>
  <c r="AU265" i="1"/>
  <c r="BX254" i="1"/>
  <c r="BX265" i="1" s="1"/>
  <c r="AY532" i="1"/>
  <c r="AZ296" i="1"/>
  <c r="AW495" i="1"/>
  <c r="BY420" i="1"/>
  <c r="AX422" i="1"/>
  <c r="BX93" i="1"/>
  <c r="BQ1" i="1"/>
  <c r="BP3" i="1"/>
  <c r="BP2" i="1"/>
  <c r="AZ109" i="1"/>
  <c r="AZ89" i="1"/>
  <c r="AZ248" i="1"/>
  <c r="AZ250" i="1" s="1"/>
  <c r="BZ69" i="1"/>
  <c r="BZ70" i="1"/>
  <c r="AQ476" i="1"/>
  <c r="AQ477" i="1"/>
  <c r="AQ474" i="1"/>
  <c r="AQ475" i="1"/>
  <c r="AQ559" i="1"/>
  <c r="AT545" i="1"/>
  <c r="AT25" i="1"/>
  <c r="AU285" i="1" s="1"/>
  <c r="AX135" i="1"/>
  <c r="AY127" i="1"/>
  <c r="AX128" i="1"/>
  <c r="BY128" i="1" s="1"/>
  <c r="BY140" i="1" s="1"/>
  <c r="AR285" i="1"/>
  <c r="AB557" i="1"/>
  <c r="AX252" i="1"/>
  <c r="AX264" i="1"/>
  <c r="AX408" i="1"/>
  <c r="AY527" i="1"/>
  <c r="AZ392" i="1"/>
  <c r="AX111" i="1"/>
  <c r="AX110" i="1"/>
  <c r="AX91" i="1"/>
  <c r="BY51" i="1"/>
  <c r="AW140" i="1"/>
  <c r="AW130" i="1"/>
  <c r="AW129" i="1"/>
  <c r="AY109" i="1"/>
  <c r="BZ87" i="1"/>
  <c r="BZ109" i="1" s="1"/>
  <c r="AY89" i="1"/>
  <c r="AY248" i="1"/>
  <c r="AX253" i="1"/>
  <c r="BY253" i="1" s="1"/>
  <c r="AN451" i="1"/>
  <c r="AN454" i="1"/>
  <c r="AT380" i="1"/>
  <c r="BY398" i="1"/>
  <c r="BY301" i="1"/>
  <c r="AX307" i="1"/>
  <c r="AX494" i="1"/>
  <c r="AX495" i="1" s="1"/>
  <c r="AZ50" i="1"/>
  <c r="AZ51" i="1" s="1"/>
  <c r="AW264" i="1"/>
  <c r="AW252" i="1"/>
  <c r="BY250" i="1"/>
  <c r="BY264" i="1" s="1"/>
  <c r="AB558" i="1"/>
  <c r="BN20" i="1"/>
  <c r="BN17" i="1"/>
  <c r="BN548" i="1" s="1"/>
  <c r="BN19" i="1"/>
  <c r="BM555" i="1"/>
  <c r="BM557" i="1" s="1"/>
  <c r="AA557" i="1"/>
  <c r="BM556" i="1"/>
  <c r="BM558" i="1" s="1"/>
  <c r="AA558" i="1"/>
  <c r="AX228" i="1"/>
  <c r="AW226" i="1"/>
  <c r="BV266" i="1"/>
  <c r="BV18" i="1"/>
  <c r="BY407" i="1"/>
  <c r="AD1" i="56"/>
  <c r="AC2" i="56"/>
  <c r="AC3" i="56"/>
  <c r="BH2" i="56"/>
  <c r="BI1" i="56"/>
  <c r="BH3" i="56"/>
  <c r="BY494" i="1" l="1"/>
  <c r="BY495" i="1" s="1"/>
  <c r="AZ455" i="1"/>
  <c r="AZ451" i="1" s="1"/>
  <c r="AZ454" i="1"/>
  <c r="AZ456" i="1" s="1"/>
  <c r="BY408" i="1"/>
  <c r="AX254" i="1"/>
  <c r="BZ301" i="1"/>
  <c r="AZ307" i="1"/>
  <c r="AZ494" i="1"/>
  <c r="AZ495" i="1" s="1"/>
  <c r="AZ91" i="1"/>
  <c r="AZ110" i="1"/>
  <c r="AZ111" i="1"/>
  <c r="AK374" i="1"/>
  <c r="AK325" i="1"/>
  <c r="BV487" i="1"/>
  <c r="BZ104" i="1"/>
  <c r="BW266" i="1"/>
  <c r="BW18" i="1"/>
  <c r="AV565" i="1"/>
  <c r="AV571" i="1" s="1"/>
  <c r="AV572" i="1"/>
  <c r="AV487" i="1"/>
  <c r="AV515" i="1"/>
  <c r="AV537" i="1" s="1"/>
  <c r="AV283" i="1"/>
  <c r="AV267" i="1"/>
  <c r="AV278" i="1"/>
  <c r="AV27" i="1" s="1"/>
  <c r="AV28" i="1" s="1"/>
  <c r="AV23" i="1"/>
  <c r="AY91" i="1"/>
  <c r="AY111" i="1"/>
  <c r="BZ89" i="1"/>
  <c r="BZ110" i="1" s="1"/>
  <c r="AY110" i="1"/>
  <c r="AZ527" i="1"/>
  <c r="BZ392" i="1"/>
  <c r="AZ532" i="1"/>
  <c r="BZ296" i="1"/>
  <c r="AS432" i="1"/>
  <c r="AZ525" i="1"/>
  <c r="BZ391" i="1"/>
  <c r="AZ398" i="1"/>
  <c r="BZ50" i="1"/>
  <c r="BZ61" i="1" s="1"/>
  <c r="AZ253" i="1"/>
  <c r="AZ203" i="1"/>
  <c r="AZ205" i="1" s="1"/>
  <c r="AZ192" i="1"/>
  <c r="BV572" i="1"/>
  <c r="BV267" i="1"/>
  <c r="AR537" i="1"/>
  <c r="BV515" i="1"/>
  <c r="BV537" i="1" s="1"/>
  <c r="AY154" i="1"/>
  <c r="AZ165" i="1"/>
  <c r="AZ154" i="1" s="1"/>
  <c r="AY465" i="1"/>
  <c r="BY465" i="1"/>
  <c r="AS572" i="1"/>
  <c r="AS565" i="1"/>
  <c r="AS515" i="1"/>
  <c r="AS487" i="1"/>
  <c r="AS283" i="1"/>
  <c r="BW283" i="1" s="1"/>
  <c r="AS278" i="1"/>
  <c r="AS27" i="1" s="1"/>
  <c r="AS28" i="1" s="1"/>
  <c r="BW258" i="1"/>
  <c r="AS267" i="1"/>
  <c r="AS23" i="1"/>
  <c r="AW141" i="1"/>
  <c r="BZ532" i="1"/>
  <c r="AX155" i="1"/>
  <c r="BY155" i="1" s="1"/>
  <c r="AU363" i="1"/>
  <c r="AZ252" i="1"/>
  <c r="AZ254" i="1" s="1"/>
  <c r="AZ264" i="1"/>
  <c r="AU266" i="1"/>
  <c r="AU258" i="1"/>
  <c r="BX256" i="1"/>
  <c r="BX266" i="1" s="1"/>
  <c r="AD553" i="1"/>
  <c r="AD550" i="1"/>
  <c r="AD549" i="1"/>
  <c r="AD554" i="1"/>
  <c r="AD556" i="1" s="1"/>
  <c r="AD558" i="1" s="1"/>
  <c r="AD289" i="1"/>
  <c r="AD4" i="1" s="1"/>
  <c r="AE282" i="1"/>
  <c r="AY205" i="1"/>
  <c r="AR498" i="1"/>
  <c r="BV285" i="1"/>
  <c r="AX425" i="1"/>
  <c r="BY422" i="1"/>
  <c r="BZ63" i="1"/>
  <c r="AY228" i="1"/>
  <c r="AX226" i="1"/>
  <c r="AX227" i="1" s="1"/>
  <c r="AX236" i="1" s="1"/>
  <c r="AT547" i="1"/>
  <c r="AT548" i="1"/>
  <c r="BZ51" i="1"/>
  <c r="AR545" i="1"/>
  <c r="AR25" i="1"/>
  <c r="BV23" i="1"/>
  <c r="BV545" i="1" s="1"/>
  <c r="BV26" i="1"/>
  <c r="AR571" i="1"/>
  <c r="BV565" i="1"/>
  <c r="BV571" i="1" s="1"/>
  <c r="AT328" i="1"/>
  <c r="AT373" i="1"/>
  <c r="AC555" i="1"/>
  <c r="AX140" i="1"/>
  <c r="AX129" i="1"/>
  <c r="AX130" i="1" s="1"/>
  <c r="BZ253" i="1"/>
  <c r="AS388" i="1"/>
  <c r="AT335" i="1"/>
  <c r="AT387" i="1" s="1"/>
  <c r="AY250" i="1"/>
  <c r="BZ248" i="1"/>
  <c r="AY135" i="1"/>
  <c r="AZ127" i="1"/>
  <c r="BZ127" i="1" s="1"/>
  <c r="BZ135" i="1" s="1"/>
  <c r="AY128" i="1"/>
  <c r="BY226" i="1"/>
  <c r="AW227" i="1"/>
  <c r="BZ527" i="1"/>
  <c r="AU498" i="1"/>
  <c r="AD5" i="1"/>
  <c r="AD2" i="1"/>
  <c r="AD3" i="1"/>
  <c r="AC5" i="1" s="1"/>
  <c r="AE1" i="1"/>
  <c r="AW257" i="1"/>
  <c r="BY225" i="1"/>
  <c r="BY228" i="1" s="1"/>
  <c r="AW254" i="1"/>
  <c r="BY252" i="1"/>
  <c r="BY586" i="1"/>
  <c r="BY317" i="1"/>
  <c r="BY307" i="1"/>
  <c r="AX92" i="1"/>
  <c r="BY92" i="1" s="1"/>
  <c r="BY102" i="1" s="1"/>
  <c r="BR1" i="1"/>
  <c r="BQ2" i="1"/>
  <c r="BQ3" i="1"/>
  <c r="AY307" i="1"/>
  <c r="AY494" i="1"/>
  <c r="BZ192" i="1"/>
  <c r="AZ420" i="1"/>
  <c r="AZ499" i="1"/>
  <c r="BZ499" i="1" s="1"/>
  <c r="BZ405" i="1"/>
  <c r="AZ407" i="1"/>
  <c r="AZ528" i="1"/>
  <c r="AZ526" i="1"/>
  <c r="BZ526" i="1" s="1"/>
  <c r="BZ394" i="1"/>
  <c r="BZ528" i="1" s="1"/>
  <c r="BZ531" i="1"/>
  <c r="BS286" i="1"/>
  <c r="AL286" i="1" s="1"/>
  <c r="AC556" i="1"/>
  <c r="BJ1" i="56"/>
  <c r="BI2" i="56"/>
  <c r="BI3" i="56"/>
  <c r="AD3" i="56"/>
  <c r="AD2" i="56"/>
  <c r="AE1" i="56"/>
  <c r="BS288" i="1" l="1"/>
  <c r="BS289" i="1" s="1"/>
  <c r="BS4" i="1" s="1"/>
  <c r="AX141" i="1"/>
  <c r="BY130" i="1"/>
  <c r="BY141" i="1" s="1"/>
  <c r="BR2" i="1"/>
  <c r="BS1" i="1"/>
  <c r="BR3" i="1"/>
  <c r="BZ205" i="1"/>
  <c r="AS571" i="1"/>
  <c r="BW565" i="1"/>
  <c r="BW571" i="1" s="1"/>
  <c r="AX265" i="1"/>
  <c r="BY129" i="1"/>
  <c r="AY140" i="1"/>
  <c r="AY129" i="1"/>
  <c r="AY130" i="1" s="1"/>
  <c r="BZ203" i="1"/>
  <c r="BZ154" i="1"/>
  <c r="BZ165" i="1" s="1"/>
  <c r="AY155" i="1"/>
  <c r="BZ155" i="1" s="1"/>
  <c r="AZ93" i="1"/>
  <c r="AZ92" i="1"/>
  <c r="AZ408" i="1"/>
  <c r="BZ91" i="1"/>
  <c r="AY93" i="1"/>
  <c r="AY92" i="1"/>
  <c r="AR548" i="1"/>
  <c r="AR547" i="1"/>
  <c r="BZ420" i="1"/>
  <c r="AZ422" i="1"/>
  <c r="AX93" i="1"/>
  <c r="AW265" i="1"/>
  <c r="AW256" i="1"/>
  <c r="BY254" i="1"/>
  <c r="BY265" i="1" s="1"/>
  <c r="AY252" i="1"/>
  <c r="BZ250" i="1"/>
  <c r="BZ264" i="1" s="1"/>
  <c r="AY264" i="1"/>
  <c r="AZ155" i="1"/>
  <c r="BS550" i="1"/>
  <c r="BS549" i="1"/>
  <c r="BT282" i="1"/>
  <c r="AF1" i="1"/>
  <c r="AE2" i="1"/>
  <c r="AE3" i="1"/>
  <c r="AC557" i="1"/>
  <c r="BN555" i="1"/>
  <c r="BN557" i="1" s="1"/>
  <c r="BV547" i="1"/>
  <c r="AU565" i="1"/>
  <c r="AU572" i="1"/>
  <c r="AU487" i="1"/>
  <c r="AU515" i="1"/>
  <c r="BX258" i="1"/>
  <c r="AU283" i="1"/>
  <c r="BX283" i="1" s="1"/>
  <c r="AU23" i="1"/>
  <c r="AU267" i="1"/>
  <c r="AU278" i="1"/>
  <c r="AU27" i="1" s="1"/>
  <c r="AU28" i="1" s="1"/>
  <c r="AU356" i="1"/>
  <c r="AU360" i="1" s="1"/>
  <c r="AU367" i="1"/>
  <c r="AV362" i="1" s="1"/>
  <c r="AS545" i="1"/>
  <c r="BW26" i="1"/>
  <c r="BW23" i="1"/>
  <c r="BW545" i="1" s="1"/>
  <c r="AS25" i="1"/>
  <c r="BW487" i="1"/>
  <c r="BY32" i="1"/>
  <c r="BY35" i="1" s="1"/>
  <c r="BZ398" i="1"/>
  <c r="BZ408" i="1" s="1"/>
  <c r="AV545" i="1"/>
  <c r="AV25" i="1"/>
  <c r="AW285" i="1" s="1"/>
  <c r="AK336" i="1"/>
  <c r="AK388" i="1" s="1"/>
  <c r="AK378" i="1"/>
  <c r="BO556" i="1"/>
  <c r="BO558" i="1" s="1"/>
  <c r="AC558" i="1"/>
  <c r="BN556" i="1"/>
  <c r="BN558" i="1" s="1"/>
  <c r="BZ225" i="1"/>
  <c r="BZ228" i="1" s="1"/>
  <c r="AY226" i="1"/>
  <c r="AZ228" i="1"/>
  <c r="AZ226" i="1" s="1"/>
  <c r="AZ227" i="1" s="1"/>
  <c r="AZ236" i="1" s="1"/>
  <c r="AX255" i="1"/>
  <c r="BY255" i="1" s="1"/>
  <c r="BW572" i="1"/>
  <c r="BW267" i="1"/>
  <c r="AZ465" i="1"/>
  <c r="AS434" i="1"/>
  <c r="AT428" i="1" s="1"/>
  <c r="BZ586" i="1"/>
  <c r="BZ317" i="1"/>
  <c r="BZ316" i="1" s="1"/>
  <c r="BZ307" i="1"/>
  <c r="AZ265" i="1"/>
  <c r="BZ494" i="1"/>
  <c r="BZ495" i="1" s="1"/>
  <c r="AY495" i="1"/>
  <c r="AU504" i="1"/>
  <c r="AZ135" i="1"/>
  <c r="AZ128" i="1"/>
  <c r="BZ128" i="1" s="1"/>
  <c r="BZ140" i="1" s="1"/>
  <c r="AT321" i="1"/>
  <c r="AT381" i="1"/>
  <c r="AT332" i="1"/>
  <c r="BY425" i="1"/>
  <c r="AE288" i="1"/>
  <c r="AE287" i="1"/>
  <c r="BZ311" i="1"/>
  <c r="BY316" i="1"/>
  <c r="BZ407" i="1"/>
  <c r="BZ105" i="1"/>
  <c r="BZ168" i="1"/>
  <c r="BO19" i="1"/>
  <c r="BO17" i="1"/>
  <c r="BO548" i="1" s="1"/>
  <c r="BO20" i="1"/>
  <c r="AW236" i="1"/>
  <c r="BY227" i="1"/>
  <c r="BY236" i="1" s="1"/>
  <c r="BX18" i="1"/>
  <c r="AD555" i="1"/>
  <c r="AD557" i="1" s="1"/>
  <c r="AS285" i="1"/>
  <c r="BV25" i="1"/>
  <c r="AR504" i="1"/>
  <c r="AR506" i="1" s="1"/>
  <c r="AR509" i="1" s="1"/>
  <c r="AS507" i="1" s="1"/>
  <c r="BV498" i="1"/>
  <c r="BV504" i="1" s="1"/>
  <c r="BV506" i="1" s="1"/>
  <c r="BV509" i="1" s="1"/>
  <c r="AR466" i="1"/>
  <c r="AR292" i="1"/>
  <c r="BW515" i="1"/>
  <c r="BW537" i="1" s="1"/>
  <c r="AS537" i="1"/>
  <c r="AE3" i="56"/>
  <c r="AE2" i="56"/>
  <c r="AF1" i="56"/>
  <c r="BJ2" i="56"/>
  <c r="BK1" i="56"/>
  <c r="BJ3" i="56"/>
  <c r="AY141" i="1" l="1"/>
  <c r="BZ465" i="1"/>
  <c r="AZ425" i="1"/>
  <c r="BZ422" i="1"/>
  <c r="AU545" i="1"/>
  <c r="BX26" i="1"/>
  <c r="BX23" i="1"/>
  <c r="BX545" i="1" s="1"/>
  <c r="AU25" i="1"/>
  <c r="AF2" i="1"/>
  <c r="AF3" i="1"/>
  <c r="AE5" i="1" s="1"/>
  <c r="AF5" i="1"/>
  <c r="AG1" i="1"/>
  <c r="BZ252" i="1"/>
  <c r="AY254" i="1"/>
  <c r="AS547" i="1"/>
  <c r="AS548" i="1"/>
  <c r="AY255" i="1"/>
  <c r="BT288" i="1"/>
  <c r="BT286" i="1"/>
  <c r="AN286" i="1" s="1"/>
  <c r="BV466" i="1"/>
  <c r="BV468" i="1" s="1"/>
  <c r="BV470" i="1" s="1"/>
  <c r="AS466" i="1"/>
  <c r="AR468" i="1"/>
  <c r="AR470" i="1" s="1"/>
  <c r="AU327" i="1"/>
  <c r="AT385" i="1"/>
  <c r="AT374" i="1"/>
  <c r="AT325" i="1"/>
  <c r="BZ226" i="1"/>
  <c r="AY227" i="1"/>
  <c r="BX572" i="1"/>
  <c r="BX267" i="1"/>
  <c r="BY256" i="1"/>
  <c r="BY266" i="1" s="1"/>
  <c r="AW266" i="1"/>
  <c r="AW258" i="1"/>
  <c r="AT433" i="1"/>
  <c r="BO555" i="1"/>
  <c r="BO557" i="1" s="1"/>
  <c r="AX256" i="1"/>
  <c r="BS3" i="1"/>
  <c r="BS2" i="1"/>
  <c r="BT1" i="1"/>
  <c r="AR472" i="1"/>
  <c r="BV292" i="1"/>
  <c r="AR297" i="1"/>
  <c r="AR64" i="1"/>
  <c r="BV64" i="1" s="1"/>
  <c r="AR104" i="1"/>
  <c r="AR167" i="1"/>
  <c r="BW547" i="1"/>
  <c r="BZ93" i="1"/>
  <c r="AY257" i="1"/>
  <c r="AE549" i="1"/>
  <c r="AE553" i="1"/>
  <c r="AE550" i="1"/>
  <c r="AF282" i="1"/>
  <c r="AE289" i="1"/>
  <c r="AE4" i="1" s="1"/>
  <c r="AE554" i="1"/>
  <c r="AZ130" i="1"/>
  <c r="AZ141" i="1" s="1"/>
  <c r="AZ140" i="1"/>
  <c r="AZ129" i="1"/>
  <c r="AZ255" i="1" s="1"/>
  <c r="AZ256" i="1" s="1"/>
  <c r="AW498" i="1"/>
  <c r="AU371" i="1"/>
  <c r="AV370" i="1" s="1"/>
  <c r="AV355" i="1"/>
  <c r="BX515" i="1"/>
  <c r="BX537" i="1" s="1"/>
  <c r="AU537" i="1"/>
  <c r="AU571" i="1"/>
  <c r="BX565" i="1"/>
  <c r="BX571" i="1" s="1"/>
  <c r="AS498" i="1"/>
  <c r="BW285" i="1"/>
  <c r="AV548" i="1"/>
  <c r="AV547" i="1"/>
  <c r="BW25" i="1"/>
  <c r="AT285" i="1"/>
  <c r="AT498" i="1" s="1"/>
  <c r="AT504" i="1" s="1"/>
  <c r="AT506" i="1" s="1"/>
  <c r="BX487" i="1"/>
  <c r="AU506" i="1"/>
  <c r="AX257" i="1"/>
  <c r="BY257" i="1" s="1"/>
  <c r="BY18" i="1" s="1"/>
  <c r="BY93" i="1"/>
  <c r="BZ92" i="1"/>
  <c r="BZ102" i="1" s="1"/>
  <c r="BZ129" i="1"/>
  <c r="BK2" i="56"/>
  <c r="BL1" i="56"/>
  <c r="BK3" i="56"/>
  <c r="AF3" i="56"/>
  <c r="AF2" i="56"/>
  <c r="AG1" i="56"/>
  <c r="AT429" i="1" l="1"/>
  <c r="BW433" i="1"/>
  <c r="BT3" i="1"/>
  <c r="BU1" i="1"/>
  <c r="BT2" i="1"/>
  <c r="AW572" i="1"/>
  <c r="AW565" i="1"/>
  <c r="AW515" i="1"/>
  <c r="AW283" i="1"/>
  <c r="AW487" i="1"/>
  <c r="AW267" i="1"/>
  <c r="AW278" i="1"/>
  <c r="AW27" i="1" s="1"/>
  <c r="AW28" i="1" s="1"/>
  <c r="AW23" i="1"/>
  <c r="AT378" i="1"/>
  <c r="AU320" i="1"/>
  <c r="AT336" i="1"/>
  <c r="BV476" i="1"/>
  <c r="BV474" i="1"/>
  <c r="BV475" i="1"/>
  <c r="BV559" i="1"/>
  <c r="AY265" i="1"/>
  <c r="AY256" i="1"/>
  <c r="BZ254" i="1"/>
  <c r="BZ265" i="1" s="1"/>
  <c r="BX25" i="1"/>
  <c r="AV285" i="1"/>
  <c r="BZ425" i="1"/>
  <c r="AE556" i="1"/>
  <c r="AX258" i="1"/>
  <c r="AX266" i="1"/>
  <c r="BX547" i="1"/>
  <c r="BZ32" i="1"/>
  <c r="BZ35" i="1" s="1"/>
  <c r="AE555" i="1"/>
  <c r="AS504" i="1"/>
  <c r="AS506" i="1" s="1"/>
  <c r="AS509" i="1" s="1"/>
  <c r="AT507" i="1" s="1"/>
  <c r="AT509" i="1" s="1"/>
  <c r="AU507" i="1" s="1"/>
  <c r="AU509" i="1" s="1"/>
  <c r="AV507" i="1" s="1"/>
  <c r="BW498" i="1"/>
  <c r="BW504" i="1" s="1"/>
  <c r="BW506" i="1" s="1"/>
  <c r="AZ257" i="1"/>
  <c r="AZ258" i="1" s="1"/>
  <c r="BT553" i="1"/>
  <c r="BT550" i="1"/>
  <c r="BT549" i="1"/>
  <c r="BT554" i="1"/>
  <c r="BT289" i="1"/>
  <c r="BT4" i="1" s="1"/>
  <c r="BU282" i="1"/>
  <c r="AG3" i="1"/>
  <c r="AH1" i="1"/>
  <c r="AG2" i="1"/>
  <c r="AU380" i="1"/>
  <c r="BZ255" i="1"/>
  <c r="AU547" i="1"/>
  <c r="AU548" i="1"/>
  <c r="AV363" i="1"/>
  <c r="AT466" i="1"/>
  <c r="AS468" i="1"/>
  <c r="AS470" i="1" s="1"/>
  <c r="AS292" i="1"/>
  <c r="AW504" i="1"/>
  <c r="AF287" i="1"/>
  <c r="AF288" i="1" s="1"/>
  <c r="AR308" i="1"/>
  <c r="AR409" i="1" s="1"/>
  <c r="AR477" i="1" s="1"/>
  <c r="BV297" i="1"/>
  <c r="BV308" i="1" s="1"/>
  <c r="BV409" i="1" s="1"/>
  <c r="AZ266" i="1"/>
  <c r="BW507" i="1"/>
  <c r="BV472" i="1"/>
  <c r="BV62" i="1"/>
  <c r="BV103" i="1"/>
  <c r="BV166" i="1"/>
  <c r="BV584" i="1"/>
  <c r="AY236" i="1"/>
  <c r="BZ227" i="1"/>
  <c r="BZ236" i="1" s="1"/>
  <c r="AR474" i="1"/>
  <c r="AR475" i="1"/>
  <c r="AR559" i="1"/>
  <c r="BP19" i="1"/>
  <c r="BP20" i="1"/>
  <c r="BP17" i="1"/>
  <c r="BP548" i="1" s="1"/>
  <c r="BZ130" i="1"/>
  <c r="BZ141" i="1" s="1"/>
  <c r="AG3" i="56"/>
  <c r="AG2" i="56"/>
  <c r="AH1" i="56"/>
  <c r="BL3" i="56"/>
  <c r="BL2" i="56"/>
  <c r="BM1" i="56"/>
  <c r="AZ565" i="1" l="1"/>
  <c r="AZ571" i="1" s="1"/>
  <c r="AZ572" i="1"/>
  <c r="AZ487" i="1"/>
  <c r="AZ515" i="1"/>
  <c r="AZ537" i="1" s="1"/>
  <c r="AZ278" i="1"/>
  <c r="AZ27" i="1" s="1"/>
  <c r="AZ28" i="1" s="1"/>
  <c r="AZ23" i="1"/>
  <c r="AZ283" i="1"/>
  <c r="AZ267" i="1"/>
  <c r="AF553" i="1"/>
  <c r="AF549" i="1"/>
  <c r="AF550" i="1"/>
  <c r="AF554" i="1"/>
  <c r="AF289" i="1"/>
  <c r="AF4" i="1" s="1"/>
  <c r="AG282" i="1"/>
  <c r="AX572" i="1"/>
  <c r="AX565" i="1"/>
  <c r="AX571" i="1" s="1"/>
  <c r="AX515" i="1"/>
  <c r="AX537" i="1" s="1"/>
  <c r="AX487" i="1"/>
  <c r="AX278" i="1"/>
  <c r="AX27" i="1" s="1"/>
  <c r="AX28" i="1" s="1"/>
  <c r="AX283" i="1"/>
  <c r="AX267" i="1"/>
  <c r="AX23" i="1"/>
  <c r="BY515" i="1"/>
  <c r="BY537" i="1" s="1"/>
  <c r="AW537" i="1"/>
  <c r="BZ257" i="1"/>
  <c r="BY258" i="1"/>
  <c r="AW571" i="1"/>
  <c r="BY565" i="1"/>
  <c r="BY571" i="1" s="1"/>
  <c r="BV1" i="1"/>
  <c r="BU3" i="1"/>
  <c r="BU2" i="1"/>
  <c r="AS474" i="1"/>
  <c r="AS475" i="1"/>
  <c r="AS559" i="1"/>
  <c r="AU466" i="1"/>
  <c r="BW466" i="1"/>
  <c r="BW468" i="1" s="1"/>
  <c r="BW470" i="1" s="1"/>
  <c r="AT468" i="1"/>
  <c r="AT470" i="1" s="1"/>
  <c r="BW509" i="1"/>
  <c r="AE558" i="1"/>
  <c r="AW545" i="1"/>
  <c r="AW25" i="1"/>
  <c r="BY26" i="1"/>
  <c r="AT388" i="1"/>
  <c r="AU335" i="1"/>
  <c r="AU387" i="1" s="1"/>
  <c r="BW429" i="1"/>
  <c r="AT432" i="1"/>
  <c r="AI1" i="1"/>
  <c r="AH3" i="1"/>
  <c r="AG5" i="1" s="1"/>
  <c r="AH2" i="1"/>
  <c r="AH5" i="1"/>
  <c r="BY283" i="1"/>
  <c r="AV498" i="1"/>
  <c r="BX285" i="1"/>
  <c r="BU286" i="1"/>
  <c r="AP286" i="1" s="1"/>
  <c r="AV356" i="1"/>
  <c r="AV360" i="1" s="1"/>
  <c r="AV367" i="1"/>
  <c r="AW362" i="1" s="1"/>
  <c r="AR476" i="1"/>
  <c r="BZ256" i="1"/>
  <c r="BZ266" i="1" s="1"/>
  <c r="AY258" i="1"/>
  <c r="AY266" i="1"/>
  <c r="AS472" i="1"/>
  <c r="AT292" i="1"/>
  <c r="AS297" i="1"/>
  <c r="AS308" i="1" s="1"/>
  <c r="AS409" i="1" s="1"/>
  <c r="AS477" i="1" s="1"/>
  <c r="AS64" i="1"/>
  <c r="AS167" i="1"/>
  <c r="AS104" i="1"/>
  <c r="AE557" i="1"/>
  <c r="AU373" i="1"/>
  <c r="AU328" i="1"/>
  <c r="AW506" i="1"/>
  <c r="BM2" i="56"/>
  <c r="BN1" i="56"/>
  <c r="BM3" i="56"/>
  <c r="AH2" i="56"/>
  <c r="AI1" i="56"/>
  <c r="AH3" i="56"/>
  <c r="AX285" i="1" l="1"/>
  <c r="AV371" i="1"/>
  <c r="AW370" i="1" s="1"/>
  <c r="AW355" i="1"/>
  <c r="AX545" i="1"/>
  <c r="AX25" i="1"/>
  <c r="AY285" i="1" s="1"/>
  <c r="AV504" i="1"/>
  <c r="AV506" i="1" s="1"/>
  <c r="AV509" i="1" s="1"/>
  <c r="AW507" i="1" s="1"/>
  <c r="BX498" i="1"/>
  <c r="BX504" i="1" s="1"/>
  <c r="BX506" i="1" s="1"/>
  <c r="AT472" i="1"/>
  <c r="AT297" i="1"/>
  <c r="BW292" i="1"/>
  <c r="AU292" i="1"/>
  <c r="AT64" i="1"/>
  <c r="AT167" i="1"/>
  <c r="AT104" i="1"/>
  <c r="AV466" i="1"/>
  <c r="AU468" i="1"/>
  <c r="AU470" i="1" s="1"/>
  <c r="AU381" i="1"/>
  <c r="AU321" i="1"/>
  <c r="AU332" i="1"/>
  <c r="BW1" i="1"/>
  <c r="BV2" i="1"/>
  <c r="BV3" i="1"/>
  <c r="AF556" i="1"/>
  <c r="AZ545" i="1"/>
  <c r="AZ25" i="1"/>
  <c r="AT434" i="1"/>
  <c r="AU428" i="1" s="1"/>
  <c r="BW432" i="1"/>
  <c r="BW434" i="1" s="1"/>
  <c r="BX428" i="1" s="1"/>
  <c r="AS476" i="1"/>
  <c r="AG287" i="1"/>
  <c r="AG288" i="1" s="1"/>
  <c r="AW509" i="1"/>
  <c r="AX507" i="1" s="1"/>
  <c r="BU288" i="1"/>
  <c r="BW474" i="1"/>
  <c r="BW475" i="1"/>
  <c r="BW559" i="1"/>
  <c r="AF555" i="1"/>
  <c r="BY487" i="1"/>
  <c r="AW548" i="1"/>
  <c r="AW547" i="1"/>
  <c r="AY572" i="1"/>
  <c r="AY565" i="1"/>
  <c r="AY515" i="1"/>
  <c r="AY487" i="1"/>
  <c r="AY283" i="1"/>
  <c r="BZ283" i="1" s="1"/>
  <c r="AY278" i="1"/>
  <c r="AY27" i="1" s="1"/>
  <c r="AY28" i="1" s="1"/>
  <c r="AY267" i="1"/>
  <c r="AY23" i="1"/>
  <c r="BZ258" i="1"/>
  <c r="BQ20" i="1"/>
  <c r="BQ19" i="1"/>
  <c r="BQ17" i="1"/>
  <c r="BY572" i="1"/>
  <c r="BY267" i="1"/>
  <c r="BW64" i="1"/>
  <c r="AI3" i="1"/>
  <c r="AJ1" i="1"/>
  <c r="BY23" i="1"/>
  <c r="BY545" i="1" s="1"/>
  <c r="AT474" i="1"/>
  <c r="AT475" i="1"/>
  <c r="AT559" i="1"/>
  <c r="BZ18" i="1"/>
  <c r="AJ1" i="56"/>
  <c r="AI3" i="56"/>
  <c r="BN3" i="56"/>
  <c r="BO1" i="56"/>
  <c r="BN2" i="56"/>
  <c r="AG553" i="1" l="1"/>
  <c r="AG554" i="1"/>
  <c r="AG549" i="1"/>
  <c r="AG550" i="1"/>
  <c r="AH282" i="1"/>
  <c r="AG289" i="1"/>
  <c r="AG4" i="1" s="1"/>
  <c r="BQ578" i="1"/>
  <c r="BQ548" i="1"/>
  <c r="AT308" i="1"/>
  <c r="AT409" i="1" s="1"/>
  <c r="BW297" i="1"/>
  <c r="BW308" i="1" s="1"/>
  <c r="BW409" i="1" s="1"/>
  <c r="BW476" i="1" s="1"/>
  <c r="AW363" i="1"/>
  <c r="BZ487" i="1"/>
  <c r="BU553" i="1"/>
  <c r="BU549" i="1"/>
  <c r="BU554" i="1"/>
  <c r="BU550" i="1"/>
  <c r="BV282" i="1"/>
  <c r="BV288" i="1" s="1"/>
  <c r="BU289" i="1"/>
  <c r="BU4" i="1" s="1"/>
  <c r="AU433" i="1"/>
  <c r="AU385" i="1"/>
  <c r="AV327" i="1"/>
  <c r="AX548" i="1"/>
  <c r="AX547" i="1"/>
  <c r="BX1" i="1"/>
  <c r="BW2" i="1"/>
  <c r="BW3" i="1"/>
  <c r="AU374" i="1"/>
  <c r="AU325" i="1"/>
  <c r="BZ565" i="1"/>
  <c r="BZ571" i="1" s="1"/>
  <c r="AY571" i="1"/>
  <c r="AW466" i="1"/>
  <c r="BX466" i="1"/>
  <c r="BX468" i="1" s="1"/>
  <c r="BX470" i="1" s="1"/>
  <c r="AV468" i="1"/>
  <c r="AV470" i="1" s="1"/>
  <c r="AZ547" i="1"/>
  <c r="AZ548" i="1"/>
  <c r="AX498" i="1"/>
  <c r="BY285" i="1"/>
  <c r="AJ5" i="1"/>
  <c r="AJ2" i="1"/>
  <c r="AK1" i="1"/>
  <c r="AJ3" i="1"/>
  <c r="AI5" i="1" s="1"/>
  <c r="AF557" i="1"/>
  <c r="BP555" i="1"/>
  <c r="BP557" i="1" s="1"/>
  <c r="BZ572" i="1"/>
  <c r="BZ267" i="1"/>
  <c r="AY545" i="1"/>
  <c r="BZ23" i="1"/>
  <c r="BZ545" i="1" s="1"/>
  <c r="BZ26" i="1"/>
  <c r="AY25" i="1"/>
  <c r="BZ515" i="1"/>
  <c r="BZ537" i="1" s="1"/>
  <c r="AY537" i="1"/>
  <c r="AU297" i="1"/>
  <c r="AU308" i="1" s="1"/>
  <c r="AU409" i="1" s="1"/>
  <c r="AU476" i="1" s="1"/>
  <c r="AU472" i="1"/>
  <c r="AV292" i="1"/>
  <c r="AU64" i="1"/>
  <c r="AU167" i="1"/>
  <c r="AU104" i="1"/>
  <c r="BY547" i="1"/>
  <c r="AF558" i="1"/>
  <c r="BP556" i="1"/>
  <c r="BP558" i="1" s="1"/>
  <c r="AU474" i="1"/>
  <c r="AU475" i="1"/>
  <c r="AU559" i="1"/>
  <c r="BW472" i="1"/>
  <c r="BX507" i="1"/>
  <c r="BX509" i="1" s="1"/>
  <c r="BW62" i="1"/>
  <c r="BW103" i="1"/>
  <c r="BW166" i="1"/>
  <c r="BW584" i="1"/>
  <c r="AY498" i="1"/>
  <c r="BY25" i="1"/>
  <c r="BP1" i="56"/>
  <c r="BO2" i="56"/>
  <c r="BO3" i="56"/>
  <c r="AK1" i="56"/>
  <c r="AJ3" i="56"/>
  <c r="AJ2" i="56"/>
  <c r="BX474" i="1" l="1"/>
  <c r="BX475" i="1"/>
  <c r="BX559" i="1"/>
  <c r="AH287" i="1"/>
  <c r="AH288" i="1"/>
  <c r="AU477" i="1"/>
  <c r="AX504" i="1"/>
  <c r="AX506" i="1" s="1"/>
  <c r="AX509" i="1" s="1"/>
  <c r="AY507" i="1" s="1"/>
  <c r="BY498" i="1"/>
  <c r="BY504" i="1" s="1"/>
  <c r="BY506" i="1" s="1"/>
  <c r="AU429" i="1"/>
  <c r="AT477" i="1"/>
  <c r="AT476" i="1"/>
  <c r="BX2" i="1"/>
  <c r="BX3" i="1"/>
  <c r="BY1" i="1"/>
  <c r="AW356" i="1"/>
  <c r="AW360" i="1" s="1"/>
  <c r="AW367" i="1"/>
  <c r="AX362" i="1" s="1"/>
  <c r="BZ25" i="1"/>
  <c r="AZ285" i="1"/>
  <c r="AG556" i="1"/>
  <c r="AY547" i="1"/>
  <c r="AY548" i="1"/>
  <c r="AX466" i="1"/>
  <c r="AW468" i="1"/>
  <c r="AW470" i="1" s="1"/>
  <c r="AY504" i="1"/>
  <c r="AY506" i="1" s="1"/>
  <c r="AY509" i="1" s="1"/>
  <c r="AZ507" i="1" s="1"/>
  <c r="BR20" i="1"/>
  <c r="BR19" i="1"/>
  <c r="BR17" i="1"/>
  <c r="AV297" i="1"/>
  <c r="AV472" i="1"/>
  <c r="AW292" i="1"/>
  <c r="BX292" i="1"/>
  <c r="AV64" i="1"/>
  <c r="BX64" i="1" s="1"/>
  <c r="AV104" i="1"/>
  <c r="AV167" i="1"/>
  <c r="AL1" i="1"/>
  <c r="AK3" i="1"/>
  <c r="BV554" i="1"/>
  <c r="BV553" i="1"/>
  <c r="BV549" i="1"/>
  <c r="BV289" i="1"/>
  <c r="BV4" i="1" s="1"/>
  <c r="BW282" i="1"/>
  <c r="BW288" i="1" s="1"/>
  <c r="BZ547" i="1"/>
  <c r="AV474" i="1"/>
  <c r="AV475" i="1"/>
  <c r="AV559" i="1"/>
  <c r="AU378" i="1"/>
  <c r="AU336" i="1"/>
  <c r="AV320" i="1"/>
  <c r="AV380" i="1"/>
  <c r="AG555" i="1"/>
  <c r="AK3" i="56"/>
  <c r="AL1" i="56"/>
  <c r="BP2" i="56"/>
  <c r="BQ1" i="56"/>
  <c r="BP3" i="56"/>
  <c r="BW554" i="1" l="1"/>
  <c r="BW553" i="1"/>
  <c r="BW549" i="1"/>
  <c r="BX282" i="1"/>
  <c r="BX288" i="1" s="1"/>
  <c r="BW289" i="1"/>
  <c r="BW4" i="1" s="1"/>
  <c r="AL5" i="1"/>
  <c r="AL3" i="1"/>
  <c r="AK5" i="1" s="1"/>
  <c r="AL2" i="1"/>
  <c r="AM1" i="1"/>
  <c r="AW472" i="1"/>
  <c r="AX292" i="1"/>
  <c r="AW297" i="1"/>
  <c r="AW308" i="1" s="1"/>
  <c r="AW409" i="1" s="1"/>
  <c r="AW477" i="1" s="1"/>
  <c r="AW64" i="1"/>
  <c r="AW104" i="1"/>
  <c r="AW167" i="1"/>
  <c r="AG558" i="1"/>
  <c r="BX472" i="1"/>
  <c r="BY507" i="1"/>
  <c r="BX62" i="1"/>
  <c r="BX103" i="1"/>
  <c r="BX166" i="1"/>
  <c r="BX584" i="1"/>
  <c r="AH554" i="1"/>
  <c r="BP554" i="1"/>
  <c r="AH550" i="1"/>
  <c r="BP553" i="1"/>
  <c r="AH553" i="1"/>
  <c r="AH549" i="1"/>
  <c r="AH289" i="1"/>
  <c r="AH4" i="1" s="1"/>
  <c r="AI282" i="1"/>
  <c r="AI288" i="1" s="1"/>
  <c r="AU388" i="1"/>
  <c r="AV335" i="1"/>
  <c r="AV387" i="1" s="1"/>
  <c r="AX355" i="1"/>
  <c r="AW371" i="1"/>
  <c r="AX370" i="1" s="1"/>
  <c r="AU432" i="1"/>
  <c r="AV328" i="1"/>
  <c r="AV373" i="1"/>
  <c r="AG557" i="1"/>
  <c r="BX297" i="1"/>
  <c r="BX308" i="1" s="1"/>
  <c r="BX409" i="1" s="1"/>
  <c r="BX476" i="1" s="1"/>
  <c r="AV308" i="1"/>
  <c r="AV409" i="1" s="1"/>
  <c r="AW476" i="1"/>
  <c r="AW474" i="1"/>
  <c r="AW475" i="1"/>
  <c r="AW559" i="1"/>
  <c r="AZ498" i="1"/>
  <c r="BZ285" i="1"/>
  <c r="BY509" i="1"/>
  <c r="BR548" i="1"/>
  <c r="BR578" i="1"/>
  <c r="AY466" i="1"/>
  <c r="BY466" i="1"/>
  <c r="BY468" i="1" s="1"/>
  <c r="BY470" i="1" s="1"/>
  <c r="AX468" i="1"/>
  <c r="AX470" i="1" s="1"/>
  <c r="BY3" i="1"/>
  <c r="BZ1" i="1"/>
  <c r="BY2" i="1"/>
  <c r="BQ2" i="56"/>
  <c r="BQ3" i="56"/>
  <c r="AL3" i="56"/>
  <c r="AM1" i="56"/>
  <c r="AL2" i="56"/>
  <c r="AX474" i="1" l="1"/>
  <c r="AX475" i="1"/>
  <c r="AX559" i="1"/>
  <c r="BY474" i="1"/>
  <c r="BY475" i="1"/>
  <c r="BY559" i="1"/>
  <c r="AZ504" i="1"/>
  <c r="AZ506" i="1" s="1"/>
  <c r="AZ509" i="1" s="1"/>
  <c r="BZ498" i="1"/>
  <c r="BZ504" i="1" s="1"/>
  <c r="BZ506" i="1" s="1"/>
  <c r="AV476" i="1"/>
  <c r="AV477" i="1"/>
  <c r="AV381" i="1"/>
  <c r="AV321" i="1"/>
  <c r="AV332" i="1"/>
  <c r="AM3" i="1"/>
  <c r="AN1" i="1"/>
  <c r="BX554" i="1"/>
  <c r="BX553" i="1"/>
  <c r="BX549" i="1"/>
  <c r="BY282" i="1"/>
  <c r="BY288" i="1" s="1"/>
  <c r="BX289" i="1"/>
  <c r="BX4" i="1" s="1"/>
  <c r="AX363" i="1"/>
  <c r="AH555" i="1"/>
  <c r="AX472" i="1"/>
  <c r="BY292" i="1"/>
  <c r="AY292" i="1"/>
  <c r="AX297" i="1"/>
  <c r="AX64" i="1"/>
  <c r="AX104" i="1"/>
  <c r="AX167" i="1"/>
  <c r="AZ466" i="1"/>
  <c r="AY468" i="1"/>
  <c r="AY470" i="1" s="1"/>
  <c r="AU434" i="1"/>
  <c r="AV428" i="1" s="1"/>
  <c r="AI554" i="1"/>
  <c r="AI553" i="1"/>
  <c r="AI555" i="1" s="1"/>
  <c r="AI550" i="1"/>
  <c r="BQ553" i="1"/>
  <c r="AI549" i="1"/>
  <c r="BQ554" i="1"/>
  <c r="AI289" i="1"/>
  <c r="AI4" i="1" s="1"/>
  <c r="AJ282" i="1"/>
  <c r="AJ288" i="1" s="1"/>
  <c r="BZ3" i="1"/>
  <c r="BZ2" i="1"/>
  <c r="AH556" i="1"/>
  <c r="BY64" i="1"/>
  <c r="BS20" i="1"/>
  <c r="BS19" i="1"/>
  <c r="BS17" i="1"/>
  <c r="AM3" i="56"/>
  <c r="AN1" i="56"/>
  <c r="AI557" i="1" l="1"/>
  <c r="AJ553" i="1"/>
  <c r="BR554" i="1"/>
  <c r="AJ554" i="1"/>
  <c r="AJ556" i="1" s="1"/>
  <c r="AJ550" i="1"/>
  <c r="BR553" i="1"/>
  <c r="AJ549" i="1"/>
  <c r="AJ289" i="1"/>
  <c r="AJ4" i="1" s="1"/>
  <c r="AK282" i="1"/>
  <c r="AK288" i="1" s="1"/>
  <c r="BZ509" i="1"/>
  <c r="AV433" i="1"/>
  <c r="AW327" i="1"/>
  <c r="AV385" i="1"/>
  <c r="AH558" i="1"/>
  <c r="BQ556" i="1"/>
  <c r="BQ558" i="1" s="1"/>
  <c r="BY297" i="1"/>
  <c r="BY308" i="1" s="1"/>
  <c r="BY409" i="1" s="1"/>
  <c r="BY476" i="1" s="1"/>
  <c r="AX308" i="1"/>
  <c r="AX409" i="1" s="1"/>
  <c r="AV374" i="1"/>
  <c r="AV325" i="1"/>
  <c r="AH557" i="1"/>
  <c r="BQ555" i="1"/>
  <c r="BQ557" i="1" s="1"/>
  <c r="AI556" i="1"/>
  <c r="AY474" i="1"/>
  <c r="AY475" i="1"/>
  <c r="AY559" i="1"/>
  <c r="AY472" i="1"/>
  <c r="AZ292" i="1"/>
  <c r="AY297" i="1"/>
  <c r="AY308" i="1" s="1"/>
  <c r="AY409" i="1" s="1"/>
  <c r="AY477" i="1" s="1"/>
  <c r="AY64" i="1"/>
  <c r="AY104" i="1"/>
  <c r="AY167" i="1"/>
  <c r="AX356" i="1"/>
  <c r="AX360" i="1" s="1"/>
  <c r="AX367" i="1"/>
  <c r="AY362" i="1" s="1"/>
  <c r="AJ555" i="1"/>
  <c r="BY554" i="1"/>
  <c r="BY553" i="1"/>
  <c r="BY549" i="1"/>
  <c r="BZ282" i="1"/>
  <c r="BZ288" i="1" s="1"/>
  <c r="BS578" i="1"/>
  <c r="BS548" i="1"/>
  <c r="BZ466" i="1"/>
  <c r="BZ468" i="1" s="1"/>
  <c r="BZ470" i="1" s="1"/>
  <c r="AZ468" i="1"/>
  <c r="AZ470" i="1" s="1"/>
  <c r="BZ507" i="1"/>
  <c r="BY472" i="1"/>
  <c r="BY62" i="1"/>
  <c r="BY166" i="1"/>
  <c r="BY103" i="1"/>
  <c r="BY584" i="1"/>
  <c r="AO1" i="1"/>
  <c r="AN3" i="1"/>
  <c r="AM5" i="1" s="1"/>
  <c r="AN2" i="1"/>
  <c r="AN5" i="1"/>
  <c r="AN3" i="56"/>
  <c r="AO1" i="56"/>
  <c r="AN2" i="56"/>
  <c r="AJ558" i="1" l="1"/>
  <c r="BZ474" i="1"/>
  <c r="BZ475" i="1"/>
  <c r="BZ559" i="1"/>
  <c r="BS554" i="1"/>
  <c r="BS553" i="1"/>
  <c r="AK549" i="1"/>
  <c r="AK550" i="1"/>
  <c r="AK554" i="1"/>
  <c r="AK553" i="1"/>
  <c r="AK555" i="1" s="1"/>
  <c r="AL282" i="1"/>
  <c r="AL288" i="1" s="1"/>
  <c r="AK289" i="1"/>
  <c r="AK4" i="1" s="1"/>
  <c r="BY289" i="1"/>
  <c r="BY4" i="1" s="1"/>
  <c r="AJ557" i="1"/>
  <c r="AY476" i="1"/>
  <c r="AW320" i="1"/>
  <c r="AV378" i="1"/>
  <c r="AV336" i="1"/>
  <c r="AV429" i="1"/>
  <c r="BX433" i="1"/>
  <c r="BT17" i="1"/>
  <c r="BT19" i="1"/>
  <c r="BT20" i="1"/>
  <c r="BZ553" i="1"/>
  <c r="BZ549" i="1"/>
  <c r="BZ554" i="1"/>
  <c r="AZ472" i="1"/>
  <c r="AZ297" i="1"/>
  <c r="BZ292" i="1"/>
  <c r="AZ64" i="1"/>
  <c r="BZ64" i="1" s="1"/>
  <c r="AZ167" i="1"/>
  <c r="AZ104" i="1"/>
  <c r="AW380" i="1"/>
  <c r="AO3" i="1"/>
  <c r="AP1" i="1"/>
  <c r="AZ474" i="1"/>
  <c r="AZ475" i="1"/>
  <c r="AZ559" i="1"/>
  <c r="AX371" i="1"/>
  <c r="AY370" i="1" s="1"/>
  <c r="AY355" i="1"/>
  <c r="BR556" i="1"/>
  <c r="BR558" i="1" s="1"/>
  <c r="AI558" i="1"/>
  <c r="AX476" i="1"/>
  <c r="AX477" i="1"/>
  <c r="BR555" i="1"/>
  <c r="BR557" i="1" s="1"/>
  <c r="AP1" i="56"/>
  <c r="AO3" i="56"/>
  <c r="AK557" i="1" l="1"/>
  <c r="BS555" i="1"/>
  <c r="BS557" i="1" s="1"/>
  <c r="BX429" i="1"/>
  <c r="AV432" i="1"/>
  <c r="AP2" i="1"/>
  <c r="AP3" i="1"/>
  <c r="AO5" i="1" s="1"/>
  <c r="AQ1" i="1"/>
  <c r="BZ297" i="1"/>
  <c r="BZ308" i="1" s="1"/>
  <c r="BZ409" i="1" s="1"/>
  <c r="AZ308" i="1"/>
  <c r="AZ409" i="1" s="1"/>
  <c r="BT578" i="1"/>
  <c r="BT548" i="1"/>
  <c r="AW373" i="1"/>
  <c r="AW328" i="1"/>
  <c r="AL554" i="1"/>
  <c r="AL549" i="1"/>
  <c r="AL289" i="1"/>
  <c r="AL4" i="1" s="1"/>
  <c r="AL553" i="1"/>
  <c r="AL550" i="1"/>
  <c r="AM282" i="1"/>
  <c r="AM288" i="1" s="1"/>
  <c r="AY363" i="1"/>
  <c r="AV388" i="1"/>
  <c r="AW335" i="1"/>
  <c r="AW387" i="1" s="1"/>
  <c r="AK556" i="1"/>
  <c r="BZ472" i="1"/>
  <c r="BZ62" i="1"/>
  <c r="BZ166" i="1"/>
  <c r="BZ103" i="1"/>
  <c r="BZ584" i="1"/>
  <c r="AP2" i="56"/>
  <c r="AQ1" i="56"/>
  <c r="AP3" i="56"/>
  <c r="AY356" i="1" l="1"/>
  <c r="AY360" i="1" s="1"/>
  <c r="AY367" i="1"/>
  <c r="AZ362" i="1" s="1"/>
  <c r="AP5" i="1"/>
  <c r="BU19" i="1" s="1"/>
  <c r="AZ476" i="1"/>
  <c r="AZ477" i="1"/>
  <c r="AV434" i="1"/>
  <c r="AW428" i="1" s="1"/>
  <c r="BX432" i="1"/>
  <c r="AQ3" i="1"/>
  <c r="AR1" i="1"/>
  <c r="AQ2" i="1"/>
  <c r="AL556" i="1"/>
  <c r="AL558" i="1" s="1"/>
  <c r="AL555" i="1"/>
  <c r="AL557" i="1" s="1"/>
  <c r="AK558" i="1"/>
  <c r="BS556" i="1"/>
  <c r="BS558" i="1" s="1"/>
  <c r="AM554" i="1"/>
  <c r="AM553" i="1"/>
  <c r="AM555" i="1" s="1"/>
  <c r="AM549" i="1"/>
  <c r="AM550" i="1"/>
  <c r="AN282" i="1"/>
  <c r="AN288" i="1" s="1"/>
  <c r="AM289" i="1"/>
  <c r="AM4" i="1" s="1"/>
  <c r="AW381" i="1"/>
  <c r="AW321" i="1"/>
  <c r="AW332" i="1"/>
  <c r="BZ476" i="1"/>
  <c r="BZ289" i="1"/>
  <c r="BZ4" i="1" s="1"/>
  <c r="BX434" i="1"/>
  <c r="BY428" i="1" s="1"/>
  <c r="AQ2" i="56"/>
  <c r="AQ3" i="56"/>
  <c r="AR1" i="56"/>
  <c r="AW385" i="1" l="1"/>
  <c r="AX327" i="1"/>
  <c r="AW433" i="1"/>
  <c r="AW374" i="1"/>
  <c r="AW325" i="1"/>
  <c r="AZ355" i="1"/>
  <c r="AY371" i="1"/>
  <c r="AZ370" i="1" s="1"/>
  <c r="BU20" i="1"/>
  <c r="AR2" i="1"/>
  <c r="AS1" i="1"/>
  <c r="AR3" i="1"/>
  <c r="AQ5" i="1" s="1"/>
  <c r="AM556" i="1"/>
  <c r="BU17" i="1"/>
  <c r="AN554" i="1"/>
  <c r="AN556" i="1" s="1"/>
  <c r="AN558" i="1" s="1"/>
  <c r="AN553" i="1"/>
  <c r="AN549" i="1"/>
  <c r="AN550" i="1"/>
  <c r="AO282" i="1"/>
  <c r="AN289" i="1"/>
  <c r="AN4" i="1" s="1"/>
  <c r="AM557" i="1"/>
  <c r="AR2" i="56"/>
  <c r="AR3" i="56"/>
  <c r="AS1" i="56"/>
  <c r="AO287" i="1" l="1"/>
  <c r="AO288" i="1" s="1"/>
  <c r="AR5" i="1"/>
  <c r="AS2" i="1"/>
  <c r="AS3" i="1"/>
  <c r="AT1" i="1"/>
  <c r="AZ363" i="1"/>
  <c r="BT556" i="1"/>
  <c r="BT558" i="1" s="1"/>
  <c r="AM558" i="1"/>
  <c r="AN555" i="1"/>
  <c r="AX380" i="1"/>
  <c r="BV19" i="1"/>
  <c r="BV17" i="1"/>
  <c r="BV20" i="1"/>
  <c r="BV273" i="1"/>
  <c r="BV274" i="1"/>
  <c r="BV278" i="1" s="1"/>
  <c r="BV27" i="1" s="1"/>
  <c r="BV28" i="1" s="1"/>
  <c r="AW429" i="1"/>
  <c r="BU578" i="1"/>
  <c r="BU548" i="1"/>
  <c r="AW336" i="1"/>
  <c r="AX320" i="1"/>
  <c r="AW378" i="1"/>
  <c r="AS3" i="56"/>
  <c r="AS2" i="56"/>
  <c r="AT1" i="56"/>
  <c r="AO554" i="1" l="1"/>
  <c r="AO553" i="1"/>
  <c r="AO550" i="1"/>
  <c r="AO549" i="1"/>
  <c r="AO289" i="1"/>
  <c r="AO4" i="1" s="1"/>
  <c r="AP282" i="1"/>
  <c r="AW432" i="1"/>
  <c r="AX328" i="1"/>
  <c r="AX373" i="1"/>
  <c r="AZ356" i="1"/>
  <c r="AZ360" i="1" s="1"/>
  <c r="AZ371" i="1" s="1"/>
  <c r="AZ367" i="1"/>
  <c r="AX335" i="1"/>
  <c r="AX387" i="1" s="1"/>
  <c r="AW388" i="1"/>
  <c r="BV578" i="1"/>
  <c r="BV548" i="1"/>
  <c r="BV588" i="1"/>
  <c r="BV550" i="1"/>
  <c r="AN557" i="1"/>
  <c r="BT555" i="1"/>
  <c r="BT557" i="1" s="1"/>
  <c r="AU1" i="1"/>
  <c r="AT3" i="1"/>
  <c r="AS5" i="1" s="1"/>
  <c r="AT2" i="1"/>
  <c r="AT2" i="56"/>
  <c r="AT3" i="56"/>
  <c r="AU3" i="1" l="1"/>
  <c r="AV1" i="1"/>
  <c r="AU2" i="1"/>
  <c r="BW20" i="1"/>
  <c r="BW19" i="1"/>
  <c r="BW273" i="1"/>
  <c r="AW434" i="1"/>
  <c r="AX428" i="1" s="1"/>
  <c r="AO555" i="1"/>
  <c r="AT5" i="1"/>
  <c r="BW17" i="1" s="1"/>
  <c r="AP287" i="1"/>
  <c r="AP288" i="1" s="1"/>
  <c r="AX321" i="1"/>
  <c r="AX381" i="1"/>
  <c r="AX332" i="1"/>
  <c r="AO556" i="1"/>
  <c r="BW548" i="1" l="1"/>
  <c r="BW578" i="1"/>
  <c r="AX374" i="1"/>
  <c r="AX325" i="1"/>
  <c r="AX433" i="1"/>
  <c r="AO558" i="1"/>
  <c r="AP553" i="1"/>
  <c r="AP550" i="1"/>
  <c r="AP549" i="1"/>
  <c r="AP554" i="1"/>
  <c r="AP289" i="1"/>
  <c r="AP4" i="1" s="1"/>
  <c r="AQ282" i="1"/>
  <c r="AQ288" i="1" s="1"/>
  <c r="BW588" i="1"/>
  <c r="BW550" i="1"/>
  <c r="BW274" i="1"/>
  <c r="BW278" i="1" s="1"/>
  <c r="BW27" i="1" s="1"/>
  <c r="BW28" i="1" s="1"/>
  <c r="AV5" i="1"/>
  <c r="AV3" i="1"/>
  <c r="AU5" i="1" s="1"/>
  <c r="AW1" i="1"/>
  <c r="AV2" i="1"/>
  <c r="AY327" i="1"/>
  <c r="AX385" i="1"/>
  <c r="AO557" i="1"/>
  <c r="AP556" i="1" l="1"/>
  <c r="AX429" i="1"/>
  <c r="BY433" i="1"/>
  <c r="AY380" i="1"/>
  <c r="AY320" i="1"/>
  <c r="AX336" i="1"/>
  <c r="AX378" i="1"/>
  <c r="AW2" i="1"/>
  <c r="AX1" i="1"/>
  <c r="AW3" i="1"/>
  <c r="AQ553" i="1"/>
  <c r="AQ549" i="1"/>
  <c r="AQ554" i="1"/>
  <c r="AQ550" i="1"/>
  <c r="AR282" i="1"/>
  <c r="AR288" i="1" s="1"/>
  <c r="AQ289" i="1"/>
  <c r="AQ4" i="1" s="1"/>
  <c r="AQ555" i="1"/>
  <c r="AQ557" i="1" s="1"/>
  <c r="AP555" i="1"/>
  <c r="BX20" i="1"/>
  <c r="BX19" i="1"/>
  <c r="BX17" i="1"/>
  <c r="BX274" i="1"/>
  <c r="BX278" i="1" s="1"/>
  <c r="BX27" i="1" s="1"/>
  <c r="BX28" i="1" s="1"/>
  <c r="BX273" i="1"/>
  <c r="BV555" i="1" l="1"/>
  <c r="BV557" i="1" s="1"/>
  <c r="AP557" i="1"/>
  <c r="BU555" i="1"/>
  <c r="BU557" i="1" s="1"/>
  <c r="BX588" i="1"/>
  <c r="BX550" i="1"/>
  <c r="AR555" i="1"/>
  <c r="BY429" i="1"/>
  <c r="AX432" i="1"/>
  <c r="AX2" i="1"/>
  <c r="AX3" i="1"/>
  <c r="AW5" i="1" s="1"/>
  <c r="AY1" i="1"/>
  <c r="AY335" i="1"/>
  <c r="AY387" i="1" s="1"/>
  <c r="AX388" i="1"/>
  <c r="AP558" i="1"/>
  <c r="BU556" i="1"/>
  <c r="BU558" i="1" s="1"/>
  <c r="BX548" i="1"/>
  <c r="BX578" i="1"/>
  <c r="AR554" i="1"/>
  <c r="AR556" i="1" s="1"/>
  <c r="AR558" i="1" s="1"/>
  <c r="AR550" i="1"/>
  <c r="AR553" i="1"/>
  <c r="AR549" i="1"/>
  <c r="AR289" i="1"/>
  <c r="AR4" i="1" s="1"/>
  <c r="AS282" i="1"/>
  <c r="AS288" i="1" s="1"/>
  <c r="AY373" i="1"/>
  <c r="AY328" i="1"/>
  <c r="AQ556" i="1"/>
  <c r="H38" i="2" l="1"/>
  <c r="BY20" i="1"/>
  <c r="C74" i="2"/>
  <c r="H20" i="2"/>
  <c r="C24" i="2"/>
  <c r="H31" i="2"/>
  <c r="C31" i="2"/>
  <c r="H71" i="2"/>
  <c r="AS553" i="1"/>
  <c r="AS554" i="1"/>
  <c r="AS556" i="1" s="1"/>
  <c r="AS550" i="1"/>
  <c r="AS549" i="1"/>
  <c r="AS289" i="1"/>
  <c r="AS4" i="1" s="1"/>
  <c r="AT282" i="1"/>
  <c r="AT288" i="1" s="1"/>
  <c r="C79" i="2"/>
  <c r="H56" i="2"/>
  <c r="AX434" i="1"/>
  <c r="AY428" i="1" s="1"/>
  <c r="BY432" i="1"/>
  <c r="BY434" i="1" s="1"/>
  <c r="BZ428" i="1" s="1"/>
  <c r="C20" i="2"/>
  <c r="C76" i="2"/>
  <c r="AY381" i="1"/>
  <c r="AY321" i="1"/>
  <c r="AY332" i="1"/>
  <c r="H62" i="2"/>
  <c r="AR557" i="1"/>
  <c r="C29" i="2"/>
  <c r="H84" i="2"/>
  <c r="C23" i="2"/>
  <c r="H40" i="2"/>
  <c r="C22" i="2"/>
  <c r="H58" i="2"/>
  <c r="C58" i="2"/>
  <c r="C19" i="2"/>
  <c r="AY2" i="1"/>
  <c r="AY3" i="1"/>
  <c r="AZ1" i="1"/>
  <c r="H32" i="2" s="1"/>
  <c r="H36" i="2"/>
  <c r="C50" i="2"/>
  <c r="C18" i="2"/>
  <c r="H30" i="2"/>
  <c r="C49" i="2"/>
  <c r="H80" i="2"/>
  <c r="C36" i="2"/>
  <c r="H67" i="2"/>
  <c r="H50" i="2"/>
  <c r="C80" i="2"/>
  <c r="H54" i="2"/>
  <c r="H66" i="2"/>
  <c r="H86" i="2"/>
  <c r="H79" i="2"/>
  <c r="AS555" i="1"/>
  <c r="BW555" i="1" s="1"/>
  <c r="BW557" i="1" s="1"/>
  <c r="BV556" i="1"/>
  <c r="BV558" i="1" s="1"/>
  <c r="AQ558" i="1"/>
  <c r="H68" i="2"/>
  <c r="H41" i="2"/>
  <c r="C51" i="2"/>
  <c r="H42" i="2"/>
  <c r="H81" i="2"/>
  <c r="C39" i="2"/>
  <c r="C55" i="2"/>
  <c r="AX5" i="1"/>
  <c r="BY19" i="1" s="1"/>
  <c r="H51" i="2"/>
  <c r="H73" i="2"/>
  <c r="C32" i="2"/>
  <c r="H72" i="2"/>
  <c r="H39" i="2"/>
  <c r="C54" i="2"/>
  <c r="H37" i="2"/>
  <c r="H76" i="2"/>
  <c r="D21" i="2"/>
  <c r="AY374" i="1" l="1"/>
  <c r="AY325" i="1"/>
  <c r="C56" i="2"/>
  <c r="C57" i="2" s="1"/>
  <c r="H18" i="2"/>
  <c r="H75" i="2"/>
  <c r="C37" i="2"/>
  <c r="C70" i="2"/>
  <c r="C72" i="2"/>
  <c r="H19" i="2"/>
  <c r="H64" i="2"/>
  <c r="C81" i="2"/>
  <c r="BY274" i="1"/>
  <c r="BY278" i="1" s="1"/>
  <c r="BY27" i="1" s="1"/>
  <c r="BY28" i="1" s="1"/>
  <c r="H47" i="2"/>
  <c r="H57" i="2"/>
  <c r="AY433" i="1"/>
  <c r="C73" i="2"/>
  <c r="H63" i="2"/>
  <c r="C46" i="2"/>
  <c r="H74" i="2"/>
  <c r="C28" i="2"/>
  <c r="H28" i="2"/>
  <c r="BY273" i="1"/>
  <c r="H77" i="2"/>
  <c r="AS557" i="1"/>
  <c r="H46" i="2"/>
  <c r="H23" i="2"/>
  <c r="C47" i="2"/>
  <c r="C48" i="2" s="1"/>
  <c r="H61" i="2"/>
  <c r="C27" i="2"/>
  <c r="H33" i="2"/>
  <c r="H24" i="2"/>
  <c r="H55" i="2"/>
  <c r="AT554" i="1"/>
  <c r="AT556" i="1" s="1"/>
  <c r="AT558" i="1" s="1"/>
  <c r="AT550" i="1"/>
  <c r="AT553" i="1"/>
  <c r="AT555" i="1" s="1"/>
  <c r="AT549" i="1"/>
  <c r="AT289" i="1"/>
  <c r="AT4" i="1" s="1"/>
  <c r="AU282" i="1"/>
  <c r="AU288" i="1" s="1"/>
  <c r="C40" i="2"/>
  <c r="H27" i="2"/>
  <c r="H21" i="2"/>
  <c r="BY17" i="1"/>
  <c r="AY385" i="1"/>
  <c r="AZ327" i="1"/>
  <c r="AS558" i="1"/>
  <c r="AZ3" i="1"/>
  <c r="AY5" i="1" s="1"/>
  <c r="AZ2" i="1"/>
  <c r="C33" i="2"/>
  <c r="H69" i="2"/>
  <c r="H22" i="2"/>
  <c r="H65" i="2"/>
  <c r="H45" i="2"/>
  <c r="H85" i="2"/>
  <c r="C45" i="2"/>
  <c r="C42" i="2"/>
  <c r="C38" i="2"/>
  <c r="H49" i="2"/>
  <c r="H48" i="2" s="1"/>
  <c r="H82" i="2"/>
  <c r="C75" i="2"/>
  <c r="H29" i="2"/>
  <c r="C71" i="2"/>
  <c r="H70" i="2"/>
  <c r="D39" i="2"/>
  <c r="AT557" i="1" l="1"/>
  <c r="BW556" i="1"/>
  <c r="BW558" i="1" s="1"/>
  <c r="BY588" i="1"/>
  <c r="BY550" i="1"/>
  <c r="AY336" i="1"/>
  <c r="AY378" i="1"/>
  <c r="AZ320" i="1"/>
  <c r="AZ5" i="1"/>
  <c r="BZ17" i="1" s="1"/>
  <c r="BZ19" i="1"/>
  <c r="BZ273" i="1"/>
  <c r="AY429" i="1"/>
  <c r="AZ380" i="1"/>
  <c r="AU554" i="1"/>
  <c r="AU556" i="1" s="1"/>
  <c r="AU553" i="1"/>
  <c r="AU550" i="1"/>
  <c r="AU549" i="1"/>
  <c r="AV282" i="1"/>
  <c r="AV288" i="1" s="1"/>
  <c r="AU289" i="1"/>
  <c r="AU4" i="1" s="1"/>
  <c r="BY548" i="1"/>
  <c r="BY578" i="1"/>
  <c r="D30" i="2"/>
  <c r="BZ548" i="1" l="1"/>
  <c r="BZ578" i="1"/>
  <c r="AU558" i="1"/>
  <c r="BZ274" i="1"/>
  <c r="BZ278" i="1" s="1"/>
  <c r="BZ27" i="1" s="1"/>
  <c r="BZ28" i="1" s="1"/>
  <c r="AZ328" i="1"/>
  <c r="AZ373" i="1"/>
  <c r="BZ588" i="1"/>
  <c r="BZ550" i="1"/>
  <c r="AU555" i="1"/>
  <c r="BZ20" i="1"/>
  <c r="AY388" i="1"/>
  <c r="AZ335" i="1"/>
  <c r="AZ387" i="1" s="1"/>
  <c r="AV553" i="1"/>
  <c r="AV550" i="1"/>
  <c r="AV549" i="1"/>
  <c r="AV289" i="1"/>
  <c r="AV4" i="1" s="1"/>
  <c r="AW282" i="1"/>
  <c r="AW288" i="1" s="1"/>
  <c r="AV554" i="1"/>
  <c r="AY432" i="1"/>
  <c r="F30" i="2"/>
  <c r="AV556" i="1" l="1"/>
  <c r="AY434" i="1"/>
  <c r="AZ428" i="1" s="1"/>
  <c r="AU557" i="1"/>
  <c r="BX555" i="1"/>
  <c r="BX557" i="1" s="1"/>
  <c r="AW549" i="1"/>
  <c r="AW550" i="1"/>
  <c r="AW553" i="1"/>
  <c r="AW554" i="1"/>
  <c r="AX282" i="1"/>
  <c r="AX288" i="1" s="1"/>
  <c r="AW289" i="1"/>
  <c r="AW4" i="1" s="1"/>
  <c r="AV555" i="1"/>
  <c r="AV557" i="1" s="1"/>
  <c r="AZ321" i="1"/>
  <c r="AZ381" i="1"/>
  <c r="AZ332" i="1"/>
  <c r="AZ385" i="1" s="1"/>
  <c r="G30" i="2"/>
  <c r="F39" i="2"/>
  <c r="G39" i="2"/>
  <c r="AZ374" i="1" l="1"/>
  <c r="AZ325" i="1"/>
  <c r="AW555" i="1"/>
  <c r="AZ433" i="1"/>
  <c r="AV558" i="1"/>
  <c r="BX556" i="1"/>
  <c r="BX558" i="1" s="1"/>
  <c r="AX553" i="1"/>
  <c r="AX549" i="1"/>
  <c r="AX554" i="1"/>
  <c r="AX550" i="1"/>
  <c r="AX289" i="1"/>
  <c r="AX4" i="1" s="1"/>
  <c r="AY282" i="1"/>
  <c r="AY288" i="1" s="1"/>
  <c r="BY555" i="1"/>
  <c r="BY557" i="1" s="1"/>
  <c r="AW556" i="1"/>
  <c r="D19" i="2"/>
  <c r="AW557" i="1" l="1"/>
  <c r="AX556" i="1"/>
  <c r="AX558" i="1" s="1"/>
  <c r="AZ336" i="1"/>
  <c r="AZ388" i="1" s="1"/>
  <c r="AZ378" i="1"/>
  <c r="AW558" i="1"/>
  <c r="AZ429" i="1"/>
  <c r="BZ433" i="1"/>
  <c r="AY553" i="1"/>
  <c r="AY554" i="1"/>
  <c r="AY549" i="1"/>
  <c r="AY550" i="1"/>
  <c r="AY289" i="1"/>
  <c r="AY4" i="1" s="1"/>
  <c r="AZ282" i="1"/>
  <c r="AZ288" i="1" s="1"/>
  <c r="AX555" i="1"/>
  <c r="AX557" i="1" s="1"/>
  <c r="C21" i="2"/>
  <c r="AZ554" i="1" l="1"/>
  <c r="AZ550" i="1"/>
  <c r="AZ553" i="1"/>
  <c r="AZ555" i="1" s="1"/>
  <c r="AZ557" i="1" s="1"/>
  <c r="AZ549" i="1"/>
  <c r="AZ289" i="1"/>
  <c r="AZ4" i="1" s="1"/>
  <c r="AY555" i="1"/>
  <c r="AY557" i="1" s="1"/>
  <c r="BZ429" i="1"/>
  <c r="AZ432" i="1"/>
  <c r="AZ556" i="1"/>
  <c r="AZ558" i="1" s="1"/>
  <c r="BY556" i="1"/>
  <c r="BY558" i="1" s="1"/>
  <c r="AY556" i="1"/>
  <c r="C30" i="2"/>
  <c r="BZ555" i="1" l="1"/>
  <c r="BZ557" i="1" s="1"/>
  <c r="AZ434" i="1"/>
  <c r="BZ432" i="1"/>
  <c r="BZ434" i="1"/>
  <c r="BZ556" i="1"/>
  <c r="BZ558" i="1" s="1"/>
  <c r="AY558" i="1"/>
  <c r="D28" i="2"/>
  <c r="D45" i="2" l="1"/>
  <c r="D46" i="2" l="1"/>
  <c r="D47" i="2"/>
  <c r="C41" i="2" l="1"/>
  <c r="D37" i="2" l="1"/>
  <c r="D75" i="2" l="1"/>
  <c r="D64" i="2" l="1"/>
  <c r="D54" i="2" l="1"/>
  <c r="D55" i="2" l="1"/>
  <c r="D56" i="2"/>
  <c r="D62" i="2" l="1"/>
  <c r="D58" i="2" l="1"/>
  <c r="D57" i="2" s="1"/>
  <c r="C85" i="2" l="1"/>
  <c r="E30" i="2" l="1"/>
  <c r="E21" i="2"/>
  <c r="E39" i="2"/>
  <c r="E19" i="2" l="1"/>
  <c r="F19" i="2" l="1"/>
  <c r="G19" i="2" l="1"/>
  <c r="D18" i="2" l="1"/>
  <c r="E18" i="2" l="1"/>
  <c r="D20" i="2"/>
  <c r="E20" i="2" l="1"/>
  <c r="F18" i="2" l="1"/>
  <c r="D22" i="2"/>
  <c r="D23" i="2"/>
  <c r="F20" i="2"/>
  <c r="E22" i="2" l="1"/>
  <c r="G18" i="2"/>
  <c r="F22" i="2" l="1"/>
  <c r="E23" i="2"/>
  <c r="D24" i="2"/>
  <c r="D70" i="2"/>
  <c r="F21" i="2"/>
  <c r="F23" i="2" l="1"/>
  <c r="E24" i="2"/>
  <c r="E70" i="2"/>
  <c r="F24" i="2"/>
  <c r="G20" i="2"/>
  <c r="F70" i="2" l="1"/>
  <c r="G22" i="2"/>
  <c r="G23" i="2" l="1"/>
  <c r="G21" i="2"/>
  <c r="G24" i="2"/>
  <c r="G70" i="2"/>
  <c r="E28" i="2" l="1"/>
  <c r="F28" i="2" l="1"/>
  <c r="G28" i="2" l="1"/>
  <c r="D27" i="2" l="1"/>
  <c r="E27" i="2" l="1"/>
  <c r="D29" i="2"/>
  <c r="E29" i="2" l="1"/>
  <c r="D31" i="2"/>
  <c r="F27" i="2" l="1"/>
  <c r="E31" i="2"/>
  <c r="D32" i="2"/>
  <c r="F29" i="2" l="1"/>
  <c r="F31" i="2"/>
  <c r="D71" i="2" l="1"/>
  <c r="D33" i="2"/>
  <c r="F32" i="2"/>
  <c r="E32" i="2"/>
  <c r="G31" i="2"/>
  <c r="G27" i="2"/>
  <c r="F71" i="2" l="1"/>
  <c r="E71" i="2"/>
  <c r="E33" i="2"/>
  <c r="F33" i="2"/>
  <c r="G29" i="2"/>
  <c r="G32" i="2" l="1"/>
  <c r="G71" i="2" l="1"/>
  <c r="G33" i="2"/>
  <c r="E45" i="2" l="1"/>
  <c r="E47" i="2" l="1"/>
  <c r="E46" i="2"/>
  <c r="D49" i="2"/>
  <c r="D66" i="2"/>
  <c r="F45" i="2" l="1"/>
  <c r="D50" i="2"/>
  <c r="F47" i="2"/>
  <c r="D48" i="2"/>
  <c r="E66" i="2"/>
  <c r="F46" i="2"/>
  <c r="G45" i="2"/>
  <c r="E49" i="2" l="1"/>
  <c r="G47" i="2"/>
  <c r="G46" i="2"/>
  <c r="D51" i="2" l="1"/>
  <c r="D72" i="2"/>
  <c r="E48" i="2"/>
  <c r="F50" i="2"/>
  <c r="E50" i="2"/>
  <c r="F66" i="2"/>
  <c r="F49" i="2"/>
  <c r="G50" i="2"/>
  <c r="E72" i="2" l="1"/>
  <c r="E51" i="2"/>
  <c r="G66" i="2"/>
  <c r="F48" i="2"/>
  <c r="F72" i="2" l="1"/>
  <c r="F51" i="2"/>
  <c r="G49" i="2"/>
  <c r="G48" i="2" s="1"/>
  <c r="G72" i="2" l="1"/>
  <c r="G51" i="2"/>
  <c r="D36" i="2" l="1"/>
  <c r="E37" i="2"/>
  <c r="E36" i="2" l="1"/>
  <c r="D61" i="2"/>
  <c r="D38" i="2"/>
  <c r="D63" i="2" l="1"/>
  <c r="D40" i="2"/>
  <c r="F37" i="2"/>
  <c r="E38" i="2"/>
  <c r="F36" i="2" l="1"/>
  <c r="E40" i="2"/>
  <c r="G36" i="2"/>
  <c r="D84" i="2"/>
  <c r="D65" i="2"/>
  <c r="G37" i="2"/>
  <c r="F40" i="2" l="1"/>
  <c r="D41" i="2"/>
  <c r="D67" i="2"/>
  <c r="G40" i="2"/>
  <c r="G38" i="2"/>
  <c r="F38" i="2"/>
  <c r="D68" i="2"/>
  <c r="E68" i="2" l="1"/>
  <c r="E41" i="2"/>
  <c r="D73" i="2"/>
  <c r="D42" i="2"/>
  <c r="F41" i="2"/>
  <c r="D69" i="2" l="1"/>
  <c r="F73" i="2"/>
  <c r="E73" i="2"/>
  <c r="E42" i="2"/>
  <c r="G41" i="2"/>
  <c r="F42" i="2" l="1"/>
  <c r="F68" i="2"/>
  <c r="G73" i="2"/>
  <c r="G42" i="2"/>
  <c r="G68" i="2"/>
  <c r="F75" i="2" l="1"/>
  <c r="E75" i="2"/>
  <c r="G75" i="2"/>
  <c r="E64" i="2" l="1"/>
  <c r="C64" i="2" l="1"/>
  <c r="F64" i="2" l="1"/>
  <c r="G64" i="2"/>
  <c r="E55" i="2" l="1"/>
  <c r="E62" i="2" l="1"/>
  <c r="F55" i="2"/>
  <c r="D74" i="2"/>
  <c r="C62" i="2"/>
  <c r="E54" i="2"/>
  <c r="G55" i="2" l="1"/>
  <c r="C61" i="2"/>
  <c r="E61" i="2"/>
  <c r="E56" i="2"/>
  <c r="F62" i="2"/>
  <c r="C63" i="2" l="1"/>
  <c r="C65" i="2"/>
  <c r="D76" i="2"/>
  <c r="C69" i="2"/>
  <c r="C67" i="2"/>
  <c r="C84" i="2"/>
  <c r="C68" i="2"/>
  <c r="E63" i="2"/>
  <c r="F54" i="2"/>
  <c r="C66" i="2" l="1"/>
  <c r="G62" i="2"/>
  <c r="C77" i="2"/>
  <c r="D77" i="2"/>
  <c r="E58" i="2"/>
  <c r="C82" i="2"/>
  <c r="E84" i="2"/>
  <c r="E65" i="2"/>
  <c r="F61" i="2"/>
  <c r="F56" i="2"/>
  <c r="G54" i="2"/>
  <c r="E57" i="2" l="1"/>
  <c r="F58" i="2"/>
  <c r="E74" i="2"/>
  <c r="G61" i="2"/>
  <c r="E67" i="2"/>
  <c r="G56" i="2"/>
  <c r="F84" i="2"/>
  <c r="F63" i="2"/>
  <c r="E76" i="2" l="1"/>
  <c r="F74" i="2"/>
  <c r="F57" i="2"/>
  <c r="G84" i="2"/>
  <c r="G63" i="2"/>
  <c r="F65" i="2"/>
  <c r="E69" i="2" l="1"/>
  <c r="E77" i="2"/>
  <c r="F67" i="2"/>
  <c r="G65" i="2"/>
  <c r="F76" i="2" l="1"/>
  <c r="G58" i="2"/>
  <c r="G57" i="2" s="1"/>
  <c r="G74" i="2"/>
  <c r="H87" i="2"/>
  <c r="G67" i="2"/>
  <c r="F69" i="2"/>
  <c r="G69" i="2" l="1"/>
  <c r="F77" i="2"/>
  <c r="G76" i="2" l="1"/>
  <c r="I87" i="2"/>
  <c r="G77" i="2"/>
  <c r="J87" i="2" l="1"/>
  <c r="E79" i="2" l="1"/>
  <c r="D79" i="2"/>
  <c r="D80" i="2"/>
  <c r="E85" i="2" l="1"/>
  <c r="E80" i="2"/>
  <c r="C86" i="2"/>
  <c r="D81" i="2"/>
  <c r="D85" i="2"/>
  <c r="F79" i="2" l="1"/>
  <c r="F80" i="2"/>
  <c r="D82" i="2"/>
  <c r="E81" i="2"/>
  <c r="F81" i="2" l="1"/>
  <c r="G81" i="2"/>
  <c r="D86" i="2"/>
  <c r="G79" i="2"/>
  <c r="F85" i="2"/>
  <c r="G80" i="2"/>
  <c r="E82" i="2"/>
  <c r="F82" i="2" l="1"/>
  <c r="F86" i="2"/>
  <c r="G82" i="2"/>
  <c r="G86" i="2"/>
  <c r="E86" i="2"/>
  <c r="G85" i="2" l="1"/>
  <c r="DS581" i="1" l="1"/>
  <c r="DS576" i="1"/>
  <c r="DS583" i="1" s="1"/>
  <c r="DS587" i="1" s="1"/>
  <c r="DS589" i="1" s="1"/>
  <c r="BQ576" i="1"/>
  <c r="BR576" i="1"/>
  <c r="BV576" i="1"/>
  <c r="BW581" i="1"/>
  <c r="BY581" i="1"/>
  <c r="BZ576" i="1"/>
  <c r="BZ581" i="1"/>
  <c r="BT576" i="1" l="1"/>
  <c r="BW576" i="1"/>
  <c r="BW583" i="1" s="1"/>
  <c r="BW587" i="1" s="1"/>
  <c r="BW589" i="1" s="1"/>
  <c r="BX576" i="1"/>
  <c r="BS576" i="1"/>
  <c r="BO576" i="1"/>
  <c r="BU581" i="1"/>
  <c r="BQ581" i="1"/>
  <c r="BQ583" i="1" s="1"/>
  <c r="BQ587" i="1" s="1"/>
  <c r="BQ589" i="1" s="1"/>
  <c r="BY576" i="1"/>
  <c r="BY583" i="1" s="1"/>
  <c r="BY587" i="1" s="1"/>
  <c r="BY589" i="1" s="1"/>
  <c r="BV581" i="1"/>
  <c r="BV583" i="1" s="1"/>
  <c r="BV587" i="1" s="1"/>
  <c r="BV589" i="1" s="1"/>
  <c r="BZ583" i="1"/>
  <c r="BZ587" i="1" s="1"/>
  <c r="BZ589" i="1" s="1"/>
  <c r="BT581" i="1"/>
  <c r="BT583" i="1"/>
  <c r="BT587" i="1" s="1"/>
  <c r="BT589" i="1" s="1"/>
  <c r="BX581" i="1"/>
  <c r="BU576" i="1"/>
  <c r="BS581" i="1"/>
  <c r="BR581" i="1"/>
  <c r="BR583" i="1" s="1"/>
  <c r="BR587" i="1" s="1"/>
  <c r="BR589" i="1" s="1"/>
  <c r="BP576" i="1"/>
  <c r="BX583" i="1" l="1"/>
  <c r="BX587" i="1" s="1"/>
  <c r="BX589" i="1" s="1"/>
  <c r="BU583" i="1"/>
  <c r="BU587" i="1" s="1"/>
  <c r="BU589" i="1" s="1"/>
  <c r="BS583" i="1"/>
  <c r="BS587" i="1" s="1"/>
  <c r="BS58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Matthews, Chris J [GIR]</author>
  </authors>
  <commentList>
    <comment ref="A1" authorId="0" shapeId="0" xr:uid="{F34D8CC6-0B2C-4905-B695-340C035AEB17}">
      <text>
        <r>
          <rPr>
            <b/>
            <sz val="9"/>
            <color indexed="81"/>
            <rFont val="Tahoma"/>
            <family val="2"/>
          </rPr>
          <t>&lt;?xml version="1.0" encoding="utf-8"?&gt;&lt;Schema xmlns:xsd="http://www.w3.org/2001/XMLSchema" xmlns:xsi="http://www.w3.org/2001/XMLSchema-instance" Version="2" Timestamp="1767647119"&gt;&lt;FQL&gt;&lt;Q&gt;AUB-AU^FREF_MARKET_VALUE_COMPANY(0,,,,,0,,"LEGACY")&lt;/Q&gt;&lt;R&gt;1&lt;/R&gt;&lt;C&gt;1&lt;/C&gt;&lt;D xsi:type="xsd:double"&gt;3517.44308850002&lt;/D&gt;&lt;/FQL&gt;&lt;FQL&gt;&lt;Q&gt;AUB-AU^FG_PRICE(0)&lt;/Q&gt;&lt;R&gt;1&lt;/R&gt;&lt;C&gt;1&lt;/C&gt;&lt;D xsi:type="xsd:double"&gt;30.17&lt;/D&gt;&lt;/FQL&gt;&lt;/Schema&gt;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Carty, Jak L [GIR]</author>
    <author>Kim, Brian [GIR]</author>
  </authors>
  <commentList>
    <comment ref="AJ23" authorId="0" shapeId="0" xr:uid="{C0C721A1-B16E-4C47-87B1-38870DEAC0D7}">
      <text>
        <r>
          <rPr>
            <b/>
            <sz val="9"/>
            <color indexed="81"/>
            <rFont val="Tahoma"/>
            <family val="2"/>
          </rPr>
          <t>Carty, Jak L [GIR]:</t>
        </r>
        <r>
          <rPr>
            <sz val="9"/>
            <color indexed="81"/>
            <rFont val="Tahoma"/>
            <family val="2"/>
          </rPr>
          <t xml:space="preserve">
As a result of our financial performance, the Directors
have declared a final fully franked dividend of 38.0 cents
per share, payable on 7 October 2022. This, together with
the interim dividend of 17.0 cents, results in a full year
dividend of 55.0 cents, in line with FY21</t>
        </r>
      </text>
    </comment>
    <comment ref="AK32" authorId="0" shapeId="0" xr:uid="{C82941D8-7066-41DF-A4C1-079DE5DF88CC}">
      <text>
        <r>
          <rPr>
            <b/>
            <sz val="9"/>
            <color indexed="81"/>
            <rFont val="Tahoma"/>
            <family val="2"/>
          </rPr>
          <t>Carty, Jak L [GIR]:</t>
        </r>
        <r>
          <rPr>
            <sz val="9"/>
            <color indexed="81"/>
            <rFont val="Tahoma"/>
            <family val="2"/>
          </rPr>
          <t xml:space="preserve">
AUD 176m / GBP 100m of AUB shares to be issued on Acquisition completion at the Offer Price, with a 24 month escrow period post-completion</t>
        </r>
        <r>
          <rPr>
            <b/>
            <sz val="9"/>
            <color indexed="81"/>
            <rFont val="Tahoma"/>
            <family val="2"/>
          </rPr>
          <t xml:space="preserve">. This accounts for the vendor placement.  </t>
        </r>
        <r>
          <rPr>
            <sz val="9"/>
            <color indexed="81"/>
            <rFont val="Tahoma"/>
            <family val="2"/>
          </rPr>
          <t xml:space="preserve">
We have included the Equity capital raising of 350mn in 2H22.</t>
        </r>
      </text>
    </comment>
    <comment ref="AK33" authorId="0" shapeId="0" xr:uid="{C81A14F7-0654-48EA-A15E-8FEBC7027D00}">
      <text>
        <r>
          <rPr>
            <b/>
            <sz val="9"/>
            <color indexed="81"/>
            <rFont val="Tahoma"/>
            <family val="2"/>
          </rPr>
          <t>Carty, Jak L [GIR]:</t>
        </r>
        <r>
          <rPr>
            <sz val="9"/>
            <color indexed="81"/>
            <rFont val="Tahoma"/>
            <family val="2"/>
          </rPr>
          <t xml:space="preserve">
AUD 176m / GBP 100m of AUB shares to be issued on Acquisition completion at the Offer Price, with a 24 month escrow period post-completion. The equity raising will be offered at a price of AUD 19.5 per share. 
</t>
        </r>
      </text>
    </comment>
    <comment ref="AI39" authorId="0" shapeId="0" xr:uid="{0EF48C9A-B8B5-440B-ABB8-9F6143C841DF}">
      <text>
        <r>
          <rPr>
            <b/>
            <sz val="9"/>
            <color indexed="81"/>
            <rFont val="Tahoma"/>
            <family val="2"/>
          </rPr>
          <t>Carty, Jak L [GIR]:</t>
        </r>
        <r>
          <rPr>
            <sz val="9"/>
            <color indexed="81"/>
            <rFont val="Tahoma"/>
            <family val="2"/>
          </rPr>
          <t xml:space="preserve">
Australian Broking has been restructured with BizCover moving to a stand-alone operating business. Comparative information has been restated to conform with the presentation in the current period. Comparative periods have been restated to conform with the presentation in the current period as communicated in the
FY21 AUB Group Investor Presentation on pages 41 and 42</t>
        </r>
      </text>
    </comment>
    <comment ref="AA41" authorId="0" shapeId="0" xr:uid="{3A165191-D299-4AD6-B5F3-5E39F8B26559}">
      <text>
        <r>
          <rPr>
            <b/>
            <sz val="9"/>
            <color indexed="81"/>
            <rFont val="Tahoma"/>
            <family val="2"/>
          </rPr>
          <t>Carty, Jak L [GIR]:</t>
        </r>
        <r>
          <rPr>
            <sz val="9"/>
            <color indexed="81"/>
            <rFont val="Tahoma"/>
            <family val="2"/>
          </rPr>
          <t xml:space="preserve">
Page 10, 1H19 presentation.</t>
        </r>
      </text>
    </comment>
    <comment ref="AC41" authorId="0" shapeId="0" xr:uid="{7E478708-B996-437D-B54A-2190A77A843B}">
      <text>
        <r>
          <rPr>
            <b/>
            <sz val="9"/>
            <color indexed="81"/>
            <rFont val="Tahoma"/>
            <family val="2"/>
          </rPr>
          <t>Carty, Jak L [GIR]:</t>
        </r>
        <r>
          <rPr>
            <sz val="9"/>
            <color indexed="81"/>
            <rFont val="Tahoma"/>
            <family val="2"/>
          </rPr>
          <t xml:space="preserve">
1H20 presentation</t>
        </r>
      </text>
    </comment>
    <comment ref="AE41" authorId="0" shapeId="0" xr:uid="{3AA794AC-E61A-4BE1-B1E2-FA20A2E509C2}">
      <text>
        <r>
          <rPr>
            <b/>
            <sz val="9"/>
            <color indexed="81"/>
            <rFont val="Tahoma"/>
            <family val="2"/>
          </rPr>
          <t>Carty, Jak L [GIR]:</t>
        </r>
        <r>
          <rPr>
            <sz val="9"/>
            <color indexed="81"/>
            <rFont val="Tahoma"/>
            <family val="2"/>
          </rPr>
          <t xml:space="preserve">
1H21 presentation, slide 19</t>
        </r>
      </text>
    </comment>
    <comment ref="BN41" authorId="0" shapeId="0" xr:uid="{95167692-AB6D-40C2-A63D-C31966A80FE9}">
      <text>
        <r>
          <rPr>
            <b/>
            <sz val="9"/>
            <color indexed="81"/>
            <rFont val="Tahoma"/>
            <family val="2"/>
          </rPr>
          <t>Carty, Jak L [GIR]:</t>
        </r>
        <r>
          <rPr>
            <sz val="9"/>
            <color indexed="81"/>
            <rFont val="Tahoma"/>
            <family val="2"/>
          </rPr>
          <t xml:space="preserve">
pg.12 FY19 Analyst pack</t>
        </r>
      </text>
    </comment>
    <comment ref="BO41" authorId="0" shapeId="0" xr:uid="{418277A1-9142-4B87-B08F-48F75B4233A9}">
      <text>
        <r>
          <rPr>
            <b/>
            <sz val="9"/>
            <color indexed="81"/>
            <rFont val="Tahoma"/>
            <family val="2"/>
          </rPr>
          <t>Carty, Jak L [GIR]:</t>
        </r>
        <r>
          <rPr>
            <sz val="9"/>
            <color indexed="81"/>
            <rFont val="Tahoma"/>
            <family val="2"/>
          </rPr>
          <t xml:space="preserve">
FY20 presentation</t>
        </r>
      </text>
    </comment>
    <comment ref="B45" authorId="0" shapeId="0" xr:uid="{666F5850-37EC-4ECD-AEB0-A80E69C59914}">
      <text>
        <r>
          <rPr>
            <b/>
            <sz val="9"/>
            <color indexed="81"/>
            <rFont val="Tahoma"/>
            <family val="2"/>
          </rPr>
          <t>Carty, Jak L [GIR]:</t>
        </r>
        <r>
          <rPr>
            <sz val="9"/>
            <color indexed="81"/>
            <rFont val="Tahoma"/>
            <family val="2"/>
          </rPr>
          <t xml:space="preserve">
In order to give a more comprehensive view of performance, figures include results from ‘associates’ (not consolidated in the financial statements) at an aggregate 100% of all business revenues, expenses and profits with those of the consolidated businesses before deducting outside shareholder interests.</t>
        </r>
      </text>
    </comment>
    <comment ref="BO45" authorId="0" shapeId="0" xr:uid="{63020CC3-CB4D-45C7-9B88-64BA9ECB2250}">
      <text>
        <r>
          <rPr>
            <b/>
            <sz val="9"/>
            <color indexed="81"/>
            <rFont val="Tahoma"/>
            <family val="2"/>
          </rPr>
          <t>Carty, Jak L [GIR]:</t>
        </r>
        <r>
          <rPr>
            <sz val="9"/>
            <color indexed="81"/>
            <rFont val="Tahoma"/>
            <family val="2"/>
          </rPr>
          <t xml:space="preserve">
1H22 presentation, section 2.3</t>
        </r>
      </text>
    </comment>
    <comment ref="BP45" authorId="0" shapeId="0" xr:uid="{38B4D912-165E-4F0E-88AE-C7B9BD38CF1D}">
      <text>
        <r>
          <rPr>
            <b/>
            <sz val="9"/>
            <color indexed="81"/>
            <rFont val="Tahoma"/>
            <family val="2"/>
          </rPr>
          <t>Carty, Jak L [GIR]:</t>
        </r>
        <r>
          <rPr>
            <sz val="9"/>
            <color indexed="81"/>
            <rFont val="Tahoma"/>
            <family val="2"/>
          </rPr>
          <t xml:space="preserve">
1H22 presentation</t>
        </r>
      </text>
    </comment>
    <comment ref="BQ45" authorId="0" shapeId="0" xr:uid="{D8DD2B0A-B356-4F64-A3D1-7F7F5913991A}">
      <text>
        <r>
          <rPr>
            <b/>
            <sz val="9"/>
            <color indexed="81"/>
            <rFont val="Tahoma"/>
            <family val="2"/>
          </rPr>
          <t>Carty, Jak L [GIR]:</t>
        </r>
        <r>
          <rPr>
            <sz val="9"/>
            <color indexed="81"/>
            <rFont val="Tahoma"/>
            <family val="2"/>
          </rPr>
          <t xml:space="preserve">
1H22 presentation</t>
        </r>
      </text>
    </comment>
    <comment ref="BO49" authorId="0" shapeId="0" xr:uid="{8A22B3CB-86F5-42B9-88AD-155E71E3C73F}">
      <text>
        <r>
          <rPr>
            <b/>
            <sz val="9"/>
            <color indexed="81"/>
            <rFont val="Tahoma"/>
            <family val="2"/>
          </rPr>
          <t>Carty, Jak L [GIR]:</t>
        </r>
        <r>
          <rPr>
            <sz val="9"/>
            <color indexed="81"/>
            <rFont val="Tahoma"/>
            <family val="2"/>
          </rPr>
          <t xml:space="preserve">
1H22 Presentation, Section 2.4</t>
        </r>
      </text>
    </comment>
    <comment ref="BP49" authorId="0" shapeId="0" xr:uid="{5641FAAA-87DA-4EA2-93E0-FC2F91BE59CE}">
      <text>
        <r>
          <rPr>
            <b/>
            <sz val="9"/>
            <color indexed="81"/>
            <rFont val="Tahoma"/>
            <family val="2"/>
          </rPr>
          <t>Carty, Jak L [GIR]:</t>
        </r>
        <r>
          <rPr>
            <sz val="9"/>
            <color indexed="81"/>
            <rFont val="Tahoma"/>
            <family val="2"/>
          </rPr>
          <t xml:space="preserve">
1H22 presentation, section 2.4</t>
        </r>
      </text>
    </comment>
    <comment ref="BQ49" authorId="0" shapeId="0" xr:uid="{8197E971-1DA9-4FF3-ADF1-891DAC643782}">
      <text>
        <r>
          <rPr>
            <b/>
            <sz val="9"/>
            <color indexed="81"/>
            <rFont val="Tahoma"/>
            <family val="2"/>
          </rPr>
          <t>Carty, Jak L [GIR]:</t>
        </r>
        <r>
          <rPr>
            <sz val="9"/>
            <color indexed="81"/>
            <rFont val="Tahoma"/>
            <family val="2"/>
          </rPr>
          <t xml:space="preserve">
1H22 presentation, section 2.4</t>
        </r>
      </text>
    </comment>
    <comment ref="BO51" authorId="0" shapeId="0" xr:uid="{E77FD0C5-6DA9-49FF-A90A-3F79C971D274}">
      <text>
        <r>
          <rPr>
            <b/>
            <sz val="9"/>
            <color indexed="81"/>
            <rFont val="Tahoma"/>
            <family val="2"/>
          </rPr>
          <t>Carty, Jak L [GIR]:</t>
        </r>
        <r>
          <rPr>
            <sz val="9"/>
            <color indexed="81"/>
            <rFont val="Tahoma"/>
            <family val="2"/>
          </rPr>
          <t xml:space="preserve">
1H22 presentation, section 2.4</t>
        </r>
      </text>
    </comment>
    <comment ref="BP51" authorId="0" shapeId="0" xr:uid="{50DCF5E2-DAD4-4BB4-8B84-BAF1252CE4BD}">
      <text>
        <r>
          <rPr>
            <b/>
            <sz val="9"/>
            <color indexed="81"/>
            <rFont val="Tahoma"/>
            <family val="2"/>
          </rPr>
          <t>Carty, Jak L [GIR]:</t>
        </r>
        <r>
          <rPr>
            <sz val="9"/>
            <color indexed="81"/>
            <rFont val="Tahoma"/>
            <family val="2"/>
          </rPr>
          <t xml:space="preserve">
1H22 presentation, section 2.4</t>
        </r>
      </text>
    </comment>
    <comment ref="BQ51" authorId="0" shapeId="0" xr:uid="{F32B0B31-B56C-4CBB-AF91-9B9895D92197}">
      <text>
        <r>
          <rPr>
            <b/>
            <sz val="9"/>
            <color indexed="81"/>
            <rFont val="Tahoma"/>
            <family val="2"/>
          </rPr>
          <t>Carty, Jak L [GIR]:</t>
        </r>
        <r>
          <rPr>
            <sz val="9"/>
            <color indexed="81"/>
            <rFont val="Tahoma"/>
            <family val="2"/>
          </rPr>
          <t xml:space="preserve">
1H22 presentation section 2.4</t>
        </r>
      </text>
    </comment>
    <comment ref="B72" authorId="0" shapeId="0" xr:uid="{83764172-F372-4AFE-BC00-0F67AACB4244}">
      <text>
        <r>
          <rPr>
            <b/>
            <sz val="9"/>
            <color indexed="81"/>
            <rFont val="Tahoma"/>
            <family val="2"/>
          </rPr>
          <t>Carty, Jak L [GIR]:</t>
        </r>
        <r>
          <rPr>
            <sz val="9"/>
            <color indexed="81"/>
            <rFont val="Tahoma"/>
            <family val="2"/>
          </rPr>
          <t xml:space="preserve">
Provided on a yearly basis</t>
        </r>
      </text>
    </comment>
    <comment ref="BO73" authorId="0" shapeId="0" xr:uid="{EDEA4DB3-4E2E-4A1C-B69F-7A9C3822691E}">
      <text>
        <r>
          <rPr>
            <b/>
            <sz val="9"/>
            <color indexed="81"/>
            <rFont val="Tahoma"/>
            <family val="2"/>
          </rPr>
          <t>Carty, Jak L [GIR]:</t>
        </r>
        <r>
          <rPr>
            <sz val="9"/>
            <color indexed="81"/>
            <rFont val="Tahoma"/>
            <family val="2"/>
          </rPr>
          <t xml:space="preserve">
Not disclosed</t>
        </r>
      </text>
    </comment>
    <comment ref="BP73" authorId="0" shapeId="0" xr:uid="{B1FA2016-0568-4BA2-80FA-4B3A2D218477}">
      <text>
        <r>
          <rPr>
            <b/>
            <sz val="9"/>
            <color indexed="81"/>
            <rFont val="Tahoma"/>
            <family val="2"/>
          </rPr>
          <t>Carty, Jak L [GIR]:</t>
        </r>
        <r>
          <rPr>
            <sz val="9"/>
            <color indexed="81"/>
            <rFont val="Tahoma"/>
            <family val="2"/>
          </rPr>
          <t xml:space="preserve">
Divisional Overview: Australian Broking</t>
        </r>
      </text>
    </comment>
    <comment ref="BQ73" authorId="0" shapeId="0" xr:uid="{005A3E44-FBA2-47F4-8D98-BBD64B0BB6FC}">
      <text>
        <r>
          <rPr>
            <b/>
            <sz val="9"/>
            <color indexed="81"/>
            <rFont val="Tahoma"/>
            <family val="2"/>
          </rPr>
          <t>Carty, Jak L [GIR]:</t>
        </r>
        <r>
          <rPr>
            <sz val="9"/>
            <color indexed="81"/>
            <rFont val="Tahoma"/>
            <family val="2"/>
          </rPr>
          <t xml:space="preserve">
Includes BizCover premium
The division encompasses 50 brokerages in the
market and generates over $2.6bn in premium
across the network</t>
        </r>
      </text>
    </comment>
    <comment ref="BR73" authorId="0" shapeId="0" xr:uid="{C134888C-229B-4A28-AB8F-F0F03D28518A}">
      <text>
        <r>
          <rPr>
            <b/>
            <sz val="9"/>
            <color indexed="81"/>
            <rFont val="Tahoma"/>
            <family val="2"/>
          </rPr>
          <t>Carty, Jak L [GIR]:</t>
        </r>
        <r>
          <rPr>
            <sz val="9"/>
            <color indexed="81"/>
            <rFont val="Tahoma"/>
            <family val="2"/>
          </rPr>
          <t xml:space="preserve">
The division encompasses 45 brokerages in the
market and generates over $2.9bn in premium
across the network
</t>
        </r>
      </text>
    </comment>
    <comment ref="BO76" authorId="0" shapeId="0" xr:uid="{96D3126E-A244-42B7-BAC2-15C665AEBFE5}">
      <text>
        <r>
          <rPr>
            <b/>
            <sz val="9"/>
            <color indexed="81"/>
            <rFont val="Tahoma"/>
            <family val="2"/>
          </rPr>
          <t>Carty, Jak L [GIR]:</t>
        </r>
        <r>
          <rPr>
            <sz val="9"/>
            <color indexed="81"/>
            <rFont val="Tahoma"/>
            <family val="2"/>
          </rPr>
          <t xml:space="preserve">
Not disclosed</t>
        </r>
      </text>
    </comment>
    <comment ref="AA84" authorId="0" shapeId="0" xr:uid="{7A34A5A7-39F1-4EBD-8742-310E7A3A0EF5}">
      <text>
        <r>
          <rPr>
            <b/>
            <sz val="9"/>
            <color indexed="81"/>
            <rFont val="Tahoma"/>
            <family val="2"/>
          </rPr>
          <t>Carty, Jak L [GIR]:</t>
        </r>
        <r>
          <rPr>
            <sz val="9"/>
            <color indexed="81"/>
            <rFont val="Tahoma"/>
            <family val="2"/>
          </rPr>
          <t xml:space="preserve">
pg.12 1H19</t>
        </r>
      </text>
    </comment>
    <comment ref="AE84" authorId="0" shapeId="0" xr:uid="{DC01490D-EEF5-4553-A78D-00260A94F3DD}">
      <text>
        <r>
          <rPr>
            <b/>
            <sz val="9"/>
            <color indexed="81"/>
            <rFont val="Tahoma"/>
            <family val="2"/>
          </rPr>
          <t>Carty, Jak L [GIR]:</t>
        </r>
        <r>
          <rPr>
            <sz val="9"/>
            <color indexed="81"/>
            <rFont val="Tahoma"/>
            <family val="2"/>
          </rPr>
          <t xml:space="preserve">
Slide 21, 1H21 presentation</t>
        </r>
      </text>
    </comment>
    <comment ref="AC87" authorId="0" shapeId="0" xr:uid="{9EE63BFA-1F50-4AD3-9848-F98447B1DC8B}">
      <text>
        <r>
          <rPr>
            <b/>
            <sz val="9"/>
            <color indexed="81"/>
            <rFont val="Tahoma"/>
            <family val="2"/>
          </rPr>
          <t>Carty, Jak L [GIR]:</t>
        </r>
        <r>
          <rPr>
            <sz val="9"/>
            <color indexed="81"/>
            <rFont val="Tahoma"/>
            <family val="2"/>
          </rPr>
          <t xml:space="preserve">
Refer to 1H22 presentation for detailed financials</t>
        </r>
      </text>
    </comment>
    <comment ref="AG88" authorId="0" shapeId="0" xr:uid="{2ABB7A8F-AD17-4252-9BB0-7CADA1E10416}">
      <text>
        <r>
          <rPr>
            <b/>
            <sz val="9"/>
            <color indexed="81"/>
            <rFont val="Tahoma"/>
            <family val="2"/>
          </rPr>
          <t>Carty, Jak L [GIR]:</t>
        </r>
        <r>
          <rPr>
            <sz val="9"/>
            <color indexed="81"/>
            <rFont val="Tahoma"/>
            <family val="2"/>
          </rPr>
          <t xml:space="preserve">
Restated at 1H22</t>
        </r>
      </text>
    </comment>
    <comment ref="BP89" authorId="0" shapeId="0" xr:uid="{69B59DC4-7151-44B7-B83F-45E5AB44DAF3}">
      <text>
        <r>
          <rPr>
            <b/>
            <sz val="9"/>
            <color indexed="81"/>
            <rFont val="Tahoma"/>
            <family val="2"/>
          </rPr>
          <t>Carty, Jak L [GIR]:</t>
        </r>
        <r>
          <rPr>
            <sz val="9"/>
            <color indexed="81"/>
            <rFont val="Tahoma"/>
            <family val="2"/>
          </rPr>
          <t xml:space="preserve">
Company reports 18.4mn - difference due to rounding</t>
        </r>
      </text>
    </comment>
    <comment ref="AG91" authorId="0" shapeId="0" xr:uid="{50F72EAF-DC14-43BF-9E80-068AA566FECD}">
      <text>
        <r>
          <rPr>
            <b/>
            <sz val="9"/>
            <color indexed="81"/>
            <rFont val="Tahoma"/>
            <family val="2"/>
          </rPr>
          <t>Carty, Jak L [GIR]:</t>
        </r>
        <r>
          <rPr>
            <sz val="9"/>
            <color indexed="81"/>
            <rFont val="Tahoma"/>
            <family val="2"/>
          </rPr>
          <t xml:space="preserve">
Restated at 1H22</t>
        </r>
      </text>
    </comment>
    <comment ref="BR91" authorId="0" shapeId="0" xr:uid="{F034DB69-2CB3-417F-9A22-B13E82037571}">
      <text>
        <r>
          <rPr>
            <b/>
            <sz val="9"/>
            <color indexed="81"/>
            <rFont val="Tahoma"/>
            <family val="2"/>
          </rPr>
          <t>Carty, Jak L [GIR]:</t>
        </r>
        <r>
          <rPr>
            <sz val="9"/>
            <color indexed="81"/>
            <rFont val="Tahoma"/>
            <family val="2"/>
          </rPr>
          <t xml:space="preserve">
Net Profit - Agencies</t>
        </r>
      </text>
    </comment>
    <comment ref="AG93" authorId="0" shapeId="0" xr:uid="{44295B69-D37B-4A18-AFB2-530752D7211A}">
      <text>
        <r>
          <rPr>
            <b/>
            <sz val="9"/>
            <color indexed="81"/>
            <rFont val="Tahoma"/>
            <family val="2"/>
          </rPr>
          <t>Carty, Jak L [GIR]:</t>
        </r>
        <r>
          <rPr>
            <sz val="9"/>
            <color indexed="81"/>
            <rFont val="Tahoma"/>
            <family val="2"/>
          </rPr>
          <t xml:space="preserve">
Restated at 1H22</t>
        </r>
      </text>
    </comment>
    <comment ref="BO93" authorId="0" shapeId="0" xr:uid="{0D9BF121-D47D-4FF7-B2E4-CBBE4AB27A11}">
      <text>
        <r>
          <rPr>
            <b/>
            <sz val="9"/>
            <color indexed="81"/>
            <rFont val="Tahoma"/>
            <family val="2"/>
          </rPr>
          <t>Carty, Jak L [GIR]:</t>
        </r>
        <r>
          <rPr>
            <sz val="9"/>
            <color indexed="81"/>
            <rFont val="Tahoma"/>
            <family val="2"/>
          </rPr>
          <t xml:space="preserve">
AUB Group has complied with IFRIC's change in accounting policy interpretation with respect to configuration costs of Software as a Service (SaaS) arrangements360 Underwriting results are included within Agencies from 1 December 2020</t>
        </r>
      </text>
    </comment>
    <comment ref="BO114" authorId="0" shapeId="0" xr:uid="{C76B10D7-640A-404D-91F4-626701BD0823}">
      <text>
        <r>
          <rPr>
            <b/>
            <sz val="9"/>
            <color indexed="81"/>
            <rFont val="Tahoma"/>
            <family val="2"/>
          </rPr>
          <t>Carty, Jak L [GIR]:</t>
        </r>
        <r>
          <rPr>
            <sz val="9"/>
            <color indexed="81"/>
            <rFont val="Tahoma"/>
            <family val="2"/>
          </rPr>
          <t xml:space="preserve">
Not disclosed</t>
        </r>
      </text>
    </comment>
    <comment ref="BQ114" authorId="0" shapeId="0" xr:uid="{CD55F571-F89B-486F-9B1B-672D40242906}">
      <text>
        <r>
          <rPr>
            <b/>
            <sz val="9"/>
            <color indexed="81"/>
            <rFont val="Tahoma"/>
            <family val="2"/>
          </rPr>
          <t>Carty, Jak L [GIR]:</t>
        </r>
        <r>
          <rPr>
            <sz val="9"/>
            <color indexed="81"/>
            <rFont val="Tahoma"/>
            <family val="2"/>
          </rPr>
          <t xml:space="preserve">
The business includes 27 specialist agencies,
driving ~$600mn in premium, ~90,000 policies to
~90,000 clients</t>
        </r>
      </text>
    </comment>
    <comment ref="BR114" authorId="0" shapeId="0" xr:uid="{1D371313-6784-49FE-8116-4B7BDD8135B7}">
      <text>
        <r>
          <rPr>
            <b/>
            <sz val="9"/>
            <color indexed="81"/>
            <rFont val="Tahoma"/>
            <family val="2"/>
          </rPr>
          <t>Carty, Jak L [GIR]:</t>
        </r>
        <r>
          <rPr>
            <sz val="9"/>
            <color indexed="81"/>
            <rFont val="Tahoma"/>
            <family val="2"/>
          </rPr>
          <t xml:space="preserve">
The business includes 31 agencies, driving
~$600mn in premium, ~100,000 policies to
~100,000 clients</t>
        </r>
      </text>
    </comment>
    <comment ref="BO116" authorId="0" shapeId="0" xr:uid="{C6C50C5D-2BF3-4939-9D82-CE27365EF0C0}">
      <text>
        <r>
          <rPr>
            <b/>
            <sz val="9"/>
            <color indexed="81"/>
            <rFont val="Tahoma"/>
            <family val="2"/>
          </rPr>
          <t>Carty, Jak L [GIR]:</t>
        </r>
        <r>
          <rPr>
            <sz val="9"/>
            <color indexed="81"/>
            <rFont val="Tahoma"/>
            <family val="2"/>
          </rPr>
          <t xml:space="preserve">
Not disclosed</t>
        </r>
      </text>
    </comment>
    <comment ref="B122" authorId="0" shapeId="0" xr:uid="{9D3FAECF-246A-4A7C-ACBE-D2B4E92DBA9B}">
      <text>
        <r>
          <rPr>
            <b/>
            <sz val="9"/>
            <color indexed="81"/>
            <rFont val="Tahoma"/>
            <family val="2"/>
          </rPr>
          <t>Carty, Jak L [GIR]:</t>
        </r>
        <r>
          <rPr>
            <sz val="9"/>
            <color indexed="81"/>
            <rFont val="Tahoma"/>
            <family val="2"/>
          </rPr>
          <t xml:space="preserve">
BizCover was previously a part of Australian Broking</t>
        </r>
      </text>
    </comment>
    <comment ref="BP122" authorId="0" shapeId="0" xr:uid="{A1662D00-F011-4509-94E9-5F20D12DB7B8}">
      <text>
        <r>
          <rPr>
            <b/>
            <sz val="9"/>
            <color indexed="81"/>
            <rFont val="Tahoma"/>
            <family val="2"/>
          </rPr>
          <t>Carty, Jak L [GIR]:</t>
        </r>
        <r>
          <rPr>
            <sz val="9"/>
            <color indexed="81"/>
            <rFont val="Tahoma"/>
            <family val="2"/>
          </rPr>
          <t xml:space="preserve">
5 months since acquisition only</t>
        </r>
      </text>
    </comment>
    <comment ref="BQ122" authorId="0" shapeId="0" xr:uid="{28E53994-2E57-4AA2-ADA8-F1BA2A501D0D}">
      <text>
        <r>
          <rPr>
            <b/>
            <sz val="9"/>
            <color indexed="81"/>
            <rFont val="Tahoma"/>
            <family val="2"/>
          </rPr>
          <t>Carty, Jak L [GIR]:</t>
        </r>
        <r>
          <rPr>
            <sz val="9"/>
            <color indexed="81"/>
            <rFont val="Tahoma"/>
            <family val="2"/>
          </rPr>
          <t xml:space="preserve">
Australian Broking has been restructured with BizCover moving to a stand-alone operating business. Comparative information has been restated to conform with the presentation in the current period. Refer to Appendix – A4.0
The prior comparative period for BizCover reflects results effective from 1 February 2020</t>
        </r>
      </text>
    </comment>
    <comment ref="AF124" authorId="0" shapeId="0" xr:uid="{B6193541-218B-4DF9-B16B-405C92767B5D}">
      <text>
        <r>
          <rPr>
            <b/>
            <sz val="9"/>
            <color indexed="81"/>
            <rFont val="Tahoma"/>
            <family val="2"/>
          </rPr>
          <t>Carty, Jak L [GIR]:</t>
        </r>
        <r>
          <rPr>
            <sz val="9"/>
            <color indexed="81"/>
            <rFont val="Tahoma"/>
            <family val="2"/>
          </rPr>
          <t xml:space="preserve">
1H22 presentation pg.28</t>
        </r>
      </text>
    </comment>
    <comment ref="BR128" authorId="0" shapeId="0" xr:uid="{F3F3DE12-FA4D-4F49-9B72-B68588467FEA}">
      <text>
        <r>
          <rPr>
            <b/>
            <sz val="9"/>
            <color indexed="81"/>
            <rFont val="Tahoma"/>
            <family val="2"/>
          </rPr>
          <t>Carty, Jak L [GIR]:</t>
        </r>
        <r>
          <rPr>
            <sz val="9"/>
            <color indexed="81"/>
            <rFont val="Tahoma"/>
            <family val="2"/>
          </rPr>
          <t xml:space="preserve">
BizCover - Net Profit</t>
        </r>
      </text>
    </comment>
    <comment ref="AE145" authorId="0" shapeId="0" xr:uid="{950AF840-6CA9-47A2-A16A-A71E10819F27}">
      <text>
        <r>
          <rPr>
            <b/>
            <sz val="9"/>
            <color indexed="81"/>
            <rFont val="Tahoma"/>
            <family val="2"/>
          </rPr>
          <t>Carty, Jak L [GIR]:</t>
        </r>
        <r>
          <rPr>
            <sz val="9"/>
            <color indexed="81"/>
            <rFont val="Tahoma"/>
            <family val="2"/>
          </rPr>
          <t xml:space="preserve">
1H21 presentation, slide 20</t>
        </r>
      </text>
    </comment>
    <comment ref="BM145" authorId="0" shapeId="0" xr:uid="{0B883182-AAEC-4CDC-8D9E-04BD87F9849D}">
      <text>
        <r>
          <rPr>
            <b/>
            <sz val="9"/>
            <color indexed="81"/>
            <rFont val="Tahoma"/>
            <family val="2"/>
          </rPr>
          <t>Carty, Jak L [GIR]:</t>
        </r>
        <r>
          <rPr>
            <sz val="9"/>
            <color indexed="81"/>
            <rFont val="Tahoma"/>
            <family val="2"/>
          </rPr>
          <t xml:space="preserve">
Not disclosed - slide 13 FY18 presentation</t>
        </r>
      </text>
    </comment>
    <comment ref="AK148" authorId="1" shapeId="0" xr:uid="{8E96717F-6943-4482-BD17-031ECE1CD515}">
      <text>
        <r>
          <rPr>
            <b/>
            <sz val="9"/>
            <color indexed="81"/>
            <rFont val="Tahoma"/>
            <family val="2"/>
          </rPr>
          <t>Kim, Brian [GIR]:</t>
        </r>
        <r>
          <rPr>
            <sz val="9"/>
            <color indexed="81"/>
            <rFont val="Tahoma"/>
            <family val="2"/>
          </rPr>
          <t xml:space="preserve">
0.1 per results preso - difference due to rounding</t>
        </r>
      </text>
    </comment>
    <comment ref="AI149" authorId="0" shapeId="0" xr:uid="{1891F0C0-F1F3-4DD3-AF29-AABA157B3BD8}">
      <text>
        <r>
          <rPr>
            <b/>
            <sz val="9"/>
            <color indexed="81"/>
            <rFont val="Tahoma"/>
            <family val="2"/>
          </rPr>
          <t>Carty, Jak L [GIR]:</t>
        </r>
        <r>
          <rPr>
            <sz val="9"/>
            <color indexed="81"/>
            <rFont val="Tahoma"/>
            <family val="2"/>
          </rPr>
          <t xml:space="preserve">
Company reports 28.6mn - difference due to rounding</t>
        </r>
      </text>
    </comment>
    <comment ref="AI151" authorId="0" shapeId="0" xr:uid="{982988AA-683B-4869-80AA-9190D33938AF}">
      <text>
        <r>
          <rPr>
            <b/>
            <sz val="9"/>
            <color indexed="81"/>
            <rFont val="Tahoma"/>
            <family val="2"/>
          </rPr>
          <t>Carty, Jak L [GIR]:</t>
        </r>
        <r>
          <rPr>
            <sz val="9"/>
            <color indexed="81"/>
            <rFont val="Tahoma"/>
            <family val="2"/>
          </rPr>
          <t xml:space="preserve">
Company reports 6.5mn - difference due to rounding</t>
        </r>
      </text>
    </comment>
    <comment ref="AI153" authorId="0" shapeId="0" xr:uid="{F4283AEB-7572-42BA-95D8-E476D0A5F33A}">
      <text>
        <r>
          <rPr>
            <b/>
            <sz val="9"/>
            <color indexed="81"/>
            <rFont val="Tahoma"/>
            <family val="2"/>
          </rPr>
          <t>Carty, Jak L [GIR]:</t>
        </r>
        <r>
          <rPr>
            <sz val="9"/>
            <color indexed="81"/>
            <rFont val="Tahoma"/>
            <family val="2"/>
          </rPr>
          <t xml:space="preserve">
AUB Group has complied with IFRIC's change in accounting policy interpretation with respect to configuration costs of Software as a Service (SaaS) arrangements. Comparative periods have been restated to conform with the presentation in the current period as communicated in the FY21 AUB Group Investor Presentation
on pages 41 and 42</t>
        </r>
      </text>
    </comment>
    <comment ref="AI155" authorId="0" shapeId="0" xr:uid="{B0C3C8DB-A07C-4BCD-93A9-62274EDB651A}">
      <text>
        <r>
          <rPr>
            <b/>
            <sz val="9"/>
            <color indexed="81"/>
            <rFont val="Tahoma"/>
            <family val="2"/>
          </rPr>
          <t>Carty, Jak L [GIR]:</t>
        </r>
        <r>
          <rPr>
            <sz val="9"/>
            <color indexed="81"/>
            <rFont val="Tahoma"/>
            <family val="2"/>
          </rPr>
          <t xml:space="preserve">
AUB Group has complied with IFRIC's change in accounting policy interpretation with respect to configuration costs of Software as a Service (SaaS) arrangements. Comparative periods have been restated to conform with the presentation in the current period as communicated in the FY21 AUB Group Investor Presentation
on pages 41 and 42</t>
        </r>
      </text>
    </comment>
    <comment ref="BO179" authorId="0" shapeId="0" xr:uid="{321BCF4C-CA1B-4AFB-9452-CA0E7174FE42}">
      <text>
        <r>
          <rPr>
            <b/>
            <sz val="9"/>
            <color indexed="81"/>
            <rFont val="Tahoma"/>
            <family val="2"/>
          </rPr>
          <t>Carty, Jak L [GIR]:</t>
        </r>
        <r>
          <rPr>
            <sz val="9"/>
            <color indexed="81"/>
            <rFont val="Tahoma"/>
            <family val="2"/>
          </rPr>
          <t xml:space="preserve">
Not disclosed</t>
        </r>
      </text>
    </comment>
    <comment ref="AI188" authorId="0" shapeId="0" xr:uid="{088B4BD6-C713-43C7-970F-2BC26CF07D3E}">
      <text>
        <r>
          <rPr>
            <b/>
            <sz val="9"/>
            <color indexed="81"/>
            <rFont val="Tahoma"/>
            <family val="2"/>
          </rPr>
          <t>Carty, Jak L [GIR]:</t>
        </r>
        <r>
          <rPr>
            <sz val="9"/>
            <color indexed="81"/>
            <rFont val="Tahoma"/>
            <family val="2"/>
          </rPr>
          <t xml:space="preserve">
1H22 presentation</t>
        </r>
      </text>
    </comment>
    <comment ref="AK190" authorId="0" shapeId="0" xr:uid="{A31EAD2C-FD9C-4F1F-A8DD-2C88E1653211}">
      <text>
        <r>
          <rPr>
            <b/>
            <sz val="9"/>
            <color indexed="81"/>
            <rFont val="Tahoma"/>
            <family val="2"/>
          </rPr>
          <t>Carty, Jak L [GIR]:</t>
        </r>
        <r>
          <rPr>
            <sz val="9"/>
            <color indexed="81"/>
            <rFont val="Tahoma"/>
            <family val="2"/>
          </rPr>
          <t xml:space="preserve">
Corporate interest reflects new leverage for the pro forma group = 35.6</t>
        </r>
      </text>
    </comment>
    <comment ref="AH210" authorId="0" shapeId="0" xr:uid="{BB0D8305-A5CB-4041-9504-91A78D3C27F9}">
      <text>
        <r>
          <rPr>
            <b/>
            <sz val="9"/>
            <color indexed="81"/>
            <rFont val="Tahoma"/>
            <family val="2"/>
          </rPr>
          <t>Carty, Jak L [GIR]:</t>
        </r>
        <r>
          <rPr>
            <sz val="9"/>
            <color indexed="81"/>
            <rFont val="Tahoma"/>
            <family val="2"/>
          </rPr>
          <t xml:space="preserve">
The Group successfully exited the Altius Group following its exit from Allied Health in FY20 and this completed our strategic closure of the Health
and Rehabilitation division.
The Health and Rehab division ceased during the year on disposal of Altius Group Holdings Pty Ltd on 31 March 2021.
</t>
        </r>
      </text>
    </comment>
    <comment ref="B217" authorId="0" shapeId="0" xr:uid="{77030060-31FD-4EA2-B48E-58CFB59A0E20}">
      <text>
        <r>
          <rPr>
            <b/>
            <sz val="9"/>
            <color indexed="81"/>
            <rFont val="Tahoma"/>
            <family val="2"/>
          </rPr>
          <t>Carty, Jak L [GIR]:</t>
        </r>
        <r>
          <rPr>
            <sz val="9"/>
            <color indexed="81"/>
            <rFont val="Tahoma"/>
            <family val="2"/>
          </rPr>
          <t xml:space="preserve">
1) please check the calculation for revenue/expense in FY23. 
2) Interest income on cash balances not disclosed for Tysers - refer to email with questions for management
</t>
        </r>
      </text>
    </comment>
    <comment ref="AK218" authorId="0" shapeId="0" xr:uid="{AA1DF4D2-89F5-4D49-8881-8365EFD84874}">
      <text>
        <r>
          <rPr>
            <b/>
            <sz val="9"/>
            <color indexed="81"/>
            <rFont val="Tahoma"/>
            <family val="2"/>
          </rPr>
          <t>Carty, Jak L [GIR]:</t>
        </r>
        <r>
          <rPr>
            <sz val="9"/>
            <color indexed="81"/>
            <rFont val="Tahoma"/>
            <family val="2"/>
          </rPr>
          <t xml:space="preserve">
Tysers contribution for FY23 will be for 3/4s of the year</t>
        </r>
      </text>
    </comment>
    <comment ref="AK222" authorId="1" shapeId="0" xr:uid="{6A8AC060-58B0-49CD-A842-825030682A15}">
      <text>
        <r>
          <rPr>
            <b/>
            <sz val="9"/>
            <color indexed="81"/>
            <rFont val="Tahoma"/>
            <family val="2"/>
          </rPr>
          <t>Kim, Brian [GIR]:</t>
        </r>
        <r>
          <rPr>
            <sz val="9"/>
            <color indexed="81"/>
            <rFont val="Tahoma"/>
            <family val="2"/>
          </rPr>
          <t xml:space="preserve">
A2.1 preso</t>
        </r>
      </text>
    </comment>
    <comment ref="AK224" authorId="0" shapeId="0" xr:uid="{118036AA-37AA-4FFE-9117-826A59DAC352}">
      <text>
        <r>
          <rPr>
            <b/>
            <sz val="9"/>
            <color indexed="81"/>
            <rFont val="Tahoma"/>
            <family val="2"/>
          </rPr>
          <t>Carty, Jak L [GIR]:</t>
        </r>
        <r>
          <rPr>
            <sz val="9"/>
            <color indexed="81"/>
            <rFont val="Tahoma"/>
            <family val="2"/>
          </rPr>
          <t xml:space="preserve">
Tysers had no debt on its BS in CY21 - refer to slide 33</t>
        </r>
      </text>
    </comment>
    <comment ref="AK228" authorId="1" shapeId="0" xr:uid="{9CC367C6-D764-452A-8551-266985041DDC}">
      <text>
        <r>
          <rPr>
            <b/>
            <sz val="9"/>
            <color indexed="81"/>
            <rFont val="Tahoma"/>
            <family val="2"/>
          </rPr>
          <t>Kim, Brian [GIR]:</t>
        </r>
        <r>
          <rPr>
            <sz val="9"/>
            <color indexed="81"/>
            <rFont val="Tahoma"/>
            <family val="2"/>
          </rPr>
          <t xml:space="preserve">
need to harcode this number so that underlying group P&amp;L ties up</t>
        </r>
      </text>
    </comment>
    <comment ref="AK232" authorId="0" shapeId="0" xr:uid="{D527D870-6649-4DA2-8334-214AD2B5CC85}">
      <text>
        <r>
          <rPr>
            <b/>
            <sz val="9"/>
            <color indexed="81"/>
            <rFont val="Tahoma"/>
            <family val="2"/>
          </rPr>
          <t>Carty, Jak L [GIR]:</t>
        </r>
        <r>
          <rPr>
            <sz val="9"/>
            <color indexed="81"/>
            <rFont val="Tahoma"/>
            <family val="2"/>
          </rPr>
          <t xml:space="preserve">
At Budget 2020, the government announced that the Corporation Tax main rate (for all profits except ring fence profits) for the years starting 1 April 2020 and 2021 would remain at 19%</t>
        </r>
      </text>
    </comment>
    <comment ref="AM232" authorId="0" shapeId="0" xr:uid="{9E96F575-033C-47EC-94B5-E5415D85CAA5}">
      <text>
        <r>
          <rPr>
            <b/>
            <sz val="9"/>
            <color indexed="81"/>
            <rFont val="Tahoma"/>
            <family val="2"/>
          </rPr>
          <t>Carty, Jak L [GIR]:</t>
        </r>
        <r>
          <rPr>
            <sz val="9"/>
            <color indexed="81"/>
            <rFont val="Tahoma"/>
            <family val="2"/>
          </rPr>
          <t xml:space="preserve">
Corporation Tax will increase to 25% from April 2023 </t>
        </r>
      </text>
    </comment>
    <comment ref="AE250" authorId="0" shapeId="0" xr:uid="{EF7840AF-9AD4-4698-8D40-8F2B79640DE8}">
      <text>
        <r>
          <rPr>
            <b/>
            <sz val="9"/>
            <color indexed="81"/>
            <rFont val="Tahoma"/>
            <family val="2"/>
          </rPr>
          <t>Carty, Jak L [GIR]:</t>
        </r>
        <r>
          <rPr>
            <sz val="9"/>
            <color indexed="81"/>
            <rFont val="Tahoma"/>
            <family val="2"/>
          </rPr>
          <t xml:space="preserve">
Reconciles to A2.3 Management presentation of result</t>
        </r>
      </text>
    </comment>
    <comment ref="AF250" authorId="0" shapeId="0" xr:uid="{590DD5D8-0030-4ADE-A561-091103DDBC4F}">
      <text>
        <r>
          <rPr>
            <b/>
            <sz val="9"/>
            <color indexed="81"/>
            <rFont val="Tahoma"/>
            <family val="2"/>
          </rPr>
          <t>Carty, Jak L [GIR]:</t>
        </r>
        <r>
          <rPr>
            <sz val="9"/>
            <color indexed="81"/>
            <rFont val="Tahoma"/>
            <family val="2"/>
          </rPr>
          <t xml:space="preserve">
Reconciles to A2.3 Management presentation of result</t>
        </r>
      </text>
    </comment>
    <comment ref="AG250" authorId="0" shapeId="0" xr:uid="{5F29658B-10A2-46F6-99AE-4B7AEEAD5068}">
      <text>
        <r>
          <rPr>
            <b/>
            <sz val="9"/>
            <color indexed="81"/>
            <rFont val="Tahoma"/>
            <family val="2"/>
          </rPr>
          <t>Carty, Jak L [GIR]:</t>
        </r>
        <r>
          <rPr>
            <sz val="9"/>
            <color indexed="81"/>
            <rFont val="Tahoma"/>
            <family val="2"/>
          </rPr>
          <t xml:space="preserve">
Reconciles to A2.3 Management presentation of result</t>
        </r>
      </text>
    </comment>
    <comment ref="AH250" authorId="0" shapeId="0" xr:uid="{0C85BF99-298C-4ED9-9127-2E1FA97B9727}">
      <text>
        <r>
          <rPr>
            <b/>
            <sz val="9"/>
            <color indexed="81"/>
            <rFont val="Tahoma"/>
            <family val="2"/>
          </rPr>
          <t>Carty, Jak L [GIR]:</t>
        </r>
        <r>
          <rPr>
            <sz val="9"/>
            <color indexed="81"/>
            <rFont val="Tahoma"/>
            <family val="2"/>
          </rPr>
          <t xml:space="preserve">
Reconciles to A2.3 Management presentation of result</t>
        </r>
      </text>
    </comment>
    <comment ref="AI250" authorId="0" shapeId="0" xr:uid="{CCAFA337-DC1D-4962-8031-00C6A7457EC5}">
      <text>
        <r>
          <rPr>
            <b/>
            <sz val="9"/>
            <color indexed="81"/>
            <rFont val="Tahoma"/>
            <family val="2"/>
          </rPr>
          <t>Carty, Jak L [GIR]:</t>
        </r>
        <r>
          <rPr>
            <sz val="9"/>
            <color indexed="81"/>
            <rFont val="Tahoma"/>
            <family val="2"/>
          </rPr>
          <t xml:space="preserve">
Reconciles to A2.3 Management presentation of result</t>
        </r>
      </text>
    </comment>
    <comment ref="AJ250" authorId="0" shapeId="0" xr:uid="{8E26C535-2B9A-4D8D-9203-8DF818C66F79}">
      <text>
        <r>
          <rPr>
            <b/>
            <sz val="9"/>
            <color indexed="81"/>
            <rFont val="Tahoma"/>
            <family val="2"/>
          </rPr>
          <t>Carty, Jak L [GIR]:</t>
        </r>
        <r>
          <rPr>
            <sz val="9"/>
            <color indexed="81"/>
            <rFont val="Tahoma"/>
            <family val="2"/>
          </rPr>
          <t xml:space="preserve">
Reconciles to A2.3 Management presentation of result</t>
        </r>
      </text>
    </comment>
    <comment ref="AE252" authorId="0" shapeId="0" xr:uid="{0AA621E9-971D-442A-82F3-BAFAE5DDE6B0}">
      <text>
        <r>
          <rPr>
            <b/>
            <sz val="9"/>
            <color indexed="81"/>
            <rFont val="Tahoma"/>
            <family val="2"/>
          </rPr>
          <t>Carty, Jak L [GIR]:</t>
        </r>
        <r>
          <rPr>
            <sz val="9"/>
            <color indexed="81"/>
            <rFont val="Tahoma"/>
            <family val="2"/>
          </rPr>
          <t xml:space="preserve">
Minor difference due to rounding</t>
        </r>
      </text>
    </comment>
    <comment ref="AF252" authorId="0" shapeId="0" xr:uid="{E235182D-5275-415D-A37D-7EBBDA536E33}">
      <text>
        <r>
          <rPr>
            <b/>
            <sz val="9"/>
            <color indexed="81"/>
            <rFont val="Tahoma"/>
            <family val="2"/>
          </rPr>
          <t>Carty, Jak L [GIR]:</t>
        </r>
        <r>
          <rPr>
            <sz val="9"/>
            <color indexed="81"/>
            <rFont val="Tahoma"/>
            <family val="2"/>
          </rPr>
          <t xml:space="preserve">
Modest rounding difference</t>
        </r>
      </text>
    </comment>
    <comment ref="AJ255" authorId="0" shapeId="0" xr:uid="{0CE143F3-B5BA-4F7C-9372-718A631FA631}">
      <text>
        <r>
          <rPr>
            <b/>
            <sz val="9"/>
            <color indexed="81"/>
            <rFont val="Tahoma"/>
            <family val="2"/>
          </rPr>
          <t>Carty, Jak L [GIR]:</t>
        </r>
        <r>
          <rPr>
            <sz val="9"/>
            <color indexed="81"/>
            <rFont val="Tahoma"/>
            <family val="2"/>
          </rPr>
          <t xml:space="preserve">
A2.3 Management Presentation of Results</t>
        </r>
      </text>
    </comment>
    <comment ref="AK257" authorId="0" shapeId="0" xr:uid="{377038AF-262F-454E-8CB3-45AE831C2E32}">
      <text>
        <r>
          <rPr>
            <b/>
            <sz val="9"/>
            <color indexed="81"/>
            <rFont val="Tahoma"/>
            <family val="2"/>
          </rPr>
          <t>Carty, Jak L [GIR]:</t>
        </r>
        <r>
          <rPr>
            <sz val="9"/>
            <color indexed="81"/>
            <rFont val="Tahoma"/>
            <family val="2"/>
          </rPr>
          <t xml:space="preserve">
Edit this calculation to take in the different tax rates of BizCover </t>
        </r>
      </text>
    </comment>
    <comment ref="BR258" authorId="0" shapeId="0" xr:uid="{0B563BC2-6DEE-46DB-AA59-D26696921D18}">
      <text>
        <r>
          <rPr>
            <b/>
            <sz val="9"/>
            <color indexed="81"/>
            <rFont val="Tahoma"/>
            <family val="2"/>
          </rPr>
          <t>Carty, Jak L [GIR]:</t>
        </r>
        <r>
          <rPr>
            <sz val="9"/>
            <color indexed="81"/>
            <rFont val="Tahoma"/>
            <family val="2"/>
          </rPr>
          <t xml:space="preserve">
underlying NPAT of $74m grew by 22.2% on the prior year
on a continuing operations basis and was at the very top of
the outlook range provided earlier this year. T</t>
        </r>
      </text>
    </comment>
    <comment ref="X272" authorId="0" shapeId="0" xr:uid="{733464B4-7DB3-4B3D-B938-9341C1486B3B}">
      <text>
        <r>
          <rPr>
            <b/>
            <sz val="9"/>
            <color indexed="81"/>
            <rFont val="Tahoma"/>
            <family val="2"/>
          </rPr>
          <t>Carty, Jak L [GIR]:</t>
        </r>
        <r>
          <rPr>
            <sz val="9"/>
            <color indexed="81"/>
            <rFont val="Tahoma"/>
            <family val="2"/>
          </rPr>
          <t xml:space="preserve">
63,846,476 number of shares on issue as at 30 June 2016</t>
        </r>
      </text>
    </comment>
    <comment ref="AA272" authorId="0" shapeId="0" xr:uid="{6923DED3-B526-4757-9A8D-B9366EF42D11}">
      <text>
        <r>
          <rPr>
            <b/>
            <sz val="9"/>
            <color indexed="81"/>
            <rFont val="Tahoma"/>
            <family val="2"/>
          </rPr>
          <t>Carty, Jak L [GIR]:</t>
        </r>
        <r>
          <rPr>
            <sz val="9"/>
            <color indexed="81"/>
            <rFont val="Tahoma"/>
            <family val="2"/>
          </rPr>
          <t xml:space="preserve">
page 25 1H18 report</t>
        </r>
      </text>
    </comment>
    <comment ref="AE272" authorId="0" shapeId="0" xr:uid="{C274531E-8459-46C3-BF42-A25D1CCDA525}">
      <text>
        <r>
          <rPr>
            <b/>
            <sz val="9"/>
            <color indexed="81"/>
            <rFont val="Tahoma"/>
            <family val="2"/>
          </rPr>
          <t>Carty, Jak L [GIR]:</t>
        </r>
        <r>
          <rPr>
            <sz val="9"/>
            <color indexed="81"/>
            <rFont val="Tahoma"/>
            <family val="2"/>
          </rPr>
          <t xml:space="preserve">
AUB has not published half year reports prior to 1H21 on its website.  Download from IRESS 
 https://www.aubgroup.com.au/results-and-presentations/
</t>
        </r>
      </text>
    </comment>
    <comment ref="BQ272" authorId="0" shapeId="0" xr:uid="{DE9A58EF-44E2-4713-A328-7BEEFE306690}">
      <text>
        <r>
          <rPr>
            <b/>
            <sz val="9"/>
            <color indexed="81"/>
            <rFont val="Tahoma"/>
            <family val="2"/>
          </rPr>
          <t>Carty, Jak L [GIR]:</t>
        </r>
        <r>
          <rPr>
            <sz val="9"/>
            <color indexed="81"/>
            <rFont val="Tahoma"/>
            <family val="2"/>
          </rPr>
          <t xml:space="preserve">
Total shares on issue</t>
        </r>
      </text>
    </comment>
    <comment ref="AA273" authorId="0" shapeId="0" xr:uid="{14FB2A55-16F1-4859-9459-61216BCD0223}">
      <text>
        <r>
          <rPr>
            <b/>
            <sz val="9"/>
            <color indexed="81"/>
            <rFont val="Tahoma"/>
            <family val="2"/>
          </rPr>
          <t>Carty, Jak L [GIR]:</t>
        </r>
        <r>
          <rPr>
            <sz val="9"/>
            <color indexed="81"/>
            <rFont val="Tahoma"/>
            <family val="2"/>
          </rPr>
          <t xml:space="preserve">
There have been no significant transactions involving ordinary shares or potential ordinary shares that would significantly change the number of
ordinary shares or potential ordinary shares outstanding between the reporting date and the date of completion of these financial statements.</t>
        </r>
      </text>
    </comment>
    <comment ref="AK273" authorId="0" shapeId="0" xr:uid="{FA78EC75-FAB1-4242-A5E1-AAE289CD47CF}">
      <text>
        <r>
          <rPr>
            <b/>
            <sz val="9"/>
            <color indexed="81"/>
            <rFont val="Tahoma"/>
            <family val="2"/>
          </rPr>
          <t>Carty, Jak L [GIR]:</t>
        </r>
        <r>
          <rPr>
            <sz val="9"/>
            <color indexed="81"/>
            <rFont val="Tahoma"/>
            <family val="2"/>
          </rPr>
          <t xml:space="preserve">
Approximately 18 million New Shares to be issued under the Equity Raising representing approximately 24.1% of current issued capital
</t>
        </r>
        <r>
          <rPr>
            <b/>
            <sz val="9"/>
            <color indexed="81"/>
            <rFont val="Tahoma"/>
            <family val="2"/>
          </rPr>
          <t>Formula adjusted for capital raising</t>
        </r>
      </text>
    </comment>
    <comment ref="BP273" authorId="0" shapeId="0" xr:uid="{CAE3F8FA-50B8-4150-A5EB-D2AB78572DBF}">
      <text>
        <r>
          <rPr>
            <b/>
            <sz val="9"/>
            <color indexed="81"/>
            <rFont val="Tahoma"/>
            <family val="2"/>
          </rPr>
          <t>Carty, Jak L [GIR]:</t>
        </r>
        <r>
          <rPr>
            <sz val="9"/>
            <color indexed="81"/>
            <rFont val="Tahoma"/>
            <family val="2"/>
          </rPr>
          <t xml:space="preserve">
FY21 Report, pg.82</t>
        </r>
      </text>
    </comment>
    <comment ref="BQ273" authorId="0" shapeId="0" xr:uid="{34C0DBE8-CF75-4487-8006-C2F18CF2F7E5}">
      <text>
        <r>
          <rPr>
            <b/>
            <sz val="9"/>
            <color indexed="81"/>
            <rFont val="Tahoma"/>
            <family val="2"/>
          </rPr>
          <t>Carty, Jak L [GIR]:</t>
        </r>
        <r>
          <rPr>
            <sz val="9"/>
            <color indexed="81"/>
            <rFont val="Tahoma"/>
            <family val="2"/>
          </rPr>
          <t xml:space="preserve">
Restated at 1H22</t>
        </r>
      </text>
    </comment>
    <comment ref="AA274" authorId="0" shapeId="0" xr:uid="{33EA66AC-A4C3-4E28-B5BD-ED64209D1C18}">
      <text>
        <r>
          <rPr>
            <b/>
            <sz val="9"/>
            <color indexed="81"/>
            <rFont val="Tahoma"/>
            <family val="2"/>
          </rPr>
          <t>Carty, Jak L [GIR]:</t>
        </r>
        <r>
          <rPr>
            <sz val="9"/>
            <color indexed="81"/>
            <rFont val="Tahoma"/>
            <family val="2"/>
          </rPr>
          <t xml:space="preserve">
There have been no significant transactions involving ordinary shares or potential ordinary shares that would significantly change the number of
ordinary shares or potential ordinary shares outstanding between the reporting date and the date of completion of these financial statements.
</t>
        </r>
      </text>
    </comment>
    <comment ref="BP274" authorId="0" shapeId="0" xr:uid="{028244C3-7753-4F59-9613-6E95AD948CC5}">
      <text>
        <r>
          <rPr>
            <b/>
            <sz val="9"/>
            <color indexed="81"/>
            <rFont val="Tahoma"/>
            <family val="2"/>
          </rPr>
          <t>Carty, Jak L [GIR]:</t>
        </r>
        <r>
          <rPr>
            <sz val="9"/>
            <color indexed="81"/>
            <rFont val="Tahoma"/>
            <family val="2"/>
          </rPr>
          <t xml:space="preserve">
Notes to the financial statements pg. 82</t>
        </r>
      </text>
    </comment>
    <comment ref="AA276" authorId="0" shapeId="0" xr:uid="{A2CF0163-C036-4D60-AE6E-509406DD7756}">
      <text>
        <r>
          <rPr>
            <b/>
            <sz val="9"/>
            <color indexed="81"/>
            <rFont val="Tahoma"/>
            <family val="2"/>
          </rPr>
          <t>Carty, Jak L [GIR]:</t>
        </r>
        <r>
          <rPr>
            <sz val="9"/>
            <color indexed="81"/>
            <rFont val="Tahoma"/>
            <family val="2"/>
          </rPr>
          <t xml:space="preserve">
Page 7 1H18 Report</t>
        </r>
      </text>
    </comment>
    <comment ref="BQ276" authorId="0" shapeId="0" xr:uid="{7EC98F04-6203-4FC8-8FBE-4101A62F5112}">
      <text>
        <r>
          <rPr>
            <b/>
            <sz val="9"/>
            <color indexed="81"/>
            <rFont val="Tahoma"/>
            <family val="2"/>
          </rPr>
          <t>Carty, Jak L [GIR]:</t>
        </r>
        <r>
          <rPr>
            <sz val="9"/>
            <color indexed="81"/>
            <rFont val="Tahoma"/>
            <family val="2"/>
          </rPr>
          <t xml:space="preserve">
As first reported; does not include company restatements</t>
        </r>
      </text>
    </comment>
    <comment ref="BR276" authorId="0" shapeId="0" xr:uid="{ADDB188E-3E88-46FF-9ED5-4B68DBF1336D}">
      <text>
        <r>
          <rPr>
            <b/>
            <sz val="9"/>
            <color indexed="81"/>
            <rFont val="Tahoma"/>
            <family val="2"/>
          </rPr>
          <t>Carty, Jak L [GIR]:</t>
        </r>
        <r>
          <rPr>
            <sz val="9"/>
            <color indexed="81"/>
            <rFont val="Tahoma"/>
            <family val="2"/>
          </rPr>
          <t xml:space="preserve">
Page 88</t>
        </r>
      </text>
    </comment>
    <comment ref="AI277" authorId="0" shapeId="0" xr:uid="{C4ADE8F5-14C6-43CF-892F-943B32B6ADA0}">
      <text>
        <r>
          <rPr>
            <b/>
            <sz val="9"/>
            <color indexed="81"/>
            <rFont val="Tahoma"/>
            <family val="2"/>
          </rPr>
          <t>Carty, Jak L [GIR]:</t>
        </r>
        <r>
          <rPr>
            <sz val="9"/>
            <color indexed="81"/>
            <rFont val="Tahoma"/>
            <family val="2"/>
          </rPr>
          <t xml:space="preserve">
Did not provide average diluted shares</t>
        </r>
      </text>
    </comment>
    <comment ref="BQ277" authorId="0" shapeId="0" xr:uid="{67B1DFD2-B85B-4391-ACE9-D1596C6C0D6C}">
      <text>
        <r>
          <rPr>
            <b/>
            <sz val="9"/>
            <color indexed="81"/>
            <rFont val="Tahoma"/>
            <family val="2"/>
          </rPr>
          <t>Carty, Jak L [GIR]:</t>
        </r>
        <r>
          <rPr>
            <sz val="9"/>
            <color indexed="81"/>
            <rFont val="Tahoma"/>
            <family val="2"/>
          </rPr>
          <t xml:space="preserve">
As first reported; does not include company restatements</t>
        </r>
      </text>
    </comment>
    <comment ref="BR277" authorId="0" shapeId="0" xr:uid="{5D0443CC-ACBE-4806-9764-DA791EF75EBA}">
      <text>
        <r>
          <rPr>
            <b/>
            <sz val="9"/>
            <color indexed="81"/>
            <rFont val="Tahoma"/>
            <family val="2"/>
          </rPr>
          <t>Carty, Jak L [GIR]:</t>
        </r>
        <r>
          <rPr>
            <sz val="9"/>
            <color indexed="81"/>
            <rFont val="Tahoma"/>
            <family val="2"/>
          </rPr>
          <t xml:space="preserve">
Page 88</t>
        </r>
      </text>
    </comment>
    <comment ref="BR278" authorId="0" shapeId="0" xr:uid="{9B0249A2-2ADF-44C1-97D1-711F310D73FC}">
      <text>
        <r>
          <rPr>
            <b/>
            <sz val="9"/>
            <color indexed="81"/>
            <rFont val="Tahoma"/>
            <family val="2"/>
          </rPr>
          <t>Carty, Jak L [GIR]:</t>
        </r>
        <r>
          <rPr>
            <sz val="9"/>
            <color indexed="81"/>
            <rFont val="Tahoma"/>
            <family val="2"/>
          </rPr>
          <t xml:space="preserve">
Modest difference due to rounding</t>
        </r>
      </text>
    </comment>
    <comment ref="BO282" authorId="0" shapeId="0" xr:uid="{554A7A18-E990-422B-AB6C-0A2462AE27D9}">
      <text>
        <r>
          <rPr>
            <b/>
            <sz val="9"/>
            <color indexed="81"/>
            <rFont val="Tahoma"/>
            <family val="2"/>
          </rPr>
          <t>Carty, Jak L [GIR]:</t>
        </r>
        <r>
          <rPr>
            <sz val="9"/>
            <color indexed="81"/>
            <rFont val="Tahoma"/>
            <family val="2"/>
          </rPr>
          <t xml:space="preserve">
357.230 - 4.814
-4.814 impact due to change in accounting standards</t>
        </r>
      </text>
    </comment>
    <comment ref="BP282" authorId="0" shapeId="0" xr:uid="{7F11193E-7D2B-4024-B86C-376EA990960C}">
      <text>
        <r>
          <rPr>
            <b/>
            <sz val="9"/>
            <color indexed="81"/>
            <rFont val="Tahoma"/>
            <family val="2"/>
          </rPr>
          <t>Carty, Jak L [GIR]:</t>
        </r>
        <r>
          <rPr>
            <sz val="9"/>
            <color indexed="81"/>
            <rFont val="Tahoma"/>
            <family val="2"/>
          </rPr>
          <t xml:space="preserve">
FY21 Report: The comparative year end has been restated as a result of the impact of an accounting policy change, refer to Note 2.2 for more information</t>
        </r>
      </text>
    </comment>
    <comment ref="BO284" authorId="0" shapeId="0" xr:uid="{5C5FE452-2611-456C-8377-03FC907CC5DF}">
      <text>
        <r>
          <rPr>
            <b/>
            <sz val="9"/>
            <color indexed="81"/>
            <rFont val="Tahoma"/>
            <family val="2"/>
          </rPr>
          <t>Carty, Jak L [GIR]:</t>
        </r>
        <r>
          <rPr>
            <sz val="9"/>
            <color indexed="81"/>
            <rFont val="Tahoma"/>
            <family val="2"/>
          </rPr>
          <t xml:space="preserve">
Proceeds from capital raising</t>
        </r>
      </text>
    </comment>
    <comment ref="B287" authorId="0" shapeId="0" xr:uid="{2F80A661-E8B6-4104-B961-EDD2AA8BE138}">
      <text>
        <r>
          <rPr>
            <b/>
            <sz val="9"/>
            <color indexed="81"/>
            <rFont val="Tahoma"/>
            <family val="2"/>
          </rPr>
          <t>Carty, Jak L [GIR]:</t>
        </r>
        <r>
          <rPr>
            <sz val="9"/>
            <color indexed="81"/>
            <rFont val="Tahoma"/>
            <family val="2"/>
          </rPr>
          <t xml:space="preserve">
Provide explanation for adjustments where necessary</t>
        </r>
      </text>
    </comment>
    <comment ref="AG287" authorId="0" shapeId="0" xr:uid="{5D0EF453-F062-41EA-B4F2-008FE68279DD}">
      <text>
        <r>
          <rPr>
            <b/>
            <sz val="9"/>
            <color indexed="81"/>
            <rFont val="Tahoma"/>
            <family val="2"/>
          </rPr>
          <t>Carty, Jak L [GIR]:</t>
        </r>
        <r>
          <rPr>
            <sz val="9"/>
            <color indexed="81"/>
            <rFont val="Tahoma"/>
            <family val="2"/>
          </rPr>
          <t xml:space="preserve">
AUB did not restate its 1H21/2H21 balance sheet after adopting new accounting standards. 
An adjustment is needed to reconcile shareholders equity</t>
        </r>
      </text>
    </comment>
    <comment ref="X288" authorId="0" shapeId="0" xr:uid="{38F3EA5C-C76C-43AD-A69D-6C40698EA792}">
      <text>
        <r>
          <rPr>
            <b/>
            <sz val="9"/>
            <color indexed="81"/>
            <rFont val="Tahoma"/>
            <family val="2"/>
          </rPr>
          <t>Carty, Jak L [GIR]:</t>
        </r>
        <r>
          <rPr>
            <sz val="9"/>
            <color indexed="81"/>
            <rFont val="Tahoma"/>
            <family val="2"/>
          </rPr>
          <t xml:space="preserve">
pg.11 1H17 report</t>
        </r>
      </text>
    </comment>
    <comment ref="AB288" authorId="0" shapeId="0" xr:uid="{E80BD2EF-9103-4174-9049-2DE2431CAD7F}">
      <text>
        <r>
          <rPr>
            <b/>
            <sz val="9"/>
            <color indexed="81"/>
            <rFont val="Tahoma"/>
            <family val="2"/>
          </rPr>
          <t>Carty, Jak L [GIR]:</t>
        </r>
        <r>
          <rPr>
            <sz val="9"/>
            <color indexed="81"/>
            <rFont val="Tahoma"/>
            <family val="2"/>
          </rPr>
          <t xml:space="preserve">
1H20 report adjusted balance at 1 July 2018 (352.416) is not equal to the adjusted balance reported in the 1H19 report (352,609)
1H19 balance sheet refers to 1H19 report.</t>
        </r>
      </text>
    </comment>
    <comment ref="AD288" authorId="0" shapeId="0" xr:uid="{FF4D6FBD-3405-4055-AEA0-CABE67700B21}">
      <text>
        <r>
          <rPr>
            <b/>
            <sz val="9"/>
            <color indexed="81"/>
            <rFont val="Tahoma"/>
            <family val="2"/>
          </rPr>
          <t>Carty, Jak L [GIR]:</t>
        </r>
        <r>
          <rPr>
            <sz val="9"/>
            <color indexed="81"/>
            <rFont val="Tahoma"/>
            <family val="2"/>
          </rPr>
          <t xml:space="preserve">
1H21 Report</t>
        </r>
      </text>
    </comment>
    <comment ref="AE288" authorId="0" shapeId="0" xr:uid="{C3982946-2563-44A1-B8A5-8B163330A5A1}">
      <text>
        <r>
          <rPr>
            <b/>
            <sz val="9"/>
            <color indexed="81"/>
            <rFont val="Tahoma"/>
            <family val="2"/>
          </rPr>
          <t>Carty, Jak L [GIR]:</t>
        </r>
        <r>
          <rPr>
            <sz val="9"/>
            <color indexed="81"/>
            <rFont val="Tahoma"/>
            <family val="2"/>
          </rPr>
          <t xml:space="preserve">
Consolidated statement of changes in equity for the six months ended 31 December 2019, pg. 9, 1H20 Report</t>
        </r>
      </text>
    </comment>
    <comment ref="AG288" authorId="0" shapeId="0" xr:uid="{563E30E7-387E-4F0C-8153-8BE7893BDA27}">
      <text>
        <r>
          <rPr>
            <b/>
            <sz val="9"/>
            <color indexed="81"/>
            <rFont val="Tahoma"/>
            <family val="2"/>
          </rPr>
          <t>Carty, Jak L [GIR]:</t>
        </r>
        <r>
          <rPr>
            <sz val="9"/>
            <color indexed="81"/>
            <rFont val="Tahoma"/>
            <family val="2"/>
          </rPr>
          <t xml:space="preserve">
553,085 consolidated statement of changes in equity, pg.9 1H22 report</t>
        </r>
      </text>
    </comment>
    <comment ref="BL288" authorId="0" shapeId="0" xr:uid="{B34FC1FF-054D-4D14-947B-E5B7407EB592}">
      <text>
        <r>
          <rPr>
            <b/>
            <sz val="9"/>
            <color indexed="81"/>
            <rFont val="Tahoma"/>
            <family val="2"/>
          </rPr>
          <t>Carty, Jak L [GIR]:</t>
        </r>
        <r>
          <rPr>
            <sz val="9"/>
            <color indexed="81"/>
            <rFont val="Tahoma"/>
            <family val="2"/>
          </rPr>
          <t xml:space="preserve">
page 37, FY18 annual report</t>
        </r>
      </text>
    </comment>
    <comment ref="BN294" authorId="0" shapeId="0" xr:uid="{6D3A9F09-2909-408A-AA73-B69B189F99D9}">
      <text>
        <r>
          <rPr>
            <b/>
            <sz val="9"/>
            <color indexed="81"/>
            <rFont val="Tahoma"/>
            <family val="2"/>
          </rPr>
          <t>Carty, Jak L [GIR]:</t>
        </r>
        <r>
          <rPr>
            <sz val="9"/>
            <color indexed="81"/>
            <rFont val="Tahoma"/>
            <family val="2"/>
          </rPr>
          <t xml:space="preserve">
Significant restatements have been made  meaning FY18/FY19 periods should not be directly compared. </t>
        </r>
        <r>
          <rPr>
            <b/>
            <sz val="9"/>
            <color indexed="81"/>
            <rFont val="Tahoma"/>
            <family val="2"/>
          </rPr>
          <t>As a result, I have moved trade and other receiveables into the other asset line pre FY18</t>
        </r>
        <r>
          <rPr>
            <sz val="9"/>
            <color indexed="81"/>
            <rFont val="Tahoma"/>
            <family val="2"/>
          </rPr>
          <t xml:space="preserve">
*30 June 2019 balances have been restated to ensure comparability between periods, see Note 2.2.
</t>
        </r>
      </text>
    </comment>
    <comment ref="AK296" authorId="0" shapeId="0" xr:uid="{03BF6CC9-244A-4E8A-A376-296C26EF8E57}">
      <text>
        <r>
          <rPr>
            <b/>
            <sz val="9"/>
            <color indexed="81"/>
            <rFont val="Tahoma"/>
            <family val="2"/>
          </rPr>
          <t>Carty, Jak L [GIR]:</t>
        </r>
        <r>
          <rPr>
            <sz val="9"/>
            <color indexed="81"/>
            <rFont val="Tahoma"/>
            <family val="2"/>
          </rPr>
          <t xml:space="preserve">
Tysers</t>
        </r>
      </text>
    </comment>
    <comment ref="B303" authorId="0" shapeId="0" xr:uid="{1B4F3DFD-A94B-448C-A0E3-64C63869AC03}">
      <text>
        <r>
          <rPr>
            <b/>
            <sz val="9"/>
            <color indexed="81"/>
            <rFont val="Tahoma"/>
            <family val="2"/>
          </rPr>
          <t>Carty, Jak L [GIR]:</t>
        </r>
        <r>
          <rPr>
            <sz val="9"/>
            <color indexed="81"/>
            <rFont val="Tahoma"/>
            <family val="2"/>
          </rPr>
          <t xml:space="preserve">
AUB combines ROU + Non-current LNI</t>
        </r>
      </text>
    </comment>
    <comment ref="BO303" authorId="0" shapeId="0" xr:uid="{28D2563A-1FEF-4665-B9A1-94E782D073F2}">
      <text>
        <r>
          <rPr>
            <b/>
            <sz val="9"/>
            <color indexed="81"/>
            <rFont val="Tahoma"/>
            <family val="2"/>
          </rPr>
          <t>Carty, Jak L [GIR]:</t>
        </r>
        <r>
          <rPr>
            <sz val="9"/>
            <color indexed="81"/>
            <rFont val="Tahoma"/>
            <family val="2"/>
          </rPr>
          <t xml:space="preserve">
*On 1 July 2019, the Group adopted AASB 16: Leases on a modified retrospective basis, and as permitted by the accounting standard,
financial statements for the prior reporting period has not been restated, see Note 2.2.</t>
        </r>
      </text>
    </comment>
    <comment ref="BQ313" authorId="0" shapeId="0" xr:uid="{F55BA732-199F-4D24-B747-E7FC0FD1731D}">
      <text>
        <r>
          <rPr>
            <b/>
            <sz val="9"/>
            <color indexed="81"/>
            <rFont val="Tahoma"/>
            <family val="2"/>
          </rPr>
          <t>Carty, Jak L [GIR]:</t>
        </r>
        <r>
          <rPr>
            <sz val="9"/>
            <color indexed="81"/>
            <rFont val="Tahoma"/>
            <family val="2"/>
          </rPr>
          <t xml:space="preserve">
Was restated in FY22; leave unchanged</t>
        </r>
      </text>
    </comment>
    <comment ref="AK391" authorId="1" shapeId="0" xr:uid="{AA1F3D01-1D17-483E-B919-9C9E52E7D461}">
      <text>
        <r>
          <rPr>
            <b/>
            <sz val="9"/>
            <color indexed="81"/>
            <rFont val="Tahoma"/>
            <family val="2"/>
          </rPr>
          <t>Kim, Brian [GIR]:</t>
        </r>
        <r>
          <rPr>
            <sz val="9"/>
            <color indexed="81"/>
            <rFont val="Tahoma"/>
            <family val="2"/>
          </rPr>
          <t xml:space="preserve">
includes finance liabilities as FY22 balance is the sum of trade and finance liabilities</t>
        </r>
      </text>
    </comment>
    <comment ref="AC392" authorId="0" shapeId="0" xr:uid="{E2B0B6AF-3C6F-4DE5-AFB0-B80556AD946E}">
      <text>
        <r>
          <rPr>
            <b/>
            <sz val="9"/>
            <color indexed="81"/>
            <rFont val="Tahoma"/>
            <family val="2"/>
          </rPr>
          <t>Carty, Jak L [GIR]:</t>
        </r>
        <r>
          <rPr>
            <sz val="9"/>
            <color indexed="81"/>
            <rFont val="Tahoma"/>
            <family val="2"/>
          </rPr>
          <t xml:space="preserve">
Deferred revenue from contracts with customers included in Trade and other payables</t>
        </r>
      </text>
    </comment>
    <comment ref="AE392" authorId="0" shapeId="0" xr:uid="{A8FC8C42-5F10-4133-ABA2-782E6988CC44}">
      <text>
        <r>
          <rPr>
            <b/>
            <sz val="9"/>
            <color indexed="81"/>
            <rFont val="Tahoma"/>
            <family val="2"/>
          </rPr>
          <t>Carty, Jak L [GIR]:</t>
        </r>
        <r>
          <rPr>
            <sz val="9"/>
            <color indexed="81"/>
            <rFont val="Tahoma"/>
            <family val="2"/>
          </rPr>
          <t xml:space="preserve">
Note 13, pg. 23 of 1H20 report. Deferred revenue included in trade and other payables</t>
        </r>
      </text>
    </comment>
    <comment ref="AK401" authorId="1" shapeId="0" xr:uid="{59004FCA-BDBC-4547-9103-131248E91904}">
      <text>
        <r>
          <rPr>
            <b/>
            <sz val="9"/>
            <color indexed="81"/>
            <rFont val="Tahoma"/>
            <family val="2"/>
          </rPr>
          <t>Kim, Brian [GIR]:</t>
        </r>
        <r>
          <rPr>
            <sz val="9"/>
            <color indexed="81"/>
            <rFont val="Tahoma"/>
            <family val="2"/>
          </rPr>
          <t xml:space="preserve">
Finance liabilities</t>
        </r>
      </text>
    </comment>
    <comment ref="AI413" authorId="0" shapeId="0" xr:uid="{4E443016-12D8-4A85-8597-A8AC9C10EA82}">
      <text>
        <r>
          <rPr>
            <b/>
            <sz val="9"/>
            <color indexed="81"/>
            <rFont val="Tahoma"/>
            <family val="2"/>
          </rPr>
          <t>Carty, Jak L [GIR]:</t>
        </r>
        <r>
          <rPr>
            <sz val="9"/>
            <color indexed="81"/>
            <rFont val="Tahoma"/>
            <family val="2"/>
          </rPr>
          <t xml:space="preserve">
Not disclosed</t>
        </r>
      </text>
    </comment>
    <comment ref="AK413" authorId="1" shapeId="0" xr:uid="{EF1AB7D5-1513-40C5-A2A3-93F4C0EB572D}">
      <text>
        <r>
          <rPr>
            <b/>
            <sz val="9"/>
            <color indexed="81"/>
            <rFont val="Tahoma"/>
            <family val="2"/>
          </rPr>
          <t>Kim, Brian [GIR]:</t>
        </r>
        <r>
          <rPr>
            <sz val="9"/>
            <color indexed="81"/>
            <rFont val="Tahoma"/>
            <family val="2"/>
          </rPr>
          <t xml:space="preserve">
Not disclosed for HY23</t>
        </r>
      </text>
    </comment>
    <comment ref="AI414" authorId="0" shapeId="0" xr:uid="{63FAAD64-17B1-4403-8188-855FFD826D8E}">
      <text>
        <r>
          <rPr>
            <b/>
            <sz val="9"/>
            <color indexed="81"/>
            <rFont val="Tahoma"/>
            <family val="2"/>
          </rPr>
          <t>Carty, Jak L [GIR]:</t>
        </r>
        <r>
          <rPr>
            <sz val="9"/>
            <color indexed="81"/>
            <rFont val="Tahoma"/>
            <family val="2"/>
          </rPr>
          <t xml:space="preserve">
Not disclosed</t>
        </r>
      </text>
    </comment>
    <comment ref="AI418" authorId="0" shapeId="0" xr:uid="{F92EED41-7E42-40B1-9D29-879C0332AE65}">
      <text>
        <r>
          <rPr>
            <b/>
            <sz val="9"/>
            <color indexed="81"/>
            <rFont val="Tahoma"/>
            <family val="2"/>
          </rPr>
          <t>Carty, Jak L [GIR]:</t>
        </r>
        <r>
          <rPr>
            <sz val="9"/>
            <color indexed="81"/>
            <rFont val="Tahoma"/>
            <family val="2"/>
          </rPr>
          <t xml:space="preserve">
Not disclosed</t>
        </r>
      </text>
    </comment>
    <comment ref="AK418" authorId="1" shapeId="0" xr:uid="{C932FD0D-F558-4C4A-BA23-3F816595B855}">
      <text>
        <r>
          <rPr>
            <b/>
            <sz val="9"/>
            <color indexed="81"/>
            <rFont val="Tahoma"/>
            <family val="2"/>
          </rPr>
          <t>Kim, Brian [GIR]:</t>
        </r>
        <r>
          <rPr>
            <sz val="9"/>
            <color indexed="81"/>
            <rFont val="Tahoma"/>
            <family val="2"/>
          </rPr>
          <t xml:space="preserve">
not disclosed for half year</t>
        </r>
      </text>
    </comment>
    <comment ref="AI419" authorId="0" shapeId="0" xr:uid="{B18C8C33-105F-4173-80E3-86493A628782}">
      <text>
        <r>
          <rPr>
            <b/>
            <sz val="9"/>
            <color indexed="81"/>
            <rFont val="Tahoma"/>
            <family val="2"/>
          </rPr>
          <t>Carty, Jak L [GIR]:</t>
        </r>
        <r>
          <rPr>
            <sz val="9"/>
            <color indexed="81"/>
            <rFont val="Tahoma"/>
            <family val="2"/>
          </rPr>
          <t xml:space="preserve">
Not disclosed</t>
        </r>
      </text>
    </comment>
    <comment ref="AE423" authorId="0" shapeId="0" xr:uid="{012E7485-FA24-4B2B-ADE2-20AC72AD3328}">
      <text>
        <r>
          <rPr>
            <b/>
            <sz val="9"/>
            <color indexed="81"/>
            <rFont val="Tahoma"/>
            <family val="2"/>
          </rPr>
          <t>Carty, Jak L [GIR]:</t>
        </r>
        <r>
          <rPr>
            <sz val="9"/>
            <color indexed="81"/>
            <rFont val="Tahoma"/>
            <family val="2"/>
          </rPr>
          <t xml:space="preserve">
Could not find disclosure</t>
        </r>
      </text>
    </comment>
    <comment ref="AE424" authorId="0" shapeId="0" xr:uid="{49BE206D-74AE-40D2-AFA6-3C0B0EFF662A}">
      <text>
        <r>
          <rPr>
            <b/>
            <sz val="9"/>
            <color indexed="81"/>
            <rFont val="Tahoma"/>
            <family val="2"/>
          </rPr>
          <t>Carty, Jak L [GIR]:</t>
        </r>
        <r>
          <rPr>
            <sz val="9"/>
            <color indexed="81"/>
            <rFont val="Tahoma"/>
            <family val="2"/>
          </rPr>
          <t xml:space="preserve">
Could not find disclosure</t>
        </r>
      </text>
    </comment>
    <comment ref="BR429" authorId="0" shapeId="0" xr:uid="{58DDC1CF-BEB5-4F1C-9064-1DE2155CA413}">
      <text>
        <r>
          <rPr>
            <b/>
            <sz val="9"/>
            <color indexed="81"/>
            <rFont val="Tahoma"/>
            <family val="2"/>
          </rPr>
          <t>Carty, Jak L [GIR]:</t>
        </r>
        <r>
          <rPr>
            <sz val="9"/>
            <color indexed="81"/>
            <rFont val="Tahoma"/>
            <family val="2"/>
          </rPr>
          <t xml:space="preserve">
Not disclosed</t>
        </r>
      </text>
    </comment>
    <comment ref="BR433" authorId="0" shapeId="0" xr:uid="{0F799F68-36B8-4ED4-932C-2725A8AB6191}">
      <text>
        <r>
          <rPr>
            <b/>
            <sz val="9"/>
            <color indexed="81"/>
            <rFont val="Tahoma"/>
            <family val="2"/>
          </rPr>
          <t>Carty, Jak L [GIR]:</t>
        </r>
        <r>
          <rPr>
            <sz val="9"/>
            <color indexed="81"/>
            <rFont val="Tahoma"/>
            <family val="2"/>
          </rPr>
          <t xml:space="preserve">
Not disclosed</t>
        </r>
      </text>
    </comment>
    <comment ref="AJ442" authorId="0" shapeId="0" xr:uid="{82DA6890-DE86-4B3E-AE7C-18099203018D}">
      <text>
        <r>
          <rPr>
            <b/>
            <sz val="9"/>
            <color indexed="81"/>
            <rFont val="Tahoma"/>
            <family val="2"/>
          </rPr>
          <t>Carty, Jak L [GIR]:</t>
        </r>
        <r>
          <rPr>
            <sz val="9"/>
            <color indexed="81"/>
            <rFont val="Tahoma"/>
            <family val="2"/>
          </rPr>
          <t xml:space="preserve">
Assumed additions</t>
        </r>
      </text>
    </comment>
    <comment ref="BR442" authorId="0" shapeId="0" xr:uid="{538E3DB3-7A4E-4247-BF6F-CFA854842D73}">
      <text>
        <r>
          <rPr>
            <b/>
            <sz val="9"/>
            <color indexed="81"/>
            <rFont val="Tahoma"/>
            <family val="2"/>
          </rPr>
          <t>Carty, Jak L [GIR]:</t>
        </r>
        <r>
          <rPr>
            <sz val="9"/>
            <color indexed="81"/>
            <rFont val="Tahoma"/>
            <family val="2"/>
          </rPr>
          <t xml:space="preserve">
Not disclosed</t>
        </r>
      </text>
    </comment>
    <comment ref="AJ445" authorId="0" shapeId="0" xr:uid="{CD15E31F-E930-4864-B91E-AB16163F26A4}">
      <text>
        <r>
          <rPr>
            <b/>
            <sz val="9"/>
            <color indexed="81"/>
            <rFont val="Tahoma"/>
            <family val="2"/>
          </rPr>
          <t>Carty, Jak L [GIR]:</t>
        </r>
        <r>
          <rPr>
            <sz val="9"/>
            <color indexed="81"/>
            <rFont val="Tahoma"/>
            <family val="2"/>
          </rPr>
          <t xml:space="preserve">
Reduced disclosure in FY22; This is an assumption</t>
        </r>
      </text>
    </comment>
    <comment ref="B447" authorId="0" shapeId="0" xr:uid="{5330793C-86E9-4A4B-A25A-A2E86B55A545}">
      <text>
        <r>
          <rPr>
            <b/>
            <sz val="9"/>
            <color indexed="81"/>
            <rFont val="Tahoma"/>
            <family val="2"/>
          </rPr>
          <t>Carty, Jak L [GIR]:</t>
        </r>
        <r>
          <rPr>
            <sz val="9"/>
            <color indexed="81"/>
            <rFont val="Tahoma"/>
            <family val="2"/>
          </rPr>
          <t xml:space="preserve">
Includes LNI based on company definition</t>
        </r>
      </text>
    </comment>
    <comment ref="BR447" authorId="0" shapeId="0" xr:uid="{E3691B1E-B3C1-46A3-9CEC-CCEF06F8D044}">
      <text>
        <r>
          <rPr>
            <b/>
            <sz val="9"/>
            <color indexed="81"/>
            <rFont val="Tahoma"/>
            <family val="2"/>
          </rPr>
          <t>Carty, Jak L [GIR]:</t>
        </r>
        <r>
          <rPr>
            <sz val="9"/>
            <color indexed="81"/>
            <rFont val="Tahoma"/>
            <family val="2"/>
          </rPr>
          <t xml:space="preserve">
Note this is an assumption; given that breakdown to ROU assets was not disclosed</t>
        </r>
      </text>
    </comment>
    <comment ref="AJ451" authorId="0" shapeId="0" xr:uid="{4279B787-1AA4-4CDB-984E-1D20667BE745}">
      <text>
        <r>
          <rPr>
            <b/>
            <sz val="9"/>
            <color indexed="81"/>
            <rFont val="Tahoma"/>
            <family val="2"/>
          </rPr>
          <t>Carty, Jak L [GIR]:</t>
        </r>
        <r>
          <rPr>
            <sz val="9"/>
            <color indexed="81"/>
            <rFont val="Tahoma"/>
            <family val="2"/>
          </rPr>
          <t xml:space="preserve">
Assumed additions</t>
        </r>
      </text>
    </comment>
    <comment ref="BR456" authorId="0" shapeId="0" xr:uid="{A6C69041-6CBC-486F-856F-5A8B97A33CF7}">
      <text>
        <r>
          <rPr>
            <b/>
            <sz val="9"/>
            <color indexed="81"/>
            <rFont val="Tahoma"/>
            <family val="2"/>
          </rPr>
          <t>Carty, Jak L [GIR]:</t>
        </r>
        <r>
          <rPr>
            <sz val="9"/>
            <color indexed="81"/>
            <rFont val="Tahoma"/>
            <family val="2"/>
          </rPr>
          <t xml:space="preserve">
Assumed to be equal to the prior period; not disclosed in FY22</t>
        </r>
      </text>
    </comment>
    <comment ref="AI474" authorId="0" shapeId="0" xr:uid="{0CAB49F7-7170-4967-B780-F2DB740AC7DB}">
      <text>
        <r>
          <rPr>
            <b/>
            <sz val="9"/>
            <color indexed="81"/>
            <rFont val="Tahoma"/>
            <family val="2"/>
          </rPr>
          <t>Carty, Jak L [GIR]:</t>
        </r>
        <r>
          <rPr>
            <sz val="9"/>
            <color indexed="81"/>
            <rFont val="Tahoma"/>
            <family val="2"/>
          </rPr>
          <t xml:space="preserve">
AUB calculates total gearing at 30.83% accounting for associates share + contingent considerations both of which are disclosed seperately. </t>
        </r>
      </text>
    </comment>
    <comment ref="AK475" authorId="0" shapeId="0" xr:uid="{63FD30F2-6089-425E-B7C3-F2497EC1DDE1}">
      <text>
        <r>
          <rPr>
            <b/>
            <sz val="9"/>
            <color indexed="81"/>
            <rFont val="Tahoma"/>
            <family val="2"/>
          </rPr>
          <t>Carty, Jak L [GIR]:</t>
        </r>
        <r>
          <rPr>
            <sz val="9"/>
            <color indexed="81"/>
            <rFont val="Tahoma"/>
            <family val="2"/>
          </rPr>
          <t xml:space="preserve">
Pathway to reduce leverage from gross debt / EBITDA of 2.8x7
to around 2.4x and gearing from 35% to 33% within 12 months of completion</t>
        </r>
      </text>
    </comment>
    <comment ref="AC481" authorId="0" shapeId="0" xr:uid="{7DC00DDE-CE36-4B4D-81A0-4B9E01B24016}">
      <text>
        <r>
          <rPr>
            <b/>
            <sz val="9"/>
            <color indexed="81"/>
            <rFont val="Tahoma"/>
            <family val="2"/>
          </rPr>
          <t>Carty, Jak L [GIR]:</t>
        </r>
        <r>
          <rPr>
            <sz val="9"/>
            <color indexed="81"/>
            <rFont val="Tahoma"/>
            <family val="2"/>
          </rPr>
          <t xml:space="preserve">
1H20 Financial report</t>
        </r>
      </text>
    </comment>
    <comment ref="BM485" authorId="0" shapeId="0" xr:uid="{1494B17D-AC02-43C5-9162-F200F19D69D0}">
      <text>
        <r>
          <rPr>
            <b/>
            <sz val="9"/>
            <color indexed="81"/>
            <rFont val="Tahoma"/>
            <family val="2"/>
          </rPr>
          <t>Carty, Jak L [GIR]:</t>
        </r>
        <r>
          <rPr>
            <sz val="9"/>
            <color indexed="81"/>
            <rFont val="Tahoma"/>
            <family val="2"/>
          </rPr>
          <t xml:space="preserve">
Cash flow from operations - slide 25, FY18 presentation</t>
        </r>
      </text>
    </comment>
    <comment ref="BM487" authorId="0" shapeId="0" xr:uid="{6805FC46-2C93-479B-965A-A6580A7945DF}">
      <text>
        <r>
          <rPr>
            <b/>
            <sz val="9"/>
            <color indexed="81"/>
            <rFont val="Tahoma"/>
            <family val="2"/>
          </rPr>
          <t>Carty, Jak L [GIR]:</t>
        </r>
        <r>
          <rPr>
            <sz val="9"/>
            <color indexed="81"/>
            <rFont val="Tahoma"/>
            <family val="2"/>
          </rPr>
          <t xml:space="preserve">
Net cash flows from operating activities pg.38</t>
        </r>
      </text>
    </comment>
    <comment ref="AE490" authorId="0" shapeId="0" xr:uid="{018555BB-AA48-4F14-AA70-920579BC76C7}">
      <text>
        <r>
          <rPr>
            <b/>
            <sz val="9"/>
            <color indexed="81"/>
            <rFont val="Tahoma"/>
            <family val="2"/>
          </rPr>
          <t>Carty, Jak L [GIR]:</t>
        </r>
        <r>
          <rPr>
            <sz val="9"/>
            <color indexed="81"/>
            <rFont val="Tahoma"/>
            <family val="2"/>
          </rPr>
          <t xml:space="preserve">
Acquisitions equal to Net cash inflow/(outflow) on consolidation or increase in interest of
controlled entities¹ + Acquisition of associate</t>
        </r>
      </text>
    </comment>
    <comment ref="AK490" authorId="0" shapeId="0" xr:uid="{A5484B17-3572-473D-BAC7-60406CA0CCD7}">
      <text>
        <r>
          <rPr>
            <b/>
            <sz val="9"/>
            <color indexed="81"/>
            <rFont val="Tahoma"/>
            <family val="2"/>
          </rPr>
          <t>Carty, Jak L [GIR]:</t>
        </r>
        <r>
          <rPr>
            <sz val="9"/>
            <color indexed="81"/>
            <rFont val="Tahoma"/>
            <family val="2"/>
          </rPr>
          <t xml:space="preserve">
Cash payment + Transaction costs net of cash acquired
.
AUD 350m equity raise, AUD 176m Vendor Placement and AUD 409m of debt drawn used to
fund AUD 55m2 of transaction costs and ~AUD 880m net purchase proceeds
5 year amortisation of certain fees related to the debt funding
</t>
        </r>
        <r>
          <rPr>
            <b/>
            <sz val="9"/>
            <color indexed="81"/>
            <rFont val="Tahoma"/>
            <family val="2"/>
          </rPr>
          <t>Slide 33 Notes</t>
        </r>
      </text>
    </comment>
    <comment ref="AO490" authorId="0" shapeId="0" xr:uid="{FF49A731-84E8-4604-B4ED-8AE90DB058B8}">
      <text>
        <r>
          <rPr>
            <b/>
            <sz val="9"/>
            <color indexed="81"/>
            <rFont val="Tahoma"/>
            <family val="2"/>
          </rPr>
          <t>Carty, Jak L [GIR]:</t>
        </r>
        <r>
          <rPr>
            <sz val="9"/>
            <color indexed="81"/>
            <rFont val="Tahoma"/>
            <family val="2"/>
          </rPr>
          <t xml:space="preserve">
Potential for additional deferred consideration of up to AUD 176m (GBP 100m)1
, which may be payable two years post completion subject to achievement of revenue growth</t>
        </r>
      </text>
    </comment>
    <comment ref="BR490" authorId="0" shapeId="0" xr:uid="{BA3A6AD5-1589-48AC-8028-A7571A6DAB6F}">
      <text>
        <r>
          <rPr>
            <b/>
            <sz val="9"/>
            <color indexed="81"/>
            <rFont val="Tahoma"/>
            <family val="2"/>
          </rPr>
          <t>Carty, Jak L [GIR]:</t>
        </r>
        <r>
          <rPr>
            <sz val="9"/>
            <color indexed="81"/>
            <rFont val="Tahoma"/>
            <family val="2"/>
          </rPr>
          <t xml:space="preserve">
Presentation</t>
        </r>
      </text>
    </comment>
    <comment ref="AC491" authorId="0" shapeId="0" xr:uid="{26A11329-89A7-443D-8EB0-F30D0EC88793}">
      <text>
        <r>
          <rPr>
            <b/>
            <sz val="9"/>
            <color indexed="81"/>
            <rFont val="Tahoma"/>
            <family val="2"/>
          </rPr>
          <t>Carty, Jak L [GIR]:</t>
        </r>
        <r>
          <rPr>
            <sz val="9"/>
            <color indexed="81"/>
            <rFont val="Tahoma"/>
            <family val="2"/>
          </rPr>
          <t xml:space="preserve">
Sales proceeds from disposal or dilution of interest in associates and
controlled entities </t>
        </r>
      </text>
    </comment>
    <comment ref="BN495" authorId="0" shapeId="0" xr:uid="{B3B2C0F9-D334-4D59-88E6-AF3162064CB4}">
      <text>
        <r>
          <rPr>
            <b/>
            <sz val="9"/>
            <color indexed="81"/>
            <rFont val="Tahoma"/>
            <family val="2"/>
          </rPr>
          <t>Carty, Jak L [GIR]:</t>
        </r>
        <r>
          <rPr>
            <sz val="9"/>
            <color indexed="81"/>
            <rFont val="Tahoma"/>
            <family val="2"/>
          </rPr>
          <t xml:space="preserve">
FY19 Analyst pack</t>
        </r>
      </text>
    </comment>
    <comment ref="BO495" authorId="0" shapeId="0" xr:uid="{7D6BDEC8-1698-4380-AFD5-57C20329C4F8}">
      <text>
        <r>
          <rPr>
            <b/>
            <sz val="9"/>
            <color indexed="81"/>
            <rFont val="Tahoma"/>
            <family val="2"/>
          </rPr>
          <t>Carty, Jak L [GIR]:</t>
        </r>
        <r>
          <rPr>
            <sz val="9"/>
            <color indexed="81"/>
            <rFont val="Tahoma"/>
            <family val="2"/>
          </rPr>
          <t xml:space="preserve">
FY20 presentation</t>
        </r>
      </text>
    </comment>
    <comment ref="BR503" authorId="0" shapeId="0" xr:uid="{AB66A553-F43C-47C4-BFEF-9B8E73023A55}">
      <text>
        <r>
          <rPr>
            <b/>
            <sz val="9"/>
            <color indexed="81"/>
            <rFont val="Tahoma"/>
            <family val="2"/>
          </rPr>
          <t>Carty, Jak L [GIR]:</t>
        </r>
        <r>
          <rPr>
            <sz val="9"/>
            <color indexed="81"/>
            <rFont val="Tahoma"/>
            <family val="2"/>
          </rPr>
          <t xml:space="preserve">
Capital raising</t>
        </r>
      </text>
    </comment>
    <comment ref="BP504" authorId="0" shapeId="0" xr:uid="{E715CC17-3512-4AE4-889F-F1F223E1636B}">
      <text>
        <r>
          <rPr>
            <b/>
            <sz val="9"/>
            <color indexed="81"/>
            <rFont val="Tahoma"/>
            <family val="2"/>
          </rPr>
          <t>Carty, Jak L [GIR]:</t>
        </r>
        <r>
          <rPr>
            <sz val="9"/>
            <color indexed="81"/>
            <rFont val="Tahoma"/>
            <family val="2"/>
          </rPr>
          <t xml:space="preserve">
FY20 has been restated as a result of an accounting policy change, refer to Note 2.2 within the AUB Group Annual Report</t>
        </r>
      </text>
    </comment>
    <comment ref="BO507" authorId="0" shapeId="0" xr:uid="{F9D28523-91C3-4311-85D2-63E223204F0D}">
      <text>
        <r>
          <rPr>
            <b/>
            <sz val="9"/>
            <color indexed="81"/>
            <rFont val="Tahoma"/>
            <family val="2"/>
          </rPr>
          <t>Carty, Jak L [GIR]:</t>
        </r>
        <r>
          <rPr>
            <sz val="9"/>
            <color indexed="81"/>
            <rFont val="Tahoma"/>
            <family val="2"/>
          </rPr>
          <t xml:space="preserve">
Cash and cash equivalents at the begininng of the period - FY20 Report pg.38</t>
        </r>
      </text>
    </comment>
    <comment ref="AK533" authorId="0" shapeId="0" xr:uid="{72E7767E-A4D4-4DD9-A47C-8C1902F240A0}">
      <text>
        <r>
          <rPr>
            <b/>
            <sz val="9"/>
            <color indexed="81"/>
            <rFont val="Tahoma"/>
            <family val="2"/>
          </rPr>
          <t>Carty, Jak L [GIR]:</t>
        </r>
        <r>
          <rPr>
            <sz val="9"/>
            <color indexed="81"/>
            <rFont val="Tahoma"/>
            <family val="2"/>
          </rPr>
          <t xml:space="preserve">
Adjust up by Tysers</t>
        </r>
      </text>
    </comment>
    <comment ref="B565" authorId="0" shapeId="0" xr:uid="{410DC086-3B85-4473-A4D5-51BD8769A9A9}">
      <text>
        <r>
          <rPr>
            <b/>
            <sz val="9"/>
            <color indexed="81"/>
            <rFont val="Tahoma"/>
            <family val="2"/>
          </rPr>
          <t>Carty, Jak L [GIR]:</t>
        </r>
        <r>
          <rPr>
            <sz val="9"/>
            <color indexed="81"/>
            <rFont val="Tahoma"/>
            <family val="2"/>
          </rPr>
          <t xml:space="preserve">
Deducts minority interest</t>
        </r>
      </text>
    </comment>
    <comment ref="B584" authorId="0" shapeId="0" xr:uid="{CD6339DF-1F62-4475-A9B1-A54648C9B683}">
      <text>
        <r>
          <rPr>
            <b/>
            <sz val="9"/>
            <color indexed="81"/>
            <rFont val="Tahoma"/>
            <family val="2"/>
          </rPr>
          <t>Carty, Jak L [GIR]:</t>
        </r>
        <r>
          <rPr>
            <sz val="9"/>
            <color indexed="81"/>
            <rFont val="Tahoma"/>
            <family val="2"/>
          </rPr>
          <t xml:space="preserve">
Excludes cash held on Trust</t>
        </r>
      </text>
    </comment>
    <comment ref="BQ674" authorId="0" shapeId="0" xr:uid="{CF974FC8-42EF-46FD-B0B4-E12A6521F4FD}">
      <text>
        <r>
          <rPr>
            <b/>
            <sz val="9"/>
            <color indexed="81"/>
            <rFont val="Tahoma"/>
            <family val="2"/>
          </rPr>
          <t>Carty, Jak L [GIR]:</t>
        </r>
        <r>
          <rPr>
            <sz val="9"/>
            <color indexed="81"/>
            <rFont val="Tahoma"/>
            <family val="2"/>
          </rPr>
          <t xml:space="preserve">Includes full run rate synergies of AUD 25m. </t>
        </r>
      </text>
    </comment>
    <comment ref="BQ676" authorId="0" shapeId="0" xr:uid="{6C309C47-4593-44F8-8D96-382DE126CA52}">
      <text>
        <r>
          <rPr>
            <b/>
            <sz val="9"/>
            <color indexed="81"/>
            <rFont val="Tahoma"/>
            <family val="2"/>
          </rPr>
          <t>Carty, Jak L [GIR]:</t>
        </r>
        <r>
          <rPr>
            <sz val="9"/>
            <color indexed="81"/>
            <rFont val="Tahoma"/>
            <family val="2"/>
          </rPr>
          <t xml:space="preserve">
Includes full run rate synergies</t>
        </r>
      </text>
    </comment>
    <comment ref="BQ680" authorId="0" shapeId="0" xr:uid="{457CC656-EDCF-435A-B616-505FA01E8B58}">
      <text>
        <r>
          <rPr>
            <b/>
            <sz val="9"/>
            <color indexed="81"/>
            <rFont val="Tahoma"/>
            <family val="2"/>
          </rPr>
          <t>Carty, Jak L [GIR]:</t>
        </r>
        <r>
          <rPr>
            <sz val="9"/>
            <color indexed="81"/>
            <rFont val="Tahoma"/>
            <family val="2"/>
          </rPr>
          <t xml:space="preserve">
Includes AUD 15m in cost synergies net of FX hedge cost of ongoing operation</t>
        </r>
      </text>
    </comment>
    <comment ref="BP681" authorId="0" shapeId="0" xr:uid="{76DD4F93-4AFE-4745-8A90-6B42BD450394}">
      <text>
        <r>
          <rPr>
            <b/>
            <sz val="9"/>
            <color indexed="81"/>
            <rFont val="Tahoma"/>
            <family val="2"/>
          </rPr>
          <t>Carty, Jak L [GIR]:</t>
        </r>
        <r>
          <rPr>
            <sz val="9"/>
            <color indexed="81"/>
            <rFont val="Tahoma"/>
            <family val="2"/>
          </rPr>
          <t xml:space="preserve">
2. Included diligence adjustments</t>
        </r>
      </text>
    </comment>
    <comment ref="BR705" authorId="0" shapeId="0" xr:uid="{2A73BB3D-977B-4C4C-B2C4-75C31F8F766C}">
      <text>
        <r>
          <rPr>
            <b/>
            <sz val="9"/>
            <color indexed="81"/>
            <rFont val="Tahoma"/>
            <family val="2"/>
          </rPr>
          <t>Carty, Jak L [GIR]:</t>
        </r>
        <r>
          <rPr>
            <sz val="9"/>
            <color indexed="81"/>
            <rFont val="Tahoma"/>
            <family val="2"/>
          </rPr>
          <t xml:space="preserve">
AUD 350m fully underwritten offering to be undertaken via ANREO
and Institutional Placement. Given completion timeline, c. AUD
192m will be used to pay down the existing debt facility
</t>
        </r>
      </text>
    </comment>
    <comment ref="BR707" authorId="0" shapeId="0" xr:uid="{1EC528F0-14AB-4AF6-84FE-7916F2F56FD0}">
      <text>
        <r>
          <rPr>
            <b/>
            <sz val="9"/>
            <color indexed="81"/>
            <rFont val="Tahoma"/>
            <family val="2"/>
          </rPr>
          <t>Carty, Jak L [GIR]:</t>
        </r>
        <r>
          <rPr>
            <sz val="9"/>
            <color indexed="81"/>
            <rFont val="Tahoma"/>
            <family val="2"/>
          </rPr>
          <t xml:space="preserve">
AUD 675m fully underwritten multi-currency denominated debt
facilities. A total of c. AUD 601m will be drawn down on completion
(including the c. AUD 192m paid down temporarily on capital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Carty, Jak L [GIR]</author>
  </authors>
  <commentList>
    <comment ref="AC12" authorId="0" shapeId="0" xr:uid="{B19F9015-C8B8-47DC-9250-152A5933236F}">
      <text>
        <r>
          <rPr>
            <b/>
            <sz val="9"/>
            <color indexed="81"/>
            <rFont val="Tahoma"/>
            <family val="2"/>
          </rPr>
          <t>Carty, Jak L [GIR]:</t>
        </r>
        <r>
          <rPr>
            <sz val="9"/>
            <color indexed="81"/>
            <rFont val="Tahoma"/>
            <family val="2"/>
          </rPr>
          <t xml:space="preserve">
1H20 Report, pg.6</t>
        </r>
      </text>
    </comment>
    <comment ref="AA14" authorId="0" shapeId="0" xr:uid="{1FB53424-36FA-4E06-BC2D-0E09C6E73B77}">
      <text>
        <r>
          <rPr>
            <b/>
            <sz val="9"/>
            <color indexed="81"/>
            <rFont val="Tahoma"/>
            <family val="2"/>
          </rPr>
          <t>Carty, Jak L [GIR]:</t>
        </r>
        <r>
          <rPr>
            <sz val="9"/>
            <color indexed="81"/>
            <rFont val="Tahoma"/>
            <family val="2"/>
          </rPr>
          <t xml:space="preserve">
Total finance costs</t>
        </r>
      </text>
    </comment>
    <comment ref="Y20" authorId="0" shapeId="0" xr:uid="{C06A81C3-4F57-4D14-B6B5-13017DD2BF53}">
      <text>
        <r>
          <rPr>
            <b/>
            <sz val="9"/>
            <color indexed="81"/>
            <rFont val="Tahoma"/>
            <family val="2"/>
          </rPr>
          <t>Carty, Jak L [GIR]:</t>
        </r>
        <r>
          <rPr>
            <sz val="9"/>
            <color indexed="81"/>
            <rFont val="Tahoma"/>
            <family val="2"/>
          </rPr>
          <t xml:space="preserve">
Profit before income tax pg. 7 1H18 report</t>
        </r>
      </text>
    </comment>
    <comment ref="BG20" authorId="0" shapeId="0" xr:uid="{D2F64A25-4387-49D1-9004-B61AF4012067}">
      <text>
        <r>
          <rPr>
            <b/>
            <sz val="9"/>
            <color indexed="81"/>
            <rFont val="Tahoma"/>
            <family val="2"/>
          </rPr>
          <t>Carty, Jak L [GIR]:</t>
        </r>
        <r>
          <rPr>
            <sz val="9"/>
            <color indexed="81"/>
            <rFont val="Tahoma"/>
            <family val="2"/>
          </rPr>
          <t xml:space="preserve">
54.3777 page 33</t>
        </r>
      </text>
    </comment>
    <comment ref="AA24" authorId="0" shapeId="0" xr:uid="{897F83FD-0241-43E0-91E8-0FDB10753EB2}">
      <text>
        <r>
          <rPr>
            <b/>
            <sz val="9"/>
            <color indexed="81"/>
            <rFont val="Tahoma"/>
            <family val="2"/>
          </rPr>
          <t>Carty, Jak L [GIR]:</t>
        </r>
        <r>
          <rPr>
            <sz val="9"/>
            <color indexed="81"/>
            <rFont val="Tahoma"/>
            <family val="2"/>
          </rPr>
          <t xml:space="preserve">
NPAT attributed to the equity holders of the parent</t>
        </r>
      </text>
    </comment>
    <comment ref="BG24" authorId="0" shapeId="0" xr:uid="{0AFA0ED5-81AF-449F-B51F-D720A57A3CBF}">
      <text>
        <r>
          <rPr>
            <b/>
            <sz val="9"/>
            <color indexed="81"/>
            <rFont val="Tahoma"/>
            <family val="2"/>
          </rPr>
          <t>Carty, Jak L [GIR]:</t>
        </r>
        <r>
          <rPr>
            <sz val="9"/>
            <color indexed="81"/>
            <rFont val="Tahoma"/>
            <family val="2"/>
          </rPr>
          <t xml:space="preserve">
net profit after tax attributable to equity holders of the parent</t>
        </r>
      </text>
    </comment>
    <comment ref="AC56" authorId="0" shapeId="0" xr:uid="{2E58ABC5-ACF7-4706-BB81-5F35AB5C859D}">
      <text>
        <r>
          <rPr>
            <b/>
            <sz val="9"/>
            <color indexed="81"/>
            <rFont val="Tahoma"/>
            <family val="2"/>
          </rPr>
          <t>Carty, Jak L [GIR]:</t>
        </r>
        <r>
          <rPr>
            <sz val="9"/>
            <color indexed="81"/>
            <rFont val="Tahoma"/>
            <family val="2"/>
          </rPr>
          <t xml:space="preserve">
Revenue and Expenses; Note 4 1H20 Report</t>
        </r>
      </text>
    </comment>
    <comment ref="BK56" authorId="0" shapeId="0" xr:uid="{41D0B1FB-1341-4A51-8ABE-BEF9FEFD6049}">
      <text>
        <r>
          <rPr>
            <b/>
            <sz val="9"/>
            <color indexed="81"/>
            <rFont val="Tahoma"/>
            <family val="2"/>
          </rPr>
          <t>Carty, Jak L [GIR]:</t>
        </r>
        <r>
          <rPr>
            <sz val="9"/>
            <color indexed="81"/>
            <rFont val="Tahoma"/>
            <family val="2"/>
          </rPr>
          <t xml:space="preserve">
Revenue and Expenses, Notes to the Financial Statements, pg.77</t>
        </r>
      </text>
    </comment>
    <comment ref="Y57" authorId="0" shapeId="0" xr:uid="{DD40D67F-F230-46DB-8B0C-04D514CBFCC4}">
      <text>
        <r>
          <rPr>
            <b/>
            <sz val="9"/>
            <color indexed="81"/>
            <rFont val="Tahoma"/>
            <family val="2"/>
          </rPr>
          <t>Carty, Jak L [GIR]:</t>
        </r>
        <r>
          <rPr>
            <sz val="9"/>
            <color indexed="81"/>
            <rFont val="Tahoma"/>
            <family val="2"/>
          </rPr>
          <t xml:space="preserve">
Rever to Note 4 pg. 13 of 1H18 report. Line items matched to 1H18 format</t>
        </r>
      </text>
    </comment>
    <comment ref="AA57" authorId="0" shapeId="0" xr:uid="{F84C679E-5A36-406C-90F6-5E47726C1F48}">
      <text>
        <r>
          <rPr>
            <b/>
            <sz val="9"/>
            <color indexed="81"/>
            <rFont val="Tahoma"/>
            <family val="2"/>
          </rPr>
          <t>Carty, Jak L [GIR]:</t>
        </r>
        <r>
          <rPr>
            <sz val="9"/>
            <color indexed="81"/>
            <rFont val="Tahoma"/>
            <family val="2"/>
          </rPr>
          <t xml:space="preserve">
Management fees + other revenue</t>
        </r>
      </text>
    </comment>
    <comment ref="BI57" authorId="0" shapeId="0" xr:uid="{BECE88BC-06B9-4E57-9887-3EDD91AA18E5}">
      <text>
        <r>
          <rPr>
            <b/>
            <sz val="9"/>
            <color indexed="81"/>
            <rFont val="Tahoma"/>
            <family val="2"/>
          </rPr>
          <t>Carty, Jak L [GIR]:</t>
        </r>
        <r>
          <rPr>
            <sz val="9"/>
            <color indexed="81"/>
            <rFont val="Tahoma"/>
            <family val="2"/>
          </rPr>
          <t xml:space="preserve">
Management fees from related entities + other revenue</t>
        </r>
      </text>
    </comment>
    <comment ref="AA58" authorId="0" shapeId="0" xr:uid="{1852035E-8FCF-40B9-B0D8-1824FCB248A9}">
      <text>
        <r>
          <rPr>
            <b/>
            <sz val="9"/>
            <color indexed="81"/>
            <rFont val="Tahoma"/>
            <family val="2"/>
          </rPr>
          <t>Carty, Jak L [GIR]:</t>
        </r>
        <r>
          <rPr>
            <sz val="9"/>
            <color indexed="81"/>
            <rFont val="Tahoma"/>
            <family val="2"/>
          </rPr>
          <t xml:space="preserve">
Total revenue, Note 4 1H19 report</t>
        </r>
      </text>
    </comment>
    <comment ref="BH59" authorId="0" shapeId="0" xr:uid="{09D16DEF-70A9-475D-8C12-7EE6FC64FA86}">
      <text>
        <r>
          <rPr>
            <b/>
            <sz val="9"/>
            <color indexed="81"/>
            <rFont val="Tahoma"/>
            <family val="2"/>
          </rPr>
          <t>Carty, Jak L [GIR]:</t>
        </r>
        <r>
          <rPr>
            <sz val="9"/>
            <color indexed="81"/>
            <rFont val="Tahoma"/>
            <family val="2"/>
          </rPr>
          <t xml:space="preserve">
Total other income, Note 4 Revenues and Expenses</t>
        </r>
      </text>
    </comment>
    <comment ref="Y60" authorId="0" shapeId="0" xr:uid="{428C0E79-2189-4230-90F8-6F5B615E83DC}">
      <text>
        <r>
          <rPr>
            <b/>
            <sz val="9"/>
            <color indexed="81"/>
            <rFont val="Tahoma"/>
            <family val="2"/>
          </rPr>
          <t>Carty, Jak L [GIR]:</t>
        </r>
        <r>
          <rPr>
            <sz val="9"/>
            <color indexed="81"/>
            <rFont val="Tahoma"/>
            <family val="2"/>
          </rPr>
          <t xml:space="preserve">
Total income pg.26 1H18 report</t>
        </r>
      </text>
    </comment>
    <comment ref="AA60" authorId="0" shapeId="0" xr:uid="{56ED7F62-95B0-4E17-AD5A-676D340728B8}">
      <text>
        <r>
          <rPr>
            <b/>
            <sz val="9"/>
            <color indexed="81"/>
            <rFont val="Tahoma"/>
            <family val="2"/>
          </rPr>
          <t>Carty, Jak L [GIR]:</t>
        </r>
        <r>
          <rPr>
            <sz val="9"/>
            <color indexed="81"/>
            <rFont val="Tahoma"/>
            <family val="2"/>
          </rPr>
          <t xml:space="preserve">
Total income 1H18 report</t>
        </r>
      </text>
    </comment>
    <comment ref="BG60" authorId="0" shapeId="0" xr:uid="{3F6630A1-4225-4AF3-BD10-0A1D5C6BBB1B}">
      <text>
        <r>
          <rPr>
            <b/>
            <sz val="9"/>
            <color indexed="81"/>
            <rFont val="Tahoma"/>
            <family val="2"/>
          </rPr>
          <t>Carty, Jak L [GIR]:</t>
        </r>
        <r>
          <rPr>
            <sz val="9"/>
            <color indexed="81"/>
            <rFont val="Tahoma"/>
            <family val="2"/>
          </rPr>
          <t xml:space="preserve">
Total revenue and other income</t>
        </r>
      </text>
    </comment>
    <comment ref="AA62" authorId="0" shapeId="0" xr:uid="{1CF3FEB3-5F2E-4751-95F3-44A503E92D08}">
      <text>
        <r>
          <rPr>
            <b/>
            <sz val="9"/>
            <color indexed="81"/>
            <rFont val="Tahoma"/>
            <family val="2"/>
          </rPr>
          <t>Carty, Jak L [GIR]:</t>
        </r>
        <r>
          <rPr>
            <sz val="9"/>
            <color indexed="81"/>
            <rFont val="Tahoma"/>
            <family val="2"/>
          </rPr>
          <t xml:space="preserve">
Total revenue and other income is 117,346 pg.31 1H19 report</t>
        </r>
      </text>
    </comment>
    <comment ref="BH62" authorId="0" shapeId="0" xr:uid="{E1BA1C67-4862-4DF7-95C9-4F781921077C}">
      <text>
        <r>
          <rPr>
            <b/>
            <sz val="9"/>
            <color indexed="81"/>
            <rFont val="Tahoma"/>
            <family val="2"/>
          </rPr>
          <t>Carty, Jak L [GIR]:</t>
        </r>
        <r>
          <rPr>
            <sz val="9"/>
            <color indexed="81"/>
            <rFont val="Tahoma"/>
            <family val="2"/>
          </rPr>
          <t xml:space="preserve">
Reconciles to Total Revenue and Other Income, Note 23 Operating segments FY19</t>
        </r>
      </text>
    </comment>
    <comment ref="BI62" authorId="0" shapeId="0" xr:uid="{F3B91023-8EC9-4257-859E-00E5B858F784}">
      <text>
        <r>
          <rPr>
            <b/>
            <sz val="9"/>
            <color indexed="81"/>
            <rFont val="Tahoma"/>
            <family val="2"/>
          </rPr>
          <t>Carty, Jak L [GIR]:</t>
        </r>
        <r>
          <rPr>
            <sz val="9"/>
            <color indexed="81"/>
            <rFont val="Tahoma"/>
            <family val="2"/>
          </rPr>
          <t xml:space="preserve">
Total revenue and other income - disclosed in Note 3 Operating segment FY20</t>
        </r>
      </text>
    </comment>
    <comment ref="AC63" authorId="0" shapeId="0" xr:uid="{18BEC823-FDAD-4758-9E56-F453D1793A33}">
      <text>
        <r>
          <rPr>
            <b/>
            <sz val="9"/>
            <color indexed="81"/>
            <rFont val="Tahoma"/>
            <family val="2"/>
          </rPr>
          <t>Carty, Jak L [GIR]:</t>
        </r>
        <r>
          <rPr>
            <sz val="9"/>
            <color indexed="81"/>
            <rFont val="Tahoma"/>
            <family val="2"/>
          </rPr>
          <t xml:space="preserve">
page 31, 1H19 report or page 25 1H20 report</t>
        </r>
      </text>
    </comment>
    <comment ref="AC69" authorId="0" shapeId="0" xr:uid="{6DB98340-4CC7-4B18-870F-6A064D27DF09}">
      <text>
        <r>
          <rPr>
            <b/>
            <sz val="9"/>
            <color indexed="81"/>
            <rFont val="Tahoma"/>
            <family val="2"/>
          </rPr>
          <t>Carty, Jak L [GIR]:</t>
        </r>
        <r>
          <rPr>
            <sz val="9"/>
            <color indexed="81"/>
            <rFont val="Tahoma"/>
            <family val="2"/>
          </rPr>
          <t xml:space="preserve">
Salaries and wages</t>
        </r>
      </text>
    </comment>
  </commentList>
</comments>
</file>

<file path=xl/sharedStrings.xml><?xml version="1.0" encoding="utf-8"?>
<sst xmlns="http://schemas.openxmlformats.org/spreadsheetml/2006/main" count="1252" uniqueCount="652">
  <si>
    <t>DCF_DistCFTotalTerminal</t>
  </si>
  <si>
    <t>Share price</t>
  </si>
  <si>
    <t>Risk free rate (Rf)</t>
  </si>
  <si>
    <t>Ordinary shareholder`s equity - EOP</t>
  </si>
  <si>
    <t>Shares on issue - EOP</t>
  </si>
  <si>
    <t>Average shares on issue - basic</t>
  </si>
  <si>
    <t>Total</t>
  </si>
  <si>
    <t>Earnings per share (reported | basic)</t>
  </si>
  <si>
    <t>Earnings per share (reported | diluted)</t>
  </si>
  <si>
    <t>Terminal valuation forecast year</t>
  </si>
  <si>
    <t>Reuters code</t>
  </si>
  <si>
    <t>Terminal growth rate</t>
  </si>
  <si>
    <t>Market risk premium (Rm)</t>
  </si>
  <si>
    <t>Equity Beta (B)</t>
  </si>
  <si>
    <t>Today</t>
  </si>
  <si>
    <t>Last result</t>
  </si>
  <si>
    <t>Current year</t>
  </si>
  <si>
    <t>Ordinary shareholder`s equity - BOP</t>
  </si>
  <si>
    <t>Other</t>
  </si>
  <si>
    <t>Market capitalisation</t>
  </si>
  <si>
    <t>ASX code</t>
  </si>
  <si>
    <t>Valuation as at date</t>
  </si>
  <si>
    <t>Bloomberg code</t>
  </si>
  <si>
    <t>Actuals</t>
  </si>
  <si>
    <t>Assumptions</t>
  </si>
  <si>
    <t>External links</t>
  </si>
  <si>
    <t>Total liabilities</t>
  </si>
  <si>
    <t>Per share data</t>
  </si>
  <si>
    <t>Gross dividends per share</t>
  </si>
  <si>
    <t>Book value per share</t>
  </si>
  <si>
    <t>DRP participation</t>
  </si>
  <si>
    <t>Net shares issued</t>
  </si>
  <si>
    <t>Period end share price</t>
  </si>
  <si>
    <t>Taxation</t>
  </si>
  <si>
    <t>Average net issuance share price</t>
  </si>
  <si>
    <t>Average shares on issue - diluted</t>
  </si>
  <si>
    <t>Interest expense</t>
  </si>
  <si>
    <t>Net tangible assets per share</t>
  </si>
  <si>
    <t>ASS_TXBankRateGS</t>
  </si>
  <si>
    <t>Corporate tax rate</t>
  </si>
  <si>
    <t>1H08A</t>
  </si>
  <si>
    <t>Master check</t>
  </si>
  <si>
    <t>Half-year annualiser</t>
  </si>
  <si>
    <t>COLOUR CODING</t>
  </si>
  <si>
    <t>Calculations</t>
  </si>
  <si>
    <t>Equity value</t>
  </si>
  <si>
    <t>Proportion of franking credits valued</t>
  </si>
  <si>
    <t>Capital</t>
  </si>
  <si>
    <t>Period</t>
  </si>
  <si>
    <t>Period end</t>
  </si>
  <si>
    <t>Other income</t>
  </si>
  <si>
    <t>Profitability</t>
  </si>
  <si>
    <t>EARNINGS CHANGES</t>
  </si>
  <si>
    <t>ASS_TXCorpRate</t>
  </si>
  <si>
    <t>DCF</t>
  </si>
  <si>
    <t>DCF_DistCFTotal</t>
  </si>
  <si>
    <t>DCF_DistCFValueofFranking</t>
  </si>
  <si>
    <t>DCF_DistCFValueofFrankingTerminal</t>
  </si>
  <si>
    <t>Proportion of tax paid in Australia</t>
  </si>
  <si>
    <t>ASS_TXFrankingValued</t>
  </si>
  <si>
    <t>ASS_CapitalDPSPayout</t>
  </si>
  <si>
    <t>FY08A</t>
  </si>
  <si>
    <t>Actual (A) / forecast (F)</t>
  </si>
  <si>
    <t>Tax rate foregone (GS basis)</t>
  </si>
  <si>
    <t>ASS_CapitalDPSFrankingRate</t>
  </si>
  <si>
    <t>Franking rate</t>
  </si>
  <si>
    <t>AD_PSEPSReportedBasic</t>
  </si>
  <si>
    <t>AD_PSEPSReportedDiluted</t>
  </si>
  <si>
    <t>AD_PSBPS</t>
  </si>
  <si>
    <t>AD_PSNTAPS</t>
  </si>
  <si>
    <t>AD_PSDPS</t>
  </si>
  <si>
    <t>OrdEqu_EOP</t>
  </si>
  <si>
    <t>Annualiser</t>
  </si>
  <si>
    <t>ASS_CapitalDRPParticipation</t>
  </si>
  <si>
    <t>Buy</t>
  </si>
  <si>
    <t>GS recommendation</t>
  </si>
  <si>
    <t>Valn_AsAtDate</t>
  </si>
  <si>
    <t>Valn_TerminalGrowth</t>
  </si>
  <si>
    <t>Valn_RiskFreeRate</t>
  </si>
  <si>
    <t>Valn_MRP</t>
  </si>
  <si>
    <t>Valn_Beta</t>
  </si>
  <si>
    <t>Depreciation</t>
  </si>
  <si>
    <t>EPS</t>
  </si>
  <si>
    <t>1H13A</t>
  </si>
  <si>
    <t>Special dividends per share</t>
  </si>
  <si>
    <t>1H14A</t>
  </si>
  <si>
    <t>CENTRAL ASSUMPTIONS</t>
  </si>
  <si>
    <t>A</t>
  </si>
  <si>
    <t>Income tax expense</t>
  </si>
  <si>
    <t>NPAT</t>
  </si>
  <si>
    <t>Net assets</t>
  </si>
  <si>
    <t xml:space="preserve">Equity </t>
  </si>
  <si>
    <t xml:space="preserve">Total equity </t>
  </si>
  <si>
    <t>2H07A</t>
  </si>
  <si>
    <t>1H07A</t>
  </si>
  <si>
    <t>2H06A</t>
  </si>
  <si>
    <t>AD_PSDPSSpecial</t>
  </si>
  <si>
    <t>AD_PSDPSGross</t>
  </si>
  <si>
    <t>ASS_CapitalShareIssuance</t>
  </si>
  <si>
    <t>ASS_CapitalPESharePrice</t>
  </si>
  <si>
    <t>ASS_CapitalAvShareIssuancePrice</t>
  </si>
  <si>
    <t>ASS_TXAustralia</t>
  </si>
  <si>
    <t>Group_Tax</t>
  </si>
  <si>
    <t>OrdEqu_BOP</t>
  </si>
  <si>
    <t>OrdEqu_TotalEquEarnings</t>
  </si>
  <si>
    <t>OrdEqu_OrdDiv</t>
  </si>
  <si>
    <t>OrdEqu_SharesIssued</t>
  </si>
  <si>
    <t>OrdEqu_Other</t>
  </si>
  <si>
    <t>BSEquity_ShareCapital</t>
  </si>
  <si>
    <t>BSEquity_Reserves</t>
  </si>
  <si>
    <t>BSEquity_RetainedEarnings</t>
  </si>
  <si>
    <t>BSEquity_NCI</t>
  </si>
  <si>
    <t>BSEquity_TotalEquity</t>
  </si>
  <si>
    <t>AvSOIEOP</t>
  </si>
  <si>
    <t>AvSOIBasic</t>
  </si>
  <si>
    <t>AvSOIDiluted</t>
  </si>
  <si>
    <t>FY07A</t>
  </si>
  <si>
    <t>FY06A</t>
  </si>
  <si>
    <t>GROUP RATIOS</t>
  </si>
  <si>
    <t>BALANCE SHEET</t>
  </si>
  <si>
    <t>Error check</t>
  </si>
  <si>
    <t>Reported Diluted EPS</t>
  </si>
  <si>
    <t>Reported Basic EPS</t>
  </si>
  <si>
    <t>ASS_CapitalDPSOrdinary</t>
  </si>
  <si>
    <t>ASS_CapitalDPSSpecial</t>
  </si>
  <si>
    <t>Ordinary DPS</t>
  </si>
  <si>
    <t>Special DPS</t>
  </si>
  <si>
    <t>ASS_CapitalDPSPayoutOrdinary</t>
  </si>
  <si>
    <t>Payout ratio - Ordinary</t>
  </si>
  <si>
    <t>ASS_CapitalDPSPayoutSpecial</t>
  </si>
  <si>
    <t>Payout ratio - Special</t>
  </si>
  <si>
    <t>Payout ratio - Total</t>
  </si>
  <si>
    <t>NTA</t>
  </si>
  <si>
    <t>Value of franking credits distributed</t>
  </si>
  <si>
    <t>DPS total</t>
  </si>
  <si>
    <t>AD_TotalBookValue</t>
  </si>
  <si>
    <t>AD_TotalTangibleBookValue</t>
  </si>
  <si>
    <t>Ordinary dividends per share</t>
  </si>
  <si>
    <t>AD_PSDPSTotal</t>
  </si>
  <si>
    <t>Total dividends per share</t>
  </si>
  <si>
    <t>Book value</t>
  </si>
  <si>
    <t xml:space="preserve">Average shareholders equity </t>
  </si>
  <si>
    <t xml:space="preserve">Average tangible equity </t>
  </si>
  <si>
    <t>AD_AvgTotalBookValue</t>
  </si>
  <si>
    <t>AD_AvgTotalTangibleBookValue</t>
  </si>
  <si>
    <t>Current assets</t>
  </si>
  <si>
    <t>Total current assets</t>
  </si>
  <si>
    <t>Non-current assets</t>
  </si>
  <si>
    <t>Total non-current assets</t>
  </si>
  <si>
    <t>Provisions</t>
  </si>
  <si>
    <t>Total current liabilities</t>
  </si>
  <si>
    <t>Non-current liabilities</t>
  </si>
  <si>
    <t>Shares on issue - BOP</t>
  </si>
  <si>
    <t>Earnings per share (reported | diluted) growth (sequential)</t>
  </si>
  <si>
    <t>AD_ProfitabilityROE</t>
  </si>
  <si>
    <t>AD_ProfitabilityROTE</t>
  </si>
  <si>
    <t>BSAssets_Current_Cash</t>
  </si>
  <si>
    <t>BSAssets_Current_Total</t>
  </si>
  <si>
    <t>BSAssets_Total</t>
  </si>
  <si>
    <t>AvSOIBOP</t>
  </si>
  <si>
    <t>AD_PSEPSBasic</t>
  </si>
  <si>
    <t>AD_PSEPSDiluted</t>
  </si>
  <si>
    <t>AD_PSEPSDilutedGrowth</t>
  </si>
  <si>
    <t xml:space="preserve">CASHFLOW </t>
  </si>
  <si>
    <t>Dividend_CF</t>
  </si>
  <si>
    <t>Tot_CF</t>
  </si>
  <si>
    <t>Operating_CF</t>
  </si>
  <si>
    <t>Deferred tax assets</t>
  </si>
  <si>
    <t>EBITDA</t>
  </si>
  <si>
    <t>EBIT</t>
  </si>
  <si>
    <t>Group_NPAT</t>
  </si>
  <si>
    <t>Adjusted Diluted EPS</t>
  </si>
  <si>
    <t>AD_PSEPSAdjDiluted</t>
  </si>
  <si>
    <t>Operating_InvCF</t>
  </si>
  <si>
    <t>Operating_FinCF</t>
  </si>
  <si>
    <t>Operating_CF_TaxPaid</t>
  </si>
  <si>
    <t>PBT</t>
  </si>
  <si>
    <t xml:space="preserve">Total ordinary equity </t>
  </si>
  <si>
    <t>OEIs (Minorities)</t>
  </si>
  <si>
    <t>Group_OEIs</t>
  </si>
  <si>
    <t>BSAssets_Current_TD</t>
  </si>
  <si>
    <t>Operating_CF_receipts</t>
  </si>
  <si>
    <t>Other current assets</t>
  </si>
  <si>
    <t>Acquisitions</t>
  </si>
  <si>
    <t>Receipts from customers</t>
  </si>
  <si>
    <t>GroupCF_Change in working capital</t>
  </si>
  <si>
    <t>GroupCF_Working capital</t>
  </si>
  <si>
    <t>Net shares issued $m</t>
  </si>
  <si>
    <t>Net shares issued #</t>
  </si>
  <si>
    <t>NPAT margin</t>
  </si>
  <si>
    <t>Net Debt</t>
  </si>
  <si>
    <t>BS_NetDebt</t>
  </si>
  <si>
    <t>BSEquity_TotalOrdEquity</t>
  </si>
  <si>
    <t>REVENUES</t>
  </si>
  <si>
    <t>EXPENSES</t>
  </si>
  <si>
    <t>PROFIT AND LOSS</t>
  </si>
  <si>
    <t>Cash and cash equivalents</t>
  </si>
  <si>
    <t>Trade and other receivables</t>
  </si>
  <si>
    <t>Trade and other payables</t>
  </si>
  <si>
    <t>Issued capital</t>
  </si>
  <si>
    <t>Total Income</t>
  </si>
  <si>
    <t>Change in net operating working capital</t>
  </si>
  <si>
    <t>Capital expenditures</t>
  </si>
  <si>
    <t>PV of future FCFE (explicit forecast period)</t>
  </si>
  <si>
    <t>PV of terminal value (beyond explicit forecast period)</t>
  </si>
  <si>
    <t>PV of future franking credits (explicit forecast period)</t>
  </si>
  <si>
    <t>PV of terminal value (beyond explicit forecasting period)</t>
  </si>
  <si>
    <t>Total present value of future franking credits</t>
  </si>
  <si>
    <t>Total equity value per share</t>
  </si>
  <si>
    <t>GroupCF_Capex</t>
  </si>
  <si>
    <t>Operating_CF_payments</t>
  </si>
  <si>
    <t>Group_NPATMargin</t>
  </si>
  <si>
    <t>EBITDA margin</t>
  </si>
  <si>
    <t>GWP</t>
  </si>
  <si>
    <t>Divisions</t>
  </si>
  <si>
    <t>NPBT</t>
  </si>
  <si>
    <t>NPAT (owners)</t>
  </si>
  <si>
    <t>Tax</t>
  </si>
  <si>
    <t>Employment expense</t>
  </si>
  <si>
    <t>Amortisation</t>
  </si>
  <si>
    <t>Revenue</t>
  </si>
  <si>
    <t>non-controlling interests</t>
  </si>
  <si>
    <t>Cash held on trust</t>
  </si>
  <si>
    <t>BSAssets_CashHeldTrust</t>
  </si>
  <si>
    <t>BSAssets_premiumfunding</t>
  </si>
  <si>
    <t>BSAssetsOther</t>
  </si>
  <si>
    <t>Intangible Assets</t>
  </si>
  <si>
    <t>Investments in associates</t>
  </si>
  <si>
    <t>PPE</t>
  </si>
  <si>
    <t>Right of use assets</t>
  </si>
  <si>
    <t>Other Financial Assets</t>
  </si>
  <si>
    <t>Total Assets</t>
  </si>
  <si>
    <t>Capex</t>
  </si>
  <si>
    <t>Current Liabilities</t>
  </si>
  <si>
    <t>Lease liabilities</t>
  </si>
  <si>
    <t>Income tax payable</t>
  </si>
  <si>
    <t>Deferred tax liabilities</t>
  </si>
  <si>
    <t xml:space="preserve">Provisions </t>
  </si>
  <si>
    <t>Total non-current liabilites</t>
  </si>
  <si>
    <t>BSLiabilities_Netassets</t>
  </si>
  <si>
    <t>Total comprehensive income</t>
  </si>
  <si>
    <t>Dividend declared</t>
  </si>
  <si>
    <t>Adjustments</t>
  </si>
  <si>
    <t>Other comprehensive income</t>
  </si>
  <si>
    <t>Net movement in foreign currence reserves</t>
  </si>
  <si>
    <t>Income tax benefit</t>
  </si>
  <si>
    <t>Total other comprehensive income / (loss) net of tax</t>
  </si>
  <si>
    <t>Total comprehensive income / (loss)</t>
  </si>
  <si>
    <t>Cash Flows from operating activities</t>
  </si>
  <si>
    <t>Payments to suppliers</t>
  </si>
  <si>
    <t>Income taxes paid</t>
  </si>
  <si>
    <t>Net cash from operating activities before customer trust accounts</t>
  </si>
  <si>
    <t>Net movement in customer trust accounts</t>
  </si>
  <si>
    <t>Net cash from operating activities</t>
  </si>
  <si>
    <t>Net cash used in investing</t>
  </si>
  <si>
    <t>Statutory P&amp;L</t>
  </si>
  <si>
    <t>Group_Revenue</t>
  </si>
  <si>
    <t>Group_NPBT</t>
  </si>
  <si>
    <t>Group_NPAT_owners</t>
  </si>
  <si>
    <t>Group_Other</t>
  </si>
  <si>
    <t>This sheet contains FactSet XML data for use with this workbook's =FDS codes.  Modifying the worksheet's contents may damage the workbook's =FDS functionality.</t>
  </si>
  <si>
    <t>BSAssets_TotalNonCurrent</t>
  </si>
  <si>
    <t>BSAssets_OtherFinancial</t>
  </si>
  <si>
    <t>BSAssets_NonCurrent_Associates</t>
  </si>
  <si>
    <t>BSLiabilities_payables</t>
  </si>
  <si>
    <t>BSAssets_NonCurrent_DeferredTax</t>
  </si>
  <si>
    <t>BSAssets_NonCurrentOther</t>
  </si>
  <si>
    <t>BSLiabilities_PremiumFundingBorrowings</t>
  </si>
  <si>
    <t>BSLiabilities_DeferredTax</t>
  </si>
  <si>
    <t>BSLiabilities_OtherPayables</t>
  </si>
  <si>
    <t>BSLiabilities_TotalNonCurrentliabilites</t>
  </si>
  <si>
    <t>BSLiabilities_TotalLiabilities</t>
  </si>
  <si>
    <t>BSLiabilities_NonCurrentBorrowings</t>
  </si>
  <si>
    <t>BSLiabilities_NonCurrentLeases</t>
  </si>
  <si>
    <t>Australian Broking</t>
  </si>
  <si>
    <t>Australian Agencies</t>
  </si>
  <si>
    <t>BizCover</t>
  </si>
  <si>
    <t>New Zealand</t>
  </si>
  <si>
    <t>Commission and fee income</t>
  </si>
  <si>
    <t>Total underlying revenue</t>
  </si>
  <si>
    <t>Underlying expenses</t>
  </si>
  <si>
    <t>Underlying EBIT</t>
  </si>
  <si>
    <t>NPBT attributable to equity holders</t>
  </si>
  <si>
    <t>Underlying revenue</t>
  </si>
  <si>
    <t>PBT and non-controlling interests</t>
  </si>
  <si>
    <t>Profit attributable to other equity interests</t>
  </si>
  <si>
    <t>Corporate</t>
  </si>
  <si>
    <t>Corporate expenses</t>
  </si>
  <si>
    <t>Net corporate result</t>
  </si>
  <si>
    <t>Underlying NPAT</t>
  </si>
  <si>
    <t>Health &amp; Rehab</t>
  </si>
  <si>
    <t>Revenue from contracts with customers</t>
  </si>
  <si>
    <t>Share of profit of associates</t>
  </si>
  <si>
    <t>Inter-segment revenue</t>
  </si>
  <si>
    <t>Revenue from external customers</t>
  </si>
  <si>
    <t>Underlying NPBT</t>
  </si>
  <si>
    <t>Commission, brokerage and fee income</t>
  </si>
  <si>
    <t>Other revenue</t>
  </si>
  <si>
    <t>Total revenue from contracts with customers</t>
  </si>
  <si>
    <t xml:space="preserve">Other </t>
  </si>
  <si>
    <t>Total revenue and other income</t>
  </si>
  <si>
    <t>Share of net underlying profits of associates</t>
  </si>
  <si>
    <t>Business technology and software costs</t>
  </si>
  <si>
    <t>Insurance</t>
  </si>
  <si>
    <t>Commission expense</t>
  </si>
  <si>
    <t>Finance costs</t>
  </si>
  <si>
    <t>Adjustments to carrying value</t>
  </si>
  <si>
    <t>Profit from sale or dilution of interest in associates</t>
  </si>
  <si>
    <t>Lease net investment</t>
  </si>
  <si>
    <t>Deferred revenue</t>
  </si>
  <si>
    <t>Loans and borrowings</t>
  </si>
  <si>
    <t>Trade and other payable</t>
  </si>
  <si>
    <t>Retained earnings</t>
  </si>
  <si>
    <t>Cash - EOP</t>
  </si>
  <si>
    <t>Clients</t>
  </si>
  <si>
    <t>Premium / Client</t>
  </si>
  <si>
    <t>EBIT margin</t>
  </si>
  <si>
    <t>Clients (000's)</t>
  </si>
  <si>
    <t>GWP (mns)</t>
  </si>
  <si>
    <t>Client growth</t>
  </si>
  <si>
    <t>AUB</t>
  </si>
  <si>
    <t>Group_EBIT</t>
  </si>
  <si>
    <t>Group_FinanceCosts</t>
  </si>
  <si>
    <t>Operating expenses</t>
  </si>
  <si>
    <t>Group_OperatingExp</t>
  </si>
  <si>
    <t>Group_Shareofprofitfromassociates</t>
  </si>
  <si>
    <t>Group_EB ITDA</t>
  </si>
  <si>
    <t>NPAT (owners) margin</t>
  </si>
  <si>
    <t>Provides guidance for Underlying NPAT, and EPS</t>
  </si>
  <si>
    <t>Gearing Ratio</t>
  </si>
  <si>
    <t>Consistent disclosure not available prior to FY16 based on 1H22 presentation of results</t>
  </si>
  <si>
    <t>Cash flows from investing</t>
  </si>
  <si>
    <t>Sales proceeds (net of cash reduced on deconsolidation)</t>
  </si>
  <si>
    <t>Payments for deferred settlement</t>
  </si>
  <si>
    <t>Cash flows from financing</t>
  </si>
  <si>
    <t>Dividends</t>
  </si>
  <si>
    <t>Net borrowings</t>
  </si>
  <si>
    <t>Repayment of lease liabilities</t>
  </si>
  <si>
    <t>Sale proceeds</t>
  </si>
  <si>
    <t>Net cash flow from financing</t>
  </si>
  <si>
    <t>Net increase in cash</t>
  </si>
  <si>
    <t xml:space="preserve">Cash - BOP </t>
  </si>
  <si>
    <t>Impacts as a result of Forex</t>
  </si>
  <si>
    <t>Austbrokers Group (AUB.AX)</t>
  </si>
  <si>
    <t>Commission and fees % GWP</t>
  </si>
  <si>
    <t>Premium funding</t>
  </si>
  <si>
    <t>Interest</t>
  </si>
  <si>
    <t>Premium funding % GWP</t>
  </si>
  <si>
    <t>Interest expenses</t>
  </si>
  <si>
    <t>Commission and fee income % GWP</t>
  </si>
  <si>
    <t>NPBT brokers (owners)</t>
  </si>
  <si>
    <t>Corporate revenue</t>
  </si>
  <si>
    <t>Corporate revenue growth %</t>
  </si>
  <si>
    <t>Corporate expensee growth %</t>
  </si>
  <si>
    <t>EBIT - Corporate</t>
  </si>
  <si>
    <t>Corporate expenses (including interests)</t>
  </si>
  <si>
    <t>Acquisition expenses</t>
  </si>
  <si>
    <t>Corporate finance costs</t>
  </si>
  <si>
    <t>Coroprate finance costs</t>
  </si>
  <si>
    <t>Total - EBIT before NCI</t>
  </si>
  <si>
    <t>Total interest expense</t>
  </si>
  <si>
    <t>Non controlling interest</t>
  </si>
  <si>
    <t>EBIT - operating entities</t>
  </si>
  <si>
    <t>EBIT - health and rehab</t>
  </si>
  <si>
    <t>EBIT - corporate</t>
  </si>
  <si>
    <t>Capitalised project costs - BOP</t>
  </si>
  <si>
    <t>Additions</t>
  </si>
  <si>
    <t>Net addition</t>
  </si>
  <si>
    <t>Acquisition of controlled entities</t>
  </si>
  <si>
    <t>Deconsolidation of controlled entities</t>
  </si>
  <si>
    <t>FX</t>
  </si>
  <si>
    <t>Total intangibles cost</t>
  </si>
  <si>
    <t>Amortisation - BOP</t>
  </si>
  <si>
    <t>Amortisation during the year</t>
  </si>
  <si>
    <t>Impairments</t>
  </si>
  <si>
    <t>Total accumulated amortisation</t>
  </si>
  <si>
    <t>Net carrying value of capitalised projects - BOP</t>
  </si>
  <si>
    <t>Net carrying value of capitalised projects - EOP</t>
  </si>
  <si>
    <t>Goodwill - BOP</t>
  </si>
  <si>
    <t>Net carrying value of Goodwill - BOP</t>
  </si>
  <si>
    <t>Net carrying value of Goodwill - EOP</t>
  </si>
  <si>
    <t>Insurance broking registers - BOP</t>
  </si>
  <si>
    <t>Net carrying value of Insurance broking registers - BOP</t>
  </si>
  <si>
    <t>Net carrying value of Insurance broking registers - EOP</t>
  </si>
  <si>
    <t>Total intangibles &amp; Goodwill - BOP</t>
  </si>
  <si>
    <t>Net carrying value of Total intangibles &amp; Goodwill - BOP</t>
  </si>
  <si>
    <t>Net carrying value of Total intangibles &amp; Goodwill - EOP</t>
  </si>
  <si>
    <t>Intangibles and Goodwill</t>
  </si>
  <si>
    <t>Total impairment</t>
  </si>
  <si>
    <t>Operating profits before income tax</t>
  </si>
  <si>
    <t>Amortisation of intangibles</t>
  </si>
  <si>
    <t>Share of associates net profit</t>
  </si>
  <si>
    <t>Implied expenses</t>
  </si>
  <si>
    <t>Reconciliation of carrying value of associates</t>
  </si>
  <si>
    <t>Carrying value - BOP</t>
  </si>
  <si>
    <t>Acquisition of associates</t>
  </si>
  <si>
    <t>Disposal of interest in associates</t>
  </si>
  <si>
    <t>Share of associates profit after tax</t>
  </si>
  <si>
    <t>Dividends / trust distributions received</t>
  </si>
  <si>
    <t>Carrying value - EOP</t>
  </si>
  <si>
    <t>Additional CF Items</t>
  </si>
  <si>
    <t xml:space="preserve">Dividends / trust distributions received from associates </t>
  </si>
  <si>
    <t>Net Assets</t>
  </si>
  <si>
    <t>ROE</t>
  </si>
  <si>
    <t>Effective tax %</t>
  </si>
  <si>
    <t>Margin %</t>
  </si>
  <si>
    <t>Growth %</t>
  </si>
  <si>
    <t>Leases - BOP</t>
  </si>
  <si>
    <t>Disposals</t>
  </si>
  <si>
    <t>Total Lease liability</t>
  </si>
  <si>
    <t>Principal payments</t>
  </si>
  <si>
    <t>Leases - EOP</t>
  </si>
  <si>
    <t>Right of Use Assetss - EOP</t>
  </si>
  <si>
    <t>Right of Use Assets - BOP</t>
  </si>
  <si>
    <t xml:space="preserve">Total Right of Use Assets </t>
  </si>
  <si>
    <t>LNIs - BOP</t>
  </si>
  <si>
    <t xml:space="preserve">Total LNIs </t>
  </si>
  <si>
    <t>LNIss - EOP</t>
  </si>
  <si>
    <t>Principal payments % opening balance</t>
  </si>
  <si>
    <t>Current leases</t>
  </si>
  <si>
    <t>Non-current leases</t>
  </si>
  <si>
    <t>Check</t>
  </si>
  <si>
    <t>Depreciation % opening balance</t>
  </si>
  <si>
    <t>Current LNI</t>
  </si>
  <si>
    <t>Non-current LNI</t>
  </si>
  <si>
    <t>ROU (ex LNI)</t>
  </si>
  <si>
    <t>Amortisation % opening balance</t>
  </si>
  <si>
    <t>Interest bearing loans and borrowings</t>
  </si>
  <si>
    <t>Current</t>
  </si>
  <si>
    <t>Secured bank loan</t>
  </si>
  <si>
    <t>Non Current</t>
  </si>
  <si>
    <t>Interest beaing loans and borrowings - controlled entities</t>
  </si>
  <si>
    <t>Interest beairing loans - associates</t>
  </si>
  <si>
    <t>Contingent consideration</t>
  </si>
  <si>
    <t>Total debt</t>
  </si>
  <si>
    <t>Gearing Ratio - company definition</t>
  </si>
  <si>
    <t>Reconciliation of profit after tax to OCF</t>
  </si>
  <si>
    <t>PAT</t>
  </si>
  <si>
    <t>Adjustents for non-cash items</t>
  </si>
  <si>
    <t>Movement in current liabilities</t>
  </si>
  <si>
    <t>increase (decrease) in payables</t>
  </si>
  <si>
    <t>increase (decrease) in provisions</t>
  </si>
  <si>
    <t>Movement in current assets</t>
  </si>
  <si>
    <t>(increase) decrease in receivables</t>
  </si>
  <si>
    <t>(increase) decrease in other assets</t>
  </si>
  <si>
    <t>(increase) decrease in customer trust accounts</t>
  </si>
  <si>
    <t>Adjustment</t>
  </si>
  <si>
    <t>Cash flow from operations</t>
  </si>
  <si>
    <t>Adjustments for non-operating activities</t>
  </si>
  <si>
    <t>Total present value of future FCF</t>
  </si>
  <si>
    <t>Cumulative present value of cash flows + dividends</t>
  </si>
  <si>
    <t>Less: net debt</t>
  </si>
  <si>
    <t>Less: Minority interest</t>
  </si>
  <si>
    <t>Less: investments in unconsolidated subsidiaries</t>
  </si>
  <si>
    <t>WACC</t>
  </si>
  <si>
    <t>Specialist agencies</t>
  </si>
  <si>
    <t>Equity partners</t>
  </si>
  <si>
    <t>Tysers</t>
  </si>
  <si>
    <t>Financial Overview</t>
  </si>
  <si>
    <t>Staff costs</t>
  </si>
  <si>
    <t>Bonus expense</t>
  </si>
  <si>
    <t>Non-staff costs</t>
  </si>
  <si>
    <t>Total operating costs</t>
  </si>
  <si>
    <t>Normalised EBITDA</t>
  </si>
  <si>
    <t>CY19</t>
  </si>
  <si>
    <t>CY20</t>
  </si>
  <si>
    <t>CY21</t>
  </si>
  <si>
    <t>UNPAT</t>
  </si>
  <si>
    <t>Expenses</t>
  </si>
  <si>
    <t>NCI</t>
  </si>
  <si>
    <t>AustralianBroking_NPBT</t>
  </si>
  <si>
    <t>AustralianAgencies_NPBT</t>
  </si>
  <si>
    <t>NZ_NPBT</t>
  </si>
  <si>
    <t>AustralianBroking_GWP</t>
  </si>
  <si>
    <t>AustralianAgencies_GWP</t>
  </si>
  <si>
    <t>NZ_GWP</t>
  </si>
  <si>
    <t>AustralianBroking_TotalUnderlyingRevenue</t>
  </si>
  <si>
    <t>AustralianBroking_underlyingexpenses</t>
  </si>
  <si>
    <t>AustralianBroking_underlyingEBIT</t>
  </si>
  <si>
    <t>AustralianAgencies_underlyingrevenue</t>
  </si>
  <si>
    <t>AustralianAgencies_underlyingexpenses</t>
  </si>
  <si>
    <t>AustralianAgencies_underlyingEBIT</t>
  </si>
  <si>
    <t>BizCover_UnderlyingRevenue</t>
  </si>
  <si>
    <t>BizCover_UnderlyingEBIT</t>
  </si>
  <si>
    <t>NewZealand_UnderlyingRevenue</t>
  </si>
  <si>
    <t>NewZealand_UnderlyingExpenses</t>
  </si>
  <si>
    <t>NewZealand_UnderlyingEBIT</t>
  </si>
  <si>
    <t>Revenue - operating entities</t>
  </si>
  <si>
    <t>Expenses - operating entities</t>
  </si>
  <si>
    <t>Free cash flow (FCF)</t>
  </si>
  <si>
    <t>StatutoryExpenses_Employment</t>
  </si>
  <si>
    <t>StatutoryExpenses_BusinessTechnologyAndSoftawreCosts</t>
  </si>
  <si>
    <t>StatutoryExpenses_SoftawreExpense</t>
  </si>
  <si>
    <t>StatutoryExpenses_SoftawreAmortisation</t>
  </si>
  <si>
    <t>StatutoryExpenses_SoftawreDepreciation</t>
  </si>
  <si>
    <t>StatutoryExpenses_SoftawreInsurance</t>
  </si>
  <si>
    <t>StatutoryExpenses_SoftawreOther</t>
  </si>
  <si>
    <t>StatutoryExpenses_SoftawreTotal</t>
  </si>
  <si>
    <t>Australian_BrokingCommissions</t>
  </si>
  <si>
    <t>AustralianBroking_Other</t>
  </si>
  <si>
    <t>AustralianBroking_InterestIncome</t>
  </si>
  <si>
    <t>AustralianBroking_PremiumFunding</t>
  </si>
  <si>
    <t>BS_GearingRatio_Company</t>
  </si>
  <si>
    <t>AustralianAgencies_Commissions</t>
  </si>
  <si>
    <t>AustralianAgencies_Interest</t>
  </si>
  <si>
    <t>AustralianAgencies_OtherIncome</t>
  </si>
  <si>
    <t>Total_Commission&amp;Fees</t>
  </si>
  <si>
    <t>Underlying_NCI</t>
  </si>
  <si>
    <t>Underlying_PBT</t>
  </si>
  <si>
    <t>Profit before Tax and NCI</t>
  </si>
  <si>
    <t>UnderlyingNPBT</t>
  </si>
  <si>
    <t>Interest expense % debt + lease liabilities</t>
  </si>
  <si>
    <t>Revenue growth %</t>
  </si>
  <si>
    <t>Adjustment for Tysers</t>
  </si>
  <si>
    <t>Underlying P&amp;L</t>
  </si>
  <si>
    <t>Statutory NPAT</t>
  </si>
  <si>
    <t>Summary statistics</t>
  </si>
  <si>
    <t>Adjustments to Statutory</t>
  </si>
  <si>
    <t xml:space="preserve">Interest income </t>
  </si>
  <si>
    <t>Interest income</t>
  </si>
  <si>
    <t>Corporate: management presentation of results</t>
  </si>
  <si>
    <t>Exchange sheet items: Leases and ROU</t>
  </si>
  <si>
    <t>EBIT margin %</t>
  </si>
  <si>
    <t>PBT margin %</t>
  </si>
  <si>
    <t>Underlying NPBT margin %</t>
  </si>
  <si>
    <t>Underlying NPAT margin %</t>
  </si>
  <si>
    <t>Check these values match company reported (SAME as SDF)</t>
  </si>
  <si>
    <t>UnderlyingRevenue_OperatingEntities</t>
  </si>
  <si>
    <t>UnderlyingExpenses_OperatingEntities</t>
  </si>
  <si>
    <t>UnderlyingEBITCorporate</t>
  </si>
  <si>
    <t>UnderlyingTotalEBITbeforeNCI</t>
  </si>
  <si>
    <t>UnderlyingInterestExp</t>
  </si>
  <si>
    <t>UnderlyingTax</t>
  </si>
  <si>
    <t>UnderlyingNPAT</t>
  </si>
  <si>
    <t>StatutoryNPAT</t>
  </si>
  <si>
    <t>UnderlyingEBIT_OperatingEntities</t>
  </si>
  <si>
    <t>TysersRev</t>
  </si>
  <si>
    <t>TysersTotalOperatingCost</t>
  </si>
  <si>
    <t>TysersEBITDA</t>
  </si>
  <si>
    <t>AUB-AU</t>
  </si>
  <si>
    <t>BSAssets_NC_Intangibles</t>
  </si>
  <si>
    <t>Return on equity (underlying)</t>
  </si>
  <si>
    <t>Return on tangible equity (underlying)</t>
  </si>
  <si>
    <t>Return on capital (underlying)</t>
  </si>
  <si>
    <t>AD_ProfitabilityROC</t>
  </si>
  <si>
    <t>Rate</t>
  </si>
  <si>
    <t xml:space="preserve">Volume </t>
  </si>
  <si>
    <t>Commissions</t>
  </si>
  <si>
    <t>Fees</t>
  </si>
  <si>
    <t>Fee rate growth %</t>
  </si>
  <si>
    <t>Forecast drivers</t>
  </si>
  <si>
    <t>Metrics</t>
  </si>
  <si>
    <t>Commission and fee growth %</t>
  </si>
  <si>
    <t>Underlying revenue growth %</t>
  </si>
  <si>
    <t>Premium funding growth %</t>
  </si>
  <si>
    <t>EBIT growth %</t>
  </si>
  <si>
    <t>Expense growth %</t>
  </si>
  <si>
    <t>Profit attributatable to other equity interests % PBT</t>
  </si>
  <si>
    <t>Interest income % cash (annualized)</t>
  </si>
  <si>
    <t>Additional Metrics</t>
  </si>
  <si>
    <t>Interest expense %</t>
  </si>
  <si>
    <t>Profit attributable to other equity interests % PBT</t>
  </si>
  <si>
    <t>NPBT margin %</t>
  </si>
  <si>
    <t>Client growth %</t>
  </si>
  <si>
    <t>EBITDA margin %</t>
  </si>
  <si>
    <t>NPAT margin %</t>
  </si>
  <si>
    <t>Reconciling Item</t>
  </si>
  <si>
    <t>Notes</t>
  </si>
  <si>
    <t>Actual</t>
  </si>
  <si>
    <t>Australian_BrokingIntExp</t>
  </si>
  <si>
    <t>AustralianBroking_PBT</t>
  </si>
  <si>
    <t>AustralianBroking_NCI</t>
  </si>
  <si>
    <t>AustralianAgencies_IntExp</t>
  </si>
  <si>
    <t>AustralianAgency_PBT</t>
  </si>
  <si>
    <t>AustralianAgency_NCI</t>
  </si>
  <si>
    <t>Interest income (expense)</t>
  </si>
  <si>
    <t>NewZealand_IntExp</t>
  </si>
  <si>
    <t>NewZealandPBT</t>
  </si>
  <si>
    <t>NewZealand_NCI</t>
  </si>
  <si>
    <t>BizCoverPBT</t>
  </si>
  <si>
    <t>BizCover_NCI</t>
  </si>
  <si>
    <t>BizCover_NPBT</t>
  </si>
  <si>
    <t>Tysers_PBT</t>
  </si>
  <si>
    <t>Group</t>
  </si>
  <si>
    <t>BizCover_UnderlyingExpense</t>
  </si>
  <si>
    <t>Additional costs (pre-tax)</t>
  </si>
  <si>
    <t>Tysers_Tax</t>
  </si>
  <si>
    <t>Tysers_NPAT</t>
  </si>
  <si>
    <t>AUB.AX</t>
  </si>
  <si>
    <t>increase (decrease) in other current liabilties</t>
  </si>
  <si>
    <t>(increase) decrease in other current assets</t>
  </si>
  <si>
    <t>Reserves and other</t>
  </si>
  <si>
    <t>FY27E</t>
  </si>
  <si>
    <t>P/E</t>
  </si>
  <si>
    <t>Julian Braganza, FIAA</t>
  </si>
  <si>
    <t xml:space="preserve">Goldman Sachs Australia Pty Ltd </t>
  </si>
  <si>
    <t xml:space="preserve">+61 2 9321 8999 </t>
  </si>
  <si>
    <t>julian.braganza@gs.com</t>
  </si>
  <si>
    <t>Australia Insurance</t>
  </si>
  <si>
    <t>GS Forecast</t>
  </si>
  <si>
    <t>Earnings</t>
  </si>
  <si>
    <t>EBIT Margin</t>
  </si>
  <si>
    <t>1H26E</t>
  </si>
  <si>
    <t>2H26E</t>
  </si>
  <si>
    <t>FY26E</t>
  </si>
  <si>
    <t>FY29E</t>
  </si>
  <si>
    <t>10 month of revneue</t>
  </si>
  <si>
    <t>EBIT margin % (Operating entities)</t>
  </si>
  <si>
    <t>EBIT margin % (Operating Entities)</t>
  </si>
  <si>
    <t>Formula</t>
  </si>
  <si>
    <t>Assumption</t>
  </si>
  <si>
    <t>Investor preso - financial highlights pg4</t>
  </si>
  <si>
    <t>Financial report Appendix 4D</t>
  </si>
  <si>
    <t>Search for period end share price</t>
  </si>
  <si>
    <t>Investor preso - Australian Broking pg28</t>
  </si>
  <si>
    <t>Investor preso - Agencies pg31</t>
  </si>
  <si>
    <t>Investor preso - BizCover pg30</t>
  </si>
  <si>
    <t>Investor preso - New Zealand pg32</t>
  </si>
  <si>
    <t>Investor preso A2.1 pg35</t>
  </si>
  <si>
    <t>Investor preso A2.2 pg36</t>
  </si>
  <si>
    <t>N/A</t>
  </si>
  <si>
    <t>Hardcode for P&amp;L tie up</t>
  </si>
  <si>
    <t>Financial report note 11 issued capital</t>
  </si>
  <si>
    <t>Consolidated statement of comprehensive income pg6</t>
  </si>
  <si>
    <t>Consolidated statement of financial position pg7</t>
  </si>
  <si>
    <t>Consolidated statement of changes in equity</t>
  </si>
  <si>
    <t>FY22 Annual report - note 10 cash and cash equivalents</t>
  </si>
  <si>
    <t>FY22 Annual report - note 16 financial instruments</t>
  </si>
  <si>
    <t>Check below whether FY23 discloses</t>
  </si>
  <si>
    <t>Financial report - note 4 revenue and expenses</t>
  </si>
  <si>
    <t>Consolidated statement of comprehensive income</t>
  </si>
  <si>
    <t>FY22 annual report note 8 investment in associates</t>
  </si>
  <si>
    <t>Brokers NPBT</t>
  </si>
  <si>
    <t>Agencies NPBT</t>
  </si>
  <si>
    <t>Bizcover NPBT</t>
  </si>
  <si>
    <t>NZ NPBT</t>
  </si>
  <si>
    <t>Tysers/International NPBT</t>
  </si>
  <si>
    <t>Corporate NPBT</t>
  </si>
  <si>
    <t>Corp_NPBT</t>
  </si>
  <si>
    <t>Tysers_NPBT</t>
  </si>
  <si>
    <t>FY25A</t>
  </si>
  <si>
    <t>re</t>
  </si>
  <si>
    <t>Preso - Overview: Australian Broking</t>
  </si>
  <si>
    <t>Preso - Overview: Agencies</t>
  </si>
  <si>
    <t>Preso - Overview: NZ</t>
  </si>
  <si>
    <t>Consolidated statement of cash flows</t>
  </si>
  <si>
    <t>Preso - Consolidated statement of cash flows</t>
  </si>
  <si>
    <t>AUB AU</t>
  </si>
  <si>
    <t>g</t>
  </si>
  <si>
    <t>FY28E</t>
  </si>
  <si>
    <t>Valuation as at 28-Jan-27</t>
  </si>
  <si>
    <t>Price target as at 28-Jan-27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</si>
</sst>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6">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00_-;\-* #,##0.00_-;_-* &quot;-&quot;??_-;_-@_-"/>
    <numFmt numFmtId="165" formatCode="0.0000"/>
    <numFmt numFmtId="166" formatCode="0.0%"/>
    <numFmt numFmtId="167" formatCode="&quot;$&quot;#,##0.00"/>
    <numFmt numFmtId="168" formatCode="0.0"/>
    <numFmt numFmtId="169" formatCode="#,##0.0"/>
    <numFmt numFmtId="170" formatCode="&quot;$&quot;#,##0"/>
    <numFmt numFmtId="171" formatCode="#,##0.00_ ;\-#,##0.00\ "/>
    <numFmt numFmtId="172" formatCode="&quot;$&quot;#,##0.0\ \ \ ;\(&quot;$&quot;#,##0.0\)\ \ "/>
    <numFmt numFmtId="173" formatCode="##0.00"/>
    <numFmt numFmtId="174" formatCode="#,##0.0\ \ \ ;\(#,##0.0\)\ \ "/>
    <numFmt numFmtId="175" formatCode="#,##0.000;\(#,##0.000\)"/>
    <numFmt numFmtId="176" formatCode="_-&quot;$&quot;* #,##0.00_-;\-&quot;$&quot;* #,##0.00_-;_-&quot;$&quot;* &quot;-&quot;??_-;_-@_-"/>
    <numFmt numFmtId="177" formatCode="\A&quot;$&quot;#,##0.00"/>
    <numFmt numFmtId="178" formatCode="0.0_)\%;\(0.0\)\%;0.0_)\%;@_)_%"/>
    <numFmt numFmtId="179" formatCode="#,##0.0_)_%;\(#,##0.0\)_%;0.0_)_%;@_)_%"/>
    <numFmt numFmtId="180" formatCode="#,##0.0_);\(#,##0.0\);#,##0.0_);@_)"/>
    <numFmt numFmtId="181" formatCode="#,##0.0_);\(#,##0.0\)"/>
    <numFmt numFmtId="182" formatCode="&quot;$&quot;_(#,##0.00_);&quot;$&quot;\(#,##0.00\)"/>
    <numFmt numFmtId="183" formatCode="&quot;$&quot;_(#,##0.00_);&quot;$&quot;\(#,##0.00\);&quot;$&quot;_(0.00_);@_)"/>
    <numFmt numFmtId="184" formatCode="#,##0.00_);\(#,##0.00\);0.00_);@_)"/>
    <numFmt numFmtId="185" formatCode="\€_(#,##0.00_);\€\(#,##0.00\);\€_(0.00_);@_)"/>
    <numFmt numFmtId="186" formatCode="#,##0.0_)\x;\(#,##0.0\)\x"/>
    <numFmt numFmtId="187" formatCode="#,##0_)\x;\(#,##0\)\x;0_)\x;@_)_x"/>
    <numFmt numFmtId="188" formatCode="#,##0.0_)\x;\(#,##0.0\)\x;0.0_)\x;@_)_x"/>
    <numFmt numFmtId="189" formatCode="#,##0.0_)_x;\(#,##0.0\)_x"/>
    <numFmt numFmtId="190" formatCode="#,##0_)_x;\(#,##0\)_x;0_)_x;@_)_x"/>
    <numFmt numFmtId="191" formatCode="#,##0.0_)_x;\(#,##0.0\)_x;0.0_)_x;@_)_x"/>
    <numFmt numFmtId="192" formatCode="0.0_)\%;\(0.0\)\%"/>
    <numFmt numFmtId="193" formatCode="#,##0.0_)_%;\(#,##0.0\)_%"/>
    <numFmt numFmtId="194" formatCode="#,##0;\(#,##0\)"/>
    <numFmt numFmtId="195" formatCode="0\A"/>
    <numFmt numFmtId="196" formatCode="0.00_)"/>
    <numFmt numFmtId="197" formatCode="0\p"/>
    <numFmt numFmtId="198" formatCode="0.0&quot;  &quot;"/>
    <numFmt numFmtId="199" formatCode="_-* #,##0_-;\(#,##0\);_-* &quot;–&quot;_-;_-@_-"/>
    <numFmt numFmtId="200" formatCode="#,##0.00;;;[White]General"/>
    <numFmt numFmtId="201" formatCode="_(* #,##0.00000_);_(* \(#,##0.00000\);_(* &quot;-&quot;??_);_(@_)"/>
    <numFmt numFmtId="202" formatCode="#,##0.000_);[Red]\(#,##0.000\)"/>
    <numFmt numFmtId="203" formatCode="&quot;$&quot;0.0"/>
    <numFmt numFmtId="204" formatCode="#,##0;\(#,##0\);\–;@"/>
    <numFmt numFmtId="205" formatCode="_(&quot;CHF&quot;* #,##0.0_);_(&quot;CHF&quot;* \(#,##0.0\);_(&quot;CHF&quot;* &quot;-&quot;??_);_(@_)"/>
    <numFmt numFmtId="206" formatCode="_(* #,##0_);_(* \(#,##0\);_(* &quot;-&quot;??_);_(@_)"/>
    <numFmt numFmtId="207" formatCode="_(* #,##0.0_);_(* \(#,##0.0\);_(* &quot;-&quot;??_);_(@_)"/>
    <numFmt numFmtId="208" formatCode="0.000"/>
    <numFmt numFmtId="209" formatCode="0&quot; &quot;;\(0.0\)"/>
    <numFmt numFmtId="210" formatCode="0.0%;[Red]\(0.0\)%"/>
    <numFmt numFmtId="211" formatCode="0.0%;\(0.0%\)"/>
    <numFmt numFmtId="212" formatCode="0.00%;\(0.00%\)"/>
    <numFmt numFmtId="213" formatCode="0.000;\(0.000\)"/>
    <numFmt numFmtId="214" formatCode="0.0\c"/>
    <numFmt numFmtId="215" formatCode="0.000_)"/>
    <numFmt numFmtId="216" formatCode="_ #,###_-;\(#,##0\);_-* &quot;–&quot;?;_-@_-"/>
    <numFmt numFmtId="217" formatCode="_ #,###_-;\-\(#,##0\)\-;_-* &quot;0,000&quot;?;_-@_-"/>
    <numFmt numFmtId="218" formatCode="_ #,###.0_-;\(#,###.0\);_-* &quot;–&quot;?;_-@_-"/>
    <numFmt numFmtId="219" formatCode="#,##0.0_);[Red]\(#,##0.0\)"/>
    <numFmt numFmtId="220" formatCode="#,##0_ ;\(#,##0\)_-;&quot;-&quot;"/>
    <numFmt numFmtId="221" formatCode="_-* #,##0_-;\-* #,##0_-;_-* &quot;-&quot;_-;_-@_-"/>
    <numFmt numFmtId="222" formatCode="#,##0.000"/>
    <numFmt numFmtId="223" formatCode="0.00&quot; &quot;;\(0.000\)"/>
    <numFmt numFmtId="224" formatCode="_-* #,##0.0_-;\(#,##0.0\);_-* &quot;–&quot;_-;_-@_-"/>
    <numFmt numFmtId="225" formatCode="dd\-mmm\-yy"/>
    <numFmt numFmtId="226" formatCode="#,##0.000000"/>
    <numFmt numFmtId="227" formatCode="0.000&quot; &quot;;\(0.0000\)"/>
    <numFmt numFmtId="228" formatCode="0.0&quot; &quot;;\(0.00\)"/>
    <numFmt numFmtId="229" formatCode="0.0&quot; &quot;;\(0.0\)"/>
    <numFmt numFmtId="230" formatCode="0.000_);\(0.000\)"/>
    <numFmt numFmtId="231" formatCode="#,##0.0000"/>
    <numFmt numFmtId="232" formatCode="0.000%"/>
    <numFmt numFmtId="233" formatCode="#,##0.00000"/>
    <numFmt numFmtId="234" formatCode="0.00000"/>
  </numFmts>
  <fonts count="178">
    <font>
      <sz val="10"/>
      <name val="Verdana"/>
    </font>
    <font>
      <sz val="10"/>
      <color theme="1"/>
      <name val="Arial"/>
      <family val="2"/>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1"/>
      <color theme="1"/>
      <name val="Univers LT Std 55"/>
      <family val="2"/>
      <scheme val="minor"/>
    </font>
    <font>
      <sz val="10"/>
      <name val="Verdana"/>
      <family val="2"/>
    </font>
    <font>
      <sz val="10"/>
      <name val="Verdana"/>
      <family val="2"/>
    </font>
    <font>
      <sz val="8"/>
      <name val="Verdana"/>
      <family val="2"/>
    </font>
    <font>
      <sz val="9"/>
      <color indexed="46"/>
      <name val="Arial"/>
      <family val="2"/>
    </font>
    <font>
      <b/>
      <sz val="9"/>
      <name val="Arial"/>
      <family val="2"/>
    </font>
    <font>
      <sz val="9"/>
      <name val="Arial"/>
      <family val="2"/>
    </font>
    <font>
      <sz val="10"/>
      <color indexed="8"/>
      <name val="Arial"/>
      <family val="2"/>
    </font>
    <font>
      <b/>
      <sz val="10"/>
      <color indexed="9"/>
      <name val="Arial"/>
      <family val="2"/>
    </font>
    <font>
      <sz val="10"/>
      <name val="Arial"/>
      <family val="2"/>
    </font>
    <font>
      <sz val="9"/>
      <name val="Verdana"/>
      <family val="2"/>
    </font>
    <font>
      <sz val="10"/>
      <color indexed="10"/>
      <name val="Arial"/>
      <family val="2"/>
    </font>
    <font>
      <sz val="10"/>
      <color rgb="FFFF0000"/>
      <name val="Arial"/>
      <family val="2"/>
    </font>
    <font>
      <sz val="11"/>
      <color indexed="8"/>
      <name val="Calibri"/>
      <family val="2"/>
    </font>
    <font>
      <sz val="8"/>
      <name val="Helv"/>
    </font>
    <font>
      <sz val="10"/>
      <name val="Helv"/>
    </font>
    <font>
      <b/>
      <i/>
      <sz val="12"/>
      <color indexed="39"/>
      <name val="Arial"/>
      <family val="2"/>
    </font>
    <font>
      <sz val="10"/>
      <color indexed="17"/>
      <name val="Arial"/>
      <family val="2"/>
    </font>
    <font>
      <b/>
      <sz val="10"/>
      <color indexed="17"/>
      <name val="Arial"/>
      <family val="2"/>
    </font>
    <font>
      <sz val="8"/>
      <name val="Arial"/>
      <family val="2"/>
    </font>
    <font>
      <sz val="10"/>
      <name val="Geneva"/>
      <family val="2"/>
    </font>
    <font>
      <b/>
      <sz val="10"/>
      <color indexed="8"/>
      <name val="Arial"/>
      <family val="2"/>
    </font>
    <font>
      <sz val="10"/>
      <name val="MS Serif"/>
      <family val="1"/>
    </font>
    <font>
      <sz val="10"/>
      <color indexed="9"/>
      <name val="Arial"/>
      <family val="2"/>
    </font>
    <font>
      <sz val="10"/>
      <color indexed="20"/>
      <name val="Arial"/>
      <family val="2"/>
    </font>
    <font>
      <b/>
      <sz val="10"/>
      <color indexed="52"/>
      <name val="Arial"/>
      <family val="2"/>
    </font>
    <font>
      <i/>
      <sz val="10"/>
      <color indexed="23"/>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52"/>
      <name val="Arial"/>
      <family val="2"/>
    </font>
    <font>
      <sz val="10"/>
      <color indexed="60"/>
      <name val="Arial"/>
      <family val="2"/>
    </font>
    <font>
      <b/>
      <sz val="10"/>
      <color indexed="34"/>
      <name val="Arial"/>
      <family val="2"/>
    </font>
    <font>
      <b/>
      <sz val="18"/>
      <color indexed="62"/>
      <name val="Cambria"/>
      <family val="2"/>
    </font>
    <font>
      <sz val="11"/>
      <color rgb="FF006100"/>
      <name val="Univers LT Std 55"/>
      <family val="2"/>
      <scheme val="minor"/>
    </font>
    <font>
      <sz val="11"/>
      <color rgb="FF9C0006"/>
      <name val="Univers LT Std 55"/>
      <family val="2"/>
      <scheme val="minor"/>
    </font>
    <font>
      <sz val="11"/>
      <color rgb="FF9C6500"/>
      <name val="Univers LT Std 55"/>
      <family val="2"/>
      <scheme val="minor"/>
    </font>
    <font>
      <b/>
      <sz val="11"/>
      <color rgb="FF3F3F3F"/>
      <name val="Univers LT Std 55"/>
      <family val="2"/>
      <scheme val="minor"/>
    </font>
    <font>
      <sz val="10"/>
      <name val="GS TheSans"/>
      <family val="2"/>
    </font>
    <font>
      <sz val="8"/>
      <name val="Tahoma"/>
      <family val="2"/>
    </font>
    <font>
      <b/>
      <sz val="10"/>
      <name val="MS Sans Serif"/>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9"/>
      <color indexed="8"/>
      <name val="Times New Roman"/>
      <family val="1"/>
    </font>
    <font>
      <b/>
      <sz val="10"/>
      <color indexed="8"/>
      <name val="Times New Roman"/>
      <family val="1"/>
    </font>
    <font>
      <sz val="8"/>
      <name val="Times"/>
      <family val="1"/>
    </font>
    <font>
      <sz val="8"/>
      <name val="Helvetica"/>
      <family val="2"/>
    </font>
    <font>
      <b/>
      <sz val="12"/>
      <name val="Tms Rmn"/>
    </font>
    <font>
      <sz val="9"/>
      <color indexed="9"/>
      <name val="Times New Roman"/>
      <family val="1"/>
    </font>
    <font>
      <sz val="8"/>
      <color indexed="12"/>
      <name val="Tms Rmn"/>
    </font>
    <font>
      <b/>
      <i/>
      <sz val="8"/>
      <name val="Arial"/>
      <family val="2"/>
    </font>
    <font>
      <b/>
      <sz val="10"/>
      <name val="Bookman"/>
      <family val="1"/>
    </font>
    <font>
      <b/>
      <sz val="24"/>
      <name val="Times New Roman"/>
      <family val="1"/>
    </font>
    <font>
      <b/>
      <sz val="14"/>
      <name val="Book Antiqua"/>
      <family val="1"/>
    </font>
    <font>
      <sz val="11"/>
      <color indexed="12"/>
      <name val="Book Antiqua"/>
      <family val="1"/>
    </font>
    <font>
      <b/>
      <u/>
      <sz val="7"/>
      <name val="Helvetica"/>
      <family val="2"/>
    </font>
    <font>
      <sz val="10"/>
      <name val="Book Antiqua"/>
      <family val="1"/>
    </font>
    <font>
      <sz val="7"/>
      <name val="Arial"/>
      <family val="2"/>
    </font>
    <font>
      <b/>
      <sz val="8.5"/>
      <color indexed="17"/>
      <name val="Arial"/>
      <family val="2"/>
    </font>
    <font>
      <b/>
      <sz val="7"/>
      <color indexed="17"/>
      <name val="Arial"/>
      <family val="2"/>
    </font>
    <font>
      <sz val="8.5"/>
      <color indexed="8"/>
      <name val="Arial"/>
      <family val="2"/>
    </font>
    <font>
      <b/>
      <sz val="8"/>
      <name val="Book Antiqua"/>
      <family val="1"/>
    </font>
    <font>
      <b/>
      <sz val="12"/>
      <name val="Arial"/>
      <family val="2"/>
    </font>
    <font>
      <sz val="10"/>
      <name val="MS Sans Serif"/>
      <family val="2"/>
    </font>
    <font>
      <b/>
      <sz val="10"/>
      <name val="Palatino"/>
      <family val="1"/>
    </font>
    <font>
      <b/>
      <sz val="14"/>
      <name val="Arial"/>
      <family val="2"/>
    </font>
    <font>
      <sz val="8"/>
      <name val="Book Antiqua"/>
      <family val="1"/>
    </font>
    <font>
      <i/>
      <sz val="7"/>
      <name val="Book Antiqua"/>
      <family val="1"/>
    </font>
    <font>
      <sz val="8"/>
      <color indexed="9"/>
      <name val="Arial"/>
      <family val="2"/>
    </font>
    <font>
      <b/>
      <i/>
      <sz val="16"/>
      <name val="Helv"/>
    </font>
    <font>
      <b/>
      <sz val="8"/>
      <name val="Arial"/>
      <family val="2"/>
    </font>
    <font>
      <sz val="10"/>
      <color indexed="72"/>
      <name val="System"/>
      <family val="2"/>
    </font>
    <font>
      <b/>
      <sz val="14"/>
      <name val="Times New Roman"/>
      <family val="1"/>
    </font>
    <font>
      <sz val="10"/>
      <name val="Palatino"/>
      <family val="1"/>
    </font>
    <font>
      <sz val="8"/>
      <name val="Helv"/>
      <family val="2"/>
    </font>
    <font>
      <sz val="10"/>
      <name val="Times New Roman"/>
      <family val="1"/>
    </font>
    <font>
      <sz val="12"/>
      <name val="Helvetica"/>
      <family val="2"/>
    </font>
    <font>
      <b/>
      <sz val="14"/>
      <name val="Bookman"/>
      <family val="1"/>
    </font>
    <font>
      <b/>
      <sz val="8"/>
      <name val="HelveticaNeue Condensed"/>
    </font>
    <font>
      <sz val="8"/>
      <name val="HelveticaNeue LightCond"/>
      <family val="2"/>
    </font>
    <font>
      <b/>
      <sz val="7"/>
      <name val="HelveticaNeue Condensed"/>
      <family val="2"/>
    </font>
    <font>
      <b/>
      <sz val="9"/>
      <name val="Times New Roman"/>
      <family val="1"/>
    </font>
    <font>
      <b/>
      <sz val="10"/>
      <name val="Arial"/>
      <family val="2"/>
    </font>
    <font>
      <b/>
      <sz val="11"/>
      <name val="Times New Roman"/>
      <family val="1"/>
    </font>
    <font>
      <b/>
      <sz val="8.5"/>
      <color indexed="8"/>
      <name val="Arial"/>
      <family val="2"/>
    </font>
    <font>
      <b/>
      <sz val="12"/>
      <color indexed="16"/>
      <name val="Arial"/>
      <family val="2"/>
    </font>
    <font>
      <sz val="7"/>
      <name val="Times New Roman"/>
      <family val="1"/>
    </font>
    <font>
      <b/>
      <u/>
      <sz val="9"/>
      <name val="Arial"/>
      <family val="2"/>
    </font>
    <font>
      <b/>
      <u/>
      <sz val="14"/>
      <name val="Book Antiqua"/>
      <family val="1"/>
    </font>
    <font>
      <b/>
      <sz val="10"/>
      <name val="Book Antiqua"/>
      <family val="1"/>
    </font>
    <font>
      <b/>
      <sz val="7"/>
      <name val="Arial"/>
      <family val="2"/>
    </font>
    <font>
      <b/>
      <sz val="10"/>
      <name val="Times New Roman"/>
      <family val="1"/>
    </font>
    <font>
      <u/>
      <sz val="10"/>
      <color theme="10"/>
      <name val="Verdana"/>
      <family val="2"/>
    </font>
    <font>
      <sz val="9"/>
      <name val="Geneva"/>
      <family val="2"/>
    </font>
    <font>
      <sz val="10"/>
      <name val="Helvetica"/>
      <family val="2"/>
    </font>
    <font>
      <sz val="10"/>
      <name val="Helv"/>
      <family val="2"/>
    </font>
    <font>
      <sz val="12"/>
      <name val="Frutiger 45 Light"/>
      <family val="2"/>
    </font>
    <font>
      <i/>
      <sz val="12"/>
      <name val="Frutiger 45 Light"/>
      <family val="2"/>
    </font>
    <font>
      <b/>
      <sz val="7"/>
      <name val="TarzanaNarrow"/>
    </font>
    <font>
      <sz val="7"/>
      <name val="TarzanaNarrow"/>
    </font>
    <font>
      <sz val="8"/>
      <name val="Trebuchet MS"/>
      <family val="2"/>
    </font>
    <font>
      <sz val="10"/>
      <name val="TarzanaNarrow"/>
    </font>
    <font>
      <u/>
      <sz val="11"/>
      <color theme="10"/>
      <name val="Calibri"/>
      <family val="2"/>
    </font>
    <font>
      <u/>
      <sz val="7.7"/>
      <color theme="10"/>
      <name val="Calibri"/>
      <family val="2"/>
    </font>
    <font>
      <u/>
      <sz val="10"/>
      <color indexed="12"/>
      <name val="Arial"/>
      <family val="2"/>
    </font>
    <font>
      <u/>
      <sz val="10"/>
      <color theme="10"/>
      <name val="Geneva"/>
      <family val="2"/>
    </font>
    <font>
      <b/>
      <sz val="14"/>
      <name val="Frutiger 87ExtraBlackCn"/>
      <family val="2"/>
    </font>
    <font>
      <sz val="12"/>
      <name val="Arial Narrow"/>
      <family val="2"/>
    </font>
    <font>
      <b/>
      <sz val="9"/>
      <name val="TarzanaNarrow"/>
    </font>
    <font>
      <b/>
      <sz val="10"/>
      <name val="TarzanaNarrow"/>
    </font>
    <font>
      <b/>
      <sz val="14.5"/>
      <name val="TarzanaNarrow"/>
    </font>
    <font>
      <b/>
      <sz val="12"/>
      <name val="Frutiger 45 Light"/>
      <family val="2"/>
    </font>
    <font>
      <sz val="9.5"/>
      <name val="TarzanaNarrow"/>
    </font>
    <font>
      <sz val="10"/>
      <name val="Frutiger"/>
    </font>
    <font>
      <sz val="11"/>
      <color theme="1"/>
      <name val="Arial"/>
      <family val="2"/>
    </font>
    <font>
      <u/>
      <sz val="11"/>
      <color theme="10"/>
      <name val="Univers LT Std 55"/>
      <family val="2"/>
      <scheme val="minor"/>
    </font>
    <font>
      <sz val="12"/>
      <name val="N Helvetica Narrow"/>
    </font>
    <font>
      <u/>
      <sz val="10"/>
      <color theme="10"/>
      <name val="Helvetica"/>
      <family val="2"/>
    </font>
    <font>
      <sz val="10"/>
      <name val="Geneva"/>
    </font>
    <font>
      <sz val="9"/>
      <name val="Geneva"/>
    </font>
    <font>
      <u/>
      <sz val="10"/>
      <color indexed="12"/>
      <name val="Verdana"/>
      <family val="2"/>
    </font>
    <font>
      <sz val="10"/>
      <color indexed="8"/>
      <name val="Arial"/>
      <family val="2"/>
    </font>
    <font>
      <sz val="10"/>
      <color indexed="8"/>
      <name val="Arial"/>
      <family val="2"/>
    </font>
    <font>
      <b/>
      <sz val="9"/>
      <color indexed="81"/>
      <name val="Tahoma"/>
      <family val="2"/>
    </font>
    <font>
      <b/>
      <sz val="10"/>
      <color theme="1"/>
      <name val="Arial"/>
      <family val="2"/>
    </font>
    <font>
      <b/>
      <sz val="16"/>
      <color theme="0"/>
      <name val="Arial"/>
      <family val="2"/>
    </font>
    <font>
      <sz val="12"/>
      <color theme="7" tint="-0.499984740745262"/>
      <name val="Arial"/>
      <family val="2"/>
    </font>
    <font>
      <sz val="10"/>
      <color theme="7" tint="-0.499984740745262"/>
      <name val="Arial"/>
      <family val="2"/>
    </font>
    <font>
      <u/>
      <sz val="10"/>
      <color theme="10"/>
      <name val="Arial"/>
      <family val="2"/>
    </font>
    <font>
      <sz val="10"/>
      <color indexed="46"/>
      <name val="Arial"/>
      <family val="2"/>
    </font>
    <font>
      <sz val="10"/>
      <color indexed="14"/>
      <name val="Arial"/>
      <family val="2"/>
    </font>
    <font>
      <sz val="10"/>
      <color indexed="48"/>
      <name val="Arial"/>
      <family val="2"/>
    </font>
    <font>
      <sz val="10"/>
      <color indexed="57"/>
      <name val="Arial"/>
      <family val="2"/>
    </font>
    <font>
      <sz val="10"/>
      <color indexed="11"/>
      <name val="Arial"/>
      <family val="2"/>
    </font>
    <font>
      <sz val="10"/>
      <color rgb="FF0E03ED"/>
      <name val="Arial"/>
      <family val="2"/>
    </font>
    <font>
      <b/>
      <sz val="10"/>
      <color indexed="46"/>
      <name val="Arial"/>
      <family val="2"/>
    </font>
    <font>
      <b/>
      <sz val="10"/>
      <color indexed="57"/>
      <name val="Arial"/>
      <family val="2"/>
    </font>
    <font>
      <b/>
      <sz val="10"/>
      <color rgb="FFFF0000"/>
      <name val="Arial"/>
      <family val="2"/>
    </font>
    <font>
      <b/>
      <sz val="10"/>
      <color indexed="48"/>
      <name val="Arial"/>
      <family val="2"/>
    </font>
    <font>
      <i/>
      <sz val="10"/>
      <name val="Arial"/>
      <family val="2"/>
    </font>
    <font>
      <b/>
      <i/>
      <sz val="10"/>
      <name val="Arial"/>
      <family val="2"/>
    </font>
    <font>
      <i/>
      <sz val="10"/>
      <color indexed="46"/>
      <name val="Arial"/>
      <family val="2"/>
    </font>
    <font>
      <b/>
      <u/>
      <sz val="10"/>
      <name val="Arial"/>
      <family val="2"/>
    </font>
    <font>
      <b/>
      <sz val="10"/>
      <color rgb="FFFF6600"/>
      <name val="Arial"/>
      <family val="2"/>
    </font>
    <font>
      <u/>
      <sz val="10"/>
      <name val="Arial"/>
      <family val="2"/>
    </font>
    <font>
      <sz val="10"/>
      <color rgb="FFCC99FF"/>
      <name val="Arial"/>
      <family val="2"/>
    </font>
    <font>
      <i/>
      <sz val="10"/>
      <color indexed="57"/>
      <name val="Arial"/>
      <family val="2"/>
    </font>
    <font>
      <i/>
      <sz val="10"/>
      <color indexed="48"/>
      <name val="Arial"/>
      <family val="2"/>
    </font>
    <font>
      <b/>
      <u/>
      <sz val="10"/>
      <color theme="1"/>
      <name val="Arial"/>
      <family val="2"/>
    </font>
    <font>
      <b/>
      <sz val="9"/>
      <color indexed="46"/>
      <name val="Arial"/>
      <family val="2"/>
    </font>
    <font>
      <i/>
      <sz val="9"/>
      <name val="Arial"/>
      <family val="2"/>
    </font>
    <font>
      <sz val="9"/>
      <color indexed="81"/>
      <name val="Tahoma"/>
      <family val="2"/>
    </font>
  </fonts>
  <fills count="47">
    <fill>
      <patternFill patternType="none"/>
    </fill>
    <fill>
      <patternFill patternType="gray125"/>
    </fill>
    <fill>
      <patternFill patternType="solid">
        <fgColor indexed="24"/>
        <bgColor indexed="64"/>
      </patternFill>
    </fill>
    <fill>
      <patternFill patternType="solid">
        <fgColor indexed="25"/>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indexed="30"/>
      </patternFill>
    </fill>
    <fill>
      <patternFill patternType="solid">
        <fgColor indexed="47"/>
      </patternFill>
    </fill>
    <fill>
      <patternFill patternType="solid">
        <fgColor indexed="43"/>
      </patternFill>
    </fill>
    <fill>
      <patternFill patternType="solid">
        <fgColor indexed="38"/>
      </patternFill>
    </fill>
    <fill>
      <patternFill patternType="solid">
        <fgColor indexed="28"/>
      </patternFill>
    </fill>
    <fill>
      <patternFill patternType="solid">
        <fgColor indexed="26"/>
      </patternFill>
    </fill>
    <fill>
      <patternFill patternType="solid">
        <fgColor indexed="33"/>
      </patternFill>
    </fill>
    <fill>
      <patternFill patternType="solid">
        <fgColor indexed="24"/>
      </patternFill>
    </fill>
    <fill>
      <patternFill patternType="solid">
        <fgColor indexed="10"/>
      </patternFill>
    </fill>
    <fill>
      <patternFill patternType="solid">
        <fgColor indexed="57"/>
      </patternFill>
    </fill>
    <fill>
      <patternFill patternType="solid">
        <fgColor indexed="54"/>
      </patternFill>
    </fill>
    <fill>
      <patternFill patternType="solid">
        <fgColor indexed="49"/>
      </patternFill>
    </fill>
    <fill>
      <patternFill patternType="solid">
        <fgColor indexed="53"/>
      </patternFill>
    </fill>
    <fill>
      <patternFill patternType="solid">
        <fgColor indexed="45"/>
      </patternFill>
    </fill>
    <fill>
      <patternFill patternType="solid">
        <fgColor indexed="27"/>
      </patternFill>
    </fill>
    <fill>
      <patternFill patternType="solid">
        <fgColor indexed="4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gray0625">
        <fgColor indexed="10"/>
        <bgColor indexed="9"/>
      </patternFill>
    </fill>
    <fill>
      <patternFill patternType="solid">
        <fgColor indexed="18"/>
        <bgColor indexed="64"/>
      </patternFill>
    </fill>
    <fill>
      <patternFill patternType="lightGray">
        <fgColor indexed="14"/>
        <bgColor indexed="9"/>
      </patternFill>
    </fill>
    <fill>
      <patternFill patternType="lightGray">
        <fgColor indexed="15"/>
      </patternFill>
    </fill>
    <fill>
      <patternFill patternType="lightGray">
        <fgColor indexed="12"/>
        <bgColor indexed="9"/>
      </patternFill>
    </fill>
    <fill>
      <patternFill patternType="solid">
        <fgColor indexed="11"/>
        <bgColor indexed="9"/>
      </patternFill>
    </fill>
    <fill>
      <patternFill patternType="solid">
        <fgColor indexed="8"/>
        <bgColor indexed="64"/>
      </patternFill>
    </fill>
    <fill>
      <patternFill patternType="lightGray">
        <fgColor indexed="22"/>
        <bgColor indexed="9"/>
      </patternFill>
    </fill>
    <fill>
      <patternFill patternType="solid">
        <fgColor theme="2"/>
        <bgColor indexed="64"/>
      </patternFill>
    </fill>
    <fill>
      <patternFill patternType="lightGray"/>
    </fill>
    <fill>
      <patternFill patternType="solid">
        <fgColor theme="8" tint="-0.49998474074526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7"/>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rgb="FF92D050"/>
        <bgColor indexed="64"/>
      </patternFill>
    </fill>
  </fills>
  <borders count="52">
    <border>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diagonal/>
    </border>
    <border>
      <left/>
      <right/>
      <top style="dotted">
        <color indexed="64"/>
      </top>
      <bottom style="dotted">
        <color indexed="64"/>
      </bottom>
      <diagonal/>
    </border>
    <border>
      <left style="thin">
        <color indexed="9"/>
      </left>
      <right/>
      <top style="thin">
        <color indexed="9"/>
      </top>
      <bottom style="thin">
        <color indexed="23"/>
      </bottom>
      <diagonal/>
    </border>
    <border>
      <left style="thin">
        <color indexed="23"/>
      </left>
      <right style="dashed">
        <color indexed="9"/>
      </right>
      <top/>
      <bottom style="dashed">
        <color indexed="9"/>
      </bottom>
      <diagonal/>
    </border>
    <border>
      <left/>
      <right/>
      <top style="thin">
        <color indexed="24"/>
      </top>
      <bottom style="double">
        <color indexed="24"/>
      </bottom>
      <diagonal/>
    </border>
    <border>
      <left style="thin">
        <color indexed="23"/>
      </left>
      <right style="thin">
        <color indexed="23"/>
      </right>
      <top style="thin">
        <color indexed="23"/>
      </top>
      <bottom style="thin">
        <color indexed="23"/>
      </bottom>
      <diagonal/>
    </border>
    <border>
      <left style="double">
        <color indexed="34"/>
      </left>
      <right style="double">
        <color indexed="34"/>
      </right>
      <top style="double">
        <color indexed="34"/>
      </top>
      <bottom style="double">
        <color indexed="34"/>
      </bottom>
      <diagonal/>
    </border>
    <border>
      <left/>
      <right/>
      <top/>
      <bottom style="thick">
        <color indexed="24"/>
      </bottom>
      <diagonal/>
    </border>
    <border>
      <left/>
      <right/>
      <top/>
      <bottom style="thick">
        <color indexed="31"/>
      </bottom>
      <diagonal/>
    </border>
    <border>
      <left/>
      <right/>
      <top/>
      <bottom style="medium">
        <color indexed="26"/>
      </bottom>
      <diagonal/>
    </border>
    <border>
      <left/>
      <right/>
      <top/>
      <bottom style="double">
        <color indexed="52"/>
      </bottom>
      <diagonal/>
    </border>
    <border>
      <left style="thin">
        <color indexed="33"/>
      </left>
      <right style="thin">
        <color indexed="33"/>
      </right>
      <top style="thin">
        <color indexed="33"/>
      </top>
      <bottom style="thin">
        <color indexed="33"/>
      </bottom>
      <diagonal/>
    </border>
    <border>
      <left style="thin">
        <color indexed="34"/>
      </left>
      <right style="thin">
        <color indexed="34"/>
      </right>
      <top style="thin">
        <color indexed="34"/>
      </top>
      <bottom style="thin">
        <color indexed="34"/>
      </bottom>
      <diagonal/>
    </border>
    <border>
      <left/>
      <right/>
      <top/>
      <bottom style="hair">
        <color auto="1"/>
      </bottom>
      <diagonal/>
    </border>
    <border>
      <left/>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style="medium">
        <color indexed="9"/>
      </left>
      <right style="medium">
        <color indexed="9"/>
      </right>
      <top/>
      <bottom/>
      <diagonal/>
    </border>
    <border>
      <left/>
      <right style="thin">
        <color indexed="8"/>
      </right>
      <top style="thin">
        <color indexed="8"/>
      </top>
      <bottom/>
      <diagonal/>
    </border>
    <border>
      <left style="thin">
        <color indexed="64"/>
      </left>
      <right style="thin">
        <color indexed="64"/>
      </right>
      <top/>
      <bottom style="thin">
        <color indexed="64"/>
      </bottom>
      <diagonal/>
    </border>
    <border>
      <left style="thick">
        <color indexed="9"/>
      </left>
      <right style="thick">
        <color indexed="9"/>
      </right>
      <top/>
      <bottom style="double">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8"/>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medium">
        <color indexed="64"/>
      </right>
      <top/>
      <bottom/>
      <diagonal/>
    </border>
  </borders>
  <cellStyleXfs count="11170">
    <xf numFmtId="0" fontId="0" fillId="0" borderId="0"/>
    <xf numFmtId="43" fontId="23" fillId="0" borderId="0" applyFont="0" applyFill="0" applyBorder="0" applyAlignment="0" applyProtection="0"/>
    <xf numFmtId="9" fontId="24" fillId="0" borderId="0" applyFont="0" applyFill="0" applyBorder="0" applyAlignment="0" applyProtection="0"/>
    <xf numFmtId="0" fontId="22" fillId="0" borderId="0"/>
    <xf numFmtId="0" fontId="23" fillId="0" borderId="0"/>
    <xf numFmtId="166" fontId="32" fillId="0" borderId="0" applyFont="0" applyFill="0" applyBorder="0" applyAlignment="0" applyProtection="0"/>
    <xf numFmtId="171" fontId="32" fillId="0" borderId="0" applyFont="0" applyFill="0" applyBorder="0" applyAlignment="0" applyProtection="0"/>
    <xf numFmtId="0" fontId="32" fillId="0" borderId="0" applyNumberFormat="0" applyFill="0" applyBorder="0" applyAlignment="0" applyProtection="0"/>
    <xf numFmtId="44" fontId="23" fillId="0" borderId="0" applyFont="0" applyFill="0" applyBorder="0" applyAlignment="0" applyProtection="0"/>
    <xf numFmtId="172" fontId="36" fillId="0" borderId="0"/>
    <xf numFmtId="12" fontId="37" fillId="0" borderId="0">
      <alignment horizontal="center"/>
    </xf>
    <xf numFmtId="0" fontId="38" fillId="6" borderId="0"/>
    <xf numFmtId="173" fontId="39" fillId="0" borderId="9" applyBorder="0">
      <protection locked="0"/>
    </xf>
    <xf numFmtId="0" fontId="40" fillId="0" borderId="0">
      <alignment horizontal="right"/>
    </xf>
    <xf numFmtId="0" fontId="39" fillId="0" borderId="10" applyNumberFormat="0" applyAlignment="0"/>
    <xf numFmtId="0" fontId="21" fillId="0" borderId="0"/>
    <xf numFmtId="0" fontId="21" fillId="0" borderId="0"/>
    <xf numFmtId="0" fontId="21" fillId="0" borderId="0"/>
    <xf numFmtId="0" fontId="21" fillId="0" borderId="0"/>
    <xf numFmtId="0" fontId="21" fillId="0" borderId="0"/>
    <xf numFmtId="174" fontId="36" fillId="0" borderId="0"/>
    <xf numFmtId="9" fontId="23" fillId="0" borderId="0" applyFont="0" applyFill="0" applyBorder="0" applyAlignment="0" applyProtection="0"/>
    <xf numFmtId="38" fontId="41" fillId="0" borderId="0" applyFill="0" applyBorder="0" applyAlignment="0" applyProtection="0">
      <alignment horizontal="right"/>
    </xf>
    <xf numFmtId="3" fontId="31" fillId="6" borderId="11" applyFont="0" applyFill="0" applyBorder="0" applyAlignment="0" applyProtection="0"/>
    <xf numFmtId="3" fontId="31" fillId="6" borderId="11" applyFont="0" applyFill="0" applyBorder="0" applyAlignment="0" applyProtection="0"/>
    <xf numFmtId="4" fontId="31" fillId="6" borderId="11" applyFont="0" applyFill="0" applyBorder="0" applyAlignment="0" applyProtection="0"/>
    <xf numFmtId="4" fontId="31" fillId="6" borderId="11" applyFont="0" applyFill="0" applyBorder="0" applyAlignment="0" applyProtection="0"/>
    <xf numFmtId="175" fontId="42" fillId="6" borderId="11" applyFont="0" applyFill="0" applyBorder="0" applyAlignment="0" applyProtection="0"/>
    <xf numFmtId="0" fontId="42" fillId="6" borderId="12" applyFont="0" applyFill="0" applyBorder="0" applyAlignment="0" applyProtection="0"/>
    <xf numFmtId="10" fontId="31" fillId="6" borderId="11" applyFont="0" applyFill="0" applyBorder="0" applyAlignment="0" applyProtection="0"/>
    <xf numFmtId="10" fontId="31" fillId="6" borderId="11" applyFont="0" applyFill="0" applyBorder="0" applyAlignment="0" applyProtection="0"/>
    <xf numFmtId="9" fontId="31" fillId="6" borderId="11" applyFont="0" applyFill="0" applyBorder="0" applyAlignment="0" applyProtection="0"/>
    <xf numFmtId="9" fontId="31" fillId="6" borderId="11" applyFont="0" applyFill="0" applyBorder="0" applyAlignment="0" applyProtection="0"/>
    <xf numFmtId="2" fontId="31" fillId="6" borderId="11" applyFont="0" applyFill="0" applyBorder="0" applyAlignment="0" applyProtection="0"/>
    <xf numFmtId="2" fontId="31" fillId="6" borderId="11" applyFont="0" applyFill="0" applyBorder="0" applyAlignment="0" applyProtection="0"/>
    <xf numFmtId="0" fontId="43" fillId="0" borderId="13" applyNumberFormat="0" applyFill="0" applyAlignment="0" applyProtection="0"/>
    <xf numFmtId="0" fontId="44" fillId="0" borderId="6" applyNumberFormat="0" applyFill="0" applyProtection="0"/>
    <xf numFmtId="0" fontId="31" fillId="0" borderId="0"/>
    <xf numFmtId="0" fontId="29" fillId="7"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7" borderId="0" applyNumberFormat="0" applyBorder="0" applyAlignment="0" applyProtection="0"/>
    <xf numFmtId="0" fontId="29" fillId="8" borderId="0" applyNumberFormat="0" applyBorder="0" applyAlignment="0" applyProtection="0"/>
    <xf numFmtId="0" fontId="29" fillId="11"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1" borderId="0" applyNumberFormat="0" applyBorder="0" applyAlignment="0" applyProtection="0"/>
    <xf numFmtId="0" fontId="29" fillId="11" borderId="0" applyNumberFormat="0" applyBorder="0" applyAlignment="0" applyProtection="0"/>
    <xf numFmtId="0" fontId="29" fillId="8" borderId="0" applyNumberFormat="0" applyBorder="0" applyAlignment="0" applyProtection="0"/>
    <xf numFmtId="0" fontId="45" fillId="12" borderId="0" applyNumberFormat="0" applyBorder="0" applyAlignment="0" applyProtection="0"/>
    <xf numFmtId="0" fontId="45" fillId="8" borderId="0" applyNumberFormat="0" applyBorder="0" applyAlignment="0" applyProtection="0"/>
    <xf numFmtId="0" fontId="45" fillId="9" borderId="0" applyNumberFormat="0" applyBorder="0" applyAlignment="0" applyProtection="0"/>
    <xf numFmtId="0" fontId="45" fillId="13" borderId="0" applyNumberFormat="0" applyBorder="0" applyAlignment="0" applyProtection="0"/>
    <xf numFmtId="0" fontId="45" fillId="12" borderId="0" applyNumberFormat="0" applyBorder="0" applyAlignment="0" applyProtection="0"/>
    <xf numFmtId="0" fontId="45" fillId="8"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6" fillId="20" borderId="0" applyNumberFormat="0" applyBorder="0" applyAlignment="0" applyProtection="0"/>
    <xf numFmtId="0" fontId="47" fillId="21" borderId="14" applyNumberFormat="0" applyAlignment="0" applyProtection="0"/>
    <xf numFmtId="0" fontId="30" fillId="13" borderId="15" applyNumberFormat="0" applyAlignment="0" applyProtection="0"/>
    <xf numFmtId="164" fontId="31" fillId="0" borderId="0" applyFont="0" applyFill="0" applyBorder="0" applyAlignment="0" applyProtection="0"/>
    <xf numFmtId="176" fontId="31" fillId="0" borderId="0" applyFont="0" applyFill="0" applyBorder="0" applyAlignment="0" applyProtection="0"/>
    <xf numFmtId="0" fontId="48" fillId="0" borderId="0" applyNumberFormat="0" applyFill="0" applyBorder="0" applyAlignment="0" applyProtection="0"/>
    <xf numFmtId="0" fontId="39" fillId="22" borderId="0" applyNumberFormat="0" applyBorder="0" applyAlignment="0" applyProtection="0"/>
    <xf numFmtId="0" fontId="49" fillId="0" borderId="16" applyNumberFormat="0" applyFill="0" applyAlignment="0" applyProtection="0"/>
    <xf numFmtId="0" fontId="50" fillId="0" borderId="17" applyNumberFormat="0" applyFill="0" applyAlignment="0" applyProtection="0"/>
    <xf numFmtId="0" fontId="51" fillId="0" borderId="18" applyNumberFormat="0" applyFill="0" applyAlignment="0" applyProtection="0"/>
    <xf numFmtId="0" fontId="51" fillId="0" borderId="0" applyNumberFormat="0" applyFill="0" applyBorder="0" applyAlignment="0" applyProtection="0"/>
    <xf numFmtId="0" fontId="52" fillId="8" borderId="14" applyNumberFormat="0" applyAlignment="0" applyProtection="0"/>
    <xf numFmtId="0" fontId="53" fillId="0" borderId="19" applyNumberFormat="0" applyFill="0" applyAlignment="0" applyProtection="0"/>
    <xf numFmtId="0" fontId="54" fillId="9" borderId="0" applyNumberFormat="0" applyBorder="0" applyAlignment="0" applyProtection="0"/>
    <xf numFmtId="0" fontId="29" fillId="9" borderId="20" applyNumberFormat="0" applyFont="0" applyAlignment="0" applyProtection="0"/>
    <xf numFmtId="0" fontId="55" fillId="21" borderId="21" applyNumberFormat="0" applyAlignment="0" applyProtection="0"/>
    <xf numFmtId="9" fontId="31" fillId="0" borderId="0" applyFont="0" applyFill="0" applyBorder="0" applyAlignment="0" applyProtection="0"/>
    <xf numFmtId="0" fontId="56" fillId="0" borderId="0" applyNumberFormat="0" applyFill="0" applyBorder="0" applyAlignment="0" applyProtection="0"/>
    <xf numFmtId="0" fontId="33" fillId="0" borderId="0" applyNumberFormat="0" applyFill="0" applyBorder="0" applyAlignment="0" applyProtection="0"/>
    <xf numFmtId="0" fontId="31" fillId="0" borderId="0"/>
    <xf numFmtId="0" fontId="45" fillId="12" borderId="0" applyNumberFormat="0" applyBorder="0" applyAlignment="0" applyProtection="0"/>
    <xf numFmtId="0" fontId="45" fillId="8" borderId="0" applyNumberFormat="0" applyBorder="0" applyAlignment="0" applyProtection="0"/>
    <xf numFmtId="0" fontId="45" fillId="9" borderId="0" applyNumberFormat="0" applyBorder="0" applyAlignment="0" applyProtection="0"/>
    <xf numFmtId="0" fontId="45" fillId="13" borderId="0" applyNumberFormat="0" applyBorder="0" applyAlignment="0" applyProtection="0"/>
    <xf numFmtId="0" fontId="45" fillId="12" borderId="0" applyNumberFormat="0" applyBorder="0" applyAlignment="0" applyProtection="0"/>
    <xf numFmtId="0" fontId="45" fillId="8"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178" fontId="61" fillId="0" borderId="0" applyFont="0" applyFill="0" applyBorder="0" applyAlignment="0" applyProtection="0"/>
    <xf numFmtId="179" fontId="61" fillId="0" borderId="0" applyFont="0" applyFill="0" applyBorder="0" applyAlignment="0" applyProtection="0"/>
    <xf numFmtId="180" fontId="61"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0" fontId="61" fillId="0" borderId="0" applyFont="0" applyFill="0" applyBorder="0" applyAlignment="0" applyProtection="0"/>
    <xf numFmtId="180" fontId="61" fillId="0" borderId="0" applyFont="0" applyFill="0" applyBorder="0" applyAlignment="0" applyProtection="0"/>
    <xf numFmtId="180" fontId="61" fillId="0" borderId="0" applyFont="0" applyFill="0" applyBorder="0" applyAlignment="0" applyProtection="0"/>
    <xf numFmtId="180" fontId="62"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1" fontId="31" fillId="0" borderId="0" applyFont="0" applyFill="0" applyBorder="0" applyAlignment="0" applyProtection="0"/>
    <xf numFmtId="181" fontId="31" fillId="0" borderId="0" applyFont="0" applyFill="0" applyBorder="0" applyAlignment="0" applyProtection="0"/>
    <xf numFmtId="180" fontId="31" fillId="0" borderId="0" applyFont="0" applyFill="0" applyBorder="0" applyAlignment="0" applyProtection="0"/>
    <xf numFmtId="180" fontId="63"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0" fontId="61" fillId="0" borderId="0" applyFont="0" applyFill="0" applyBorder="0" applyAlignment="0" applyProtection="0"/>
    <xf numFmtId="181" fontId="31" fillId="0" borderId="0" applyFont="0" applyFill="0" applyBorder="0" applyAlignment="0" applyProtection="0"/>
    <xf numFmtId="181" fontId="31" fillId="0" borderId="0" applyFont="0" applyFill="0" applyBorder="0" applyAlignment="0" applyProtection="0"/>
    <xf numFmtId="181" fontId="31" fillId="0" borderId="0" applyFont="0" applyFill="0" applyBorder="0" applyAlignment="0" applyProtection="0"/>
    <xf numFmtId="180" fontId="61"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0" fontId="61" fillId="0" borderId="0" applyFont="0" applyFill="0" applyBorder="0" applyAlignment="0" applyProtection="0"/>
    <xf numFmtId="181" fontId="31" fillId="0" borderId="0" applyFont="0" applyFill="0" applyBorder="0" applyAlignment="0" applyProtection="0"/>
    <xf numFmtId="181" fontId="31" fillId="0" borderId="0" applyFont="0" applyFill="0" applyBorder="0" applyAlignment="0" applyProtection="0"/>
    <xf numFmtId="181" fontId="31" fillId="0" borderId="0" applyFont="0" applyFill="0" applyBorder="0" applyAlignment="0" applyProtection="0"/>
    <xf numFmtId="180" fontId="61"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0" fontId="3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3" fontId="62"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3" fontId="63"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2" fontId="31" fillId="0" borderId="0" applyFont="0" applyFill="0" applyBorder="0" applyAlignment="0" applyProtection="0"/>
    <xf numFmtId="183" fontId="6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183" fontId="61" fillId="0" borderId="0" applyFont="0" applyFill="0" applyBorder="0" applyAlignment="0" applyProtection="0"/>
    <xf numFmtId="183" fontId="61" fillId="0" borderId="0" applyFont="0" applyFill="0" applyBorder="0" applyAlignment="0" applyProtection="0"/>
    <xf numFmtId="183" fontId="61" fillId="0" borderId="0" applyFont="0" applyFill="0" applyBorder="0" applyAlignment="0" applyProtection="0"/>
    <xf numFmtId="182" fontId="31" fillId="0" borderId="0" applyFont="0" applyFill="0" applyBorder="0" applyAlignment="0" applyProtection="0"/>
    <xf numFmtId="183" fontId="61" fillId="0" borderId="0" applyFont="0" applyFill="0" applyBorder="0" applyAlignment="0" applyProtection="0"/>
    <xf numFmtId="182" fontId="31" fillId="0" borderId="0" applyFont="0" applyFill="0" applyBorder="0" applyAlignment="0" applyProtection="0"/>
    <xf numFmtId="183" fontId="61" fillId="0" borderId="0" applyFont="0" applyFill="0" applyBorder="0" applyAlignment="0" applyProtection="0"/>
    <xf numFmtId="182" fontId="31"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183" fontId="31"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184" fontId="62"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184" fontId="63"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39" fontId="31" fillId="0" borderId="0" applyFont="0" applyFill="0" applyBorder="0" applyAlignment="0" applyProtection="0"/>
    <xf numFmtId="184" fontId="61"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184" fontId="61" fillId="0" borderId="0" applyFont="0" applyFill="0" applyBorder="0" applyAlignment="0" applyProtection="0"/>
    <xf numFmtId="184" fontId="61" fillId="0" borderId="0" applyFont="0" applyFill="0" applyBorder="0" applyAlignment="0" applyProtection="0"/>
    <xf numFmtId="184" fontId="61" fillId="0" borderId="0" applyFont="0" applyFill="0" applyBorder="0" applyAlignment="0" applyProtection="0"/>
    <xf numFmtId="39" fontId="31" fillId="0" borderId="0" applyFont="0" applyFill="0" applyBorder="0" applyAlignment="0" applyProtection="0"/>
    <xf numFmtId="184" fontId="61" fillId="0" borderId="0" applyFont="0" applyFill="0" applyBorder="0" applyAlignment="0" applyProtection="0"/>
    <xf numFmtId="39" fontId="31" fillId="0" borderId="0" applyFont="0" applyFill="0" applyBorder="0" applyAlignment="0" applyProtection="0"/>
    <xf numFmtId="184" fontId="61" fillId="0" borderId="0" applyFont="0" applyFill="0" applyBorder="0" applyAlignment="0" applyProtection="0"/>
    <xf numFmtId="39" fontId="31"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184" fontId="31" fillId="0" borderId="0" applyFont="0" applyFill="0" applyBorder="0" applyAlignment="0" applyProtection="0"/>
    <xf numFmtId="182" fontId="31" fillId="0" borderId="0" applyFont="0" applyFill="0" applyBorder="0" applyAlignment="0" applyProtection="0"/>
    <xf numFmtId="185" fontId="61" fillId="0" borderId="0" applyFon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1" fillId="9" borderId="0" applyNumberFormat="0" applyFont="0" applyAlignment="0" applyProtection="0"/>
    <xf numFmtId="186" fontId="31" fillId="0" borderId="0" applyFont="0" applyFill="0" applyBorder="0" applyAlignment="0" applyProtection="0"/>
    <xf numFmtId="187" fontId="31" fillId="0" borderId="0" applyFont="0" applyFill="0" applyBorder="0" applyAlignment="0" applyProtection="0"/>
    <xf numFmtId="187"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7" fontId="62" fillId="0" borderId="0" applyFont="0" applyFill="0" applyBorder="0" applyAlignment="0" applyProtection="0"/>
    <xf numFmtId="186" fontId="31" fillId="0" borderId="0" applyFont="0" applyFill="0" applyBorder="0" applyAlignment="0" applyProtection="0"/>
    <xf numFmtId="187" fontId="31" fillId="0" borderId="0" applyFont="0" applyFill="0" applyBorder="0" applyAlignment="0" applyProtection="0"/>
    <xf numFmtId="186" fontId="31" fillId="0" borderId="0" applyFont="0" applyFill="0" applyBorder="0" applyAlignment="0" applyProtection="0"/>
    <xf numFmtId="187"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7" fontId="31" fillId="0" borderId="0" applyFont="0" applyFill="0" applyBorder="0" applyAlignment="0" applyProtection="0"/>
    <xf numFmtId="187" fontId="63" fillId="0" borderId="0" applyFont="0" applyFill="0" applyBorder="0" applyAlignment="0" applyProtection="0"/>
    <xf numFmtId="188" fontId="31" fillId="0" borderId="0" applyFont="0" applyFill="0" applyBorder="0" applyAlignment="0" applyProtection="0"/>
    <xf numFmtId="188" fontId="31" fillId="0" borderId="0" applyFont="0" applyFill="0" applyBorder="0" applyAlignment="0" applyProtection="0"/>
    <xf numFmtId="188"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6" fontId="31" fillId="0" borderId="0" applyFont="0" applyFill="0" applyBorder="0" applyAlignment="0" applyProtection="0"/>
    <xf numFmtId="187" fontId="61" fillId="0" borderId="0" applyFont="0" applyFill="0" applyBorder="0" applyAlignment="0" applyProtection="0"/>
    <xf numFmtId="186" fontId="31" fillId="0" borderId="0" applyFont="0" applyFill="0" applyBorder="0" applyAlignment="0" applyProtection="0"/>
    <xf numFmtId="187" fontId="31" fillId="0" borderId="0" applyFont="0" applyFill="0" applyBorder="0" applyAlignment="0" applyProtection="0"/>
    <xf numFmtId="187" fontId="31" fillId="0" borderId="0" applyFont="0" applyFill="0" applyBorder="0" applyAlignment="0" applyProtection="0"/>
    <xf numFmtId="187" fontId="61" fillId="0" borderId="0" applyFont="0" applyFill="0" applyBorder="0" applyAlignment="0" applyProtection="0"/>
    <xf numFmtId="187" fontId="61" fillId="0" borderId="0" applyFont="0" applyFill="0" applyBorder="0" applyAlignment="0" applyProtection="0"/>
    <xf numFmtId="187" fontId="61" fillId="0" borderId="0" applyFont="0" applyFill="0" applyBorder="0" applyAlignment="0" applyProtection="0"/>
    <xf numFmtId="186" fontId="31" fillId="0" borderId="0" applyFont="0" applyFill="0" applyBorder="0" applyAlignment="0" applyProtection="0"/>
    <xf numFmtId="187" fontId="61" fillId="0" borderId="0" applyFont="0" applyFill="0" applyBorder="0" applyAlignment="0" applyProtection="0"/>
    <xf numFmtId="186" fontId="31" fillId="0" borderId="0" applyFont="0" applyFill="0" applyBorder="0" applyAlignment="0" applyProtection="0"/>
    <xf numFmtId="187" fontId="61" fillId="0" borderId="0" applyFont="0" applyFill="0" applyBorder="0" applyAlignment="0" applyProtection="0"/>
    <xf numFmtId="186" fontId="31" fillId="0" borderId="0" applyFont="0" applyFill="0" applyBorder="0" applyAlignment="0" applyProtection="0"/>
    <xf numFmtId="187" fontId="31" fillId="0" borderId="0" applyFont="0" applyFill="0" applyBorder="0" applyAlignment="0" applyProtection="0"/>
    <xf numFmtId="187" fontId="31" fillId="0" borderId="0" applyFont="0" applyFill="0" applyBorder="0" applyAlignment="0" applyProtection="0"/>
    <xf numFmtId="187" fontId="31" fillId="0" borderId="0" applyFont="0" applyFill="0" applyBorder="0" applyAlignment="0" applyProtection="0"/>
    <xf numFmtId="189" fontId="31" fillId="0" borderId="0" applyFont="0" applyFill="0" applyBorder="0" applyAlignment="0" applyProtection="0"/>
    <xf numFmtId="190" fontId="31" fillId="0" borderId="0" applyFont="0" applyFill="0" applyBorder="0" applyProtection="0">
      <alignment horizontal="right"/>
    </xf>
    <xf numFmtId="190" fontId="31" fillId="0" borderId="0" applyFont="0" applyFill="0" applyBorder="0" applyProtection="0">
      <alignment horizontal="right"/>
    </xf>
    <xf numFmtId="189" fontId="31" fillId="0" borderId="0" applyFont="0" applyFill="0" applyBorder="0" applyAlignment="0" applyProtection="0"/>
    <xf numFmtId="189" fontId="31" fillId="0" borderId="0" applyFont="0" applyFill="0" applyBorder="0" applyAlignment="0" applyProtection="0"/>
    <xf numFmtId="190" fontId="62" fillId="0" borderId="0" applyFont="0" applyFill="0" applyBorder="0" applyProtection="0">
      <alignment horizontal="right"/>
    </xf>
    <xf numFmtId="189" fontId="31" fillId="0" borderId="0" applyFont="0" applyFill="0" applyBorder="0" applyAlignment="0" applyProtection="0"/>
    <xf numFmtId="190" fontId="31" fillId="0" borderId="0" applyFont="0" applyFill="0" applyBorder="0" applyProtection="0">
      <alignment horizontal="right"/>
    </xf>
    <xf numFmtId="189" fontId="31" fillId="0" borderId="0" applyFont="0" applyFill="0" applyBorder="0" applyAlignment="0" applyProtection="0"/>
    <xf numFmtId="190" fontId="31" fillId="0" borderId="0" applyFont="0" applyFill="0" applyBorder="0" applyProtection="0">
      <alignment horizontal="right"/>
    </xf>
    <xf numFmtId="189" fontId="31" fillId="0" borderId="0" applyFont="0" applyFill="0" applyBorder="0" applyAlignment="0" applyProtection="0"/>
    <xf numFmtId="189" fontId="31" fillId="0" borderId="0" applyFont="0" applyFill="0" applyBorder="0" applyAlignment="0" applyProtection="0"/>
    <xf numFmtId="190" fontId="31" fillId="0" borderId="0" applyFont="0" applyFill="0" applyBorder="0" applyProtection="0">
      <alignment horizontal="right"/>
    </xf>
    <xf numFmtId="190" fontId="63" fillId="0" borderId="0" applyFont="0" applyFill="0" applyBorder="0" applyProtection="0">
      <alignment horizontal="right"/>
    </xf>
    <xf numFmtId="191" fontId="31" fillId="0" borderId="0" applyFont="0" applyFill="0" applyBorder="0" applyAlignment="0" applyProtection="0"/>
    <xf numFmtId="191" fontId="31" fillId="0" borderId="0" applyFont="0" applyFill="0" applyBorder="0" applyAlignment="0" applyProtection="0"/>
    <xf numFmtId="191" fontId="31" fillId="0" borderId="0" applyFont="0" applyFill="0" applyBorder="0" applyAlignment="0" applyProtection="0"/>
    <xf numFmtId="189" fontId="31" fillId="0" borderId="0" applyFont="0" applyFill="0" applyBorder="0" applyAlignment="0" applyProtection="0"/>
    <xf numFmtId="189" fontId="31" fillId="0" borderId="0" applyFont="0" applyFill="0" applyBorder="0" applyAlignment="0" applyProtection="0"/>
    <xf numFmtId="189" fontId="31" fillId="0" borderId="0" applyFont="0" applyFill="0" applyBorder="0" applyAlignment="0" applyProtection="0"/>
    <xf numFmtId="189" fontId="31" fillId="0" borderId="0" applyFont="0" applyFill="0" applyBorder="0" applyAlignment="0" applyProtection="0"/>
    <xf numFmtId="189" fontId="31" fillId="0" borderId="0" applyFont="0" applyFill="0" applyBorder="0" applyAlignment="0" applyProtection="0"/>
    <xf numFmtId="190" fontId="61" fillId="0" borderId="0" applyFont="0" applyFill="0" applyBorder="0" applyProtection="0">
      <alignment horizontal="right"/>
    </xf>
    <xf numFmtId="189" fontId="31" fillId="0" borderId="0" applyFont="0" applyFill="0" applyBorder="0" applyAlignment="0" applyProtection="0"/>
    <xf numFmtId="190" fontId="31" fillId="0" borderId="0" applyFont="0" applyFill="0" applyBorder="0" applyProtection="0">
      <alignment horizontal="right"/>
    </xf>
    <xf numFmtId="190" fontId="31" fillId="0" borderId="0" applyFont="0" applyFill="0" applyBorder="0" applyProtection="0">
      <alignment horizontal="right"/>
    </xf>
    <xf numFmtId="190" fontId="61" fillId="0" borderId="0" applyFont="0" applyFill="0" applyBorder="0" applyProtection="0">
      <alignment horizontal="right"/>
    </xf>
    <xf numFmtId="190" fontId="61" fillId="0" borderId="0" applyFont="0" applyFill="0" applyBorder="0" applyProtection="0">
      <alignment horizontal="right"/>
    </xf>
    <xf numFmtId="190" fontId="61" fillId="0" borderId="0" applyFont="0" applyFill="0" applyBorder="0" applyProtection="0">
      <alignment horizontal="right"/>
    </xf>
    <xf numFmtId="189" fontId="31" fillId="0" borderId="0" applyFont="0" applyFill="0" applyBorder="0" applyAlignment="0" applyProtection="0"/>
    <xf numFmtId="190" fontId="61" fillId="0" borderId="0" applyFont="0" applyFill="0" applyBorder="0" applyProtection="0">
      <alignment horizontal="right"/>
    </xf>
    <xf numFmtId="189" fontId="31" fillId="0" borderId="0" applyFont="0" applyFill="0" applyBorder="0" applyAlignment="0" applyProtection="0"/>
    <xf numFmtId="190" fontId="61" fillId="0" borderId="0" applyFont="0" applyFill="0" applyBorder="0" applyProtection="0">
      <alignment horizontal="right"/>
    </xf>
    <xf numFmtId="189" fontId="31" fillId="0" borderId="0" applyFont="0" applyFill="0" applyBorder="0" applyAlignment="0" applyProtection="0"/>
    <xf numFmtId="190" fontId="31" fillId="0" borderId="0" applyFont="0" applyFill="0" applyBorder="0" applyProtection="0">
      <alignment horizontal="right"/>
    </xf>
    <xf numFmtId="190" fontId="31" fillId="0" borderId="0" applyFont="0" applyFill="0" applyBorder="0" applyProtection="0">
      <alignment horizontal="right"/>
    </xf>
    <xf numFmtId="190" fontId="31" fillId="0" borderId="0" applyFont="0" applyFill="0" applyBorder="0" applyProtection="0">
      <alignment horizontal="right"/>
    </xf>
    <xf numFmtId="192" fontId="31" fillId="0" borderId="0" applyFont="0" applyFill="0" applyBorder="0" applyAlignment="0" applyProtection="0"/>
    <xf numFmtId="178" fontId="31" fillId="0" borderId="0" applyFont="0" applyFill="0" applyBorder="0" applyProtection="0">
      <alignment horizontal="right"/>
    </xf>
    <xf numFmtId="178" fontId="31" fillId="0" borderId="0" applyFont="0" applyFill="0" applyBorder="0" applyAlignment="0" applyProtection="0"/>
    <xf numFmtId="178" fontId="31" fillId="0" borderId="0" applyFont="0" applyFill="0" applyBorder="0" applyAlignment="0" applyProtection="0"/>
    <xf numFmtId="178" fontId="31" fillId="0" borderId="0" applyFont="0" applyFill="0" applyBorder="0" applyAlignment="0" applyProtection="0"/>
    <xf numFmtId="193" fontId="31" fillId="0" borderId="0" applyFont="0" applyFill="0" applyBorder="0" applyAlignment="0" applyProtection="0"/>
    <xf numFmtId="179" fontId="31" fillId="0" borderId="0" applyFont="0" applyFill="0" applyBorder="0" applyProtection="0">
      <alignment horizontal="right"/>
    </xf>
    <xf numFmtId="179" fontId="31" fillId="0" borderId="0" applyFont="0" applyFill="0" applyBorder="0" applyProtection="0">
      <alignment horizontal="right"/>
    </xf>
    <xf numFmtId="179" fontId="31" fillId="0" borderId="0" applyFont="0" applyFill="0" applyBorder="0" applyAlignment="0" applyProtection="0"/>
    <xf numFmtId="179" fontId="31" fillId="0" borderId="0" applyFont="0" applyFill="0" applyBorder="0" applyAlignment="0" applyProtection="0"/>
    <xf numFmtId="179" fontId="31" fillId="0" borderId="0" applyFont="0" applyFill="0" applyBorder="0" applyAlignment="0" applyProtection="0"/>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Alignment="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5" fillId="0" borderId="0" applyNumberFormat="0" applyFill="0" applyBorder="0" applyProtection="0">
      <alignment vertical="top"/>
    </xf>
    <xf numFmtId="0" fontId="66" fillId="0" borderId="25" applyNumberFormat="0" applyFill="0" applyAlignment="0" applyProtection="0"/>
    <xf numFmtId="0" fontId="66" fillId="0" borderId="25" applyNumberFormat="0" applyFill="0" applyAlignment="0" applyProtection="0"/>
    <xf numFmtId="0" fontId="66" fillId="0" borderId="26" applyNumberFormat="0" applyFill="0" applyAlignment="0" applyProtection="0"/>
    <xf numFmtId="0" fontId="66" fillId="0" borderId="25" applyNumberFormat="0" applyFill="0" applyAlignment="0" applyProtection="0"/>
    <xf numFmtId="0" fontId="66" fillId="0" borderId="25" applyNumberFormat="0" applyFill="0" applyAlignment="0" applyProtection="0"/>
    <xf numFmtId="0" fontId="67" fillId="0" borderId="27" applyNumberFormat="0" applyFill="0" applyProtection="0">
      <alignment horizontal="center"/>
    </xf>
    <xf numFmtId="0" fontId="67" fillId="0" borderId="0" applyNumberFormat="0" applyFill="0" applyBorder="0" applyProtection="0">
      <alignment horizontal="left"/>
    </xf>
    <xf numFmtId="0" fontId="68" fillId="0" borderId="0" applyNumberFormat="0" applyFill="0" applyBorder="0" applyProtection="0">
      <alignment horizontal="centerContinuous"/>
    </xf>
    <xf numFmtId="0" fontId="68" fillId="0" borderId="0" applyNumberFormat="0" applyFill="0" applyBorder="0" applyProtection="0">
      <alignment horizontal="centerContinuous"/>
    </xf>
    <xf numFmtId="0" fontId="68" fillId="0" borderId="0" applyNumberFormat="0" applyFill="0" applyProtection="0">
      <alignment horizontal="centerContinuous"/>
    </xf>
    <xf numFmtId="0" fontId="68" fillId="0" borderId="0" applyNumberFormat="0" applyFill="0" applyBorder="0" applyProtection="0">
      <alignment horizontal="centerContinuous"/>
    </xf>
    <xf numFmtId="0" fontId="68" fillId="0" borderId="0" applyNumberFormat="0" applyFill="0" applyBorder="0" applyProtection="0">
      <alignment horizontal="centerContinuous"/>
    </xf>
    <xf numFmtId="194" fontId="69" fillId="28" borderId="0" applyNumberFormat="0" applyFont="0" applyBorder="0" applyAlignment="0">
      <alignment horizontal="right"/>
    </xf>
    <xf numFmtId="195" fontId="70" fillId="28" borderId="23" applyFont="0">
      <alignment horizontal="right"/>
    </xf>
    <xf numFmtId="0" fontId="41" fillId="0" borderId="0" applyNumberFormat="0" applyFill="0" applyBorder="0" applyAlignment="0" applyProtection="0"/>
    <xf numFmtId="0" fontId="71" fillId="0" borderId="0"/>
    <xf numFmtId="2" fontId="72" fillId="0" borderId="0" applyNumberFormat="0" applyBorder="0" applyAlignment="0"/>
    <xf numFmtId="169" fontId="73" fillId="0" borderId="0"/>
    <xf numFmtId="0" fontId="74" fillId="0" borderId="0" applyNumberFormat="0" applyFill="0" applyBorder="0" applyAlignment="0"/>
    <xf numFmtId="0" fontId="75" fillId="0" borderId="0" applyNumberFormat="0" applyFill="0" applyBorder="0" applyAlignment="0" applyProtection="0"/>
    <xf numFmtId="0" fontId="30" fillId="29" borderId="28">
      <alignment horizontal="center"/>
    </xf>
    <xf numFmtId="2" fontId="41" fillId="30" borderId="0" applyNumberFormat="0" applyFont="0" applyBorder="0" applyAlignment="0" applyProtection="0"/>
    <xf numFmtId="196" fontId="41" fillId="31" borderId="0" applyNumberFormat="0" applyFont="0" applyBorder="0" applyAlignment="0">
      <protection locked="0"/>
    </xf>
    <xf numFmtId="0" fontId="41" fillId="0" borderId="0" applyNumberFormat="0" applyFill="0" applyBorder="0" applyAlignment="0" applyProtection="0"/>
    <xf numFmtId="0" fontId="76" fillId="0" borderId="0" applyNumberFormat="0" applyFill="0" applyBorder="0" applyAlignment="0" applyProtection="0"/>
    <xf numFmtId="0" fontId="41" fillId="0" borderId="0" applyNumberFormat="0" applyFill="0" applyBorder="0" applyAlignment="0" applyProtection="0"/>
    <xf numFmtId="196" fontId="77" fillId="0" borderId="0" applyNumberFormat="0" applyFill="0" applyBorder="0" applyProtection="0">
      <alignment horizontal="right"/>
    </xf>
    <xf numFmtId="197" fontId="31" fillId="0" borderId="0">
      <protection locked="0"/>
    </xf>
    <xf numFmtId="0" fontId="78" fillId="0" borderId="0" applyNumberFormat="0" applyFill="0" applyBorder="0">
      <alignment horizontal="right"/>
    </xf>
    <xf numFmtId="38" fontId="79" fillId="0" borderId="0" applyNumberFormat="0" applyFill="0" applyBorder="0">
      <alignment vertical="center"/>
    </xf>
    <xf numFmtId="8" fontId="80" fillId="0" borderId="29">
      <protection locked="0"/>
    </xf>
    <xf numFmtId="197" fontId="31" fillId="0" borderId="0">
      <protection locked="0"/>
    </xf>
    <xf numFmtId="14" fontId="81" fillId="0" borderId="0">
      <alignment horizontal="right"/>
    </xf>
    <xf numFmtId="0" fontId="28" fillId="0" borderId="0"/>
    <xf numFmtId="0" fontId="72" fillId="0" borderId="0" applyNumberFormat="0" applyAlignment="0"/>
    <xf numFmtId="198" fontId="41" fillId="32" borderId="3" applyNumberFormat="0" applyFont="0" applyBorder="0" applyAlignment="0" applyProtection="0">
      <alignment horizontal="right"/>
    </xf>
    <xf numFmtId="166" fontId="82" fillId="0" borderId="0" applyNumberFormat="0" applyFont="0" applyAlignment="0">
      <alignment vertical="center"/>
    </xf>
    <xf numFmtId="197" fontId="31" fillId="0" borderId="0">
      <protection locked="0"/>
    </xf>
    <xf numFmtId="0" fontId="83" fillId="0" borderId="0" applyNumberFormat="0" applyFill="0" applyBorder="0" applyAlignment="0" applyProtection="0"/>
    <xf numFmtId="1" fontId="41" fillId="0" borderId="0" applyNumberFormat="0" applyBorder="0" applyAlignment="0" applyProtection="0"/>
    <xf numFmtId="199" fontId="84" fillId="0" borderId="0">
      <alignment vertical="center"/>
    </xf>
    <xf numFmtId="49" fontId="83" fillId="0" borderId="0">
      <alignment horizontal="right"/>
    </xf>
    <xf numFmtId="49" fontId="85" fillId="0" borderId="0">
      <alignment horizontal="right"/>
    </xf>
    <xf numFmtId="199" fontId="86" fillId="0" borderId="0">
      <alignment vertical="center"/>
    </xf>
    <xf numFmtId="166" fontId="87" fillId="0" borderId="0" applyNumberFormat="0" applyFill="0" applyBorder="0">
      <alignment horizontal="left" vertical="center"/>
    </xf>
    <xf numFmtId="0" fontId="88" fillId="0" borderId="0"/>
    <xf numFmtId="0" fontId="89" fillId="33" borderId="0" applyNumberFormat="0" applyFont="0" applyBorder="0" applyAlignment="0" applyProtection="0"/>
    <xf numFmtId="200" fontId="31" fillId="0" borderId="0" applyNumberFormat="0" applyFill="0" applyBorder="0" applyAlignment="0" applyProtection="0"/>
    <xf numFmtId="0" fontId="90" fillId="0" borderId="0"/>
    <xf numFmtId="0" fontId="91" fillId="0" borderId="0"/>
    <xf numFmtId="38" fontId="92" fillId="0" borderId="0" applyNumberFormat="0" applyFill="0" applyBorder="0">
      <alignment horizontal="left" vertical="center"/>
    </xf>
    <xf numFmtId="166" fontId="93" fillId="0" borderId="0" applyFill="0" applyBorder="0">
      <alignment vertical="center"/>
    </xf>
    <xf numFmtId="0" fontId="94" fillId="34" borderId="0"/>
    <xf numFmtId="201" fontId="31" fillId="0" borderId="0" applyFont="0" applyFill="0" applyBorder="0" applyAlignment="0" applyProtection="0"/>
    <xf numFmtId="196" fontId="95" fillId="0" borderId="0"/>
    <xf numFmtId="2" fontId="89" fillId="0" borderId="0" applyBorder="0" applyProtection="0"/>
    <xf numFmtId="0" fontId="41" fillId="0" borderId="0" applyNumberFormat="0" applyFill="0" applyBorder="0" applyAlignment="0" applyProtection="0"/>
    <xf numFmtId="0" fontId="96" fillId="0" borderId="0" applyNumberFormat="0" applyFill="0" applyBorder="0" applyAlignment="0" applyProtection="0"/>
    <xf numFmtId="200" fontId="31" fillId="0" borderId="0" applyNumberFormat="0" applyFill="0" applyBorder="0" applyAlignment="0" applyProtection="0"/>
    <xf numFmtId="0" fontId="96" fillId="0" borderId="0" applyNumberFormat="0" applyFill="0" applyBorder="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97" fillId="0" borderId="0">
      <alignment horizontal="left" vertical="top"/>
      <protection locked="0"/>
    </xf>
    <xf numFmtId="202" fontId="31" fillId="0" borderId="0" applyFill="0">
      <alignment horizontal="center" vertical="center"/>
    </xf>
    <xf numFmtId="0" fontId="98" fillId="0" borderId="0" applyNumberFormat="0" applyFill="0" applyBorder="0">
      <alignment horizontal="left"/>
    </xf>
    <xf numFmtId="203" fontId="31" fillId="0" borderId="0"/>
    <xf numFmtId="7" fontId="99" fillId="0" borderId="0" applyFont="0" applyFill="0" applyBorder="0" applyAlignment="0" applyProtection="0"/>
    <xf numFmtId="0" fontId="100" fillId="0" borderId="0" applyNumberFormat="0" applyAlignment="0"/>
    <xf numFmtId="169" fontId="31" fillId="0" borderId="0" applyFill="0" applyBorder="0" applyAlignment="0" applyProtection="0"/>
    <xf numFmtId="181" fontId="101" fillId="0" borderId="0">
      <alignment vertical="top"/>
    </xf>
    <xf numFmtId="168" fontId="89" fillId="15" borderId="30" applyNumberFormat="0" applyFont="0" applyBorder="0" applyAlignment="0" applyProtection="0">
      <alignment horizontal="center"/>
    </xf>
    <xf numFmtId="37" fontId="36" fillId="1" borderId="0">
      <alignment horizontal="right"/>
    </xf>
    <xf numFmtId="1" fontId="102" fillId="35" borderId="0" applyNumberFormat="0" applyFont="0" applyBorder="0" applyAlignment="0">
      <alignment horizontal="left"/>
    </xf>
    <xf numFmtId="2" fontId="103" fillId="0" borderId="0"/>
    <xf numFmtId="1" fontId="31" fillId="0" borderId="0"/>
    <xf numFmtId="0" fontId="31" fillId="0" borderId="0" applyFont="0" applyFill="0" applyBorder="0" applyAlignment="0" applyProtection="0"/>
    <xf numFmtId="0" fontId="31" fillId="0" borderId="0">
      <alignment vertical="top"/>
    </xf>
    <xf numFmtId="0" fontId="31" fillId="0" borderId="0">
      <alignment vertical="top"/>
    </xf>
    <xf numFmtId="204" fontId="104" fillId="0" borderId="0" applyNumberFormat="0" applyFill="0" applyBorder="0" applyAlignment="0" applyProtection="0">
      <alignment horizontal="right" vertical="center" wrapText="1"/>
    </xf>
    <xf numFmtId="0" fontId="105" fillId="0" borderId="0" applyNumberFormat="0" applyFill="0" applyBorder="0" applyAlignment="0" applyProtection="0"/>
    <xf numFmtId="0" fontId="106" fillId="0" borderId="0" applyNumberFormat="0" applyFill="0" applyBorder="0" applyAlignment="0" applyProtection="0">
      <protection locked="0"/>
    </xf>
    <xf numFmtId="0" fontId="107" fillId="0" borderId="3" applyNumberFormat="0" applyFill="0" applyProtection="0">
      <alignment horizontal="right"/>
    </xf>
    <xf numFmtId="6" fontId="92" fillId="0" borderId="31" applyFill="0">
      <alignment vertical="center"/>
    </xf>
    <xf numFmtId="205" fontId="41" fillId="0" borderId="0"/>
    <xf numFmtId="39" fontId="108" fillId="0" borderId="23" applyNumberFormat="0" applyBorder="0">
      <alignment horizontal="right"/>
    </xf>
    <xf numFmtId="0" fontId="107" fillId="0" borderId="32" applyNumberFormat="0" applyProtection="0">
      <alignment horizontal="right"/>
    </xf>
    <xf numFmtId="0" fontId="109" fillId="0" borderId="6" applyNumberFormat="0" applyFill="0" applyProtection="0"/>
    <xf numFmtId="0" fontId="110" fillId="0" borderId="0">
      <alignment vertical="center"/>
    </xf>
    <xf numFmtId="0" fontId="84" fillId="0" borderId="0">
      <alignment vertical="center"/>
    </xf>
    <xf numFmtId="0" fontId="86" fillId="0" borderId="0">
      <alignment vertical="center"/>
    </xf>
    <xf numFmtId="0" fontId="111" fillId="0" borderId="0" applyNumberFormat="0">
      <alignment horizontal="left"/>
    </xf>
    <xf numFmtId="0" fontId="112" fillId="0" borderId="0" applyFill="0" applyBorder="0" applyProtection="0">
      <alignment horizontal="left" vertical="top"/>
    </xf>
    <xf numFmtId="14" fontId="31" fillId="0" borderId="0" applyFill="0" applyBorder="0">
      <alignment vertical="center"/>
    </xf>
    <xf numFmtId="0" fontId="88" fillId="0" borderId="0" applyNumberFormat="0" applyFill="0" applyBorder="0" applyAlignment="0" applyProtection="0"/>
    <xf numFmtId="0" fontId="113" fillId="0" borderId="0" applyNumberFormat="0" applyFill="0" applyBorder="0" applyAlignment="0" applyProtection="0"/>
    <xf numFmtId="38" fontId="114" fillId="0" borderId="0" applyNumberFormat="0" applyFill="0" applyBorder="0">
      <alignment horizontal="left" vertical="center"/>
    </xf>
    <xf numFmtId="38" fontId="115" fillId="0" borderId="0" applyNumberFormat="0" applyFill="0" applyBorder="0">
      <alignment horizontal="centerContinuous" vertical="center"/>
    </xf>
    <xf numFmtId="0" fontId="116" fillId="0" borderId="0" applyNumberFormat="0" applyFill="0" applyBorder="0" applyAlignment="0" applyProtection="0"/>
    <xf numFmtId="0" fontId="27" fillId="0" borderId="0" applyNumberFormat="0" applyFill="0" applyBorder="0" applyAlignment="0" applyProtection="0"/>
    <xf numFmtId="168" fontId="72" fillId="0" borderId="0" applyNumberFormat="0" applyBorder="0" applyAlignment="0"/>
    <xf numFmtId="1" fontId="117" fillId="0" borderId="23" applyFill="0" applyProtection="0">
      <alignment horizontal="right"/>
    </xf>
    <xf numFmtId="167" fontId="31" fillId="0" borderId="0" applyFill="0" applyBorder="0">
      <alignment vertical="center"/>
    </xf>
    <xf numFmtId="0" fontId="118" fillId="0" borderId="0" applyNumberFormat="0" applyFill="0" applyBorder="0" applyAlignment="0" applyProtection="0"/>
    <xf numFmtId="0" fontId="63" fillId="0" borderId="0" applyNumberForma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4" fillId="0" borderId="0"/>
    <xf numFmtId="209" fontId="23" fillId="0" borderId="0"/>
    <xf numFmtId="0" fontId="13" fillId="0" borderId="0"/>
    <xf numFmtId="9" fontId="89" fillId="0" borderId="0" applyFont="0" applyFill="0" applyBorder="0" applyAlignment="0" applyProtection="0"/>
    <xf numFmtId="9" fontId="13" fillId="0" borderId="0" applyFont="0" applyFill="0" applyBorder="0" applyAlignment="0" applyProtection="0"/>
    <xf numFmtId="3" fontId="28" fillId="0" borderId="0"/>
    <xf numFmtId="210" fontId="121" fillId="0" borderId="0"/>
    <xf numFmtId="3" fontId="28" fillId="0" borderId="0"/>
    <xf numFmtId="0" fontId="31" fillId="0" borderId="0"/>
    <xf numFmtId="168" fontId="31" fillId="0" borderId="0"/>
    <xf numFmtId="211" fontId="42" fillId="0" borderId="0"/>
    <xf numFmtId="212" fontId="42" fillId="0" borderId="0"/>
    <xf numFmtId="213" fontId="42" fillId="0" borderId="0"/>
    <xf numFmtId="168" fontId="31" fillId="0" borderId="0"/>
    <xf numFmtId="1" fontId="31" fillId="0" borderId="0"/>
    <xf numFmtId="0" fontId="122" fillId="0" borderId="6">
      <alignment horizontal="left" wrapText="1" indent="2"/>
    </xf>
    <xf numFmtId="0" fontId="123" fillId="0" borderId="0">
      <alignment wrapText="1"/>
    </xf>
    <xf numFmtId="214" fontId="42" fillId="0" borderId="0"/>
    <xf numFmtId="49" fontId="124" fillId="0" borderId="0">
      <alignment horizontal="right" vertical="center"/>
    </xf>
    <xf numFmtId="49" fontId="125" fillId="0" borderId="0">
      <alignment horizontal="right" vertical="center"/>
    </xf>
    <xf numFmtId="164" fontId="126" fillId="0" borderId="0" applyFont="0" applyFill="0" applyBorder="0" applyAlignment="0" applyProtection="0"/>
    <xf numFmtId="164" fontId="35"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215" fontId="31" fillId="0" borderId="34" applyBorder="0"/>
    <xf numFmtId="176" fontId="13" fillId="0" borderId="0" applyFont="0" applyFill="0" applyBorder="0" applyAlignment="0" applyProtection="0"/>
    <xf numFmtId="176" fontId="35" fillId="0" borderId="0" applyFont="0" applyFill="0" applyBorder="0" applyAlignment="0" applyProtection="0"/>
    <xf numFmtId="176" fontId="35" fillId="0" borderId="0" applyFont="0" applyFill="0" applyBorder="0" applyAlignment="0" applyProtection="0"/>
    <xf numFmtId="176" fontId="35" fillId="0" borderId="0" applyFont="0" applyFill="0" applyBorder="0" applyAlignment="0" applyProtection="0"/>
    <xf numFmtId="176" fontId="35" fillId="0" borderId="0" applyFont="0" applyFill="0" applyBorder="0" applyAlignment="0" applyProtection="0"/>
    <xf numFmtId="176" fontId="35" fillId="0" borderId="0" applyFont="0" applyFill="0" applyBorder="0" applyAlignment="0" applyProtection="0"/>
    <xf numFmtId="8" fontId="42" fillId="0" borderId="0" applyFont="0" applyFill="0" applyBorder="0" applyAlignment="0" applyProtection="0"/>
    <xf numFmtId="8" fontId="42" fillId="0" borderId="0" applyFont="0" applyFill="0" applyBorder="0" applyAlignment="0" applyProtection="0"/>
    <xf numFmtId="0" fontId="127" fillId="0" borderId="0"/>
    <xf numFmtId="49" fontId="124" fillId="0" borderId="0"/>
    <xf numFmtId="49" fontId="31" fillId="0" borderId="0">
      <alignment horizontal="right"/>
    </xf>
    <xf numFmtId="49" fontId="31" fillId="0" borderId="0">
      <alignment horizontal="right"/>
    </xf>
    <xf numFmtId="49" fontId="31" fillId="0" borderId="0">
      <alignment horizontal="right"/>
    </xf>
    <xf numFmtId="0" fontId="128"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131" fillId="0" borderId="0" applyNumberFormat="0" applyFill="0" applyBorder="0" applyAlignment="0" applyProtection="0"/>
    <xf numFmtId="0" fontId="31" fillId="0" borderId="0" applyNumberFormat="0" applyFill="0" applyBorder="0" applyAlignment="0" applyProtection="0">
      <alignment vertical="top"/>
      <protection locked="0"/>
    </xf>
    <xf numFmtId="0" fontId="132" fillId="0" borderId="0"/>
    <xf numFmtId="168" fontId="31" fillId="0" borderId="34" applyBorder="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1" fillId="0" borderId="0"/>
    <xf numFmtId="0" fontId="12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1" fillId="0" borderId="0"/>
    <xf numFmtId="0" fontId="133" fillId="0" borderId="0"/>
    <xf numFmtId="0" fontId="4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2"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216" fontId="134" fillId="0" borderId="0" applyFill="0" applyBorder="0">
      <alignment horizontal="right" vertical="center"/>
    </xf>
    <xf numFmtId="217" fontId="135" fillId="0" borderId="0">
      <alignment horizontal="right"/>
    </xf>
    <xf numFmtId="0" fontId="119" fillId="0" borderId="0" applyNumberFormat="0" applyFont="0" applyAlignment="0"/>
    <xf numFmtId="218" fontId="127" fillId="0" borderId="0" applyFill="0" applyBorder="0" applyProtection="0">
      <alignment horizontal="right" vertical="center"/>
    </xf>
    <xf numFmtId="0" fontId="136" fillId="0" borderId="0"/>
    <xf numFmtId="0" fontId="31" fillId="0" borderId="34" applyBorder="0"/>
    <xf numFmtId="9" fontId="35"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26" fillId="0" borderId="0" applyFont="0" applyFill="0" applyBorder="0" applyAlignment="0" applyProtection="0"/>
    <xf numFmtId="9" fontId="31" fillId="0" borderId="0" applyFont="0" applyFill="0" applyBorder="0" applyAlignment="0" applyProtection="0"/>
    <xf numFmtId="9" fontId="126"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211" fontId="42" fillId="0" borderId="0"/>
    <xf numFmtId="212" fontId="42" fillId="0" borderId="0"/>
    <xf numFmtId="202" fontId="31" fillId="6" borderId="11" applyFont="0" applyFill="0" applyBorder="0" applyAlignment="0" applyProtection="0"/>
    <xf numFmtId="219" fontId="31" fillId="6" borderId="12" applyFont="0" applyFill="0" applyBorder="0" applyAlignment="0" applyProtection="0"/>
    <xf numFmtId="220" fontId="31" fillId="0" borderId="0"/>
    <xf numFmtId="0" fontId="108" fillId="6" borderId="33" applyFont="0" applyBorder="0"/>
    <xf numFmtId="220" fontId="108" fillId="0" borderId="0"/>
    <xf numFmtId="49" fontId="108" fillId="0" borderId="0">
      <alignment horizontal="left"/>
    </xf>
    <xf numFmtId="49" fontId="88" fillId="0" borderId="0"/>
    <xf numFmtId="49" fontId="91" fillId="0" borderId="0"/>
    <xf numFmtId="221" fontId="88" fillId="37" borderId="35"/>
    <xf numFmtId="15" fontId="31" fillId="0" borderId="0"/>
    <xf numFmtId="17" fontId="31" fillId="0" borderId="0"/>
    <xf numFmtId="10" fontId="31" fillId="0" borderId="0"/>
    <xf numFmtId="220" fontId="108" fillId="6" borderId="36"/>
    <xf numFmtId="0" fontId="137" fillId="0" borderId="37">
      <alignment vertical="center" wrapText="1"/>
    </xf>
    <xf numFmtId="0" fontId="31" fillId="0" borderId="0">
      <alignment vertical="center"/>
    </xf>
    <xf numFmtId="0" fontId="135" fillId="0" borderId="0" applyFill="0" applyBorder="0">
      <alignment vertical="center"/>
    </xf>
    <xf numFmtId="0" fontId="127" fillId="0" borderId="0">
      <alignment vertical="center"/>
    </xf>
    <xf numFmtId="0" fontId="138" fillId="0" borderId="6" applyAlignment="0"/>
    <xf numFmtId="0" fontId="127" fillId="0" borderId="22" applyAlignment="0"/>
    <xf numFmtId="0" fontId="139" fillId="0" borderId="38">
      <alignment horizontal="center"/>
    </xf>
    <xf numFmtId="0" fontId="12" fillId="0" borderId="0"/>
    <xf numFmtId="164" fontId="31" fillId="0" borderId="0" applyFont="0" applyFill="0" applyBorder="0" applyAlignment="0" applyProtection="0"/>
    <xf numFmtId="164" fontId="31" fillId="0" borderId="0" applyFont="0" applyFill="0" applyBorder="0" applyAlignment="0" applyProtection="0"/>
    <xf numFmtId="176" fontId="35"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76" fontId="35"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9" fillId="0" borderId="0"/>
    <xf numFmtId="0" fontId="126" fillId="0" borderId="0"/>
    <xf numFmtId="0" fontId="3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6" fillId="0" borderId="0" applyFont="0" applyFill="0" applyBorder="0" applyAlignment="0" applyProtection="0"/>
    <xf numFmtId="0" fontId="12" fillId="0" borderId="0"/>
    <xf numFmtId="9" fontId="31" fillId="0" borderId="0" applyFont="0" applyFill="0" applyBorder="0" applyAlignment="0" applyProtection="0"/>
    <xf numFmtId="176" fontId="12" fillId="0" borderId="0" applyFont="0" applyFill="0" applyBorder="0" applyAlignment="0" applyProtection="0"/>
    <xf numFmtId="9" fontId="42" fillId="0" borderId="0" applyFont="0" applyFill="0" applyBorder="0" applyAlignment="0" applyProtection="0"/>
    <xf numFmtId="0" fontId="141" fillId="0" borderId="0" applyNumberFormat="0" applyFill="0" applyBorder="0" applyAlignment="0" applyProtection="0"/>
    <xf numFmtId="0" fontId="31" fillId="0" borderId="0"/>
    <xf numFmtId="0" fontId="129" fillId="0" borderId="0" applyNumberFormat="0" applyFill="0" applyBorder="0" applyAlignment="0" applyProtection="0">
      <alignment vertical="top"/>
      <protection locked="0"/>
    </xf>
    <xf numFmtId="0" fontId="31" fillId="0" borderId="0"/>
    <xf numFmtId="0" fontId="140" fillId="0" borderId="0"/>
    <xf numFmtId="176" fontId="140" fillId="0" borderId="0" applyFont="0" applyFill="0" applyBorder="0" applyAlignment="0" applyProtection="0"/>
    <xf numFmtId="8" fontId="42" fillId="0" borderId="0" applyFont="0" applyFill="0" applyBorder="0" applyAlignment="0" applyProtection="0"/>
    <xf numFmtId="4" fontId="42" fillId="0" borderId="0" applyFont="0" applyFill="0" applyBorder="0" applyAlignment="0" applyProtection="0"/>
    <xf numFmtId="0" fontId="42" fillId="0" borderId="0"/>
    <xf numFmtId="164" fontId="140" fillId="0" borderId="0" applyFont="0" applyFill="0" applyBorder="0" applyAlignment="0" applyProtection="0"/>
    <xf numFmtId="44" fontId="142" fillId="0" borderId="0" applyFont="0" applyFill="0" applyBorder="0" applyAlignment="0" applyProtection="0"/>
    <xf numFmtId="0" fontId="133" fillId="0" borderId="0"/>
    <xf numFmtId="0" fontId="31" fillId="0" borderId="0"/>
    <xf numFmtId="176" fontId="31" fillId="0" borderId="0" applyFont="0" applyFill="0" applyBorder="0" applyAlignment="0" applyProtection="0"/>
    <xf numFmtId="0" fontId="31" fillId="0" borderId="0"/>
    <xf numFmtId="176" fontId="31" fillId="0" borderId="0" applyFont="0" applyFill="0" applyBorder="0" applyAlignment="0" applyProtection="0"/>
    <xf numFmtId="0" fontId="31" fillId="0" borderId="0"/>
    <xf numFmtId="0" fontId="31" fillId="0" borderId="0"/>
    <xf numFmtId="176" fontId="31" fillId="0" borderId="0" applyFont="0" applyFill="0" applyBorder="0" applyAlignment="0" applyProtection="0"/>
    <xf numFmtId="164" fontId="31" fillId="0" borderId="0" applyFont="0" applyFill="0" applyBorder="0" applyAlignment="0" applyProtection="0"/>
    <xf numFmtId="176" fontId="35" fillId="0" borderId="0" applyFont="0" applyFill="0" applyBorder="0" applyAlignment="0" applyProtection="0"/>
    <xf numFmtId="0" fontId="12" fillId="0" borderId="0"/>
    <xf numFmtId="0" fontId="11" fillId="0" borderId="0"/>
    <xf numFmtId="0" fontId="10" fillId="0" borderId="0"/>
    <xf numFmtId="9" fontId="10" fillId="0" borderId="0" applyFont="0" applyFill="0" applyBorder="0" applyAlignment="0" applyProtection="0"/>
    <xf numFmtId="164" fontId="31" fillId="0" borderId="0" applyFont="0" applyFill="0" applyBorder="0" applyAlignment="0" applyProtection="0"/>
    <xf numFmtId="0" fontId="9" fillId="0" borderId="0"/>
    <xf numFmtId="0" fontId="120" fillId="0" borderId="0" applyFont="0"/>
    <xf numFmtId="40" fontId="89" fillId="0" borderId="0" applyFont="0" applyFill="0" applyBorder="0" applyAlignment="0" applyProtection="0"/>
    <xf numFmtId="9" fontId="89" fillId="0" borderId="0" applyFont="0" applyFill="0" applyBorder="0" applyAlignment="0" applyProtection="0"/>
    <xf numFmtId="0" fontId="56" fillId="0" borderId="0" applyNumberFormat="0" applyFill="0" applyBorder="0" applyAlignment="0" applyProtection="0"/>
    <xf numFmtId="0" fontId="25" fillId="0" borderId="0"/>
    <xf numFmtId="9" fontId="25" fillId="0" borderId="0" applyFont="0" applyFill="0" applyBorder="0" applyAlignment="0" applyProtection="0"/>
    <xf numFmtId="194" fontId="31" fillId="28" borderId="0" applyNumberFormat="0" applyFont="0" applyBorder="0" applyAlignment="0">
      <alignment horizontal="right"/>
    </xf>
    <xf numFmtId="195" fontId="31" fillId="28" borderId="23" applyFont="0">
      <alignment horizontal="right"/>
    </xf>
    <xf numFmtId="0" fontId="31" fillId="0" borderId="0" applyNumberFormat="0" applyFill="0" applyBorder="0" applyAlignment="0"/>
    <xf numFmtId="0" fontId="31" fillId="0" borderId="0" applyNumberFormat="0" applyFill="0" applyBorder="0">
      <alignment horizontal="right"/>
    </xf>
    <xf numFmtId="224" fontId="31" fillId="32" borderId="3" applyNumberFormat="0" applyFont="0" applyBorder="0" applyAlignment="0" applyProtection="0">
      <alignment horizontal="right"/>
    </xf>
    <xf numFmtId="49" fontId="31" fillId="0" borderId="0">
      <alignment horizontal="right"/>
    </xf>
    <xf numFmtId="49" fontId="31" fillId="0" borderId="0">
      <alignment horizontal="right"/>
    </xf>
    <xf numFmtId="0" fontId="31" fillId="0" borderId="0"/>
    <xf numFmtId="0" fontId="31" fillId="0" borderId="0" applyNumberFormat="0" applyFill="0" applyBorder="0">
      <alignment horizontal="left"/>
    </xf>
    <xf numFmtId="0" fontId="102" fillId="0" borderId="0"/>
    <xf numFmtId="204" fontId="31" fillId="0" borderId="0" applyNumberFormat="0" applyFill="0" applyBorder="0" applyAlignment="0" applyProtection="0">
      <alignment horizontal="right" vertical="center" wrapText="1"/>
    </xf>
    <xf numFmtId="0" fontId="31" fillId="0" borderId="0" applyNumberFormat="0" applyFill="0" applyBorder="0" applyAlignment="0" applyProtection="0"/>
    <xf numFmtId="0" fontId="31" fillId="0" borderId="0" applyNumberFormat="0" applyFill="0" applyBorder="0" applyAlignment="0" applyProtection="0">
      <protection locked="0"/>
    </xf>
    <xf numFmtId="225" fontId="31" fillId="0" borderId="0"/>
    <xf numFmtId="0" fontId="31" fillId="0" borderId="3" applyNumberFormat="0" applyFill="0" applyProtection="0">
      <alignment horizontal="right"/>
    </xf>
    <xf numFmtId="0" fontId="31" fillId="0" borderId="32" applyNumberFormat="0" applyProtection="0">
      <alignment horizontal="right"/>
    </xf>
    <xf numFmtId="0" fontId="31" fillId="0" borderId="6" applyNumberFormat="0" applyFill="0" applyProtection="0"/>
    <xf numFmtId="0" fontId="31" fillId="0" borderId="0">
      <alignment vertical="center"/>
    </xf>
    <xf numFmtId="0" fontId="31" fillId="0" borderId="0">
      <alignment vertical="center"/>
    </xf>
    <xf numFmtId="0" fontId="31" fillId="0" borderId="0">
      <alignment vertical="center"/>
    </xf>
    <xf numFmtId="1" fontId="31" fillId="0" borderId="23" applyFill="0" applyProtection="0">
      <alignment horizontal="right"/>
    </xf>
    <xf numFmtId="0" fontId="8" fillId="0" borderId="0"/>
    <xf numFmtId="176" fontId="35" fillId="0" borderId="0" applyFont="0" applyFill="0" applyBorder="0" applyAlignment="0" applyProtection="0"/>
    <xf numFmtId="0" fontId="57" fillId="24"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120" fillId="0" borderId="0" applyFont="0" applyFill="0" applyBorder="0" applyAlignment="0" applyProtection="0"/>
    <xf numFmtId="0" fontId="143" fillId="0" borderId="0" applyNumberFormat="0" applyFill="0" applyBorder="0" applyAlignment="0" applyProtection="0">
      <alignment vertical="top"/>
      <protection locked="0"/>
    </xf>
    <xf numFmtId="0" fontId="8" fillId="0" borderId="0"/>
    <xf numFmtId="9" fontId="8" fillId="0" borderId="0" applyFont="0" applyFill="0" applyBorder="0" applyAlignment="0" applyProtection="0"/>
    <xf numFmtId="0" fontId="8" fillId="0" borderId="0"/>
    <xf numFmtId="0" fontId="59" fillId="26" borderId="0" applyNumberFormat="0" applyBorder="0" applyAlignment="0" applyProtection="0"/>
    <xf numFmtId="0" fontId="58" fillId="25" borderId="0" applyNumberFormat="0" applyBorder="0" applyAlignment="0" applyProtection="0"/>
    <xf numFmtId="0" fontId="60" fillId="27" borderId="24" applyNumberForma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29" fillId="0" borderId="0"/>
    <xf numFmtId="40" fontId="144" fillId="0" borderId="0" applyFont="0" applyFill="0" applyBorder="0" applyAlignment="0" applyProtection="0"/>
    <xf numFmtId="0" fontId="7" fillId="0" borderId="0"/>
    <xf numFmtId="0" fontId="144" fillId="0" borderId="0"/>
    <xf numFmtId="0" fontId="29" fillId="0" borderId="0"/>
    <xf numFmtId="9" fontId="144" fillId="0" borderId="0" applyFont="0" applyFill="0" applyBorder="0" applyAlignment="0" applyProtection="0"/>
    <xf numFmtId="164" fontId="29" fillId="0" borderId="0" applyFont="0" applyFill="0" applyBorder="0" applyAlignment="0" applyProtection="0"/>
    <xf numFmtId="9" fontId="29" fillId="0" borderId="0" applyFont="0" applyFill="0" applyBorder="0" applyAlignment="0" applyProtection="0"/>
    <xf numFmtId="9" fontId="35" fillId="0" borderId="0" applyFont="0" applyFill="0" applyBorder="0" applyAlignment="0" applyProtection="0"/>
    <xf numFmtId="176" fontId="29" fillId="0" borderId="0" applyFont="0" applyFill="0" applyBorder="0" applyAlignment="0" applyProtection="0"/>
    <xf numFmtId="0" fontId="7" fillId="0" borderId="0"/>
    <xf numFmtId="164" fontId="35" fillId="0" borderId="0" applyFont="0" applyFill="0" applyBorder="0" applyAlignment="0" applyProtection="0"/>
    <xf numFmtId="164" fontId="29" fillId="0" borderId="0" applyFont="0" applyFill="0" applyBorder="0" applyAlignment="0" applyProtection="0"/>
    <xf numFmtId="164" fontId="145" fillId="0" borderId="0" applyFont="0" applyFill="0" applyBorder="0" applyAlignment="0" applyProtection="0"/>
    <xf numFmtId="164" fontId="145" fillId="0" borderId="0" applyFont="0" applyFill="0" applyBorder="0" applyAlignment="0" applyProtection="0"/>
    <xf numFmtId="164" fontId="29" fillId="0" borderId="0" applyFont="0" applyFill="0" applyBorder="0" applyAlignment="0" applyProtection="0"/>
    <xf numFmtId="164" fontId="35" fillId="0" borderId="0" applyFont="0" applyFill="0" applyBorder="0" applyAlignment="0" applyProtection="0"/>
    <xf numFmtId="164" fontId="35" fillId="0" borderId="0" applyFont="0" applyFill="0" applyBorder="0" applyAlignment="0" applyProtection="0"/>
    <xf numFmtId="164" fontId="7" fillId="0" borderId="0" applyFont="0" applyFill="0" applyBorder="0" applyAlignment="0" applyProtection="0"/>
    <xf numFmtId="164" fontId="145" fillId="0" borderId="0" applyFont="0" applyFill="0" applyBorder="0" applyAlignment="0" applyProtection="0"/>
    <xf numFmtId="164" fontId="145" fillId="0" borderId="0" applyFont="0" applyFill="0" applyBorder="0" applyAlignment="0" applyProtection="0"/>
    <xf numFmtId="164" fontId="31" fillId="0" borderId="0" applyFont="0" applyFill="0" applyBorder="0" applyAlignment="0" applyProtection="0"/>
    <xf numFmtId="164" fontId="35" fillId="0" borderId="0" applyFont="0" applyFill="0" applyBorder="0" applyAlignment="0" applyProtection="0"/>
    <xf numFmtId="164" fontId="29" fillId="0" borderId="0" applyFont="0" applyFill="0" applyBorder="0" applyAlignment="0" applyProtection="0"/>
    <xf numFmtId="164" fontId="35" fillId="0" borderId="0" applyFont="0" applyFill="0" applyBorder="0" applyAlignment="0" applyProtection="0"/>
    <xf numFmtId="176" fontId="29" fillId="0" borderId="0" applyFont="0" applyFill="0" applyBorder="0" applyAlignment="0" applyProtection="0"/>
    <xf numFmtId="176" fontId="29" fillId="0" borderId="0" applyFont="0" applyFill="0" applyBorder="0" applyAlignment="0" applyProtection="0"/>
    <xf numFmtId="176" fontId="31" fillId="0" borderId="0" applyFont="0" applyFill="0" applyBorder="0" applyAlignment="0" applyProtection="0"/>
    <xf numFmtId="176" fontId="35" fillId="0" borderId="0" applyFont="0" applyFill="0" applyBorder="0" applyAlignment="0" applyProtection="0"/>
    <xf numFmtId="176" fontId="29" fillId="0" borderId="0" applyFont="0" applyFill="0" applyBorder="0" applyAlignment="0" applyProtection="0"/>
    <xf numFmtId="0" fontId="29" fillId="0" borderId="0"/>
    <xf numFmtId="0" fontId="29" fillId="0" borderId="0"/>
    <xf numFmtId="0" fontId="29" fillId="0" borderId="0"/>
    <xf numFmtId="0" fontId="31" fillId="0" borderId="0"/>
    <xf numFmtId="0" fontId="7" fillId="0" borderId="0"/>
    <xf numFmtId="0" fontId="31" fillId="0" borderId="0"/>
    <xf numFmtId="0" fontId="29" fillId="0" borderId="0"/>
    <xf numFmtId="0" fontId="29" fillId="0" borderId="0"/>
    <xf numFmtId="0" fontId="7" fillId="0" borderId="0"/>
    <xf numFmtId="0" fontId="29" fillId="0" borderId="0"/>
    <xf numFmtId="0" fontId="7" fillId="0" borderId="0"/>
    <xf numFmtId="0" fontId="145" fillId="0" borderId="0"/>
    <xf numFmtId="0" fontId="29" fillId="0" borderId="0"/>
    <xf numFmtId="0" fontId="145" fillId="0" borderId="0"/>
    <xf numFmtId="0" fontId="31" fillId="0" borderId="0"/>
    <xf numFmtId="0" fontId="145" fillId="0" borderId="0"/>
    <xf numFmtId="0" fontId="145" fillId="0" borderId="0"/>
    <xf numFmtId="0" fontId="29" fillId="0" borderId="0"/>
    <xf numFmtId="0" fontId="31" fillId="0" borderId="0"/>
    <xf numFmtId="0" fontId="29" fillId="0" borderId="0"/>
    <xf numFmtId="0" fontId="7" fillId="0" borderId="0"/>
    <xf numFmtId="9" fontId="7" fillId="0" borderId="0" applyFont="0" applyFill="0" applyBorder="0" applyAlignment="0" applyProtection="0"/>
    <xf numFmtId="9" fontId="31" fillId="0" borderId="0" applyFont="0" applyFill="0" applyBorder="0" applyAlignment="0" applyProtection="0"/>
    <xf numFmtId="9" fontId="7" fillId="0" borderId="0" applyFont="0" applyFill="0" applyBorder="0" applyAlignment="0" applyProtection="0"/>
    <xf numFmtId="9" fontId="145" fillId="0" borderId="0" applyFont="0" applyFill="0" applyBorder="0" applyAlignment="0" applyProtection="0"/>
    <xf numFmtId="9" fontId="145" fillId="0" borderId="0" applyFont="0" applyFill="0" applyBorder="0" applyAlignment="0" applyProtection="0"/>
    <xf numFmtId="9" fontId="14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145" fillId="0" borderId="0" applyFont="0" applyFill="0" applyBorder="0" applyAlignment="0" applyProtection="0"/>
    <xf numFmtId="164" fontId="29" fillId="0" borderId="0" applyFont="0" applyFill="0" applyBorder="0" applyAlignment="0" applyProtection="0"/>
    <xf numFmtId="0" fontId="7" fillId="0" borderId="0"/>
    <xf numFmtId="0" fontId="7" fillId="0" borderId="0"/>
    <xf numFmtId="44" fontId="29" fillId="0" borderId="0" applyFont="0" applyFill="0" applyBorder="0" applyAlignment="0" applyProtection="0"/>
    <xf numFmtId="43" fontId="29" fillId="0" borderId="0" applyFont="0" applyFill="0" applyBorder="0" applyAlignment="0" applyProtection="0"/>
    <xf numFmtId="0" fontId="7" fillId="0" borderId="0"/>
    <xf numFmtId="9" fontId="29" fillId="0" borderId="0" applyFont="0" applyFill="0" applyBorder="0" applyAlignment="0" applyProtection="0"/>
    <xf numFmtId="0" fontId="7" fillId="0" borderId="0"/>
    <xf numFmtId="0" fontId="7" fillId="0" borderId="0"/>
    <xf numFmtId="0" fontId="7" fillId="0" borderId="0"/>
    <xf numFmtId="0" fontId="31" fillId="0" borderId="0"/>
    <xf numFmtId="0" fontId="146" fillId="0" borderId="0" applyNumberFormat="0" applyFill="0" applyBorder="0" applyAlignment="0" applyProtection="0">
      <alignment vertical="top"/>
      <protection locked="0"/>
    </xf>
    <xf numFmtId="0" fontId="147" fillId="0" borderId="0"/>
    <xf numFmtId="0" fontId="6" fillId="0" borderId="0"/>
    <xf numFmtId="0" fontId="6" fillId="0" borderId="0"/>
    <xf numFmtId="164"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9" fontId="29" fillId="0" borderId="0" applyFont="0" applyFill="0" applyBorder="0" applyAlignment="0" applyProtection="0"/>
    <xf numFmtId="0" fontId="6" fillId="0" borderId="0"/>
    <xf numFmtId="0" fontId="6" fillId="0" borderId="0"/>
    <xf numFmtId="0" fontId="6" fillId="0" borderId="0"/>
    <xf numFmtId="0" fontId="148"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9" fontId="29" fillId="0" borderId="0" applyFont="0" applyFill="0" applyBorder="0" applyAlignment="0" applyProtection="0"/>
    <xf numFmtId="0" fontId="5" fillId="0" borderId="0"/>
    <xf numFmtId="0" fontId="5" fillId="0" borderId="0"/>
    <xf numFmtId="0" fontId="5" fillId="0" borderId="0"/>
    <xf numFmtId="0" fontId="120" fillId="0" borderId="0" applyFont="0"/>
    <xf numFmtId="9" fontId="89" fillId="0" borderId="0" applyFont="0" applyFill="0" applyBorder="0" applyAlignment="0" applyProtection="0"/>
    <xf numFmtId="0" fontId="56"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6"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120"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6"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23" fillId="0" borderId="0"/>
    <xf numFmtId="44" fontId="23" fillId="0" borderId="0" applyFont="0" applyFill="0" applyBorder="0" applyAlignment="0" applyProtection="0"/>
    <xf numFmtId="9" fontId="2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76"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76" fontId="3" fillId="0" borderId="0" applyFont="0" applyFill="0" applyBorder="0" applyAlignment="0" applyProtection="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29" fillId="0" borderId="0"/>
    <xf numFmtId="0" fontId="3" fillId="0" borderId="0"/>
    <xf numFmtId="0" fontId="144" fillId="0" borderId="0"/>
    <xf numFmtId="0" fontId="29" fillId="0" borderId="0"/>
    <xf numFmtId="0" fontId="3" fillId="0" borderId="0"/>
    <xf numFmtId="164" fontId="3" fillId="0" borderId="0" applyFont="0" applyFill="0" applyBorder="0" applyAlignment="0" applyProtection="0"/>
    <xf numFmtId="0" fontId="3" fillId="0" borderId="0"/>
    <xf numFmtId="0" fontId="29" fillId="0" borderId="0"/>
    <xf numFmtId="0" fontId="3" fillId="0" borderId="0"/>
    <xf numFmtId="0" fontId="29" fillId="0" borderId="0"/>
    <xf numFmtId="0" fontId="3" fillId="0" borderId="0"/>
    <xf numFmtId="0" fontId="145" fillId="0" borderId="0"/>
    <xf numFmtId="0" fontId="29" fillId="0" borderId="0"/>
    <xf numFmtId="0" fontId="145" fillId="0" borderId="0"/>
    <xf numFmtId="0" fontId="31" fillId="0" borderId="0"/>
    <xf numFmtId="0" fontId="145" fillId="0" borderId="0"/>
    <xf numFmtId="0" fontId="145" fillId="0" borderId="0"/>
    <xf numFmtId="0" fontId="29" fillId="0" borderId="0"/>
    <xf numFmtId="0" fontId="31" fillId="0" borderId="0"/>
    <xf numFmtId="0" fontId="29"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9" fontId="29" fillId="0" borderId="0" applyFont="0" applyFill="0" applyBorder="0" applyAlignment="0" applyProtection="0"/>
    <xf numFmtId="0" fontId="3" fillId="0" borderId="0"/>
    <xf numFmtId="0" fontId="3" fillId="0" borderId="0"/>
    <xf numFmtId="0" fontId="3" fillId="0" borderId="0"/>
    <xf numFmtId="0" fontId="31" fillId="0" borderId="0"/>
    <xf numFmtId="0" fontId="146" fillId="0" borderId="0" applyNumberFormat="0" applyFill="0" applyBorder="0" applyAlignment="0" applyProtection="0">
      <alignment vertical="top"/>
      <protection locked="0"/>
    </xf>
    <xf numFmtId="0" fontId="23" fillId="0" borderId="0"/>
    <xf numFmtId="44" fontId="23" fillId="0" borderId="0" applyFont="0" applyFill="0" applyBorder="0" applyAlignment="0" applyProtection="0"/>
    <xf numFmtId="9" fontId="23"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9" fontId="23"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3" fillId="0" borderId="0"/>
    <xf numFmtId="44" fontId="23" fillId="0" borderId="0" applyFont="0" applyFill="0" applyBorder="0" applyAlignment="0" applyProtection="0"/>
    <xf numFmtId="9" fontId="23" fillId="0" borderId="0" applyFont="0" applyFill="0" applyBorder="0" applyAlignment="0" applyProtection="0"/>
    <xf numFmtId="44" fontId="23" fillId="0" borderId="0" applyFont="0" applyFill="0" applyBorder="0" applyAlignment="0" applyProtection="0"/>
    <xf numFmtId="0" fontId="23"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9"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9"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6"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3" fillId="0" borderId="0"/>
  </cellStyleXfs>
  <cellXfs count="868">
    <xf numFmtId="0" fontId="0" fillId="0" borderId="0" xfId="0"/>
    <xf numFmtId="0" fontId="31" fillId="38" borderId="0" xfId="4" applyFont="1" applyFill="1"/>
    <xf numFmtId="0" fontId="151" fillId="38" borderId="0" xfId="4" applyFont="1" applyFill="1"/>
    <xf numFmtId="0" fontId="152" fillId="36" borderId="0" xfId="4" applyFont="1" applyFill="1"/>
    <xf numFmtId="0" fontId="153" fillId="36" borderId="0" xfId="4" applyFont="1" applyFill="1"/>
    <xf numFmtId="0" fontId="31" fillId="5" borderId="0" xfId="4" applyFont="1" applyFill="1"/>
    <xf numFmtId="0" fontId="23" fillId="0" borderId="0" xfId="4"/>
    <xf numFmtId="0" fontId="108" fillId="5" borderId="0" xfId="4" applyFont="1" applyFill="1"/>
    <xf numFmtId="0" fontId="31" fillId="5" borderId="0" xfId="4" quotePrefix="1" applyFont="1" applyFill="1"/>
    <xf numFmtId="0" fontId="154" fillId="5" borderId="0" xfId="496" applyFont="1" applyFill="1"/>
    <xf numFmtId="0" fontId="155" fillId="0" borderId="0" xfId="0" applyFont="1" applyAlignment="1">
      <alignment horizontal="left"/>
    </xf>
    <xf numFmtId="0" fontId="30" fillId="2" borderId="0" xfId="0" applyFont="1" applyFill="1"/>
    <xf numFmtId="0" fontId="30" fillId="2" borderId="0" xfId="0" applyFont="1" applyFill="1" applyAlignment="1">
      <alignment horizontal="right"/>
    </xf>
    <xf numFmtId="0" fontId="30" fillId="0" borderId="0" xfId="0" applyFont="1" applyAlignment="1">
      <alignment horizontal="right"/>
    </xf>
    <xf numFmtId="0" fontId="47" fillId="0" borderId="0" xfId="0" applyFont="1"/>
    <xf numFmtId="0" fontId="108" fillId="3" borderId="0" xfId="0" applyFont="1" applyFill="1"/>
    <xf numFmtId="17" fontId="108" fillId="3" borderId="0" xfId="0" applyNumberFormat="1" applyFont="1" applyFill="1" applyAlignment="1">
      <alignment horizontal="right"/>
    </xf>
    <xf numFmtId="17" fontId="108" fillId="0" borderId="0" xfId="0" applyNumberFormat="1" applyFont="1" applyAlignment="1">
      <alignment horizontal="right"/>
    </xf>
    <xf numFmtId="0" fontId="53" fillId="0" borderId="0" xfId="0" applyFont="1"/>
    <xf numFmtId="0" fontId="108" fillId="3" borderId="0" xfId="0" applyFont="1" applyFill="1" applyAlignment="1">
      <alignment horizontal="right"/>
    </xf>
    <xf numFmtId="0" fontId="108" fillId="0" borderId="0" xfId="0" applyFont="1" applyAlignment="1">
      <alignment horizontal="right"/>
    </xf>
    <xf numFmtId="2" fontId="108" fillId="3" borderId="0" xfId="0" applyNumberFormat="1" applyFont="1" applyFill="1" applyAlignment="1">
      <alignment horizontal="right"/>
    </xf>
    <xf numFmtId="4" fontId="31" fillId="0" borderId="0" xfId="0" applyNumberFormat="1" applyFont="1"/>
    <xf numFmtId="0" fontId="31" fillId="0" borderId="0" xfId="0" applyFont="1"/>
    <xf numFmtId="4" fontId="31" fillId="0" borderId="0" xfId="0" applyNumberFormat="1" applyFont="1" applyAlignment="1">
      <alignment horizontal="right"/>
    </xf>
    <xf numFmtId="222" fontId="31" fillId="0" borderId="0" xfId="0" applyNumberFormat="1" applyFont="1" applyAlignment="1">
      <alignment horizontal="right"/>
    </xf>
    <xf numFmtId="0" fontId="108" fillId="2" borderId="0" xfId="0" applyFont="1" applyFill="1" applyAlignment="1">
      <alignment horizontal="right"/>
    </xf>
    <xf numFmtId="0" fontId="31" fillId="0" borderId="0" xfId="0" applyFont="1" applyAlignment="1">
      <alignment horizontal="right"/>
    </xf>
    <xf numFmtId="0" fontId="108" fillId="0" borderId="0" xfId="0" applyFont="1"/>
    <xf numFmtId="0" fontId="33" fillId="0" borderId="0" xfId="0" applyFont="1"/>
    <xf numFmtId="0" fontId="156" fillId="0" borderId="0" xfId="0" applyFont="1" applyAlignment="1">
      <alignment horizontal="right"/>
    </xf>
    <xf numFmtId="0" fontId="156" fillId="0" borderId="0" xfId="0" applyFont="1"/>
    <xf numFmtId="0" fontId="157" fillId="0" borderId="0" xfId="0" applyFont="1"/>
    <xf numFmtId="0" fontId="157" fillId="0" borderId="0" xfId="0" applyFont="1" applyAlignment="1">
      <alignment horizontal="right"/>
    </xf>
    <xf numFmtId="169" fontId="157" fillId="0" borderId="0" xfId="0" applyNumberFormat="1" applyFont="1" applyAlignment="1">
      <alignment horizontal="right"/>
    </xf>
    <xf numFmtId="0" fontId="158" fillId="0" borderId="0" xfId="0" applyFont="1"/>
    <xf numFmtId="0" fontId="159" fillId="0" borderId="0" xfId="0" applyFont="1" applyAlignment="1">
      <alignment horizontal="right"/>
    </xf>
    <xf numFmtId="169" fontId="159" fillId="0" borderId="0" xfId="0" applyNumberFormat="1" applyFont="1" applyAlignment="1">
      <alignment horizontal="right"/>
    </xf>
    <xf numFmtId="0" fontId="159" fillId="0" borderId="0" xfId="0" applyFont="1"/>
    <xf numFmtId="169" fontId="31" fillId="0" borderId="0" xfId="0" applyNumberFormat="1" applyFont="1" applyAlignment="1">
      <alignment horizontal="right"/>
    </xf>
    <xf numFmtId="0" fontId="30" fillId="0" borderId="0" xfId="0" applyFont="1"/>
    <xf numFmtId="223" fontId="33" fillId="0" borderId="0" xfId="501" applyNumberFormat="1" applyFont="1"/>
    <xf numFmtId="166" fontId="31" fillId="0" borderId="0" xfId="0" applyNumberFormat="1" applyFont="1"/>
    <xf numFmtId="227" fontId="155" fillId="0" borderId="0" xfId="0" applyNumberFormat="1" applyFont="1" applyAlignment="1">
      <alignment horizontal="left"/>
    </xf>
    <xf numFmtId="227" fontId="31" fillId="0" borderId="0" xfId="0" applyNumberFormat="1" applyFont="1"/>
    <xf numFmtId="227" fontId="108" fillId="0" borderId="0" xfId="0" applyNumberFormat="1" applyFont="1"/>
    <xf numFmtId="227" fontId="33" fillId="0" borderId="0" xfId="501" applyNumberFormat="1" applyFont="1"/>
    <xf numFmtId="227" fontId="31" fillId="0" borderId="0" xfId="1" applyNumberFormat="1" applyFont="1" applyFill="1" applyBorder="1" applyAlignment="1">
      <alignment horizontal="right"/>
    </xf>
    <xf numFmtId="227" fontId="34" fillId="0" borderId="0" xfId="1" applyNumberFormat="1" applyFont="1" applyFill="1" applyBorder="1" applyAlignment="1">
      <alignment horizontal="right"/>
    </xf>
    <xf numFmtId="206" fontId="31" fillId="0" borderId="0" xfId="1" applyNumberFormat="1" applyFont="1" applyFill="1" applyBorder="1" applyAlignment="1">
      <alignment horizontal="right"/>
    </xf>
    <xf numFmtId="3" fontId="31" fillId="0" borderId="0" xfId="0" applyNumberFormat="1" applyFont="1"/>
    <xf numFmtId="169" fontId="31" fillId="0" borderId="0" xfId="0" applyNumberFormat="1" applyFont="1"/>
    <xf numFmtId="207" fontId="31" fillId="0" borderId="0" xfId="0" applyNumberFormat="1" applyFont="1" applyAlignment="1">
      <alignment horizontal="right"/>
    </xf>
    <xf numFmtId="206" fontId="31" fillId="0" borderId="0" xfId="1" applyNumberFormat="1" applyFont="1" applyAlignment="1">
      <alignment horizontal="right"/>
    </xf>
    <xf numFmtId="206" fontId="31" fillId="0" borderId="0" xfId="1" applyNumberFormat="1" applyFont="1" applyBorder="1" applyAlignment="1">
      <alignment horizontal="right"/>
    </xf>
    <xf numFmtId="168" fontId="31" fillId="0" borderId="0" xfId="0" applyNumberFormat="1" applyFont="1" applyAlignment="1">
      <alignment horizontal="right"/>
    </xf>
    <xf numFmtId="165" fontId="31" fillId="0" borderId="0" xfId="0" applyNumberFormat="1" applyFont="1" applyAlignment="1">
      <alignment horizontal="right"/>
    </xf>
    <xf numFmtId="0" fontId="155" fillId="0" borderId="0" xfId="0" applyFont="1"/>
    <xf numFmtId="0" fontId="31" fillId="0" borderId="0" xfId="0" applyFont="1" applyAlignment="1">
      <alignment horizontal="left" indent="2"/>
    </xf>
    <xf numFmtId="166" fontId="31" fillId="0" borderId="0" xfId="21" applyNumberFormat="1" applyFont="1" applyBorder="1" applyAlignment="1">
      <alignment horizontal="right"/>
    </xf>
    <xf numFmtId="0" fontId="108" fillId="0" borderId="0" xfId="0" applyFont="1" applyAlignment="1">
      <alignment horizontal="left"/>
    </xf>
    <xf numFmtId="0" fontId="31" fillId="0" borderId="0" xfId="0" applyFont="1" applyAlignment="1">
      <alignment horizontal="left"/>
    </xf>
    <xf numFmtId="166" fontId="31" fillId="0" borderId="0" xfId="0" applyNumberFormat="1" applyFont="1" applyAlignment="1">
      <alignment horizontal="right"/>
    </xf>
    <xf numFmtId="0" fontId="108" fillId="23" borderId="0" xfId="0" applyFont="1" applyFill="1" applyAlignment="1">
      <alignment horizontal="left"/>
    </xf>
    <xf numFmtId="0" fontId="31" fillId="23" borderId="0" xfId="0" applyFont="1" applyFill="1" applyAlignment="1">
      <alignment horizontal="left" indent="2"/>
    </xf>
    <xf numFmtId="0" fontId="31" fillId="23" borderId="0" xfId="0" applyFont="1" applyFill="1"/>
    <xf numFmtId="166" fontId="31" fillId="23" borderId="0" xfId="21" applyNumberFormat="1" applyFont="1" applyFill="1" applyBorder="1" applyAlignment="1">
      <alignment horizontal="right"/>
    </xf>
    <xf numFmtId="222" fontId="155" fillId="0" borderId="0" xfId="0" applyNumberFormat="1" applyFont="1"/>
    <xf numFmtId="222" fontId="31" fillId="0" borderId="0" xfId="0" applyNumberFormat="1" applyFont="1" applyAlignment="1">
      <alignment horizontal="left"/>
    </xf>
    <xf numFmtId="222" fontId="31" fillId="0" borderId="0" xfId="0" applyNumberFormat="1" applyFont="1" applyAlignment="1">
      <alignment horizontal="left" indent="2"/>
    </xf>
    <xf numFmtId="222" fontId="31" fillId="0" borderId="0" xfId="0" applyNumberFormat="1" applyFont="1"/>
    <xf numFmtId="222" fontId="31" fillId="0" borderId="0" xfId="1" applyNumberFormat="1" applyFont="1" applyFill="1" applyBorder="1"/>
    <xf numFmtId="3" fontId="31" fillId="0" borderId="0" xfId="1" applyNumberFormat="1" applyFont="1" applyFill="1" applyBorder="1"/>
    <xf numFmtId="3" fontId="31" fillId="0" borderId="0" xfId="0" applyNumberFormat="1" applyFont="1" applyAlignment="1">
      <alignment horizontal="right"/>
    </xf>
    <xf numFmtId="222" fontId="108" fillId="0" borderId="0" xfId="0" applyNumberFormat="1" applyFont="1" applyAlignment="1">
      <alignment horizontal="left" indent="2"/>
    </xf>
    <xf numFmtId="222" fontId="108" fillId="0" borderId="0" xfId="0" applyNumberFormat="1" applyFont="1"/>
    <xf numFmtId="3" fontId="108" fillId="0" borderId="0" xfId="1" applyNumberFormat="1" applyFont="1" applyFill="1" applyBorder="1"/>
    <xf numFmtId="3" fontId="108" fillId="0" borderId="0" xfId="0" applyNumberFormat="1" applyFont="1" applyAlignment="1">
      <alignment horizontal="right"/>
    </xf>
    <xf numFmtId="222" fontId="155" fillId="0" borderId="0" xfId="0" applyNumberFormat="1" applyFont="1" applyAlignment="1">
      <alignment horizontal="left"/>
    </xf>
    <xf numFmtId="222" fontId="108" fillId="0" borderId="0" xfId="0" applyNumberFormat="1" applyFont="1" applyAlignment="1">
      <alignment horizontal="left"/>
    </xf>
    <xf numFmtId="222" fontId="34" fillId="0" borderId="0" xfId="1" applyNumberFormat="1" applyFont="1" applyFill="1" applyBorder="1" applyAlignment="1">
      <alignment horizontal="right"/>
    </xf>
    <xf numFmtId="169" fontId="31" fillId="0" borderId="0" xfId="1" applyNumberFormat="1" applyFont="1" applyFill="1" applyBorder="1"/>
    <xf numFmtId="166" fontId="31" fillId="0" borderId="0" xfId="2" applyNumberFormat="1" applyFont="1" applyFill="1"/>
    <xf numFmtId="166" fontId="31" fillId="0" borderId="0" xfId="21" applyNumberFormat="1" applyFont="1" applyFill="1" applyBorder="1" applyAlignment="1">
      <alignment horizontal="right"/>
    </xf>
    <xf numFmtId="15" fontId="31" fillId="0" borderId="0" xfId="0" applyNumberFormat="1" applyFont="1"/>
    <xf numFmtId="0" fontId="155" fillId="0" borderId="0" xfId="11169" applyFont="1" applyAlignment="1">
      <alignment horizontal="left"/>
    </xf>
    <xf numFmtId="222" fontId="108" fillId="0" borderId="0" xfId="1" applyNumberFormat="1" applyFont="1" applyFill="1" applyBorder="1"/>
    <xf numFmtId="169" fontId="108" fillId="0" borderId="0" xfId="1" applyNumberFormat="1" applyFont="1" applyFill="1" applyBorder="1"/>
    <xf numFmtId="222" fontId="108" fillId="0" borderId="0" xfId="0" applyNumberFormat="1" applyFont="1" applyAlignment="1">
      <alignment horizontal="right"/>
    </xf>
    <xf numFmtId="169" fontId="108" fillId="0" borderId="0" xfId="0" applyNumberFormat="1" applyFont="1" applyAlignment="1">
      <alignment horizontal="right"/>
    </xf>
    <xf numFmtId="0" fontId="161" fillId="0" borderId="0" xfId="0" applyFont="1"/>
    <xf numFmtId="0" fontId="108" fillId="0" borderId="0" xfId="0" applyFont="1" applyAlignment="1">
      <alignment horizontal="left" indent="2"/>
    </xf>
    <xf numFmtId="168" fontId="108" fillId="0" borderId="0" xfId="0" applyNumberFormat="1" applyFont="1" applyAlignment="1">
      <alignment horizontal="right"/>
    </xf>
    <xf numFmtId="222" fontId="108" fillId="0" borderId="0" xfId="501" applyNumberFormat="1" applyFont="1"/>
    <xf numFmtId="166" fontId="108" fillId="0" borderId="0" xfId="21" applyNumberFormat="1" applyFont="1" applyFill="1" applyBorder="1" applyAlignment="1">
      <alignment horizontal="right"/>
    </xf>
    <xf numFmtId="222" fontId="108" fillId="23" borderId="0" xfId="0" applyNumberFormat="1" applyFont="1" applyFill="1" applyAlignment="1">
      <alignment horizontal="left"/>
    </xf>
    <xf numFmtId="222" fontId="31" fillId="23" borderId="0" xfId="0" applyNumberFormat="1" applyFont="1" applyFill="1" applyAlignment="1">
      <alignment horizontal="left" indent="2"/>
    </xf>
    <xf numFmtId="222" fontId="31" fillId="23" borderId="0" xfId="0" applyNumberFormat="1" applyFont="1" applyFill="1"/>
    <xf numFmtId="222" fontId="31" fillId="23" borderId="0" xfId="21" applyNumberFormat="1" applyFont="1" applyFill="1" applyBorder="1" applyAlignment="1">
      <alignment horizontal="right"/>
    </xf>
    <xf numFmtId="222" fontId="34" fillId="0" borderId="0" xfId="1" applyNumberFormat="1" applyFont="1" applyBorder="1" applyAlignment="1">
      <alignment horizontal="right"/>
    </xf>
    <xf numFmtId="222" fontId="108" fillId="0" borderId="0" xfId="501" applyNumberFormat="1" applyFont="1" applyAlignment="1">
      <alignment horizontal="right"/>
    </xf>
    <xf numFmtId="222" fontId="31" fillId="0" borderId="0" xfId="501" applyNumberFormat="1" applyFont="1"/>
    <xf numFmtId="222" fontId="34" fillId="0" borderId="0" xfId="0" applyNumberFormat="1" applyFont="1"/>
    <xf numFmtId="226" fontId="155" fillId="0" borderId="0" xfId="0" applyNumberFormat="1" applyFont="1" applyAlignment="1">
      <alignment horizontal="left"/>
    </xf>
    <xf numFmtId="226" fontId="31" fillId="0" borderId="0" xfId="0" applyNumberFormat="1" applyFont="1"/>
    <xf numFmtId="226" fontId="34" fillId="0" borderId="0" xfId="0" applyNumberFormat="1" applyFont="1"/>
    <xf numFmtId="226" fontId="108" fillId="0" borderId="0" xfId="0" applyNumberFormat="1" applyFont="1"/>
    <xf numFmtId="169" fontId="34" fillId="0" borderId="0" xfId="0" applyNumberFormat="1" applyFont="1"/>
    <xf numFmtId="226" fontId="34" fillId="0" borderId="0" xfId="501" applyNumberFormat="1" applyFont="1"/>
    <xf numFmtId="169" fontId="34" fillId="0" borderId="0" xfId="0" applyNumberFormat="1" applyFont="1" applyAlignment="1">
      <alignment horizontal="right"/>
    </xf>
    <xf numFmtId="222" fontId="163" fillId="0" borderId="0" xfId="0" applyNumberFormat="1" applyFont="1" applyAlignment="1">
      <alignment horizontal="right"/>
    </xf>
    <xf numFmtId="222" fontId="163" fillId="0" borderId="0" xfId="0" applyNumberFormat="1" applyFont="1"/>
    <xf numFmtId="222" fontId="108" fillId="0" borderId="0" xfId="1" applyNumberFormat="1" applyFont="1" applyFill="1" applyBorder="1" applyAlignment="1">
      <alignment horizontal="right"/>
    </xf>
    <xf numFmtId="206" fontId="163" fillId="0" borderId="0" xfId="0" applyNumberFormat="1" applyFont="1" applyAlignment="1">
      <alignment horizontal="right"/>
    </xf>
    <xf numFmtId="206" fontId="108" fillId="0" borderId="0" xfId="0" applyNumberFormat="1" applyFont="1" applyAlignment="1">
      <alignment horizontal="right"/>
    </xf>
    <xf numFmtId="222" fontId="34" fillId="0" borderId="0" xfId="0" applyNumberFormat="1" applyFont="1" applyAlignment="1">
      <alignment horizontal="right"/>
    </xf>
    <xf numFmtId="222" fontId="34" fillId="0" borderId="0" xfId="501" applyNumberFormat="1" applyFont="1"/>
    <xf numFmtId="222" fontId="163" fillId="0" borderId="0" xfId="501" applyNumberFormat="1" applyFont="1"/>
    <xf numFmtId="169" fontId="108" fillId="0" borderId="0" xfId="501" applyNumberFormat="1" applyFont="1"/>
    <xf numFmtId="169" fontId="108" fillId="0" borderId="0" xfId="0" applyNumberFormat="1" applyFont="1"/>
    <xf numFmtId="169" fontId="31" fillId="0" borderId="0" xfId="1" applyNumberFormat="1" applyFont="1" applyFill="1" applyBorder="1" applyAlignment="1">
      <alignment horizontal="right"/>
    </xf>
    <xf numFmtId="0" fontId="31" fillId="36" borderId="0" xfId="0" applyFont="1" applyFill="1" applyAlignment="1">
      <alignment horizontal="left" indent="1"/>
    </xf>
    <xf numFmtId="0" fontId="31" fillId="36" borderId="0" xfId="0" quotePrefix="1" applyFont="1" applyFill="1" applyAlignment="1">
      <alignment horizontal="right"/>
    </xf>
    <xf numFmtId="169" fontId="31" fillId="36" borderId="0" xfId="0" quotePrefix="1" applyNumberFormat="1" applyFont="1" applyFill="1" applyAlignment="1">
      <alignment horizontal="right"/>
    </xf>
    <xf numFmtId="169" fontId="30" fillId="0" borderId="0" xfId="0" applyNumberFormat="1" applyFont="1" applyAlignment="1">
      <alignment horizontal="right"/>
    </xf>
    <xf numFmtId="169" fontId="30" fillId="2" borderId="0" xfId="0" applyNumberFormat="1" applyFont="1" applyFill="1" applyAlignment="1">
      <alignment horizontal="right"/>
    </xf>
    <xf numFmtId="169" fontId="108" fillId="2" borderId="0" xfId="0" applyNumberFormat="1" applyFont="1" applyFill="1" applyAlignment="1">
      <alignment horizontal="right"/>
    </xf>
    <xf numFmtId="166" fontId="155" fillId="0" borderId="0" xfId="0" applyNumberFormat="1" applyFont="1" applyAlignment="1">
      <alignment horizontal="left"/>
    </xf>
    <xf numFmtId="166" fontId="31" fillId="0" borderId="0" xfId="501" applyNumberFormat="1" applyFont="1"/>
    <xf numFmtId="166" fontId="45" fillId="0" borderId="0" xfId="0" applyNumberFormat="1" applyFont="1" applyAlignment="1">
      <alignment horizontal="right"/>
    </xf>
    <xf numFmtId="166" fontId="45" fillId="0" borderId="0" xfId="0" applyNumberFormat="1" applyFont="1"/>
    <xf numFmtId="2" fontId="31" fillId="0" borderId="0" xfId="0" applyNumberFormat="1" applyFont="1" applyAlignment="1">
      <alignment horizontal="right"/>
    </xf>
    <xf numFmtId="208" fontId="31" fillId="0" borderId="0" xfId="0" applyNumberFormat="1" applyFont="1" applyAlignment="1">
      <alignment horizontal="right"/>
    </xf>
    <xf numFmtId="166" fontId="31" fillId="0" borderId="0" xfId="21" applyNumberFormat="1" applyFont="1" applyFill="1"/>
    <xf numFmtId="43" fontId="31" fillId="0" borderId="0" xfId="0" applyNumberFormat="1" applyFont="1"/>
    <xf numFmtId="43" fontId="31" fillId="0" borderId="0" xfId="0" applyNumberFormat="1" applyFont="1" applyAlignment="1">
      <alignment horizontal="right"/>
    </xf>
    <xf numFmtId="43" fontId="31" fillId="0" borderId="0" xfId="1" applyFont="1" applyFill="1" applyBorder="1" applyAlignment="1">
      <alignment horizontal="right"/>
    </xf>
    <xf numFmtId="1" fontId="31" fillId="0" borderId="0" xfId="0" applyNumberFormat="1" applyFont="1" applyAlignment="1">
      <alignment horizontal="right"/>
    </xf>
    <xf numFmtId="207" fontId="31" fillId="0" borderId="0" xfId="1" applyNumberFormat="1" applyFont="1" applyBorder="1"/>
    <xf numFmtId="0" fontId="34" fillId="0" borderId="0" xfId="0" applyFont="1"/>
    <xf numFmtId="3" fontId="108" fillId="0" borderId="0" xfId="1" applyNumberFormat="1" applyFont="1" applyFill="1" applyBorder="1" applyAlignment="1">
      <alignment horizontal="right"/>
    </xf>
    <xf numFmtId="222" fontId="31" fillId="0" borderId="0" xfId="1" applyNumberFormat="1" applyFont="1" applyFill="1" applyBorder="1" applyAlignment="1">
      <alignment horizontal="right"/>
    </xf>
    <xf numFmtId="3" fontId="108" fillId="0" borderId="0" xfId="0" applyNumberFormat="1" applyFont="1"/>
    <xf numFmtId="0" fontId="31" fillId="5" borderId="2" xfId="0" applyFont="1" applyFill="1" applyBorder="1"/>
    <xf numFmtId="0" fontId="31" fillId="5" borderId="3" xfId="0" applyFont="1" applyFill="1" applyBorder="1" applyAlignment="1">
      <alignment horizontal="right"/>
    </xf>
    <xf numFmtId="0" fontId="31" fillId="5" borderId="3" xfId="0" applyFont="1" applyFill="1" applyBorder="1"/>
    <xf numFmtId="15" fontId="158" fillId="5" borderId="8" xfId="0" applyNumberFormat="1" applyFont="1" applyFill="1" applyBorder="1" applyAlignment="1">
      <alignment horizontal="right"/>
    </xf>
    <xf numFmtId="0" fontId="31" fillId="5" borderId="4" xfId="0" applyFont="1" applyFill="1" applyBorder="1"/>
    <xf numFmtId="0" fontId="31" fillId="5" borderId="0" xfId="0" applyFont="1" applyFill="1" applyAlignment="1">
      <alignment horizontal="right"/>
    </xf>
    <xf numFmtId="0" fontId="31" fillId="5" borderId="0" xfId="0" applyFont="1" applyFill="1"/>
    <xf numFmtId="166" fontId="158" fillId="5" borderId="1" xfId="4264" applyNumberFormat="1" applyFont="1" applyFill="1" applyBorder="1" applyAlignment="1">
      <alignment horizontal="right"/>
    </xf>
    <xf numFmtId="167" fontId="158" fillId="0" borderId="0" xfId="0" applyNumberFormat="1" applyFont="1" applyAlignment="1">
      <alignment horizontal="right"/>
    </xf>
    <xf numFmtId="170" fontId="158" fillId="0" borderId="0" xfId="2" applyNumberFormat="1" applyFont="1" applyFill="1" applyBorder="1" applyAlignment="1">
      <alignment horizontal="right"/>
    </xf>
    <xf numFmtId="0" fontId="157" fillId="5" borderId="0" xfId="0" applyFont="1" applyFill="1" applyAlignment="1">
      <alignment horizontal="right"/>
    </xf>
    <xf numFmtId="2" fontId="157" fillId="5" borderId="1" xfId="0" applyNumberFormat="1" applyFont="1" applyFill="1" applyBorder="1" applyAlignment="1">
      <alignment horizontal="right"/>
    </xf>
    <xf numFmtId="15" fontId="31" fillId="5" borderId="0" xfId="0" applyNumberFormat="1" applyFont="1" applyFill="1" applyAlignment="1">
      <alignment horizontal="right"/>
    </xf>
    <xf numFmtId="177" fontId="31" fillId="5" borderId="1" xfId="21" applyNumberFormat="1" applyFont="1" applyFill="1" applyBorder="1" applyAlignment="1">
      <alignment horizontal="right"/>
    </xf>
    <xf numFmtId="0" fontId="31" fillId="5" borderId="5" xfId="0" applyFont="1" applyFill="1" applyBorder="1"/>
    <xf numFmtId="15" fontId="31" fillId="5" borderId="6" xfId="0" applyNumberFormat="1" applyFont="1" applyFill="1" applyBorder="1" applyAlignment="1">
      <alignment horizontal="right"/>
    </xf>
    <xf numFmtId="0" fontId="31" fillId="5" borderId="6" xfId="0" applyFont="1" applyFill="1" applyBorder="1"/>
    <xf numFmtId="0" fontId="31" fillId="5" borderId="6" xfId="0" applyFont="1" applyFill="1" applyBorder="1" applyAlignment="1">
      <alignment horizontal="right"/>
    </xf>
    <xf numFmtId="177" fontId="157" fillId="5" borderId="7" xfId="21" applyNumberFormat="1" applyFont="1" applyFill="1" applyBorder="1" applyAlignment="1">
      <alignment horizontal="right"/>
    </xf>
    <xf numFmtId="2" fontId="31" fillId="0" borderId="0" xfId="0" applyNumberFormat="1" applyFont="1"/>
    <xf numFmtId="0" fontId="45" fillId="2" borderId="0" xfId="0" applyFont="1" applyFill="1"/>
    <xf numFmtId="169" fontId="108" fillId="0" borderId="0" xfId="1" applyNumberFormat="1" applyFont="1" applyFill="1" applyBorder="1" applyAlignment="1">
      <alignment horizontal="right"/>
    </xf>
    <xf numFmtId="0" fontId="45" fillId="0" borderId="0" xfId="0" applyFont="1"/>
    <xf numFmtId="0" fontId="166" fillId="0" borderId="0" xfId="0" applyFont="1"/>
    <xf numFmtId="0" fontId="165" fillId="0" borderId="0" xfId="0" applyFont="1" applyAlignment="1">
      <alignment horizontal="right"/>
    </xf>
    <xf numFmtId="168" fontId="31" fillId="0" borderId="0" xfId="0" applyNumberFormat="1" applyFont="1"/>
    <xf numFmtId="43" fontId="31" fillId="0" borderId="0" xfId="1" applyFont="1" applyBorder="1"/>
    <xf numFmtId="0" fontId="150" fillId="0" borderId="0" xfId="0" applyFont="1"/>
    <xf numFmtId="168" fontId="34" fillId="0" borderId="0" xfId="0" applyNumberFormat="1" applyFont="1"/>
    <xf numFmtId="1" fontId="31" fillId="0" borderId="0" xfId="0" applyNumberFormat="1" applyFont="1"/>
    <xf numFmtId="208" fontId="31" fillId="0" borderId="0" xfId="0" applyNumberFormat="1" applyFont="1"/>
    <xf numFmtId="2" fontId="34" fillId="0" borderId="0" xfId="0" applyNumberFormat="1" applyFont="1"/>
    <xf numFmtId="2" fontId="108" fillId="0" borderId="0" xfId="0" applyNumberFormat="1" applyFont="1" applyAlignment="1">
      <alignment horizontal="right"/>
    </xf>
    <xf numFmtId="2" fontId="155" fillId="0" borderId="0" xfId="0" applyNumberFormat="1" applyFont="1"/>
    <xf numFmtId="168" fontId="108" fillId="0" borderId="0" xfId="1" applyNumberFormat="1" applyFont="1" applyFill="1" applyBorder="1"/>
    <xf numFmtId="168" fontId="31" fillId="0" borderId="0" xfId="1" applyNumberFormat="1" applyFont="1" applyFill="1" applyBorder="1"/>
    <xf numFmtId="1" fontId="108" fillId="0" borderId="0" xfId="0" applyNumberFormat="1" applyFont="1"/>
    <xf numFmtId="9" fontId="155" fillId="0" borderId="0" xfId="2" applyFont="1" applyFill="1" applyAlignment="1">
      <alignment horizontal="left"/>
    </xf>
    <xf numFmtId="168" fontId="34" fillId="0" borderId="0" xfId="0" applyNumberFormat="1" applyFont="1" applyAlignment="1">
      <alignment horizontal="right"/>
    </xf>
    <xf numFmtId="168" fontId="150" fillId="0" borderId="0" xfId="0" applyNumberFormat="1" applyFont="1" applyAlignment="1">
      <alignment horizontal="right"/>
    </xf>
    <xf numFmtId="168" fontId="150" fillId="0" borderId="0" xfId="0" applyNumberFormat="1" applyFont="1"/>
    <xf numFmtId="2" fontId="31" fillId="0" borderId="0" xfId="21" applyNumberFormat="1" applyFont="1" applyFill="1" applyBorder="1" applyAlignment="1">
      <alignment horizontal="right"/>
    </xf>
    <xf numFmtId="2" fontId="108" fillId="0" borderId="0" xfId="0" applyNumberFormat="1" applyFont="1" applyAlignment="1">
      <alignment horizontal="left"/>
    </xf>
    <xf numFmtId="2" fontId="31" fillId="0" borderId="0" xfId="0" applyNumberFormat="1" applyFont="1" applyAlignment="1">
      <alignment horizontal="left"/>
    </xf>
    <xf numFmtId="3" fontId="34" fillId="0" borderId="0" xfId="0" applyNumberFormat="1" applyFont="1"/>
    <xf numFmtId="2" fontId="34" fillId="0" borderId="0" xfId="0" applyNumberFormat="1" applyFont="1" applyAlignment="1">
      <alignment horizontal="right"/>
    </xf>
    <xf numFmtId="7" fontId="31" fillId="0" borderId="0" xfId="0" applyNumberFormat="1" applyFont="1"/>
    <xf numFmtId="8" fontId="34" fillId="0" borderId="0" xfId="0" applyNumberFormat="1" applyFont="1"/>
    <xf numFmtId="227" fontId="160" fillId="0" borderId="0" xfId="1" applyNumberFormat="1" applyFont="1" applyFill="1" applyBorder="1" applyAlignment="1">
      <alignment horizontal="right"/>
    </xf>
    <xf numFmtId="7" fontId="31" fillId="0" borderId="0" xfId="4263" applyNumberFormat="1" applyFont="1" applyFill="1" applyBorder="1" applyAlignment="1">
      <alignment horizontal="right"/>
    </xf>
    <xf numFmtId="208" fontId="150" fillId="0" borderId="0" xfId="0" applyNumberFormat="1" applyFont="1"/>
    <xf numFmtId="222" fontId="163" fillId="0" borderId="0" xfId="1" applyNumberFormat="1" applyFont="1" applyBorder="1" applyAlignment="1">
      <alignment horizontal="right"/>
    </xf>
    <xf numFmtId="169" fontId="150" fillId="0" borderId="0" xfId="0" applyNumberFormat="1" applyFont="1" applyAlignment="1">
      <alignment horizontal="right"/>
    </xf>
    <xf numFmtId="168" fontId="31" fillId="0" borderId="0" xfId="1" applyNumberFormat="1" applyFont="1" applyFill="1" applyBorder="1" applyAlignment="1">
      <alignment horizontal="right"/>
    </xf>
    <xf numFmtId="228" fontId="31" fillId="0" borderId="0" xfId="1" applyNumberFormat="1" applyFont="1" applyFill="1" applyBorder="1" applyAlignment="1">
      <alignment horizontal="right"/>
    </xf>
    <xf numFmtId="168" fontId="108" fillId="0" borderId="0" xfId="1" applyNumberFormat="1" applyFont="1" applyFill="1" applyBorder="1" applyAlignment="1">
      <alignment horizontal="right"/>
    </xf>
    <xf numFmtId="9" fontId="31" fillId="0" borderId="0" xfId="0" applyNumberFormat="1" applyFont="1"/>
    <xf numFmtId="168" fontId="108" fillId="0" borderId="0" xfId="0" applyNumberFormat="1" applyFont="1"/>
    <xf numFmtId="222" fontId="163" fillId="0" borderId="0" xfId="1" applyNumberFormat="1" applyFont="1" applyFill="1" applyBorder="1" applyAlignment="1">
      <alignment horizontal="right"/>
    </xf>
    <xf numFmtId="208" fontId="34" fillId="0" borderId="0" xfId="0" applyNumberFormat="1" applyFont="1"/>
    <xf numFmtId="230" fontId="31" fillId="0" borderId="0" xfId="0" applyNumberFormat="1" applyFont="1"/>
    <xf numFmtId="207" fontId="31" fillId="0" borderId="0" xfId="0" applyNumberFormat="1" applyFont="1"/>
    <xf numFmtId="2" fontId="34" fillId="0" borderId="0" xfId="21" applyNumberFormat="1" applyFont="1" applyFill="1" applyBorder="1" applyAlignment="1">
      <alignment horizontal="right"/>
    </xf>
    <xf numFmtId="2" fontId="150" fillId="0" borderId="0" xfId="0" applyNumberFormat="1" applyFont="1"/>
    <xf numFmtId="168" fontId="163" fillId="0" borderId="0" xfId="0" applyNumberFormat="1" applyFont="1"/>
    <xf numFmtId="228" fontId="108" fillId="0" borderId="0" xfId="1" applyNumberFormat="1" applyFont="1" applyFill="1" applyBorder="1" applyAlignment="1">
      <alignment horizontal="right"/>
    </xf>
    <xf numFmtId="2" fontId="108" fillId="0" borderId="0" xfId="0" applyNumberFormat="1" applyFont="1"/>
    <xf numFmtId="208" fontId="108" fillId="0" borderId="0" xfId="0" applyNumberFormat="1" applyFont="1"/>
    <xf numFmtId="229" fontId="31" fillId="0" borderId="0" xfId="0" applyNumberFormat="1" applyFont="1" applyAlignment="1">
      <alignment horizontal="right"/>
    </xf>
    <xf numFmtId="0" fontId="168" fillId="0" borderId="0" xfId="0" applyFont="1"/>
    <xf numFmtId="168" fontId="169" fillId="0" borderId="0" xfId="0" applyNumberFormat="1" applyFont="1"/>
    <xf numFmtId="2" fontId="163" fillId="0" borderId="0" xfId="0" applyNumberFormat="1" applyFont="1"/>
    <xf numFmtId="15" fontId="108" fillId="0" borderId="0" xfId="0" applyNumberFormat="1" applyFont="1"/>
    <xf numFmtId="2" fontId="31" fillId="39" borderId="0" xfId="0" applyNumberFormat="1" applyFont="1" applyFill="1"/>
    <xf numFmtId="208" fontId="31" fillId="0" borderId="0" xfId="1" applyNumberFormat="1" applyFont="1" applyFill="1" applyBorder="1"/>
    <xf numFmtId="4" fontId="34" fillId="0" borderId="0" xfId="0" applyNumberFormat="1" applyFont="1" applyAlignment="1">
      <alignment horizontal="right"/>
    </xf>
    <xf numFmtId="231" fontId="108" fillId="0" borderId="0" xfId="1" applyNumberFormat="1" applyFont="1" applyFill="1" applyBorder="1" applyAlignment="1">
      <alignment horizontal="right"/>
    </xf>
    <xf numFmtId="1" fontId="34" fillId="0" borderId="0" xfId="0" applyNumberFormat="1" applyFont="1" applyAlignment="1">
      <alignment horizontal="right"/>
    </xf>
    <xf numFmtId="2" fontId="160" fillId="0" borderId="0" xfId="0" applyNumberFormat="1" applyFont="1"/>
    <xf numFmtId="168" fontId="155" fillId="0" borderId="0" xfId="0" applyNumberFormat="1" applyFont="1"/>
    <xf numFmtId="168" fontId="161" fillId="0" borderId="0" xfId="0" applyNumberFormat="1" applyFont="1"/>
    <xf numFmtId="2" fontId="31" fillId="0" borderId="0" xfId="1" applyNumberFormat="1" applyFont="1" applyFill="1" applyBorder="1" applyAlignment="1">
      <alignment horizontal="right"/>
    </xf>
    <xf numFmtId="2" fontId="155" fillId="0" borderId="0" xfId="0" applyNumberFormat="1" applyFont="1" applyAlignment="1">
      <alignment horizontal="left"/>
    </xf>
    <xf numFmtId="2" fontId="108" fillId="0" borderId="0" xfId="1" applyNumberFormat="1" applyFont="1" applyFill="1" applyBorder="1" applyAlignment="1">
      <alignment horizontal="right"/>
    </xf>
    <xf numFmtId="2" fontId="161" fillId="0" borderId="0" xfId="0" applyNumberFormat="1" applyFont="1"/>
    <xf numFmtId="169" fontId="155" fillId="0" borderId="0" xfId="0" applyNumberFormat="1" applyFont="1" applyAlignment="1">
      <alignment horizontal="left"/>
    </xf>
    <xf numFmtId="169" fontId="163" fillId="0" borderId="0" xfId="0" applyNumberFormat="1" applyFont="1"/>
    <xf numFmtId="166" fontId="31" fillId="0" borderId="0" xfId="4264" applyNumberFormat="1" applyFont="1" applyBorder="1" applyAlignment="1">
      <alignment horizontal="right"/>
    </xf>
    <xf numFmtId="7" fontId="31" fillId="0" borderId="0" xfId="4263" applyNumberFormat="1" applyFont="1" applyBorder="1" applyAlignment="1">
      <alignment horizontal="right"/>
    </xf>
    <xf numFmtId="169" fontId="160" fillId="0" borderId="0" xfId="1" applyNumberFormat="1" applyFont="1" applyFill="1" applyBorder="1" applyAlignment="1">
      <alignment horizontal="right"/>
    </xf>
    <xf numFmtId="165" fontId="31" fillId="4" borderId="0" xfId="0" applyNumberFormat="1" applyFont="1" applyFill="1" applyAlignment="1">
      <alignment horizontal="right"/>
    </xf>
    <xf numFmtId="2" fontId="34" fillId="4" borderId="0" xfId="0" applyNumberFormat="1" applyFont="1" applyFill="1"/>
    <xf numFmtId="168" fontId="34" fillId="4" borderId="0" xfId="0" applyNumberFormat="1" applyFont="1" applyFill="1" applyAlignment="1">
      <alignment horizontal="right"/>
    </xf>
    <xf numFmtId="166" fontId="34" fillId="0" borderId="0" xfId="0" applyNumberFormat="1" applyFont="1" applyAlignment="1">
      <alignment horizontal="right"/>
    </xf>
    <xf numFmtId="168" fontId="45" fillId="0" borderId="0" xfId="0" applyNumberFormat="1" applyFont="1" applyAlignment="1">
      <alignment horizontal="right"/>
    </xf>
    <xf numFmtId="168" fontId="34" fillId="0" borderId="0" xfId="0" applyNumberFormat="1" applyFont="1" applyAlignment="1">
      <alignment wrapText="1"/>
    </xf>
    <xf numFmtId="165" fontId="108" fillId="0" borderId="0" xfId="0" applyNumberFormat="1" applyFont="1"/>
    <xf numFmtId="169" fontId="108" fillId="4" borderId="0" xfId="0" applyNumberFormat="1" applyFont="1" applyFill="1"/>
    <xf numFmtId="206" fontId="31" fillId="4" borderId="0" xfId="1" applyNumberFormat="1" applyFont="1" applyFill="1" applyBorder="1" applyAlignment="1">
      <alignment horizontal="right"/>
    </xf>
    <xf numFmtId="4" fontId="34" fillId="0" borderId="0" xfId="0" applyNumberFormat="1" applyFont="1"/>
    <xf numFmtId="0" fontId="1" fillId="0" borderId="0" xfId="0" applyFont="1"/>
    <xf numFmtId="10" fontId="31" fillId="0" borderId="0" xfId="0" applyNumberFormat="1" applyFont="1"/>
    <xf numFmtId="168" fontId="160" fillId="0" borderId="0" xfId="0" applyNumberFormat="1" applyFont="1" applyAlignment="1">
      <alignment horizontal="right"/>
    </xf>
    <xf numFmtId="208" fontId="155" fillId="0" borderId="0" xfId="0" applyNumberFormat="1" applyFont="1"/>
    <xf numFmtId="208" fontId="31" fillId="0" borderId="0" xfId="0" applyNumberFormat="1" applyFont="1" applyAlignment="1">
      <alignment horizontal="left"/>
    </xf>
    <xf numFmtId="208" fontId="31" fillId="0" borderId="0" xfId="0" applyNumberFormat="1" applyFont="1" applyAlignment="1">
      <alignment horizontal="left" indent="2"/>
    </xf>
    <xf numFmtId="208" fontId="31" fillId="0" borderId="0" xfId="21" applyNumberFormat="1" applyFont="1" applyFill="1" applyBorder="1" applyAlignment="1">
      <alignment horizontal="right"/>
    </xf>
    <xf numFmtId="2" fontId="170" fillId="0" borderId="0" xfId="0" applyNumberFormat="1" applyFont="1" applyAlignment="1">
      <alignment horizontal="left"/>
    </xf>
    <xf numFmtId="222" fontId="31" fillId="0" borderId="0" xfId="21" applyNumberFormat="1" applyFont="1" applyFill="1" applyBorder="1" applyAlignment="1">
      <alignment horizontal="right"/>
    </xf>
    <xf numFmtId="168" fontId="1" fillId="0" borderId="0" xfId="0" applyNumberFormat="1" applyFont="1" applyAlignment="1">
      <alignment horizontal="right"/>
    </xf>
    <xf numFmtId="0" fontId="34" fillId="0" borderId="0" xfId="0" applyFont="1" applyAlignment="1">
      <alignment horizontal="right"/>
    </xf>
    <xf numFmtId="0" fontId="150" fillId="0" borderId="0" xfId="0" applyFont="1" applyAlignment="1">
      <alignment horizontal="right"/>
    </xf>
    <xf numFmtId="3" fontId="34" fillId="0" borderId="0" xfId="0" applyNumberFormat="1" applyFont="1" applyAlignment="1">
      <alignment horizontal="right"/>
    </xf>
    <xf numFmtId="222" fontId="1" fillId="0" borderId="0" xfId="0" applyNumberFormat="1" applyFont="1" applyAlignment="1">
      <alignment horizontal="right"/>
    </xf>
    <xf numFmtId="168" fontId="34" fillId="0" borderId="0" xfId="501" applyNumberFormat="1" applyFont="1"/>
    <xf numFmtId="222" fontId="170" fillId="0" borderId="0" xfId="0" applyNumberFormat="1" applyFont="1" applyAlignment="1">
      <alignment horizontal="left"/>
    </xf>
    <xf numFmtId="222" fontId="170" fillId="0" borderId="0" xfId="0" applyNumberFormat="1" applyFont="1"/>
    <xf numFmtId="222" fontId="150" fillId="0" borderId="0" xfId="0" applyNumberFormat="1" applyFont="1" applyAlignment="1">
      <alignment horizontal="right"/>
    </xf>
    <xf numFmtId="166" fontId="31" fillId="0" borderId="0" xfId="0" applyNumberFormat="1" applyFont="1" applyAlignment="1">
      <alignment horizontal="left"/>
    </xf>
    <xf numFmtId="222" fontId="150" fillId="0" borderId="0" xfId="0" applyNumberFormat="1" applyFont="1"/>
    <xf numFmtId="208" fontId="108" fillId="0" borderId="0" xfId="1" applyNumberFormat="1" applyFont="1" applyFill="1" applyBorder="1" applyAlignment="1">
      <alignment horizontal="right"/>
    </xf>
    <xf numFmtId="231" fontId="163" fillId="0" borderId="0" xfId="1" applyNumberFormat="1" applyFont="1" applyFill="1" applyBorder="1" applyAlignment="1">
      <alignment horizontal="right"/>
    </xf>
    <xf numFmtId="10" fontId="155" fillId="0" borderId="0" xfId="0" applyNumberFormat="1" applyFont="1" applyAlignment="1">
      <alignment horizontal="left"/>
    </xf>
    <xf numFmtId="10" fontId="108" fillId="0" borderId="0" xfId="0" applyNumberFormat="1" applyFont="1"/>
    <xf numFmtId="10" fontId="30" fillId="0" borderId="0" xfId="0" applyNumberFormat="1" applyFont="1" applyAlignment="1">
      <alignment horizontal="right"/>
    </xf>
    <xf numFmtId="10" fontId="31" fillId="0" borderId="0" xfId="0" applyNumberFormat="1" applyFont="1" applyAlignment="1">
      <alignment horizontal="right"/>
    </xf>
    <xf numFmtId="9" fontId="34" fillId="0" borderId="0" xfId="0" applyNumberFormat="1" applyFont="1" applyAlignment="1">
      <alignment horizontal="right"/>
    </xf>
    <xf numFmtId="0" fontId="171" fillId="0" borderId="0" xfId="0" applyFont="1"/>
    <xf numFmtId="2" fontId="31" fillId="0" borderId="0" xfId="21" applyNumberFormat="1" applyFont="1" applyBorder="1" applyAlignment="1">
      <alignment horizontal="right"/>
    </xf>
    <xf numFmtId="168" fontId="1" fillId="42" borderId="0" xfId="0" applyNumberFormat="1" applyFont="1" applyFill="1" applyAlignment="1">
      <alignment horizontal="right"/>
    </xf>
    <xf numFmtId="168" fontId="150" fillId="42" borderId="0" xfId="0" applyNumberFormat="1" applyFont="1" applyFill="1" applyAlignment="1">
      <alignment horizontal="right"/>
    </xf>
    <xf numFmtId="165" fontId="163" fillId="0" borderId="0" xfId="0" applyNumberFormat="1" applyFont="1"/>
    <xf numFmtId="3" fontId="31" fillId="0" borderId="4" xfId="1" applyNumberFormat="1" applyFont="1" applyFill="1" applyBorder="1"/>
    <xf numFmtId="3" fontId="31" fillId="0" borderId="4" xfId="0" applyNumberFormat="1" applyFont="1" applyBorder="1" applyAlignment="1">
      <alignment horizontal="right"/>
    </xf>
    <xf numFmtId="165" fontId="31" fillId="0" borderId="0" xfId="0" applyNumberFormat="1" applyFont="1"/>
    <xf numFmtId="9" fontId="31" fillId="0" borderId="0" xfId="0" applyNumberFormat="1" applyFont="1" applyAlignment="1">
      <alignment horizontal="right"/>
    </xf>
    <xf numFmtId="9" fontId="160" fillId="0" borderId="0" xfId="0" applyNumberFormat="1" applyFont="1" applyAlignment="1">
      <alignment horizontal="right"/>
    </xf>
    <xf numFmtId="168" fontId="31" fillId="41" borderId="0" xfId="0" applyNumberFormat="1" applyFont="1" applyFill="1" applyAlignment="1">
      <alignment horizontal="right"/>
    </xf>
    <xf numFmtId="169" fontId="160" fillId="40" borderId="0" xfId="1" applyNumberFormat="1" applyFont="1" applyFill="1" applyBorder="1" applyAlignment="1">
      <alignment horizontal="right"/>
    </xf>
    <xf numFmtId="10" fontId="163" fillId="0" borderId="0" xfId="0" applyNumberFormat="1" applyFont="1"/>
    <xf numFmtId="168" fontId="34" fillId="36" borderId="0" xfId="0" applyNumberFormat="1" applyFont="1" applyFill="1"/>
    <xf numFmtId="168" fontId="31" fillId="36" borderId="0" xfId="0" applyNumberFormat="1" applyFont="1" applyFill="1"/>
    <xf numFmtId="2" fontId="160" fillId="4" borderId="0" xfId="0" applyNumberFormat="1" applyFont="1" applyFill="1"/>
    <xf numFmtId="168" fontId="31" fillId="41" borderId="0" xfId="1" applyNumberFormat="1" applyFont="1" applyFill="1" applyBorder="1"/>
    <xf numFmtId="2" fontId="160" fillId="41" borderId="0" xfId="0" applyNumberFormat="1" applyFont="1" applyFill="1"/>
    <xf numFmtId="168" fontId="108" fillId="41" borderId="0" xfId="1" applyNumberFormat="1" applyFont="1" applyFill="1" applyBorder="1"/>
    <xf numFmtId="2" fontId="31" fillId="41" borderId="0" xfId="4264" applyNumberFormat="1" applyFont="1" applyFill="1" applyBorder="1"/>
    <xf numFmtId="169" fontId="31" fillId="41" borderId="0" xfId="0" applyNumberFormat="1" applyFont="1" applyFill="1"/>
    <xf numFmtId="169" fontId="108" fillId="41" borderId="0" xfId="0" applyNumberFormat="1" applyFont="1" applyFill="1"/>
    <xf numFmtId="4" fontId="31" fillId="41" borderId="0" xfId="0" applyNumberFormat="1" applyFont="1" applyFill="1"/>
    <xf numFmtId="169" fontId="31" fillId="41" borderId="0" xfId="1" applyNumberFormat="1" applyFont="1" applyFill="1" applyBorder="1" applyAlignment="1">
      <alignment horizontal="right"/>
    </xf>
    <xf numFmtId="169" fontId="108" fillId="41" borderId="0" xfId="1" applyNumberFormat="1" applyFont="1" applyFill="1" applyBorder="1" applyAlignment="1">
      <alignment horizontal="right"/>
    </xf>
    <xf numFmtId="168" fontId="31" fillId="41" borderId="0" xfId="0" applyNumberFormat="1" applyFont="1" applyFill="1"/>
    <xf numFmtId="169" fontId="108" fillId="41" borderId="0" xfId="1" applyNumberFormat="1" applyFont="1" applyFill="1" applyBorder="1"/>
    <xf numFmtId="169" fontId="31" fillId="41" borderId="0" xfId="1" applyNumberFormat="1" applyFont="1" applyFill="1" applyBorder="1"/>
    <xf numFmtId="0" fontId="30" fillId="2" borderId="1" xfId="0" applyFont="1" applyFill="1" applyBorder="1" applyAlignment="1">
      <alignment horizontal="right"/>
    </xf>
    <xf numFmtId="17" fontId="108" fillId="3" borderId="1" xfId="0" applyNumberFormat="1" applyFont="1" applyFill="1" applyBorder="1" applyAlignment="1">
      <alignment horizontal="right"/>
    </xf>
    <xf numFmtId="0" fontId="108" fillId="3" borderId="1" xfId="0" applyFont="1" applyFill="1" applyBorder="1" applyAlignment="1">
      <alignment horizontal="right"/>
    </xf>
    <xf numFmtId="2" fontId="108" fillId="3" borderId="1" xfId="0" applyNumberFormat="1" applyFont="1" applyFill="1" applyBorder="1" applyAlignment="1">
      <alignment horizontal="right"/>
    </xf>
    <xf numFmtId="168" fontId="31" fillId="0" borderId="1" xfId="0" applyNumberFormat="1" applyFont="1" applyBorder="1"/>
    <xf numFmtId="0" fontId="0" fillId="0" borderId="1" xfId="0" applyBorder="1"/>
    <xf numFmtId="222" fontId="168" fillId="0" borderId="0" xfId="0" applyNumberFormat="1" applyFont="1"/>
    <xf numFmtId="222" fontId="31" fillId="23" borderId="1" xfId="21" applyNumberFormat="1" applyFont="1" applyFill="1" applyBorder="1" applyAlignment="1">
      <alignment horizontal="right"/>
    </xf>
    <xf numFmtId="222" fontId="31" fillId="0" borderId="1" xfId="0" applyNumberFormat="1" applyFont="1" applyBorder="1"/>
    <xf numFmtId="168" fontId="34" fillId="0" borderId="1" xfId="0" applyNumberFormat="1" applyFont="1" applyBorder="1" applyAlignment="1">
      <alignment horizontal="right"/>
    </xf>
    <xf numFmtId="222" fontId="108" fillId="0" borderId="1" xfId="0" applyNumberFormat="1" applyFont="1" applyBorder="1"/>
    <xf numFmtId="208" fontId="31" fillId="0" borderId="1" xfId="1" applyNumberFormat="1" applyFont="1" applyFill="1" applyBorder="1"/>
    <xf numFmtId="166" fontId="31" fillId="0" borderId="1" xfId="21" applyNumberFormat="1" applyFont="1" applyBorder="1" applyAlignment="1">
      <alignment horizontal="right"/>
    </xf>
    <xf numFmtId="2" fontId="34" fillId="0" borderId="1" xfId="0" applyNumberFormat="1" applyFont="1" applyBorder="1"/>
    <xf numFmtId="208" fontId="108" fillId="0" borderId="1" xfId="0" applyNumberFormat="1" applyFont="1" applyBorder="1"/>
    <xf numFmtId="0" fontId="31" fillId="0" borderId="1" xfId="0" applyFont="1" applyBorder="1" applyAlignment="1">
      <alignment horizontal="right"/>
    </xf>
    <xf numFmtId="168" fontId="34" fillId="0" borderId="1" xfId="0" applyNumberFormat="1" applyFont="1" applyBorder="1"/>
    <xf numFmtId="168" fontId="163" fillId="0" borderId="1" xfId="0" applyNumberFormat="1" applyFont="1" applyBorder="1"/>
    <xf numFmtId="168" fontId="31" fillId="0" borderId="0" xfId="21" applyNumberFormat="1" applyFont="1" applyFill="1" applyBorder="1" applyAlignment="1">
      <alignment horizontal="right"/>
    </xf>
    <xf numFmtId="168" fontId="108" fillId="0" borderId="0" xfId="21" applyNumberFormat="1" applyFont="1" applyFill="1" applyBorder="1" applyAlignment="1">
      <alignment horizontal="right"/>
    </xf>
    <xf numFmtId="2" fontId="31" fillId="0" borderId="0" xfId="0" applyNumberFormat="1" applyFont="1" applyAlignment="1">
      <alignment horizontal="left" indent="2"/>
    </xf>
    <xf numFmtId="168" fontId="160" fillId="0" borderId="0" xfId="1" applyNumberFormat="1" applyFont="1" applyFill="1" applyBorder="1" applyAlignment="1">
      <alignment horizontal="right"/>
    </xf>
    <xf numFmtId="168" fontId="108" fillId="4" borderId="0" xfId="0" applyNumberFormat="1" applyFont="1" applyFill="1"/>
    <xf numFmtId="168" fontId="31" fillId="36" borderId="0" xfId="0" quotePrefix="1" applyNumberFormat="1" applyFont="1" applyFill="1" applyAlignment="1">
      <alignment horizontal="right"/>
    </xf>
    <xf numFmtId="168" fontId="30" fillId="0" borderId="0" xfId="0" applyNumberFormat="1" applyFont="1" applyAlignment="1">
      <alignment horizontal="right"/>
    </xf>
    <xf numFmtId="168" fontId="157" fillId="0" borderId="0" xfId="1" applyNumberFormat="1" applyFont="1" applyFill="1" applyBorder="1"/>
    <xf numFmtId="168" fontId="31" fillId="23" borderId="0" xfId="21" applyNumberFormat="1" applyFont="1" applyFill="1" applyBorder="1" applyAlignment="1">
      <alignment horizontal="right"/>
    </xf>
    <xf numFmtId="168" fontId="31" fillId="23" borderId="0" xfId="0" applyNumberFormat="1" applyFont="1" applyFill="1"/>
    <xf numFmtId="168" fontId="163" fillId="0" borderId="0" xfId="501" applyNumberFormat="1" applyFont="1"/>
    <xf numFmtId="168" fontId="108" fillId="0" borderId="0" xfId="501" applyNumberFormat="1" applyFont="1"/>
    <xf numFmtId="169" fontId="31" fillId="0" borderId="0" xfId="21" applyNumberFormat="1" applyFont="1" applyFill="1" applyBorder="1" applyAlignment="1">
      <alignment horizontal="right"/>
    </xf>
    <xf numFmtId="169" fontId="34" fillId="41" borderId="0" xfId="0" applyNumberFormat="1" applyFont="1" applyFill="1"/>
    <xf numFmtId="169" fontId="1" fillId="0" borderId="0" xfId="0" applyNumberFormat="1" applyFont="1" applyAlignment="1">
      <alignment horizontal="right"/>
    </xf>
    <xf numFmtId="169" fontId="34" fillId="4" borderId="0" xfId="0" applyNumberFormat="1" applyFont="1" applyFill="1"/>
    <xf numFmtId="169" fontId="108" fillId="0" borderId="0" xfId="21" applyNumberFormat="1" applyFont="1" applyFill="1" applyBorder="1" applyAlignment="1">
      <alignment horizontal="right"/>
    </xf>
    <xf numFmtId="169" fontId="108" fillId="41" borderId="0" xfId="21" applyNumberFormat="1" applyFont="1" applyFill="1" applyBorder="1" applyAlignment="1">
      <alignment horizontal="right"/>
    </xf>
    <xf numFmtId="169" fontId="150" fillId="4" borderId="0" xfId="0" applyNumberFormat="1" applyFont="1" applyFill="1" applyAlignment="1">
      <alignment horizontal="right"/>
    </xf>
    <xf numFmtId="168" fontId="34" fillId="0" borderId="0" xfId="21" applyNumberFormat="1" applyFont="1" applyFill="1" applyBorder="1" applyAlignment="1">
      <alignment horizontal="right"/>
    </xf>
    <xf numFmtId="168" fontId="163" fillId="0" borderId="0" xfId="21" applyNumberFormat="1" applyFont="1" applyFill="1" applyBorder="1" applyAlignment="1">
      <alignment horizontal="right"/>
    </xf>
    <xf numFmtId="2" fontId="163" fillId="0" borderId="0" xfId="0" applyNumberFormat="1" applyFont="1" applyAlignment="1">
      <alignment horizontal="right"/>
    </xf>
    <xf numFmtId="2" fontId="167" fillId="0" borderId="0" xfId="0" applyNumberFormat="1" applyFont="1"/>
    <xf numFmtId="2" fontId="165" fillId="0" borderId="0" xfId="0" applyNumberFormat="1" applyFont="1" applyAlignment="1">
      <alignment horizontal="left" indent="1"/>
    </xf>
    <xf numFmtId="2" fontId="165" fillId="0" borderId="0" xfId="0" applyNumberFormat="1" applyFont="1" applyAlignment="1">
      <alignment horizontal="left" indent="2"/>
    </xf>
    <xf numFmtId="2" fontId="165" fillId="0" borderId="0" xfId="0" applyNumberFormat="1" applyFont="1"/>
    <xf numFmtId="2" fontId="172" fillId="0" borderId="0" xfId="4264" applyNumberFormat="1" applyFont="1" applyFill="1" applyAlignment="1">
      <alignment horizontal="right"/>
    </xf>
    <xf numFmtId="2" fontId="172" fillId="0" borderId="0" xfId="4264" applyNumberFormat="1" applyFont="1" applyFill="1" applyBorder="1" applyAlignment="1">
      <alignment horizontal="right"/>
    </xf>
    <xf numFmtId="2" fontId="173" fillId="0" borderId="0" xfId="4264" applyNumberFormat="1" applyFont="1" applyFill="1"/>
    <xf numFmtId="232" fontId="165" fillId="0" borderId="0" xfId="1" applyNumberFormat="1" applyFont="1" applyFill="1" applyBorder="1"/>
    <xf numFmtId="9" fontId="160" fillId="0" borderId="0" xfId="4264" applyFont="1" applyFill="1" applyBorder="1" applyAlignment="1">
      <alignment horizontal="right"/>
    </xf>
    <xf numFmtId="2" fontId="165" fillId="0" borderId="0" xfId="4264" applyNumberFormat="1" applyFont="1" applyFill="1" applyAlignment="1">
      <alignment horizontal="right"/>
    </xf>
    <xf numFmtId="2" fontId="165" fillId="0" borderId="0" xfId="4264" applyNumberFormat="1" applyFont="1" applyFill="1" applyBorder="1" applyAlignment="1">
      <alignment horizontal="right"/>
    </xf>
    <xf numFmtId="2" fontId="165" fillId="0" borderId="0" xfId="4264" applyNumberFormat="1" applyFont="1" applyFill="1"/>
    <xf numFmtId="2" fontId="165" fillId="0" borderId="0" xfId="21" applyNumberFormat="1" applyFont="1" applyFill="1" applyBorder="1" applyAlignment="1">
      <alignment horizontal="right"/>
    </xf>
    <xf numFmtId="1" fontId="165" fillId="0" borderId="0" xfId="0" applyNumberFormat="1" applyFont="1"/>
    <xf numFmtId="169" fontId="165" fillId="0" borderId="0" xfId="0" applyNumberFormat="1" applyFont="1" applyAlignment="1">
      <alignment horizontal="right"/>
    </xf>
    <xf numFmtId="168" fontId="165" fillId="0" borderId="0" xfId="0" applyNumberFormat="1" applyFont="1"/>
    <xf numFmtId="168" fontId="165" fillId="0" borderId="0" xfId="1" applyNumberFormat="1" applyFont="1" applyFill="1" applyBorder="1" applyAlignment="1">
      <alignment horizontal="right"/>
    </xf>
    <xf numFmtId="0" fontId="174" fillId="0" borderId="0" xfId="0" applyFont="1"/>
    <xf numFmtId="2" fontId="168" fillId="0" borderId="0" xfId="0" applyNumberFormat="1" applyFont="1" applyAlignment="1">
      <alignment horizontal="left"/>
    </xf>
    <xf numFmtId="168" fontId="163" fillId="45" borderId="0" xfId="0" applyNumberFormat="1" applyFont="1" applyFill="1"/>
    <xf numFmtId="168" fontId="150" fillId="45" borderId="0" xfId="0" applyNumberFormat="1" applyFont="1" applyFill="1"/>
    <xf numFmtId="1" fontId="165" fillId="45" borderId="0" xfId="0" applyNumberFormat="1" applyFont="1" applyFill="1"/>
    <xf numFmtId="169" fontId="165" fillId="45" borderId="0" xfId="0" applyNumberFormat="1" applyFont="1" applyFill="1" applyAlignment="1">
      <alignment horizontal="right"/>
    </xf>
    <xf numFmtId="168" fontId="165" fillId="45" borderId="0" xfId="0" applyNumberFormat="1" applyFont="1" applyFill="1"/>
    <xf numFmtId="168" fontId="34" fillId="39" borderId="0" xfId="0" applyNumberFormat="1" applyFont="1" applyFill="1" applyAlignment="1">
      <alignment horizontal="right"/>
    </xf>
    <xf numFmtId="168" fontId="31" fillId="4" borderId="0" xfId="1" applyNumberFormat="1" applyFont="1" applyFill="1" applyBorder="1" applyAlignment="1">
      <alignment horizontal="right"/>
    </xf>
    <xf numFmtId="0" fontId="163" fillId="4" borderId="0" xfId="0" applyFont="1" applyFill="1" applyAlignment="1">
      <alignment horizontal="left"/>
    </xf>
    <xf numFmtId="222" fontId="155" fillId="36" borderId="0" xfId="0" applyNumberFormat="1" applyFont="1" applyFill="1" applyAlignment="1">
      <alignment horizontal="left"/>
    </xf>
    <xf numFmtId="222" fontId="108" fillId="36" borderId="0" xfId="0" applyNumberFormat="1" applyFont="1" applyFill="1"/>
    <xf numFmtId="222" fontId="31" fillId="36" borderId="0" xfId="0" applyNumberFormat="1" applyFont="1" applyFill="1"/>
    <xf numFmtId="222" fontId="31" fillId="36" borderId="0" xfId="0" applyNumberFormat="1" applyFont="1" applyFill="1" applyAlignment="1">
      <alignment horizontal="right"/>
    </xf>
    <xf numFmtId="222" fontId="108" fillId="36" borderId="0" xfId="1" applyNumberFormat="1" applyFont="1" applyFill="1" applyBorder="1" applyAlignment="1">
      <alignment horizontal="right"/>
    </xf>
    <xf numFmtId="3" fontId="108" fillId="36" borderId="0" xfId="1" applyNumberFormat="1" applyFont="1" applyFill="1" applyBorder="1" applyAlignment="1">
      <alignment horizontal="right"/>
    </xf>
    <xf numFmtId="0" fontId="26" fillId="0" borderId="0" xfId="0" applyFont="1" applyAlignment="1">
      <alignment horizontal="center"/>
    </xf>
    <xf numFmtId="0" fontId="27" fillId="3" borderId="39" xfId="0" applyFont="1" applyFill="1" applyBorder="1" applyAlignment="1">
      <alignment horizontal="center"/>
    </xf>
    <xf numFmtId="0" fontId="27" fillId="3" borderId="38" xfId="0" applyFont="1" applyFill="1" applyBorder="1" applyAlignment="1">
      <alignment horizontal="center"/>
    </xf>
    <xf numFmtId="0" fontId="27" fillId="3" borderId="42" xfId="0" applyFont="1" applyFill="1" applyBorder="1" applyAlignment="1">
      <alignment horizontal="left"/>
    </xf>
    <xf numFmtId="0" fontId="27" fillId="3" borderId="42" xfId="0" applyFont="1" applyFill="1" applyBorder="1" applyAlignment="1">
      <alignment horizontal="right"/>
    </xf>
    <xf numFmtId="0" fontId="27" fillId="3" borderId="34" xfId="0" applyFont="1" applyFill="1" applyBorder="1" applyAlignment="1">
      <alignment horizontal="right"/>
    </xf>
    <xf numFmtId="0" fontId="27" fillId="3" borderId="43" xfId="0" applyFont="1" applyFill="1" applyBorder="1" applyAlignment="1">
      <alignment horizontal="right"/>
    </xf>
    <xf numFmtId="4" fontId="28" fillId="0" borderId="42" xfId="0" applyNumberFormat="1" applyFont="1" applyBorder="1" applyAlignment="1">
      <alignment horizontal="right"/>
    </xf>
    <xf numFmtId="4" fontId="28" fillId="0" borderId="34" xfId="0" applyNumberFormat="1" applyFont="1" applyBorder="1" applyAlignment="1">
      <alignment horizontal="right"/>
    </xf>
    <xf numFmtId="0" fontId="108" fillId="0" borderId="42" xfId="0" applyFont="1" applyBorder="1"/>
    <xf numFmtId="0" fontId="108" fillId="0" borderId="44" xfId="0" applyFont="1" applyBorder="1"/>
    <xf numFmtId="166" fontId="28" fillId="0" borderId="44" xfId="4264" applyNumberFormat="1" applyFont="1" applyFill="1" applyBorder="1" applyAlignment="1">
      <alignment horizontal="right"/>
    </xf>
    <xf numFmtId="166" fontId="176" fillId="0" borderId="45" xfId="4264" applyNumberFormat="1" applyFont="1" applyFill="1" applyBorder="1" applyAlignment="1">
      <alignment horizontal="right"/>
    </xf>
    <xf numFmtId="166" fontId="176" fillId="0" borderId="46" xfId="4264" applyNumberFormat="1" applyFont="1" applyFill="1" applyBorder="1" applyAlignment="1">
      <alignment horizontal="right"/>
    </xf>
    <xf numFmtId="166" fontId="176" fillId="0" borderId="47" xfId="4264" applyNumberFormat="1" applyFont="1" applyFill="1" applyBorder="1" applyAlignment="1">
      <alignment horizontal="right"/>
    </xf>
    <xf numFmtId="0" fontId="26" fillId="0" borderId="0" xfId="0" applyFont="1" applyAlignment="1">
      <alignment horizontal="left"/>
    </xf>
    <xf numFmtId="0" fontId="27" fillId="0" borderId="42" xfId="0" applyFont="1" applyBorder="1"/>
    <xf numFmtId="3" fontId="27" fillId="0" borderId="42" xfId="0" applyNumberFormat="1" applyFont="1" applyBorder="1" applyAlignment="1">
      <alignment horizontal="right"/>
    </xf>
    <xf numFmtId="3" fontId="27" fillId="0" borderId="34" xfId="0" applyNumberFormat="1" applyFont="1" applyBorder="1" applyAlignment="1">
      <alignment horizontal="right"/>
    </xf>
    <xf numFmtId="3" fontId="28" fillId="0" borderId="42" xfId="0" applyNumberFormat="1" applyFont="1" applyBorder="1" applyAlignment="1">
      <alignment horizontal="right"/>
    </xf>
    <xf numFmtId="3" fontId="28" fillId="0" borderId="34" xfId="0" applyNumberFormat="1" applyFont="1" applyBorder="1" applyAlignment="1">
      <alignment horizontal="right"/>
    </xf>
    <xf numFmtId="0" fontId="28" fillId="0" borderId="42" xfId="0" applyFont="1" applyBorder="1"/>
    <xf numFmtId="168" fontId="28" fillId="0" borderId="42" xfId="0" applyNumberFormat="1" applyFont="1" applyBorder="1"/>
    <xf numFmtId="0" fontId="175" fillId="0" borderId="0" xfId="0" applyFont="1" applyAlignment="1">
      <alignment horizontal="left"/>
    </xf>
    <xf numFmtId="169" fontId="28" fillId="0" borderId="42" xfId="0" applyNumberFormat="1" applyFont="1" applyBorder="1" applyAlignment="1">
      <alignment horizontal="right"/>
    </xf>
    <xf numFmtId="169" fontId="28" fillId="0" borderId="34" xfId="0" applyNumberFormat="1" applyFont="1" applyBorder="1" applyAlignment="1">
      <alignment horizontal="right"/>
    </xf>
    <xf numFmtId="0" fontId="27" fillId="0" borderId="42" xfId="0" applyFont="1" applyBorder="1" applyAlignment="1">
      <alignment horizontal="left"/>
    </xf>
    <xf numFmtId="0" fontId="27" fillId="0" borderId="42" xfId="0" applyFont="1" applyBorder="1" applyAlignment="1">
      <alignment horizontal="right"/>
    </xf>
    <xf numFmtId="0" fontId="27" fillId="0" borderId="34" xfId="0" applyFont="1" applyBorder="1" applyAlignment="1">
      <alignment horizontal="right"/>
    </xf>
    <xf numFmtId="0" fontId="113" fillId="0" borderId="42" xfId="0" applyFont="1" applyBorder="1"/>
    <xf numFmtId="169" fontId="27" fillId="0" borderId="42" xfId="0" applyNumberFormat="1" applyFont="1" applyBorder="1" applyAlignment="1">
      <alignment horizontal="right"/>
    </xf>
    <xf numFmtId="0" fontId="28" fillId="0" borderId="42" xfId="0" applyFont="1" applyBorder="1" applyAlignment="1">
      <alignment horizontal="left"/>
    </xf>
    <xf numFmtId="169" fontId="27" fillId="0" borderId="34" xfId="0" applyNumberFormat="1" applyFont="1" applyBorder="1" applyAlignment="1">
      <alignment horizontal="right"/>
    </xf>
    <xf numFmtId="0" fontId="27" fillId="3" borderId="40" xfId="0" applyFont="1" applyFill="1" applyBorder="1" applyAlignment="1">
      <alignment horizontal="center" wrapText="1"/>
    </xf>
    <xf numFmtId="0" fontId="27" fillId="3" borderId="41" xfId="0" applyFont="1" applyFill="1" applyBorder="1" applyAlignment="1">
      <alignment horizontal="center" wrapText="1"/>
    </xf>
    <xf numFmtId="0" fontId="31" fillId="4" borderId="1" xfId="0" applyFont="1" applyFill="1" applyBorder="1" applyAlignment="1">
      <alignment horizontal="right"/>
    </xf>
    <xf numFmtId="167" fontId="158" fillId="4" borderId="0" xfId="0" applyNumberFormat="1" applyFont="1" applyFill="1" applyAlignment="1">
      <alignment horizontal="right"/>
    </xf>
    <xf numFmtId="0" fontId="27" fillId="46" borderId="42" xfId="0" applyFont="1" applyFill="1" applyBorder="1"/>
    <xf numFmtId="169" fontId="27" fillId="46" borderId="42" xfId="0" applyNumberFormat="1" applyFont="1" applyFill="1" applyBorder="1" applyAlignment="1">
      <alignment horizontal="right"/>
    </xf>
    <xf numFmtId="169" fontId="27" fillId="46" borderId="34" xfId="0" applyNumberFormat="1" applyFont="1" applyFill="1" applyBorder="1" applyAlignment="1">
      <alignment horizontal="right"/>
    </xf>
    <xf numFmtId="207" fontId="176" fillId="0" borderId="46" xfId="1" applyNumberFormat="1" applyFont="1" applyFill="1" applyBorder="1" applyAlignment="1">
      <alignment horizontal="right"/>
    </xf>
    <xf numFmtId="0" fontId="118" fillId="5" borderId="0" xfId="496" applyFill="1"/>
    <xf numFmtId="207" fontId="176" fillId="0" borderId="44" xfId="1" applyNumberFormat="1" applyFont="1" applyFill="1" applyBorder="1" applyAlignment="1">
      <alignment horizontal="right"/>
    </xf>
    <xf numFmtId="0" fontId="28" fillId="0" borderId="44" xfId="0" applyFont="1" applyBorder="1"/>
    <xf numFmtId="9" fontId="28" fillId="0" borderId="46" xfId="2" applyFont="1" applyFill="1" applyBorder="1" applyAlignment="1">
      <alignment horizontal="right"/>
    </xf>
    <xf numFmtId="9" fontId="28" fillId="0" borderId="44" xfId="2" applyFont="1" applyFill="1" applyBorder="1" applyAlignment="1">
      <alignment horizontal="right"/>
    </xf>
    <xf numFmtId="208" fontId="34" fillId="0" borderId="1" xfId="0" applyNumberFormat="1" applyFont="1" applyBorder="1"/>
    <xf numFmtId="0" fontId="108" fillId="4" borderId="0" xfId="0" applyFont="1" applyFill="1"/>
    <xf numFmtId="0" fontId="108" fillId="4" borderId="0" xfId="0" applyFont="1" applyFill="1" applyAlignment="1">
      <alignment horizontal="right"/>
    </xf>
    <xf numFmtId="9" fontId="31" fillId="0" borderId="0" xfId="4264" applyFont="1" applyFill="1" applyBorder="1" applyAlignment="1">
      <alignment horizontal="right"/>
    </xf>
    <xf numFmtId="168" fontId="163" fillId="0" borderId="0" xfId="0" applyNumberFormat="1" applyFont="1" applyAlignment="1">
      <alignment horizontal="right"/>
    </xf>
    <xf numFmtId="208" fontId="150" fillId="0" borderId="0" xfId="0" applyNumberFormat="1" applyFont="1" applyAlignment="1">
      <alignment horizontal="right"/>
    </xf>
    <xf numFmtId="169" fontId="34" fillId="0" borderId="0" xfId="1" applyNumberFormat="1" applyFont="1" applyFill="1" applyBorder="1" applyAlignment="1">
      <alignment horizontal="right"/>
    </xf>
    <xf numFmtId="208" fontId="108" fillId="0" borderId="0" xfId="0" applyNumberFormat="1" applyFont="1" applyAlignment="1">
      <alignment horizontal="right"/>
    </xf>
    <xf numFmtId="233" fontId="28" fillId="0" borderId="42" xfId="0" applyNumberFormat="1" applyFont="1" applyBorder="1" applyAlignment="1">
      <alignment horizontal="right"/>
    </xf>
    <xf numFmtId="222" fontId="31" fillId="4" borderId="0" xfId="0" applyNumberFormat="1" applyFont="1" applyFill="1"/>
    <xf numFmtId="168" fontId="34" fillId="0" borderId="0" xfId="1" applyNumberFormat="1" applyFont="1" applyFill="1" applyBorder="1" applyAlignment="1">
      <alignment horizontal="right"/>
    </xf>
    <xf numFmtId="0" fontId="27" fillId="3" borderId="48" xfId="0" applyFont="1" applyFill="1" applyBorder="1" applyAlignment="1">
      <alignment horizontal="right"/>
    </xf>
    <xf numFmtId="3" fontId="28" fillId="0" borderId="49" xfId="0" applyNumberFormat="1" applyFont="1" applyBorder="1" applyAlignment="1">
      <alignment horizontal="right"/>
    </xf>
    <xf numFmtId="0" fontId="28" fillId="0" borderId="42" xfId="0" applyFont="1" applyBorder="1" applyAlignment="1">
      <alignment horizontal="left" indent="1"/>
    </xf>
    <xf numFmtId="166" fontId="31" fillId="0" borderId="0" xfId="4264" applyNumberFormat="1" applyFont="1" applyFill="1" applyBorder="1" applyAlignment="1">
      <alignment horizontal="right"/>
    </xf>
    <xf numFmtId="10" fontId="31" fillId="0" borderId="0" xfId="4264" applyNumberFormat="1" applyFont="1" applyFill="1" applyBorder="1" applyAlignment="1">
      <alignment horizontal="right"/>
    </xf>
    <xf numFmtId="166" fontId="160" fillId="0" borderId="0" xfId="4264" applyNumberFormat="1" applyFont="1" applyFill="1" applyBorder="1" applyAlignment="1">
      <alignment horizontal="right"/>
    </xf>
    <xf numFmtId="43" fontId="31" fillId="0" borderId="0" xfId="1" applyFont="1" applyFill="1" applyBorder="1"/>
    <xf numFmtId="4" fontId="31" fillId="0" borderId="1" xfId="0" applyNumberFormat="1" applyFont="1" applyBorder="1" applyAlignment="1">
      <alignment horizontal="right"/>
    </xf>
    <xf numFmtId="0" fontId="108" fillId="0" borderId="1" xfId="0" applyFont="1" applyBorder="1" applyAlignment="1">
      <alignment horizontal="right"/>
    </xf>
    <xf numFmtId="0" fontId="156" fillId="0" borderId="1" xfId="0" applyFont="1" applyBorder="1" applyAlignment="1">
      <alignment horizontal="right"/>
    </xf>
    <xf numFmtId="0" fontId="157" fillId="0" borderId="1" xfId="0" applyFont="1" applyBorder="1" applyAlignment="1">
      <alignment horizontal="right"/>
    </xf>
    <xf numFmtId="0" fontId="159" fillId="0" borderId="1" xfId="0" applyFont="1" applyBorder="1" applyAlignment="1">
      <alignment horizontal="right"/>
    </xf>
    <xf numFmtId="222" fontId="31" fillId="0" borderId="1" xfId="0" applyNumberFormat="1" applyFont="1" applyBorder="1" applyAlignment="1">
      <alignment horizontal="right"/>
    </xf>
    <xf numFmtId="227" fontId="34" fillId="0" borderId="1" xfId="1" applyNumberFormat="1" applyFont="1" applyFill="1" applyBorder="1" applyAlignment="1">
      <alignment horizontal="right"/>
    </xf>
    <xf numFmtId="227" fontId="31" fillId="0" borderId="1" xfId="1" applyNumberFormat="1" applyFont="1" applyFill="1" applyBorder="1" applyAlignment="1">
      <alignment horizontal="right"/>
    </xf>
    <xf numFmtId="169" fontId="31" fillId="0" borderId="1" xfId="0" applyNumberFormat="1" applyFont="1" applyBorder="1"/>
    <xf numFmtId="228" fontId="31" fillId="0" borderId="1" xfId="1" applyNumberFormat="1" applyFont="1" applyFill="1" applyBorder="1" applyAlignment="1">
      <alignment horizontal="right"/>
    </xf>
    <xf numFmtId="7" fontId="31" fillId="0" borderId="1" xfId="4263" applyNumberFormat="1" applyFont="1" applyFill="1" applyBorder="1" applyAlignment="1">
      <alignment horizontal="right"/>
    </xf>
    <xf numFmtId="165" fontId="31" fillId="0" borderId="1" xfId="0" applyNumberFormat="1" applyFont="1" applyBorder="1" applyAlignment="1">
      <alignment horizontal="right"/>
    </xf>
    <xf numFmtId="9" fontId="31" fillId="0" borderId="1" xfId="4264" applyFont="1" applyFill="1" applyBorder="1" applyAlignment="1">
      <alignment horizontal="right"/>
    </xf>
    <xf numFmtId="10" fontId="31" fillId="0" borderId="1" xfId="4264" applyNumberFormat="1" applyFont="1" applyFill="1" applyBorder="1" applyAlignment="1">
      <alignment horizontal="right"/>
    </xf>
    <xf numFmtId="166" fontId="31" fillId="0" borderId="1" xfId="4264" applyNumberFormat="1" applyFont="1" applyFill="1" applyBorder="1" applyAlignment="1">
      <alignment horizontal="right"/>
    </xf>
    <xf numFmtId="1" fontId="108" fillId="0" borderId="1" xfId="0" applyNumberFormat="1" applyFont="1" applyBorder="1"/>
    <xf numFmtId="9" fontId="160" fillId="0" borderId="1" xfId="4264" applyFont="1" applyFill="1" applyBorder="1" applyAlignment="1">
      <alignment horizontal="right"/>
    </xf>
    <xf numFmtId="1" fontId="31" fillId="0" borderId="1" xfId="0" applyNumberFormat="1" applyFont="1" applyBorder="1" applyAlignment="1">
      <alignment horizontal="right"/>
    </xf>
    <xf numFmtId="168" fontId="31" fillId="0" borderId="1" xfId="0" applyNumberFormat="1" applyFont="1" applyBorder="1" applyAlignment="1">
      <alignment horizontal="right"/>
    </xf>
    <xf numFmtId="168" fontId="160" fillId="0" borderId="1" xfId="0" applyNumberFormat="1" applyFont="1" applyBorder="1" applyAlignment="1">
      <alignment horizontal="right"/>
    </xf>
    <xf numFmtId="43" fontId="31" fillId="0" borderId="1" xfId="1" applyFont="1" applyFill="1" applyBorder="1"/>
    <xf numFmtId="168" fontId="163" fillId="0" borderId="1" xfId="0" applyNumberFormat="1" applyFont="1" applyBorder="1" applyAlignment="1">
      <alignment horizontal="right"/>
    </xf>
    <xf numFmtId="168" fontId="108" fillId="0" borderId="1" xfId="0" applyNumberFormat="1" applyFont="1" applyBorder="1" applyAlignment="1">
      <alignment horizontal="right"/>
    </xf>
    <xf numFmtId="2" fontId="31" fillId="0" borderId="1" xfId="0" applyNumberFormat="1" applyFont="1" applyBorder="1"/>
    <xf numFmtId="222" fontId="108" fillId="0" borderId="1" xfId="501" applyNumberFormat="1" applyFont="1" applyBorder="1"/>
    <xf numFmtId="222" fontId="108" fillId="0" borderId="1" xfId="1" applyNumberFormat="1" applyFont="1" applyFill="1" applyBorder="1" applyAlignment="1">
      <alignment horizontal="right"/>
    </xf>
    <xf numFmtId="168" fontId="31" fillId="0" borderId="1" xfId="1" applyNumberFormat="1" applyFont="1" applyFill="1" applyBorder="1" applyAlignment="1">
      <alignment horizontal="right"/>
    </xf>
    <xf numFmtId="168" fontId="31" fillId="36" borderId="1" xfId="0" quotePrefix="1" applyNumberFormat="1" applyFont="1" applyFill="1" applyBorder="1" applyAlignment="1">
      <alignment horizontal="right"/>
    </xf>
    <xf numFmtId="168" fontId="108" fillId="0" borderId="1" xfId="0" applyNumberFormat="1" applyFont="1" applyBorder="1"/>
    <xf numFmtId="168" fontId="150" fillId="0" borderId="1" xfId="0" applyNumberFormat="1" applyFont="1" applyBorder="1"/>
    <xf numFmtId="168" fontId="157" fillId="0" borderId="1" xfId="1" applyNumberFormat="1" applyFont="1" applyFill="1" applyBorder="1"/>
    <xf numFmtId="168" fontId="150" fillId="0" borderId="1" xfId="0" applyNumberFormat="1" applyFont="1" applyBorder="1" applyAlignment="1">
      <alignment horizontal="right"/>
    </xf>
    <xf numFmtId="168" fontId="108" fillId="0" borderId="1" xfId="501" applyNumberFormat="1" applyFont="1" applyBorder="1"/>
    <xf numFmtId="208" fontId="150" fillId="0" borderId="1" xfId="0" applyNumberFormat="1" applyFont="1" applyBorder="1" applyAlignment="1">
      <alignment horizontal="right"/>
    </xf>
    <xf numFmtId="169" fontId="160" fillId="0" borderId="1" xfId="1" applyNumberFormat="1" applyFont="1" applyFill="1" applyBorder="1" applyAlignment="1">
      <alignment horizontal="right"/>
    </xf>
    <xf numFmtId="169" fontId="1" fillId="0" borderId="1" xfId="0" applyNumberFormat="1" applyFont="1" applyBorder="1" applyAlignment="1">
      <alignment horizontal="right"/>
    </xf>
    <xf numFmtId="169" fontId="150" fillId="0" borderId="1" xfId="0" applyNumberFormat="1" applyFont="1" applyBorder="1" applyAlignment="1">
      <alignment horizontal="right"/>
    </xf>
    <xf numFmtId="169" fontId="31" fillId="36" borderId="1" xfId="0" quotePrefix="1" applyNumberFormat="1" applyFont="1" applyFill="1" applyBorder="1" applyAlignment="1">
      <alignment horizontal="right"/>
    </xf>
    <xf numFmtId="169" fontId="30" fillId="2" borderId="1" xfId="0" applyNumberFormat="1" applyFont="1" applyFill="1" applyBorder="1" applyAlignment="1">
      <alignment horizontal="right"/>
    </xf>
    <xf numFmtId="208" fontId="108" fillId="0" borderId="1" xfId="0" applyNumberFormat="1" applyFont="1" applyBorder="1" applyAlignment="1">
      <alignment horizontal="right"/>
    </xf>
    <xf numFmtId="169" fontId="108" fillId="0" borderId="1" xfId="501" applyNumberFormat="1" applyFont="1" applyBorder="1"/>
    <xf numFmtId="0" fontId="30" fillId="0" borderId="1" xfId="0" applyFont="1" applyBorder="1" applyAlignment="1">
      <alignment horizontal="right"/>
    </xf>
    <xf numFmtId="2" fontId="31" fillId="0" borderId="1" xfId="0" applyNumberFormat="1" applyFont="1" applyBorder="1" applyAlignment="1">
      <alignment horizontal="right"/>
    </xf>
    <xf numFmtId="208" fontId="31" fillId="0" borderId="1" xfId="0" applyNumberFormat="1" applyFont="1" applyBorder="1" applyAlignment="1">
      <alignment horizontal="right"/>
    </xf>
    <xf numFmtId="43" fontId="31" fillId="0" borderId="1" xfId="0" applyNumberFormat="1" applyFont="1" applyBorder="1"/>
    <xf numFmtId="43" fontId="31" fillId="0" borderId="1" xfId="0" applyNumberFormat="1" applyFont="1" applyBorder="1" applyAlignment="1">
      <alignment horizontal="right"/>
    </xf>
    <xf numFmtId="43" fontId="31" fillId="0" borderId="1" xfId="1" applyFont="1" applyFill="1" applyBorder="1" applyAlignment="1">
      <alignment horizontal="right"/>
    </xf>
    <xf numFmtId="206" fontId="31" fillId="0" borderId="1" xfId="1" applyNumberFormat="1" applyFont="1" applyFill="1" applyBorder="1" applyAlignment="1">
      <alignment horizontal="right"/>
    </xf>
    <xf numFmtId="207" fontId="31" fillId="0" borderId="1" xfId="1" applyNumberFormat="1" applyFont="1" applyBorder="1"/>
    <xf numFmtId="169" fontId="108" fillId="0" borderId="1" xfId="1" applyNumberFormat="1" applyFont="1" applyFill="1" applyBorder="1" applyAlignment="1">
      <alignment horizontal="right"/>
    </xf>
    <xf numFmtId="169" fontId="31" fillId="0" borderId="1" xfId="1" applyNumberFormat="1" applyFont="1" applyFill="1" applyBorder="1" applyAlignment="1">
      <alignment horizontal="right"/>
    </xf>
    <xf numFmtId="3" fontId="108" fillId="0" borderId="1" xfId="1" applyNumberFormat="1" applyFont="1" applyFill="1" applyBorder="1" applyAlignment="1">
      <alignment horizontal="right"/>
    </xf>
    <xf numFmtId="3" fontId="108" fillId="36" borderId="1" xfId="1" applyNumberFormat="1" applyFont="1" applyFill="1" applyBorder="1" applyAlignment="1">
      <alignment horizontal="right"/>
    </xf>
    <xf numFmtId="222" fontId="31" fillId="0" borderId="1" xfId="1" applyNumberFormat="1" applyFont="1" applyFill="1" applyBorder="1" applyAlignment="1">
      <alignment horizontal="right"/>
    </xf>
    <xf numFmtId="222" fontId="108" fillId="0" borderId="1" xfId="0" applyNumberFormat="1" applyFont="1" applyBorder="1" applyAlignment="1">
      <alignment horizontal="right"/>
    </xf>
    <xf numFmtId="3" fontId="31" fillId="0" borderId="1" xfId="0" applyNumberFormat="1" applyFont="1" applyBorder="1" applyAlignment="1">
      <alignment horizontal="right"/>
    </xf>
    <xf numFmtId="4" fontId="31" fillId="0" borderId="1" xfId="0" applyNumberFormat="1" applyFont="1" applyBorder="1"/>
    <xf numFmtId="0" fontId="31" fillId="0" borderId="1" xfId="0" applyFont="1" applyBorder="1"/>
    <xf numFmtId="0" fontId="108" fillId="0" borderId="1" xfId="0" applyFont="1" applyBorder="1"/>
    <xf numFmtId="0" fontId="156" fillId="0" borderId="1" xfId="0" applyFont="1" applyBorder="1"/>
    <xf numFmtId="0" fontId="157" fillId="0" borderId="1" xfId="0" applyFont="1" applyBorder="1"/>
    <xf numFmtId="0" fontId="159" fillId="0" borderId="1" xfId="0" applyFont="1" applyBorder="1"/>
    <xf numFmtId="166" fontId="31" fillId="0" borderId="1" xfId="4264" applyNumberFormat="1" applyFont="1" applyBorder="1" applyAlignment="1">
      <alignment horizontal="right"/>
    </xf>
    <xf numFmtId="206" fontId="31" fillId="0" borderId="1" xfId="1" applyNumberFormat="1" applyFont="1" applyBorder="1" applyAlignment="1">
      <alignment horizontal="right"/>
    </xf>
    <xf numFmtId="7" fontId="31" fillId="0" borderId="1" xfId="4263" applyNumberFormat="1" applyFont="1" applyBorder="1" applyAlignment="1">
      <alignment horizontal="right"/>
    </xf>
    <xf numFmtId="0" fontId="31" fillId="23" borderId="1" xfId="0" applyFont="1" applyFill="1" applyBorder="1"/>
    <xf numFmtId="168" fontId="108" fillId="0" borderId="1" xfId="1" applyNumberFormat="1" applyFont="1" applyFill="1" applyBorder="1" applyAlignment="1">
      <alignment horizontal="right"/>
    </xf>
    <xf numFmtId="168" fontId="165" fillId="45" borderId="1" xfId="0" applyNumberFormat="1" applyFont="1" applyFill="1" applyBorder="1"/>
    <xf numFmtId="168" fontId="165" fillId="0" borderId="1" xfId="1" applyNumberFormat="1" applyFont="1" applyFill="1" applyBorder="1" applyAlignment="1">
      <alignment horizontal="right"/>
    </xf>
    <xf numFmtId="2" fontId="108" fillId="0" borderId="1" xfId="1" applyNumberFormat="1" applyFont="1" applyFill="1" applyBorder="1" applyAlignment="1">
      <alignment horizontal="right"/>
    </xf>
    <xf numFmtId="228" fontId="108" fillId="0" borderId="1" xfId="1" applyNumberFormat="1" applyFont="1" applyFill="1" applyBorder="1" applyAlignment="1">
      <alignment horizontal="right"/>
    </xf>
    <xf numFmtId="168" fontId="31" fillId="23" borderId="1" xfId="0" applyNumberFormat="1" applyFont="1" applyFill="1" applyBorder="1"/>
    <xf numFmtId="2" fontId="31" fillId="0" borderId="1" xfId="21" applyNumberFormat="1" applyFont="1" applyFill="1" applyBorder="1" applyAlignment="1">
      <alignment horizontal="right"/>
    </xf>
    <xf numFmtId="2" fontId="31" fillId="39" borderId="1" xfId="0" applyNumberFormat="1" applyFont="1" applyFill="1" applyBorder="1"/>
    <xf numFmtId="208" fontId="108" fillId="0" borderId="1" xfId="1" applyNumberFormat="1" applyFont="1" applyFill="1" applyBorder="1" applyAlignment="1">
      <alignment horizontal="right"/>
    </xf>
    <xf numFmtId="222" fontId="31" fillId="23" borderId="1" xfId="0" applyNumberFormat="1" applyFont="1" applyFill="1" applyBorder="1"/>
    <xf numFmtId="169" fontId="108" fillId="0" borderId="1" xfId="0" applyNumberFormat="1" applyFont="1" applyBorder="1" applyAlignment="1">
      <alignment horizontal="right"/>
    </xf>
    <xf numFmtId="169" fontId="31" fillId="0" borderId="1" xfId="0" applyNumberFormat="1" applyFont="1" applyBorder="1" applyAlignment="1">
      <alignment horizontal="right"/>
    </xf>
    <xf numFmtId="169" fontId="108" fillId="0" borderId="1" xfId="0" applyNumberFormat="1" applyFont="1" applyBorder="1"/>
    <xf numFmtId="0" fontId="30" fillId="0" borderId="1" xfId="0" applyFont="1" applyBorder="1"/>
    <xf numFmtId="3" fontId="108" fillId="0" borderId="1" xfId="1" applyNumberFormat="1" applyFont="1" applyFill="1" applyBorder="1"/>
    <xf numFmtId="3" fontId="31" fillId="0" borderId="1" xfId="1" applyNumberFormat="1" applyFont="1" applyFill="1" applyBorder="1"/>
    <xf numFmtId="3" fontId="31" fillId="0" borderId="1" xfId="0" applyNumberFormat="1" applyFont="1" applyBorder="1"/>
    <xf numFmtId="168" fontId="169" fillId="0" borderId="1" xfId="0" applyNumberFormat="1" applyFont="1" applyBorder="1"/>
    <xf numFmtId="1" fontId="34" fillId="0" borderId="1" xfId="0" applyNumberFormat="1" applyFont="1" applyBorder="1" applyAlignment="1">
      <alignment horizontal="right"/>
    </xf>
    <xf numFmtId="9" fontId="31" fillId="0" borderId="1" xfId="0" applyNumberFormat="1" applyFont="1" applyBorder="1"/>
    <xf numFmtId="166" fontId="31" fillId="0" borderId="1" xfId="0" applyNumberFormat="1" applyFont="1" applyBorder="1"/>
    <xf numFmtId="2" fontId="163" fillId="0" borderId="1" xfId="0" applyNumberFormat="1" applyFont="1" applyBorder="1"/>
    <xf numFmtId="2" fontId="108" fillId="0" borderId="1" xfId="0" applyNumberFormat="1" applyFont="1" applyBorder="1"/>
    <xf numFmtId="165" fontId="163" fillId="0" borderId="1" xfId="0" applyNumberFormat="1" applyFont="1" applyBorder="1"/>
    <xf numFmtId="168" fontId="34" fillId="0" borderId="1" xfId="21" applyNumberFormat="1" applyFont="1" applyFill="1" applyBorder="1" applyAlignment="1">
      <alignment horizontal="right"/>
    </xf>
    <xf numFmtId="168" fontId="163" fillId="0" borderId="1" xfId="21" applyNumberFormat="1" applyFont="1" applyFill="1" applyBorder="1" applyAlignment="1">
      <alignment horizontal="right"/>
    </xf>
    <xf numFmtId="168" fontId="34" fillId="0" borderId="1" xfId="1" applyNumberFormat="1" applyFont="1" applyFill="1" applyBorder="1" applyAlignment="1">
      <alignment horizontal="right"/>
    </xf>
    <xf numFmtId="4" fontId="34" fillId="0" borderId="1" xfId="0" applyNumberFormat="1" applyFont="1" applyBorder="1" applyAlignment="1">
      <alignment horizontal="right"/>
    </xf>
    <xf numFmtId="4" fontId="34" fillId="0" borderId="1" xfId="0" applyNumberFormat="1" applyFont="1" applyBorder="1"/>
    <xf numFmtId="231" fontId="108" fillId="0" borderId="1" xfId="1" applyNumberFormat="1" applyFont="1" applyFill="1" applyBorder="1" applyAlignment="1">
      <alignment horizontal="right"/>
    </xf>
    <xf numFmtId="169" fontId="31" fillId="0" borderId="1" xfId="1" applyNumberFormat="1" applyFont="1" applyFill="1" applyBorder="1"/>
    <xf numFmtId="168" fontId="31" fillId="0" borderId="1" xfId="1" applyNumberFormat="1" applyFont="1" applyFill="1" applyBorder="1"/>
    <xf numFmtId="169" fontId="108" fillId="0" borderId="1" xfId="1" applyNumberFormat="1" applyFont="1" applyFill="1" applyBorder="1"/>
    <xf numFmtId="169" fontId="31" fillId="41" borderId="1" xfId="1" applyNumberFormat="1" applyFont="1" applyFill="1" applyBorder="1"/>
    <xf numFmtId="169" fontId="31" fillId="41" borderId="1" xfId="0" applyNumberFormat="1" applyFont="1" applyFill="1" applyBorder="1"/>
    <xf numFmtId="169" fontId="108" fillId="41" borderId="1" xfId="1" applyNumberFormat="1" applyFont="1" applyFill="1" applyBorder="1"/>
    <xf numFmtId="168" fontId="108" fillId="0" borderId="1" xfId="1" applyNumberFormat="1" applyFont="1" applyFill="1" applyBorder="1"/>
    <xf numFmtId="168" fontId="31" fillId="23" borderId="1" xfId="21" applyNumberFormat="1" applyFont="1" applyFill="1" applyBorder="1" applyAlignment="1">
      <alignment horizontal="right"/>
    </xf>
    <xf numFmtId="222" fontId="34" fillId="0" borderId="1" xfId="0" applyNumberFormat="1" applyFont="1" applyBorder="1" applyAlignment="1">
      <alignment horizontal="right"/>
    </xf>
    <xf numFmtId="222" fontId="150" fillId="0" borderId="1" xfId="0" applyNumberFormat="1" applyFont="1" applyBorder="1" applyAlignment="1">
      <alignment horizontal="right"/>
    </xf>
    <xf numFmtId="169" fontId="34" fillId="41" borderId="1" xfId="0" applyNumberFormat="1" applyFont="1" applyFill="1" applyBorder="1"/>
    <xf numFmtId="169" fontId="108" fillId="41" borderId="1" xfId="0" applyNumberFormat="1" applyFont="1" applyFill="1" applyBorder="1"/>
    <xf numFmtId="222" fontId="150" fillId="0" borderId="1" xfId="0" applyNumberFormat="1" applyFont="1" applyBorder="1"/>
    <xf numFmtId="170" fontId="158" fillId="4" borderId="0" xfId="4264" applyNumberFormat="1" applyFont="1" applyFill="1" applyBorder="1" applyAlignment="1">
      <alignment horizontal="right"/>
    </xf>
    <xf numFmtId="166" fontId="31" fillId="5" borderId="1" xfId="4264" applyNumberFormat="1" applyFont="1" applyFill="1" applyBorder="1" applyAlignment="1">
      <alignment horizontal="right"/>
    </xf>
    <xf numFmtId="0" fontId="27" fillId="0" borderId="49" xfId="0" applyFont="1" applyBorder="1" applyAlignment="1">
      <alignment horizontal="right"/>
    </xf>
    <xf numFmtId="3" fontId="27" fillId="0" borderId="49" xfId="0" applyNumberFormat="1" applyFont="1" applyBorder="1" applyAlignment="1">
      <alignment horizontal="right"/>
    </xf>
    <xf numFmtId="169" fontId="28" fillId="0" borderId="49" xfId="0" applyNumberFormat="1" applyFont="1" applyBorder="1" applyAlignment="1">
      <alignment horizontal="right"/>
    </xf>
    <xf numFmtId="169" fontId="27" fillId="0" borderId="49" xfId="0" applyNumberFormat="1" applyFont="1" applyBorder="1" applyAlignment="1">
      <alignment horizontal="right"/>
    </xf>
    <xf numFmtId="4" fontId="28" fillId="0" borderId="49" xfId="0" applyNumberFormat="1" applyFont="1" applyBorder="1" applyAlignment="1">
      <alignment horizontal="right"/>
    </xf>
    <xf numFmtId="169" fontId="27" fillId="46" borderId="49" xfId="0" applyNumberFormat="1" applyFont="1" applyFill="1" applyBorder="1" applyAlignment="1">
      <alignment horizontal="right"/>
    </xf>
    <xf numFmtId="9" fontId="28" fillId="0" borderId="50" xfId="2" applyFont="1" applyFill="1" applyBorder="1" applyAlignment="1">
      <alignment horizontal="right"/>
    </xf>
    <xf numFmtId="231" fontId="28" fillId="0" borderId="51" xfId="0" applyNumberFormat="1" applyFont="1" applyBorder="1" applyAlignment="1">
      <alignment horizontal="right"/>
    </xf>
    <xf numFmtId="4" fontId="28" fillId="0" borderId="4" xfId="0" applyNumberFormat="1" applyFont="1" applyBorder="1" applyAlignment="1">
      <alignment horizontal="right"/>
    </xf>
    <xf numFmtId="166" fontId="30" fillId="2" borderId="0" xfId="4264" applyNumberFormat="1" applyFont="1" applyFill="1" applyBorder="1" applyAlignment="1">
      <alignment horizontal="right"/>
    </xf>
    <xf numFmtId="169" fontId="31" fillId="0" borderId="0" xfId="4264" applyNumberFormat="1" applyFont="1" applyBorder="1" applyAlignment="1">
      <alignment horizontal="right"/>
    </xf>
    <xf numFmtId="166" fontId="31" fillId="0" borderId="0" xfId="4264" applyNumberFormat="1" applyFont="1" applyAlignment="1">
      <alignment horizontal="right"/>
    </xf>
    <xf numFmtId="166" fontId="31" fillId="0" borderId="0" xfId="4264" applyNumberFormat="1" applyFont="1" applyFill="1" applyAlignment="1">
      <alignment horizontal="right"/>
    </xf>
    <xf numFmtId="208" fontId="31" fillId="0" borderId="0" xfId="4264" applyNumberFormat="1" applyFont="1" applyBorder="1" applyAlignment="1">
      <alignment horizontal="right"/>
    </xf>
    <xf numFmtId="222" fontId="158" fillId="23" borderId="0" xfId="4264" applyNumberFormat="1" applyFont="1" applyFill="1" applyBorder="1" applyAlignment="1">
      <alignment horizontal="right"/>
    </xf>
    <xf numFmtId="222" fontId="157" fillId="23" borderId="0" xfId="4264" applyNumberFormat="1" applyFont="1" applyFill="1" applyBorder="1"/>
    <xf numFmtId="222" fontId="31" fillId="23" borderId="0" xfId="4264" applyNumberFormat="1" applyFont="1" applyFill="1" applyBorder="1"/>
    <xf numFmtId="222" fontId="31" fillId="23" borderId="1" xfId="4264" applyNumberFormat="1" applyFont="1" applyFill="1" applyBorder="1"/>
    <xf numFmtId="222" fontId="31" fillId="0" borderId="0" xfId="4264" applyNumberFormat="1" applyFont="1" applyFill="1" applyBorder="1" applyAlignment="1">
      <alignment horizontal="right"/>
    </xf>
    <xf numFmtId="222" fontId="31" fillId="23" borderId="0" xfId="4264" applyNumberFormat="1" applyFont="1" applyFill="1" applyBorder="1" applyAlignment="1">
      <alignment horizontal="right"/>
    </xf>
    <xf numFmtId="168" fontId="1" fillId="0" borderId="0" xfId="0" applyNumberFormat="1" applyFont="1"/>
    <xf numFmtId="169" fontId="31" fillId="0" borderId="0" xfId="4264" applyNumberFormat="1" applyFont="1" applyFill="1" applyBorder="1" applyAlignment="1">
      <alignment horizontal="right"/>
    </xf>
    <xf numFmtId="169" fontId="31" fillId="41" borderId="0" xfId="4264" applyNumberFormat="1" applyFont="1" applyFill="1" applyBorder="1" applyAlignment="1">
      <alignment horizontal="right"/>
    </xf>
    <xf numFmtId="222" fontId="31" fillId="0" borderId="1" xfId="4264" applyNumberFormat="1" applyFont="1" applyFill="1" applyBorder="1" applyAlignment="1">
      <alignment horizontal="right"/>
    </xf>
    <xf numFmtId="169" fontId="34" fillId="0" borderId="0" xfId="4264" applyNumberFormat="1" applyFont="1" applyFill="1" applyBorder="1" applyAlignment="1">
      <alignment horizontal="right"/>
    </xf>
    <xf numFmtId="169" fontId="160" fillId="41" borderId="0" xfId="4264" applyNumberFormat="1" applyFont="1" applyFill="1" applyBorder="1" applyAlignment="1">
      <alignment horizontal="right"/>
    </xf>
    <xf numFmtId="222" fontId="34" fillId="0" borderId="0" xfId="4264" applyNumberFormat="1" applyFont="1" applyFill="1" applyBorder="1" applyAlignment="1">
      <alignment horizontal="right"/>
    </xf>
    <xf numFmtId="168" fontId="31" fillId="0" borderId="0" xfId="4264" applyNumberFormat="1" applyFont="1" applyFill="1" applyBorder="1" applyAlignment="1">
      <alignment horizontal="right"/>
    </xf>
    <xf numFmtId="169" fontId="108" fillId="0" borderId="0" xfId="4264" applyNumberFormat="1" applyFont="1" applyFill="1" applyBorder="1" applyAlignment="1">
      <alignment horizontal="right"/>
    </xf>
    <xf numFmtId="169" fontId="108" fillId="0" borderId="1" xfId="4264" applyNumberFormat="1" applyFont="1" applyFill="1" applyBorder="1" applyAlignment="1">
      <alignment horizontal="right"/>
    </xf>
    <xf numFmtId="169" fontId="108" fillId="41" borderId="0" xfId="4264" applyNumberFormat="1" applyFont="1" applyFill="1" applyBorder="1" applyAlignment="1">
      <alignment horizontal="right"/>
    </xf>
    <xf numFmtId="222" fontId="108" fillId="0" borderId="0" xfId="4264" applyNumberFormat="1" applyFont="1" applyFill="1" applyBorder="1" applyAlignment="1">
      <alignment horizontal="right"/>
    </xf>
    <xf numFmtId="222" fontId="108" fillId="0" borderId="1" xfId="4264" applyNumberFormat="1" applyFont="1" applyFill="1" applyBorder="1" applyAlignment="1">
      <alignment horizontal="right"/>
    </xf>
    <xf numFmtId="222" fontId="34" fillId="0" borderId="1" xfId="4264" applyNumberFormat="1" applyFont="1" applyFill="1" applyBorder="1" applyAlignment="1">
      <alignment horizontal="right"/>
    </xf>
    <xf numFmtId="222" fontId="31" fillId="0" borderId="0" xfId="4264" applyNumberFormat="1" applyFont="1" applyBorder="1" applyAlignment="1">
      <alignment horizontal="right"/>
    </xf>
    <xf numFmtId="231" fontId="108" fillId="0" borderId="0" xfId="4264" applyNumberFormat="1" applyFont="1" applyFill="1" applyBorder="1" applyAlignment="1">
      <alignment horizontal="right"/>
    </xf>
    <xf numFmtId="222" fontId="108" fillId="0" borderId="0" xfId="4264" applyNumberFormat="1" applyFont="1" applyBorder="1" applyAlignment="1">
      <alignment horizontal="right"/>
    </xf>
    <xf numFmtId="168" fontId="1" fillId="41" borderId="0" xfId="0" applyNumberFormat="1" applyFont="1" applyFill="1"/>
    <xf numFmtId="169" fontId="163" fillId="0" borderId="0" xfId="4264" applyNumberFormat="1" applyFont="1" applyFill="1" applyBorder="1" applyAlignment="1">
      <alignment horizontal="right"/>
    </xf>
    <xf numFmtId="169" fontId="163" fillId="0" borderId="1" xfId="4264" applyNumberFormat="1" applyFont="1" applyFill="1" applyBorder="1" applyAlignment="1">
      <alignment horizontal="right"/>
    </xf>
    <xf numFmtId="169" fontId="31" fillId="41" borderId="1" xfId="4264" applyNumberFormat="1" applyFont="1" applyFill="1" applyBorder="1" applyAlignment="1">
      <alignment horizontal="right"/>
    </xf>
    <xf numFmtId="169" fontId="31" fillId="0" borderId="1" xfId="4264" applyNumberFormat="1" applyFont="1" applyFill="1" applyBorder="1" applyAlignment="1">
      <alignment horizontal="right"/>
    </xf>
    <xf numFmtId="169" fontId="34" fillId="41" borderId="0" xfId="4264" applyNumberFormat="1" applyFont="1" applyFill="1" applyBorder="1" applyAlignment="1">
      <alignment horizontal="right"/>
    </xf>
    <xf numFmtId="222" fontId="34" fillId="41" borderId="0" xfId="4264" applyNumberFormat="1" applyFont="1" applyFill="1" applyBorder="1" applyAlignment="1">
      <alignment horizontal="right"/>
    </xf>
    <xf numFmtId="169" fontId="34" fillId="0" borderId="1" xfId="4264" applyNumberFormat="1" applyFont="1" applyFill="1" applyBorder="1" applyAlignment="1">
      <alignment horizontal="right"/>
    </xf>
    <xf numFmtId="9" fontId="31" fillId="41" borderId="0" xfId="4264" applyFont="1" applyFill="1" applyBorder="1" applyAlignment="1">
      <alignment horizontal="right"/>
    </xf>
    <xf numFmtId="9" fontId="31" fillId="41" borderId="1" xfId="4264" applyFont="1" applyFill="1" applyBorder="1" applyAlignment="1">
      <alignment horizontal="right"/>
    </xf>
    <xf numFmtId="9" fontId="160" fillId="41" borderId="0" xfId="4264" applyFont="1" applyFill="1" applyBorder="1" applyAlignment="1">
      <alignment horizontal="right"/>
    </xf>
    <xf numFmtId="9" fontId="1" fillId="0" borderId="0" xfId="4264" applyFont="1" applyFill="1" applyBorder="1" applyAlignment="1">
      <alignment horizontal="right"/>
    </xf>
    <xf numFmtId="9" fontId="1" fillId="0" borderId="1" xfId="4264" applyFont="1" applyFill="1" applyBorder="1" applyAlignment="1">
      <alignment horizontal="right"/>
    </xf>
    <xf numFmtId="9" fontId="1" fillId="41" borderId="0" xfId="4264" applyFont="1" applyFill="1" applyBorder="1" applyAlignment="1">
      <alignment horizontal="right"/>
    </xf>
    <xf numFmtId="168" fontId="160" fillId="41" borderId="0" xfId="4264" applyNumberFormat="1" applyFont="1" applyFill="1" applyBorder="1" applyAlignment="1">
      <alignment horizontal="right"/>
    </xf>
    <xf numFmtId="168" fontId="108" fillId="0" borderId="0" xfId="4264" applyNumberFormat="1" applyFont="1" applyFill="1" applyBorder="1" applyAlignment="1">
      <alignment horizontal="right"/>
    </xf>
    <xf numFmtId="208" fontId="108" fillId="0" borderId="0" xfId="4264" applyNumberFormat="1" applyFont="1" applyFill="1" applyBorder="1" applyAlignment="1">
      <alignment horizontal="right"/>
    </xf>
    <xf numFmtId="2" fontId="108" fillId="0" borderId="0" xfId="4264" applyNumberFormat="1" applyFont="1" applyFill="1" applyBorder="1" applyAlignment="1">
      <alignment horizontal="right"/>
    </xf>
    <xf numFmtId="168" fontId="108" fillId="0" borderId="1" xfId="4264" applyNumberFormat="1" applyFont="1" applyFill="1" applyBorder="1" applyAlignment="1">
      <alignment horizontal="right"/>
    </xf>
    <xf numFmtId="168" fontId="108" fillId="41" borderId="0" xfId="4264" applyNumberFormat="1" applyFont="1" applyFill="1" applyBorder="1" applyAlignment="1">
      <alignment horizontal="right"/>
    </xf>
    <xf numFmtId="9" fontId="31" fillId="0" borderId="0" xfId="4264" applyFont="1" applyFill="1" applyBorder="1"/>
    <xf numFmtId="9" fontId="31" fillId="0" borderId="1" xfId="4264" applyFont="1" applyFill="1" applyBorder="1"/>
    <xf numFmtId="9" fontId="31" fillId="41" borderId="0" xfId="4264" applyFont="1" applyFill="1" applyBorder="1"/>
    <xf numFmtId="166" fontId="158" fillId="0" borderId="0" xfId="4264" applyNumberFormat="1" applyFont="1" applyFill="1" applyAlignment="1">
      <alignment horizontal="right"/>
    </xf>
    <xf numFmtId="166" fontId="158" fillId="0" borderId="0" xfId="4264" applyNumberFormat="1" applyFont="1" applyFill="1" applyBorder="1" applyAlignment="1">
      <alignment horizontal="right"/>
    </xf>
    <xf numFmtId="166" fontId="157" fillId="0" borderId="0" xfId="4264" applyNumberFormat="1" applyFont="1"/>
    <xf numFmtId="166" fontId="31" fillId="0" borderId="0" xfId="4264" applyNumberFormat="1" applyFont="1" applyBorder="1"/>
    <xf numFmtId="2" fontId="31" fillId="0" borderId="0" xfId="4264" applyNumberFormat="1" applyFont="1" applyBorder="1"/>
    <xf numFmtId="166" fontId="31" fillId="0" borderId="1" xfId="4264" applyNumberFormat="1" applyFont="1" applyBorder="1"/>
    <xf numFmtId="166" fontId="31" fillId="0" borderId="0" xfId="4264" applyNumberFormat="1" applyFont="1"/>
    <xf numFmtId="2" fontId="34" fillId="0" borderId="0" xfId="4264" applyNumberFormat="1" applyFont="1" applyBorder="1"/>
    <xf numFmtId="208" fontId="34" fillId="0" borderId="0" xfId="4264" applyNumberFormat="1" applyFont="1" applyBorder="1"/>
    <xf numFmtId="168" fontId="1" fillId="0" borderId="1" xfId="0" applyNumberFormat="1" applyFont="1" applyBorder="1"/>
    <xf numFmtId="2" fontId="34" fillId="0" borderId="1" xfId="4264" applyNumberFormat="1" applyFont="1" applyBorder="1"/>
    <xf numFmtId="166" fontId="162" fillId="0" borderId="0" xfId="4264" applyNumberFormat="1" applyFont="1" applyFill="1" applyAlignment="1">
      <alignment horizontal="right"/>
    </xf>
    <xf numFmtId="166" fontId="162" fillId="0" borderId="0" xfId="4264" applyNumberFormat="1" applyFont="1" applyFill="1" applyBorder="1" applyAlignment="1">
      <alignment horizontal="right"/>
    </xf>
    <xf numFmtId="166" fontId="164" fillId="0" borderId="0" xfId="4264" applyNumberFormat="1" applyFont="1" applyFill="1"/>
    <xf numFmtId="166" fontId="108" fillId="0" borderId="0" xfId="4264" applyNumberFormat="1" applyFont="1" applyFill="1" applyBorder="1"/>
    <xf numFmtId="166" fontId="108" fillId="0" borderId="0" xfId="4264" applyNumberFormat="1" applyFont="1" applyFill="1" applyAlignment="1">
      <alignment horizontal="right"/>
    </xf>
    <xf numFmtId="166" fontId="108" fillId="0" borderId="0" xfId="4264" applyNumberFormat="1" applyFont="1" applyFill="1" applyBorder="1" applyAlignment="1">
      <alignment horizontal="right"/>
    </xf>
    <xf numFmtId="166" fontId="108" fillId="0" borderId="0" xfId="4264" applyNumberFormat="1" applyFont="1" applyFill="1"/>
    <xf numFmtId="166" fontId="157" fillId="0" borderId="0" xfId="4264" applyNumberFormat="1" applyFont="1" applyFill="1"/>
    <xf numFmtId="166" fontId="31" fillId="0" borderId="0" xfId="4264" applyNumberFormat="1" applyFont="1" applyFill="1" applyBorder="1"/>
    <xf numFmtId="166" fontId="31" fillId="0" borderId="0" xfId="4264" applyNumberFormat="1" applyFont="1" applyFill="1"/>
    <xf numFmtId="2" fontId="31" fillId="0" borderId="0" xfId="4264" applyNumberFormat="1" applyFont="1" applyFill="1" applyBorder="1"/>
    <xf numFmtId="166" fontId="31" fillId="0" borderId="1" xfId="4264" applyNumberFormat="1" applyFont="1" applyFill="1" applyBorder="1"/>
    <xf numFmtId="166" fontId="160" fillId="0" borderId="0" xfId="4264" applyNumberFormat="1" applyFont="1" applyFill="1" applyBorder="1"/>
    <xf numFmtId="222" fontId="158" fillId="0" borderId="0" xfId="4264" applyNumberFormat="1" applyFont="1" applyFill="1" applyBorder="1" applyAlignment="1">
      <alignment horizontal="right"/>
    </xf>
    <xf numFmtId="166" fontId="157" fillId="0" borderId="0" xfId="4264" applyNumberFormat="1" applyFont="1" applyFill="1" applyBorder="1" applyAlignment="1">
      <alignment horizontal="right"/>
    </xf>
    <xf numFmtId="166" fontId="157" fillId="0" borderId="1" xfId="4264" applyNumberFormat="1" applyFont="1" applyFill="1" applyBorder="1" applyAlignment="1">
      <alignment horizontal="right"/>
    </xf>
    <xf numFmtId="166" fontId="157" fillId="0" borderId="0" xfId="4264" applyNumberFormat="1" applyFont="1" applyFill="1" applyAlignment="1">
      <alignment horizontal="right"/>
    </xf>
    <xf numFmtId="9" fontId="34" fillId="0" borderId="0" xfId="4264" applyFont="1" applyFill="1" applyBorder="1" applyAlignment="1">
      <alignment horizontal="right"/>
    </xf>
    <xf numFmtId="9" fontId="34" fillId="0" borderId="1" xfId="4264" applyFont="1" applyFill="1" applyBorder="1" applyAlignment="1">
      <alignment horizontal="right"/>
    </xf>
    <xf numFmtId="9" fontId="31" fillId="0" borderId="0" xfId="4264" applyFont="1" applyFill="1" applyAlignment="1">
      <alignment horizontal="right"/>
    </xf>
    <xf numFmtId="166" fontId="157" fillId="43" borderId="0" xfId="4264" applyNumberFormat="1" applyFont="1" applyFill="1" applyAlignment="1">
      <alignment horizontal="right"/>
    </xf>
    <xf numFmtId="227" fontId="31" fillId="0" borderId="0" xfId="4264" applyNumberFormat="1" applyFont="1" applyFill="1" applyAlignment="1">
      <alignment horizontal="right"/>
    </xf>
    <xf numFmtId="227" fontId="31" fillId="0" borderId="0" xfId="4264" applyNumberFormat="1" applyFont="1" applyAlignment="1">
      <alignment horizontal="right"/>
    </xf>
    <xf numFmtId="227" fontId="31" fillId="0" borderId="0" xfId="4264" applyNumberFormat="1" applyFont="1" applyBorder="1" applyAlignment="1">
      <alignment horizontal="right"/>
    </xf>
    <xf numFmtId="166" fontId="160" fillId="0" borderId="0" xfId="4264" applyNumberFormat="1" applyFont="1" applyBorder="1" applyAlignment="1">
      <alignment horizontal="right"/>
    </xf>
    <xf numFmtId="9" fontId="157" fillId="0" borderId="0" xfId="4264" applyFont="1" applyFill="1" applyAlignment="1">
      <alignment horizontal="right"/>
    </xf>
    <xf numFmtId="166" fontId="34" fillId="0" borderId="0" xfId="4264" applyNumberFormat="1" applyFont="1" applyFill="1" applyBorder="1" applyAlignment="1">
      <alignment horizontal="right"/>
    </xf>
    <xf numFmtId="166" fontId="34" fillId="0" borderId="1" xfId="4264" applyNumberFormat="1" applyFont="1" applyFill="1" applyBorder="1" applyAlignment="1">
      <alignment horizontal="right"/>
    </xf>
    <xf numFmtId="7" fontId="34" fillId="0" borderId="0" xfId="4263" applyNumberFormat="1" applyFont="1" applyFill="1" applyBorder="1" applyAlignment="1">
      <alignment horizontal="right"/>
    </xf>
    <xf numFmtId="7" fontId="34" fillId="0" borderId="0" xfId="4263" applyNumberFormat="1" applyFont="1" applyBorder="1" applyAlignment="1">
      <alignment horizontal="right"/>
    </xf>
    <xf numFmtId="7" fontId="34" fillId="0" borderId="1" xfId="4263" applyNumberFormat="1" applyFont="1" applyBorder="1" applyAlignment="1">
      <alignment horizontal="right"/>
    </xf>
    <xf numFmtId="166" fontId="158" fillId="23" borderId="0" xfId="4264" applyNumberFormat="1" applyFont="1" applyFill="1" applyAlignment="1">
      <alignment horizontal="right"/>
    </xf>
    <xf numFmtId="166" fontId="158" fillId="23" borderId="0" xfId="4264" applyNumberFormat="1" applyFont="1" applyFill="1" applyBorder="1" applyAlignment="1">
      <alignment horizontal="right"/>
    </xf>
    <xf numFmtId="166" fontId="157" fillId="23" borderId="0" xfId="4264" applyNumberFormat="1" applyFont="1" applyFill="1"/>
    <xf numFmtId="166" fontId="31" fillId="23" borderId="0" xfId="4264" applyNumberFormat="1" applyFont="1" applyFill="1" applyBorder="1"/>
    <xf numFmtId="166" fontId="31" fillId="23" borderId="1" xfId="4264" applyNumberFormat="1" applyFont="1" applyFill="1" applyBorder="1"/>
    <xf numFmtId="166" fontId="31" fillId="23" borderId="0" xfId="4264" applyNumberFormat="1" applyFont="1" applyFill="1" applyAlignment="1">
      <alignment horizontal="right"/>
    </xf>
    <xf numFmtId="166" fontId="31" fillId="23" borderId="0" xfId="4264" applyNumberFormat="1" applyFont="1" applyFill="1" applyBorder="1" applyAlignment="1">
      <alignment horizontal="right"/>
    </xf>
    <xf numFmtId="166" fontId="31" fillId="23" borderId="0" xfId="4264" applyNumberFormat="1" applyFont="1" applyFill="1"/>
    <xf numFmtId="168" fontId="34" fillId="0" borderId="0" xfId="4264" applyNumberFormat="1" applyFont="1" applyFill="1" applyBorder="1"/>
    <xf numFmtId="168" fontId="31" fillId="0" borderId="1" xfId="4264" applyNumberFormat="1" applyFont="1" applyFill="1" applyBorder="1"/>
    <xf numFmtId="168" fontId="31" fillId="0" borderId="0" xfId="4264" applyNumberFormat="1" applyFont="1" applyFill="1" applyBorder="1"/>
    <xf numFmtId="168" fontId="31" fillId="0" borderId="0" xfId="4264" applyNumberFormat="1" applyFont="1" applyFill="1" applyAlignment="1">
      <alignment horizontal="right"/>
    </xf>
    <xf numFmtId="168" fontId="108" fillId="39" borderId="0" xfId="4264" applyNumberFormat="1" applyFont="1" applyFill="1" applyBorder="1"/>
    <xf numFmtId="168" fontId="1" fillId="39" borderId="0" xfId="0" applyNumberFormat="1" applyFont="1" applyFill="1"/>
    <xf numFmtId="168" fontId="31" fillId="4" borderId="0" xfId="4264" applyNumberFormat="1" applyFont="1" applyFill="1" applyBorder="1"/>
    <xf numFmtId="168" fontId="160" fillId="0" borderId="0" xfId="4264" applyNumberFormat="1" applyFont="1" applyFill="1" applyBorder="1"/>
    <xf numFmtId="168" fontId="31" fillId="39" borderId="0" xfId="4264" applyNumberFormat="1" applyFont="1" applyFill="1" applyBorder="1"/>
    <xf numFmtId="168" fontId="163" fillId="0" borderId="0" xfId="4264" applyNumberFormat="1" applyFont="1" applyFill="1" applyBorder="1"/>
    <xf numFmtId="168" fontId="108" fillId="0" borderId="1" xfId="4264" applyNumberFormat="1" applyFont="1" applyFill="1" applyBorder="1"/>
    <xf numFmtId="168" fontId="108" fillId="0" borderId="0" xfId="4264" applyNumberFormat="1" applyFont="1" applyFill="1" applyBorder="1"/>
    <xf numFmtId="168" fontId="108" fillId="0" borderId="0" xfId="4264" applyNumberFormat="1" applyFont="1" applyFill="1" applyAlignment="1">
      <alignment horizontal="right"/>
    </xf>
    <xf numFmtId="208" fontId="31" fillId="0" borderId="0" xfId="4264" applyNumberFormat="1" applyFont="1" applyFill="1" applyBorder="1"/>
    <xf numFmtId="208" fontId="31" fillId="0" borderId="1" xfId="4264" applyNumberFormat="1" applyFont="1" applyFill="1" applyBorder="1"/>
    <xf numFmtId="9" fontId="163" fillId="0" borderId="0" xfId="4264" applyFont="1" applyFill="1" applyBorder="1"/>
    <xf numFmtId="9" fontId="150" fillId="0" borderId="0" xfId="4264" applyFont="1" applyFill="1" applyBorder="1"/>
    <xf numFmtId="9" fontId="108" fillId="0" borderId="0" xfId="4264" applyFont="1" applyFill="1" applyBorder="1"/>
    <xf numFmtId="9" fontId="108" fillId="0" borderId="1" xfId="4264" applyFont="1" applyFill="1" applyBorder="1"/>
    <xf numFmtId="9" fontId="1" fillId="45" borderId="0" xfId="4264" applyFont="1" applyFill="1" applyBorder="1"/>
    <xf numFmtId="9" fontId="1" fillId="45" borderId="1" xfId="4264" applyFont="1" applyFill="1" applyBorder="1"/>
    <xf numFmtId="9" fontId="1" fillId="0" borderId="0" xfId="4264" applyFont="1" applyFill="1" applyBorder="1"/>
    <xf numFmtId="9" fontId="31" fillId="0" borderId="0" xfId="4264" applyFont="1"/>
    <xf numFmtId="9" fontId="31" fillId="0" borderId="0" xfId="4264" applyFont="1" applyBorder="1"/>
    <xf numFmtId="9" fontId="31" fillId="0" borderId="1" xfId="4264" applyFont="1" applyBorder="1"/>
    <xf numFmtId="166" fontId="160" fillId="45" borderId="4" xfId="4264" applyNumberFormat="1" applyFont="1" applyFill="1" applyBorder="1"/>
    <xf numFmtId="166" fontId="160" fillId="45" borderId="0" xfId="4264" applyNumberFormat="1" applyFont="1" applyFill="1" applyBorder="1"/>
    <xf numFmtId="9" fontId="31" fillId="0" borderId="0" xfId="4264" applyFont="1" applyBorder="1" applyAlignment="1">
      <alignment horizontal="right"/>
    </xf>
    <xf numFmtId="9" fontId="31" fillId="0" borderId="1" xfId="4264" applyFont="1" applyBorder="1" applyAlignment="1">
      <alignment horizontal="right"/>
    </xf>
    <xf numFmtId="2" fontId="31" fillId="0" borderId="0" xfId="4264" applyNumberFormat="1" applyFont="1" applyBorder="1" applyAlignment="1">
      <alignment horizontal="right"/>
    </xf>
    <xf numFmtId="2" fontId="31" fillId="0" borderId="1" xfId="4264" applyNumberFormat="1" applyFont="1" applyFill="1" applyBorder="1"/>
    <xf numFmtId="2" fontId="31" fillId="44" borderId="0" xfId="4264" applyNumberFormat="1" applyFont="1" applyFill="1" applyBorder="1"/>
    <xf numFmtId="10" fontId="31" fillId="0" borderId="0" xfId="4264" applyNumberFormat="1" applyFont="1" applyFill="1" applyBorder="1"/>
    <xf numFmtId="10" fontId="31" fillId="0" borderId="1" xfId="4264" applyNumberFormat="1" applyFont="1" applyFill="1" applyBorder="1"/>
    <xf numFmtId="10" fontId="31" fillId="0" borderId="0" xfId="4264" applyNumberFormat="1" applyFont="1"/>
    <xf numFmtId="166" fontId="160" fillId="45" borderId="1" xfId="4264" applyNumberFormat="1" applyFont="1" applyFill="1" applyBorder="1"/>
    <xf numFmtId="2" fontId="31" fillId="0" borderId="1" xfId="4264" applyNumberFormat="1" applyFont="1" applyBorder="1" applyAlignment="1">
      <alignment horizontal="right"/>
    </xf>
    <xf numFmtId="166" fontId="160" fillId="0" borderId="1" xfId="4264" applyNumberFormat="1" applyFont="1" applyFill="1" applyBorder="1"/>
    <xf numFmtId="168" fontId="31" fillId="23" borderId="0" xfId="4264" applyNumberFormat="1" applyFont="1" applyFill="1" applyBorder="1"/>
    <xf numFmtId="222" fontId="158" fillId="0" borderId="0" xfId="4264" applyNumberFormat="1" applyFont="1" applyFill="1" applyAlignment="1">
      <alignment horizontal="right"/>
    </xf>
    <xf numFmtId="3" fontId="34" fillId="0" borderId="0" xfId="4264" applyNumberFormat="1" applyFont="1" applyFill="1" applyBorder="1" applyAlignment="1">
      <alignment horizontal="right"/>
    </xf>
    <xf numFmtId="168" fontId="31" fillId="0" borderId="1" xfId="4264" applyNumberFormat="1" applyFont="1" applyFill="1" applyBorder="1" applyAlignment="1">
      <alignment horizontal="right"/>
    </xf>
    <xf numFmtId="3" fontId="31" fillId="0" borderId="0" xfId="4264" applyNumberFormat="1" applyFont="1" applyFill="1" applyAlignment="1">
      <alignment horizontal="right"/>
    </xf>
    <xf numFmtId="3" fontId="31" fillId="0" borderId="0" xfId="4264" applyNumberFormat="1" applyFont="1" applyFill="1" applyBorder="1" applyAlignment="1">
      <alignment horizontal="right"/>
    </xf>
    <xf numFmtId="222" fontId="162" fillId="0" borderId="0" xfId="4264" applyNumberFormat="1" applyFont="1" applyFill="1" applyAlignment="1">
      <alignment horizontal="right"/>
    </xf>
    <xf numFmtId="2" fontId="1" fillId="0" borderId="0" xfId="0" applyNumberFormat="1" applyFont="1"/>
    <xf numFmtId="2" fontId="108" fillId="0" borderId="0" xfId="4264" applyNumberFormat="1" applyFont="1" applyFill="1" applyAlignment="1">
      <alignment horizontal="right"/>
    </xf>
    <xf numFmtId="9" fontId="155" fillId="0" borderId="0" xfId="4264" applyFont="1" applyFill="1" applyBorder="1" applyAlignment="1">
      <alignment horizontal="left"/>
    </xf>
    <xf numFmtId="9" fontId="1" fillId="0" borderId="0" xfId="4264" applyFont="1" applyAlignment="1">
      <alignment horizontal="left"/>
    </xf>
    <xf numFmtId="9" fontId="31" fillId="0" borderId="0" xfId="4264" applyFont="1" applyFill="1" applyAlignment="1">
      <alignment horizontal="left" indent="2"/>
    </xf>
    <xf numFmtId="9" fontId="31" fillId="0" borderId="0" xfId="4264" applyFont="1" applyFill="1"/>
    <xf numFmtId="9" fontId="158" fillId="0" borderId="0" xfId="4264" applyFont="1" applyFill="1" applyAlignment="1">
      <alignment horizontal="right"/>
    </xf>
    <xf numFmtId="2" fontId="155" fillId="0" borderId="0" xfId="4264" applyNumberFormat="1" applyFont="1" applyFill="1" applyAlignment="1">
      <alignment horizontal="left"/>
    </xf>
    <xf numFmtId="2" fontId="31" fillId="0" borderId="0" xfId="4264" applyNumberFormat="1" applyFont="1" applyFill="1" applyAlignment="1">
      <alignment horizontal="right"/>
    </xf>
    <xf numFmtId="2" fontId="31" fillId="0" borderId="0" xfId="4264" applyNumberFormat="1" applyFont="1" applyFill="1" applyBorder="1" applyAlignment="1">
      <alignment horizontal="right"/>
    </xf>
    <xf numFmtId="9" fontId="155" fillId="0" borderId="0" xfId="4264" applyFont="1" applyFill="1" applyAlignment="1">
      <alignment horizontal="left"/>
    </xf>
    <xf numFmtId="9" fontId="150" fillId="0" borderId="0" xfId="4264" applyFont="1" applyAlignment="1">
      <alignment horizontal="left"/>
    </xf>
    <xf numFmtId="9" fontId="108" fillId="0" borderId="0" xfId="4264" applyFont="1" applyFill="1" applyAlignment="1">
      <alignment horizontal="left" indent="2"/>
    </xf>
    <xf numFmtId="9" fontId="108" fillId="0" borderId="0" xfId="4264" applyFont="1" applyFill="1"/>
    <xf numFmtId="9" fontId="162" fillId="0" borderId="0" xfId="4264" applyFont="1" applyFill="1" applyAlignment="1">
      <alignment horizontal="right"/>
    </xf>
    <xf numFmtId="9" fontId="162" fillId="0" borderId="0" xfId="4264" applyFont="1" applyFill="1" applyBorder="1" applyAlignment="1">
      <alignment horizontal="right"/>
    </xf>
    <xf numFmtId="2" fontId="163" fillId="0" borderId="0" xfId="4264" applyNumberFormat="1" applyFont="1"/>
    <xf numFmtId="2" fontId="163" fillId="0" borderId="0" xfId="4264" applyNumberFormat="1" applyFont="1" applyFill="1" applyBorder="1"/>
    <xf numFmtId="2" fontId="161" fillId="0" borderId="0" xfId="4264" applyNumberFormat="1" applyFont="1" applyFill="1"/>
    <xf numFmtId="2" fontId="108" fillId="0" borderId="0" xfId="4264" applyNumberFormat="1" applyFont="1" applyFill="1" applyBorder="1"/>
    <xf numFmtId="2" fontId="163" fillId="0" borderId="1" xfId="4264" applyNumberFormat="1" applyFont="1" applyFill="1" applyBorder="1"/>
    <xf numFmtId="2" fontId="108" fillId="0" borderId="0" xfId="4264" applyNumberFormat="1" applyFont="1"/>
    <xf numFmtId="2" fontId="150" fillId="0" borderId="0" xfId="4264" applyNumberFormat="1" applyFont="1" applyFill="1" applyBorder="1"/>
    <xf numFmtId="2" fontId="161" fillId="0" borderId="0" xfId="4264" applyNumberFormat="1" applyFont="1" applyFill="1" applyAlignment="1">
      <alignment horizontal="left"/>
    </xf>
    <xf numFmtId="2" fontId="108" fillId="0" borderId="0" xfId="4264" applyNumberFormat="1" applyFont="1" applyBorder="1"/>
    <xf numFmtId="2" fontId="108" fillId="0" borderId="1" xfId="4264" applyNumberFormat="1" applyFont="1" applyBorder="1"/>
    <xf numFmtId="2" fontId="31" fillId="0" borderId="0" xfId="4264" applyNumberFormat="1" applyFont="1"/>
    <xf numFmtId="165" fontId="31" fillId="0" borderId="0" xfId="4264" applyNumberFormat="1" applyFont="1" applyFill="1" applyBorder="1"/>
    <xf numFmtId="165" fontId="31" fillId="0" borderId="1" xfId="4264" applyNumberFormat="1" applyFont="1" applyFill="1" applyBorder="1"/>
    <xf numFmtId="2" fontId="31" fillId="0" borderId="1" xfId="4264" applyNumberFormat="1" applyFont="1" applyBorder="1"/>
    <xf numFmtId="2" fontId="163" fillId="0" borderId="0" xfId="4264" applyNumberFormat="1" applyFont="1" applyFill="1"/>
    <xf numFmtId="9" fontId="158" fillId="0" borderId="0" xfId="4264" applyFont="1" applyFill="1" applyBorder="1" applyAlignment="1">
      <alignment horizontal="right"/>
    </xf>
    <xf numFmtId="2" fontId="108" fillId="0" borderId="1" xfId="4264" applyNumberFormat="1" applyFont="1" applyFill="1" applyBorder="1"/>
    <xf numFmtId="9" fontId="31" fillId="0" borderId="4" xfId="4264" applyFont="1" applyBorder="1"/>
    <xf numFmtId="9" fontId="161" fillId="0" borderId="0" xfId="4264" applyFont="1" applyFill="1" applyAlignment="1">
      <alignment horizontal="left"/>
    </xf>
    <xf numFmtId="9" fontId="108" fillId="0" borderId="0" xfId="4264" applyFont="1" applyFill="1" applyAlignment="1">
      <alignment horizontal="right"/>
    </xf>
    <xf numFmtId="9" fontId="108" fillId="0" borderId="0" xfId="4264" applyFont="1" applyFill="1" applyBorder="1" applyAlignment="1">
      <alignment horizontal="right"/>
    </xf>
    <xf numFmtId="9" fontId="31" fillId="45" borderId="0" xfId="4264" applyFont="1" applyFill="1" applyBorder="1" applyAlignment="1">
      <alignment horizontal="right"/>
    </xf>
    <xf numFmtId="166" fontId="31" fillId="39" borderId="0" xfId="4264" applyNumberFormat="1" applyFont="1" applyFill="1" applyBorder="1"/>
    <xf numFmtId="2" fontId="34" fillId="0" borderId="0" xfId="4264" applyNumberFormat="1" applyFont="1" applyFill="1" applyBorder="1"/>
    <xf numFmtId="2" fontId="34" fillId="39" borderId="0" xfId="4264" applyNumberFormat="1" applyFont="1" applyFill="1" applyBorder="1"/>
    <xf numFmtId="2" fontId="34" fillId="0" borderId="1" xfId="4264" applyNumberFormat="1" applyFont="1" applyFill="1" applyBorder="1"/>
    <xf numFmtId="168" fontId="31" fillId="0" borderId="4" xfId="4264" applyNumberFormat="1" applyFont="1" applyFill="1" applyBorder="1"/>
    <xf numFmtId="166" fontId="108" fillId="39" borderId="0" xfId="4264" applyNumberFormat="1" applyFont="1" applyFill="1" applyBorder="1"/>
    <xf numFmtId="2" fontId="108" fillId="39" borderId="0" xfId="4264" applyNumberFormat="1" applyFont="1" applyFill="1" applyBorder="1"/>
    <xf numFmtId="234" fontId="31" fillId="0" borderId="0" xfId="4264" applyNumberFormat="1" applyFont="1" applyFill="1" applyBorder="1"/>
    <xf numFmtId="234" fontId="31" fillId="0" borderId="1" xfId="4264" applyNumberFormat="1" applyFont="1" applyFill="1" applyBorder="1"/>
    <xf numFmtId="2" fontId="163" fillId="39" borderId="0" xfId="4264" applyNumberFormat="1" applyFont="1" applyFill="1" applyBorder="1"/>
    <xf numFmtId="208" fontId="163" fillId="0" borderId="0" xfId="4264" applyNumberFormat="1" applyFont="1" applyFill="1" applyBorder="1"/>
    <xf numFmtId="208" fontId="108" fillId="0" borderId="1" xfId="4264" applyNumberFormat="1" applyFont="1" applyFill="1" applyBorder="1"/>
    <xf numFmtId="2" fontId="163" fillId="41" borderId="0" xfId="4264" applyNumberFormat="1" applyFont="1" applyFill="1" applyBorder="1"/>
    <xf numFmtId="9" fontId="160" fillId="0" borderId="0" xfId="4264" applyFont="1" applyFill="1" applyBorder="1"/>
    <xf numFmtId="9" fontId="160" fillId="0" borderId="1" xfId="4264" applyFont="1" applyFill="1" applyBorder="1"/>
    <xf numFmtId="165" fontId="108" fillId="0" borderId="0" xfId="4264" applyNumberFormat="1" applyFont="1" applyFill="1" applyBorder="1"/>
    <xf numFmtId="165" fontId="108" fillId="0" borderId="1" xfId="4264" applyNumberFormat="1" applyFont="1" applyFill="1" applyBorder="1"/>
    <xf numFmtId="165" fontId="163" fillId="0" borderId="0" xfId="4264" applyNumberFormat="1" applyFont="1" applyFill="1" applyBorder="1"/>
    <xf numFmtId="208" fontId="1" fillId="0" borderId="0" xfId="0" applyNumberFormat="1" applyFont="1"/>
    <xf numFmtId="10" fontId="31" fillId="0" borderId="0" xfId="4264" applyNumberFormat="1" applyFont="1" applyBorder="1" applyAlignment="1">
      <alignment horizontal="right"/>
    </xf>
    <xf numFmtId="10" fontId="31" fillId="0" borderId="1" xfId="4264" applyNumberFormat="1" applyFont="1" applyBorder="1" applyAlignment="1">
      <alignment horizontal="right"/>
    </xf>
    <xf numFmtId="168" fontId="31" fillId="0" borderId="0" xfId="4264" applyNumberFormat="1" applyFont="1"/>
    <xf numFmtId="168" fontId="31" fillId="0" borderId="0" xfId="4264" applyNumberFormat="1" applyFont="1" applyBorder="1"/>
    <xf numFmtId="168" fontId="160" fillId="0" borderId="1" xfId="4264" applyNumberFormat="1" applyFont="1" applyFill="1" applyBorder="1"/>
    <xf numFmtId="168" fontId="161" fillId="0" borderId="0" xfId="4264" applyNumberFormat="1" applyFont="1" applyFill="1" applyAlignment="1">
      <alignment horizontal="left"/>
    </xf>
    <xf numFmtId="168" fontId="31" fillId="23" borderId="1" xfId="4264" applyNumberFormat="1" applyFont="1" applyFill="1" applyBorder="1"/>
    <xf numFmtId="168" fontId="31" fillId="23" borderId="0" xfId="4264" applyNumberFormat="1" applyFont="1" applyFill="1" applyAlignment="1">
      <alignment horizontal="right"/>
    </xf>
    <xf numFmtId="168" fontId="31" fillId="23" borderId="0" xfId="4264" applyNumberFormat="1" applyFont="1" applyFill="1" applyBorder="1" applyAlignment="1">
      <alignment horizontal="right"/>
    </xf>
    <xf numFmtId="168" fontId="31" fillId="23" borderId="0" xfId="4264" applyNumberFormat="1" applyFont="1" applyFill="1"/>
    <xf numFmtId="168" fontId="31" fillId="0" borderId="0" xfId="4264" applyNumberFormat="1" applyFont="1" applyFill="1"/>
    <xf numFmtId="208" fontId="158" fillId="0" borderId="0" xfId="4264" applyNumberFormat="1" applyFont="1" applyFill="1" applyAlignment="1">
      <alignment horizontal="right"/>
    </xf>
    <xf numFmtId="208" fontId="158" fillId="0" borderId="0" xfId="4264" applyNumberFormat="1" applyFont="1" applyFill="1" applyBorder="1" applyAlignment="1">
      <alignment horizontal="right"/>
    </xf>
    <xf numFmtId="208" fontId="157" fillId="0" borderId="0" xfId="4264" applyNumberFormat="1" applyFont="1" applyFill="1"/>
    <xf numFmtId="208" fontId="34" fillId="0" borderId="0" xfId="4264" applyNumberFormat="1" applyFont="1" applyFill="1" applyBorder="1"/>
    <xf numFmtId="168" fontId="160" fillId="4" borderId="0" xfId="4264" applyNumberFormat="1" applyFont="1" applyFill="1" applyBorder="1"/>
    <xf numFmtId="168" fontId="34" fillId="0" borderId="1" xfId="4264" applyNumberFormat="1" applyFont="1" applyFill="1" applyBorder="1"/>
    <xf numFmtId="168" fontId="108" fillId="0" borderId="0" xfId="4264" applyNumberFormat="1" applyFont="1" applyFill="1"/>
    <xf numFmtId="166" fontId="157" fillId="0" borderId="0" xfId="4264" applyNumberFormat="1" applyFont="1" applyFill="1" applyBorder="1"/>
    <xf numFmtId="2" fontId="31" fillId="0" borderId="0" xfId="4264" applyNumberFormat="1" applyFont="1" applyFill="1"/>
    <xf numFmtId="2" fontId="158" fillId="0" borderId="0" xfId="4264" applyNumberFormat="1" applyFont="1" applyFill="1" applyAlignment="1">
      <alignment horizontal="right"/>
    </xf>
    <xf numFmtId="2" fontId="158" fillId="0" borderId="0" xfId="4264" applyNumberFormat="1" applyFont="1" applyFill="1" applyBorder="1" applyAlignment="1">
      <alignment horizontal="right"/>
    </xf>
    <xf numFmtId="2" fontId="157" fillId="0" borderId="0" xfId="4264" applyNumberFormat="1" applyFont="1" applyFill="1"/>
    <xf numFmtId="2" fontId="31" fillId="39" borderId="0" xfId="4264" applyNumberFormat="1" applyFont="1" applyFill="1" applyBorder="1"/>
    <xf numFmtId="2" fontId="31" fillId="39" borderId="1" xfId="4264" applyNumberFormat="1" applyFont="1" applyFill="1" applyBorder="1"/>
    <xf numFmtId="9" fontId="108" fillId="0" borderId="0" xfId="4264" applyFont="1" applyAlignment="1">
      <alignment horizontal="right"/>
    </xf>
    <xf numFmtId="166" fontId="108" fillId="0" borderId="0" xfId="4264" applyNumberFormat="1" applyFont="1" applyAlignment="1">
      <alignment horizontal="right"/>
    </xf>
    <xf numFmtId="9" fontId="108" fillId="0" borderId="1" xfId="4264" applyFont="1" applyBorder="1" applyAlignment="1">
      <alignment horizontal="right"/>
    </xf>
    <xf numFmtId="9" fontId="160" fillId="0" borderId="0" xfId="4264" applyFont="1" applyBorder="1" applyAlignment="1">
      <alignment horizontal="right"/>
    </xf>
    <xf numFmtId="168" fontId="108" fillId="0" borderId="0" xfId="4264" applyNumberFormat="1" applyFont="1" applyFill="1" applyBorder="1" applyAlignment="1"/>
    <xf numFmtId="168" fontId="155" fillId="0" borderId="0" xfId="4264" applyNumberFormat="1" applyFont="1" applyFill="1" applyAlignment="1">
      <alignment horizontal="left"/>
    </xf>
    <xf numFmtId="208" fontId="108" fillId="0" borderId="0" xfId="4264" applyNumberFormat="1" applyFont="1" applyFill="1" applyBorder="1"/>
    <xf numFmtId="2" fontId="108" fillId="0" borderId="0" xfId="4264" applyNumberFormat="1" applyFont="1" applyFill="1"/>
    <xf numFmtId="9" fontId="150" fillId="0" borderId="0" xfId="4264" applyFont="1" applyBorder="1"/>
    <xf numFmtId="168" fontId="108" fillId="41" borderId="0" xfId="4264" applyNumberFormat="1" applyFont="1" applyFill="1" applyBorder="1"/>
    <xf numFmtId="9" fontId="150" fillId="0" borderId="0" xfId="4264" applyFont="1" applyFill="1" applyAlignment="1">
      <alignment horizontal="left"/>
    </xf>
    <xf numFmtId="9" fontId="1" fillId="0" borderId="0" xfId="4264" applyFont="1" applyFill="1" applyAlignment="1">
      <alignment horizontal="left"/>
    </xf>
    <xf numFmtId="2" fontId="108" fillId="41" borderId="0" xfId="4264" applyNumberFormat="1" applyFont="1" applyFill="1" applyBorder="1"/>
    <xf numFmtId="222" fontId="1" fillId="0" borderId="0" xfId="0" applyNumberFormat="1" applyFont="1"/>
    <xf numFmtId="168" fontId="163" fillId="0" borderId="0" xfId="4264" applyNumberFormat="1" applyFont="1" applyFill="1" applyBorder="1" applyAlignment="1">
      <alignment horizontal="right"/>
    </xf>
    <xf numFmtId="168" fontId="34" fillId="0" borderId="0" xfId="4264" applyNumberFormat="1" applyFont="1" applyBorder="1"/>
    <xf numFmtId="168" fontId="31" fillId="0" borderId="1" xfId="4264" applyNumberFormat="1" applyFont="1" applyBorder="1"/>
    <xf numFmtId="168" fontId="34" fillId="0" borderId="0" xfId="4264" applyNumberFormat="1" applyFont="1" applyFill="1" applyBorder="1" applyAlignment="1"/>
    <xf numFmtId="168" fontId="31" fillId="0" borderId="1" xfId="4264" applyNumberFormat="1" applyFont="1" applyFill="1" applyBorder="1" applyAlignment="1"/>
    <xf numFmtId="168" fontId="160" fillId="0" borderId="0" xfId="4264" applyNumberFormat="1" applyFont="1" applyBorder="1"/>
    <xf numFmtId="168" fontId="108" fillId="0" borderId="0" xfId="4264" applyNumberFormat="1" applyFont="1" applyBorder="1" applyAlignment="1">
      <alignment horizontal="right"/>
    </xf>
    <xf numFmtId="168" fontId="34" fillId="0" borderId="0" xfId="4264" applyNumberFormat="1" applyFont="1" applyFill="1" applyBorder="1" applyAlignment="1">
      <alignment horizontal="right"/>
    </xf>
    <xf numFmtId="168" fontId="160" fillId="0" borderId="0" xfId="4264" applyNumberFormat="1" applyFont="1" applyFill="1" applyBorder="1" applyAlignment="1">
      <alignment horizontal="right"/>
    </xf>
    <xf numFmtId="168" fontId="160" fillId="0" borderId="1" xfId="4264" applyNumberFormat="1" applyFont="1" applyFill="1" applyBorder="1" applyAlignment="1">
      <alignment horizontal="right"/>
    </xf>
    <xf numFmtId="168" fontId="34" fillId="0" borderId="1" xfId="4264" applyNumberFormat="1" applyFont="1" applyFill="1" applyBorder="1" applyAlignment="1">
      <alignment horizontal="right"/>
    </xf>
    <xf numFmtId="168" fontId="163" fillId="0" borderId="1" xfId="4264" applyNumberFormat="1" applyFont="1" applyFill="1" applyBorder="1" applyAlignment="1">
      <alignment horizontal="right"/>
    </xf>
    <xf numFmtId="168" fontId="1" fillId="0" borderId="0" xfId="4264" applyNumberFormat="1" applyFont="1"/>
    <xf numFmtId="168" fontId="1" fillId="0" borderId="0" xfId="4264" applyNumberFormat="1" applyFont="1" applyBorder="1"/>
    <xf numFmtId="168" fontId="1" fillId="0" borderId="1" xfId="4264" applyNumberFormat="1" applyFont="1" applyBorder="1"/>
    <xf numFmtId="168" fontId="34" fillId="0" borderId="1" xfId="4264" applyNumberFormat="1" applyFont="1" applyBorder="1"/>
    <xf numFmtId="168" fontId="160" fillId="0" borderId="1" xfId="4264" applyNumberFormat="1" applyFont="1" applyBorder="1"/>
    <xf numFmtId="222" fontId="162" fillId="0" borderId="0" xfId="4264" applyNumberFormat="1" applyFont="1" applyFill="1" applyBorder="1" applyAlignment="1">
      <alignment horizontal="right"/>
    </xf>
    <xf numFmtId="168" fontId="150" fillId="0" borderId="0" xfId="4264" applyNumberFormat="1" applyFont="1"/>
    <xf numFmtId="168" fontId="150" fillId="0" borderId="0" xfId="4264" applyNumberFormat="1" applyFont="1" applyBorder="1"/>
    <xf numFmtId="168" fontId="150" fillId="0" borderId="1" xfId="4264" applyNumberFormat="1" applyFont="1" applyBorder="1"/>
    <xf numFmtId="168" fontId="1" fillId="0" borderId="0" xfId="4264" applyNumberFormat="1" applyFont="1" applyFill="1" applyBorder="1"/>
    <xf numFmtId="168" fontId="1" fillId="0" borderId="1" xfId="4264" applyNumberFormat="1" applyFont="1" applyFill="1" applyBorder="1"/>
    <xf numFmtId="168" fontId="163" fillId="0" borderId="0" xfId="4264" applyNumberFormat="1" applyFont="1" applyBorder="1"/>
    <xf numFmtId="168" fontId="163" fillId="0" borderId="1" xfId="4264" applyNumberFormat="1" applyFont="1" applyFill="1" applyBorder="1"/>
    <xf numFmtId="168" fontId="150" fillId="0" borderId="0" xfId="4264" applyNumberFormat="1" applyFont="1" applyFill="1" applyBorder="1"/>
    <xf numFmtId="168" fontId="150" fillId="0" borderId="1" xfId="4264" applyNumberFormat="1" applyFont="1" applyFill="1" applyBorder="1"/>
    <xf numFmtId="168" fontId="163" fillId="0" borderId="1" xfId="4264" applyNumberFormat="1" applyFont="1" applyBorder="1"/>
    <xf numFmtId="168" fontId="31" fillId="0" borderId="0" xfId="4264" applyNumberFormat="1" applyFont="1" applyFill="1" applyAlignment="1">
      <alignment horizontal="left"/>
    </xf>
    <xf numFmtId="168" fontId="160" fillId="36" borderId="0" xfId="4264" applyNumberFormat="1" applyFont="1" applyFill="1" applyBorder="1"/>
    <xf numFmtId="168" fontId="160" fillId="36" borderId="1" xfId="4264" applyNumberFormat="1" applyFont="1" applyFill="1" applyBorder="1"/>
    <xf numFmtId="222" fontId="31" fillId="0" borderId="0" xfId="4264" applyNumberFormat="1" applyFont="1" applyFill="1" applyAlignment="1">
      <alignment horizontal="right"/>
    </xf>
    <xf numFmtId="222" fontId="157" fillId="0" borderId="0" xfId="4264" applyNumberFormat="1" applyFont="1" applyFill="1" applyBorder="1"/>
    <xf numFmtId="222" fontId="31" fillId="0" borderId="0" xfId="4264" applyNumberFormat="1" applyFont="1" applyFill="1" applyBorder="1"/>
    <xf numFmtId="222" fontId="31" fillId="0" borderId="1" xfId="4264" applyNumberFormat="1" applyFont="1" applyFill="1" applyBorder="1"/>
    <xf numFmtId="222" fontId="34" fillId="0" borderId="0" xfId="4264" applyNumberFormat="1" applyFont="1" applyFill="1" applyBorder="1"/>
    <xf numFmtId="222" fontId="164" fillId="0" borderId="0" xfId="4264" applyNumberFormat="1" applyFont="1" applyFill="1" applyBorder="1"/>
    <xf numFmtId="222" fontId="108" fillId="0" borderId="0" xfId="4264" applyNumberFormat="1" applyFont="1" applyFill="1" applyBorder="1"/>
    <xf numFmtId="169" fontId="108" fillId="0" borderId="0" xfId="4264" applyNumberFormat="1" applyFont="1" applyFill="1" applyBorder="1"/>
    <xf numFmtId="169" fontId="108" fillId="0" borderId="1" xfId="4264" applyNumberFormat="1" applyFont="1" applyFill="1" applyBorder="1"/>
    <xf numFmtId="169" fontId="31" fillId="0" borderId="0" xfId="4264" applyNumberFormat="1" applyFont="1" applyFill="1" applyBorder="1"/>
    <xf numFmtId="169" fontId="160" fillId="0" borderId="0" xfId="4264" applyNumberFormat="1" applyFont="1" applyFill="1" applyBorder="1"/>
    <xf numFmtId="169" fontId="160" fillId="0" borderId="1" xfId="4264" applyNumberFormat="1" applyFont="1" applyFill="1" applyBorder="1"/>
    <xf numFmtId="169" fontId="160" fillId="0" borderId="0" xfId="4264" applyNumberFormat="1" applyFont="1" applyBorder="1"/>
    <xf numFmtId="169" fontId="160" fillId="0" borderId="1" xfId="4264" applyNumberFormat="1" applyFont="1" applyBorder="1"/>
    <xf numFmtId="169" fontId="31" fillId="0" borderId="1" xfId="4264" applyNumberFormat="1" applyFont="1" applyFill="1" applyBorder="1"/>
    <xf numFmtId="9" fontId="155" fillId="0" borderId="0" xfId="4264" applyFont="1" applyFill="1" applyBorder="1"/>
    <xf numFmtId="9" fontId="31" fillId="0" borderId="0" xfId="4264" applyFont="1" applyFill="1" applyBorder="1" applyAlignment="1">
      <alignment horizontal="left"/>
    </xf>
    <xf numFmtId="9" fontId="31" fillId="0" borderId="0" xfId="4264" applyFont="1" applyFill="1" applyBorder="1" applyAlignment="1">
      <alignment horizontal="left" indent="2"/>
    </xf>
    <xf numFmtId="9" fontId="157" fillId="0" borderId="0" xfId="4264" applyFont="1" applyFill="1" applyBorder="1"/>
    <xf numFmtId="9" fontId="160" fillId="0" borderId="0" xfId="4264" applyFont="1" applyBorder="1"/>
    <xf numFmtId="9" fontId="160" fillId="0" borderId="1" xfId="4264" applyFont="1" applyBorder="1"/>
    <xf numFmtId="169" fontId="1" fillId="0" borderId="0" xfId="4264" applyNumberFormat="1" applyFont="1" applyFill="1" applyBorder="1" applyAlignment="1">
      <alignment horizontal="right"/>
    </xf>
    <xf numFmtId="9" fontId="108" fillId="0" borderId="0" xfId="4264" applyFont="1" applyFill="1" applyBorder="1" applyAlignment="1">
      <alignment horizontal="left"/>
    </xf>
    <xf numFmtId="9" fontId="108" fillId="0" borderId="0" xfId="4264" applyFont="1" applyFill="1" applyBorder="1" applyAlignment="1">
      <alignment horizontal="left" indent="2"/>
    </xf>
    <xf numFmtId="9" fontId="164" fillId="0" borderId="0" xfId="4264" applyFont="1" applyFill="1" applyBorder="1"/>
    <xf numFmtId="169" fontId="31" fillId="4" borderId="0" xfId="4264" applyNumberFormat="1" applyFont="1" applyFill="1" applyBorder="1"/>
    <xf numFmtId="169" fontId="31" fillId="0" borderId="0" xfId="4264" applyNumberFormat="1" applyFont="1" applyFill="1" applyAlignment="1">
      <alignment horizontal="right"/>
    </xf>
    <xf numFmtId="169" fontId="108" fillId="4" borderId="0" xfId="4264" applyNumberFormat="1" applyFont="1" applyFill="1" applyBorder="1"/>
    <xf numFmtId="169" fontId="108" fillId="0" borderId="0" xfId="4264" applyNumberFormat="1" applyFont="1" applyFill="1" applyAlignment="1">
      <alignment horizontal="right"/>
    </xf>
    <xf numFmtId="169" fontId="160" fillId="41" borderId="0" xfId="4264" applyNumberFormat="1" applyFont="1" applyFill="1" applyBorder="1"/>
    <xf numFmtId="169" fontId="160" fillId="41" borderId="1" xfId="4264" applyNumberFormat="1" applyFont="1" applyFill="1" applyBorder="1"/>
    <xf numFmtId="169" fontId="31" fillId="41" borderId="0" xfId="4264" applyNumberFormat="1" applyFont="1" applyFill="1" applyBorder="1"/>
    <xf numFmtId="169" fontId="31" fillId="41" borderId="1" xfId="4264" applyNumberFormat="1" applyFont="1" applyFill="1" applyBorder="1"/>
    <xf numFmtId="169" fontId="108" fillId="41" borderId="0" xfId="4264" applyNumberFormat="1" applyFont="1" applyFill="1" applyBorder="1"/>
    <xf numFmtId="169" fontId="108" fillId="41" borderId="1" xfId="4264" applyNumberFormat="1" applyFont="1" applyFill="1" applyBorder="1"/>
    <xf numFmtId="10" fontId="31" fillId="43" borderId="0" xfId="4264" applyNumberFormat="1" applyFont="1" applyFill="1" applyBorder="1"/>
    <xf numFmtId="169" fontId="34" fillId="0" borderId="0" xfId="4264" applyNumberFormat="1" applyFont="1" applyBorder="1"/>
    <xf numFmtId="206" fontId="31" fillId="0" borderId="0" xfId="4264" applyNumberFormat="1" applyFont="1" applyFill="1" applyBorder="1" applyAlignment="1">
      <alignment horizontal="right"/>
    </xf>
    <xf numFmtId="206" fontId="31" fillId="0" borderId="1" xfId="4264" applyNumberFormat="1" applyFont="1" applyFill="1" applyBorder="1" applyAlignment="1">
      <alignment horizontal="right"/>
    </xf>
    <xf numFmtId="9" fontId="34" fillId="0" borderId="0" xfId="4264" applyFont="1" applyFill="1" applyBorder="1"/>
  </cellXfs>
  <cellStyles count="11170">
    <cellStyle name="_x000a_386grabber=M" xfId="497" xr:uid="{00000000-0005-0000-0000-000000000000}"/>
    <cellStyle name="_%(SignOnly)" xfId="185" xr:uid="{00000000-0005-0000-0000-000001000000}"/>
    <cellStyle name="_%(SignSpaceOnly)" xfId="186" xr:uid="{00000000-0005-0000-0000-000002000000}"/>
    <cellStyle name="_Comma" xfId="187" xr:uid="{00000000-0005-0000-0000-000003000000}"/>
    <cellStyle name="_Comma_01 adj for merger plan" xfId="188" xr:uid="{00000000-0005-0000-0000-000004000000}"/>
    <cellStyle name="_Comma_Ability to Pay Analysis" xfId="189" xr:uid="{00000000-0005-0000-0000-000005000000}"/>
    <cellStyle name="_Comma_AFL" xfId="190" xr:uid="{00000000-0005-0000-0000-000006000000}"/>
    <cellStyle name="_Comma_AIZ" xfId="191" xr:uid="{00000000-0005-0000-0000-000007000000}"/>
    <cellStyle name="_Comma_AIZ04-Quantum2" xfId="192" xr:uid="{00000000-0005-0000-0000-000008000000}"/>
    <cellStyle name="_Comma_AMP" xfId="193" xr:uid="{00000000-0005-0000-0000-000009000000}"/>
    <cellStyle name="_Comma_Book1" xfId="194" xr:uid="{00000000-0005-0000-0000-00000A000000}"/>
    <cellStyle name="_Comma_Book3" xfId="195" xr:uid="{00000000-0005-0000-0000-00000B000000}"/>
    <cellStyle name="_Comma_CNO" xfId="196" xr:uid="{00000000-0005-0000-0000-00000C000000}"/>
    <cellStyle name="_Comma_CNO04" xfId="197" xr:uid="{00000000-0005-0000-0000-00000D000000}"/>
    <cellStyle name="_Comma_DCF Alexander Forbes" xfId="198" xr:uid="{00000000-0005-0000-0000-00000E000000}"/>
    <cellStyle name="_Comma_fmbi counties" xfId="199" xr:uid="{00000000-0005-0000-0000-00000F000000}"/>
    <cellStyle name="_Comma_FMBI MBHI Graphs" xfId="200" xr:uid="{00000000-0005-0000-0000-000010000000}"/>
    <cellStyle name="_Comma_FMBI MBHI Graphs 07102001" xfId="201" xr:uid="{00000000-0005-0000-0000-000011000000}"/>
    <cellStyle name="_Comma_FMBI MBHI Graphs_7601" xfId="202" xr:uid="{00000000-0005-0000-0000-000012000000}"/>
    <cellStyle name="_Comma_genworth model" xfId="203" xr:uid="{00000000-0005-0000-0000-000013000000}"/>
    <cellStyle name="_Comma_Insurance Brokerage CSC_1Q2002" xfId="204" xr:uid="{00000000-0005-0000-0000-000014000000}"/>
    <cellStyle name="_Comma_JP_LNC_spread_monitor (2)" xfId="205" xr:uid="{00000000-0005-0000-0000-000015000000}"/>
    <cellStyle name="_Comma_NFP" xfId="206" xr:uid="{00000000-0005-0000-0000-000016000000}"/>
    <cellStyle name="_Comma_NFS" xfId="207" xr:uid="{00000000-0005-0000-0000-000017000000}"/>
    <cellStyle name="_Comma_Overview3" xfId="208" xr:uid="{00000000-0005-0000-0000-000018000000}"/>
    <cellStyle name="_Comma_phil data" xfId="209" xr:uid="{00000000-0005-0000-0000-000019000000}"/>
    <cellStyle name="_Comma_Price Performance Charts" xfId="210" xr:uid="{00000000-0005-0000-0000-00001A000000}"/>
    <cellStyle name="_Comma_Quarterly Review by Company" xfId="211" xr:uid="{00000000-0005-0000-0000-00001B000000}"/>
    <cellStyle name="_Comma_SFG Data File" xfId="212" xr:uid="{00000000-0005-0000-0000-00001C000000}"/>
    <cellStyle name="_Comma_Sheet1" xfId="213" xr:uid="{00000000-0005-0000-0000-00001D000000}"/>
    <cellStyle name="_Comma_Stock-QTR1 FDS" xfId="214" xr:uid="{00000000-0005-0000-0000-00001E000000}"/>
    <cellStyle name="_Comma_Updated Valuation Changes" xfId="215" xr:uid="{00000000-0005-0000-0000-00001F000000}"/>
    <cellStyle name="_Comma_Valuation Graphs" xfId="216" xr:uid="{00000000-0005-0000-0000-000020000000}"/>
    <cellStyle name="_Comma_xratio - historical mkt val" xfId="217" xr:uid="{00000000-0005-0000-0000-000021000000}"/>
    <cellStyle name="_Contact" xfId="505" xr:uid="{00000000-0005-0000-0000-000022000000}"/>
    <cellStyle name="_Currency" xfId="218" xr:uid="{00000000-0005-0000-0000-000023000000}"/>
    <cellStyle name="_Currency_01 adj for merger plan" xfId="219" xr:uid="{00000000-0005-0000-0000-000024000000}"/>
    <cellStyle name="_Currency_Ability to Pay Analysis" xfId="220" xr:uid="{00000000-0005-0000-0000-000025000000}"/>
    <cellStyle name="_Currency_AFL" xfId="221" xr:uid="{00000000-0005-0000-0000-000026000000}"/>
    <cellStyle name="_Currency_AIZ" xfId="222" xr:uid="{00000000-0005-0000-0000-000027000000}"/>
    <cellStyle name="_Currency_AMP" xfId="223" xr:uid="{00000000-0005-0000-0000-000028000000}"/>
    <cellStyle name="_Currency_Balance Sheet" xfId="224" xr:uid="{00000000-0005-0000-0000-000029000000}"/>
    <cellStyle name="_Currency_Book1" xfId="225" xr:uid="{00000000-0005-0000-0000-00002A000000}"/>
    <cellStyle name="_Currency_Book29" xfId="226" xr:uid="{00000000-0005-0000-0000-00002B000000}"/>
    <cellStyle name="_Currency_Book3" xfId="227" xr:uid="{00000000-0005-0000-0000-00002C000000}"/>
    <cellStyle name="_Currency_Book3_1" xfId="228" xr:uid="{00000000-0005-0000-0000-00002D000000}"/>
    <cellStyle name="_Currency_CNO" xfId="229" xr:uid="{00000000-0005-0000-0000-00002E000000}"/>
    <cellStyle name="_Currency_DCF Alexander Forbes" xfId="230" xr:uid="{00000000-0005-0000-0000-00002F000000}"/>
    <cellStyle name="_Currency_fmbi counties" xfId="231" xr:uid="{00000000-0005-0000-0000-000030000000}"/>
    <cellStyle name="_Currency_FMBI MBHI Graphs" xfId="232" xr:uid="{00000000-0005-0000-0000-000031000000}"/>
    <cellStyle name="_Currency_FMBI MBHI Graphs 07102001" xfId="233" xr:uid="{00000000-0005-0000-0000-000032000000}"/>
    <cellStyle name="_Currency_FMBI MBHI Graphs_7601" xfId="234" xr:uid="{00000000-0005-0000-0000-000033000000}"/>
    <cellStyle name="_Currency_GNW" xfId="235" xr:uid="{00000000-0005-0000-0000-000034000000}"/>
    <cellStyle name="_Currency_Insurance Brokerage CSC_1Q2002" xfId="236" xr:uid="{00000000-0005-0000-0000-000035000000}"/>
    <cellStyle name="_Currency_JP" xfId="237" xr:uid="{00000000-0005-0000-0000-000036000000}"/>
    <cellStyle name="_Currency_LNC" xfId="238" xr:uid="{00000000-0005-0000-0000-000037000000}"/>
    <cellStyle name="_Currency_MET" xfId="239" xr:uid="{00000000-0005-0000-0000-000038000000}"/>
    <cellStyle name="_Currency_MET04" xfId="240" xr:uid="{00000000-0005-0000-0000-000039000000}"/>
    <cellStyle name="_Currency_NFS" xfId="241" xr:uid="{00000000-0005-0000-0000-00003A000000}"/>
    <cellStyle name="_Currency_Overview3" xfId="242" xr:uid="{00000000-0005-0000-0000-00003B000000}"/>
    <cellStyle name="_Currency_phil data" xfId="243" xr:uid="{00000000-0005-0000-0000-00003C000000}"/>
    <cellStyle name="_Currency_Price Performance Charts" xfId="244" xr:uid="{00000000-0005-0000-0000-00003D000000}"/>
    <cellStyle name="_Currency_PRU" xfId="245" xr:uid="{00000000-0005-0000-0000-00003E000000}"/>
    <cellStyle name="_Currency_PRU04" xfId="246" xr:uid="{00000000-0005-0000-0000-00003F000000}"/>
    <cellStyle name="_Currency_RiskReward" xfId="247" xr:uid="{00000000-0005-0000-0000-000040000000}"/>
    <cellStyle name="_Currency_SFG" xfId="248" xr:uid="{00000000-0005-0000-0000-000041000000}"/>
    <cellStyle name="_Currency_Sheet1" xfId="249" xr:uid="{00000000-0005-0000-0000-000042000000}"/>
    <cellStyle name="_Currency_Stock-QTR1 FDS" xfId="250" xr:uid="{00000000-0005-0000-0000-000043000000}"/>
    <cellStyle name="_Currency_TMK" xfId="251" xr:uid="{00000000-0005-0000-0000-000044000000}"/>
    <cellStyle name="_Currency_Updated Valuation Changes" xfId="252" xr:uid="{00000000-0005-0000-0000-000045000000}"/>
    <cellStyle name="_Currency_Valuation Graphs" xfId="253" xr:uid="{00000000-0005-0000-0000-000046000000}"/>
    <cellStyle name="_Currency_xratio - historical mkt val" xfId="254" xr:uid="{00000000-0005-0000-0000-000047000000}"/>
    <cellStyle name="_CurrencySpace" xfId="255" xr:uid="{00000000-0005-0000-0000-000048000000}"/>
    <cellStyle name="_CurrencySpace_01 adj for merger plan" xfId="256" xr:uid="{00000000-0005-0000-0000-000049000000}"/>
    <cellStyle name="_CurrencySpace_Ability to Pay Analysis" xfId="257" xr:uid="{00000000-0005-0000-0000-00004A000000}"/>
    <cellStyle name="_CurrencySpace_AFL" xfId="258" xr:uid="{00000000-0005-0000-0000-00004B000000}"/>
    <cellStyle name="_CurrencySpace_AIZ" xfId="259" xr:uid="{00000000-0005-0000-0000-00004C000000}"/>
    <cellStyle name="_CurrencySpace_AMP" xfId="260" xr:uid="{00000000-0005-0000-0000-00004D000000}"/>
    <cellStyle name="_CurrencySpace_Balance Sheet" xfId="261" xr:uid="{00000000-0005-0000-0000-00004E000000}"/>
    <cellStyle name="_CurrencySpace_Book1" xfId="262" xr:uid="{00000000-0005-0000-0000-00004F000000}"/>
    <cellStyle name="_CurrencySpace_Book29" xfId="263" xr:uid="{00000000-0005-0000-0000-000050000000}"/>
    <cellStyle name="_CurrencySpace_Book3" xfId="264" xr:uid="{00000000-0005-0000-0000-000051000000}"/>
    <cellStyle name="_CurrencySpace_Book3_1" xfId="265" xr:uid="{00000000-0005-0000-0000-000052000000}"/>
    <cellStyle name="_CurrencySpace_CNO" xfId="266" xr:uid="{00000000-0005-0000-0000-000053000000}"/>
    <cellStyle name="_CurrencySpace_DCF Alexander Forbes" xfId="267" xr:uid="{00000000-0005-0000-0000-000054000000}"/>
    <cellStyle name="_CurrencySpace_fmbi counties" xfId="268" xr:uid="{00000000-0005-0000-0000-000055000000}"/>
    <cellStyle name="_CurrencySpace_FMBI MBHI Graphs" xfId="269" xr:uid="{00000000-0005-0000-0000-000056000000}"/>
    <cellStyle name="_CurrencySpace_FMBI MBHI Graphs 07102001" xfId="270" xr:uid="{00000000-0005-0000-0000-000057000000}"/>
    <cellStyle name="_CurrencySpace_FMBI MBHI Graphs_7601" xfId="271" xr:uid="{00000000-0005-0000-0000-000058000000}"/>
    <cellStyle name="_CurrencySpace_GNW" xfId="272" xr:uid="{00000000-0005-0000-0000-000059000000}"/>
    <cellStyle name="_CurrencySpace_Insurance Brokerage CSC_1Q2002" xfId="273" xr:uid="{00000000-0005-0000-0000-00005A000000}"/>
    <cellStyle name="_CurrencySpace_JP" xfId="274" xr:uid="{00000000-0005-0000-0000-00005B000000}"/>
    <cellStyle name="_CurrencySpace_LNC" xfId="275" xr:uid="{00000000-0005-0000-0000-00005C000000}"/>
    <cellStyle name="_CurrencySpace_MET" xfId="276" xr:uid="{00000000-0005-0000-0000-00005D000000}"/>
    <cellStyle name="_CurrencySpace_MET04" xfId="277" xr:uid="{00000000-0005-0000-0000-00005E000000}"/>
    <cellStyle name="_CurrencySpace_NFS" xfId="278" xr:uid="{00000000-0005-0000-0000-00005F000000}"/>
    <cellStyle name="_CurrencySpace_Overview3" xfId="279" xr:uid="{00000000-0005-0000-0000-000060000000}"/>
    <cellStyle name="_CurrencySpace_phil data" xfId="280" xr:uid="{00000000-0005-0000-0000-000061000000}"/>
    <cellStyle name="_CurrencySpace_Price Performance Charts" xfId="281" xr:uid="{00000000-0005-0000-0000-000062000000}"/>
    <cellStyle name="_CurrencySpace_PRU" xfId="282" xr:uid="{00000000-0005-0000-0000-000063000000}"/>
    <cellStyle name="_CurrencySpace_PRU04" xfId="283" xr:uid="{00000000-0005-0000-0000-000064000000}"/>
    <cellStyle name="_CurrencySpace_RiskReward" xfId="284" xr:uid="{00000000-0005-0000-0000-000065000000}"/>
    <cellStyle name="_CurrencySpace_SFG" xfId="285" xr:uid="{00000000-0005-0000-0000-000066000000}"/>
    <cellStyle name="_CurrencySpace_Sheet1" xfId="286" xr:uid="{00000000-0005-0000-0000-000067000000}"/>
    <cellStyle name="_CurrencySpace_Stock-QTR1 FDS" xfId="287" xr:uid="{00000000-0005-0000-0000-000068000000}"/>
    <cellStyle name="_CurrencySpace_TMK" xfId="288" xr:uid="{00000000-0005-0000-0000-000069000000}"/>
    <cellStyle name="_CurrencySpace_Updated Valuation Changes" xfId="289" xr:uid="{00000000-0005-0000-0000-00006A000000}"/>
    <cellStyle name="_CurrencySpace_Valuation Graphs" xfId="290" xr:uid="{00000000-0005-0000-0000-00006B000000}"/>
    <cellStyle name="_CurrencySpace_xratio - historical mkt val" xfId="291" xr:uid="{00000000-0005-0000-0000-00006C000000}"/>
    <cellStyle name="_Dollar" xfId="292" xr:uid="{00000000-0005-0000-0000-00006D000000}"/>
    <cellStyle name="_Euro" xfId="293" xr:uid="{00000000-0005-0000-0000-00006E000000}"/>
    <cellStyle name="—_GS_Cash " xfId="506" xr:uid="{00000000-0005-0000-0000-00006F000000}"/>
    <cellStyle name="_Heading" xfId="294" xr:uid="{00000000-0005-0000-0000-000070000000}"/>
    <cellStyle name="_Heading_prestemp" xfId="295" xr:uid="{00000000-0005-0000-0000-000071000000}"/>
    <cellStyle name="_Highlight" xfId="296" xr:uid="{00000000-0005-0000-0000-000072000000}"/>
    <cellStyle name="_Multiple" xfId="297" xr:uid="{00000000-0005-0000-0000-000073000000}"/>
    <cellStyle name="_Multiple_01 adj for merger plan" xfId="298" xr:uid="{00000000-0005-0000-0000-000074000000}"/>
    <cellStyle name="_Multiple_Ability to Pay Analysis" xfId="299" xr:uid="{00000000-0005-0000-0000-000075000000}"/>
    <cellStyle name="_Multiple_AFL" xfId="300" xr:uid="{00000000-0005-0000-0000-000076000000}"/>
    <cellStyle name="_Multiple_AIZ" xfId="301" xr:uid="{00000000-0005-0000-0000-000077000000}"/>
    <cellStyle name="_Multiple_AMP" xfId="302" xr:uid="{00000000-0005-0000-0000-000078000000}"/>
    <cellStyle name="_Multiple_Balance Sheet" xfId="303" xr:uid="{00000000-0005-0000-0000-000079000000}"/>
    <cellStyle name="_Multiple_Book1" xfId="304" xr:uid="{00000000-0005-0000-0000-00007A000000}"/>
    <cellStyle name="_Multiple_Book29" xfId="305" xr:uid="{00000000-0005-0000-0000-00007B000000}"/>
    <cellStyle name="_Multiple_Book3" xfId="306" xr:uid="{00000000-0005-0000-0000-00007C000000}"/>
    <cellStyle name="_Multiple_Book3_1" xfId="307" xr:uid="{00000000-0005-0000-0000-00007D000000}"/>
    <cellStyle name="_Multiple_CNO" xfId="308" xr:uid="{00000000-0005-0000-0000-00007E000000}"/>
    <cellStyle name="_Multiple_DCF Alexander Forbes" xfId="309" xr:uid="{00000000-0005-0000-0000-00007F000000}"/>
    <cellStyle name="_Multiple_fmbi counties" xfId="310" xr:uid="{00000000-0005-0000-0000-000080000000}"/>
    <cellStyle name="_Multiple_FMBI MBHI Graphs" xfId="311" xr:uid="{00000000-0005-0000-0000-000081000000}"/>
    <cellStyle name="_Multiple_FMBI MBHI Graphs 07102001" xfId="312" xr:uid="{00000000-0005-0000-0000-000082000000}"/>
    <cellStyle name="_Multiple_FMBI MBHI Graphs_7601" xfId="313" xr:uid="{00000000-0005-0000-0000-000083000000}"/>
    <cellStyle name="_Multiple_GNW" xfId="314" xr:uid="{00000000-0005-0000-0000-000084000000}"/>
    <cellStyle name="_Multiple_Insurance Brokerage CSC_1Q2002" xfId="315" xr:uid="{00000000-0005-0000-0000-000085000000}"/>
    <cellStyle name="_Multiple_JP" xfId="316" xr:uid="{00000000-0005-0000-0000-000086000000}"/>
    <cellStyle name="_Multiple_LNC" xfId="317" xr:uid="{00000000-0005-0000-0000-000087000000}"/>
    <cellStyle name="_Multiple_MET" xfId="318" xr:uid="{00000000-0005-0000-0000-000088000000}"/>
    <cellStyle name="_Multiple_MET04" xfId="319" xr:uid="{00000000-0005-0000-0000-000089000000}"/>
    <cellStyle name="_Multiple_NFS" xfId="320" xr:uid="{00000000-0005-0000-0000-00008A000000}"/>
    <cellStyle name="_Multiple_Overview3" xfId="321" xr:uid="{00000000-0005-0000-0000-00008B000000}"/>
    <cellStyle name="_Multiple_phil data" xfId="322" xr:uid="{00000000-0005-0000-0000-00008C000000}"/>
    <cellStyle name="_Multiple_Price Performance Charts" xfId="323" xr:uid="{00000000-0005-0000-0000-00008D000000}"/>
    <cellStyle name="_Multiple_PRU" xfId="324" xr:uid="{00000000-0005-0000-0000-00008E000000}"/>
    <cellStyle name="_Multiple_PRU04" xfId="325" xr:uid="{00000000-0005-0000-0000-00008F000000}"/>
    <cellStyle name="_Multiple_RiskReward" xfId="326" xr:uid="{00000000-0005-0000-0000-000090000000}"/>
    <cellStyle name="_Multiple_SFG" xfId="327" xr:uid="{00000000-0005-0000-0000-000091000000}"/>
    <cellStyle name="_Multiple_Sheet1" xfId="328" xr:uid="{00000000-0005-0000-0000-000092000000}"/>
    <cellStyle name="_Multiple_Stock-QTR1 FDS" xfId="329" xr:uid="{00000000-0005-0000-0000-000093000000}"/>
    <cellStyle name="_Multiple_TMK" xfId="330" xr:uid="{00000000-0005-0000-0000-000094000000}"/>
    <cellStyle name="_Multiple_Updated Valuation Changes" xfId="331" xr:uid="{00000000-0005-0000-0000-000095000000}"/>
    <cellStyle name="_Multiple_Valuation Graphs" xfId="332" xr:uid="{00000000-0005-0000-0000-000096000000}"/>
    <cellStyle name="_Multiple_xratio - historical mkt val" xfId="333" xr:uid="{00000000-0005-0000-0000-000097000000}"/>
    <cellStyle name="_MultipleSpace" xfId="334" xr:uid="{00000000-0005-0000-0000-000098000000}"/>
    <cellStyle name="_MultipleSpace_01 adj for merger plan" xfId="335" xr:uid="{00000000-0005-0000-0000-000099000000}"/>
    <cellStyle name="_MultipleSpace_Ability to Pay Analysis" xfId="336" xr:uid="{00000000-0005-0000-0000-00009A000000}"/>
    <cellStyle name="_MultipleSpace_AFL" xfId="337" xr:uid="{00000000-0005-0000-0000-00009B000000}"/>
    <cellStyle name="_MultipleSpace_AIZ" xfId="338" xr:uid="{00000000-0005-0000-0000-00009C000000}"/>
    <cellStyle name="_MultipleSpace_AMP" xfId="339" xr:uid="{00000000-0005-0000-0000-00009D000000}"/>
    <cellStyle name="_MultipleSpace_Balance Sheet" xfId="340" xr:uid="{00000000-0005-0000-0000-00009E000000}"/>
    <cellStyle name="_MultipleSpace_Book1" xfId="341" xr:uid="{00000000-0005-0000-0000-00009F000000}"/>
    <cellStyle name="_MultipleSpace_Book29" xfId="342" xr:uid="{00000000-0005-0000-0000-0000A0000000}"/>
    <cellStyle name="_MultipleSpace_Book3" xfId="343" xr:uid="{00000000-0005-0000-0000-0000A1000000}"/>
    <cellStyle name="_MultipleSpace_Book3_1" xfId="344" xr:uid="{00000000-0005-0000-0000-0000A2000000}"/>
    <cellStyle name="_MultipleSpace_CNO" xfId="345" xr:uid="{00000000-0005-0000-0000-0000A3000000}"/>
    <cellStyle name="_MultipleSpace_DCF Alexander Forbes" xfId="346" xr:uid="{00000000-0005-0000-0000-0000A4000000}"/>
    <cellStyle name="_MultipleSpace_fmbi counties" xfId="347" xr:uid="{00000000-0005-0000-0000-0000A5000000}"/>
    <cellStyle name="_MultipleSpace_FMBI MBHI Graphs" xfId="348" xr:uid="{00000000-0005-0000-0000-0000A6000000}"/>
    <cellStyle name="_MultipleSpace_FMBI MBHI Graphs 07102001" xfId="349" xr:uid="{00000000-0005-0000-0000-0000A7000000}"/>
    <cellStyle name="_MultipleSpace_FMBI MBHI Graphs_7601" xfId="350" xr:uid="{00000000-0005-0000-0000-0000A8000000}"/>
    <cellStyle name="_MultipleSpace_GNW" xfId="351" xr:uid="{00000000-0005-0000-0000-0000A9000000}"/>
    <cellStyle name="_MultipleSpace_Insurance Brokerage CSC_1Q2002" xfId="352" xr:uid="{00000000-0005-0000-0000-0000AA000000}"/>
    <cellStyle name="_MultipleSpace_JP" xfId="353" xr:uid="{00000000-0005-0000-0000-0000AB000000}"/>
    <cellStyle name="_MultipleSpace_LNC" xfId="354" xr:uid="{00000000-0005-0000-0000-0000AC000000}"/>
    <cellStyle name="_MultipleSpace_MET" xfId="355" xr:uid="{00000000-0005-0000-0000-0000AD000000}"/>
    <cellStyle name="_MultipleSpace_MET04" xfId="356" xr:uid="{00000000-0005-0000-0000-0000AE000000}"/>
    <cellStyle name="_MultipleSpace_NFS" xfId="357" xr:uid="{00000000-0005-0000-0000-0000AF000000}"/>
    <cellStyle name="_MultipleSpace_Overview3" xfId="358" xr:uid="{00000000-0005-0000-0000-0000B0000000}"/>
    <cellStyle name="_MultipleSpace_phil data" xfId="359" xr:uid="{00000000-0005-0000-0000-0000B1000000}"/>
    <cellStyle name="_MultipleSpace_Price Performance Charts" xfId="360" xr:uid="{00000000-0005-0000-0000-0000B2000000}"/>
    <cellStyle name="_MultipleSpace_PRU" xfId="361" xr:uid="{00000000-0005-0000-0000-0000B3000000}"/>
    <cellStyle name="_MultipleSpace_PRU04" xfId="362" xr:uid="{00000000-0005-0000-0000-0000B4000000}"/>
    <cellStyle name="_MultipleSpace_RiskReward" xfId="363" xr:uid="{00000000-0005-0000-0000-0000B5000000}"/>
    <cellStyle name="_MultipleSpace_SFG" xfId="364" xr:uid="{00000000-0005-0000-0000-0000B6000000}"/>
    <cellStyle name="_MultipleSpace_Sheet1" xfId="365" xr:uid="{00000000-0005-0000-0000-0000B7000000}"/>
    <cellStyle name="_MultipleSpace_Stock-QTR1 FDS" xfId="366" xr:uid="{00000000-0005-0000-0000-0000B8000000}"/>
    <cellStyle name="_MultipleSpace_TMK" xfId="367" xr:uid="{00000000-0005-0000-0000-0000B9000000}"/>
    <cellStyle name="_MultipleSpace_Updated Valuation Changes" xfId="368" xr:uid="{00000000-0005-0000-0000-0000BA000000}"/>
    <cellStyle name="_MultipleSpace_Valuation Graphs" xfId="369" xr:uid="{00000000-0005-0000-0000-0000BB000000}"/>
    <cellStyle name="_MultipleSpace_xratio - historical mkt val" xfId="370" xr:uid="{00000000-0005-0000-0000-0000BC000000}"/>
    <cellStyle name="_Percent" xfId="371" xr:uid="{00000000-0005-0000-0000-0000BD000000}"/>
    <cellStyle name="_Percent_DCF Alexander Forbes" xfId="372" xr:uid="{00000000-0005-0000-0000-0000BE000000}"/>
    <cellStyle name="_Percent_FMBI MBHI Graphs" xfId="373" xr:uid="{00000000-0005-0000-0000-0000BF000000}"/>
    <cellStyle name="_Percent_FMBI MBHI Graphs 07102001" xfId="374" xr:uid="{00000000-0005-0000-0000-0000C0000000}"/>
    <cellStyle name="_Percent_FMBI MBHI Graphs_7601" xfId="375" xr:uid="{00000000-0005-0000-0000-0000C1000000}"/>
    <cellStyle name="_PercentSpace" xfId="376" xr:uid="{00000000-0005-0000-0000-0000C2000000}"/>
    <cellStyle name="_PercentSpace_01 adj for merger plan" xfId="377" xr:uid="{00000000-0005-0000-0000-0000C3000000}"/>
    <cellStyle name="_PercentSpace_DCF Alexander Forbes" xfId="378" xr:uid="{00000000-0005-0000-0000-0000C4000000}"/>
    <cellStyle name="_PercentSpace_FMBI MBHI Graphs" xfId="379" xr:uid="{00000000-0005-0000-0000-0000C5000000}"/>
    <cellStyle name="_PercentSpace_FMBI MBHI Graphs 07102001" xfId="380" xr:uid="{00000000-0005-0000-0000-0000C6000000}"/>
    <cellStyle name="_PercentSpace_FMBI MBHI Graphs_7601" xfId="381" xr:uid="{00000000-0005-0000-0000-0000C7000000}"/>
    <cellStyle name="_QP_TWR.NZ" xfId="507" xr:uid="{00000000-0005-0000-0000-0000C8000000}"/>
    <cellStyle name="_SubHeading" xfId="382" xr:uid="{00000000-0005-0000-0000-0000C9000000}"/>
    <cellStyle name="_SubHeading_Ability to Pay Analysis" xfId="383" xr:uid="{00000000-0005-0000-0000-0000CA000000}"/>
    <cellStyle name="_SubHeading_BankUnited Model" xfId="384" xr:uid="{00000000-0005-0000-0000-0000CB000000}"/>
    <cellStyle name="_SubHeading_fmbi counties" xfId="385" xr:uid="{00000000-0005-0000-0000-0000CC000000}"/>
    <cellStyle name="_SubHeading_FMBI MBHI Graphs" xfId="386" xr:uid="{00000000-0005-0000-0000-0000CD000000}"/>
    <cellStyle name="_SubHeading_FMBI MBHI Graphs 07102001" xfId="387" xr:uid="{00000000-0005-0000-0000-0000CE000000}"/>
    <cellStyle name="_SubHeading_FMBI MBHI Graphs_7601" xfId="388" xr:uid="{00000000-0005-0000-0000-0000CF000000}"/>
    <cellStyle name="_SubHeading_prestemp" xfId="389" xr:uid="{00000000-0005-0000-0000-0000D0000000}"/>
    <cellStyle name="_SubHeading_prestemp_Insurance Brokerage CSC_1Q2002" xfId="390" xr:uid="{00000000-0005-0000-0000-0000D1000000}"/>
    <cellStyle name="_SubHeading_prestemp_Overview3" xfId="391" xr:uid="{00000000-0005-0000-0000-0000D2000000}"/>
    <cellStyle name="_SubHeading_prestemp_Updated Valuation Changes" xfId="392" xr:uid="{00000000-0005-0000-0000-0000D3000000}"/>
    <cellStyle name="_SubHeading_xratio - historical mkt val" xfId="393" xr:uid="{00000000-0005-0000-0000-0000D4000000}"/>
    <cellStyle name="_Table" xfId="394" xr:uid="{00000000-0005-0000-0000-0000D5000000}"/>
    <cellStyle name="_Table_Ability to Pay Analysis" xfId="395" xr:uid="{00000000-0005-0000-0000-0000D6000000}"/>
    <cellStyle name="_Table_BankUnited Model" xfId="396" xr:uid="{00000000-0005-0000-0000-0000D7000000}"/>
    <cellStyle name="_Table_fmbi counties" xfId="397" xr:uid="{00000000-0005-0000-0000-0000D8000000}"/>
    <cellStyle name="_Table_xratio - historical mkt val" xfId="398" xr:uid="{00000000-0005-0000-0000-0000D9000000}"/>
    <cellStyle name="_TableHead" xfId="399" xr:uid="{00000000-0005-0000-0000-0000DA000000}"/>
    <cellStyle name="_TableRowHead" xfId="400" xr:uid="{00000000-0005-0000-0000-0000DB000000}"/>
    <cellStyle name="_TableSuperHead" xfId="401" xr:uid="{00000000-0005-0000-0000-0000DC000000}"/>
    <cellStyle name="_TableSuperHead_Ability to Pay Analysis" xfId="402" xr:uid="{00000000-0005-0000-0000-0000DD000000}"/>
    <cellStyle name="_TableSuperHead_BankUnited Model" xfId="403" xr:uid="{00000000-0005-0000-0000-0000DE000000}"/>
    <cellStyle name="_TableSuperHead_fmbi counties" xfId="404" xr:uid="{00000000-0005-0000-0000-0000DF000000}"/>
    <cellStyle name="_TableSuperHead_xratio - historical mkt val" xfId="405" xr:uid="{00000000-0005-0000-0000-0000E0000000}"/>
    <cellStyle name="§Q\?1@" xfId="508" xr:uid="{00000000-0005-0000-0000-0000E1000000}"/>
    <cellStyle name="0.0" xfId="509" xr:uid="{00000000-0005-0000-0000-0000E2000000}"/>
    <cellStyle name="1pc" xfId="510" xr:uid="{00000000-0005-0000-0000-0000E3000000}"/>
    <cellStyle name="20% - Accent1 2" xfId="38" xr:uid="{00000000-0005-0000-0000-0000E4000000}"/>
    <cellStyle name="20% - Accent2 2" xfId="39" xr:uid="{00000000-0005-0000-0000-0000E5000000}"/>
    <cellStyle name="20% - Accent3 2" xfId="40" xr:uid="{00000000-0005-0000-0000-0000E6000000}"/>
    <cellStyle name="20% - Accent4 2" xfId="41" xr:uid="{00000000-0005-0000-0000-0000E7000000}"/>
    <cellStyle name="20% - Accent5 2" xfId="42" xr:uid="{00000000-0005-0000-0000-0000E8000000}"/>
    <cellStyle name="20% - Accent6 2" xfId="43" xr:uid="{00000000-0005-0000-0000-0000E9000000}"/>
    <cellStyle name="2pc" xfId="511" xr:uid="{00000000-0005-0000-0000-0000EA000000}"/>
    <cellStyle name="3dp" xfId="512" xr:uid="{00000000-0005-0000-0000-0000EB000000}"/>
    <cellStyle name="40% - Accent1 2" xfId="44" xr:uid="{00000000-0005-0000-0000-0000EC000000}"/>
    <cellStyle name="40% - Accent2 2" xfId="45" xr:uid="{00000000-0005-0000-0000-0000ED000000}"/>
    <cellStyle name="40% - Accent3 2" xfId="46" xr:uid="{00000000-0005-0000-0000-0000EE000000}"/>
    <cellStyle name="40% - Accent4 2" xfId="47" xr:uid="{00000000-0005-0000-0000-0000EF000000}"/>
    <cellStyle name="40% - Accent5 2" xfId="48" xr:uid="{00000000-0005-0000-0000-0000F0000000}"/>
    <cellStyle name="40% - Accent6 2" xfId="49" xr:uid="{00000000-0005-0000-0000-0000F1000000}"/>
    <cellStyle name="60% - Accent1 2" xfId="82" xr:uid="{00000000-0005-0000-0000-0000F2000000}"/>
    <cellStyle name="60% - Accent1 3" xfId="50" xr:uid="{00000000-0005-0000-0000-0000F3000000}"/>
    <cellStyle name="60% - Accent2 2" xfId="83" xr:uid="{00000000-0005-0000-0000-0000F4000000}"/>
    <cellStyle name="60% - Accent2 3" xfId="51" xr:uid="{00000000-0005-0000-0000-0000F5000000}"/>
    <cellStyle name="60% - Accent3 2" xfId="84" xr:uid="{00000000-0005-0000-0000-0000F6000000}"/>
    <cellStyle name="60% - Accent3 3" xfId="52" xr:uid="{00000000-0005-0000-0000-0000F7000000}"/>
    <cellStyle name="60% - Accent4 2" xfId="85" xr:uid="{00000000-0005-0000-0000-0000F8000000}"/>
    <cellStyle name="60% - Accent4 3" xfId="53" xr:uid="{00000000-0005-0000-0000-0000F9000000}"/>
    <cellStyle name="60% - Accent5 2" xfId="86" xr:uid="{00000000-0005-0000-0000-0000FA000000}"/>
    <cellStyle name="60% - Accent5 3" xfId="54" xr:uid="{00000000-0005-0000-0000-0000FB000000}"/>
    <cellStyle name="60% - Accent6 2" xfId="87" xr:uid="{00000000-0005-0000-0000-0000FC000000}"/>
    <cellStyle name="60% - Accent6 3" xfId="55" xr:uid="{00000000-0005-0000-0000-0000FD000000}"/>
    <cellStyle name="Accent1 2" xfId="88" xr:uid="{00000000-0005-0000-0000-0000FE000000}"/>
    <cellStyle name="Accent1 3" xfId="56" xr:uid="{00000000-0005-0000-0000-0000FF000000}"/>
    <cellStyle name="Accent2 2" xfId="89" xr:uid="{00000000-0005-0000-0000-000000010000}"/>
    <cellStyle name="Accent2 3" xfId="57" xr:uid="{00000000-0005-0000-0000-000001010000}"/>
    <cellStyle name="Accent3 2" xfId="90" xr:uid="{00000000-0005-0000-0000-000002010000}"/>
    <cellStyle name="Accent3 3" xfId="58" xr:uid="{00000000-0005-0000-0000-000003010000}"/>
    <cellStyle name="Accent4 2" xfId="91" xr:uid="{00000000-0005-0000-0000-000004010000}"/>
    <cellStyle name="Accent4 3" xfId="59" xr:uid="{00000000-0005-0000-0000-000005010000}"/>
    <cellStyle name="Accent5 2" xfId="92" xr:uid="{00000000-0005-0000-0000-000006010000}"/>
    <cellStyle name="Accent5 3" xfId="60" xr:uid="{00000000-0005-0000-0000-000007010000}"/>
    <cellStyle name="Accent6 2" xfId="93" xr:uid="{00000000-0005-0000-0000-000008010000}"/>
    <cellStyle name="Accent6 3" xfId="61" xr:uid="{00000000-0005-0000-0000-000009010000}"/>
    <cellStyle name="Actual data" xfId="406" xr:uid="{00000000-0005-0000-0000-00000A010000}"/>
    <cellStyle name="Actual data 2" xfId="2125" xr:uid="{00000000-0005-0000-0000-00000B010000}"/>
    <cellStyle name="Actual year" xfId="407" xr:uid="{00000000-0005-0000-0000-00000C010000}"/>
    <cellStyle name="Actual year 2" xfId="2126" xr:uid="{00000000-0005-0000-0000-00000D010000}"/>
    <cellStyle name="Actuals Cells" xfId="408" xr:uid="{00000000-0005-0000-0000-00000E010000}"/>
    <cellStyle name="AFE" xfId="409" xr:uid="{00000000-0005-0000-0000-00000F010000}"/>
    <cellStyle name="afl" xfId="410" xr:uid="{00000000-0005-0000-0000-000010010000}"/>
    <cellStyle name="Andre's Title" xfId="411" xr:uid="{00000000-0005-0000-0000-000011010000}"/>
    <cellStyle name="Ass_Formula" xfId="513" xr:uid="{00000000-0005-0000-0000-000012010000}"/>
    <cellStyle name="Assumption" xfId="514" xr:uid="{00000000-0005-0000-0000-000013010000}"/>
    <cellStyle name="Attribute" xfId="515" xr:uid="{00000000-0005-0000-0000-000014010000}"/>
    <cellStyle name="Bad 2" xfId="62" xr:uid="{00000000-0005-0000-0000-000015010000}"/>
    <cellStyle name="Bad 2 2" xfId="2651" xr:uid="{00000000-0005-0000-0000-000016010000}"/>
    <cellStyle name="Blank" xfId="412" xr:uid="{00000000-0005-0000-0000-000017010000}"/>
    <cellStyle name="Blank 2" xfId="2127" xr:uid="{00000000-0005-0000-0000-000018010000}"/>
    <cellStyle name="Blue" xfId="413" xr:uid="{00000000-0005-0000-0000-000019010000}"/>
    <cellStyle name="Blue Title" xfId="414" xr:uid="{00000000-0005-0000-0000-00001A010000}"/>
    <cellStyle name="Calc Cells" xfId="415" xr:uid="{00000000-0005-0000-0000-00001B010000}"/>
    <cellStyle name="Calculation 2" xfId="63" xr:uid="{00000000-0005-0000-0000-00001C010000}"/>
    <cellStyle name="Case" xfId="416" xr:uid="{00000000-0005-0000-0000-00001D010000}"/>
    <cellStyle name="CategoryHeading" xfId="516" xr:uid="{00000000-0005-0000-0000-00001E010000}"/>
    <cellStyle name="cents" xfId="517" xr:uid="{00000000-0005-0000-0000-00001F010000}"/>
    <cellStyle name="Check Cell 2" xfId="64" xr:uid="{00000000-0005-0000-0000-000020010000}"/>
    <cellStyle name="Co. Names" xfId="417" xr:uid="{00000000-0005-0000-0000-000021010000}"/>
    <cellStyle name="Co. Names - Bold" xfId="418" xr:uid="{00000000-0005-0000-0000-000022010000}"/>
    <cellStyle name="Co. Names_Blend" xfId="419" xr:uid="{00000000-0005-0000-0000-000023010000}"/>
    <cellStyle name="Col Head" xfId="420" xr:uid="{00000000-0005-0000-0000-000024010000}"/>
    <cellStyle name="Col head bold" xfId="518" xr:uid="{00000000-0005-0000-0000-000025010000}"/>
    <cellStyle name="Col head light" xfId="519" xr:uid="{00000000-0005-0000-0000-000026010000}"/>
    <cellStyle name="Comma" xfId="1" builtinId="3"/>
    <cellStyle name="Comma 2" xfId="6" xr:uid="{00000000-0005-0000-0000-000028010000}"/>
    <cellStyle name="Comma 2 2" xfId="520" xr:uid="{00000000-0005-0000-0000-000029010000}"/>
    <cellStyle name="Comma 2 2 2" xfId="2111" xr:uid="{00000000-0005-0000-0000-00002A010000}"/>
    <cellStyle name="Comma 2 2 2 2" xfId="3166" xr:uid="{00000000-0005-0000-0000-00002B010000}"/>
    <cellStyle name="Comma 2 2 3" xfId="2117" xr:uid="{00000000-0005-0000-0000-00002C010000}"/>
    <cellStyle name="Comma 2 2 4" xfId="3165" xr:uid="{00000000-0005-0000-0000-00002D010000}"/>
    <cellStyle name="Comma 2 3" xfId="2099" xr:uid="{00000000-0005-0000-0000-00002E010000}"/>
    <cellStyle name="Comma 2 3 2" xfId="3167" xr:uid="{00000000-0005-0000-0000-00002F010000}"/>
    <cellStyle name="Comma 2 4" xfId="1591" xr:uid="{00000000-0005-0000-0000-000030010000}"/>
    <cellStyle name="Comma 2 5" xfId="3164" xr:uid="{00000000-0005-0000-0000-000031010000}"/>
    <cellStyle name="Comma 2 6" xfId="3153" xr:uid="{00000000-0005-0000-0000-000032010000}"/>
    <cellStyle name="Comma 3" xfId="65" xr:uid="{00000000-0005-0000-0000-000033010000}"/>
    <cellStyle name="Comma 3 2" xfId="3169" xr:uid="{00000000-0005-0000-0000-000034010000}"/>
    <cellStyle name="Comma 3 3" xfId="3170" xr:uid="{00000000-0005-0000-0000-000035010000}"/>
    <cellStyle name="Comma 3 3 2" xfId="3227" xr:uid="{00000000-0005-0000-0000-000036010000}"/>
    <cellStyle name="Comma 3 3 2 2" xfId="8524" xr:uid="{00000000-0005-0000-0000-000037010000}"/>
    <cellStyle name="Comma 3 3 3" xfId="3245" xr:uid="{00000000-0005-0000-0000-000038010000}"/>
    <cellStyle name="Comma 3 3 3 2" xfId="8541" xr:uid="{00000000-0005-0000-0000-000039010000}"/>
    <cellStyle name="Comma 3 3 4" xfId="5870" xr:uid="{00000000-0005-0000-0000-00003A010000}"/>
    <cellStyle name="Comma 3 3 4 2" xfId="11155" xr:uid="{00000000-0005-0000-0000-00003B010000}"/>
    <cellStyle name="Comma 3 3 5" xfId="8507" xr:uid="{00000000-0005-0000-0000-00003C010000}"/>
    <cellStyle name="Comma 3 4" xfId="3168" xr:uid="{00000000-0005-0000-0000-00003D010000}"/>
    <cellStyle name="Comma 3 5" xfId="3158" xr:uid="{00000000-0005-0000-0000-00003E010000}"/>
    <cellStyle name="Comma 4" xfId="498" xr:uid="{00000000-0005-0000-0000-00003F010000}"/>
    <cellStyle name="Comma 4 2" xfId="1592" xr:uid="{00000000-0005-0000-0000-000040010000}"/>
    <cellStyle name="Comma 4 2 2" xfId="3172" xr:uid="{00000000-0005-0000-0000-000041010000}"/>
    <cellStyle name="Comma 4 3" xfId="3173" xr:uid="{00000000-0005-0000-0000-000042010000}"/>
    <cellStyle name="Comma 4 4" xfId="3171" xr:uid="{00000000-0005-0000-0000-000043010000}"/>
    <cellStyle name="Comma 4 5" xfId="4362" xr:uid="{00000000-0005-0000-0000-000044010000}"/>
    <cellStyle name="Comma 4 5 2" xfId="9650" xr:uid="{00000000-0005-0000-0000-000045010000}"/>
    <cellStyle name="Comma 4 6" xfId="6004" xr:uid="{00000000-0005-0000-0000-000046010000}"/>
    <cellStyle name="Comma 5" xfId="521" xr:uid="{00000000-0005-0000-0000-000047010000}"/>
    <cellStyle name="Comma 5 2" xfId="2101" xr:uid="{00000000-0005-0000-0000-000048010000}"/>
    <cellStyle name="Comma 5 2 2" xfId="3174" xr:uid="{00000000-0005-0000-0000-000049010000}"/>
    <cellStyle name="Comma 5 3" xfId="3175" xr:uid="{00000000-0005-0000-0000-00004A010000}"/>
    <cellStyle name="Comma 6" xfId="522" xr:uid="{00000000-0005-0000-0000-00004B010000}"/>
    <cellStyle name="Comma 6 2" xfId="523" xr:uid="{00000000-0005-0000-0000-00004C010000}"/>
    <cellStyle name="Comma 6 3" xfId="3176" xr:uid="{00000000-0005-0000-0000-00004D010000}"/>
    <cellStyle name="Comma 7" xfId="524" xr:uid="{00000000-0005-0000-0000-00004E010000}"/>
    <cellStyle name="Comma 7 2" xfId="525" xr:uid="{00000000-0005-0000-0000-00004F010000}"/>
    <cellStyle name="Comma 7 2 2" xfId="4368" xr:uid="{00000000-0005-0000-0000-000050010000}"/>
    <cellStyle name="Comma 7 2 2 2" xfId="9656" xr:uid="{00000000-0005-0000-0000-000051010000}"/>
    <cellStyle name="Comma 7 2 3" xfId="6010" xr:uid="{00000000-0005-0000-0000-000052010000}"/>
    <cellStyle name="Comma 7 3" xfId="3163" xr:uid="{00000000-0005-0000-0000-000053010000}"/>
    <cellStyle name="Comma 7 4" xfId="4367" xr:uid="{00000000-0005-0000-0000-000054010000}"/>
    <cellStyle name="Comma 7 4 2" xfId="9655" xr:uid="{00000000-0005-0000-0000-000055010000}"/>
    <cellStyle name="Comma 7 5" xfId="6009" xr:uid="{00000000-0005-0000-0000-000056010000}"/>
    <cellStyle name="Comma 8" xfId="2120" xr:uid="{00000000-0005-0000-0000-000057010000}"/>
    <cellStyle name="Comma 8 2" xfId="3216" xr:uid="{00000000-0005-0000-0000-000058010000}"/>
    <cellStyle name="Comma 9" xfId="3212" xr:uid="{00000000-0005-0000-0000-000059010000}"/>
    <cellStyle name="Comma0" xfId="421" xr:uid="{00000000-0005-0000-0000-00005A010000}"/>
    <cellStyle name="Company name" xfId="422" xr:uid="{00000000-0005-0000-0000-00005B010000}"/>
    <cellStyle name="Company name 2" xfId="2128" xr:uid="{00000000-0005-0000-0000-00005C010000}"/>
    <cellStyle name="CompanyTitle" xfId="423" xr:uid="{00000000-0005-0000-0000-00005D010000}"/>
    <cellStyle name="Currency [2]" xfId="424" xr:uid="{00000000-0005-0000-0000-00005F010000}"/>
    <cellStyle name="Currency 0.0" xfId="526" xr:uid="{00000000-0005-0000-0000-000060010000}"/>
    <cellStyle name="Currency 10" xfId="1593" xr:uid="{00000000-0005-0000-0000-000061010000}"/>
    <cellStyle name="Currency 11" xfId="1630" xr:uid="{00000000-0005-0000-0000-000062010000}"/>
    <cellStyle name="Currency 12" xfId="2112" xr:uid="{00000000-0005-0000-0000-000063010000}"/>
    <cellStyle name="Currency 13" xfId="2645" xr:uid="{00000000-0005-0000-0000-000064010000}"/>
    <cellStyle name="Currency 14" xfId="3759" xr:uid="{00000000-0005-0000-0000-000065010000}"/>
    <cellStyle name="Currency 15" xfId="4263" xr:uid="{00000000-0005-0000-0000-000066010000}"/>
    <cellStyle name="Currency 16" xfId="5899" xr:uid="{00000000-0005-0000-0000-000067010000}"/>
    <cellStyle name="Currency 17" xfId="6002" xr:uid="{00000000-0005-0000-0000-000068010000}"/>
    <cellStyle name="Currency 18" xfId="6000" xr:uid="{00000000-0005-0000-0000-000069010000}"/>
    <cellStyle name="Currency 2" xfId="8" xr:uid="{00000000-0005-0000-0000-00006A010000}"/>
    <cellStyle name="Currency 2 2" xfId="527" xr:uid="{00000000-0005-0000-0000-00006B010000}"/>
    <cellStyle name="Currency 2 2 2" xfId="2107" xr:uid="{00000000-0005-0000-0000-00006C010000}"/>
    <cellStyle name="Currency 2 2 3" xfId="2098" xr:uid="{00000000-0005-0000-0000-00006D010000}"/>
    <cellStyle name="Currency 2 2 4" xfId="3143" xr:uid="{00000000-0005-0000-0000-00006E010000}"/>
    <cellStyle name="Currency 2 2 4 2" xfId="8496" xr:uid="{00000000-0005-0000-0000-00006F010000}"/>
    <cellStyle name="Currency 2 2 5" xfId="4253" xr:uid="{00000000-0005-0000-0000-000070010000}"/>
    <cellStyle name="Currency 2 2 5 2" xfId="9544" xr:uid="{00000000-0005-0000-0000-000071010000}"/>
    <cellStyle name="Currency 2 2 6" xfId="4369" xr:uid="{00000000-0005-0000-0000-000072010000}"/>
    <cellStyle name="Currency 2 2 6 2" xfId="9657" xr:uid="{00000000-0005-0000-0000-000073010000}"/>
    <cellStyle name="Currency 2 2 7" xfId="6011" xr:uid="{00000000-0005-0000-0000-000074010000}"/>
    <cellStyle name="Currency 2 3" xfId="2090" xr:uid="{00000000-0005-0000-0000-000075010000}"/>
    <cellStyle name="Currency 2 3 2" xfId="3178" xr:uid="{00000000-0005-0000-0000-000076010000}"/>
    <cellStyle name="Currency 2 3 3" xfId="5859" xr:uid="{00000000-0005-0000-0000-000077010000}"/>
    <cellStyle name="Currency 2 3 3 2" xfId="11147" xr:uid="{00000000-0005-0000-0000-000078010000}"/>
    <cellStyle name="Currency 2 3 4" xfId="7501" xr:uid="{00000000-0005-0000-0000-000079010000}"/>
    <cellStyle name="Currency 2 4" xfId="2639" xr:uid="{00000000-0005-0000-0000-00007A010000}"/>
    <cellStyle name="Currency 2 4 2" xfId="3179" xr:uid="{00000000-0005-0000-0000-00007B010000}"/>
    <cellStyle name="Currency 2 4 3" xfId="7997" xr:uid="{00000000-0005-0000-0000-00007C010000}"/>
    <cellStyle name="Currency 2 5" xfId="3177" xr:uid="{00000000-0005-0000-0000-00007D010000}"/>
    <cellStyle name="Currency 2 6" xfId="3161" xr:uid="{00000000-0005-0000-0000-00007E010000}"/>
    <cellStyle name="Currency 2 7" xfId="3753" xr:uid="{00000000-0005-0000-0000-00007F010000}"/>
    <cellStyle name="Currency 2 7 2" xfId="9045" xr:uid="{00000000-0005-0000-0000-000080010000}"/>
    <cellStyle name="Currency 3" xfId="66" xr:uid="{00000000-0005-0000-0000-000081010000}"/>
    <cellStyle name="Currency 3 2" xfId="2102" xr:uid="{00000000-0005-0000-0000-000082010000}"/>
    <cellStyle name="Currency 3 2 2" xfId="3180" xr:uid="{00000000-0005-0000-0000-000083010000}"/>
    <cellStyle name="Currency 3 3" xfId="2097" xr:uid="{00000000-0005-0000-0000-000084010000}"/>
    <cellStyle name="Currency 3 4" xfId="2147" xr:uid="{00000000-0005-0000-0000-000085010000}"/>
    <cellStyle name="Currency 4" xfId="528" xr:uid="{00000000-0005-0000-0000-000086010000}"/>
    <cellStyle name="Currency 4 2" xfId="2105" xr:uid="{00000000-0005-0000-0000-000087010000}"/>
    <cellStyle name="Currency 5" xfId="529" xr:uid="{00000000-0005-0000-0000-000088010000}"/>
    <cellStyle name="Currency 5 2" xfId="2110" xr:uid="{00000000-0005-0000-0000-000089010000}"/>
    <cellStyle name="Currency 6" xfId="530" xr:uid="{00000000-0005-0000-0000-00008A010000}"/>
    <cellStyle name="Currency 6 2" xfId="3181" xr:uid="{00000000-0005-0000-0000-00008B010000}"/>
    <cellStyle name="Currency 7" xfId="531" xr:uid="{00000000-0005-0000-0000-00008C010000}"/>
    <cellStyle name="Currency 8" xfId="532" xr:uid="{00000000-0005-0000-0000-00008D010000}"/>
    <cellStyle name="Currency 8 2" xfId="3215" xr:uid="{00000000-0005-0000-0000-00008E010000}"/>
    <cellStyle name="Currency 9" xfId="533" xr:uid="{00000000-0005-0000-0000-00008F010000}"/>
    <cellStyle name="Currency 9 2" xfId="534" xr:uid="{00000000-0005-0000-0000-000090010000}"/>
    <cellStyle name="Currency0" xfId="425" xr:uid="{00000000-0005-0000-0000-000091010000}"/>
    <cellStyle name="date" xfId="426" xr:uid="{00000000-0005-0000-0000-000092010000}"/>
    <cellStyle name="Date Line" xfId="535" xr:uid="{00000000-0005-0000-0000-000093010000}"/>
    <cellStyle name="default" xfId="427" xr:uid="{00000000-0005-0000-0000-000094010000}"/>
    <cellStyle name="Dollar" xfId="9" xr:uid="{00000000-0005-0000-0000-000095010000}"/>
    <cellStyle name="emp" xfId="428" xr:uid="{00000000-0005-0000-0000-000096010000}"/>
    <cellStyle name="Explanatory Text 2" xfId="67" xr:uid="{00000000-0005-0000-0000-000097010000}"/>
    <cellStyle name="External File Cells" xfId="429" xr:uid="{00000000-0005-0000-0000-000098010000}"/>
    <cellStyle name="External File Cells 2" xfId="2129" xr:uid="{00000000-0005-0000-0000-000099010000}"/>
    <cellStyle name="Fit" xfId="430" xr:uid="{00000000-0005-0000-0000-00009A010000}"/>
    <cellStyle name="Fixed" xfId="431" xr:uid="{00000000-0005-0000-0000-00009B010000}"/>
    <cellStyle name="folio" xfId="536" xr:uid="{00000000-0005-0000-0000-00009C010000}"/>
    <cellStyle name="Footnotes" xfId="432" xr:uid="{00000000-0005-0000-0000-00009D010000}"/>
    <cellStyle name="Forecast Cells" xfId="433" xr:uid="{00000000-0005-0000-0000-00009E010000}"/>
    <cellStyle name="Fraction" xfId="10" xr:uid="{00000000-0005-0000-0000-00009F010000}"/>
    <cellStyle name="G1_1999 figures" xfId="434" xr:uid="{00000000-0005-0000-0000-0000A0010000}"/>
    <cellStyle name="Good 2" xfId="68" xr:uid="{00000000-0005-0000-0000-0000A1010000}"/>
    <cellStyle name="Good 2 2" xfId="2148" xr:uid="{00000000-0005-0000-0000-0000A2010000}"/>
    <cellStyle name="H_1998_col_head" xfId="435" xr:uid="{00000000-0005-0000-0000-0000A3010000}"/>
    <cellStyle name="H_1998_col_head 2" xfId="2130" xr:uid="{00000000-0005-0000-0000-0000A4010000}"/>
    <cellStyle name="H_1998_col_head_ASSUMPTIONS" xfId="537" xr:uid="{00000000-0005-0000-0000-0000A5010000}"/>
    <cellStyle name="H_1998_col_head_wplmod" xfId="538" xr:uid="{00000000-0005-0000-0000-0000A6010000}"/>
    <cellStyle name="H_1999_col_head" xfId="436" xr:uid="{00000000-0005-0000-0000-0000A7010000}"/>
    <cellStyle name="H_1999_col_head 2" xfId="2131" xr:uid="{00000000-0005-0000-0000-0000A8010000}"/>
    <cellStyle name="H_1999_col_head_wplmod" xfId="539" xr:uid="{00000000-0005-0000-0000-0000A9010000}"/>
    <cellStyle name="H1_1998 figures" xfId="437" xr:uid="{00000000-0005-0000-0000-0000AA010000}"/>
    <cellStyle name="Header" xfId="11" xr:uid="{00000000-0005-0000-0000-0000AB010000}"/>
    <cellStyle name="Heading" xfId="438" xr:uid="{00000000-0005-0000-0000-0000AC010000}"/>
    <cellStyle name="Heading 1 2" xfId="69" xr:uid="{00000000-0005-0000-0000-0000AD010000}"/>
    <cellStyle name="Heading 2 2" xfId="70" xr:uid="{00000000-0005-0000-0000-0000AE010000}"/>
    <cellStyle name="Heading 3 2" xfId="71" xr:uid="{00000000-0005-0000-0000-0000AF010000}"/>
    <cellStyle name="Heading 4 2" xfId="72" xr:uid="{00000000-0005-0000-0000-0000B0010000}"/>
    <cellStyle name="Heading1" xfId="439" xr:uid="{00000000-0005-0000-0000-0000B1010000}"/>
    <cellStyle name="Hyperlink" xfId="496" builtinId="8"/>
    <cellStyle name="Hyperlink 2" xfId="540" xr:uid="{00000000-0005-0000-0000-0000B3010000}"/>
    <cellStyle name="Hyperlink 2 2" xfId="541" xr:uid="{00000000-0005-0000-0000-0000B4010000}"/>
    <cellStyle name="Hyperlink 3" xfId="542" xr:uid="{00000000-0005-0000-0000-0000B5010000}"/>
    <cellStyle name="Hyperlink 3 2" xfId="2094" xr:uid="{00000000-0005-0000-0000-0000B6010000}"/>
    <cellStyle name="Hyperlink 4" xfId="543" xr:uid="{00000000-0005-0000-0000-0000B7010000}"/>
    <cellStyle name="Hyperlink 5" xfId="544" xr:uid="{00000000-0005-0000-0000-0000B8010000}"/>
    <cellStyle name="Hyperlink 6" xfId="2092" xr:uid="{00000000-0005-0000-0000-0000B9010000}"/>
    <cellStyle name="Hyperlink 7" xfId="2646" xr:uid="{00000000-0005-0000-0000-0000BA010000}"/>
    <cellStyle name="Hyperlink 7 2" xfId="5897" xr:uid="{00000000-0005-0000-0000-0000BB010000}"/>
    <cellStyle name="Hyperlink 8" xfId="3223" xr:uid="{00000000-0005-0000-0000-0000BC010000}"/>
    <cellStyle name="Input 2" xfId="73" xr:uid="{00000000-0005-0000-0000-0000BD010000}"/>
    <cellStyle name="Input Cells" xfId="440" xr:uid="{00000000-0005-0000-0000-0000BE010000}"/>
    <cellStyle name="Inputs" xfId="12" xr:uid="{00000000-0005-0000-0000-0000BF010000}"/>
    <cellStyle name="Item Descriptions" xfId="441" xr:uid="{00000000-0005-0000-0000-0000C0010000}"/>
    <cellStyle name="Line" xfId="442" xr:uid="{00000000-0005-0000-0000-0000C1010000}"/>
    <cellStyle name="Linked Cell 2" xfId="74" xr:uid="{00000000-0005-0000-0000-0000C2010000}"/>
    <cellStyle name="Mainhead" xfId="443" xr:uid="{00000000-0005-0000-0000-0000C3010000}"/>
    <cellStyle name="Mainhead 2" xfId="2132" xr:uid="{00000000-0005-0000-0000-0000C4010000}"/>
    <cellStyle name="MajorHeading" xfId="545" xr:uid="{00000000-0005-0000-0000-0000C5010000}"/>
    <cellStyle name="Merrill" xfId="444" xr:uid="{00000000-0005-0000-0000-0000C6010000}"/>
    <cellStyle name="Mix" xfId="445" xr:uid="{00000000-0005-0000-0000-0000C7010000}"/>
    <cellStyle name="Monitor" xfId="446" xr:uid="{00000000-0005-0000-0000-0000C8010000}"/>
    <cellStyle name="Multiple" xfId="447" xr:uid="{00000000-0005-0000-0000-0000C9010000}"/>
    <cellStyle name="Name" xfId="13" xr:uid="{00000000-0005-0000-0000-0000CA010000}"/>
    <cellStyle name="Neutral 2" xfId="75" xr:uid="{00000000-0005-0000-0000-0000CB010000}"/>
    <cellStyle name="Neutral 2 2" xfId="2650" xr:uid="{00000000-0005-0000-0000-0000CC010000}"/>
    <cellStyle name="NewAcct" xfId="14" xr:uid="{00000000-0005-0000-0000-0000CD010000}"/>
    <cellStyle name="Normal" xfId="0" builtinId="0"/>
    <cellStyle name="Normal - Style1" xfId="448" xr:uid="{00000000-0005-0000-0000-0000CF010000}"/>
    <cellStyle name="Normal 0.0" xfId="546" xr:uid="{00000000-0005-0000-0000-0000D0010000}"/>
    <cellStyle name="Normal 10" xfId="547" xr:uid="{00000000-0005-0000-0000-0000D1010000}"/>
    <cellStyle name="Normal 10 10" xfId="3235" xr:uid="{00000000-0005-0000-0000-0000D2010000}"/>
    <cellStyle name="Normal 10 10 2" xfId="8532" xr:uid="{00000000-0005-0000-0000-0000D3010000}"/>
    <cellStyle name="Normal 10 11" xfId="3253" xr:uid="{00000000-0005-0000-0000-0000D4010000}"/>
    <cellStyle name="Normal 10 11 2" xfId="8549" xr:uid="{00000000-0005-0000-0000-0000D5010000}"/>
    <cellStyle name="Normal 10 12" xfId="3264" xr:uid="{00000000-0005-0000-0000-0000D6010000}"/>
    <cellStyle name="Normal 10 12 2" xfId="8556" xr:uid="{00000000-0005-0000-0000-0000D7010000}"/>
    <cellStyle name="Normal 10 13" xfId="4370" xr:uid="{00000000-0005-0000-0000-0000D8010000}"/>
    <cellStyle name="Normal 10 13 2" xfId="9658" xr:uid="{00000000-0005-0000-0000-0000D9010000}"/>
    <cellStyle name="Normal 10 14" xfId="6012" xr:uid="{00000000-0005-0000-0000-0000DA010000}"/>
    <cellStyle name="Normal 10 2" xfId="548" xr:uid="{00000000-0005-0000-0000-0000DB010000}"/>
    <cellStyle name="Normal 10 2 10" xfId="3258" xr:uid="{00000000-0005-0000-0000-0000DC010000}"/>
    <cellStyle name="Normal 10 2 10 2" xfId="8553" xr:uid="{00000000-0005-0000-0000-0000DD010000}"/>
    <cellStyle name="Normal 10 2 11" xfId="3265" xr:uid="{00000000-0005-0000-0000-0000DE010000}"/>
    <cellStyle name="Normal 10 2 11 2" xfId="8557" xr:uid="{00000000-0005-0000-0000-0000DF010000}"/>
    <cellStyle name="Normal 10 2 12" xfId="4371" xr:uid="{00000000-0005-0000-0000-0000E0010000}"/>
    <cellStyle name="Normal 10 2 12 2" xfId="9659" xr:uid="{00000000-0005-0000-0000-0000E1010000}"/>
    <cellStyle name="Normal 10 2 13" xfId="6013" xr:uid="{00000000-0005-0000-0000-0000E2010000}"/>
    <cellStyle name="Normal 10 2 2" xfId="549" xr:uid="{00000000-0005-0000-0000-0000E3010000}"/>
    <cellStyle name="Normal 10 2 2 2" xfId="550" xr:uid="{00000000-0005-0000-0000-0000E4010000}"/>
    <cellStyle name="Normal 10 2 2 2 2" xfId="551" xr:uid="{00000000-0005-0000-0000-0000E5010000}"/>
    <cellStyle name="Normal 10 2 2 2 2 2" xfId="2657" xr:uid="{00000000-0005-0000-0000-0000E6010000}"/>
    <cellStyle name="Normal 10 2 2 2 2 2 2" xfId="8010" xr:uid="{00000000-0005-0000-0000-0000E7010000}"/>
    <cellStyle name="Normal 10 2 2 2 2 3" xfId="3767" xr:uid="{00000000-0005-0000-0000-0000E8010000}"/>
    <cellStyle name="Normal 10 2 2 2 2 3 2" xfId="9058" xr:uid="{00000000-0005-0000-0000-0000E9010000}"/>
    <cellStyle name="Normal 10 2 2 2 2 4" xfId="4374" xr:uid="{00000000-0005-0000-0000-0000EA010000}"/>
    <cellStyle name="Normal 10 2 2 2 2 4 2" xfId="9662" xr:uid="{00000000-0005-0000-0000-0000EB010000}"/>
    <cellStyle name="Normal 10 2 2 2 2 5" xfId="6016" xr:uid="{00000000-0005-0000-0000-0000EC010000}"/>
    <cellStyle name="Normal 10 2 2 2 3" xfId="1597" xr:uid="{00000000-0005-0000-0000-0000ED010000}"/>
    <cellStyle name="Normal 10 2 2 2 3 2" xfId="5372" xr:uid="{00000000-0005-0000-0000-0000EE010000}"/>
    <cellStyle name="Normal 10 2 2 2 3 2 2" xfId="10660" xr:uid="{00000000-0005-0000-0000-0000EF010000}"/>
    <cellStyle name="Normal 10 2 2 2 3 3" xfId="7014" xr:uid="{00000000-0005-0000-0000-0000F0010000}"/>
    <cellStyle name="Normal 10 2 2 2 4" xfId="2152" xr:uid="{00000000-0005-0000-0000-0000F1010000}"/>
    <cellStyle name="Normal 10 2 2 2 4 2" xfId="7511" xr:uid="{00000000-0005-0000-0000-0000F2010000}"/>
    <cellStyle name="Normal 10 2 2 2 5" xfId="3267" xr:uid="{00000000-0005-0000-0000-0000F3010000}"/>
    <cellStyle name="Normal 10 2 2 2 5 2" xfId="8559" xr:uid="{00000000-0005-0000-0000-0000F4010000}"/>
    <cellStyle name="Normal 10 2 2 2 6" xfId="4373" xr:uid="{00000000-0005-0000-0000-0000F5010000}"/>
    <cellStyle name="Normal 10 2 2 2 6 2" xfId="9661" xr:uid="{00000000-0005-0000-0000-0000F6010000}"/>
    <cellStyle name="Normal 10 2 2 2 7" xfId="6015" xr:uid="{00000000-0005-0000-0000-0000F7010000}"/>
    <cellStyle name="Normal 10 2 2 3" xfId="552" xr:uid="{00000000-0005-0000-0000-0000F8010000}"/>
    <cellStyle name="Normal 10 2 2 3 2" xfId="553" xr:uid="{00000000-0005-0000-0000-0000F9010000}"/>
    <cellStyle name="Normal 10 2 2 3 2 2" xfId="2658" xr:uid="{00000000-0005-0000-0000-0000FA010000}"/>
    <cellStyle name="Normal 10 2 2 3 2 2 2" xfId="8011" xr:uid="{00000000-0005-0000-0000-0000FB010000}"/>
    <cellStyle name="Normal 10 2 2 3 2 3" xfId="3768" xr:uid="{00000000-0005-0000-0000-0000FC010000}"/>
    <cellStyle name="Normal 10 2 2 3 2 3 2" xfId="9059" xr:uid="{00000000-0005-0000-0000-0000FD010000}"/>
    <cellStyle name="Normal 10 2 2 3 2 4" xfId="4376" xr:uid="{00000000-0005-0000-0000-0000FE010000}"/>
    <cellStyle name="Normal 10 2 2 3 2 4 2" xfId="9664" xr:uid="{00000000-0005-0000-0000-0000FF010000}"/>
    <cellStyle name="Normal 10 2 2 3 2 5" xfId="6018" xr:uid="{00000000-0005-0000-0000-000000020000}"/>
    <cellStyle name="Normal 10 2 2 3 3" xfId="1598" xr:uid="{00000000-0005-0000-0000-000001020000}"/>
    <cellStyle name="Normal 10 2 2 3 3 2" xfId="5373" xr:uid="{00000000-0005-0000-0000-000002020000}"/>
    <cellStyle name="Normal 10 2 2 3 3 2 2" xfId="10661" xr:uid="{00000000-0005-0000-0000-000003020000}"/>
    <cellStyle name="Normal 10 2 2 3 3 3" xfId="7015" xr:uid="{00000000-0005-0000-0000-000004020000}"/>
    <cellStyle name="Normal 10 2 2 3 4" xfId="2153" xr:uid="{00000000-0005-0000-0000-000005020000}"/>
    <cellStyle name="Normal 10 2 2 3 4 2" xfId="7512" xr:uid="{00000000-0005-0000-0000-000006020000}"/>
    <cellStyle name="Normal 10 2 2 3 5" xfId="3268" xr:uid="{00000000-0005-0000-0000-000007020000}"/>
    <cellStyle name="Normal 10 2 2 3 5 2" xfId="8560" xr:uid="{00000000-0005-0000-0000-000008020000}"/>
    <cellStyle name="Normal 10 2 2 3 6" xfId="4375" xr:uid="{00000000-0005-0000-0000-000009020000}"/>
    <cellStyle name="Normal 10 2 2 3 6 2" xfId="9663" xr:uid="{00000000-0005-0000-0000-00000A020000}"/>
    <cellStyle name="Normal 10 2 2 3 7" xfId="6017" xr:uid="{00000000-0005-0000-0000-00000B020000}"/>
    <cellStyle name="Normal 10 2 2 4" xfId="554" xr:uid="{00000000-0005-0000-0000-00000C020000}"/>
    <cellStyle name="Normal 10 2 2 4 2" xfId="2656" xr:uid="{00000000-0005-0000-0000-00000D020000}"/>
    <cellStyle name="Normal 10 2 2 4 2 2" xfId="8009" xr:uid="{00000000-0005-0000-0000-00000E020000}"/>
    <cellStyle name="Normal 10 2 2 4 3" xfId="3766" xr:uid="{00000000-0005-0000-0000-00000F020000}"/>
    <cellStyle name="Normal 10 2 2 4 3 2" xfId="9057" xr:uid="{00000000-0005-0000-0000-000010020000}"/>
    <cellStyle name="Normal 10 2 2 4 4" xfId="4377" xr:uid="{00000000-0005-0000-0000-000011020000}"/>
    <cellStyle name="Normal 10 2 2 4 4 2" xfId="9665" xr:uid="{00000000-0005-0000-0000-000012020000}"/>
    <cellStyle name="Normal 10 2 2 4 5" xfId="6019" xr:uid="{00000000-0005-0000-0000-000013020000}"/>
    <cellStyle name="Normal 10 2 2 5" xfId="1596" xr:uid="{00000000-0005-0000-0000-000014020000}"/>
    <cellStyle name="Normal 10 2 2 5 2" xfId="5371" xr:uid="{00000000-0005-0000-0000-000015020000}"/>
    <cellStyle name="Normal 10 2 2 5 2 2" xfId="10659" xr:uid="{00000000-0005-0000-0000-000016020000}"/>
    <cellStyle name="Normal 10 2 2 5 3" xfId="7013" xr:uid="{00000000-0005-0000-0000-000017020000}"/>
    <cellStyle name="Normal 10 2 2 6" xfId="2151" xr:uid="{00000000-0005-0000-0000-000018020000}"/>
    <cellStyle name="Normal 10 2 2 6 2" xfId="7510" xr:uid="{00000000-0005-0000-0000-000019020000}"/>
    <cellStyle name="Normal 10 2 2 7" xfId="3266" xr:uid="{00000000-0005-0000-0000-00001A020000}"/>
    <cellStyle name="Normal 10 2 2 7 2" xfId="8558" xr:uid="{00000000-0005-0000-0000-00001B020000}"/>
    <cellStyle name="Normal 10 2 2 8" xfId="4372" xr:uid="{00000000-0005-0000-0000-00001C020000}"/>
    <cellStyle name="Normal 10 2 2 8 2" xfId="9660" xr:uid="{00000000-0005-0000-0000-00001D020000}"/>
    <cellStyle name="Normal 10 2 2 9" xfId="6014" xr:uid="{00000000-0005-0000-0000-00001E020000}"/>
    <cellStyle name="Normal 10 2 3" xfId="555" xr:uid="{00000000-0005-0000-0000-00001F020000}"/>
    <cellStyle name="Normal 10 2 3 2" xfId="556" xr:uid="{00000000-0005-0000-0000-000020020000}"/>
    <cellStyle name="Normal 10 2 3 2 2" xfId="2659" xr:uid="{00000000-0005-0000-0000-000021020000}"/>
    <cellStyle name="Normal 10 2 3 2 2 2" xfId="8012" xr:uid="{00000000-0005-0000-0000-000022020000}"/>
    <cellStyle name="Normal 10 2 3 2 3" xfId="3769" xr:uid="{00000000-0005-0000-0000-000023020000}"/>
    <cellStyle name="Normal 10 2 3 2 3 2" xfId="9060" xr:uid="{00000000-0005-0000-0000-000024020000}"/>
    <cellStyle name="Normal 10 2 3 2 4" xfId="4379" xr:uid="{00000000-0005-0000-0000-000025020000}"/>
    <cellStyle name="Normal 10 2 3 2 4 2" xfId="9667" xr:uid="{00000000-0005-0000-0000-000026020000}"/>
    <cellStyle name="Normal 10 2 3 2 5" xfId="6021" xr:uid="{00000000-0005-0000-0000-000027020000}"/>
    <cellStyle name="Normal 10 2 3 3" xfId="1599" xr:uid="{00000000-0005-0000-0000-000028020000}"/>
    <cellStyle name="Normal 10 2 3 3 2" xfId="5374" xr:uid="{00000000-0005-0000-0000-000029020000}"/>
    <cellStyle name="Normal 10 2 3 3 2 2" xfId="10662" xr:uid="{00000000-0005-0000-0000-00002A020000}"/>
    <cellStyle name="Normal 10 2 3 3 3" xfId="7016" xr:uid="{00000000-0005-0000-0000-00002B020000}"/>
    <cellStyle name="Normal 10 2 3 4" xfId="2154" xr:uid="{00000000-0005-0000-0000-00002C020000}"/>
    <cellStyle name="Normal 10 2 3 4 2" xfId="7513" xr:uid="{00000000-0005-0000-0000-00002D020000}"/>
    <cellStyle name="Normal 10 2 3 5" xfId="3269" xr:uid="{00000000-0005-0000-0000-00002E020000}"/>
    <cellStyle name="Normal 10 2 3 5 2" xfId="8561" xr:uid="{00000000-0005-0000-0000-00002F020000}"/>
    <cellStyle name="Normal 10 2 3 6" xfId="4378" xr:uid="{00000000-0005-0000-0000-000030020000}"/>
    <cellStyle name="Normal 10 2 3 6 2" xfId="9666" xr:uid="{00000000-0005-0000-0000-000031020000}"/>
    <cellStyle name="Normal 10 2 3 7" xfId="6020" xr:uid="{00000000-0005-0000-0000-000032020000}"/>
    <cellStyle name="Normal 10 2 4" xfId="557" xr:uid="{00000000-0005-0000-0000-000033020000}"/>
    <cellStyle name="Normal 10 2 4 2" xfId="558" xr:uid="{00000000-0005-0000-0000-000034020000}"/>
    <cellStyle name="Normal 10 2 4 2 2" xfId="2660" xr:uid="{00000000-0005-0000-0000-000035020000}"/>
    <cellStyle name="Normal 10 2 4 2 2 2" xfId="8013" xr:uid="{00000000-0005-0000-0000-000036020000}"/>
    <cellStyle name="Normal 10 2 4 2 3" xfId="3770" xr:uid="{00000000-0005-0000-0000-000037020000}"/>
    <cellStyle name="Normal 10 2 4 2 3 2" xfId="9061" xr:uid="{00000000-0005-0000-0000-000038020000}"/>
    <cellStyle name="Normal 10 2 4 2 4" xfId="4381" xr:uid="{00000000-0005-0000-0000-000039020000}"/>
    <cellStyle name="Normal 10 2 4 2 4 2" xfId="9669" xr:uid="{00000000-0005-0000-0000-00003A020000}"/>
    <cellStyle name="Normal 10 2 4 2 5" xfId="6023" xr:uid="{00000000-0005-0000-0000-00003B020000}"/>
    <cellStyle name="Normal 10 2 4 3" xfId="1600" xr:uid="{00000000-0005-0000-0000-00003C020000}"/>
    <cellStyle name="Normal 10 2 4 3 2" xfId="5375" xr:uid="{00000000-0005-0000-0000-00003D020000}"/>
    <cellStyle name="Normal 10 2 4 3 2 2" xfId="10663" xr:uid="{00000000-0005-0000-0000-00003E020000}"/>
    <cellStyle name="Normal 10 2 4 3 3" xfId="7017" xr:uid="{00000000-0005-0000-0000-00003F020000}"/>
    <cellStyle name="Normal 10 2 4 4" xfId="2155" xr:uid="{00000000-0005-0000-0000-000040020000}"/>
    <cellStyle name="Normal 10 2 4 4 2" xfId="7514" xr:uid="{00000000-0005-0000-0000-000041020000}"/>
    <cellStyle name="Normal 10 2 4 5" xfId="3270" xr:uid="{00000000-0005-0000-0000-000042020000}"/>
    <cellStyle name="Normal 10 2 4 5 2" xfId="8562" xr:uid="{00000000-0005-0000-0000-000043020000}"/>
    <cellStyle name="Normal 10 2 4 6" xfId="4380" xr:uid="{00000000-0005-0000-0000-000044020000}"/>
    <cellStyle name="Normal 10 2 4 6 2" xfId="9668" xr:uid="{00000000-0005-0000-0000-000045020000}"/>
    <cellStyle name="Normal 10 2 4 7" xfId="6022" xr:uid="{00000000-0005-0000-0000-000046020000}"/>
    <cellStyle name="Normal 10 2 5" xfId="559" xr:uid="{00000000-0005-0000-0000-000047020000}"/>
    <cellStyle name="Normal 10 2 5 2" xfId="2655" xr:uid="{00000000-0005-0000-0000-000048020000}"/>
    <cellStyle name="Normal 10 2 5 2 2" xfId="8008" xr:uid="{00000000-0005-0000-0000-000049020000}"/>
    <cellStyle name="Normal 10 2 5 3" xfId="3765" xr:uid="{00000000-0005-0000-0000-00004A020000}"/>
    <cellStyle name="Normal 10 2 5 3 2" xfId="9056" xr:uid="{00000000-0005-0000-0000-00004B020000}"/>
    <cellStyle name="Normal 10 2 5 4" xfId="4382" xr:uid="{00000000-0005-0000-0000-00004C020000}"/>
    <cellStyle name="Normal 10 2 5 4 2" xfId="9670" xr:uid="{00000000-0005-0000-0000-00004D020000}"/>
    <cellStyle name="Normal 10 2 5 5" xfId="6024" xr:uid="{00000000-0005-0000-0000-00004E020000}"/>
    <cellStyle name="Normal 10 2 6" xfId="1595" xr:uid="{00000000-0005-0000-0000-00004F020000}"/>
    <cellStyle name="Normal 10 2 6 2" xfId="5370" xr:uid="{00000000-0005-0000-0000-000050020000}"/>
    <cellStyle name="Normal 10 2 6 2 2" xfId="10658" xr:uid="{00000000-0005-0000-0000-000051020000}"/>
    <cellStyle name="Normal 10 2 6 3" xfId="7012" xr:uid="{00000000-0005-0000-0000-000052020000}"/>
    <cellStyle name="Normal 10 2 7" xfId="2150" xr:uid="{00000000-0005-0000-0000-000053020000}"/>
    <cellStyle name="Normal 10 2 7 2" xfId="5894" xr:uid="{00000000-0005-0000-0000-000054020000}"/>
    <cellStyle name="Normal 10 2 7 2 2" xfId="11167" xr:uid="{00000000-0005-0000-0000-000055020000}"/>
    <cellStyle name="Normal 10 2 7 3" xfId="7509" xr:uid="{00000000-0005-0000-0000-000056020000}"/>
    <cellStyle name="Normal 10 2 8" xfId="3220" xr:uid="{00000000-0005-0000-0000-000057020000}"/>
    <cellStyle name="Normal 10 2 8 2" xfId="8519" xr:uid="{00000000-0005-0000-0000-000058020000}"/>
    <cellStyle name="Normal 10 2 9" xfId="3240" xr:uid="{00000000-0005-0000-0000-000059020000}"/>
    <cellStyle name="Normal 10 2 9 2" xfId="8536" xr:uid="{00000000-0005-0000-0000-00005A020000}"/>
    <cellStyle name="Normal 10 3" xfId="560" xr:uid="{00000000-0005-0000-0000-00005B020000}"/>
    <cellStyle name="Normal 10 3 2" xfId="561" xr:uid="{00000000-0005-0000-0000-00005C020000}"/>
    <cellStyle name="Normal 10 3 2 2" xfId="562" xr:uid="{00000000-0005-0000-0000-00005D020000}"/>
    <cellStyle name="Normal 10 3 2 2 2" xfId="2662" xr:uid="{00000000-0005-0000-0000-00005E020000}"/>
    <cellStyle name="Normal 10 3 2 2 2 2" xfId="8015" xr:uid="{00000000-0005-0000-0000-00005F020000}"/>
    <cellStyle name="Normal 10 3 2 2 3" xfId="3772" xr:uid="{00000000-0005-0000-0000-000060020000}"/>
    <cellStyle name="Normal 10 3 2 2 3 2" xfId="9063" xr:uid="{00000000-0005-0000-0000-000061020000}"/>
    <cellStyle name="Normal 10 3 2 2 4" xfId="4385" xr:uid="{00000000-0005-0000-0000-000062020000}"/>
    <cellStyle name="Normal 10 3 2 2 4 2" xfId="9673" xr:uid="{00000000-0005-0000-0000-000063020000}"/>
    <cellStyle name="Normal 10 3 2 2 5" xfId="6027" xr:uid="{00000000-0005-0000-0000-000064020000}"/>
    <cellStyle name="Normal 10 3 2 3" xfId="1602" xr:uid="{00000000-0005-0000-0000-000065020000}"/>
    <cellStyle name="Normal 10 3 2 3 2" xfId="5377" xr:uid="{00000000-0005-0000-0000-000066020000}"/>
    <cellStyle name="Normal 10 3 2 3 2 2" xfId="10665" xr:uid="{00000000-0005-0000-0000-000067020000}"/>
    <cellStyle name="Normal 10 3 2 3 3" xfId="7019" xr:uid="{00000000-0005-0000-0000-000068020000}"/>
    <cellStyle name="Normal 10 3 2 4" xfId="2157" xr:uid="{00000000-0005-0000-0000-000069020000}"/>
    <cellStyle name="Normal 10 3 2 4 2" xfId="7516" xr:uid="{00000000-0005-0000-0000-00006A020000}"/>
    <cellStyle name="Normal 10 3 2 5" xfId="3272" xr:uid="{00000000-0005-0000-0000-00006B020000}"/>
    <cellStyle name="Normal 10 3 2 5 2" xfId="8564" xr:uid="{00000000-0005-0000-0000-00006C020000}"/>
    <cellStyle name="Normal 10 3 2 6" xfId="4384" xr:uid="{00000000-0005-0000-0000-00006D020000}"/>
    <cellStyle name="Normal 10 3 2 6 2" xfId="9672" xr:uid="{00000000-0005-0000-0000-00006E020000}"/>
    <cellStyle name="Normal 10 3 2 7" xfId="6026" xr:uid="{00000000-0005-0000-0000-00006F020000}"/>
    <cellStyle name="Normal 10 3 3" xfId="563" xr:uid="{00000000-0005-0000-0000-000070020000}"/>
    <cellStyle name="Normal 10 3 3 2" xfId="564" xr:uid="{00000000-0005-0000-0000-000071020000}"/>
    <cellStyle name="Normal 10 3 3 2 2" xfId="2663" xr:uid="{00000000-0005-0000-0000-000072020000}"/>
    <cellStyle name="Normal 10 3 3 2 2 2" xfId="8016" xr:uid="{00000000-0005-0000-0000-000073020000}"/>
    <cellStyle name="Normal 10 3 3 2 3" xfId="3773" xr:uid="{00000000-0005-0000-0000-000074020000}"/>
    <cellStyle name="Normal 10 3 3 2 3 2" xfId="9064" xr:uid="{00000000-0005-0000-0000-000075020000}"/>
    <cellStyle name="Normal 10 3 3 2 4" xfId="4387" xr:uid="{00000000-0005-0000-0000-000076020000}"/>
    <cellStyle name="Normal 10 3 3 2 4 2" xfId="9675" xr:uid="{00000000-0005-0000-0000-000077020000}"/>
    <cellStyle name="Normal 10 3 3 2 5" xfId="6029" xr:uid="{00000000-0005-0000-0000-000078020000}"/>
    <cellStyle name="Normal 10 3 3 3" xfId="1603" xr:uid="{00000000-0005-0000-0000-000079020000}"/>
    <cellStyle name="Normal 10 3 3 3 2" xfId="5378" xr:uid="{00000000-0005-0000-0000-00007A020000}"/>
    <cellStyle name="Normal 10 3 3 3 2 2" xfId="10666" xr:uid="{00000000-0005-0000-0000-00007B020000}"/>
    <cellStyle name="Normal 10 3 3 3 3" xfId="7020" xr:uid="{00000000-0005-0000-0000-00007C020000}"/>
    <cellStyle name="Normal 10 3 3 4" xfId="2158" xr:uid="{00000000-0005-0000-0000-00007D020000}"/>
    <cellStyle name="Normal 10 3 3 4 2" xfId="7517" xr:uid="{00000000-0005-0000-0000-00007E020000}"/>
    <cellStyle name="Normal 10 3 3 5" xfId="3273" xr:uid="{00000000-0005-0000-0000-00007F020000}"/>
    <cellStyle name="Normal 10 3 3 5 2" xfId="8565" xr:uid="{00000000-0005-0000-0000-000080020000}"/>
    <cellStyle name="Normal 10 3 3 6" xfId="4386" xr:uid="{00000000-0005-0000-0000-000081020000}"/>
    <cellStyle name="Normal 10 3 3 6 2" xfId="9674" xr:uid="{00000000-0005-0000-0000-000082020000}"/>
    <cellStyle name="Normal 10 3 3 7" xfId="6028" xr:uid="{00000000-0005-0000-0000-000083020000}"/>
    <cellStyle name="Normal 10 3 4" xfId="565" xr:uid="{00000000-0005-0000-0000-000084020000}"/>
    <cellStyle name="Normal 10 3 4 2" xfId="2661" xr:uid="{00000000-0005-0000-0000-000085020000}"/>
    <cellStyle name="Normal 10 3 4 2 2" xfId="8014" xr:uid="{00000000-0005-0000-0000-000086020000}"/>
    <cellStyle name="Normal 10 3 4 3" xfId="3771" xr:uid="{00000000-0005-0000-0000-000087020000}"/>
    <cellStyle name="Normal 10 3 4 3 2" xfId="9062" xr:uid="{00000000-0005-0000-0000-000088020000}"/>
    <cellStyle name="Normal 10 3 4 4" xfId="4388" xr:uid="{00000000-0005-0000-0000-000089020000}"/>
    <cellStyle name="Normal 10 3 4 4 2" xfId="9676" xr:uid="{00000000-0005-0000-0000-00008A020000}"/>
    <cellStyle name="Normal 10 3 4 5" xfId="6030" xr:uid="{00000000-0005-0000-0000-00008B020000}"/>
    <cellStyle name="Normal 10 3 5" xfId="1601" xr:uid="{00000000-0005-0000-0000-00008C020000}"/>
    <cellStyle name="Normal 10 3 5 2" xfId="5376" xr:uid="{00000000-0005-0000-0000-00008D020000}"/>
    <cellStyle name="Normal 10 3 5 2 2" xfId="10664" xr:uid="{00000000-0005-0000-0000-00008E020000}"/>
    <cellStyle name="Normal 10 3 5 3" xfId="7018" xr:uid="{00000000-0005-0000-0000-00008F020000}"/>
    <cellStyle name="Normal 10 3 6" xfId="2156" xr:uid="{00000000-0005-0000-0000-000090020000}"/>
    <cellStyle name="Normal 10 3 6 2" xfId="7515" xr:uid="{00000000-0005-0000-0000-000091020000}"/>
    <cellStyle name="Normal 10 3 7" xfId="3271" xr:uid="{00000000-0005-0000-0000-000092020000}"/>
    <cellStyle name="Normal 10 3 7 2" xfId="8563" xr:uid="{00000000-0005-0000-0000-000093020000}"/>
    <cellStyle name="Normal 10 3 8" xfId="4383" xr:uid="{00000000-0005-0000-0000-000094020000}"/>
    <cellStyle name="Normal 10 3 8 2" xfId="9671" xr:uid="{00000000-0005-0000-0000-000095020000}"/>
    <cellStyle name="Normal 10 3 9" xfId="6025" xr:uid="{00000000-0005-0000-0000-000096020000}"/>
    <cellStyle name="Normal 10 4" xfId="566" xr:uid="{00000000-0005-0000-0000-000097020000}"/>
    <cellStyle name="Normal 10 4 2" xfId="567" xr:uid="{00000000-0005-0000-0000-000098020000}"/>
    <cellStyle name="Normal 10 4 2 2" xfId="2664" xr:uid="{00000000-0005-0000-0000-000099020000}"/>
    <cellStyle name="Normal 10 4 2 2 2" xfId="8017" xr:uid="{00000000-0005-0000-0000-00009A020000}"/>
    <cellStyle name="Normal 10 4 2 3" xfId="3774" xr:uid="{00000000-0005-0000-0000-00009B020000}"/>
    <cellStyle name="Normal 10 4 2 3 2" xfId="9065" xr:uid="{00000000-0005-0000-0000-00009C020000}"/>
    <cellStyle name="Normal 10 4 2 4" xfId="4390" xr:uid="{00000000-0005-0000-0000-00009D020000}"/>
    <cellStyle name="Normal 10 4 2 4 2" xfId="9678" xr:uid="{00000000-0005-0000-0000-00009E020000}"/>
    <cellStyle name="Normal 10 4 2 5" xfId="6032" xr:uid="{00000000-0005-0000-0000-00009F020000}"/>
    <cellStyle name="Normal 10 4 3" xfId="1604" xr:uid="{00000000-0005-0000-0000-0000A0020000}"/>
    <cellStyle name="Normal 10 4 3 2" xfId="5379" xr:uid="{00000000-0005-0000-0000-0000A1020000}"/>
    <cellStyle name="Normal 10 4 3 2 2" xfId="10667" xr:uid="{00000000-0005-0000-0000-0000A2020000}"/>
    <cellStyle name="Normal 10 4 3 3" xfId="7021" xr:uid="{00000000-0005-0000-0000-0000A3020000}"/>
    <cellStyle name="Normal 10 4 4" xfId="2159" xr:uid="{00000000-0005-0000-0000-0000A4020000}"/>
    <cellStyle name="Normal 10 4 4 2" xfId="7518" xr:uid="{00000000-0005-0000-0000-0000A5020000}"/>
    <cellStyle name="Normal 10 4 5" xfId="3274" xr:uid="{00000000-0005-0000-0000-0000A6020000}"/>
    <cellStyle name="Normal 10 4 5 2" xfId="8566" xr:uid="{00000000-0005-0000-0000-0000A7020000}"/>
    <cellStyle name="Normal 10 4 6" xfId="4389" xr:uid="{00000000-0005-0000-0000-0000A8020000}"/>
    <cellStyle name="Normal 10 4 6 2" xfId="9677" xr:uid="{00000000-0005-0000-0000-0000A9020000}"/>
    <cellStyle name="Normal 10 4 7" xfId="6031" xr:uid="{00000000-0005-0000-0000-0000AA020000}"/>
    <cellStyle name="Normal 10 5" xfId="568" xr:uid="{00000000-0005-0000-0000-0000AB020000}"/>
    <cellStyle name="Normal 10 5 2" xfId="569" xr:uid="{00000000-0005-0000-0000-0000AC020000}"/>
    <cellStyle name="Normal 10 5 2 2" xfId="2665" xr:uid="{00000000-0005-0000-0000-0000AD020000}"/>
    <cellStyle name="Normal 10 5 2 2 2" xfId="8018" xr:uid="{00000000-0005-0000-0000-0000AE020000}"/>
    <cellStyle name="Normal 10 5 2 3" xfId="3775" xr:uid="{00000000-0005-0000-0000-0000AF020000}"/>
    <cellStyle name="Normal 10 5 2 3 2" xfId="9066" xr:uid="{00000000-0005-0000-0000-0000B0020000}"/>
    <cellStyle name="Normal 10 5 2 4" xfId="4392" xr:uid="{00000000-0005-0000-0000-0000B1020000}"/>
    <cellStyle name="Normal 10 5 2 4 2" xfId="9680" xr:uid="{00000000-0005-0000-0000-0000B2020000}"/>
    <cellStyle name="Normal 10 5 2 5" xfId="6034" xr:uid="{00000000-0005-0000-0000-0000B3020000}"/>
    <cellStyle name="Normal 10 5 3" xfId="1605" xr:uid="{00000000-0005-0000-0000-0000B4020000}"/>
    <cellStyle name="Normal 10 5 3 2" xfId="5380" xr:uid="{00000000-0005-0000-0000-0000B5020000}"/>
    <cellStyle name="Normal 10 5 3 2 2" xfId="10668" xr:uid="{00000000-0005-0000-0000-0000B6020000}"/>
    <cellStyle name="Normal 10 5 3 3" xfId="7022" xr:uid="{00000000-0005-0000-0000-0000B7020000}"/>
    <cellStyle name="Normal 10 5 4" xfId="2160" xr:uid="{00000000-0005-0000-0000-0000B8020000}"/>
    <cellStyle name="Normal 10 5 4 2" xfId="7519" xr:uid="{00000000-0005-0000-0000-0000B9020000}"/>
    <cellStyle name="Normal 10 5 5" xfId="3275" xr:uid="{00000000-0005-0000-0000-0000BA020000}"/>
    <cellStyle name="Normal 10 5 5 2" xfId="8567" xr:uid="{00000000-0005-0000-0000-0000BB020000}"/>
    <cellStyle name="Normal 10 5 6" xfId="4391" xr:uid="{00000000-0005-0000-0000-0000BC020000}"/>
    <cellStyle name="Normal 10 5 6 2" xfId="9679" xr:uid="{00000000-0005-0000-0000-0000BD020000}"/>
    <cellStyle name="Normal 10 5 7" xfId="6033" xr:uid="{00000000-0005-0000-0000-0000BE020000}"/>
    <cellStyle name="Normal 10 6" xfId="570" xr:uid="{00000000-0005-0000-0000-0000BF020000}"/>
    <cellStyle name="Normal 10 6 2" xfId="2654" xr:uid="{00000000-0005-0000-0000-0000C0020000}"/>
    <cellStyle name="Normal 10 6 2 2" xfId="8007" xr:uid="{00000000-0005-0000-0000-0000C1020000}"/>
    <cellStyle name="Normal 10 6 3" xfId="3764" xr:uid="{00000000-0005-0000-0000-0000C2020000}"/>
    <cellStyle name="Normal 10 6 3 2" xfId="9055" xr:uid="{00000000-0005-0000-0000-0000C3020000}"/>
    <cellStyle name="Normal 10 6 4" xfId="4393" xr:uid="{00000000-0005-0000-0000-0000C4020000}"/>
    <cellStyle name="Normal 10 6 4 2" xfId="9681" xr:uid="{00000000-0005-0000-0000-0000C5020000}"/>
    <cellStyle name="Normal 10 6 5" xfId="6035" xr:uid="{00000000-0005-0000-0000-0000C6020000}"/>
    <cellStyle name="Normal 10 7" xfId="1594" xr:uid="{00000000-0005-0000-0000-0000C7020000}"/>
    <cellStyle name="Normal 10 7 2" xfId="5369" xr:uid="{00000000-0005-0000-0000-0000C8020000}"/>
    <cellStyle name="Normal 10 7 2 2" xfId="10657" xr:uid="{00000000-0005-0000-0000-0000C9020000}"/>
    <cellStyle name="Normal 10 7 3" xfId="7011" xr:uid="{00000000-0005-0000-0000-0000CA020000}"/>
    <cellStyle name="Normal 10 8" xfId="2149" xr:uid="{00000000-0005-0000-0000-0000CB020000}"/>
    <cellStyle name="Normal 10 8 2" xfId="5889" xr:uid="{00000000-0005-0000-0000-0000CC020000}"/>
    <cellStyle name="Normal 10 8 2 2" xfId="11163" xr:uid="{00000000-0005-0000-0000-0000CD020000}"/>
    <cellStyle name="Normal 10 8 3" xfId="7508" xr:uid="{00000000-0005-0000-0000-0000CE020000}"/>
    <cellStyle name="Normal 10 9" xfId="3213" xr:uid="{00000000-0005-0000-0000-0000CF020000}"/>
    <cellStyle name="Normal 10 9 2" xfId="8515" xr:uid="{00000000-0005-0000-0000-0000D0020000}"/>
    <cellStyle name="Normal 11" xfId="571" xr:uid="{00000000-0005-0000-0000-0000D1020000}"/>
    <cellStyle name="Normal 11 10" xfId="3236" xr:uid="{00000000-0005-0000-0000-0000D2020000}"/>
    <cellStyle name="Normal 11 10 2" xfId="8533" xr:uid="{00000000-0005-0000-0000-0000D3020000}"/>
    <cellStyle name="Normal 11 11" xfId="3254" xr:uid="{00000000-0005-0000-0000-0000D4020000}"/>
    <cellStyle name="Normal 11 11 2" xfId="8550" xr:uid="{00000000-0005-0000-0000-0000D5020000}"/>
    <cellStyle name="Normal 11 12" xfId="3276" xr:uid="{00000000-0005-0000-0000-0000D6020000}"/>
    <cellStyle name="Normal 11 12 2" xfId="8568" xr:uid="{00000000-0005-0000-0000-0000D7020000}"/>
    <cellStyle name="Normal 11 13" xfId="4394" xr:uid="{00000000-0005-0000-0000-0000D8020000}"/>
    <cellStyle name="Normal 11 13 2" xfId="9682" xr:uid="{00000000-0005-0000-0000-0000D9020000}"/>
    <cellStyle name="Normal 11 14" xfId="6036" xr:uid="{00000000-0005-0000-0000-0000DA020000}"/>
    <cellStyle name="Normal 11 2" xfId="572" xr:uid="{00000000-0005-0000-0000-0000DB020000}"/>
    <cellStyle name="Normal 11 2 10" xfId="4395" xr:uid="{00000000-0005-0000-0000-0000DC020000}"/>
    <cellStyle name="Normal 11 2 10 2" xfId="9683" xr:uid="{00000000-0005-0000-0000-0000DD020000}"/>
    <cellStyle name="Normal 11 2 11" xfId="6037" xr:uid="{00000000-0005-0000-0000-0000DE020000}"/>
    <cellStyle name="Normal 11 2 2" xfId="573" xr:uid="{00000000-0005-0000-0000-0000DF020000}"/>
    <cellStyle name="Normal 11 2 2 2" xfId="574" xr:uid="{00000000-0005-0000-0000-0000E0020000}"/>
    <cellStyle name="Normal 11 2 2 2 2" xfId="575" xr:uid="{00000000-0005-0000-0000-0000E1020000}"/>
    <cellStyle name="Normal 11 2 2 2 2 2" xfId="2669" xr:uid="{00000000-0005-0000-0000-0000E2020000}"/>
    <cellStyle name="Normal 11 2 2 2 2 2 2" xfId="8022" xr:uid="{00000000-0005-0000-0000-0000E3020000}"/>
    <cellStyle name="Normal 11 2 2 2 2 3" xfId="3779" xr:uid="{00000000-0005-0000-0000-0000E4020000}"/>
    <cellStyle name="Normal 11 2 2 2 2 3 2" xfId="9070" xr:uid="{00000000-0005-0000-0000-0000E5020000}"/>
    <cellStyle name="Normal 11 2 2 2 2 4" xfId="4398" xr:uid="{00000000-0005-0000-0000-0000E6020000}"/>
    <cellStyle name="Normal 11 2 2 2 2 4 2" xfId="9686" xr:uid="{00000000-0005-0000-0000-0000E7020000}"/>
    <cellStyle name="Normal 11 2 2 2 2 5" xfId="6040" xr:uid="{00000000-0005-0000-0000-0000E8020000}"/>
    <cellStyle name="Normal 11 2 2 2 3" xfId="1609" xr:uid="{00000000-0005-0000-0000-0000E9020000}"/>
    <cellStyle name="Normal 11 2 2 2 3 2" xfId="5384" xr:uid="{00000000-0005-0000-0000-0000EA020000}"/>
    <cellStyle name="Normal 11 2 2 2 3 2 2" xfId="10672" xr:uid="{00000000-0005-0000-0000-0000EB020000}"/>
    <cellStyle name="Normal 11 2 2 2 3 3" xfId="7026" xr:uid="{00000000-0005-0000-0000-0000EC020000}"/>
    <cellStyle name="Normal 11 2 2 2 4" xfId="2164" xr:uid="{00000000-0005-0000-0000-0000ED020000}"/>
    <cellStyle name="Normal 11 2 2 2 4 2" xfId="7523" xr:uid="{00000000-0005-0000-0000-0000EE020000}"/>
    <cellStyle name="Normal 11 2 2 2 5" xfId="3279" xr:uid="{00000000-0005-0000-0000-0000EF020000}"/>
    <cellStyle name="Normal 11 2 2 2 5 2" xfId="8571" xr:uid="{00000000-0005-0000-0000-0000F0020000}"/>
    <cellStyle name="Normal 11 2 2 2 6" xfId="4397" xr:uid="{00000000-0005-0000-0000-0000F1020000}"/>
    <cellStyle name="Normal 11 2 2 2 6 2" xfId="9685" xr:uid="{00000000-0005-0000-0000-0000F2020000}"/>
    <cellStyle name="Normal 11 2 2 2 7" xfId="6039" xr:uid="{00000000-0005-0000-0000-0000F3020000}"/>
    <cellStyle name="Normal 11 2 2 3" xfId="576" xr:uid="{00000000-0005-0000-0000-0000F4020000}"/>
    <cellStyle name="Normal 11 2 2 3 2" xfId="577" xr:uid="{00000000-0005-0000-0000-0000F5020000}"/>
    <cellStyle name="Normal 11 2 2 3 2 2" xfId="2670" xr:uid="{00000000-0005-0000-0000-0000F6020000}"/>
    <cellStyle name="Normal 11 2 2 3 2 2 2" xfId="8023" xr:uid="{00000000-0005-0000-0000-0000F7020000}"/>
    <cellStyle name="Normal 11 2 2 3 2 3" xfId="3780" xr:uid="{00000000-0005-0000-0000-0000F8020000}"/>
    <cellStyle name="Normal 11 2 2 3 2 3 2" xfId="9071" xr:uid="{00000000-0005-0000-0000-0000F9020000}"/>
    <cellStyle name="Normal 11 2 2 3 2 4" xfId="4400" xr:uid="{00000000-0005-0000-0000-0000FA020000}"/>
    <cellStyle name="Normal 11 2 2 3 2 4 2" xfId="9688" xr:uid="{00000000-0005-0000-0000-0000FB020000}"/>
    <cellStyle name="Normal 11 2 2 3 2 5" xfId="6042" xr:uid="{00000000-0005-0000-0000-0000FC020000}"/>
    <cellStyle name="Normal 11 2 2 3 3" xfId="1610" xr:uid="{00000000-0005-0000-0000-0000FD020000}"/>
    <cellStyle name="Normal 11 2 2 3 3 2" xfId="5385" xr:uid="{00000000-0005-0000-0000-0000FE020000}"/>
    <cellStyle name="Normal 11 2 2 3 3 2 2" xfId="10673" xr:uid="{00000000-0005-0000-0000-0000FF020000}"/>
    <cellStyle name="Normal 11 2 2 3 3 3" xfId="7027" xr:uid="{00000000-0005-0000-0000-000000030000}"/>
    <cellStyle name="Normal 11 2 2 3 4" xfId="2165" xr:uid="{00000000-0005-0000-0000-000001030000}"/>
    <cellStyle name="Normal 11 2 2 3 4 2" xfId="7524" xr:uid="{00000000-0005-0000-0000-000002030000}"/>
    <cellStyle name="Normal 11 2 2 3 5" xfId="3280" xr:uid="{00000000-0005-0000-0000-000003030000}"/>
    <cellStyle name="Normal 11 2 2 3 5 2" xfId="8572" xr:uid="{00000000-0005-0000-0000-000004030000}"/>
    <cellStyle name="Normal 11 2 2 3 6" xfId="4399" xr:uid="{00000000-0005-0000-0000-000005030000}"/>
    <cellStyle name="Normal 11 2 2 3 6 2" xfId="9687" xr:uid="{00000000-0005-0000-0000-000006030000}"/>
    <cellStyle name="Normal 11 2 2 3 7" xfId="6041" xr:uid="{00000000-0005-0000-0000-000007030000}"/>
    <cellStyle name="Normal 11 2 2 4" xfId="578" xr:uid="{00000000-0005-0000-0000-000008030000}"/>
    <cellStyle name="Normal 11 2 2 4 2" xfId="2668" xr:uid="{00000000-0005-0000-0000-000009030000}"/>
    <cellStyle name="Normal 11 2 2 4 2 2" xfId="8021" xr:uid="{00000000-0005-0000-0000-00000A030000}"/>
    <cellStyle name="Normal 11 2 2 4 3" xfId="3778" xr:uid="{00000000-0005-0000-0000-00000B030000}"/>
    <cellStyle name="Normal 11 2 2 4 3 2" xfId="9069" xr:uid="{00000000-0005-0000-0000-00000C030000}"/>
    <cellStyle name="Normal 11 2 2 4 4" xfId="4401" xr:uid="{00000000-0005-0000-0000-00000D030000}"/>
    <cellStyle name="Normal 11 2 2 4 4 2" xfId="9689" xr:uid="{00000000-0005-0000-0000-00000E030000}"/>
    <cellStyle name="Normal 11 2 2 4 5" xfId="6043" xr:uid="{00000000-0005-0000-0000-00000F030000}"/>
    <cellStyle name="Normal 11 2 2 5" xfId="1608" xr:uid="{00000000-0005-0000-0000-000010030000}"/>
    <cellStyle name="Normal 11 2 2 5 2" xfId="5383" xr:uid="{00000000-0005-0000-0000-000011030000}"/>
    <cellStyle name="Normal 11 2 2 5 2 2" xfId="10671" xr:uid="{00000000-0005-0000-0000-000012030000}"/>
    <cellStyle name="Normal 11 2 2 5 3" xfId="7025" xr:uid="{00000000-0005-0000-0000-000013030000}"/>
    <cellStyle name="Normal 11 2 2 6" xfId="2163" xr:uid="{00000000-0005-0000-0000-000014030000}"/>
    <cellStyle name="Normal 11 2 2 6 2" xfId="7522" xr:uid="{00000000-0005-0000-0000-000015030000}"/>
    <cellStyle name="Normal 11 2 2 7" xfId="3278" xr:uid="{00000000-0005-0000-0000-000016030000}"/>
    <cellStyle name="Normal 11 2 2 7 2" xfId="8570" xr:uid="{00000000-0005-0000-0000-000017030000}"/>
    <cellStyle name="Normal 11 2 2 8" xfId="4396" xr:uid="{00000000-0005-0000-0000-000018030000}"/>
    <cellStyle name="Normal 11 2 2 8 2" xfId="9684" xr:uid="{00000000-0005-0000-0000-000019030000}"/>
    <cellStyle name="Normal 11 2 2 9" xfId="6038" xr:uid="{00000000-0005-0000-0000-00001A030000}"/>
    <cellStyle name="Normal 11 2 3" xfId="579" xr:uid="{00000000-0005-0000-0000-00001B030000}"/>
    <cellStyle name="Normal 11 2 3 2" xfId="580" xr:uid="{00000000-0005-0000-0000-00001C030000}"/>
    <cellStyle name="Normal 11 2 3 2 2" xfId="2671" xr:uid="{00000000-0005-0000-0000-00001D030000}"/>
    <cellStyle name="Normal 11 2 3 2 2 2" xfId="8024" xr:uid="{00000000-0005-0000-0000-00001E030000}"/>
    <cellStyle name="Normal 11 2 3 2 3" xfId="3781" xr:uid="{00000000-0005-0000-0000-00001F030000}"/>
    <cellStyle name="Normal 11 2 3 2 3 2" xfId="9072" xr:uid="{00000000-0005-0000-0000-000020030000}"/>
    <cellStyle name="Normal 11 2 3 2 4" xfId="4403" xr:uid="{00000000-0005-0000-0000-000021030000}"/>
    <cellStyle name="Normal 11 2 3 2 4 2" xfId="9691" xr:uid="{00000000-0005-0000-0000-000022030000}"/>
    <cellStyle name="Normal 11 2 3 2 5" xfId="6045" xr:uid="{00000000-0005-0000-0000-000023030000}"/>
    <cellStyle name="Normal 11 2 3 3" xfId="1611" xr:uid="{00000000-0005-0000-0000-000024030000}"/>
    <cellStyle name="Normal 11 2 3 3 2" xfId="5386" xr:uid="{00000000-0005-0000-0000-000025030000}"/>
    <cellStyle name="Normal 11 2 3 3 2 2" xfId="10674" xr:uid="{00000000-0005-0000-0000-000026030000}"/>
    <cellStyle name="Normal 11 2 3 3 3" xfId="7028" xr:uid="{00000000-0005-0000-0000-000027030000}"/>
    <cellStyle name="Normal 11 2 3 4" xfId="2166" xr:uid="{00000000-0005-0000-0000-000028030000}"/>
    <cellStyle name="Normal 11 2 3 4 2" xfId="7525" xr:uid="{00000000-0005-0000-0000-000029030000}"/>
    <cellStyle name="Normal 11 2 3 5" xfId="3281" xr:uid="{00000000-0005-0000-0000-00002A030000}"/>
    <cellStyle name="Normal 11 2 3 5 2" xfId="8573" xr:uid="{00000000-0005-0000-0000-00002B030000}"/>
    <cellStyle name="Normal 11 2 3 6" xfId="4402" xr:uid="{00000000-0005-0000-0000-00002C030000}"/>
    <cellStyle name="Normal 11 2 3 6 2" xfId="9690" xr:uid="{00000000-0005-0000-0000-00002D030000}"/>
    <cellStyle name="Normal 11 2 3 7" xfId="6044" xr:uid="{00000000-0005-0000-0000-00002E030000}"/>
    <cellStyle name="Normal 11 2 4" xfId="581" xr:uid="{00000000-0005-0000-0000-00002F030000}"/>
    <cellStyle name="Normal 11 2 4 2" xfId="582" xr:uid="{00000000-0005-0000-0000-000030030000}"/>
    <cellStyle name="Normal 11 2 4 2 2" xfId="2672" xr:uid="{00000000-0005-0000-0000-000031030000}"/>
    <cellStyle name="Normal 11 2 4 2 2 2" xfId="8025" xr:uid="{00000000-0005-0000-0000-000032030000}"/>
    <cellStyle name="Normal 11 2 4 2 3" xfId="3782" xr:uid="{00000000-0005-0000-0000-000033030000}"/>
    <cellStyle name="Normal 11 2 4 2 3 2" xfId="9073" xr:uid="{00000000-0005-0000-0000-000034030000}"/>
    <cellStyle name="Normal 11 2 4 2 4" xfId="4405" xr:uid="{00000000-0005-0000-0000-000035030000}"/>
    <cellStyle name="Normal 11 2 4 2 4 2" xfId="9693" xr:uid="{00000000-0005-0000-0000-000036030000}"/>
    <cellStyle name="Normal 11 2 4 2 5" xfId="6047" xr:uid="{00000000-0005-0000-0000-000037030000}"/>
    <cellStyle name="Normal 11 2 4 3" xfId="1612" xr:uid="{00000000-0005-0000-0000-000038030000}"/>
    <cellStyle name="Normal 11 2 4 3 2" xfId="5387" xr:uid="{00000000-0005-0000-0000-000039030000}"/>
    <cellStyle name="Normal 11 2 4 3 2 2" xfId="10675" xr:uid="{00000000-0005-0000-0000-00003A030000}"/>
    <cellStyle name="Normal 11 2 4 3 3" xfId="7029" xr:uid="{00000000-0005-0000-0000-00003B030000}"/>
    <cellStyle name="Normal 11 2 4 4" xfId="2167" xr:uid="{00000000-0005-0000-0000-00003C030000}"/>
    <cellStyle name="Normal 11 2 4 4 2" xfId="7526" xr:uid="{00000000-0005-0000-0000-00003D030000}"/>
    <cellStyle name="Normal 11 2 4 5" xfId="3282" xr:uid="{00000000-0005-0000-0000-00003E030000}"/>
    <cellStyle name="Normal 11 2 4 5 2" xfId="8574" xr:uid="{00000000-0005-0000-0000-00003F030000}"/>
    <cellStyle name="Normal 11 2 4 6" xfId="4404" xr:uid="{00000000-0005-0000-0000-000040030000}"/>
    <cellStyle name="Normal 11 2 4 6 2" xfId="9692" xr:uid="{00000000-0005-0000-0000-000041030000}"/>
    <cellStyle name="Normal 11 2 4 7" xfId="6046" xr:uid="{00000000-0005-0000-0000-000042030000}"/>
    <cellStyle name="Normal 11 2 5" xfId="583" xr:uid="{00000000-0005-0000-0000-000043030000}"/>
    <cellStyle name="Normal 11 2 5 2" xfId="2667" xr:uid="{00000000-0005-0000-0000-000044030000}"/>
    <cellStyle name="Normal 11 2 5 2 2" xfId="8020" xr:uid="{00000000-0005-0000-0000-000045030000}"/>
    <cellStyle name="Normal 11 2 5 3" xfId="3777" xr:uid="{00000000-0005-0000-0000-000046030000}"/>
    <cellStyle name="Normal 11 2 5 3 2" xfId="9068" xr:uid="{00000000-0005-0000-0000-000047030000}"/>
    <cellStyle name="Normal 11 2 5 4" xfId="4406" xr:uid="{00000000-0005-0000-0000-000048030000}"/>
    <cellStyle name="Normal 11 2 5 4 2" xfId="9694" xr:uid="{00000000-0005-0000-0000-000049030000}"/>
    <cellStyle name="Normal 11 2 5 5" xfId="6048" xr:uid="{00000000-0005-0000-0000-00004A030000}"/>
    <cellStyle name="Normal 11 2 6" xfId="1607" xr:uid="{00000000-0005-0000-0000-00004B030000}"/>
    <cellStyle name="Normal 11 2 6 2" xfId="5382" xr:uid="{00000000-0005-0000-0000-00004C030000}"/>
    <cellStyle name="Normal 11 2 6 2 2" xfId="10670" xr:uid="{00000000-0005-0000-0000-00004D030000}"/>
    <cellStyle name="Normal 11 2 6 3" xfId="7024" xr:uid="{00000000-0005-0000-0000-00004E030000}"/>
    <cellStyle name="Normal 11 2 7" xfId="2162" xr:uid="{00000000-0005-0000-0000-00004F030000}"/>
    <cellStyle name="Normal 11 2 7 2" xfId="5896" xr:uid="{00000000-0005-0000-0000-000050030000}"/>
    <cellStyle name="Normal 11 2 7 3" xfId="7521" xr:uid="{00000000-0005-0000-0000-000051030000}"/>
    <cellStyle name="Normal 11 2 8" xfId="3222" xr:uid="{00000000-0005-0000-0000-000052030000}"/>
    <cellStyle name="Normal 11 2 9" xfId="3277" xr:uid="{00000000-0005-0000-0000-000053030000}"/>
    <cellStyle name="Normal 11 2 9 2" xfId="8569" xr:uid="{00000000-0005-0000-0000-000054030000}"/>
    <cellStyle name="Normal 11 3" xfId="584" xr:uid="{00000000-0005-0000-0000-000055030000}"/>
    <cellStyle name="Normal 11 3 2" xfId="585" xr:uid="{00000000-0005-0000-0000-000056030000}"/>
    <cellStyle name="Normal 11 3 2 2" xfId="586" xr:uid="{00000000-0005-0000-0000-000057030000}"/>
    <cellStyle name="Normal 11 3 2 2 2" xfId="2674" xr:uid="{00000000-0005-0000-0000-000058030000}"/>
    <cellStyle name="Normal 11 3 2 2 2 2" xfId="8027" xr:uid="{00000000-0005-0000-0000-000059030000}"/>
    <cellStyle name="Normal 11 3 2 2 3" xfId="3784" xr:uid="{00000000-0005-0000-0000-00005A030000}"/>
    <cellStyle name="Normal 11 3 2 2 3 2" xfId="9075" xr:uid="{00000000-0005-0000-0000-00005B030000}"/>
    <cellStyle name="Normal 11 3 2 2 4" xfId="4409" xr:uid="{00000000-0005-0000-0000-00005C030000}"/>
    <cellStyle name="Normal 11 3 2 2 4 2" xfId="9697" xr:uid="{00000000-0005-0000-0000-00005D030000}"/>
    <cellStyle name="Normal 11 3 2 2 5" xfId="6051" xr:uid="{00000000-0005-0000-0000-00005E030000}"/>
    <cellStyle name="Normal 11 3 2 3" xfId="1614" xr:uid="{00000000-0005-0000-0000-00005F030000}"/>
    <cellStyle name="Normal 11 3 2 3 2" xfId="5389" xr:uid="{00000000-0005-0000-0000-000060030000}"/>
    <cellStyle name="Normal 11 3 2 3 2 2" xfId="10677" xr:uid="{00000000-0005-0000-0000-000061030000}"/>
    <cellStyle name="Normal 11 3 2 3 3" xfId="7031" xr:uid="{00000000-0005-0000-0000-000062030000}"/>
    <cellStyle name="Normal 11 3 2 4" xfId="2169" xr:uid="{00000000-0005-0000-0000-000063030000}"/>
    <cellStyle name="Normal 11 3 2 4 2" xfId="7528" xr:uid="{00000000-0005-0000-0000-000064030000}"/>
    <cellStyle name="Normal 11 3 2 5" xfId="3284" xr:uid="{00000000-0005-0000-0000-000065030000}"/>
    <cellStyle name="Normal 11 3 2 5 2" xfId="8576" xr:uid="{00000000-0005-0000-0000-000066030000}"/>
    <cellStyle name="Normal 11 3 2 6" xfId="4408" xr:uid="{00000000-0005-0000-0000-000067030000}"/>
    <cellStyle name="Normal 11 3 2 6 2" xfId="9696" xr:uid="{00000000-0005-0000-0000-000068030000}"/>
    <cellStyle name="Normal 11 3 2 7" xfId="6050" xr:uid="{00000000-0005-0000-0000-000069030000}"/>
    <cellStyle name="Normal 11 3 3" xfId="587" xr:uid="{00000000-0005-0000-0000-00006A030000}"/>
    <cellStyle name="Normal 11 3 3 2" xfId="588" xr:uid="{00000000-0005-0000-0000-00006B030000}"/>
    <cellStyle name="Normal 11 3 3 2 2" xfId="2675" xr:uid="{00000000-0005-0000-0000-00006C030000}"/>
    <cellStyle name="Normal 11 3 3 2 2 2" xfId="8028" xr:uid="{00000000-0005-0000-0000-00006D030000}"/>
    <cellStyle name="Normal 11 3 3 2 3" xfId="3785" xr:uid="{00000000-0005-0000-0000-00006E030000}"/>
    <cellStyle name="Normal 11 3 3 2 3 2" xfId="9076" xr:uid="{00000000-0005-0000-0000-00006F030000}"/>
    <cellStyle name="Normal 11 3 3 2 4" xfId="4411" xr:uid="{00000000-0005-0000-0000-000070030000}"/>
    <cellStyle name="Normal 11 3 3 2 4 2" xfId="9699" xr:uid="{00000000-0005-0000-0000-000071030000}"/>
    <cellStyle name="Normal 11 3 3 2 5" xfId="6053" xr:uid="{00000000-0005-0000-0000-000072030000}"/>
    <cellStyle name="Normal 11 3 3 3" xfId="1615" xr:uid="{00000000-0005-0000-0000-000073030000}"/>
    <cellStyle name="Normal 11 3 3 3 2" xfId="5390" xr:uid="{00000000-0005-0000-0000-000074030000}"/>
    <cellStyle name="Normal 11 3 3 3 2 2" xfId="10678" xr:uid="{00000000-0005-0000-0000-000075030000}"/>
    <cellStyle name="Normal 11 3 3 3 3" xfId="7032" xr:uid="{00000000-0005-0000-0000-000076030000}"/>
    <cellStyle name="Normal 11 3 3 4" xfId="2170" xr:uid="{00000000-0005-0000-0000-000077030000}"/>
    <cellStyle name="Normal 11 3 3 4 2" xfId="7529" xr:uid="{00000000-0005-0000-0000-000078030000}"/>
    <cellStyle name="Normal 11 3 3 5" xfId="3285" xr:uid="{00000000-0005-0000-0000-000079030000}"/>
    <cellStyle name="Normal 11 3 3 5 2" xfId="8577" xr:uid="{00000000-0005-0000-0000-00007A030000}"/>
    <cellStyle name="Normal 11 3 3 6" xfId="4410" xr:uid="{00000000-0005-0000-0000-00007B030000}"/>
    <cellStyle name="Normal 11 3 3 6 2" xfId="9698" xr:uid="{00000000-0005-0000-0000-00007C030000}"/>
    <cellStyle name="Normal 11 3 3 7" xfId="6052" xr:uid="{00000000-0005-0000-0000-00007D030000}"/>
    <cellStyle name="Normal 11 3 4" xfId="589" xr:uid="{00000000-0005-0000-0000-00007E030000}"/>
    <cellStyle name="Normal 11 3 4 2" xfId="2673" xr:uid="{00000000-0005-0000-0000-00007F030000}"/>
    <cellStyle name="Normal 11 3 4 2 2" xfId="8026" xr:uid="{00000000-0005-0000-0000-000080030000}"/>
    <cellStyle name="Normal 11 3 4 3" xfId="3783" xr:uid="{00000000-0005-0000-0000-000081030000}"/>
    <cellStyle name="Normal 11 3 4 3 2" xfId="9074" xr:uid="{00000000-0005-0000-0000-000082030000}"/>
    <cellStyle name="Normal 11 3 4 4" xfId="4412" xr:uid="{00000000-0005-0000-0000-000083030000}"/>
    <cellStyle name="Normal 11 3 4 4 2" xfId="9700" xr:uid="{00000000-0005-0000-0000-000084030000}"/>
    <cellStyle name="Normal 11 3 4 5" xfId="6054" xr:uid="{00000000-0005-0000-0000-000085030000}"/>
    <cellStyle name="Normal 11 3 5" xfId="1613" xr:uid="{00000000-0005-0000-0000-000086030000}"/>
    <cellStyle name="Normal 11 3 5 2" xfId="5388" xr:uid="{00000000-0005-0000-0000-000087030000}"/>
    <cellStyle name="Normal 11 3 5 2 2" xfId="10676" xr:uid="{00000000-0005-0000-0000-000088030000}"/>
    <cellStyle name="Normal 11 3 5 3" xfId="7030" xr:uid="{00000000-0005-0000-0000-000089030000}"/>
    <cellStyle name="Normal 11 3 6" xfId="2168" xr:uid="{00000000-0005-0000-0000-00008A030000}"/>
    <cellStyle name="Normal 11 3 6 2" xfId="7527" xr:uid="{00000000-0005-0000-0000-00008B030000}"/>
    <cellStyle name="Normal 11 3 7" xfId="3283" xr:uid="{00000000-0005-0000-0000-00008C030000}"/>
    <cellStyle name="Normal 11 3 7 2" xfId="8575" xr:uid="{00000000-0005-0000-0000-00008D030000}"/>
    <cellStyle name="Normal 11 3 8" xfId="4407" xr:uid="{00000000-0005-0000-0000-00008E030000}"/>
    <cellStyle name="Normal 11 3 8 2" xfId="9695" xr:uid="{00000000-0005-0000-0000-00008F030000}"/>
    <cellStyle name="Normal 11 3 9" xfId="6049" xr:uid="{00000000-0005-0000-0000-000090030000}"/>
    <cellStyle name="Normal 11 4" xfId="590" xr:uid="{00000000-0005-0000-0000-000091030000}"/>
    <cellStyle name="Normal 11 4 2" xfId="591" xr:uid="{00000000-0005-0000-0000-000092030000}"/>
    <cellStyle name="Normal 11 4 2 2" xfId="2676" xr:uid="{00000000-0005-0000-0000-000093030000}"/>
    <cellStyle name="Normal 11 4 2 2 2" xfId="8029" xr:uid="{00000000-0005-0000-0000-000094030000}"/>
    <cellStyle name="Normal 11 4 2 3" xfId="3786" xr:uid="{00000000-0005-0000-0000-000095030000}"/>
    <cellStyle name="Normal 11 4 2 3 2" xfId="9077" xr:uid="{00000000-0005-0000-0000-000096030000}"/>
    <cellStyle name="Normal 11 4 2 4" xfId="4414" xr:uid="{00000000-0005-0000-0000-000097030000}"/>
    <cellStyle name="Normal 11 4 2 4 2" xfId="9702" xr:uid="{00000000-0005-0000-0000-000098030000}"/>
    <cellStyle name="Normal 11 4 2 5" xfId="6056" xr:uid="{00000000-0005-0000-0000-000099030000}"/>
    <cellStyle name="Normal 11 4 3" xfId="1616" xr:uid="{00000000-0005-0000-0000-00009A030000}"/>
    <cellStyle name="Normal 11 4 3 2" xfId="5391" xr:uid="{00000000-0005-0000-0000-00009B030000}"/>
    <cellStyle name="Normal 11 4 3 2 2" xfId="10679" xr:uid="{00000000-0005-0000-0000-00009C030000}"/>
    <cellStyle name="Normal 11 4 3 3" xfId="7033" xr:uid="{00000000-0005-0000-0000-00009D030000}"/>
    <cellStyle name="Normal 11 4 4" xfId="2171" xr:uid="{00000000-0005-0000-0000-00009E030000}"/>
    <cellStyle name="Normal 11 4 4 2" xfId="7530" xr:uid="{00000000-0005-0000-0000-00009F030000}"/>
    <cellStyle name="Normal 11 4 5" xfId="3286" xr:uid="{00000000-0005-0000-0000-0000A0030000}"/>
    <cellStyle name="Normal 11 4 5 2" xfId="8578" xr:uid="{00000000-0005-0000-0000-0000A1030000}"/>
    <cellStyle name="Normal 11 4 6" xfId="4413" xr:uid="{00000000-0005-0000-0000-0000A2030000}"/>
    <cellStyle name="Normal 11 4 6 2" xfId="9701" xr:uid="{00000000-0005-0000-0000-0000A3030000}"/>
    <cellStyle name="Normal 11 4 7" xfId="6055" xr:uid="{00000000-0005-0000-0000-0000A4030000}"/>
    <cellStyle name="Normal 11 5" xfId="592" xr:uid="{00000000-0005-0000-0000-0000A5030000}"/>
    <cellStyle name="Normal 11 5 2" xfId="593" xr:uid="{00000000-0005-0000-0000-0000A6030000}"/>
    <cellStyle name="Normal 11 5 2 2" xfId="2677" xr:uid="{00000000-0005-0000-0000-0000A7030000}"/>
    <cellStyle name="Normal 11 5 2 2 2" xfId="8030" xr:uid="{00000000-0005-0000-0000-0000A8030000}"/>
    <cellStyle name="Normal 11 5 2 3" xfId="3787" xr:uid="{00000000-0005-0000-0000-0000A9030000}"/>
    <cellStyle name="Normal 11 5 2 3 2" xfId="9078" xr:uid="{00000000-0005-0000-0000-0000AA030000}"/>
    <cellStyle name="Normal 11 5 2 4" xfId="4416" xr:uid="{00000000-0005-0000-0000-0000AB030000}"/>
    <cellStyle name="Normal 11 5 2 4 2" xfId="9704" xr:uid="{00000000-0005-0000-0000-0000AC030000}"/>
    <cellStyle name="Normal 11 5 2 5" xfId="6058" xr:uid="{00000000-0005-0000-0000-0000AD030000}"/>
    <cellStyle name="Normal 11 5 3" xfId="1617" xr:uid="{00000000-0005-0000-0000-0000AE030000}"/>
    <cellStyle name="Normal 11 5 3 2" xfId="5392" xr:uid="{00000000-0005-0000-0000-0000AF030000}"/>
    <cellStyle name="Normal 11 5 3 2 2" xfId="10680" xr:uid="{00000000-0005-0000-0000-0000B0030000}"/>
    <cellStyle name="Normal 11 5 3 3" xfId="7034" xr:uid="{00000000-0005-0000-0000-0000B1030000}"/>
    <cellStyle name="Normal 11 5 4" xfId="2172" xr:uid="{00000000-0005-0000-0000-0000B2030000}"/>
    <cellStyle name="Normal 11 5 4 2" xfId="7531" xr:uid="{00000000-0005-0000-0000-0000B3030000}"/>
    <cellStyle name="Normal 11 5 5" xfId="3287" xr:uid="{00000000-0005-0000-0000-0000B4030000}"/>
    <cellStyle name="Normal 11 5 5 2" xfId="8579" xr:uid="{00000000-0005-0000-0000-0000B5030000}"/>
    <cellStyle name="Normal 11 5 6" xfId="4415" xr:uid="{00000000-0005-0000-0000-0000B6030000}"/>
    <cellStyle name="Normal 11 5 6 2" xfId="9703" xr:uid="{00000000-0005-0000-0000-0000B7030000}"/>
    <cellStyle name="Normal 11 5 7" xfId="6057" xr:uid="{00000000-0005-0000-0000-0000B8030000}"/>
    <cellStyle name="Normal 11 6" xfId="594" xr:uid="{00000000-0005-0000-0000-0000B9030000}"/>
    <cellStyle name="Normal 11 6 2" xfId="2093" xr:uid="{00000000-0005-0000-0000-0000BA030000}"/>
    <cellStyle name="Normal 11 6 3" xfId="2666" xr:uid="{00000000-0005-0000-0000-0000BB030000}"/>
    <cellStyle name="Normal 11 6 3 2" xfId="8019" xr:uid="{00000000-0005-0000-0000-0000BC030000}"/>
    <cellStyle name="Normal 11 6 4" xfId="3776" xr:uid="{00000000-0005-0000-0000-0000BD030000}"/>
    <cellStyle name="Normal 11 6 4 2" xfId="9067" xr:uid="{00000000-0005-0000-0000-0000BE030000}"/>
    <cellStyle name="Normal 11 6 5" xfId="4417" xr:uid="{00000000-0005-0000-0000-0000BF030000}"/>
    <cellStyle name="Normal 11 6 5 2" xfId="9705" xr:uid="{00000000-0005-0000-0000-0000C0030000}"/>
    <cellStyle name="Normal 11 6 6" xfId="6059" xr:uid="{00000000-0005-0000-0000-0000C1030000}"/>
    <cellStyle name="Normal 11 7" xfId="1606" xr:uid="{00000000-0005-0000-0000-0000C2030000}"/>
    <cellStyle name="Normal 11 7 2" xfId="5381" xr:uid="{00000000-0005-0000-0000-0000C3030000}"/>
    <cellStyle name="Normal 11 7 2 2" xfId="10669" xr:uid="{00000000-0005-0000-0000-0000C4030000}"/>
    <cellStyle name="Normal 11 7 3" xfId="7023" xr:uid="{00000000-0005-0000-0000-0000C5030000}"/>
    <cellStyle name="Normal 11 8" xfId="2161" xr:uid="{00000000-0005-0000-0000-0000C6030000}"/>
    <cellStyle name="Normal 11 8 2" xfId="5890" xr:uid="{00000000-0005-0000-0000-0000C7030000}"/>
    <cellStyle name="Normal 11 8 2 2" xfId="11164" xr:uid="{00000000-0005-0000-0000-0000C8030000}"/>
    <cellStyle name="Normal 11 8 3" xfId="7520" xr:uid="{00000000-0005-0000-0000-0000C9030000}"/>
    <cellStyle name="Normal 11 9" xfId="3214" xr:uid="{00000000-0005-0000-0000-0000CA030000}"/>
    <cellStyle name="Normal 11 9 2" xfId="8516" xr:uid="{00000000-0005-0000-0000-0000CB030000}"/>
    <cellStyle name="Normal 12" xfId="595" xr:uid="{00000000-0005-0000-0000-0000CC030000}"/>
    <cellStyle name="Normal 12 10" xfId="4418" xr:uid="{00000000-0005-0000-0000-0000CD030000}"/>
    <cellStyle name="Normal 12 10 2" xfId="9706" xr:uid="{00000000-0005-0000-0000-0000CE030000}"/>
    <cellStyle name="Normal 12 11" xfId="6060" xr:uid="{00000000-0005-0000-0000-0000CF030000}"/>
    <cellStyle name="Normal 12 2" xfId="596" xr:uid="{00000000-0005-0000-0000-0000D0030000}"/>
    <cellStyle name="Normal 12 2 10" xfId="6061" xr:uid="{00000000-0005-0000-0000-0000D1030000}"/>
    <cellStyle name="Normal 12 2 2" xfId="597" xr:uid="{00000000-0005-0000-0000-0000D2030000}"/>
    <cellStyle name="Normal 12 2 2 2" xfId="598" xr:uid="{00000000-0005-0000-0000-0000D3030000}"/>
    <cellStyle name="Normal 12 2 2 2 2" xfId="599" xr:uid="{00000000-0005-0000-0000-0000D4030000}"/>
    <cellStyle name="Normal 12 2 2 2 2 2" xfId="2681" xr:uid="{00000000-0005-0000-0000-0000D5030000}"/>
    <cellStyle name="Normal 12 2 2 2 2 2 2" xfId="8034" xr:uid="{00000000-0005-0000-0000-0000D6030000}"/>
    <cellStyle name="Normal 12 2 2 2 2 3" xfId="3791" xr:uid="{00000000-0005-0000-0000-0000D7030000}"/>
    <cellStyle name="Normal 12 2 2 2 2 3 2" xfId="9082" xr:uid="{00000000-0005-0000-0000-0000D8030000}"/>
    <cellStyle name="Normal 12 2 2 2 2 4" xfId="4422" xr:uid="{00000000-0005-0000-0000-0000D9030000}"/>
    <cellStyle name="Normal 12 2 2 2 2 4 2" xfId="9710" xr:uid="{00000000-0005-0000-0000-0000DA030000}"/>
    <cellStyle name="Normal 12 2 2 2 2 5" xfId="6064" xr:uid="{00000000-0005-0000-0000-0000DB030000}"/>
    <cellStyle name="Normal 12 2 2 2 3" xfId="1621" xr:uid="{00000000-0005-0000-0000-0000DC030000}"/>
    <cellStyle name="Normal 12 2 2 2 3 2" xfId="5396" xr:uid="{00000000-0005-0000-0000-0000DD030000}"/>
    <cellStyle name="Normal 12 2 2 2 3 2 2" xfId="10684" xr:uid="{00000000-0005-0000-0000-0000DE030000}"/>
    <cellStyle name="Normal 12 2 2 2 3 3" xfId="7038" xr:uid="{00000000-0005-0000-0000-0000DF030000}"/>
    <cellStyle name="Normal 12 2 2 2 4" xfId="2176" xr:uid="{00000000-0005-0000-0000-0000E0030000}"/>
    <cellStyle name="Normal 12 2 2 2 4 2" xfId="7535" xr:uid="{00000000-0005-0000-0000-0000E1030000}"/>
    <cellStyle name="Normal 12 2 2 2 5" xfId="3291" xr:uid="{00000000-0005-0000-0000-0000E2030000}"/>
    <cellStyle name="Normal 12 2 2 2 5 2" xfId="8583" xr:uid="{00000000-0005-0000-0000-0000E3030000}"/>
    <cellStyle name="Normal 12 2 2 2 6" xfId="4421" xr:uid="{00000000-0005-0000-0000-0000E4030000}"/>
    <cellStyle name="Normal 12 2 2 2 6 2" xfId="9709" xr:uid="{00000000-0005-0000-0000-0000E5030000}"/>
    <cellStyle name="Normal 12 2 2 2 7" xfId="6063" xr:uid="{00000000-0005-0000-0000-0000E6030000}"/>
    <cellStyle name="Normal 12 2 2 3" xfId="600" xr:uid="{00000000-0005-0000-0000-0000E7030000}"/>
    <cellStyle name="Normal 12 2 2 3 2" xfId="601" xr:uid="{00000000-0005-0000-0000-0000E8030000}"/>
    <cellStyle name="Normal 12 2 2 3 2 2" xfId="2682" xr:uid="{00000000-0005-0000-0000-0000E9030000}"/>
    <cellStyle name="Normal 12 2 2 3 2 2 2" xfId="8035" xr:uid="{00000000-0005-0000-0000-0000EA030000}"/>
    <cellStyle name="Normal 12 2 2 3 2 3" xfId="3792" xr:uid="{00000000-0005-0000-0000-0000EB030000}"/>
    <cellStyle name="Normal 12 2 2 3 2 3 2" xfId="9083" xr:uid="{00000000-0005-0000-0000-0000EC030000}"/>
    <cellStyle name="Normal 12 2 2 3 2 4" xfId="4424" xr:uid="{00000000-0005-0000-0000-0000ED030000}"/>
    <cellStyle name="Normal 12 2 2 3 2 4 2" xfId="9712" xr:uid="{00000000-0005-0000-0000-0000EE030000}"/>
    <cellStyle name="Normal 12 2 2 3 2 5" xfId="6066" xr:uid="{00000000-0005-0000-0000-0000EF030000}"/>
    <cellStyle name="Normal 12 2 2 3 3" xfId="1622" xr:uid="{00000000-0005-0000-0000-0000F0030000}"/>
    <cellStyle name="Normal 12 2 2 3 3 2" xfId="5397" xr:uid="{00000000-0005-0000-0000-0000F1030000}"/>
    <cellStyle name="Normal 12 2 2 3 3 2 2" xfId="10685" xr:uid="{00000000-0005-0000-0000-0000F2030000}"/>
    <cellStyle name="Normal 12 2 2 3 3 3" xfId="7039" xr:uid="{00000000-0005-0000-0000-0000F3030000}"/>
    <cellStyle name="Normal 12 2 2 3 4" xfId="2177" xr:uid="{00000000-0005-0000-0000-0000F4030000}"/>
    <cellStyle name="Normal 12 2 2 3 4 2" xfId="7536" xr:uid="{00000000-0005-0000-0000-0000F5030000}"/>
    <cellStyle name="Normal 12 2 2 3 5" xfId="3292" xr:uid="{00000000-0005-0000-0000-0000F6030000}"/>
    <cellStyle name="Normal 12 2 2 3 5 2" xfId="8584" xr:uid="{00000000-0005-0000-0000-0000F7030000}"/>
    <cellStyle name="Normal 12 2 2 3 6" xfId="4423" xr:uid="{00000000-0005-0000-0000-0000F8030000}"/>
    <cellStyle name="Normal 12 2 2 3 6 2" xfId="9711" xr:uid="{00000000-0005-0000-0000-0000F9030000}"/>
    <cellStyle name="Normal 12 2 2 3 7" xfId="6065" xr:uid="{00000000-0005-0000-0000-0000FA030000}"/>
    <cellStyle name="Normal 12 2 2 4" xfId="602" xr:uid="{00000000-0005-0000-0000-0000FB030000}"/>
    <cellStyle name="Normal 12 2 2 4 2" xfId="2680" xr:uid="{00000000-0005-0000-0000-0000FC030000}"/>
    <cellStyle name="Normal 12 2 2 4 2 2" xfId="8033" xr:uid="{00000000-0005-0000-0000-0000FD030000}"/>
    <cellStyle name="Normal 12 2 2 4 3" xfId="3790" xr:uid="{00000000-0005-0000-0000-0000FE030000}"/>
    <cellStyle name="Normal 12 2 2 4 3 2" xfId="9081" xr:uid="{00000000-0005-0000-0000-0000FF030000}"/>
    <cellStyle name="Normal 12 2 2 4 4" xfId="4425" xr:uid="{00000000-0005-0000-0000-000000040000}"/>
    <cellStyle name="Normal 12 2 2 4 4 2" xfId="9713" xr:uid="{00000000-0005-0000-0000-000001040000}"/>
    <cellStyle name="Normal 12 2 2 4 5" xfId="6067" xr:uid="{00000000-0005-0000-0000-000002040000}"/>
    <cellStyle name="Normal 12 2 2 5" xfId="1620" xr:uid="{00000000-0005-0000-0000-000003040000}"/>
    <cellStyle name="Normal 12 2 2 5 2" xfId="5395" xr:uid="{00000000-0005-0000-0000-000004040000}"/>
    <cellStyle name="Normal 12 2 2 5 2 2" xfId="10683" xr:uid="{00000000-0005-0000-0000-000005040000}"/>
    <cellStyle name="Normal 12 2 2 5 3" xfId="7037" xr:uid="{00000000-0005-0000-0000-000006040000}"/>
    <cellStyle name="Normal 12 2 2 6" xfId="2175" xr:uid="{00000000-0005-0000-0000-000007040000}"/>
    <cellStyle name="Normal 12 2 2 6 2" xfId="7534" xr:uid="{00000000-0005-0000-0000-000008040000}"/>
    <cellStyle name="Normal 12 2 2 7" xfId="3290" xr:uid="{00000000-0005-0000-0000-000009040000}"/>
    <cellStyle name="Normal 12 2 2 7 2" xfId="8582" xr:uid="{00000000-0005-0000-0000-00000A040000}"/>
    <cellStyle name="Normal 12 2 2 8" xfId="4420" xr:uid="{00000000-0005-0000-0000-00000B040000}"/>
    <cellStyle name="Normal 12 2 2 8 2" xfId="9708" xr:uid="{00000000-0005-0000-0000-00000C040000}"/>
    <cellStyle name="Normal 12 2 2 9" xfId="6062" xr:uid="{00000000-0005-0000-0000-00000D040000}"/>
    <cellStyle name="Normal 12 2 3" xfId="603" xr:uid="{00000000-0005-0000-0000-00000E040000}"/>
    <cellStyle name="Normal 12 2 3 2" xfId="604" xr:uid="{00000000-0005-0000-0000-00000F040000}"/>
    <cellStyle name="Normal 12 2 3 2 2" xfId="2683" xr:uid="{00000000-0005-0000-0000-000010040000}"/>
    <cellStyle name="Normal 12 2 3 2 2 2" xfId="8036" xr:uid="{00000000-0005-0000-0000-000011040000}"/>
    <cellStyle name="Normal 12 2 3 2 3" xfId="3793" xr:uid="{00000000-0005-0000-0000-000012040000}"/>
    <cellStyle name="Normal 12 2 3 2 3 2" xfId="9084" xr:uid="{00000000-0005-0000-0000-000013040000}"/>
    <cellStyle name="Normal 12 2 3 2 4" xfId="4427" xr:uid="{00000000-0005-0000-0000-000014040000}"/>
    <cellStyle name="Normal 12 2 3 2 4 2" xfId="9715" xr:uid="{00000000-0005-0000-0000-000015040000}"/>
    <cellStyle name="Normal 12 2 3 2 5" xfId="6069" xr:uid="{00000000-0005-0000-0000-000016040000}"/>
    <cellStyle name="Normal 12 2 3 3" xfId="1623" xr:uid="{00000000-0005-0000-0000-000017040000}"/>
    <cellStyle name="Normal 12 2 3 3 2" xfId="5398" xr:uid="{00000000-0005-0000-0000-000018040000}"/>
    <cellStyle name="Normal 12 2 3 3 2 2" xfId="10686" xr:uid="{00000000-0005-0000-0000-000019040000}"/>
    <cellStyle name="Normal 12 2 3 3 3" xfId="7040" xr:uid="{00000000-0005-0000-0000-00001A040000}"/>
    <cellStyle name="Normal 12 2 3 4" xfId="2178" xr:uid="{00000000-0005-0000-0000-00001B040000}"/>
    <cellStyle name="Normal 12 2 3 4 2" xfId="7537" xr:uid="{00000000-0005-0000-0000-00001C040000}"/>
    <cellStyle name="Normal 12 2 3 5" xfId="3293" xr:uid="{00000000-0005-0000-0000-00001D040000}"/>
    <cellStyle name="Normal 12 2 3 5 2" xfId="8585" xr:uid="{00000000-0005-0000-0000-00001E040000}"/>
    <cellStyle name="Normal 12 2 3 6" xfId="4426" xr:uid="{00000000-0005-0000-0000-00001F040000}"/>
    <cellStyle name="Normal 12 2 3 6 2" xfId="9714" xr:uid="{00000000-0005-0000-0000-000020040000}"/>
    <cellStyle name="Normal 12 2 3 7" xfId="6068" xr:uid="{00000000-0005-0000-0000-000021040000}"/>
    <cellStyle name="Normal 12 2 4" xfId="605" xr:uid="{00000000-0005-0000-0000-000022040000}"/>
    <cellStyle name="Normal 12 2 4 2" xfId="606" xr:uid="{00000000-0005-0000-0000-000023040000}"/>
    <cellStyle name="Normal 12 2 4 2 2" xfId="2684" xr:uid="{00000000-0005-0000-0000-000024040000}"/>
    <cellStyle name="Normal 12 2 4 2 2 2" xfId="8037" xr:uid="{00000000-0005-0000-0000-000025040000}"/>
    <cellStyle name="Normal 12 2 4 2 3" xfId="3794" xr:uid="{00000000-0005-0000-0000-000026040000}"/>
    <cellStyle name="Normal 12 2 4 2 3 2" xfId="9085" xr:uid="{00000000-0005-0000-0000-000027040000}"/>
    <cellStyle name="Normal 12 2 4 2 4" xfId="4429" xr:uid="{00000000-0005-0000-0000-000028040000}"/>
    <cellStyle name="Normal 12 2 4 2 4 2" xfId="9717" xr:uid="{00000000-0005-0000-0000-000029040000}"/>
    <cellStyle name="Normal 12 2 4 2 5" xfId="6071" xr:uid="{00000000-0005-0000-0000-00002A040000}"/>
    <cellStyle name="Normal 12 2 4 3" xfId="1624" xr:uid="{00000000-0005-0000-0000-00002B040000}"/>
    <cellStyle name="Normal 12 2 4 3 2" xfId="5399" xr:uid="{00000000-0005-0000-0000-00002C040000}"/>
    <cellStyle name="Normal 12 2 4 3 2 2" xfId="10687" xr:uid="{00000000-0005-0000-0000-00002D040000}"/>
    <cellStyle name="Normal 12 2 4 3 3" xfId="7041" xr:uid="{00000000-0005-0000-0000-00002E040000}"/>
    <cellStyle name="Normal 12 2 4 4" xfId="2179" xr:uid="{00000000-0005-0000-0000-00002F040000}"/>
    <cellStyle name="Normal 12 2 4 4 2" xfId="7538" xr:uid="{00000000-0005-0000-0000-000030040000}"/>
    <cellStyle name="Normal 12 2 4 5" xfId="3294" xr:uid="{00000000-0005-0000-0000-000031040000}"/>
    <cellStyle name="Normal 12 2 4 5 2" xfId="8586" xr:uid="{00000000-0005-0000-0000-000032040000}"/>
    <cellStyle name="Normal 12 2 4 6" xfId="4428" xr:uid="{00000000-0005-0000-0000-000033040000}"/>
    <cellStyle name="Normal 12 2 4 6 2" xfId="9716" xr:uid="{00000000-0005-0000-0000-000034040000}"/>
    <cellStyle name="Normal 12 2 4 7" xfId="6070" xr:uid="{00000000-0005-0000-0000-000035040000}"/>
    <cellStyle name="Normal 12 2 5" xfId="607" xr:uid="{00000000-0005-0000-0000-000036040000}"/>
    <cellStyle name="Normal 12 2 5 2" xfId="2679" xr:uid="{00000000-0005-0000-0000-000037040000}"/>
    <cellStyle name="Normal 12 2 5 2 2" xfId="8032" xr:uid="{00000000-0005-0000-0000-000038040000}"/>
    <cellStyle name="Normal 12 2 5 3" xfId="3789" xr:uid="{00000000-0005-0000-0000-000039040000}"/>
    <cellStyle name="Normal 12 2 5 3 2" xfId="9080" xr:uid="{00000000-0005-0000-0000-00003A040000}"/>
    <cellStyle name="Normal 12 2 5 4" xfId="4430" xr:uid="{00000000-0005-0000-0000-00003B040000}"/>
    <cellStyle name="Normal 12 2 5 4 2" xfId="9718" xr:uid="{00000000-0005-0000-0000-00003C040000}"/>
    <cellStyle name="Normal 12 2 5 5" xfId="6072" xr:uid="{00000000-0005-0000-0000-00003D040000}"/>
    <cellStyle name="Normal 12 2 6" xfId="1619" xr:uid="{00000000-0005-0000-0000-00003E040000}"/>
    <cellStyle name="Normal 12 2 6 2" xfId="5394" xr:uid="{00000000-0005-0000-0000-00003F040000}"/>
    <cellStyle name="Normal 12 2 6 2 2" xfId="10682" xr:uid="{00000000-0005-0000-0000-000040040000}"/>
    <cellStyle name="Normal 12 2 6 3" xfId="7036" xr:uid="{00000000-0005-0000-0000-000041040000}"/>
    <cellStyle name="Normal 12 2 7" xfId="2174" xr:uid="{00000000-0005-0000-0000-000042040000}"/>
    <cellStyle name="Normal 12 2 7 2" xfId="7533" xr:uid="{00000000-0005-0000-0000-000043040000}"/>
    <cellStyle name="Normal 12 2 8" xfId="3289" xr:uid="{00000000-0005-0000-0000-000044040000}"/>
    <cellStyle name="Normal 12 2 8 2" xfId="8581" xr:uid="{00000000-0005-0000-0000-000045040000}"/>
    <cellStyle name="Normal 12 2 9" xfId="4419" xr:uid="{00000000-0005-0000-0000-000046040000}"/>
    <cellStyle name="Normal 12 2 9 2" xfId="9707" xr:uid="{00000000-0005-0000-0000-000047040000}"/>
    <cellStyle name="Normal 12 3" xfId="608" xr:uid="{00000000-0005-0000-0000-000048040000}"/>
    <cellStyle name="Normal 12 3 2" xfId="609" xr:uid="{00000000-0005-0000-0000-000049040000}"/>
    <cellStyle name="Normal 12 3 2 2" xfId="610" xr:uid="{00000000-0005-0000-0000-00004A040000}"/>
    <cellStyle name="Normal 12 3 2 2 2" xfId="2686" xr:uid="{00000000-0005-0000-0000-00004B040000}"/>
    <cellStyle name="Normal 12 3 2 2 2 2" xfId="8039" xr:uid="{00000000-0005-0000-0000-00004C040000}"/>
    <cellStyle name="Normal 12 3 2 2 3" xfId="3796" xr:uid="{00000000-0005-0000-0000-00004D040000}"/>
    <cellStyle name="Normal 12 3 2 2 3 2" xfId="9087" xr:uid="{00000000-0005-0000-0000-00004E040000}"/>
    <cellStyle name="Normal 12 3 2 2 4" xfId="4433" xr:uid="{00000000-0005-0000-0000-00004F040000}"/>
    <cellStyle name="Normal 12 3 2 2 4 2" xfId="9721" xr:uid="{00000000-0005-0000-0000-000050040000}"/>
    <cellStyle name="Normal 12 3 2 2 5" xfId="6075" xr:uid="{00000000-0005-0000-0000-000051040000}"/>
    <cellStyle name="Normal 12 3 2 3" xfId="1626" xr:uid="{00000000-0005-0000-0000-000052040000}"/>
    <cellStyle name="Normal 12 3 2 3 2" xfId="5401" xr:uid="{00000000-0005-0000-0000-000053040000}"/>
    <cellStyle name="Normal 12 3 2 3 2 2" xfId="10689" xr:uid="{00000000-0005-0000-0000-000054040000}"/>
    <cellStyle name="Normal 12 3 2 3 3" xfId="7043" xr:uid="{00000000-0005-0000-0000-000055040000}"/>
    <cellStyle name="Normal 12 3 2 4" xfId="2181" xr:uid="{00000000-0005-0000-0000-000056040000}"/>
    <cellStyle name="Normal 12 3 2 4 2" xfId="7540" xr:uid="{00000000-0005-0000-0000-000057040000}"/>
    <cellStyle name="Normal 12 3 2 5" xfId="3296" xr:uid="{00000000-0005-0000-0000-000058040000}"/>
    <cellStyle name="Normal 12 3 2 5 2" xfId="8588" xr:uid="{00000000-0005-0000-0000-000059040000}"/>
    <cellStyle name="Normal 12 3 2 6" xfId="4432" xr:uid="{00000000-0005-0000-0000-00005A040000}"/>
    <cellStyle name="Normal 12 3 2 6 2" xfId="9720" xr:uid="{00000000-0005-0000-0000-00005B040000}"/>
    <cellStyle name="Normal 12 3 2 7" xfId="6074" xr:uid="{00000000-0005-0000-0000-00005C040000}"/>
    <cellStyle name="Normal 12 3 3" xfId="611" xr:uid="{00000000-0005-0000-0000-00005D040000}"/>
    <cellStyle name="Normal 12 3 3 2" xfId="612" xr:uid="{00000000-0005-0000-0000-00005E040000}"/>
    <cellStyle name="Normal 12 3 3 2 2" xfId="2687" xr:uid="{00000000-0005-0000-0000-00005F040000}"/>
    <cellStyle name="Normal 12 3 3 2 2 2" xfId="8040" xr:uid="{00000000-0005-0000-0000-000060040000}"/>
    <cellStyle name="Normal 12 3 3 2 3" xfId="3797" xr:uid="{00000000-0005-0000-0000-000061040000}"/>
    <cellStyle name="Normal 12 3 3 2 3 2" xfId="9088" xr:uid="{00000000-0005-0000-0000-000062040000}"/>
    <cellStyle name="Normal 12 3 3 2 4" xfId="4435" xr:uid="{00000000-0005-0000-0000-000063040000}"/>
    <cellStyle name="Normal 12 3 3 2 4 2" xfId="9723" xr:uid="{00000000-0005-0000-0000-000064040000}"/>
    <cellStyle name="Normal 12 3 3 2 5" xfId="6077" xr:uid="{00000000-0005-0000-0000-000065040000}"/>
    <cellStyle name="Normal 12 3 3 3" xfId="1627" xr:uid="{00000000-0005-0000-0000-000066040000}"/>
    <cellStyle name="Normal 12 3 3 3 2" xfId="5402" xr:uid="{00000000-0005-0000-0000-000067040000}"/>
    <cellStyle name="Normal 12 3 3 3 2 2" xfId="10690" xr:uid="{00000000-0005-0000-0000-000068040000}"/>
    <cellStyle name="Normal 12 3 3 3 3" xfId="7044" xr:uid="{00000000-0005-0000-0000-000069040000}"/>
    <cellStyle name="Normal 12 3 3 4" xfId="2182" xr:uid="{00000000-0005-0000-0000-00006A040000}"/>
    <cellStyle name="Normal 12 3 3 4 2" xfId="7541" xr:uid="{00000000-0005-0000-0000-00006B040000}"/>
    <cellStyle name="Normal 12 3 3 5" xfId="3297" xr:uid="{00000000-0005-0000-0000-00006C040000}"/>
    <cellStyle name="Normal 12 3 3 5 2" xfId="8589" xr:uid="{00000000-0005-0000-0000-00006D040000}"/>
    <cellStyle name="Normal 12 3 3 6" xfId="4434" xr:uid="{00000000-0005-0000-0000-00006E040000}"/>
    <cellStyle name="Normal 12 3 3 6 2" xfId="9722" xr:uid="{00000000-0005-0000-0000-00006F040000}"/>
    <cellStyle name="Normal 12 3 3 7" xfId="6076" xr:uid="{00000000-0005-0000-0000-000070040000}"/>
    <cellStyle name="Normal 12 3 4" xfId="613" xr:uid="{00000000-0005-0000-0000-000071040000}"/>
    <cellStyle name="Normal 12 3 4 2" xfId="2685" xr:uid="{00000000-0005-0000-0000-000072040000}"/>
    <cellStyle name="Normal 12 3 4 2 2" xfId="8038" xr:uid="{00000000-0005-0000-0000-000073040000}"/>
    <cellStyle name="Normal 12 3 4 3" xfId="3795" xr:uid="{00000000-0005-0000-0000-000074040000}"/>
    <cellStyle name="Normal 12 3 4 3 2" xfId="9086" xr:uid="{00000000-0005-0000-0000-000075040000}"/>
    <cellStyle name="Normal 12 3 4 4" xfId="4436" xr:uid="{00000000-0005-0000-0000-000076040000}"/>
    <cellStyle name="Normal 12 3 4 4 2" xfId="9724" xr:uid="{00000000-0005-0000-0000-000077040000}"/>
    <cellStyle name="Normal 12 3 4 5" xfId="6078" xr:uid="{00000000-0005-0000-0000-000078040000}"/>
    <cellStyle name="Normal 12 3 5" xfId="1625" xr:uid="{00000000-0005-0000-0000-000079040000}"/>
    <cellStyle name="Normal 12 3 5 2" xfId="5400" xr:uid="{00000000-0005-0000-0000-00007A040000}"/>
    <cellStyle name="Normal 12 3 5 2 2" xfId="10688" xr:uid="{00000000-0005-0000-0000-00007B040000}"/>
    <cellStyle name="Normal 12 3 5 3" xfId="7042" xr:uid="{00000000-0005-0000-0000-00007C040000}"/>
    <cellStyle name="Normal 12 3 6" xfId="2180" xr:uid="{00000000-0005-0000-0000-00007D040000}"/>
    <cellStyle name="Normal 12 3 6 2" xfId="7539" xr:uid="{00000000-0005-0000-0000-00007E040000}"/>
    <cellStyle name="Normal 12 3 7" xfId="3295" xr:uid="{00000000-0005-0000-0000-00007F040000}"/>
    <cellStyle name="Normal 12 3 7 2" xfId="8587" xr:uid="{00000000-0005-0000-0000-000080040000}"/>
    <cellStyle name="Normal 12 3 8" xfId="4431" xr:uid="{00000000-0005-0000-0000-000081040000}"/>
    <cellStyle name="Normal 12 3 8 2" xfId="9719" xr:uid="{00000000-0005-0000-0000-000082040000}"/>
    <cellStyle name="Normal 12 3 9" xfId="6073" xr:uid="{00000000-0005-0000-0000-000083040000}"/>
    <cellStyle name="Normal 12 4" xfId="614" xr:uid="{00000000-0005-0000-0000-000084040000}"/>
    <cellStyle name="Normal 12 4 2" xfId="615" xr:uid="{00000000-0005-0000-0000-000085040000}"/>
    <cellStyle name="Normal 12 4 2 2" xfId="2688" xr:uid="{00000000-0005-0000-0000-000086040000}"/>
    <cellStyle name="Normal 12 4 2 2 2" xfId="8041" xr:uid="{00000000-0005-0000-0000-000087040000}"/>
    <cellStyle name="Normal 12 4 2 3" xfId="3798" xr:uid="{00000000-0005-0000-0000-000088040000}"/>
    <cellStyle name="Normal 12 4 2 3 2" xfId="9089" xr:uid="{00000000-0005-0000-0000-000089040000}"/>
    <cellStyle name="Normal 12 4 2 4" xfId="4438" xr:uid="{00000000-0005-0000-0000-00008A040000}"/>
    <cellStyle name="Normal 12 4 2 4 2" xfId="9726" xr:uid="{00000000-0005-0000-0000-00008B040000}"/>
    <cellStyle name="Normal 12 4 2 5" xfId="6080" xr:uid="{00000000-0005-0000-0000-00008C040000}"/>
    <cellStyle name="Normal 12 4 3" xfId="1628" xr:uid="{00000000-0005-0000-0000-00008D040000}"/>
    <cellStyle name="Normal 12 4 3 2" xfId="5403" xr:uid="{00000000-0005-0000-0000-00008E040000}"/>
    <cellStyle name="Normal 12 4 3 2 2" xfId="10691" xr:uid="{00000000-0005-0000-0000-00008F040000}"/>
    <cellStyle name="Normal 12 4 3 3" xfId="7045" xr:uid="{00000000-0005-0000-0000-000090040000}"/>
    <cellStyle name="Normal 12 4 4" xfId="2183" xr:uid="{00000000-0005-0000-0000-000091040000}"/>
    <cellStyle name="Normal 12 4 4 2" xfId="7542" xr:uid="{00000000-0005-0000-0000-000092040000}"/>
    <cellStyle name="Normal 12 4 5" xfId="3298" xr:uid="{00000000-0005-0000-0000-000093040000}"/>
    <cellStyle name="Normal 12 4 5 2" xfId="8590" xr:uid="{00000000-0005-0000-0000-000094040000}"/>
    <cellStyle name="Normal 12 4 6" xfId="4437" xr:uid="{00000000-0005-0000-0000-000095040000}"/>
    <cellStyle name="Normal 12 4 6 2" xfId="9725" xr:uid="{00000000-0005-0000-0000-000096040000}"/>
    <cellStyle name="Normal 12 4 7" xfId="6079" xr:uid="{00000000-0005-0000-0000-000097040000}"/>
    <cellStyle name="Normal 12 5" xfId="616" xr:uid="{00000000-0005-0000-0000-000098040000}"/>
    <cellStyle name="Normal 12 5 2" xfId="617" xr:uid="{00000000-0005-0000-0000-000099040000}"/>
    <cellStyle name="Normal 12 5 2 2" xfId="2689" xr:uid="{00000000-0005-0000-0000-00009A040000}"/>
    <cellStyle name="Normal 12 5 2 2 2" xfId="8042" xr:uid="{00000000-0005-0000-0000-00009B040000}"/>
    <cellStyle name="Normal 12 5 2 3" xfId="3799" xr:uid="{00000000-0005-0000-0000-00009C040000}"/>
    <cellStyle name="Normal 12 5 2 3 2" xfId="9090" xr:uid="{00000000-0005-0000-0000-00009D040000}"/>
    <cellStyle name="Normal 12 5 2 4" xfId="4440" xr:uid="{00000000-0005-0000-0000-00009E040000}"/>
    <cellStyle name="Normal 12 5 2 4 2" xfId="9728" xr:uid="{00000000-0005-0000-0000-00009F040000}"/>
    <cellStyle name="Normal 12 5 2 5" xfId="6082" xr:uid="{00000000-0005-0000-0000-0000A0040000}"/>
    <cellStyle name="Normal 12 5 3" xfId="1629" xr:uid="{00000000-0005-0000-0000-0000A1040000}"/>
    <cellStyle name="Normal 12 5 3 2" xfId="5404" xr:uid="{00000000-0005-0000-0000-0000A2040000}"/>
    <cellStyle name="Normal 12 5 3 2 2" xfId="10692" xr:uid="{00000000-0005-0000-0000-0000A3040000}"/>
    <cellStyle name="Normal 12 5 3 3" xfId="7046" xr:uid="{00000000-0005-0000-0000-0000A4040000}"/>
    <cellStyle name="Normal 12 5 4" xfId="2184" xr:uid="{00000000-0005-0000-0000-0000A5040000}"/>
    <cellStyle name="Normal 12 5 4 2" xfId="7543" xr:uid="{00000000-0005-0000-0000-0000A6040000}"/>
    <cellStyle name="Normal 12 5 5" xfId="3299" xr:uid="{00000000-0005-0000-0000-0000A7040000}"/>
    <cellStyle name="Normal 12 5 5 2" xfId="8591" xr:uid="{00000000-0005-0000-0000-0000A8040000}"/>
    <cellStyle name="Normal 12 5 6" xfId="4439" xr:uid="{00000000-0005-0000-0000-0000A9040000}"/>
    <cellStyle name="Normal 12 5 6 2" xfId="9727" xr:uid="{00000000-0005-0000-0000-0000AA040000}"/>
    <cellStyle name="Normal 12 5 7" xfId="6081" xr:uid="{00000000-0005-0000-0000-0000AB040000}"/>
    <cellStyle name="Normal 12 6" xfId="618" xr:uid="{00000000-0005-0000-0000-0000AC040000}"/>
    <cellStyle name="Normal 12 6 2" xfId="2678" xr:uid="{00000000-0005-0000-0000-0000AD040000}"/>
    <cellStyle name="Normal 12 6 2 2" xfId="8031" xr:uid="{00000000-0005-0000-0000-0000AE040000}"/>
    <cellStyle name="Normal 12 6 3" xfId="3788" xr:uid="{00000000-0005-0000-0000-0000AF040000}"/>
    <cellStyle name="Normal 12 6 3 2" xfId="9079" xr:uid="{00000000-0005-0000-0000-0000B0040000}"/>
    <cellStyle name="Normal 12 6 4" xfId="4441" xr:uid="{00000000-0005-0000-0000-0000B1040000}"/>
    <cellStyle name="Normal 12 6 4 2" xfId="9729" xr:uid="{00000000-0005-0000-0000-0000B2040000}"/>
    <cellStyle name="Normal 12 6 5" xfId="6083" xr:uid="{00000000-0005-0000-0000-0000B3040000}"/>
    <cellStyle name="Normal 12 7" xfId="1618" xr:uid="{00000000-0005-0000-0000-0000B4040000}"/>
    <cellStyle name="Normal 12 7 2" xfId="5393" xr:uid="{00000000-0005-0000-0000-0000B5040000}"/>
    <cellStyle name="Normal 12 7 2 2" xfId="10681" xr:uid="{00000000-0005-0000-0000-0000B6040000}"/>
    <cellStyle name="Normal 12 7 3" xfId="7035" xr:uid="{00000000-0005-0000-0000-0000B7040000}"/>
    <cellStyle name="Normal 12 8" xfId="2173" xr:uid="{00000000-0005-0000-0000-0000B8040000}"/>
    <cellStyle name="Normal 12 8 2" xfId="7532" xr:uid="{00000000-0005-0000-0000-0000B9040000}"/>
    <cellStyle name="Normal 12 9" xfId="3288" xr:uid="{00000000-0005-0000-0000-0000BA040000}"/>
    <cellStyle name="Normal 12 9 2" xfId="8580" xr:uid="{00000000-0005-0000-0000-0000BB040000}"/>
    <cellStyle name="Normal 13" xfId="619" xr:uid="{00000000-0005-0000-0000-0000BC040000}"/>
    <cellStyle name="Normal 13 2" xfId="620" xr:uid="{00000000-0005-0000-0000-0000BD040000}"/>
    <cellStyle name="Normal 14" xfId="621" xr:uid="{00000000-0005-0000-0000-0000BE040000}"/>
    <cellStyle name="Normal 14 10" xfId="6084" xr:uid="{00000000-0005-0000-0000-0000BF040000}"/>
    <cellStyle name="Normal 14 2" xfId="622" xr:uid="{00000000-0005-0000-0000-0000C0040000}"/>
    <cellStyle name="Normal 14 2 2" xfId="623" xr:uid="{00000000-0005-0000-0000-0000C1040000}"/>
    <cellStyle name="Normal 14 2 2 2" xfId="624" xr:uid="{00000000-0005-0000-0000-0000C2040000}"/>
    <cellStyle name="Normal 14 2 2 2 2" xfId="2692" xr:uid="{00000000-0005-0000-0000-0000C3040000}"/>
    <cellStyle name="Normal 14 2 2 2 2 2" xfId="8045" xr:uid="{00000000-0005-0000-0000-0000C4040000}"/>
    <cellStyle name="Normal 14 2 2 2 3" xfId="3802" xr:uid="{00000000-0005-0000-0000-0000C5040000}"/>
    <cellStyle name="Normal 14 2 2 2 3 2" xfId="9093" xr:uid="{00000000-0005-0000-0000-0000C6040000}"/>
    <cellStyle name="Normal 14 2 2 2 4" xfId="4445" xr:uid="{00000000-0005-0000-0000-0000C7040000}"/>
    <cellStyle name="Normal 14 2 2 2 4 2" xfId="9733" xr:uid="{00000000-0005-0000-0000-0000C8040000}"/>
    <cellStyle name="Normal 14 2 2 2 5" xfId="6087" xr:uid="{00000000-0005-0000-0000-0000C9040000}"/>
    <cellStyle name="Normal 14 2 2 3" xfId="1633" xr:uid="{00000000-0005-0000-0000-0000CA040000}"/>
    <cellStyle name="Normal 14 2 2 3 2" xfId="5407" xr:uid="{00000000-0005-0000-0000-0000CB040000}"/>
    <cellStyle name="Normal 14 2 2 3 2 2" xfId="10695" xr:uid="{00000000-0005-0000-0000-0000CC040000}"/>
    <cellStyle name="Normal 14 2 2 3 3" xfId="7049" xr:uid="{00000000-0005-0000-0000-0000CD040000}"/>
    <cellStyle name="Normal 14 2 2 4" xfId="2187" xr:uid="{00000000-0005-0000-0000-0000CE040000}"/>
    <cellStyle name="Normal 14 2 2 4 2" xfId="7546" xr:uid="{00000000-0005-0000-0000-0000CF040000}"/>
    <cellStyle name="Normal 14 2 2 5" xfId="3302" xr:uid="{00000000-0005-0000-0000-0000D0040000}"/>
    <cellStyle name="Normal 14 2 2 5 2" xfId="8594" xr:uid="{00000000-0005-0000-0000-0000D1040000}"/>
    <cellStyle name="Normal 14 2 2 6" xfId="4444" xr:uid="{00000000-0005-0000-0000-0000D2040000}"/>
    <cellStyle name="Normal 14 2 2 6 2" xfId="9732" xr:uid="{00000000-0005-0000-0000-0000D3040000}"/>
    <cellStyle name="Normal 14 2 2 7" xfId="6086" xr:uid="{00000000-0005-0000-0000-0000D4040000}"/>
    <cellStyle name="Normal 14 2 3" xfId="625" xr:uid="{00000000-0005-0000-0000-0000D5040000}"/>
    <cellStyle name="Normal 14 2 3 2" xfId="626" xr:uid="{00000000-0005-0000-0000-0000D6040000}"/>
    <cellStyle name="Normal 14 2 3 2 2" xfId="2693" xr:uid="{00000000-0005-0000-0000-0000D7040000}"/>
    <cellStyle name="Normal 14 2 3 2 2 2" xfId="8046" xr:uid="{00000000-0005-0000-0000-0000D8040000}"/>
    <cellStyle name="Normal 14 2 3 2 3" xfId="3803" xr:uid="{00000000-0005-0000-0000-0000D9040000}"/>
    <cellStyle name="Normal 14 2 3 2 3 2" xfId="9094" xr:uid="{00000000-0005-0000-0000-0000DA040000}"/>
    <cellStyle name="Normal 14 2 3 2 4" xfId="4447" xr:uid="{00000000-0005-0000-0000-0000DB040000}"/>
    <cellStyle name="Normal 14 2 3 2 4 2" xfId="9735" xr:uid="{00000000-0005-0000-0000-0000DC040000}"/>
    <cellStyle name="Normal 14 2 3 2 5" xfId="6089" xr:uid="{00000000-0005-0000-0000-0000DD040000}"/>
    <cellStyle name="Normal 14 2 3 3" xfId="1634" xr:uid="{00000000-0005-0000-0000-0000DE040000}"/>
    <cellStyle name="Normal 14 2 3 3 2" xfId="5408" xr:uid="{00000000-0005-0000-0000-0000DF040000}"/>
    <cellStyle name="Normal 14 2 3 3 2 2" xfId="10696" xr:uid="{00000000-0005-0000-0000-0000E0040000}"/>
    <cellStyle name="Normal 14 2 3 3 3" xfId="7050" xr:uid="{00000000-0005-0000-0000-0000E1040000}"/>
    <cellStyle name="Normal 14 2 3 4" xfId="2188" xr:uid="{00000000-0005-0000-0000-0000E2040000}"/>
    <cellStyle name="Normal 14 2 3 4 2" xfId="7547" xr:uid="{00000000-0005-0000-0000-0000E3040000}"/>
    <cellStyle name="Normal 14 2 3 5" xfId="3303" xr:uid="{00000000-0005-0000-0000-0000E4040000}"/>
    <cellStyle name="Normal 14 2 3 5 2" xfId="8595" xr:uid="{00000000-0005-0000-0000-0000E5040000}"/>
    <cellStyle name="Normal 14 2 3 6" xfId="4446" xr:uid="{00000000-0005-0000-0000-0000E6040000}"/>
    <cellStyle name="Normal 14 2 3 6 2" xfId="9734" xr:uid="{00000000-0005-0000-0000-0000E7040000}"/>
    <cellStyle name="Normal 14 2 3 7" xfId="6088" xr:uid="{00000000-0005-0000-0000-0000E8040000}"/>
    <cellStyle name="Normal 14 2 4" xfId="627" xr:uid="{00000000-0005-0000-0000-0000E9040000}"/>
    <cellStyle name="Normal 14 2 4 2" xfId="2691" xr:uid="{00000000-0005-0000-0000-0000EA040000}"/>
    <cellStyle name="Normal 14 2 4 2 2" xfId="8044" xr:uid="{00000000-0005-0000-0000-0000EB040000}"/>
    <cellStyle name="Normal 14 2 4 3" xfId="3801" xr:uid="{00000000-0005-0000-0000-0000EC040000}"/>
    <cellStyle name="Normal 14 2 4 3 2" xfId="9092" xr:uid="{00000000-0005-0000-0000-0000ED040000}"/>
    <cellStyle name="Normal 14 2 4 4" xfId="4448" xr:uid="{00000000-0005-0000-0000-0000EE040000}"/>
    <cellStyle name="Normal 14 2 4 4 2" xfId="9736" xr:uid="{00000000-0005-0000-0000-0000EF040000}"/>
    <cellStyle name="Normal 14 2 4 5" xfId="6090" xr:uid="{00000000-0005-0000-0000-0000F0040000}"/>
    <cellStyle name="Normal 14 2 5" xfId="1632" xr:uid="{00000000-0005-0000-0000-0000F1040000}"/>
    <cellStyle name="Normal 14 2 5 2" xfId="5406" xr:uid="{00000000-0005-0000-0000-0000F2040000}"/>
    <cellStyle name="Normal 14 2 5 2 2" xfId="10694" xr:uid="{00000000-0005-0000-0000-0000F3040000}"/>
    <cellStyle name="Normal 14 2 5 3" xfId="7048" xr:uid="{00000000-0005-0000-0000-0000F4040000}"/>
    <cellStyle name="Normal 14 2 6" xfId="2186" xr:uid="{00000000-0005-0000-0000-0000F5040000}"/>
    <cellStyle name="Normal 14 2 6 2" xfId="7545" xr:uid="{00000000-0005-0000-0000-0000F6040000}"/>
    <cellStyle name="Normal 14 2 7" xfId="3301" xr:uid="{00000000-0005-0000-0000-0000F7040000}"/>
    <cellStyle name="Normal 14 2 7 2" xfId="8593" xr:uid="{00000000-0005-0000-0000-0000F8040000}"/>
    <cellStyle name="Normal 14 2 8" xfId="4443" xr:uid="{00000000-0005-0000-0000-0000F9040000}"/>
    <cellStyle name="Normal 14 2 8 2" xfId="9731" xr:uid="{00000000-0005-0000-0000-0000FA040000}"/>
    <cellStyle name="Normal 14 2 9" xfId="6085" xr:uid="{00000000-0005-0000-0000-0000FB040000}"/>
    <cellStyle name="Normal 14 3" xfId="628" xr:uid="{00000000-0005-0000-0000-0000FC040000}"/>
    <cellStyle name="Normal 14 3 2" xfId="629" xr:uid="{00000000-0005-0000-0000-0000FD040000}"/>
    <cellStyle name="Normal 14 3 2 2" xfId="2694" xr:uid="{00000000-0005-0000-0000-0000FE040000}"/>
    <cellStyle name="Normal 14 3 2 2 2" xfId="8047" xr:uid="{00000000-0005-0000-0000-0000FF040000}"/>
    <cellStyle name="Normal 14 3 2 3" xfId="3804" xr:uid="{00000000-0005-0000-0000-000000050000}"/>
    <cellStyle name="Normal 14 3 2 3 2" xfId="9095" xr:uid="{00000000-0005-0000-0000-000001050000}"/>
    <cellStyle name="Normal 14 3 2 4" xfId="4450" xr:uid="{00000000-0005-0000-0000-000002050000}"/>
    <cellStyle name="Normal 14 3 2 4 2" xfId="9738" xr:uid="{00000000-0005-0000-0000-000003050000}"/>
    <cellStyle name="Normal 14 3 2 5" xfId="6092" xr:uid="{00000000-0005-0000-0000-000004050000}"/>
    <cellStyle name="Normal 14 3 3" xfId="1635" xr:uid="{00000000-0005-0000-0000-000005050000}"/>
    <cellStyle name="Normal 14 3 3 2" xfId="5409" xr:uid="{00000000-0005-0000-0000-000006050000}"/>
    <cellStyle name="Normal 14 3 3 2 2" xfId="10697" xr:uid="{00000000-0005-0000-0000-000007050000}"/>
    <cellStyle name="Normal 14 3 3 3" xfId="7051" xr:uid="{00000000-0005-0000-0000-000008050000}"/>
    <cellStyle name="Normal 14 3 4" xfId="2189" xr:uid="{00000000-0005-0000-0000-000009050000}"/>
    <cellStyle name="Normal 14 3 4 2" xfId="7548" xr:uid="{00000000-0005-0000-0000-00000A050000}"/>
    <cellStyle name="Normal 14 3 5" xfId="3304" xr:uid="{00000000-0005-0000-0000-00000B050000}"/>
    <cellStyle name="Normal 14 3 5 2" xfId="8596" xr:uid="{00000000-0005-0000-0000-00000C050000}"/>
    <cellStyle name="Normal 14 3 6" xfId="4449" xr:uid="{00000000-0005-0000-0000-00000D050000}"/>
    <cellStyle name="Normal 14 3 6 2" xfId="9737" xr:uid="{00000000-0005-0000-0000-00000E050000}"/>
    <cellStyle name="Normal 14 3 7" xfId="6091" xr:uid="{00000000-0005-0000-0000-00000F050000}"/>
    <cellStyle name="Normal 14 4" xfId="630" xr:uid="{00000000-0005-0000-0000-000010050000}"/>
    <cellStyle name="Normal 14 4 2" xfId="631" xr:uid="{00000000-0005-0000-0000-000011050000}"/>
    <cellStyle name="Normal 14 4 2 2" xfId="2695" xr:uid="{00000000-0005-0000-0000-000012050000}"/>
    <cellStyle name="Normal 14 4 2 2 2" xfId="8048" xr:uid="{00000000-0005-0000-0000-000013050000}"/>
    <cellStyle name="Normal 14 4 2 3" xfId="3805" xr:uid="{00000000-0005-0000-0000-000014050000}"/>
    <cellStyle name="Normal 14 4 2 3 2" xfId="9096" xr:uid="{00000000-0005-0000-0000-000015050000}"/>
    <cellStyle name="Normal 14 4 2 4" xfId="4452" xr:uid="{00000000-0005-0000-0000-000016050000}"/>
    <cellStyle name="Normal 14 4 2 4 2" xfId="9740" xr:uid="{00000000-0005-0000-0000-000017050000}"/>
    <cellStyle name="Normal 14 4 2 5" xfId="6094" xr:uid="{00000000-0005-0000-0000-000018050000}"/>
    <cellStyle name="Normal 14 4 3" xfId="1636" xr:uid="{00000000-0005-0000-0000-000019050000}"/>
    <cellStyle name="Normal 14 4 3 2" xfId="5410" xr:uid="{00000000-0005-0000-0000-00001A050000}"/>
    <cellStyle name="Normal 14 4 3 2 2" xfId="10698" xr:uid="{00000000-0005-0000-0000-00001B050000}"/>
    <cellStyle name="Normal 14 4 3 3" xfId="7052" xr:uid="{00000000-0005-0000-0000-00001C050000}"/>
    <cellStyle name="Normal 14 4 4" xfId="2190" xr:uid="{00000000-0005-0000-0000-00001D050000}"/>
    <cellStyle name="Normal 14 4 4 2" xfId="7549" xr:uid="{00000000-0005-0000-0000-00001E050000}"/>
    <cellStyle name="Normal 14 4 5" xfId="3305" xr:uid="{00000000-0005-0000-0000-00001F050000}"/>
    <cellStyle name="Normal 14 4 5 2" xfId="8597" xr:uid="{00000000-0005-0000-0000-000020050000}"/>
    <cellStyle name="Normal 14 4 6" xfId="4451" xr:uid="{00000000-0005-0000-0000-000021050000}"/>
    <cellStyle name="Normal 14 4 6 2" xfId="9739" xr:uid="{00000000-0005-0000-0000-000022050000}"/>
    <cellStyle name="Normal 14 4 7" xfId="6093" xr:uid="{00000000-0005-0000-0000-000023050000}"/>
    <cellStyle name="Normal 14 5" xfId="632" xr:uid="{00000000-0005-0000-0000-000024050000}"/>
    <cellStyle name="Normal 14 5 2" xfId="2690" xr:uid="{00000000-0005-0000-0000-000025050000}"/>
    <cellStyle name="Normal 14 5 2 2" xfId="8043" xr:uid="{00000000-0005-0000-0000-000026050000}"/>
    <cellStyle name="Normal 14 5 3" xfId="3800" xr:uid="{00000000-0005-0000-0000-000027050000}"/>
    <cellStyle name="Normal 14 5 3 2" xfId="9091" xr:uid="{00000000-0005-0000-0000-000028050000}"/>
    <cellStyle name="Normal 14 5 4" xfId="4453" xr:uid="{00000000-0005-0000-0000-000029050000}"/>
    <cellStyle name="Normal 14 5 4 2" xfId="9741" xr:uid="{00000000-0005-0000-0000-00002A050000}"/>
    <cellStyle name="Normal 14 5 5" xfId="6095" xr:uid="{00000000-0005-0000-0000-00002B050000}"/>
    <cellStyle name="Normal 14 6" xfId="1631" xr:uid="{00000000-0005-0000-0000-00002C050000}"/>
    <cellStyle name="Normal 14 6 2" xfId="5405" xr:uid="{00000000-0005-0000-0000-00002D050000}"/>
    <cellStyle name="Normal 14 6 2 2" xfId="10693" xr:uid="{00000000-0005-0000-0000-00002E050000}"/>
    <cellStyle name="Normal 14 6 3" xfId="7047" xr:uid="{00000000-0005-0000-0000-00002F050000}"/>
    <cellStyle name="Normal 14 7" xfId="2185" xr:uid="{00000000-0005-0000-0000-000030050000}"/>
    <cellStyle name="Normal 14 7 2" xfId="7544" xr:uid="{00000000-0005-0000-0000-000031050000}"/>
    <cellStyle name="Normal 14 8" xfId="3300" xr:uid="{00000000-0005-0000-0000-000032050000}"/>
    <cellStyle name="Normal 14 8 2" xfId="8592" xr:uid="{00000000-0005-0000-0000-000033050000}"/>
    <cellStyle name="Normal 14 9" xfId="4442" xr:uid="{00000000-0005-0000-0000-000034050000}"/>
    <cellStyle name="Normal 14 9 2" xfId="9730" xr:uid="{00000000-0005-0000-0000-000035050000}"/>
    <cellStyle name="Normal 15" xfId="633" xr:uid="{00000000-0005-0000-0000-000036050000}"/>
    <cellStyle name="Normal 15 10" xfId="6096" xr:uid="{00000000-0005-0000-0000-000037050000}"/>
    <cellStyle name="Normal 15 2" xfId="634" xr:uid="{00000000-0005-0000-0000-000038050000}"/>
    <cellStyle name="Normal 15 2 2" xfId="635" xr:uid="{00000000-0005-0000-0000-000039050000}"/>
    <cellStyle name="Normal 15 2 2 2" xfId="636" xr:uid="{00000000-0005-0000-0000-00003A050000}"/>
    <cellStyle name="Normal 15 2 2 2 2" xfId="2698" xr:uid="{00000000-0005-0000-0000-00003B050000}"/>
    <cellStyle name="Normal 15 2 2 2 2 2" xfId="8051" xr:uid="{00000000-0005-0000-0000-00003C050000}"/>
    <cellStyle name="Normal 15 2 2 2 3" xfId="3808" xr:uid="{00000000-0005-0000-0000-00003D050000}"/>
    <cellStyle name="Normal 15 2 2 2 3 2" xfId="9099" xr:uid="{00000000-0005-0000-0000-00003E050000}"/>
    <cellStyle name="Normal 15 2 2 2 4" xfId="4457" xr:uid="{00000000-0005-0000-0000-00003F050000}"/>
    <cellStyle name="Normal 15 2 2 2 4 2" xfId="9745" xr:uid="{00000000-0005-0000-0000-000040050000}"/>
    <cellStyle name="Normal 15 2 2 2 5" xfId="6099" xr:uid="{00000000-0005-0000-0000-000041050000}"/>
    <cellStyle name="Normal 15 2 2 3" xfId="1639" xr:uid="{00000000-0005-0000-0000-000042050000}"/>
    <cellStyle name="Normal 15 2 2 3 2" xfId="5413" xr:uid="{00000000-0005-0000-0000-000043050000}"/>
    <cellStyle name="Normal 15 2 2 3 2 2" xfId="10701" xr:uid="{00000000-0005-0000-0000-000044050000}"/>
    <cellStyle name="Normal 15 2 2 3 3" xfId="7055" xr:uid="{00000000-0005-0000-0000-000045050000}"/>
    <cellStyle name="Normal 15 2 2 4" xfId="2193" xr:uid="{00000000-0005-0000-0000-000046050000}"/>
    <cellStyle name="Normal 15 2 2 4 2" xfId="7552" xr:uid="{00000000-0005-0000-0000-000047050000}"/>
    <cellStyle name="Normal 15 2 2 5" xfId="3308" xr:uid="{00000000-0005-0000-0000-000048050000}"/>
    <cellStyle name="Normal 15 2 2 5 2" xfId="8600" xr:uid="{00000000-0005-0000-0000-000049050000}"/>
    <cellStyle name="Normal 15 2 2 6" xfId="4456" xr:uid="{00000000-0005-0000-0000-00004A050000}"/>
    <cellStyle name="Normal 15 2 2 6 2" xfId="9744" xr:uid="{00000000-0005-0000-0000-00004B050000}"/>
    <cellStyle name="Normal 15 2 2 7" xfId="6098" xr:uid="{00000000-0005-0000-0000-00004C050000}"/>
    <cellStyle name="Normal 15 2 3" xfId="637" xr:uid="{00000000-0005-0000-0000-00004D050000}"/>
    <cellStyle name="Normal 15 2 3 2" xfId="638" xr:uid="{00000000-0005-0000-0000-00004E050000}"/>
    <cellStyle name="Normal 15 2 3 2 2" xfId="2699" xr:uid="{00000000-0005-0000-0000-00004F050000}"/>
    <cellStyle name="Normal 15 2 3 2 2 2" xfId="8052" xr:uid="{00000000-0005-0000-0000-000050050000}"/>
    <cellStyle name="Normal 15 2 3 2 3" xfId="3809" xr:uid="{00000000-0005-0000-0000-000051050000}"/>
    <cellStyle name="Normal 15 2 3 2 3 2" xfId="9100" xr:uid="{00000000-0005-0000-0000-000052050000}"/>
    <cellStyle name="Normal 15 2 3 2 4" xfId="4459" xr:uid="{00000000-0005-0000-0000-000053050000}"/>
    <cellStyle name="Normal 15 2 3 2 4 2" xfId="9747" xr:uid="{00000000-0005-0000-0000-000054050000}"/>
    <cellStyle name="Normal 15 2 3 2 5" xfId="6101" xr:uid="{00000000-0005-0000-0000-000055050000}"/>
    <cellStyle name="Normal 15 2 3 3" xfId="1640" xr:uid="{00000000-0005-0000-0000-000056050000}"/>
    <cellStyle name="Normal 15 2 3 3 2" xfId="5414" xr:uid="{00000000-0005-0000-0000-000057050000}"/>
    <cellStyle name="Normal 15 2 3 3 2 2" xfId="10702" xr:uid="{00000000-0005-0000-0000-000058050000}"/>
    <cellStyle name="Normal 15 2 3 3 3" xfId="7056" xr:uid="{00000000-0005-0000-0000-000059050000}"/>
    <cellStyle name="Normal 15 2 3 4" xfId="2194" xr:uid="{00000000-0005-0000-0000-00005A050000}"/>
    <cellStyle name="Normal 15 2 3 4 2" xfId="7553" xr:uid="{00000000-0005-0000-0000-00005B050000}"/>
    <cellStyle name="Normal 15 2 3 5" xfId="3309" xr:uid="{00000000-0005-0000-0000-00005C050000}"/>
    <cellStyle name="Normal 15 2 3 5 2" xfId="8601" xr:uid="{00000000-0005-0000-0000-00005D050000}"/>
    <cellStyle name="Normal 15 2 3 6" xfId="4458" xr:uid="{00000000-0005-0000-0000-00005E050000}"/>
    <cellStyle name="Normal 15 2 3 6 2" xfId="9746" xr:uid="{00000000-0005-0000-0000-00005F050000}"/>
    <cellStyle name="Normal 15 2 3 7" xfId="6100" xr:uid="{00000000-0005-0000-0000-000060050000}"/>
    <cellStyle name="Normal 15 2 4" xfId="639" xr:uid="{00000000-0005-0000-0000-000061050000}"/>
    <cellStyle name="Normal 15 2 4 2" xfId="2697" xr:uid="{00000000-0005-0000-0000-000062050000}"/>
    <cellStyle name="Normal 15 2 4 2 2" xfId="8050" xr:uid="{00000000-0005-0000-0000-000063050000}"/>
    <cellStyle name="Normal 15 2 4 3" xfId="3807" xr:uid="{00000000-0005-0000-0000-000064050000}"/>
    <cellStyle name="Normal 15 2 4 3 2" xfId="9098" xr:uid="{00000000-0005-0000-0000-000065050000}"/>
    <cellStyle name="Normal 15 2 4 4" xfId="4460" xr:uid="{00000000-0005-0000-0000-000066050000}"/>
    <cellStyle name="Normal 15 2 4 4 2" xfId="9748" xr:uid="{00000000-0005-0000-0000-000067050000}"/>
    <cellStyle name="Normal 15 2 4 5" xfId="6102" xr:uid="{00000000-0005-0000-0000-000068050000}"/>
    <cellStyle name="Normal 15 2 5" xfId="1638" xr:uid="{00000000-0005-0000-0000-000069050000}"/>
    <cellStyle name="Normal 15 2 5 2" xfId="5412" xr:uid="{00000000-0005-0000-0000-00006A050000}"/>
    <cellStyle name="Normal 15 2 5 2 2" xfId="10700" xr:uid="{00000000-0005-0000-0000-00006B050000}"/>
    <cellStyle name="Normal 15 2 5 3" xfId="7054" xr:uid="{00000000-0005-0000-0000-00006C050000}"/>
    <cellStyle name="Normal 15 2 6" xfId="2192" xr:uid="{00000000-0005-0000-0000-00006D050000}"/>
    <cellStyle name="Normal 15 2 6 2" xfId="7551" xr:uid="{00000000-0005-0000-0000-00006E050000}"/>
    <cellStyle name="Normal 15 2 7" xfId="3307" xr:uid="{00000000-0005-0000-0000-00006F050000}"/>
    <cellStyle name="Normal 15 2 7 2" xfId="8599" xr:uid="{00000000-0005-0000-0000-000070050000}"/>
    <cellStyle name="Normal 15 2 8" xfId="4455" xr:uid="{00000000-0005-0000-0000-000071050000}"/>
    <cellStyle name="Normal 15 2 8 2" xfId="9743" xr:uid="{00000000-0005-0000-0000-000072050000}"/>
    <cellStyle name="Normal 15 2 9" xfId="6097" xr:uid="{00000000-0005-0000-0000-000073050000}"/>
    <cellStyle name="Normal 15 3" xfId="640" xr:uid="{00000000-0005-0000-0000-000074050000}"/>
    <cellStyle name="Normal 15 3 2" xfId="641" xr:uid="{00000000-0005-0000-0000-000075050000}"/>
    <cellStyle name="Normal 15 3 2 2" xfId="2700" xr:uid="{00000000-0005-0000-0000-000076050000}"/>
    <cellStyle name="Normal 15 3 2 2 2" xfId="8053" xr:uid="{00000000-0005-0000-0000-000077050000}"/>
    <cellStyle name="Normal 15 3 2 3" xfId="3810" xr:uid="{00000000-0005-0000-0000-000078050000}"/>
    <cellStyle name="Normal 15 3 2 3 2" xfId="9101" xr:uid="{00000000-0005-0000-0000-000079050000}"/>
    <cellStyle name="Normal 15 3 2 4" xfId="4462" xr:uid="{00000000-0005-0000-0000-00007A050000}"/>
    <cellStyle name="Normal 15 3 2 4 2" xfId="9750" xr:uid="{00000000-0005-0000-0000-00007B050000}"/>
    <cellStyle name="Normal 15 3 2 5" xfId="6104" xr:uid="{00000000-0005-0000-0000-00007C050000}"/>
    <cellStyle name="Normal 15 3 3" xfId="1641" xr:uid="{00000000-0005-0000-0000-00007D050000}"/>
    <cellStyle name="Normal 15 3 3 2" xfId="5415" xr:uid="{00000000-0005-0000-0000-00007E050000}"/>
    <cellStyle name="Normal 15 3 3 2 2" xfId="10703" xr:uid="{00000000-0005-0000-0000-00007F050000}"/>
    <cellStyle name="Normal 15 3 3 3" xfId="7057" xr:uid="{00000000-0005-0000-0000-000080050000}"/>
    <cellStyle name="Normal 15 3 4" xfId="2195" xr:uid="{00000000-0005-0000-0000-000081050000}"/>
    <cellStyle name="Normal 15 3 4 2" xfId="7554" xr:uid="{00000000-0005-0000-0000-000082050000}"/>
    <cellStyle name="Normal 15 3 5" xfId="3310" xr:uid="{00000000-0005-0000-0000-000083050000}"/>
    <cellStyle name="Normal 15 3 5 2" xfId="8602" xr:uid="{00000000-0005-0000-0000-000084050000}"/>
    <cellStyle name="Normal 15 3 6" xfId="4461" xr:uid="{00000000-0005-0000-0000-000085050000}"/>
    <cellStyle name="Normal 15 3 6 2" xfId="9749" xr:uid="{00000000-0005-0000-0000-000086050000}"/>
    <cellStyle name="Normal 15 3 7" xfId="6103" xr:uid="{00000000-0005-0000-0000-000087050000}"/>
    <cellStyle name="Normal 15 4" xfId="642" xr:uid="{00000000-0005-0000-0000-000088050000}"/>
    <cellStyle name="Normal 15 4 2" xfId="643" xr:uid="{00000000-0005-0000-0000-000089050000}"/>
    <cellStyle name="Normal 15 4 2 2" xfId="2701" xr:uid="{00000000-0005-0000-0000-00008A050000}"/>
    <cellStyle name="Normal 15 4 2 2 2" xfId="8054" xr:uid="{00000000-0005-0000-0000-00008B050000}"/>
    <cellStyle name="Normal 15 4 2 3" xfId="3811" xr:uid="{00000000-0005-0000-0000-00008C050000}"/>
    <cellStyle name="Normal 15 4 2 3 2" xfId="9102" xr:uid="{00000000-0005-0000-0000-00008D050000}"/>
    <cellStyle name="Normal 15 4 2 4" xfId="4464" xr:uid="{00000000-0005-0000-0000-00008E050000}"/>
    <cellStyle name="Normal 15 4 2 4 2" xfId="9752" xr:uid="{00000000-0005-0000-0000-00008F050000}"/>
    <cellStyle name="Normal 15 4 2 5" xfId="6106" xr:uid="{00000000-0005-0000-0000-000090050000}"/>
    <cellStyle name="Normal 15 4 3" xfId="1642" xr:uid="{00000000-0005-0000-0000-000091050000}"/>
    <cellStyle name="Normal 15 4 3 2" xfId="5416" xr:uid="{00000000-0005-0000-0000-000092050000}"/>
    <cellStyle name="Normal 15 4 3 2 2" xfId="10704" xr:uid="{00000000-0005-0000-0000-000093050000}"/>
    <cellStyle name="Normal 15 4 3 3" xfId="7058" xr:uid="{00000000-0005-0000-0000-000094050000}"/>
    <cellStyle name="Normal 15 4 4" xfId="2196" xr:uid="{00000000-0005-0000-0000-000095050000}"/>
    <cellStyle name="Normal 15 4 4 2" xfId="7555" xr:uid="{00000000-0005-0000-0000-000096050000}"/>
    <cellStyle name="Normal 15 4 5" xfId="3311" xr:uid="{00000000-0005-0000-0000-000097050000}"/>
    <cellStyle name="Normal 15 4 5 2" xfId="8603" xr:uid="{00000000-0005-0000-0000-000098050000}"/>
    <cellStyle name="Normal 15 4 6" xfId="4463" xr:uid="{00000000-0005-0000-0000-000099050000}"/>
    <cellStyle name="Normal 15 4 6 2" xfId="9751" xr:uid="{00000000-0005-0000-0000-00009A050000}"/>
    <cellStyle name="Normal 15 4 7" xfId="6105" xr:uid="{00000000-0005-0000-0000-00009B050000}"/>
    <cellStyle name="Normal 15 5" xfId="644" xr:uid="{00000000-0005-0000-0000-00009C050000}"/>
    <cellStyle name="Normal 15 5 2" xfId="2696" xr:uid="{00000000-0005-0000-0000-00009D050000}"/>
    <cellStyle name="Normal 15 5 2 2" xfId="8049" xr:uid="{00000000-0005-0000-0000-00009E050000}"/>
    <cellStyle name="Normal 15 5 3" xfId="3806" xr:uid="{00000000-0005-0000-0000-00009F050000}"/>
    <cellStyle name="Normal 15 5 3 2" xfId="9097" xr:uid="{00000000-0005-0000-0000-0000A0050000}"/>
    <cellStyle name="Normal 15 5 4" xfId="4465" xr:uid="{00000000-0005-0000-0000-0000A1050000}"/>
    <cellStyle name="Normal 15 5 4 2" xfId="9753" xr:uid="{00000000-0005-0000-0000-0000A2050000}"/>
    <cellStyle name="Normal 15 5 5" xfId="6107" xr:uid="{00000000-0005-0000-0000-0000A3050000}"/>
    <cellStyle name="Normal 15 6" xfId="1637" xr:uid="{00000000-0005-0000-0000-0000A4050000}"/>
    <cellStyle name="Normal 15 6 2" xfId="5411" xr:uid="{00000000-0005-0000-0000-0000A5050000}"/>
    <cellStyle name="Normal 15 6 2 2" xfId="10699" xr:uid="{00000000-0005-0000-0000-0000A6050000}"/>
    <cellStyle name="Normal 15 6 3" xfId="7053" xr:uid="{00000000-0005-0000-0000-0000A7050000}"/>
    <cellStyle name="Normal 15 7" xfId="2191" xr:uid="{00000000-0005-0000-0000-0000A8050000}"/>
    <cellStyle name="Normal 15 7 2" xfId="7550" xr:uid="{00000000-0005-0000-0000-0000A9050000}"/>
    <cellStyle name="Normal 15 8" xfId="3306" xr:uid="{00000000-0005-0000-0000-0000AA050000}"/>
    <cellStyle name="Normal 15 8 2" xfId="8598" xr:uid="{00000000-0005-0000-0000-0000AB050000}"/>
    <cellStyle name="Normal 15 9" xfId="4454" xr:uid="{00000000-0005-0000-0000-0000AC050000}"/>
    <cellStyle name="Normal 15 9 2" xfId="9742" xr:uid="{00000000-0005-0000-0000-0000AD050000}"/>
    <cellStyle name="Normal 16" xfId="645" xr:uid="{00000000-0005-0000-0000-0000AE050000}"/>
    <cellStyle name="Normal 16 2" xfId="646" xr:uid="{00000000-0005-0000-0000-0000AF050000}"/>
    <cellStyle name="Normal 16 2 2" xfId="2702" xr:uid="{00000000-0005-0000-0000-0000B0050000}"/>
    <cellStyle name="Normal 16 2 2 2" xfId="8055" xr:uid="{00000000-0005-0000-0000-0000B1050000}"/>
    <cellStyle name="Normal 16 2 3" xfId="3812" xr:uid="{00000000-0005-0000-0000-0000B2050000}"/>
    <cellStyle name="Normal 16 2 3 2" xfId="9103" xr:uid="{00000000-0005-0000-0000-0000B3050000}"/>
    <cellStyle name="Normal 16 2 4" xfId="4467" xr:uid="{00000000-0005-0000-0000-0000B4050000}"/>
    <cellStyle name="Normal 16 2 4 2" xfId="9755" xr:uid="{00000000-0005-0000-0000-0000B5050000}"/>
    <cellStyle name="Normal 16 2 5" xfId="6109" xr:uid="{00000000-0005-0000-0000-0000B6050000}"/>
    <cellStyle name="Normal 16 3" xfId="1643" xr:uid="{00000000-0005-0000-0000-0000B7050000}"/>
    <cellStyle name="Normal 16 3 2" xfId="5417" xr:uid="{00000000-0005-0000-0000-0000B8050000}"/>
    <cellStyle name="Normal 16 3 2 2" xfId="10705" xr:uid="{00000000-0005-0000-0000-0000B9050000}"/>
    <cellStyle name="Normal 16 3 3" xfId="7059" xr:uid="{00000000-0005-0000-0000-0000BA050000}"/>
    <cellStyle name="Normal 16 4" xfId="2197" xr:uid="{00000000-0005-0000-0000-0000BB050000}"/>
    <cellStyle name="Normal 16 4 2" xfId="7556" xr:uid="{00000000-0005-0000-0000-0000BC050000}"/>
    <cellStyle name="Normal 16 5" xfId="3312" xr:uid="{00000000-0005-0000-0000-0000BD050000}"/>
    <cellStyle name="Normal 16 5 2" xfId="8604" xr:uid="{00000000-0005-0000-0000-0000BE050000}"/>
    <cellStyle name="Normal 16 6" xfId="4466" xr:uid="{00000000-0005-0000-0000-0000BF050000}"/>
    <cellStyle name="Normal 16 6 2" xfId="9754" xr:uid="{00000000-0005-0000-0000-0000C0050000}"/>
    <cellStyle name="Normal 16 7" xfId="6108" xr:uid="{00000000-0005-0000-0000-0000C1050000}"/>
    <cellStyle name="Normal 17" xfId="647" xr:uid="{00000000-0005-0000-0000-0000C2050000}"/>
    <cellStyle name="Normal 17 2" xfId="648" xr:uid="{00000000-0005-0000-0000-0000C3050000}"/>
    <cellStyle name="Normal 17 2 2" xfId="2703" xr:uid="{00000000-0005-0000-0000-0000C4050000}"/>
    <cellStyle name="Normal 17 2 2 2" xfId="8056" xr:uid="{00000000-0005-0000-0000-0000C5050000}"/>
    <cellStyle name="Normal 17 2 3" xfId="3813" xr:uid="{00000000-0005-0000-0000-0000C6050000}"/>
    <cellStyle name="Normal 17 2 3 2" xfId="9104" xr:uid="{00000000-0005-0000-0000-0000C7050000}"/>
    <cellStyle name="Normal 17 2 4" xfId="4469" xr:uid="{00000000-0005-0000-0000-0000C8050000}"/>
    <cellStyle name="Normal 17 2 4 2" xfId="9757" xr:uid="{00000000-0005-0000-0000-0000C9050000}"/>
    <cellStyle name="Normal 17 2 5" xfId="6111" xr:uid="{00000000-0005-0000-0000-0000CA050000}"/>
    <cellStyle name="Normal 17 3" xfId="1644" xr:uid="{00000000-0005-0000-0000-0000CB050000}"/>
    <cellStyle name="Normal 17 3 2" xfId="5418" xr:uid="{00000000-0005-0000-0000-0000CC050000}"/>
    <cellStyle name="Normal 17 3 2 2" xfId="10706" xr:uid="{00000000-0005-0000-0000-0000CD050000}"/>
    <cellStyle name="Normal 17 3 3" xfId="7060" xr:uid="{00000000-0005-0000-0000-0000CE050000}"/>
    <cellStyle name="Normal 17 4" xfId="2198" xr:uid="{00000000-0005-0000-0000-0000CF050000}"/>
    <cellStyle name="Normal 17 4 2" xfId="7557" xr:uid="{00000000-0005-0000-0000-0000D0050000}"/>
    <cellStyle name="Normal 17 5" xfId="3313" xr:uid="{00000000-0005-0000-0000-0000D1050000}"/>
    <cellStyle name="Normal 17 5 2" xfId="8605" xr:uid="{00000000-0005-0000-0000-0000D2050000}"/>
    <cellStyle name="Normal 17 6" xfId="4468" xr:uid="{00000000-0005-0000-0000-0000D3050000}"/>
    <cellStyle name="Normal 17 6 2" xfId="9756" xr:uid="{00000000-0005-0000-0000-0000D4050000}"/>
    <cellStyle name="Normal 17 7" xfId="6110" xr:uid="{00000000-0005-0000-0000-0000D5050000}"/>
    <cellStyle name="Normal 18" xfId="649" xr:uid="{00000000-0005-0000-0000-0000D6050000}"/>
    <cellStyle name="Normal 19" xfId="650" xr:uid="{00000000-0005-0000-0000-0000D7050000}"/>
    <cellStyle name="Normal 2" xfId="3" xr:uid="{00000000-0005-0000-0000-0000D8050000}"/>
    <cellStyle name="Normal 2 10" xfId="136" xr:uid="{00000000-0005-0000-0000-0000D9050000}"/>
    <cellStyle name="Normal 2 10 2" xfId="4313" xr:uid="{00000000-0005-0000-0000-0000DA050000}"/>
    <cellStyle name="Normal 2 10 2 2" xfId="9601" xr:uid="{00000000-0005-0000-0000-0000DB050000}"/>
    <cellStyle name="Normal 2 10 3" xfId="5950" xr:uid="{00000000-0005-0000-0000-0000DC050000}"/>
    <cellStyle name="Normal 2 11" xfId="1645" xr:uid="{00000000-0005-0000-0000-0000DD050000}"/>
    <cellStyle name="Normal 2 12" xfId="2123" xr:uid="{00000000-0005-0000-0000-0000DE050000}"/>
    <cellStyle name="Normal 2 12 2" xfId="5866" xr:uid="{00000000-0005-0000-0000-0000DF050000}"/>
    <cellStyle name="Normal 2 12 2 2" xfId="11153" xr:uid="{00000000-0005-0000-0000-0000E0050000}"/>
    <cellStyle name="Normal 2 13" xfId="3154" xr:uid="{00000000-0005-0000-0000-0000E1050000}"/>
    <cellStyle name="Normal 2 13 2" xfId="8505" xr:uid="{00000000-0005-0000-0000-0000E2050000}"/>
    <cellStyle name="Normal 2 14" xfId="3225" xr:uid="{00000000-0005-0000-0000-0000E3050000}"/>
    <cellStyle name="Normal 2 14 2" xfId="8522" xr:uid="{00000000-0005-0000-0000-0000E4050000}"/>
    <cellStyle name="Normal 2 15" xfId="3243" xr:uid="{00000000-0005-0000-0000-0000E5050000}"/>
    <cellStyle name="Normal 2 15 2" xfId="8539" xr:uid="{00000000-0005-0000-0000-0000E6050000}"/>
    <cellStyle name="Normal 2 16" xfId="4265" xr:uid="{00000000-0005-0000-0000-0000E7050000}"/>
    <cellStyle name="Normal 2 16 2" xfId="9553" xr:uid="{00000000-0005-0000-0000-0000E8050000}"/>
    <cellStyle name="Normal 2 17" xfId="5901" xr:uid="{00000000-0005-0000-0000-0000E9050000}"/>
    <cellStyle name="Normal 2 2" xfId="7" xr:uid="{00000000-0005-0000-0000-0000EA050000}"/>
    <cellStyle name="Normal 2 2 2" xfId="2108" xr:uid="{00000000-0005-0000-0000-0000EB050000}"/>
    <cellStyle name="Normal 2 2 2 2" xfId="3184" xr:uid="{00000000-0005-0000-0000-0000EC050000}"/>
    <cellStyle name="Normal 2 2 3" xfId="1646" xr:uid="{00000000-0005-0000-0000-0000ED050000}"/>
    <cellStyle name="Normal 2 2 3 2" xfId="3185" xr:uid="{00000000-0005-0000-0000-0000EE050000}"/>
    <cellStyle name="Normal 2 2 4" xfId="3183" xr:uid="{00000000-0005-0000-0000-0000EF050000}"/>
    <cellStyle name="Normal 2 3" xfId="15" xr:uid="{00000000-0005-0000-0000-0000F0050000}"/>
    <cellStyle name="Normal 2 3 10" xfId="3228" xr:uid="{00000000-0005-0000-0000-0000F1050000}"/>
    <cellStyle name="Normal 2 3 10 2" xfId="8525" xr:uid="{00000000-0005-0000-0000-0000F2050000}"/>
    <cellStyle name="Normal 2 3 11" xfId="3246" xr:uid="{00000000-0005-0000-0000-0000F3050000}"/>
    <cellStyle name="Normal 2 3 11 2" xfId="8542" xr:uid="{00000000-0005-0000-0000-0000F4050000}"/>
    <cellStyle name="Normal 2 3 12" xfId="4266" xr:uid="{00000000-0005-0000-0000-0000F5050000}"/>
    <cellStyle name="Normal 2 3 12 2" xfId="9554" xr:uid="{00000000-0005-0000-0000-0000F6050000}"/>
    <cellStyle name="Normal 2 3 13" xfId="5902" xr:uid="{00000000-0005-0000-0000-0000F7050000}"/>
    <cellStyle name="Normal 2 3 2" xfId="16" xr:uid="{00000000-0005-0000-0000-0000F8050000}"/>
    <cellStyle name="Normal 2 3 2 2" xfId="103" xr:uid="{00000000-0005-0000-0000-0000F9050000}"/>
    <cellStyle name="Normal 2 3 2 2 2" xfId="106" xr:uid="{00000000-0005-0000-0000-0000FA050000}"/>
    <cellStyle name="Normal 2 3 2 2 2 2" xfId="130" xr:uid="{00000000-0005-0000-0000-0000FB050000}"/>
    <cellStyle name="Normal 2 3 2 2 2 2 2" xfId="178" xr:uid="{00000000-0005-0000-0000-0000FC050000}"/>
    <cellStyle name="Normal 2 3 2 2 2 2 2 2" xfId="4355" xr:uid="{00000000-0005-0000-0000-0000FD050000}"/>
    <cellStyle name="Normal 2 3 2 2 2 2 2 2 2" xfId="9643" xr:uid="{00000000-0005-0000-0000-0000FE050000}"/>
    <cellStyle name="Normal 2 3 2 2 2 2 2 3" xfId="5992" xr:uid="{00000000-0005-0000-0000-0000FF050000}"/>
    <cellStyle name="Normal 2 3 2 2 2 2 3" xfId="4307" xr:uid="{00000000-0005-0000-0000-000000060000}"/>
    <cellStyle name="Normal 2 3 2 2 2 2 3 2" xfId="9595" xr:uid="{00000000-0005-0000-0000-000001060000}"/>
    <cellStyle name="Normal 2 3 2 2 2 2 4" xfId="5944" xr:uid="{00000000-0005-0000-0000-000002060000}"/>
    <cellStyle name="Normal 2 3 2 2 2 3" xfId="154" xr:uid="{00000000-0005-0000-0000-000003060000}"/>
    <cellStyle name="Normal 2 3 2 2 2 3 2" xfId="4331" xr:uid="{00000000-0005-0000-0000-000004060000}"/>
    <cellStyle name="Normal 2 3 2 2 2 3 2 2" xfId="9619" xr:uid="{00000000-0005-0000-0000-000005060000}"/>
    <cellStyle name="Normal 2 3 2 2 2 3 3" xfId="5968" xr:uid="{00000000-0005-0000-0000-000006060000}"/>
    <cellStyle name="Normal 2 3 2 2 2 4" xfId="4283" xr:uid="{00000000-0005-0000-0000-000007060000}"/>
    <cellStyle name="Normal 2 3 2 2 2 4 2" xfId="9571" xr:uid="{00000000-0005-0000-0000-000008060000}"/>
    <cellStyle name="Normal 2 3 2 2 2 5" xfId="5920" xr:uid="{00000000-0005-0000-0000-000009060000}"/>
    <cellStyle name="Normal 2 3 2 2 3" xfId="127" xr:uid="{00000000-0005-0000-0000-00000A060000}"/>
    <cellStyle name="Normal 2 3 2 2 3 2" xfId="175" xr:uid="{00000000-0005-0000-0000-00000B060000}"/>
    <cellStyle name="Normal 2 3 2 2 3 2 2" xfId="4352" xr:uid="{00000000-0005-0000-0000-00000C060000}"/>
    <cellStyle name="Normal 2 3 2 2 3 2 2 2" xfId="9640" xr:uid="{00000000-0005-0000-0000-00000D060000}"/>
    <cellStyle name="Normal 2 3 2 2 3 2 3" xfId="5989" xr:uid="{00000000-0005-0000-0000-00000E060000}"/>
    <cellStyle name="Normal 2 3 2 2 3 3" xfId="4304" xr:uid="{00000000-0005-0000-0000-00000F060000}"/>
    <cellStyle name="Normal 2 3 2 2 3 3 2" xfId="9592" xr:uid="{00000000-0005-0000-0000-000010060000}"/>
    <cellStyle name="Normal 2 3 2 2 3 4" xfId="5941" xr:uid="{00000000-0005-0000-0000-000011060000}"/>
    <cellStyle name="Normal 2 3 2 2 4" xfId="151" xr:uid="{00000000-0005-0000-0000-000012060000}"/>
    <cellStyle name="Normal 2 3 2 2 4 2" xfId="4328" xr:uid="{00000000-0005-0000-0000-000013060000}"/>
    <cellStyle name="Normal 2 3 2 2 4 2 2" xfId="9616" xr:uid="{00000000-0005-0000-0000-000014060000}"/>
    <cellStyle name="Normal 2 3 2 2 4 3" xfId="5965" xr:uid="{00000000-0005-0000-0000-000015060000}"/>
    <cellStyle name="Normal 2 3 2 2 5" xfId="4280" xr:uid="{00000000-0005-0000-0000-000016060000}"/>
    <cellStyle name="Normal 2 3 2 2 5 2" xfId="9568" xr:uid="{00000000-0005-0000-0000-000017060000}"/>
    <cellStyle name="Normal 2 3 2 2 6" xfId="5917" xr:uid="{00000000-0005-0000-0000-000018060000}"/>
    <cellStyle name="Normal 2 3 2 3" xfId="97" xr:uid="{00000000-0005-0000-0000-000019060000}"/>
    <cellStyle name="Normal 2 3 2 3 2" xfId="121" xr:uid="{00000000-0005-0000-0000-00001A060000}"/>
    <cellStyle name="Normal 2 3 2 3 2 2" xfId="169" xr:uid="{00000000-0005-0000-0000-00001B060000}"/>
    <cellStyle name="Normal 2 3 2 3 2 2 2" xfId="4346" xr:uid="{00000000-0005-0000-0000-00001C060000}"/>
    <cellStyle name="Normal 2 3 2 3 2 2 2 2" xfId="9634" xr:uid="{00000000-0005-0000-0000-00001D060000}"/>
    <cellStyle name="Normal 2 3 2 3 2 2 3" xfId="5983" xr:uid="{00000000-0005-0000-0000-00001E060000}"/>
    <cellStyle name="Normal 2 3 2 3 2 3" xfId="4298" xr:uid="{00000000-0005-0000-0000-00001F060000}"/>
    <cellStyle name="Normal 2 3 2 3 2 3 2" xfId="9586" xr:uid="{00000000-0005-0000-0000-000020060000}"/>
    <cellStyle name="Normal 2 3 2 3 2 4" xfId="5935" xr:uid="{00000000-0005-0000-0000-000021060000}"/>
    <cellStyle name="Normal 2 3 2 3 3" xfId="145" xr:uid="{00000000-0005-0000-0000-000022060000}"/>
    <cellStyle name="Normal 2 3 2 3 3 2" xfId="4322" xr:uid="{00000000-0005-0000-0000-000023060000}"/>
    <cellStyle name="Normal 2 3 2 3 3 2 2" xfId="9610" xr:uid="{00000000-0005-0000-0000-000024060000}"/>
    <cellStyle name="Normal 2 3 2 3 3 3" xfId="5959" xr:uid="{00000000-0005-0000-0000-000025060000}"/>
    <cellStyle name="Normal 2 3 2 3 4" xfId="4274" xr:uid="{00000000-0005-0000-0000-000026060000}"/>
    <cellStyle name="Normal 2 3 2 3 4 2" xfId="9562" xr:uid="{00000000-0005-0000-0000-000027060000}"/>
    <cellStyle name="Normal 2 3 2 3 5" xfId="5911" xr:uid="{00000000-0005-0000-0000-000028060000}"/>
    <cellStyle name="Normal 2 3 2 4" xfId="114" xr:uid="{00000000-0005-0000-0000-000029060000}"/>
    <cellStyle name="Normal 2 3 2 4 2" xfId="162" xr:uid="{00000000-0005-0000-0000-00002A060000}"/>
    <cellStyle name="Normal 2 3 2 4 2 2" xfId="4339" xr:uid="{00000000-0005-0000-0000-00002B060000}"/>
    <cellStyle name="Normal 2 3 2 4 2 2 2" xfId="9627" xr:uid="{00000000-0005-0000-0000-00002C060000}"/>
    <cellStyle name="Normal 2 3 2 4 2 3" xfId="5976" xr:uid="{00000000-0005-0000-0000-00002D060000}"/>
    <cellStyle name="Normal 2 3 2 4 3" xfId="4291" xr:uid="{00000000-0005-0000-0000-00002E060000}"/>
    <cellStyle name="Normal 2 3 2 4 3 2" xfId="9579" xr:uid="{00000000-0005-0000-0000-00002F060000}"/>
    <cellStyle name="Normal 2 3 2 4 4" xfId="5928" xr:uid="{00000000-0005-0000-0000-000030060000}"/>
    <cellStyle name="Normal 2 3 2 5" xfId="138" xr:uid="{00000000-0005-0000-0000-000031060000}"/>
    <cellStyle name="Normal 2 3 2 5 2" xfId="4315" xr:uid="{00000000-0005-0000-0000-000032060000}"/>
    <cellStyle name="Normal 2 3 2 5 2 2" xfId="9603" xr:uid="{00000000-0005-0000-0000-000033060000}"/>
    <cellStyle name="Normal 2 3 2 5 3" xfId="5952" xr:uid="{00000000-0005-0000-0000-000034060000}"/>
    <cellStyle name="Normal 2 3 2 6" xfId="4267" xr:uid="{00000000-0005-0000-0000-000035060000}"/>
    <cellStyle name="Normal 2 3 2 6 2" xfId="9555" xr:uid="{00000000-0005-0000-0000-000036060000}"/>
    <cellStyle name="Normal 2 3 2 7" xfId="5903" xr:uid="{00000000-0005-0000-0000-000037060000}"/>
    <cellStyle name="Normal 2 3 3" xfId="17" xr:uid="{00000000-0005-0000-0000-000038060000}"/>
    <cellStyle name="Normal 2 3 3 2" xfId="105" xr:uid="{00000000-0005-0000-0000-000039060000}"/>
    <cellStyle name="Normal 2 3 3 2 2" xfId="107" xr:uid="{00000000-0005-0000-0000-00003A060000}"/>
    <cellStyle name="Normal 2 3 3 2 2 2" xfId="131" xr:uid="{00000000-0005-0000-0000-00003B060000}"/>
    <cellStyle name="Normal 2 3 3 2 2 2 2" xfId="179" xr:uid="{00000000-0005-0000-0000-00003C060000}"/>
    <cellStyle name="Normal 2 3 3 2 2 2 2 2" xfId="4356" xr:uid="{00000000-0005-0000-0000-00003D060000}"/>
    <cellStyle name="Normal 2 3 3 2 2 2 2 2 2" xfId="9644" xr:uid="{00000000-0005-0000-0000-00003E060000}"/>
    <cellStyle name="Normal 2 3 3 2 2 2 2 3" xfId="5993" xr:uid="{00000000-0005-0000-0000-00003F060000}"/>
    <cellStyle name="Normal 2 3 3 2 2 2 3" xfId="4308" xr:uid="{00000000-0005-0000-0000-000040060000}"/>
    <cellStyle name="Normal 2 3 3 2 2 2 3 2" xfId="9596" xr:uid="{00000000-0005-0000-0000-000041060000}"/>
    <cellStyle name="Normal 2 3 3 2 2 2 4" xfId="5945" xr:uid="{00000000-0005-0000-0000-000042060000}"/>
    <cellStyle name="Normal 2 3 3 2 2 3" xfId="155" xr:uid="{00000000-0005-0000-0000-000043060000}"/>
    <cellStyle name="Normal 2 3 3 2 2 3 2" xfId="4332" xr:uid="{00000000-0005-0000-0000-000044060000}"/>
    <cellStyle name="Normal 2 3 3 2 2 3 2 2" xfId="9620" xr:uid="{00000000-0005-0000-0000-000045060000}"/>
    <cellStyle name="Normal 2 3 3 2 2 3 3" xfId="5969" xr:uid="{00000000-0005-0000-0000-000046060000}"/>
    <cellStyle name="Normal 2 3 3 2 2 4" xfId="4284" xr:uid="{00000000-0005-0000-0000-000047060000}"/>
    <cellStyle name="Normal 2 3 3 2 2 4 2" xfId="9572" xr:uid="{00000000-0005-0000-0000-000048060000}"/>
    <cellStyle name="Normal 2 3 3 2 2 5" xfId="5921" xr:uid="{00000000-0005-0000-0000-000049060000}"/>
    <cellStyle name="Normal 2 3 3 2 3" xfId="129" xr:uid="{00000000-0005-0000-0000-00004A060000}"/>
    <cellStyle name="Normal 2 3 3 2 3 2" xfId="177" xr:uid="{00000000-0005-0000-0000-00004B060000}"/>
    <cellStyle name="Normal 2 3 3 2 3 2 2" xfId="4354" xr:uid="{00000000-0005-0000-0000-00004C060000}"/>
    <cellStyle name="Normal 2 3 3 2 3 2 2 2" xfId="9642" xr:uid="{00000000-0005-0000-0000-00004D060000}"/>
    <cellStyle name="Normal 2 3 3 2 3 2 3" xfId="5991" xr:uid="{00000000-0005-0000-0000-00004E060000}"/>
    <cellStyle name="Normal 2 3 3 2 3 3" xfId="4306" xr:uid="{00000000-0005-0000-0000-00004F060000}"/>
    <cellStyle name="Normal 2 3 3 2 3 3 2" xfId="9594" xr:uid="{00000000-0005-0000-0000-000050060000}"/>
    <cellStyle name="Normal 2 3 3 2 3 4" xfId="5943" xr:uid="{00000000-0005-0000-0000-000051060000}"/>
    <cellStyle name="Normal 2 3 3 2 4" xfId="153" xr:uid="{00000000-0005-0000-0000-000052060000}"/>
    <cellStyle name="Normal 2 3 3 2 4 2" xfId="4330" xr:uid="{00000000-0005-0000-0000-000053060000}"/>
    <cellStyle name="Normal 2 3 3 2 4 2 2" xfId="9618" xr:uid="{00000000-0005-0000-0000-000054060000}"/>
    <cellStyle name="Normal 2 3 3 2 4 3" xfId="5967" xr:uid="{00000000-0005-0000-0000-000055060000}"/>
    <cellStyle name="Normal 2 3 3 2 5" xfId="4282" xr:uid="{00000000-0005-0000-0000-000056060000}"/>
    <cellStyle name="Normal 2 3 3 2 5 2" xfId="9570" xr:uid="{00000000-0005-0000-0000-000057060000}"/>
    <cellStyle name="Normal 2 3 3 2 6" xfId="5919" xr:uid="{00000000-0005-0000-0000-000058060000}"/>
    <cellStyle name="Normal 2 3 3 3" xfId="99" xr:uid="{00000000-0005-0000-0000-000059060000}"/>
    <cellStyle name="Normal 2 3 3 3 2" xfId="123" xr:uid="{00000000-0005-0000-0000-00005A060000}"/>
    <cellStyle name="Normal 2 3 3 3 2 2" xfId="171" xr:uid="{00000000-0005-0000-0000-00005B060000}"/>
    <cellStyle name="Normal 2 3 3 3 2 2 2" xfId="4348" xr:uid="{00000000-0005-0000-0000-00005C060000}"/>
    <cellStyle name="Normal 2 3 3 3 2 2 2 2" xfId="9636" xr:uid="{00000000-0005-0000-0000-00005D060000}"/>
    <cellStyle name="Normal 2 3 3 3 2 2 3" xfId="5985" xr:uid="{00000000-0005-0000-0000-00005E060000}"/>
    <cellStyle name="Normal 2 3 3 3 2 3" xfId="4300" xr:uid="{00000000-0005-0000-0000-00005F060000}"/>
    <cellStyle name="Normal 2 3 3 3 2 3 2" xfId="9588" xr:uid="{00000000-0005-0000-0000-000060060000}"/>
    <cellStyle name="Normal 2 3 3 3 2 4" xfId="5937" xr:uid="{00000000-0005-0000-0000-000061060000}"/>
    <cellStyle name="Normal 2 3 3 3 3" xfId="147" xr:uid="{00000000-0005-0000-0000-000062060000}"/>
    <cellStyle name="Normal 2 3 3 3 3 2" xfId="4324" xr:uid="{00000000-0005-0000-0000-000063060000}"/>
    <cellStyle name="Normal 2 3 3 3 3 2 2" xfId="9612" xr:uid="{00000000-0005-0000-0000-000064060000}"/>
    <cellStyle name="Normal 2 3 3 3 3 3" xfId="5961" xr:uid="{00000000-0005-0000-0000-000065060000}"/>
    <cellStyle name="Normal 2 3 3 3 4" xfId="4276" xr:uid="{00000000-0005-0000-0000-000066060000}"/>
    <cellStyle name="Normal 2 3 3 3 4 2" xfId="9564" xr:uid="{00000000-0005-0000-0000-000067060000}"/>
    <cellStyle name="Normal 2 3 3 3 5" xfId="5913" xr:uid="{00000000-0005-0000-0000-000068060000}"/>
    <cellStyle name="Normal 2 3 3 4" xfId="115" xr:uid="{00000000-0005-0000-0000-000069060000}"/>
    <cellStyle name="Normal 2 3 3 4 2" xfId="163" xr:uid="{00000000-0005-0000-0000-00006A060000}"/>
    <cellStyle name="Normal 2 3 3 4 2 2" xfId="4340" xr:uid="{00000000-0005-0000-0000-00006B060000}"/>
    <cellStyle name="Normal 2 3 3 4 2 2 2" xfId="9628" xr:uid="{00000000-0005-0000-0000-00006C060000}"/>
    <cellStyle name="Normal 2 3 3 4 2 3" xfId="5977" xr:uid="{00000000-0005-0000-0000-00006D060000}"/>
    <cellStyle name="Normal 2 3 3 4 3" xfId="4292" xr:uid="{00000000-0005-0000-0000-00006E060000}"/>
    <cellStyle name="Normal 2 3 3 4 3 2" xfId="9580" xr:uid="{00000000-0005-0000-0000-00006F060000}"/>
    <cellStyle name="Normal 2 3 3 4 4" xfId="5929" xr:uid="{00000000-0005-0000-0000-000070060000}"/>
    <cellStyle name="Normal 2 3 3 5" xfId="139" xr:uid="{00000000-0005-0000-0000-000071060000}"/>
    <cellStyle name="Normal 2 3 3 5 2" xfId="4316" xr:uid="{00000000-0005-0000-0000-000072060000}"/>
    <cellStyle name="Normal 2 3 3 5 2 2" xfId="9604" xr:uid="{00000000-0005-0000-0000-000073060000}"/>
    <cellStyle name="Normal 2 3 3 5 3" xfId="5953" xr:uid="{00000000-0005-0000-0000-000074060000}"/>
    <cellStyle name="Normal 2 3 3 6" xfId="4268" xr:uid="{00000000-0005-0000-0000-000075060000}"/>
    <cellStyle name="Normal 2 3 3 6 2" xfId="9556" xr:uid="{00000000-0005-0000-0000-000076060000}"/>
    <cellStyle name="Normal 2 3 3 7" xfId="5904" xr:uid="{00000000-0005-0000-0000-000077060000}"/>
    <cellStyle name="Normal 2 3 4" xfId="101" xr:uid="{00000000-0005-0000-0000-000078060000}"/>
    <cellStyle name="Normal 2 3 4 2" xfId="108" xr:uid="{00000000-0005-0000-0000-000079060000}"/>
    <cellStyle name="Normal 2 3 4 2 2" xfId="132" xr:uid="{00000000-0005-0000-0000-00007A060000}"/>
    <cellStyle name="Normal 2 3 4 2 2 2" xfId="180" xr:uid="{00000000-0005-0000-0000-00007B060000}"/>
    <cellStyle name="Normal 2 3 4 2 2 2 2" xfId="4357" xr:uid="{00000000-0005-0000-0000-00007C060000}"/>
    <cellStyle name="Normal 2 3 4 2 2 2 2 2" xfId="9645" xr:uid="{00000000-0005-0000-0000-00007D060000}"/>
    <cellStyle name="Normal 2 3 4 2 2 2 3" xfId="5994" xr:uid="{00000000-0005-0000-0000-00007E060000}"/>
    <cellStyle name="Normal 2 3 4 2 2 3" xfId="4309" xr:uid="{00000000-0005-0000-0000-00007F060000}"/>
    <cellStyle name="Normal 2 3 4 2 2 3 2" xfId="9597" xr:uid="{00000000-0005-0000-0000-000080060000}"/>
    <cellStyle name="Normal 2 3 4 2 2 4" xfId="5946" xr:uid="{00000000-0005-0000-0000-000081060000}"/>
    <cellStyle name="Normal 2 3 4 2 3" xfId="156" xr:uid="{00000000-0005-0000-0000-000082060000}"/>
    <cellStyle name="Normal 2 3 4 2 3 2" xfId="4333" xr:uid="{00000000-0005-0000-0000-000083060000}"/>
    <cellStyle name="Normal 2 3 4 2 3 2 2" xfId="9621" xr:uid="{00000000-0005-0000-0000-000084060000}"/>
    <cellStyle name="Normal 2 3 4 2 3 3" xfId="5970" xr:uid="{00000000-0005-0000-0000-000085060000}"/>
    <cellStyle name="Normal 2 3 4 2 4" xfId="4285" xr:uid="{00000000-0005-0000-0000-000086060000}"/>
    <cellStyle name="Normal 2 3 4 2 4 2" xfId="9573" xr:uid="{00000000-0005-0000-0000-000087060000}"/>
    <cellStyle name="Normal 2 3 4 2 5" xfId="5922" xr:uid="{00000000-0005-0000-0000-000088060000}"/>
    <cellStyle name="Normal 2 3 4 3" xfId="125" xr:uid="{00000000-0005-0000-0000-000089060000}"/>
    <cellStyle name="Normal 2 3 4 3 2" xfId="173" xr:uid="{00000000-0005-0000-0000-00008A060000}"/>
    <cellStyle name="Normal 2 3 4 3 2 2" xfId="4350" xr:uid="{00000000-0005-0000-0000-00008B060000}"/>
    <cellStyle name="Normal 2 3 4 3 2 2 2" xfId="9638" xr:uid="{00000000-0005-0000-0000-00008C060000}"/>
    <cellStyle name="Normal 2 3 4 3 2 3" xfId="5987" xr:uid="{00000000-0005-0000-0000-00008D060000}"/>
    <cellStyle name="Normal 2 3 4 3 3" xfId="4302" xr:uid="{00000000-0005-0000-0000-00008E060000}"/>
    <cellStyle name="Normal 2 3 4 3 3 2" xfId="9590" xr:uid="{00000000-0005-0000-0000-00008F060000}"/>
    <cellStyle name="Normal 2 3 4 3 4" xfId="5939" xr:uid="{00000000-0005-0000-0000-000090060000}"/>
    <cellStyle name="Normal 2 3 4 4" xfId="149" xr:uid="{00000000-0005-0000-0000-000091060000}"/>
    <cellStyle name="Normal 2 3 4 4 2" xfId="4326" xr:uid="{00000000-0005-0000-0000-000092060000}"/>
    <cellStyle name="Normal 2 3 4 4 2 2" xfId="9614" xr:uid="{00000000-0005-0000-0000-000093060000}"/>
    <cellStyle name="Normal 2 3 4 4 3" xfId="5963" xr:uid="{00000000-0005-0000-0000-000094060000}"/>
    <cellStyle name="Normal 2 3 4 5" xfId="4278" xr:uid="{00000000-0005-0000-0000-000095060000}"/>
    <cellStyle name="Normal 2 3 4 5 2" xfId="9566" xr:uid="{00000000-0005-0000-0000-000096060000}"/>
    <cellStyle name="Normal 2 3 4 6" xfId="5915" xr:uid="{00000000-0005-0000-0000-000097060000}"/>
    <cellStyle name="Normal 2 3 5" xfId="95" xr:uid="{00000000-0005-0000-0000-000098060000}"/>
    <cellStyle name="Normal 2 3 5 2" xfId="119" xr:uid="{00000000-0005-0000-0000-000099060000}"/>
    <cellStyle name="Normal 2 3 5 2 2" xfId="167" xr:uid="{00000000-0005-0000-0000-00009A060000}"/>
    <cellStyle name="Normal 2 3 5 2 2 2" xfId="4344" xr:uid="{00000000-0005-0000-0000-00009B060000}"/>
    <cellStyle name="Normal 2 3 5 2 2 2 2" xfId="9632" xr:uid="{00000000-0005-0000-0000-00009C060000}"/>
    <cellStyle name="Normal 2 3 5 2 2 3" xfId="5981" xr:uid="{00000000-0005-0000-0000-00009D060000}"/>
    <cellStyle name="Normal 2 3 5 2 3" xfId="4296" xr:uid="{00000000-0005-0000-0000-00009E060000}"/>
    <cellStyle name="Normal 2 3 5 2 3 2" xfId="9584" xr:uid="{00000000-0005-0000-0000-00009F060000}"/>
    <cellStyle name="Normal 2 3 5 2 4" xfId="5933" xr:uid="{00000000-0005-0000-0000-0000A0060000}"/>
    <cellStyle name="Normal 2 3 5 3" xfId="143" xr:uid="{00000000-0005-0000-0000-0000A1060000}"/>
    <cellStyle name="Normal 2 3 5 3 2" xfId="4320" xr:uid="{00000000-0005-0000-0000-0000A2060000}"/>
    <cellStyle name="Normal 2 3 5 3 2 2" xfId="9608" xr:uid="{00000000-0005-0000-0000-0000A3060000}"/>
    <cellStyle name="Normal 2 3 5 3 3" xfId="5957" xr:uid="{00000000-0005-0000-0000-0000A4060000}"/>
    <cellStyle name="Normal 2 3 5 4" xfId="4272" xr:uid="{00000000-0005-0000-0000-0000A5060000}"/>
    <cellStyle name="Normal 2 3 5 4 2" xfId="9560" xr:uid="{00000000-0005-0000-0000-0000A6060000}"/>
    <cellStyle name="Normal 2 3 5 5" xfId="5909" xr:uid="{00000000-0005-0000-0000-0000A7060000}"/>
    <cellStyle name="Normal 2 3 6" xfId="113" xr:uid="{00000000-0005-0000-0000-0000A8060000}"/>
    <cellStyle name="Normal 2 3 6 2" xfId="161" xr:uid="{00000000-0005-0000-0000-0000A9060000}"/>
    <cellStyle name="Normal 2 3 6 2 2" xfId="4338" xr:uid="{00000000-0005-0000-0000-0000AA060000}"/>
    <cellStyle name="Normal 2 3 6 2 2 2" xfId="9626" xr:uid="{00000000-0005-0000-0000-0000AB060000}"/>
    <cellStyle name="Normal 2 3 6 2 3" xfId="5975" xr:uid="{00000000-0005-0000-0000-0000AC060000}"/>
    <cellStyle name="Normal 2 3 6 3" xfId="4290" xr:uid="{00000000-0005-0000-0000-0000AD060000}"/>
    <cellStyle name="Normal 2 3 6 3 2" xfId="9578" xr:uid="{00000000-0005-0000-0000-0000AE060000}"/>
    <cellStyle name="Normal 2 3 6 4" xfId="5927" xr:uid="{00000000-0005-0000-0000-0000AF060000}"/>
    <cellStyle name="Normal 2 3 7" xfId="137" xr:uid="{00000000-0005-0000-0000-0000B0060000}"/>
    <cellStyle name="Normal 2 3 7 2" xfId="4314" xr:uid="{00000000-0005-0000-0000-0000B1060000}"/>
    <cellStyle name="Normal 2 3 7 2 2" xfId="9602" xr:uid="{00000000-0005-0000-0000-0000B2060000}"/>
    <cellStyle name="Normal 2 3 7 3" xfId="5951" xr:uid="{00000000-0005-0000-0000-0000B3060000}"/>
    <cellStyle name="Normal 2 3 8" xfId="1647" xr:uid="{00000000-0005-0000-0000-0000B4060000}"/>
    <cellStyle name="Normal 2 3 9" xfId="3186" xr:uid="{00000000-0005-0000-0000-0000B5060000}"/>
    <cellStyle name="Normal 2 3 9 2" xfId="5871" xr:uid="{00000000-0005-0000-0000-0000B6060000}"/>
    <cellStyle name="Normal 2 3 9 2 2" xfId="11156" xr:uid="{00000000-0005-0000-0000-0000B7060000}"/>
    <cellStyle name="Normal 2 3 9 3" xfId="8508" xr:uid="{00000000-0005-0000-0000-0000B8060000}"/>
    <cellStyle name="Normal 2 4" xfId="18" xr:uid="{00000000-0005-0000-0000-0000B9060000}"/>
    <cellStyle name="Normal 2 4 2" xfId="102" xr:uid="{00000000-0005-0000-0000-0000BA060000}"/>
    <cellStyle name="Normal 2 4 2 2" xfId="109" xr:uid="{00000000-0005-0000-0000-0000BB060000}"/>
    <cellStyle name="Normal 2 4 2 2 2" xfId="133" xr:uid="{00000000-0005-0000-0000-0000BC060000}"/>
    <cellStyle name="Normal 2 4 2 2 2 2" xfId="181" xr:uid="{00000000-0005-0000-0000-0000BD060000}"/>
    <cellStyle name="Normal 2 4 2 2 2 2 2" xfId="4358" xr:uid="{00000000-0005-0000-0000-0000BE060000}"/>
    <cellStyle name="Normal 2 4 2 2 2 2 2 2" xfId="9646" xr:uid="{00000000-0005-0000-0000-0000BF060000}"/>
    <cellStyle name="Normal 2 4 2 2 2 2 3" xfId="5995" xr:uid="{00000000-0005-0000-0000-0000C0060000}"/>
    <cellStyle name="Normal 2 4 2 2 2 3" xfId="4310" xr:uid="{00000000-0005-0000-0000-0000C1060000}"/>
    <cellStyle name="Normal 2 4 2 2 2 3 2" xfId="9598" xr:uid="{00000000-0005-0000-0000-0000C2060000}"/>
    <cellStyle name="Normal 2 4 2 2 2 4" xfId="5947" xr:uid="{00000000-0005-0000-0000-0000C3060000}"/>
    <cellStyle name="Normal 2 4 2 2 3" xfId="157" xr:uid="{00000000-0005-0000-0000-0000C4060000}"/>
    <cellStyle name="Normal 2 4 2 2 3 2" xfId="4334" xr:uid="{00000000-0005-0000-0000-0000C5060000}"/>
    <cellStyle name="Normal 2 4 2 2 3 2 2" xfId="9622" xr:uid="{00000000-0005-0000-0000-0000C6060000}"/>
    <cellStyle name="Normal 2 4 2 2 3 3" xfId="5971" xr:uid="{00000000-0005-0000-0000-0000C7060000}"/>
    <cellStyle name="Normal 2 4 2 2 4" xfId="4286" xr:uid="{00000000-0005-0000-0000-0000C8060000}"/>
    <cellStyle name="Normal 2 4 2 2 4 2" xfId="9574" xr:uid="{00000000-0005-0000-0000-0000C9060000}"/>
    <cellStyle name="Normal 2 4 2 2 5" xfId="5923" xr:uid="{00000000-0005-0000-0000-0000CA060000}"/>
    <cellStyle name="Normal 2 4 2 3" xfId="126" xr:uid="{00000000-0005-0000-0000-0000CB060000}"/>
    <cellStyle name="Normal 2 4 2 3 2" xfId="174" xr:uid="{00000000-0005-0000-0000-0000CC060000}"/>
    <cellStyle name="Normal 2 4 2 3 2 2" xfId="4351" xr:uid="{00000000-0005-0000-0000-0000CD060000}"/>
    <cellStyle name="Normal 2 4 2 3 2 2 2" xfId="9639" xr:uid="{00000000-0005-0000-0000-0000CE060000}"/>
    <cellStyle name="Normal 2 4 2 3 2 3" xfId="5988" xr:uid="{00000000-0005-0000-0000-0000CF060000}"/>
    <cellStyle name="Normal 2 4 2 3 3" xfId="4303" xr:uid="{00000000-0005-0000-0000-0000D0060000}"/>
    <cellStyle name="Normal 2 4 2 3 3 2" xfId="9591" xr:uid="{00000000-0005-0000-0000-0000D1060000}"/>
    <cellStyle name="Normal 2 4 2 3 4" xfId="5940" xr:uid="{00000000-0005-0000-0000-0000D2060000}"/>
    <cellStyle name="Normal 2 4 2 4" xfId="150" xr:uid="{00000000-0005-0000-0000-0000D3060000}"/>
    <cellStyle name="Normal 2 4 2 4 2" xfId="4327" xr:uid="{00000000-0005-0000-0000-0000D4060000}"/>
    <cellStyle name="Normal 2 4 2 4 2 2" xfId="9615" xr:uid="{00000000-0005-0000-0000-0000D5060000}"/>
    <cellStyle name="Normal 2 4 2 4 3" xfId="5964" xr:uid="{00000000-0005-0000-0000-0000D6060000}"/>
    <cellStyle name="Normal 2 4 2 5" xfId="4279" xr:uid="{00000000-0005-0000-0000-0000D7060000}"/>
    <cellStyle name="Normal 2 4 2 5 2" xfId="9567" xr:uid="{00000000-0005-0000-0000-0000D8060000}"/>
    <cellStyle name="Normal 2 4 2 6" xfId="5916" xr:uid="{00000000-0005-0000-0000-0000D9060000}"/>
    <cellStyle name="Normal 2 4 3" xfId="96" xr:uid="{00000000-0005-0000-0000-0000DA060000}"/>
    <cellStyle name="Normal 2 4 3 2" xfId="120" xr:uid="{00000000-0005-0000-0000-0000DB060000}"/>
    <cellStyle name="Normal 2 4 3 2 2" xfId="168" xr:uid="{00000000-0005-0000-0000-0000DC060000}"/>
    <cellStyle name="Normal 2 4 3 2 2 2" xfId="4345" xr:uid="{00000000-0005-0000-0000-0000DD060000}"/>
    <cellStyle name="Normal 2 4 3 2 2 2 2" xfId="9633" xr:uid="{00000000-0005-0000-0000-0000DE060000}"/>
    <cellStyle name="Normal 2 4 3 2 2 3" xfId="5982" xr:uid="{00000000-0005-0000-0000-0000DF060000}"/>
    <cellStyle name="Normal 2 4 3 2 3" xfId="4297" xr:uid="{00000000-0005-0000-0000-0000E0060000}"/>
    <cellStyle name="Normal 2 4 3 2 3 2" xfId="9585" xr:uid="{00000000-0005-0000-0000-0000E1060000}"/>
    <cellStyle name="Normal 2 4 3 2 4" xfId="5934" xr:uid="{00000000-0005-0000-0000-0000E2060000}"/>
    <cellStyle name="Normal 2 4 3 3" xfId="144" xr:uid="{00000000-0005-0000-0000-0000E3060000}"/>
    <cellStyle name="Normal 2 4 3 3 2" xfId="4321" xr:uid="{00000000-0005-0000-0000-0000E4060000}"/>
    <cellStyle name="Normal 2 4 3 3 2 2" xfId="9609" xr:uid="{00000000-0005-0000-0000-0000E5060000}"/>
    <cellStyle name="Normal 2 4 3 3 3" xfId="5958" xr:uid="{00000000-0005-0000-0000-0000E6060000}"/>
    <cellStyle name="Normal 2 4 3 4" xfId="4273" xr:uid="{00000000-0005-0000-0000-0000E7060000}"/>
    <cellStyle name="Normal 2 4 3 4 2" xfId="9561" xr:uid="{00000000-0005-0000-0000-0000E8060000}"/>
    <cellStyle name="Normal 2 4 3 5" xfId="5910" xr:uid="{00000000-0005-0000-0000-0000E9060000}"/>
    <cellStyle name="Normal 2 4 4" xfId="116" xr:uid="{00000000-0005-0000-0000-0000EA060000}"/>
    <cellStyle name="Normal 2 4 4 2" xfId="164" xr:uid="{00000000-0005-0000-0000-0000EB060000}"/>
    <cellStyle name="Normal 2 4 4 2 2" xfId="4341" xr:uid="{00000000-0005-0000-0000-0000EC060000}"/>
    <cellStyle name="Normal 2 4 4 2 2 2" xfId="9629" xr:uid="{00000000-0005-0000-0000-0000ED060000}"/>
    <cellStyle name="Normal 2 4 4 2 3" xfId="5978" xr:uid="{00000000-0005-0000-0000-0000EE060000}"/>
    <cellStyle name="Normal 2 4 4 3" xfId="4293" xr:uid="{00000000-0005-0000-0000-0000EF060000}"/>
    <cellStyle name="Normal 2 4 4 3 2" xfId="9581" xr:uid="{00000000-0005-0000-0000-0000F0060000}"/>
    <cellStyle name="Normal 2 4 4 4" xfId="5930" xr:uid="{00000000-0005-0000-0000-0000F1060000}"/>
    <cellStyle name="Normal 2 4 5" xfId="140" xr:uid="{00000000-0005-0000-0000-0000F2060000}"/>
    <cellStyle name="Normal 2 4 5 2" xfId="4317" xr:uid="{00000000-0005-0000-0000-0000F3060000}"/>
    <cellStyle name="Normal 2 4 5 2 2" xfId="9605" xr:uid="{00000000-0005-0000-0000-0000F4060000}"/>
    <cellStyle name="Normal 2 4 5 3" xfId="5954" xr:uid="{00000000-0005-0000-0000-0000F5060000}"/>
    <cellStyle name="Normal 2 4 6" xfId="2100" xr:uid="{00000000-0005-0000-0000-0000F6060000}"/>
    <cellStyle name="Normal 2 4 7" xfId="2199" xr:uid="{00000000-0005-0000-0000-0000F7060000}"/>
    <cellStyle name="Normal 2 4 8" xfId="4269" xr:uid="{00000000-0005-0000-0000-0000F8060000}"/>
    <cellStyle name="Normal 2 4 8 2" xfId="9557" xr:uid="{00000000-0005-0000-0000-0000F9060000}"/>
    <cellStyle name="Normal 2 4 9" xfId="5905" xr:uid="{00000000-0005-0000-0000-0000FA060000}"/>
    <cellStyle name="Normal 2 5" xfId="19" xr:uid="{00000000-0005-0000-0000-0000FB060000}"/>
    <cellStyle name="Normal 2 5 2" xfId="104" xr:uid="{00000000-0005-0000-0000-0000FC060000}"/>
    <cellStyle name="Normal 2 5 2 2" xfId="110" xr:uid="{00000000-0005-0000-0000-0000FD060000}"/>
    <cellStyle name="Normal 2 5 2 2 2" xfId="134" xr:uid="{00000000-0005-0000-0000-0000FE060000}"/>
    <cellStyle name="Normal 2 5 2 2 2 2" xfId="182" xr:uid="{00000000-0005-0000-0000-0000FF060000}"/>
    <cellStyle name="Normal 2 5 2 2 2 2 2" xfId="4359" xr:uid="{00000000-0005-0000-0000-000000070000}"/>
    <cellStyle name="Normal 2 5 2 2 2 2 2 2" xfId="9647" xr:uid="{00000000-0005-0000-0000-000001070000}"/>
    <cellStyle name="Normal 2 5 2 2 2 2 3" xfId="5996" xr:uid="{00000000-0005-0000-0000-000002070000}"/>
    <cellStyle name="Normal 2 5 2 2 2 3" xfId="4311" xr:uid="{00000000-0005-0000-0000-000003070000}"/>
    <cellStyle name="Normal 2 5 2 2 2 3 2" xfId="9599" xr:uid="{00000000-0005-0000-0000-000004070000}"/>
    <cellStyle name="Normal 2 5 2 2 2 4" xfId="5948" xr:uid="{00000000-0005-0000-0000-000005070000}"/>
    <cellStyle name="Normal 2 5 2 2 3" xfId="158" xr:uid="{00000000-0005-0000-0000-000006070000}"/>
    <cellStyle name="Normal 2 5 2 2 3 2" xfId="4335" xr:uid="{00000000-0005-0000-0000-000007070000}"/>
    <cellStyle name="Normal 2 5 2 2 3 2 2" xfId="9623" xr:uid="{00000000-0005-0000-0000-000008070000}"/>
    <cellStyle name="Normal 2 5 2 2 3 3" xfId="5972" xr:uid="{00000000-0005-0000-0000-000009070000}"/>
    <cellStyle name="Normal 2 5 2 2 4" xfId="4287" xr:uid="{00000000-0005-0000-0000-00000A070000}"/>
    <cellStyle name="Normal 2 5 2 2 4 2" xfId="9575" xr:uid="{00000000-0005-0000-0000-00000B070000}"/>
    <cellStyle name="Normal 2 5 2 2 5" xfId="5924" xr:uid="{00000000-0005-0000-0000-00000C070000}"/>
    <cellStyle name="Normal 2 5 2 3" xfId="128" xr:uid="{00000000-0005-0000-0000-00000D070000}"/>
    <cellStyle name="Normal 2 5 2 3 2" xfId="176" xr:uid="{00000000-0005-0000-0000-00000E070000}"/>
    <cellStyle name="Normal 2 5 2 3 2 2" xfId="4353" xr:uid="{00000000-0005-0000-0000-00000F070000}"/>
    <cellStyle name="Normal 2 5 2 3 2 2 2" xfId="9641" xr:uid="{00000000-0005-0000-0000-000010070000}"/>
    <cellStyle name="Normal 2 5 2 3 2 3" xfId="5990" xr:uid="{00000000-0005-0000-0000-000011070000}"/>
    <cellStyle name="Normal 2 5 2 3 3" xfId="4305" xr:uid="{00000000-0005-0000-0000-000012070000}"/>
    <cellStyle name="Normal 2 5 2 3 3 2" xfId="9593" xr:uid="{00000000-0005-0000-0000-000013070000}"/>
    <cellStyle name="Normal 2 5 2 3 4" xfId="5942" xr:uid="{00000000-0005-0000-0000-000014070000}"/>
    <cellStyle name="Normal 2 5 2 4" xfId="152" xr:uid="{00000000-0005-0000-0000-000015070000}"/>
    <cellStyle name="Normal 2 5 2 4 2" xfId="4329" xr:uid="{00000000-0005-0000-0000-000016070000}"/>
    <cellStyle name="Normal 2 5 2 4 2 2" xfId="9617" xr:uid="{00000000-0005-0000-0000-000017070000}"/>
    <cellStyle name="Normal 2 5 2 4 3" xfId="5966" xr:uid="{00000000-0005-0000-0000-000018070000}"/>
    <cellStyle name="Normal 2 5 2 5" xfId="4281" xr:uid="{00000000-0005-0000-0000-000019070000}"/>
    <cellStyle name="Normal 2 5 2 5 2" xfId="9569" xr:uid="{00000000-0005-0000-0000-00001A070000}"/>
    <cellStyle name="Normal 2 5 2 6" xfId="5918" xr:uid="{00000000-0005-0000-0000-00001B070000}"/>
    <cellStyle name="Normal 2 5 3" xfId="98" xr:uid="{00000000-0005-0000-0000-00001C070000}"/>
    <cellStyle name="Normal 2 5 3 2" xfId="122" xr:uid="{00000000-0005-0000-0000-00001D070000}"/>
    <cellStyle name="Normal 2 5 3 2 2" xfId="170" xr:uid="{00000000-0005-0000-0000-00001E070000}"/>
    <cellStyle name="Normal 2 5 3 2 2 2" xfId="4347" xr:uid="{00000000-0005-0000-0000-00001F070000}"/>
    <cellStyle name="Normal 2 5 3 2 2 2 2" xfId="9635" xr:uid="{00000000-0005-0000-0000-000020070000}"/>
    <cellStyle name="Normal 2 5 3 2 2 3" xfId="5984" xr:uid="{00000000-0005-0000-0000-000021070000}"/>
    <cellStyle name="Normal 2 5 3 2 3" xfId="4299" xr:uid="{00000000-0005-0000-0000-000022070000}"/>
    <cellStyle name="Normal 2 5 3 2 3 2" xfId="9587" xr:uid="{00000000-0005-0000-0000-000023070000}"/>
    <cellStyle name="Normal 2 5 3 2 4" xfId="5936" xr:uid="{00000000-0005-0000-0000-000024070000}"/>
    <cellStyle name="Normal 2 5 3 3" xfId="146" xr:uid="{00000000-0005-0000-0000-000025070000}"/>
    <cellStyle name="Normal 2 5 3 3 2" xfId="4323" xr:uid="{00000000-0005-0000-0000-000026070000}"/>
    <cellStyle name="Normal 2 5 3 3 2 2" xfId="9611" xr:uid="{00000000-0005-0000-0000-000027070000}"/>
    <cellStyle name="Normal 2 5 3 3 3" xfId="5960" xr:uid="{00000000-0005-0000-0000-000028070000}"/>
    <cellStyle name="Normal 2 5 3 4" xfId="4275" xr:uid="{00000000-0005-0000-0000-000029070000}"/>
    <cellStyle name="Normal 2 5 3 4 2" xfId="9563" xr:uid="{00000000-0005-0000-0000-00002A070000}"/>
    <cellStyle name="Normal 2 5 3 5" xfId="5912" xr:uid="{00000000-0005-0000-0000-00002B070000}"/>
    <cellStyle name="Normal 2 5 4" xfId="117" xr:uid="{00000000-0005-0000-0000-00002C070000}"/>
    <cellStyle name="Normal 2 5 4 2" xfId="165" xr:uid="{00000000-0005-0000-0000-00002D070000}"/>
    <cellStyle name="Normal 2 5 4 2 2" xfId="4342" xr:uid="{00000000-0005-0000-0000-00002E070000}"/>
    <cellStyle name="Normal 2 5 4 2 2 2" xfId="9630" xr:uid="{00000000-0005-0000-0000-00002F070000}"/>
    <cellStyle name="Normal 2 5 4 2 3" xfId="5979" xr:uid="{00000000-0005-0000-0000-000030070000}"/>
    <cellStyle name="Normal 2 5 4 3" xfId="4294" xr:uid="{00000000-0005-0000-0000-000031070000}"/>
    <cellStyle name="Normal 2 5 4 3 2" xfId="9582" xr:uid="{00000000-0005-0000-0000-000032070000}"/>
    <cellStyle name="Normal 2 5 4 4" xfId="5931" xr:uid="{00000000-0005-0000-0000-000033070000}"/>
    <cellStyle name="Normal 2 5 5" xfId="141" xr:uid="{00000000-0005-0000-0000-000034070000}"/>
    <cellStyle name="Normal 2 5 5 2" xfId="4318" xr:uid="{00000000-0005-0000-0000-000035070000}"/>
    <cellStyle name="Normal 2 5 5 2 2" xfId="9606" xr:uid="{00000000-0005-0000-0000-000036070000}"/>
    <cellStyle name="Normal 2 5 5 3" xfId="5955" xr:uid="{00000000-0005-0000-0000-000037070000}"/>
    <cellStyle name="Normal 2 5 6" xfId="3187" xr:uid="{00000000-0005-0000-0000-000038070000}"/>
    <cellStyle name="Normal 2 5 7" xfId="4270" xr:uid="{00000000-0005-0000-0000-000039070000}"/>
    <cellStyle name="Normal 2 5 7 2" xfId="9558" xr:uid="{00000000-0005-0000-0000-00003A070000}"/>
    <cellStyle name="Normal 2 5 8" xfId="5906" xr:uid="{00000000-0005-0000-0000-00003B070000}"/>
    <cellStyle name="Normal 2 6" xfId="81" xr:uid="{00000000-0005-0000-0000-00003C070000}"/>
    <cellStyle name="Normal 2 6 2" xfId="3188" xr:uid="{00000000-0005-0000-0000-00003D070000}"/>
    <cellStyle name="Normal 2 7" xfId="100" xr:uid="{00000000-0005-0000-0000-00003E070000}"/>
    <cellStyle name="Normal 2 7 2" xfId="111" xr:uid="{00000000-0005-0000-0000-00003F070000}"/>
    <cellStyle name="Normal 2 7 2 2" xfId="135" xr:uid="{00000000-0005-0000-0000-000040070000}"/>
    <cellStyle name="Normal 2 7 2 2 2" xfId="183" xr:uid="{00000000-0005-0000-0000-000041070000}"/>
    <cellStyle name="Normal 2 7 2 2 2 2" xfId="4360" xr:uid="{00000000-0005-0000-0000-000042070000}"/>
    <cellStyle name="Normal 2 7 2 2 2 2 2" xfId="9648" xr:uid="{00000000-0005-0000-0000-000043070000}"/>
    <cellStyle name="Normal 2 7 2 2 2 3" xfId="5997" xr:uid="{00000000-0005-0000-0000-000044070000}"/>
    <cellStyle name="Normal 2 7 2 2 3" xfId="4312" xr:uid="{00000000-0005-0000-0000-000045070000}"/>
    <cellStyle name="Normal 2 7 2 2 3 2" xfId="9600" xr:uid="{00000000-0005-0000-0000-000046070000}"/>
    <cellStyle name="Normal 2 7 2 2 4" xfId="5949" xr:uid="{00000000-0005-0000-0000-000047070000}"/>
    <cellStyle name="Normal 2 7 2 3" xfId="159" xr:uid="{00000000-0005-0000-0000-000048070000}"/>
    <cellStyle name="Normal 2 7 2 3 2" xfId="4336" xr:uid="{00000000-0005-0000-0000-000049070000}"/>
    <cellStyle name="Normal 2 7 2 3 2 2" xfId="9624" xr:uid="{00000000-0005-0000-0000-00004A070000}"/>
    <cellStyle name="Normal 2 7 2 3 3" xfId="5973" xr:uid="{00000000-0005-0000-0000-00004B070000}"/>
    <cellStyle name="Normal 2 7 2 4" xfId="4288" xr:uid="{00000000-0005-0000-0000-00004C070000}"/>
    <cellStyle name="Normal 2 7 2 4 2" xfId="9576" xr:uid="{00000000-0005-0000-0000-00004D070000}"/>
    <cellStyle name="Normal 2 7 2 5" xfId="5925" xr:uid="{00000000-0005-0000-0000-00004E070000}"/>
    <cellStyle name="Normal 2 7 3" xfId="124" xr:uid="{00000000-0005-0000-0000-00004F070000}"/>
    <cellStyle name="Normal 2 7 3 2" xfId="172" xr:uid="{00000000-0005-0000-0000-000050070000}"/>
    <cellStyle name="Normal 2 7 3 2 2" xfId="4349" xr:uid="{00000000-0005-0000-0000-000051070000}"/>
    <cellStyle name="Normal 2 7 3 2 2 2" xfId="9637" xr:uid="{00000000-0005-0000-0000-000052070000}"/>
    <cellStyle name="Normal 2 7 3 2 3" xfId="5986" xr:uid="{00000000-0005-0000-0000-000053070000}"/>
    <cellStyle name="Normal 2 7 3 3" xfId="4301" xr:uid="{00000000-0005-0000-0000-000054070000}"/>
    <cellStyle name="Normal 2 7 3 3 2" xfId="9589" xr:uid="{00000000-0005-0000-0000-000055070000}"/>
    <cellStyle name="Normal 2 7 3 4" xfId="5938" xr:uid="{00000000-0005-0000-0000-000056070000}"/>
    <cellStyle name="Normal 2 7 4" xfId="148" xr:uid="{00000000-0005-0000-0000-000057070000}"/>
    <cellStyle name="Normal 2 7 4 2" xfId="4325" xr:uid="{00000000-0005-0000-0000-000058070000}"/>
    <cellStyle name="Normal 2 7 4 2 2" xfId="9613" xr:uid="{00000000-0005-0000-0000-000059070000}"/>
    <cellStyle name="Normal 2 7 4 3" xfId="5962" xr:uid="{00000000-0005-0000-0000-00005A070000}"/>
    <cellStyle name="Normal 2 7 5" xfId="3182" xr:uid="{00000000-0005-0000-0000-00005B070000}"/>
    <cellStyle name="Normal 2 7 6" xfId="4277" xr:uid="{00000000-0005-0000-0000-00005C070000}"/>
    <cellStyle name="Normal 2 7 6 2" xfId="9565" xr:uid="{00000000-0005-0000-0000-00005D070000}"/>
    <cellStyle name="Normal 2 7 7" xfId="5914" xr:uid="{00000000-0005-0000-0000-00005E070000}"/>
    <cellStyle name="Normal 2 8" xfId="94" xr:uid="{00000000-0005-0000-0000-00005F070000}"/>
    <cellStyle name="Normal 2 8 2" xfId="118" xr:uid="{00000000-0005-0000-0000-000060070000}"/>
    <cellStyle name="Normal 2 8 2 2" xfId="166" xr:uid="{00000000-0005-0000-0000-000061070000}"/>
    <cellStyle name="Normal 2 8 2 2 2" xfId="4343" xr:uid="{00000000-0005-0000-0000-000062070000}"/>
    <cellStyle name="Normal 2 8 2 2 2 2" xfId="9631" xr:uid="{00000000-0005-0000-0000-000063070000}"/>
    <cellStyle name="Normal 2 8 2 2 3" xfId="5980" xr:uid="{00000000-0005-0000-0000-000064070000}"/>
    <cellStyle name="Normal 2 8 2 3" xfId="4295" xr:uid="{00000000-0005-0000-0000-000065070000}"/>
    <cellStyle name="Normal 2 8 2 3 2" xfId="9583" xr:uid="{00000000-0005-0000-0000-000066070000}"/>
    <cellStyle name="Normal 2 8 2 4" xfId="5932" xr:uid="{00000000-0005-0000-0000-000067070000}"/>
    <cellStyle name="Normal 2 8 3" xfId="142" xr:uid="{00000000-0005-0000-0000-000068070000}"/>
    <cellStyle name="Normal 2 8 3 2" xfId="4319" xr:uid="{00000000-0005-0000-0000-000069070000}"/>
    <cellStyle name="Normal 2 8 3 2 2" xfId="9607" xr:uid="{00000000-0005-0000-0000-00006A070000}"/>
    <cellStyle name="Normal 2 8 3 3" xfId="5956" xr:uid="{00000000-0005-0000-0000-00006B070000}"/>
    <cellStyle name="Normal 2 8 4" xfId="3219" xr:uid="{00000000-0005-0000-0000-00006C070000}"/>
    <cellStyle name="Normal 2 8 4 2" xfId="5893" xr:uid="{00000000-0005-0000-0000-00006D070000}"/>
    <cellStyle name="Normal 2 8 4 2 2" xfId="11166" xr:uid="{00000000-0005-0000-0000-00006E070000}"/>
    <cellStyle name="Normal 2 8 4 3" xfId="8518" xr:uid="{00000000-0005-0000-0000-00006F070000}"/>
    <cellStyle name="Normal 2 8 5" xfId="3239" xr:uid="{00000000-0005-0000-0000-000070070000}"/>
    <cellStyle name="Normal 2 8 5 2" xfId="8535" xr:uid="{00000000-0005-0000-0000-000071070000}"/>
    <cellStyle name="Normal 2 8 6" xfId="3257" xr:uid="{00000000-0005-0000-0000-000072070000}"/>
    <cellStyle name="Normal 2 8 6 2" xfId="8552" xr:uid="{00000000-0005-0000-0000-000073070000}"/>
    <cellStyle name="Normal 2 8 7" xfId="4271" xr:uid="{00000000-0005-0000-0000-000074070000}"/>
    <cellStyle name="Normal 2 8 7 2" xfId="9559" xr:uid="{00000000-0005-0000-0000-000075070000}"/>
    <cellStyle name="Normal 2 8 8" xfId="5908" xr:uid="{00000000-0005-0000-0000-000076070000}"/>
    <cellStyle name="Normal 2 9" xfId="112" xr:uid="{00000000-0005-0000-0000-000077070000}"/>
    <cellStyle name="Normal 2 9 2" xfId="160" xr:uid="{00000000-0005-0000-0000-000078070000}"/>
    <cellStyle name="Normal 2 9 2 2" xfId="4337" xr:uid="{00000000-0005-0000-0000-000079070000}"/>
    <cellStyle name="Normal 2 9 2 2 2" xfId="9625" xr:uid="{00000000-0005-0000-0000-00007A070000}"/>
    <cellStyle name="Normal 2 9 2 3" xfId="5974" xr:uid="{00000000-0005-0000-0000-00007B070000}"/>
    <cellStyle name="Normal 2 9 3" xfId="4289" xr:uid="{00000000-0005-0000-0000-00007C070000}"/>
    <cellStyle name="Normal 2 9 3 2" xfId="9577" xr:uid="{00000000-0005-0000-0000-00007D070000}"/>
    <cellStyle name="Normal 2 9 4" xfId="5926" xr:uid="{00000000-0005-0000-0000-00007E070000}"/>
    <cellStyle name="Normal 20" xfId="651" xr:uid="{00000000-0005-0000-0000-00007F070000}"/>
    <cellStyle name="Normal 21" xfId="652" xr:uid="{00000000-0005-0000-0000-000080070000}"/>
    <cellStyle name="Normal 21 2" xfId="653" xr:uid="{00000000-0005-0000-0000-000081070000}"/>
    <cellStyle name="Normal 21 2 2" xfId="2653" xr:uid="{00000000-0005-0000-0000-000082070000}"/>
    <cellStyle name="Normal 21 2 2 2" xfId="8006" xr:uid="{00000000-0005-0000-0000-000083070000}"/>
    <cellStyle name="Normal 21 2 3" xfId="3763" xr:uid="{00000000-0005-0000-0000-000084070000}"/>
    <cellStyle name="Normal 21 2 3 2" xfId="9054" xr:uid="{00000000-0005-0000-0000-000085070000}"/>
    <cellStyle name="Normal 21 2 4" xfId="4471" xr:uid="{00000000-0005-0000-0000-000086070000}"/>
    <cellStyle name="Normal 21 2 4 2" xfId="9759" xr:uid="{00000000-0005-0000-0000-000087070000}"/>
    <cellStyle name="Normal 21 2 5" xfId="6113" xr:uid="{00000000-0005-0000-0000-000088070000}"/>
    <cellStyle name="Normal 21 3" xfId="2096" xr:uid="{00000000-0005-0000-0000-000089070000}"/>
    <cellStyle name="Normal 21 4" xfId="2146" xr:uid="{00000000-0005-0000-0000-00008A070000}"/>
    <cellStyle name="Normal 21 4 2" xfId="7507" xr:uid="{00000000-0005-0000-0000-00008B070000}"/>
    <cellStyle name="Normal 21 5" xfId="3263" xr:uid="{00000000-0005-0000-0000-00008C070000}"/>
    <cellStyle name="Normal 21 5 2" xfId="8555" xr:uid="{00000000-0005-0000-0000-00008D070000}"/>
    <cellStyle name="Normal 21 6" xfId="4470" xr:uid="{00000000-0005-0000-0000-00008E070000}"/>
    <cellStyle name="Normal 21 6 2" xfId="9758" xr:uid="{00000000-0005-0000-0000-00008F070000}"/>
    <cellStyle name="Normal 21 7" xfId="6112" xr:uid="{00000000-0005-0000-0000-000090070000}"/>
    <cellStyle name="Normal 22" xfId="654" xr:uid="{00000000-0005-0000-0000-000091070000}"/>
    <cellStyle name="Normal 22 2" xfId="655" xr:uid="{00000000-0005-0000-0000-000092070000}"/>
    <cellStyle name="Normal 22 2 2" xfId="3144" xr:uid="{00000000-0005-0000-0000-000093070000}"/>
    <cellStyle name="Normal 22 2 2 2" xfId="8497" xr:uid="{00000000-0005-0000-0000-000094070000}"/>
    <cellStyle name="Normal 22 2 3" xfId="4254" xr:uid="{00000000-0005-0000-0000-000095070000}"/>
    <cellStyle name="Normal 22 2 3 2" xfId="9545" xr:uid="{00000000-0005-0000-0000-000096070000}"/>
    <cellStyle name="Normal 22 2 4" xfId="4473" xr:uid="{00000000-0005-0000-0000-000097070000}"/>
    <cellStyle name="Normal 22 2 4 2" xfId="9761" xr:uid="{00000000-0005-0000-0000-000098070000}"/>
    <cellStyle name="Normal 22 2 5" xfId="6115" xr:uid="{00000000-0005-0000-0000-000099070000}"/>
    <cellStyle name="Normal 22 3" xfId="2640" xr:uid="{00000000-0005-0000-0000-00009A070000}"/>
    <cellStyle name="Normal 22 3 2" xfId="7998" xr:uid="{00000000-0005-0000-0000-00009B070000}"/>
    <cellStyle name="Normal 22 4" xfId="3754" xr:uid="{00000000-0005-0000-0000-00009C070000}"/>
    <cellStyle name="Normal 22 4 2" xfId="9046" xr:uid="{00000000-0005-0000-0000-00009D070000}"/>
    <cellStyle name="Normal 22 5" xfId="4472" xr:uid="{00000000-0005-0000-0000-00009E070000}"/>
    <cellStyle name="Normal 22 5 2" xfId="9760" xr:uid="{00000000-0005-0000-0000-00009F070000}"/>
    <cellStyle name="Normal 22 6" xfId="6114" xr:uid="{00000000-0005-0000-0000-0000A0070000}"/>
    <cellStyle name="Normal 23" xfId="656" xr:uid="{00000000-0005-0000-0000-0000A1070000}"/>
    <cellStyle name="Normal 23 2" xfId="657" xr:uid="{00000000-0005-0000-0000-0000A2070000}"/>
    <cellStyle name="Normal 23 2 2" xfId="3148" xr:uid="{00000000-0005-0000-0000-0000A3070000}"/>
    <cellStyle name="Normal 23 2 2 2" xfId="8501" xr:uid="{00000000-0005-0000-0000-0000A4070000}"/>
    <cellStyle name="Normal 23 2 3" xfId="4258" xr:uid="{00000000-0005-0000-0000-0000A5070000}"/>
    <cellStyle name="Normal 23 2 3 2" xfId="9549" xr:uid="{00000000-0005-0000-0000-0000A6070000}"/>
    <cellStyle name="Normal 23 2 4" xfId="4475" xr:uid="{00000000-0005-0000-0000-0000A7070000}"/>
    <cellStyle name="Normal 23 2 4 2" xfId="9763" xr:uid="{00000000-0005-0000-0000-0000A8070000}"/>
    <cellStyle name="Normal 23 2 5" xfId="6117" xr:uid="{00000000-0005-0000-0000-0000A9070000}"/>
    <cellStyle name="Normal 23 3" xfId="2644" xr:uid="{00000000-0005-0000-0000-0000AA070000}"/>
    <cellStyle name="Normal 23 3 2" xfId="8002" xr:uid="{00000000-0005-0000-0000-0000AB070000}"/>
    <cellStyle name="Normal 23 4" xfId="3758" xr:uid="{00000000-0005-0000-0000-0000AC070000}"/>
    <cellStyle name="Normal 23 4 2" xfId="9050" xr:uid="{00000000-0005-0000-0000-0000AD070000}"/>
    <cellStyle name="Normal 23 5" xfId="4474" xr:uid="{00000000-0005-0000-0000-0000AE070000}"/>
    <cellStyle name="Normal 23 5 2" xfId="9762" xr:uid="{00000000-0005-0000-0000-0000AF070000}"/>
    <cellStyle name="Normal 23 6" xfId="6116" xr:uid="{00000000-0005-0000-0000-0000B0070000}"/>
    <cellStyle name="Normal 24" xfId="658" xr:uid="{00000000-0005-0000-0000-0000B1070000}"/>
    <cellStyle name="Normal 24 2" xfId="659" xr:uid="{00000000-0005-0000-0000-0000B2070000}"/>
    <cellStyle name="Normal 24 2 2" xfId="3145" xr:uid="{00000000-0005-0000-0000-0000B3070000}"/>
    <cellStyle name="Normal 24 2 2 2" xfId="8498" xr:uid="{00000000-0005-0000-0000-0000B4070000}"/>
    <cellStyle name="Normal 24 2 3" xfId="4255" xr:uid="{00000000-0005-0000-0000-0000B5070000}"/>
    <cellStyle name="Normal 24 2 3 2" xfId="9546" xr:uid="{00000000-0005-0000-0000-0000B6070000}"/>
    <cellStyle name="Normal 24 2 4" xfId="4477" xr:uid="{00000000-0005-0000-0000-0000B7070000}"/>
    <cellStyle name="Normal 24 2 4 2" xfId="9765" xr:uid="{00000000-0005-0000-0000-0000B8070000}"/>
    <cellStyle name="Normal 24 2 5" xfId="6119" xr:uid="{00000000-0005-0000-0000-0000B9070000}"/>
    <cellStyle name="Normal 24 3" xfId="2641" xr:uid="{00000000-0005-0000-0000-0000BA070000}"/>
    <cellStyle name="Normal 24 3 2" xfId="7999" xr:uid="{00000000-0005-0000-0000-0000BB070000}"/>
    <cellStyle name="Normal 24 4" xfId="3755" xr:uid="{00000000-0005-0000-0000-0000BC070000}"/>
    <cellStyle name="Normal 24 4 2" xfId="9047" xr:uid="{00000000-0005-0000-0000-0000BD070000}"/>
    <cellStyle name="Normal 24 5" xfId="4476" xr:uid="{00000000-0005-0000-0000-0000BE070000}"/>
    <cellStyle name="Normal 24 5 2" xfId="9764" xr:uid="{00000000-0005-0000-0000-0000BF070000}"/>
    <cellStyle name="Normal 24 6" xfId="6118" xr:uid="{00000000-0005-0000-0000-0000C0070000}"/>
    <cellStyle name="Normal 25" xfId="660" xr:uid="{00000000-0005-0000-0000-0000C1070000}"/>
    <cellStyle name="Normal 25 2" xfId="661" xr:uid="{00000000-0005-0000-0000-0000C2070000}"/>
    <cellStyle name="Normal 25 2 2" xfId="3147" xr:uid="{00000000-0005-0000-0000-0000C3070000}"/>
    <cellStyle name="Normal 25 2 2 2" xfId="8500" xr:uid="{00000000-0005-0000-0000-0000C4070000}"/>
    <cellStyle name="Normal 25 2 3" xfId="4257" xr:uid="{00000000-0005-0000-0000-0000C5070000}"/>
    <cellStyle name="Normal 25 2 3 2" xfId="9548" xr:uid="{00000000-0005-0000-0000-0000C6070000}"/>
    <cellStyle name="Normal 25 2 4" xfId="4479" xr:uid="{00000000-0005-0000-0000-0000C7070000}"/>
    <cellStyle name="Normal 25 2 4 2" xfId="9767" xr:uid="{00000000-0005-0000-0000-0000C8070000}"/>
    <cellStyle name="Normal 25 2 5" xfId="6121" xr:uid="{00000000-0005-0000-0000-0000C9070000}"/>
    <cellStyle name="Normal 25 3" xfId="2643" xr:uid="{00000000-0005-0000-0000-0000CA070000}"/>
    <cellStyle name="Normal 25 3 2" xfId="8001" xr:uid="{00000000-0005-0000-0000-0000CB070000}"/>
    <cellStyle name="Normal 25 4" xfId="3757" xr:uid="{00000000-0005-0000-0000-0000CC070000}"/>
    <cellStyle name="Normal 25 4 2" xfId="9049" xr:uid="{00000000-0005-0000-0000-0000CD070000}"/>
    <cellStyle name="Normal 25 5" xfId="4478" xr:uid="{00000000-0005-0000-0000-0000CE070000}"/>
    <cellStyle name="Normal 25 5 2" xfId="9766" xr:uid="{00000000-0005-0000-0000-0000CF070000}"/>
    <cellStyle name="Normal 25 6" xfId="6120" xr:uid="{00000000-0005-0000-0000-0000D0070000}"/>
    <cellStyle name="Normal 26" xfId="662" xr:uid="{00000000-0005-0000-0000-0000D1070000}"/>
    <cellStyle name="Normal 26 2" xfId="663" xr:uid="{00000000-0005-0000-0000-0000D2070000}"/>
    <cellStyle name="Normal 26 2 2" xfId="3146" xr:uid="{00000000-0005-0000-0000-0000D3070000}"/>
    <cellStyle name="Normal 26 2 2 2" xfId="8499" xr:uid="{00000000-0005-0000-0000-0000D4070000}"/>
    <cellStyle name="Normal 26 2 3" xfId="4256" xr:uid="{00000000-0005-0000-0000-0000D5070000}"/>
    <cellStyle name="Normal 26 2 3 2" xfId="9547" xr:uid="{00000000-0005-0000-0000-0000D6070000}"/>
    <cellStyle name="Normal 26 2 4" xfId="4481" xr:uid="{00000000-0005-0000-0000-0000D7070000}"/>
    <cellStyle name="Normal 26 2 4 2" xfId="9769" xr:uid="{00000000-0005-0000-0000-0000D8070000}"/>
    <cellStyle name="Normal 26 2 5" xfId="6123" xr:uid="{00000000-0005-0000-0000-0000D9070000}"/>
    <cellStyle name="Normal 26 3" xfId="2642" xr:uid="{00000000-0005-0000-0000-0000DA070000}"/>
    <cellStyle name="Normal 26 3 2" xfId="8000" xr:uid="{00000000-0005-0000-0000-0000DB070000}"/>
    <cellStyle name="Normal 26 4" xfId="3756" xr:uid="{00000000-0005-0000-0000-0000DC070000}"/>
    <cellStyle name="Normal 26 4 2" xfId="9048" xr:uid="{00000000-0005-0000-0000-0000DD070000}"/>
    <cellStyle name="Normal 26 5" xfId="4480" xr:uid="{00000000-0005-0000-0000-0000DE070000}"/>
    <cellStyle name="Normal 26 5 2" xfId="9768" xr:uid="{00000000-0005-0000-0000-0000DF070000}"/>
    <cellStyle name="Normal 26 6" xfId="6122" xr:uid="{00000000-0005-0000-0000-0000E0070000}"/>
    <cellStyle name="Normal 27" xfId="664" xr:uid="{00000000-0005-0000-0000-0000E1070000}"/>
    <cellStyle name="Normal 27 2" xfId="665" xr:uid="{00000000-0005-0000-0000-0000E2070000}"/>
    <cellStyle name="Normal 27 2 2" xfId="3149" xr:uid="{00000000-0005-0000-0000-0000E3070000}"/>
    <cellStyle name="Normal 27 2 2 2" xfId="8502" xr:uid="{00000000-0005-0000-0000-0000E4070000}"/>
    <cellStyle name="Normal 27 2 3" xfId="4259" xr:uid="{00000000-0005-0000-0000-0000E5070000}"/>
    <cellStyle name="Normal 27 2 3 2" xfId="9550" xr:uid="{00000000-0005-0000-0000-0000E6070000}"/>
    <cellStyle name="Normal 27 2 4" xfId="4483" xr:uid="{00000000-0005-0000-0000-0000E7070000}"/>
    <cellStyle name="Normal 27 2 4 2" xfId="9771" xr:uid="{00000000-0005-0000-0000-0000E8070000}"/>
    <cellStyle name="Normal 27 2 5" xfId="6125" xr:uid="{00000000-0005-0000-0000-0000E9070000}"/>
    <cellStyle name="Normal 27 3" xfId="2647" xr:uid="{00000000-0005-0000-0000-0000EA070000}"/>
    <cellStyle name="Normal 27 3 2" xfId="8003" xr:uid="{00000000-0005-0000-0000-0000EB070000}"/>
    <cellStyle name="Normal 27 4" xfId="3760" xr:uid="{00000000-0005-0000-0000-0000EC070000}"/>
    <cellStyle name="Normal 27 4 2" xfId="9051" xr:uid="{00000000-0005-0000-0000-0000ED070000}"/>
    <cellStyle name="Normal 27 5" xfId="4482" xr:uid="{00000000-0005-0000-0000-0000EE070000}"/>
    <cellStyle name="Normal 27 5 2" xfId="9770" xr:uid="{00000000-0005-0000-0000-0000EF070000}"/>
    <cellStyle name="Normal 27 6" xfId="6124" xr:uid="{00000000-0005-0000-0000-0000F0070000}"/>
    <cellStyle name="Normal 28" xfId="666" xr:uid="{00000000-0005-0000-0000-0000F1070000}"/>
    <cellStyle name="Normal 28 2" xfId="667" xr:uid="{00000000-0005-0000-0000-0000F2070000}"/>
    <cellStyle name="Normal 28 2 2" xfId="3151" xr:uid="{00000000-0005-0000-0000-0000F3070000}"/>
    <cellStyle name="Normal 28 2 2 2" xfId="8504" xr:uid="{00000000-0005-0000-0000-0000F4070000}"/>
    <cellStyle name="Normal 28 2 3" xfId="4261" xr:uid="{00000000-0005-0000-0000-0000F5070000}"/>
    <cellStyle name="Normal 28 2 3 2" xfId="9552" xr:uid="{00000000-0005-0000-0000-0000F6070000}"/>
    <cellStyle name="Normal 28 2 4" xfId="4485" xr:uid="{00000000-0005-0000-0000-0000F7070000}"/>
    <cellStyle name="Normal 28 2 4 2" xfId="9773" xr:uid="{00000000-0005-0000-0000-0000F8070000}"/>
    <cellStyle name="Normal 28 2 5" xfId="6127" xr:uid="{00000000-0005-0000-0000-0000F9070000}"/>
    <cellStyle name="Normal 28 3" xfId="2649" xr:uid="{00000000-0005-0000-0000-0000FA070000}"/>
    <cellStyle name="Normal 28 3 2" xfId="8005" xr:uid="{00000000-0005-0000-0000-0000FB070000}"/>
    <cellStyle name="Normal 28 4" xfId="3762" xr:uid="{00000000-0005-0000-0000-0000FC070000}"/>
    <cellStyle name="Normal 28 4 2" xfId="9053" xr:uid="{00000000-0005-0000-0000-0000FD070000}"/>
    <cellStyle name="Normal 28 5" xfId="4484" xr:uid="{00000000-0005-0000-0000-0000FE070000}"/>
    <cellStyle name="Normal 28 5 2" xfId="9772" xr:uid="{00000000-0005-0000-0000-0000FF070000}"/>
    <cellStyle name="Normal 28 6" xfId="6126" xr:uid="{00000000-0005-0000-0000-000000080000}"/>
    <cellStyle name="Normal 29" xfId="502" xr:uid="{00000000-0005-0000-0000-000001080000}"/>
    <cellStyle name="Normal 29 2" xfId="668" xr:uid="{00000000-0005-0000-0000-000002080000}"/>
    <cellStyle name="Normal 29 2 2" xfId="4486" xr:uid="{00000000-0005-0000-0000-000003080000}"/>
    <cellStyle name="Normal 29 2 2 2" xfId="9774" xr:uid="{00000000-0005-0000-0000-000004080000}"/>
    <cellStyle name="Normal 29 2 3" xfId="6128" xr:uid="{00000000-0005-0000-0000-000005080000}"/>
    <cellStyle name="Normal 29 3" xfId="4365" xr:uid="{00000000-0005-0000-0000-000006080000}"/>
    <cellStyle name="Normal 29 3 2" xfId="9653" xr:uid="{00000000-0005-0000-0000-000007080000}"/>
    <cellStyle name="Normal 29 4" xfId="6007" xr:uid="{00000000-0005-0000-0000-000008080000}"/>
    <cellStyle name="Normal 3" xfId="4" xr:uid="{00000000-0005-0000-0000-000009080000}"/>
    <cellStyle name="Normal 3 10" xfId="669" xr:uid="{00000000-0005-0000-0000-00000A080000}"/>
    <cellStyle name="Normal 3 10 2" xfId="670" xr:uid="{00000000-0005-0000-0000-00000B080000}"/>
    <cellStyle name="Normal 3 10 2 2" xfId="671" xr:uid="{00000000-0005-0000-0000-00000C080000}"/>
    <cellStyle name="Normal 3 10 2 2 2" xfId="2706" xr:uid="{00000000-0005-0000-0000-00000D080000}"/>
    <cellStyle name="Normal 3 10 2 2 2 2" xfId="8059" xr:uid="{00000000-0005-0000-0000-00000E080000}"/>
    <cellStyle name="Normal 3 10 2 2 3" xfId="3816" xr:uid="{00000000-0005-0000-0000-00000F080000}"/>
    <cellStyle name="Normal 3 10 2 2 3 2" xfId="9107" xr:uid="{00000000-0005-0000-0000-000010080000}"/>
    <cellStyle name="Normal 3 10 2 2 4" xfId="4489" xr:uid="{00000000-0005-0000-0000-000011080000}"/>
    <cellStyle name="Normal 3 10 2 2 4 2" xfId="9777" xr:uid="{00000000-0005-0000-0000-000012080000}"/>
    <cellStyle name="Normal 3 10 2 2 5" xfId="6131" xr:uid="{00000000-0005-0000-0000-000013080000}"/>
    <cellStyle name="Normal 3 10 2 3" xfId="1650" xr:uid="{00000000-0005-0000-0000-000014080000}"/>
    <cellStyle name="Normal 3 10 2 3 2" xfId="5421" xr:uid="{00000000-0005-0000-0000-000015080000}"/>
    <cellStyle name="Normal 3 10 2 3 2 2" xfId="10709" xr:uid="{00000000-0005-0000-0000-000016080000}"/>
    <cellStyle name="Normal 3 10 2 3 3" xfId="7063" xr:uid="{00000000-0005-0000-0000-000017080000}"/>
    <cellStyle name="Normal 3 10 2 4" xfId="2202" xr:uid="{00000000-0005-0000-0000-000018080000}"/>
    <cellStyle name="Normal 3 10 2 4 2" xfId="7560" xr:uid="{00000000-0005-0000-0000-000019080000}"/>
    <cellStyle name="Normal 3 10 2 5" xfId="3316" xr:uid="{00000000-0005-0000-0000-00001A080000}"/>
    <cellStyle name="Normal 3 10 2 5 2" xfId="8608" xr:uid="{00000000-0005-0000-0000-00001B080000}"/>
    <cellStyle name="Normal 3 10 2 6" xfId="4488" xr:uid="{00000000-0005-0000-0000-00001C080000}"/>
    <cellStyle name="Normal 3 10 2 6 2" xfId="9776" xr:uid="{00000000-0005-0000-0000-00001D080000}"/>
    <cellStyle name="Normal 3 10 2 7" xfId="6130" xr:uid="{00000000-0005-0000-0000-00001E080000}"/>
    <cellStyle name="Normal 3 10 3" xfId="672" xr:uid="{00000000-0005-0000-0000-00001F080000}"/>
    <cellStyle name="Normal 3 10 3 2" xfId="673" xr:uid="{00000000-0005-0000-0000-000020080000}"/>
    <cellStyle name="Normal 3 10 3 2 2" xfId="2707" xr:uid="{00000000-0005-0000-0000-000021080000}"/>
    <cellStyle name="Normal 3 10 3 2 2 2" xfId="8060" xr:uid="{00000000-0005-0000-0000-000022080000}"/>
    <cellStyle name="Normal 3 10 3 2 3" xfId="3817" xr:uid="{00000000-0005-0000-0000-000023080000}"/>
    <cellStyle name="Normal 3 10 3 2 3 2" xfId="9108" xr:uid="{00000000-0005-0000-0000-000024080000}"/>
    <cellStyle name="Normal 3 10 3 2 4" xfId="4491" xr:uid="{00000000-0005-0000-0000-000025080000}"/>
    <cellStyle name="Normal 3 10 3 2 4 2" xfId="9779" xr:uid="{00000000-0005-0000-0000-000026080000}"/>
    <cellStyle name="Normal 3 10 3 2 5" xfId="6133" xr:uid="{00000000-0005-0000-0000-000027080000}"/>
    <cellStyle name="Normal 3 10 3 3" xfId="1651" xr:uid="{00000000-0005-0000-0000-000028080000}"/>
    <cellStyle name="Normal 3 10 3 3 2" xfId="5422" xr:uid="{00000000-0005-0000-0000-000029080000}"/>
    <cellStyle name="Normal 3 10 3 3 2 2" xfId="10710" xr:uid="{00000000-0005-0000-0000-00002A080000}"/>
    <cellStyle name="Normal 3 10 3 3 3" xfId="7064" xr:uid="{00000000-0005-0000-0000-00002B080000}"/>
    <cellStyle name="Normal 3 10 3 4" xfId="2203" xr:uid="{00000000-0005-0000-0000-00002C080000}"/>
    <cellStyle name="Normal 3 10 3 4 2" xfId="7561" xr:uid="{00000000-0005-0000-0000-00002D080000}"/>
    <cellStyle name="Normal 3 10 3 5" xfId="3317" xr:uid="{00000000-0005-0000-0000-00002E080000}"/>
    <cellStyle name="Normal 3 10 3 5 2" xfId="8609" xr:uid="{00000000-0005-0000-0000-00002F080000}"/>
    <cellStyle name="Normal 3 10 3 6" xfId="4490" xr:uid="{00000000-0005-0000-0000-000030080000}"/>
    <cellStyle name="Normal 3 10 3 6 2" xfId="9778" xr:uid="{00000000-0005-0000-0000-000031080000}"/>
    <cellStyle name="Normal 3 10 3 7" xfId="6132" xr:uid="{00000000-0005-0000-0000-000032080000}"/>
    <cellStyle name="Normal 3 10 4" xfId="674" xr:uid="{00000000-0005-0000-0000-000033080000}"/>
    <cellStyle name="Normal 3 10 4 2" xfId="2705" xr:uid="{00000000-0005-0000-0000-000034080000}"/>
    <cellStyle name="Normal 3 10 4 2 2" xfId="8058" xr:uid="{00000000-0005-0000-0000-000035080000}"/>
    <cellStyle name="Normal 3 10 4 3" xfId="3815" xr:uid="{00000000-0005-0000-0000-000036080000}"/>
    <cellStyle name="Normal 3 10 4 3 2" xfId="9106" xr:uid="{00000000-0005-0000-0000-000037080000}"/>
    <cellStyle name="Normal 3 10 4 4" xfId="4492" xr:uid="{00000000-0005-0000-0000-000038080000}"/>
    <cellStyle name="Normal 3 10 4 4 2" xfId="9780" xr:uid="{00000000-0005-0000-0000-000039080000}"/>
    <cellStyle name="Normal 3 10 4 5" xfId="6134" xr:uid="{00000000-0005-0000-0000-00003A080000}"/>
    <cellStyle name="Normal 3 10 5" xfId="1649" xr:uid="{00000000-0005-0000-0000-00003B080000}"/>
    <cellStyle name="Normal 3 10 5 2" xfId="5420" xr:uid="{00000000-0005-0000-0000-00003C080000}"/>
    <cellStyle name="Normal 3 10 5 2 2" xfId="10708" xr:uid="{00000000-0005-0000-0000-00003D080000}"/>
    <cellStyle name="Normal 3 10 5 3" xfId="7062" xr:uid="{00000000-0005-0000-0000-00003E080000}"/>
    <cellStyle name="Normal 3 10 6" xfId="2201" xr:uid="{00000000-0005-0000-0000-00003F080000}"/>
    <cellStyle name="Normal 3 10 6 2" xfId="7559" xr:uid="{00000000-0005-0000-0000-000040080000}"/>
    <cellStyle name="Normal 3 10 7" xfId="3315" xr:uid="{00000000-0005-0000-0000-000041080000}"/>
    <cellStyle name="Normal 3 10 7 2" xfId="8607" xr:uid="{00000000-0005-0000-0000-000042080000}"/>
    <cellStyle name="Normal 3 10 8" xfId="4487" xr:uid="{00000000-0005-0000-0000-000043080000}"/>
    <cellStyle name="Normal 3 10 8 2" xfId="9775" xr:uid="{00000000-0005-0000-0000-000044080000}"/>
    <cellStyle name="Normal 3 10 9" xfId="6129" xr:uid="{00000000-0005-0000-0000-000045080000}"/>
    <cellStyle name="Normal 3 11" xfId="675" xr:uid="{00000000-0005-0000-0000-000046080000}"/>
    <cellStyle name="Normal 3 11 2" xfId="676" xr:uid="{00000000-0005-0000-0000-000047080000}"/>
    <cellStyle name="Normal 3 11 2 2" xfId="2708" xr:uid="{00000000-0005-0000-0000-000048080000}"/>
    <cellStyle name="Normal 3 11 2 2 2" xfId="8061" xr:uid="{00000000-0005-0000-0000-000049080000}"/>
    <cellStyle name="Normal 3 11 2 3" xfId="3818" xr:uid="{00000000-0005-0000-0000-00004A080000}"/>
    <cellStyle name="Normal 3 11 2 3 2" xfId="9109" xr:uid="{00000000-0005-0000-0000-00004B080000}"/>
    <cellStyle name="Normal 3 11 2 4" xfId="4494" xr:uid="{00000000-0005-0000-0000-00004C080000}"/>
    <cellStyle name="Normal 3 11 2 4 2" xfId="9782" xr:uid="{00000000-0005-0000-0000-00004D080000}"/>
    <cellStyle name="Normal 3 11 2 5" xfId="6136" xr:uid="{00000000-0005-0000-0000-00004E080000}"/>
    <cellStyle name="Normal 3 11 3" xfId="1652" xr:uid="{00000000-0005-0000-0000-00004F080000}"/>
    <cellStyle name="Normal 3 11 3 2" xfId="5423" xr:uid="{00000000-0005-0000-0000-000050080000}"/>
    <cellStyle name="Normal 3 11 3 2 2" xfId="10711" xr:uid="{00000000-0005-0000-0000-000051080000}"/>
    <cellStyle name="Normal 3 11 3 3" xfId="7065" xr:uid="{00000000-0005-0000-0000-000052080000}"/>
    <cellStyle name="Normal 3 11 4" xfId="2204" xr:uid="{00000000-0005-0000-0000-000053080000}"/>
    <cellStyle name="Normal 3 11 4 2" xfId="7562" xr:uid="{00000000-0005-0000-0000-000054080000}"/>
    <cellStyle name="Normal 3 11 5" xfId="3318" xr:uid="{00000000-0005-0000-0000-000055080000}"/>
    <cellStyle name="Normal 3 11 5 2" xfId="8610" xr:uid="{00000000-0005-0000-0000-000056080000}"/>
    <cellStyle name="Normal 3 11 6" xfId="4493" xr:uid="{00000000-0005-0000-0000-000057080000}"/>
    <cellStyle name="Normal 3 11 6 2" xfId="9781" xr:uid="{00000000-0005-0000-0000-000058080000}"/>
    <cellStyle name="Normal 3 11 7" xfId="6135" xr:uid="{00000000-0005-0000-0000-000059080000}"/>
    <cellStyle name="Normal 3 12" xfId="677" xr:uid="{00000000-0005-0000-0000-00005A080000}"/>
    <cellStyle name="Normal 3 12 2" xfId="678" xr:uid="{00000000-0005-0000-0000-00005B080000}"/>
    <cellStyle name="Normal 3 12 2 2" xfId="2709" xr:uid="{00000000-0005-0000-0000-00005C080000}"/>
    <cellStyle name="Normal 3 12 2 2 2" xfId="8062" xr:uid="{00000000-0005-0000-0000-00005D080000}"/>
    <cellStyle name="Normal 3 12 2 3" xfId="3819" xr:uid="{00000000-0005-0000-0000-00005E080000}"/>
    <cellStyle name="Normal 3 12 2 3 2" xfId="9110" xr:uid="{00000000-0005-0000-0000-00005F080000}"/>
    <cellStyle name="Normal 3 12 2 4" xfId="4496" xr:uid="{00000000-0005-0000-0000-000060080000}"/>
    <cellStyle name="Normal 3 12 2 4 2" xfId="9784" xr:uid="{00000000-0005-0000-0000-000061080000}"/>
    <cellStyle name="Normal 3 12 2 5" xfId="6138" xr:uid="{00000000-0005-0000-0000-000062080000}"/>
    <cellStyle name="Normal 3 12 3" xfId="1653" xr:uid="{00000000-0005-0000-0000-000063080000}"/>
    <cellStyle name="Normal 3 12 3 2" xfId="5424" xr:uid="{00000000-0005-0000-0000-000064080000}"/>
    <cellStyle name="Normal 3 12 3 2 2" xfId="10712" xr:uid="{00000000-0005-0000-0000-000065080000}"/>
    <cellStyle name="Normal 3 12 3 3" xfId="7066" xr:uid="{00000000-0005-0000-0000-000066080000}"/>
    <cellStyle name="Normal 3 12 4" xfId="2205" xr:uid="{00000000-0005-0000-0000-000067080000}"/>
    <cellStyle name="Normal 3 12 4 2" xfId="7563" xr:uid="{00000000-0005-0000-0000-000068080000}"/>
    <cellStyle name="Normal 3 12 5" xfId="3319" xr:uid="{00000000-0005-0000-0000-000069080000}"/>
    <cellStyle name="Normal 3 12 5 2" xfId="8611" xr:uid="{00000000-0005-0000-0000-00006A080000}"/>
    <cellStyle name="Normal 3 12 6" xfId="4495" xr:uid="{00000000-0005-0000-0000-00006B080000}"/>
    <cellStyle name="Normal 3 12 6 2" xfId="9783" xr:uid="{00000000-0005-0000-0000-00006C080000}"/>
    <cellStyle name="Normal 3 12 7" xfId="6137" xr:uid="{00000000-0005-0000-0000-00006D080000}"/>
    <cellStyle name="Normal 3 13" xfId="679" xr:uid="{00000000-0005-0000-0000-00006E080000}"/>
    <cellStyle name="Normal 3 13 2" xfId="2103" xr:uid="{00000000-0005-0000-0000-00006F080000}"/>
    <cellStyle name="Normal 3 13 3" xfId="2704" xr:uid="{00000000-0005-0000-0000-000070080000}"/>
    <cellStyle name="Normal 3 13 3 2" xfId="8057" xr:uid="{00000000-0005-0000-0000-000071080000}"/>
    <cellStyle name="Normal 3 13 4" xfId="3814" xr:uid="{00000000-0005-0000-0000-000072080000}"/>
    <cellStyle name="Normal 3 13 4 2" xfId="9105" xr:uid="{00000000-0005-0000-0000-000073080000}"/>
    <cellStyle name="Normal 3 13 5" xfId="4497" xr:uid="{00000000-0005-0000-0000-000074080000}"/>
    <cellStyle name="Normal 3 13 5 2" xfId="9785" xr:uid="{00000000-0005-0000-0000-000075080000}"/>
    <cellStyle name="Normal 3 13 6" xfId="6139" xr:uid="{00000000-0005-0000-0000-000076080000}"/>
    <cellStyle name="Normal 3 14" xfId="1648" xr:uid="{00000000-0005-0000-0000-000077080000}"/>
    <cellStyle name="Normal 3 14 2" xfId="5419" xr:uid="{00000000-0005-0000-0000-000078080000}"/>
    <cellStyle name="Normal 3 14 2 2" xfId="10707" xr:uid="{00000000-0005-0000-0000-000079080000}"/>
    <cellStyle name="Normal 3 14 3" xfId="7061" xr:uid="{00000000-0005-0000-0000-00007A080000}"/>
    <cellStyle name="Normal 3 15" xfId="2200" xr:uid="{00000000-0005-0000-0000-00007B080000}"/>
    <cellStyle name="Normal 3 15 2" xfId="5867" xr:uid="{00000000-0005-0000-0000-00007C080000}"/>
    <cellStyle name="Normal 3 15 3" xfId="7558" xr:uid="{00000000-0005-0000-0000-00007D080000}"/>
    <cellStyle name="Normal 3 16" xfId="3155" xr:uid="{00000000-0005-0000-0000-00007E080000}"/>
    <cellStyle name="Normal 3 17" xfId="3314" xr:uid="{00000000-0005-0000-0000-00007F080000}"/>
    <cellStyle name="Normal 3 17 2" xfId="8606" xr:uid="{00000000-0005-0000-0000-000080080000}"/>
    <cellStyle name="Normal 3 2" xfId="680" xr:uid="{00000000-0005-0000-0000-000081080000}"/>
    <cellStyle name="Normal 3 2 10" xfId="1654" xr:uid="{00000000-0005-0000-0000-000082080000}"/>
    <cellStyle name="Normal 3 2 10 2" xfId="5425" xr:uid="{00000000-0005-0000-0000-000083080000}"/>
    <cellStyle name="Normal 3 2 10 2 2" xfId="10713" xr:uid="{00000000-0005-0000-0000-000084080000}"/>
    <cellStyle name="Normal 3 2 10 3" xfId="7067" xr:uid="{00000000-0005-0000-0000-000085080000}"/>
    <cellStyle name="Normal 3 2 11" xfId="2206" xr:uid="{00000000-0005-0000-0000-000086080000}"/>
    <cellStyle name="Normal 3 2 11 2" xfId="5873" xr:uid="{00000000-0005-0000-0000-000087080000}"/>
    <cellStyle name="Normal 3 2 11 2 2" xfId="11157" xr:uid="{00000000-0005-0000-0000-000088080000}"/>
    <cellStyle name="Normal 3 2 11 3" xfId="7564" xr:uid="{00000000-0005-0000-0000-000089080000}"/>
    <cellStyle name="Normal 3 2 12" xfId="3190" xr:uid="{00000000-0005-0000-0000-00008A080000}"/>
    <cellStyle name="Normal 3 2 12 2" xfId="8509" xr:uid="{00000000-0005-0000-0000-00008B080000}"/>
    <cellStyle name="Normal 3 2 13" xfId="3229" xr:uid="{00000000-0005-0000-0000-00008C080000}"/>
    <cellStyle name="Normal 3 2 13 2" xfId="8526" xr:uid="{00000000-0005-0000-0000-00008D080000}"/>
    <cellStyle name="Normal 3 2 14" xfId="3247" xr:uid="{00000000-0005-0000-0000-00008E080000}"/>
    <cellStyle name="Normal 3 2 14 2" xfId="8543" xr:uid="{00000000-0005-0000-0000-00008F080000}"/>
    <cellStyle name="Normal 3 2 15" xfId="3320" xr:uid="{00000000-0005-0000-0000-000090080000}"/>
    <cellStyle name="Normal 3 2 15 2" xfId="8612" xr:uid="{00000000-0005-0000-0000-000091080000}"/>
    <cellStyle name="Normal 3 2 16" xfId="4498" xr:uid="{00000000-0005-0000-0000-000092080000}"/>
    <cellStyle name="Normal 3 2 16 2" xfId="9786" xr:uid="{00000000-0005-0000-0000-000093080000}"/>
    <cellStyle name="Normal 3 2 17" xfId="6140" xr:uid="{00000000-0005-0000-0000-000094080000}"/>
    <cellStyle name="Normal 3 2 2" xfId="681" xr:uid="{00000000-0005-0000-0000-000095080000}"/>
    <cellStyle name="Normal 3 2 2 10" xfId="3221" xr:uid="{00000000-0005-0000-0000-000096080000}"/>
    <cellStyle name="Normal 3 2 2 10 2" xfId="8520" xr:uid="{00000000-0005-0000-0000-000097080000}"/>
    <cellStyle name="Normal 3 2 2 11" xfId="3241" xr:uid="{00000000-0005-0000-0000-000098080000}"/>
    <cellStyle name="Normal 3 2 2 11 2" xfId="8537" xr:uid="{00000000-0005-0000-0000-000099080000}"/>
    <cellStyle name="Normal 3 2 2 12" xfId="3259" xr:uid="{00000000-0005-0000-0000-00009A080000}"/>
    <cellStyle name="Normal 3 2 2 12 2" xfId="8554" xr:uid="{00000000-0005-0000-0000-00009B080000}"/>
    <cellStyle name="Normal 3 2 2 13" xfId="3321" xr:uid="{00000000-0005-0000-0000-00009C080000}"/>
    <cellStyle name="Normal 3 2 2 13 2" xfId="8613" xr:uid="{00000000-0005-0000-0000-00009D080000}"/>
    <cellStyle name="Normal 3 2 2 14" xfId="4499" xr:uid="{00000000-0005-0000-0000-00009E080000}"/>
    <cellStyle name="Normal 3 2 2 14 2" xfId="9787" xr:uid="{00000000-0005-0000-0000-00009F080000}"/>
    <cellStyle name="Normal 3 2 2 15" xfId="6141" xr:uid="{00000000-0005-0000-0000-0000A0080000}"/>
    <cellStyle name="Normal 3 2 2 2" xfId="682" xr:uid="{00000000-0005-0000-0000-0000A1080000}"/>
    <cellStyle name="Normal 3 2 2 2 10" xfId="4500" xr:uid="{00000000-0005-0000-0000-0000A2080000}"/>
    <cellStyle name="Normal 3 2 2 2 10 2" xfId="9788" xr:uid="{00000000-0005-0000-0000-0000A3080000}"/>
    <cellStyle name="Normal 3 2 2 2 11" xfId="6142" xr:uid="{00000000-0005-0000-0000-0000A4080000}"/>
    <cellStyle name="Normal 3 2 2 2 2" xfId="683" xr:uid="{00000000-0005-0000-0000-0000A5080000}"/>
    <cellStyle name="Normal 3 2 2 2 2 10" xfId="6143" xr:uid="{00000000-0005-0000-0000-0000A6080000}"/>
    <cellStyle name="Normal 3 2 2 2 2 2" xfId="684" xr:uid="{00000000-0005-0000-0000-0000A7080000}"/>
    <cellStyle name="Normal 3 2 2 2 2 2 2" xfId="685" xr:uid="{00000000-0005-0000-0000-0000A8080000}"/>
    <cellStyle name="Normal 3 2 2 2 2 2 2 2" xfId="686" xr:uid="{00000000-0005-0000-0000-0000A9080000}"/>
    <cellStyle name="Normal 3 2 2 2 2 2 2 2 2" xfId="2715" xr:uid="{00000000-0005-0000-0000-0000AA080000}"/>
    <cellStyle name="Normal 3 2 2 2 2 2 2 2 2 2" xfId="8068" xr:uid="{00000000-0005-0000-0000-0000AB080000}"/>
    <cellStyle name="Normal 3 2 2 2 2 2 2 2 3" xfId="3825" xr:uid="{00000000-0005-0000-0000-0000AC080000}"/>
    <cellStyle name="Normal 3 2 2 2 2 2 2 2 3 2" xfId="9116" xr:uid="{00000000-0005-0000-0000-0000AD080000}"/>
    <cellStyle name="Normal 3 2 2 2 2 2 2 2 4" xfId="4504" xr:uid="{00000000-0005-0000-0000-0000AE080000}"/>
    <cellStyle name="Normal 3 2 2 2 2 2 2 2 4 2" xfId="9792" xr:uid="{00000000-0005-0000-0000-0000AF080000}"/>
    <cellStyle name="Normal 3 2 2 2 2 2 2 2 5" xfId="6146" xr:uid="{00000000-0005-0000-0000-0000B0080000}"/>
    <cellStyle name="Normal 3 2 2 2 2 2 2 3" xfId="1659" xr:uid="{00000000-0005-0000-0000-0000B1080000}"/>
    <cellStyle name="Normal 3 2 2 2 2 2 2 3 2" xfId="5430" xr:uid="{00000000-0005-0000-0000-0000B2080000}"/>
    <cellStyle name="Normal 3 2 2 2 2 2 2 3 2 2" xfId="10718" xr:uid="{00000000-0005-0000-0000-0000B3080000}"/>
    <cellStyle name="Normal 3 2 2 2 2 2 2 3 3" xfId="7072" xr:uid="{00000000-0005-0000-0000-0000B4080000}"/>
    <cellStyle name="Normal 3 2 2 2 2 2 2 4" xfId="2211" xr:uid="{00000000-0005-0000-0000-0000B5080000}"/>
    <cellStyle name="Normal 3 2 2 2 2 2 2 4 2" xfId="7569" xr:uid="{00000000-0005-0000-0000-0000B6080000}"/>
    <cellStyle name="Normal 3 2 2 2 2 2 2 5" xfId="3325" xr:uid="{00000000-0005-0000-0000-0000B7080000}"/>
    <cellStyle name="Normal 3 2 2 2 2 2 2 5 2" xfId="8617" xr:uid="{00000000-0005-0000-0000-0000B8080000}"/>
    <cellStyle name="Normal 3 2 2 2 2 2 2 6" xfId="4503" xr:uid="{00000000-0005-0000-0000-0000B9080000}"/>
    <cellStyle name="Normal 3 2 2 2 2 2 2 6 2" xfId="9791" xr:uid="{00000000-0005-0000-0000-0000BA080000}"/>
    <cellStyle name="Normal 3 2 2 2 2 2 2 7" xfId="6145" xr:uid="{00000000-0005-0000-0000-0000BB080000}"/>
    <cellStyle name="Normal 3 2 2 2 2 2 3" xfId="687" xr:uid="{00000000-0005-0000-0000-0000BC080000}"/>
    <cellStyle name="Normal 3 2 2 2 2 2 3 2" xfId="688" xr:uid="{00000000-0005-0000-0000-0000BD080000}"/>
    <cellStyle name="Normal 3 2 2 2 2 2 3 2 2" xfId="2716" xr:uid="{00000000-0005-0000-0000-0000BE080000}"/>
    <cellStyle name="Normal 3 2 2 2 2 2 3 2 2 2" xfId="8069" xr:uid="{00000000-0005-0000-0000-0000BF080000}"/>
    <cellStyle name="Normal 3 2 2 2 2 2 3 2 3" xfId="3826" xr:uid="{00000000-0005-0000-0000-0000C0080000}"/>
    <cellStyle name="Normal 3 2 2 2 2 2 3 2 3 2" xfId="9117" xr:uid="{00000000-0005-0000-0000-0000C1080000}"/>
    <cellStyle name="Normal 3 2 2 2 2 2 3 2 4" xfId="4506" xr:uid="{00000000-0005-0000-0000-0000C2080000}"/>
    <cellStyle name="Normal 3 2 2 2 2 2 3 2 4 2" xfId="9794" xr:uid="{00000000-0005-0000-0000-0000C3080000}"/>
    <cellStyle name="Normal 3 2 2 2 2 2 3 2 5" xfId="6148" xr:uid="{00000000-0005-0000-0000-0000C4080000}"/>
    <cellStyle name="Normal 3 2 2 2 2 2 3 3" xfId="1660" xr:uid="{00000000-0005-0000-0000-0000C5080000}"/>
    <cellStyle name="Normal 3 2 2 2 2 2 3 3 2" xfId="5431" xr:uid="{00000000-0005-0000-0000-0000C6080000}"/>
    <cellStyle name="Normal 3 2 2 2 2 2 3 3 2 2" xfId="10719" xr:uid="{00000000-0005-0000-0000-0000C7080000}"/>
    <cellStyle name="Normal 3 2 2 2 2 2 3 3 3" xfId="7073" xr:uid="{00000000-0005-0000-0000-0000C8080000}"/>
    <cellStyle name="Normal 3 2 2 2 2 2 3 4" xfId="2212" xr:uid="{00000000-0005-0000-0000-0000C9080000}"/>
    <cellStyle name="Normal 3 2 2 2 2 2 3 4 2" xfId="7570" xr:uid="{00000000-0005-0000-0000-0000CA080000}"/>
    <cellStyle name="Normal 3 2 2 2 2 2 3 5" xfId="3326" xr:uid="{00000000-0005-0000-0000-0000CB080000}"/>
    <cellStyle name="Normal 3 2 2 2 2 2 3 5 2" xfId="8618" xr:uid="{00000000-0005-0000-0000-0000CC080000}"/>
    <cellStyle name="Normal 3 2 2 2 2 2 3 6" xfId="4505" xr:uid="{00000000-0005-0000-0000-0000CD080000}"/>
    <cellStyle name="Normal 3 2 2 2 2 2 3 6 2" xfId="9793" xr:uid="{00000000-0005-0000-0000-0000CE080000}"/>
    <cellStyle name="Normal 3 2 2 2 2 2 3 7" xfId="6147" xr:uid="{00000000-0005-0000-0000-0000CF080000}"/>
    <cellStyle name="Normal 3 2 2 2 2 2 4" xfId="689" xr:uid="{00000000-0005-0000-0000-0000D0080000}"/>
    <cellStyle name="Normal 3 2 2 2 2 2 4 2" xfId="2714" xr:uid="{00000000-0005-0000-0000-0000D1080000}"/>
    <cellStyle name="Normal 3 2 2 2 2 2 4 2 2" xfId="8067" xr:uid="{00000000-0005-0000-0000-0000D2080000}"/>
    <cellStyle name="Normal 3 2 2 2 2 2 4 3" xfId="3824" xr:uid="{00000000-0005-0000-0000-0000D3080000}"/>
    <cellStyle name="Normal 3 2 2 2 2 2 4 3 2" xfId="9115" xr:uid="{00000000-0005-0000-0000-0000D4080000}"/>
    <cellStyle name="Normal 3 2 2 2 2 2 4 4" xfId="4507" xr:uid="{00000000-0005-0000-0000-0000D5080000}"/>
    <cellStyle name="Normal 3 2 2 2 2 2 4 4 2" xfId="9795" xr:uid="{00000000-0005-0000-0000-0000D6080000}"/>
    <cellStyle name="Normal 3 2 2 2 2 2 4 5" xfId="6149" xr:uid="{00000000-0005-0000-0000-0000D7080000}"/>
    <cellStyle name="Normal 3 2 2 2 2 2 5" xfId="1658" xr:uid="{00000000-0005-0000-0000-0000D8080000}"/>
    <cellStyle name="Normal 3 2 2 2 2 2 5 2" xfId="5429" xr:uid="{00000000-0005-0000-0000-0000D9080000}"/>
    <cellStyle name="Normal 3 2 2 2 2 2 5 2 2" xfId="10717" xr:uid="{00000000-0005-0000-0000-0000DA080000}"/>
    <cellStyle name="Normal 3 2 2 2 2 2 5 3" xfId="7071" xr:uid="{00000000-0005-0000-0000-0000DB080000}"/>
    <cellStyle name="Normal 3 2 2 2 2 2 6" xfId="2210" xr:uid="{00000000-0005-0000-0000-0000DC080000}"/>
    <cellStyle name="Normal 3 2 2 2 2 2 6 2" xfId="7568" xr:uid="{00000000-0005-0000-0000-0000DD080000}"/>
    <cellStyle name="Normal 3 2 2 2 2 2 7" xfId="3324" xr:uid="{00000000-0005-0000-0000-0000DE080000}"/>
    <cellStyle name="Normal 3 2 2 2 2 2 7 2" xfId="8616" xr:uid="{00000000-0005-0000-0000-0000DF080000}"/>
    <cellStyle name="Normal 3 2 2 2 2 2 8" xfId="4502" xr:uid="{00000000-0005-0000-0000-0000E0080000}"/>
    <cellStyle name="Normal 3 2 2 2 2 2 8 2" xfId="9790" xr:uid="{00000000-0005-0000-0000-0000E1080000}"/>
    <cellStyle name="Normal 3 2 2 2 2 2 9" xfId="6144" xr:uid="{00000000-0005-0000-0000-0000E2080000}"/>
    <cellStyle name="Normal 3 2 2 2 2 3" xfId="690" xr:uid="{00000000-0005-0000-0000-0000E3080000}"/>
    <cellStyle name="Normal 3 2 2 2 2 3 2" xfId="691" xr:uid="{00000000-0005-0000-0000-0000E4080000}"/>
    <cellStyle name="Normal 3 2 2 2 2 3 2 2" xfId="2717" xr:uid="{00000000-0005-0000-0000-0000E5080000}"/>
    <cellStyle name="Normal 3 2 2 2 2 3 2 2 2" xfId="8070" xr:uid="{00000000-0005-0000-0000-0000E6080000}"/>
    <cellStyle name="Normal 3 2 2 2 2 3 2 3" xfId="3827" xr:uid="{00000000-0005-0000-0000-0000E7080000}"/>
    <cellStyle name="Normal 3 2 2 2 2 3 2 3 2" xfId="9118" xr:uid="{00000000-0005-0000-0000-0000E8080000}"/>
    <cellStyle name="Normal 3 2 2 2 2 3 2 4" xfId="4509" xr:uid="{00000000-0005-0000-0000-0000E9080000}"/>
    <cellStyle name="Normal 3 2 2 2 2 3 2 4 2" xfId="9797" xr:uid="{00000000-0005-0000-0000-0000EA080000}"/>
    <cellStyle name="Normal 3 2 2 2 2 3 2 5" xfId="6151" xr:uid="{00000000-0005-0000-0000-0000EB080000}"/>
    <cellStyle name="Normal 3 2 2 2 2 3 3" xfId="1661" xr:uid="{00000000-0005-0000-0000-0000EC080000}"/>
    <cellStyle name="Normal 3 2 2 2 2 3 3 2" xfId="5432" xr:uid="{00000000-0005-0000-0000-0000ED080000}"/>
    <cellStyle name="Normal 3 2 2 2 2 3 3 2 2" xfId="10720" xr:uid="{00000000-0005-0000-0000-0000EE080000}"/>
    <cellStyle name="Normal 3 2 2 2 2 3 3 3" xfId="7074" xr:uid="{00000000-0005-0000-0000-0000EF080000}"/>
    <cellStyle name="Normal 3 2 2 2 2 3 4" xfId="2213" xr:uid="{00000000-0005-0000-0000-0000F0080000}"/>
    <cellStyle name="Normal 3 2 2 2 2 3 4 2" xfId="7571" xr:uid="{00000000-0005-0000-0000-0000F1080000}"/>
    <cellStyle name="Normal 3 2 2 2 2 3 5" xfId="3327" xr:uid="{00000000-0005-0000-0000-0000F2080000}"/>
    <cellStyle name="Normal 3 2 2 2 2 3 5 2" xfId="8619" xr:uid="{00000000-0005-0000-0000-0000F3080000}"/>
    <cellStyle name="Normal 3 2 2 2 2 3 6" xfId="4508" xr:uid="{00000000-0005-0000-0000-0000F4080000}"/>
    <cellStyle name="Normal 3 2 2 2 2 3 6 2" xfId="9796" xr:uid="{00000000-0005-0000-0000-0000F5080000}"/>
    <cellStyle name="Normal 3 2 2 2 2 3 7" xfId="6150" xr:uid="{00000000-0005-0000-0000-0000F6080000}"/>
    <cellStyle name="Normal 3 2 2 2 2 4" xfId="692" xr:uid="{00000000-0005-0000-0000-0000F7080000}"/>
    <cellStyle name="Normal 3 2 2 2 2 4 2" xfId="693" xr:uid="{00000000-0005-0000-0000-0000F8080000}"/>
    <cellStyle name="Normal 3 2 2 2 2 4 2 2" xfId="2718" xr:uid="{00000000-0005-0000-0000-0000F9080000}"/>
    <cellStyle name="Normal 3 2 2 2 2 4 2 2 2" xfId="8071" xr:uid="{00000000-0005-0000-0000-0000FA080000}"/>
    <cellStyle name="Normal 3 2 2 2 2 4 2 3" xfId="3828" xr:uid="{00000000-0005-0000-0000-0000FB080000}"/>
    <cellStyle name="Normal 3 2 2 2 2 4 2 3 2" xfId="9119" xr:uid="{00000000-0005-0000-0000-0000FC080000}"/>
    <cellStyle name="Normal 3 2 2 2 2 4 2 4" xfId="4511" xr:uid="{00000000-0005-0000-0000-0000FD080000}"/>
    <cellStyle name="Normal 3 2 2 2 2 4 2 4 2" xfId="9799" xr:uid="{00000000-0005-0000-0000-0000FE080000}"/>
    <cellStyle name="Normal 3 2 2 2 2 4 2 5" xfId="6153" xr:uid="{00000000-0005-0000-0000-0000FF080000}"/>
    <cellStyle name="Normal 3 2 2 2 2 4 3" xfId="1662" xr:uid="{00000000-0005-0000-0000-000000090000}"/>
    <cellStyle name="Normal 3 2 2 2 2 4 3 2" xfId="5433" xr:uid="{00000000-0005-0000-0000-000001090000}"/>
    <cellStyle name="Normal 3 2 2 2 2 4 3 2 2" xfId="10721" xr:uid="{00000000-0005-0000-0000-000002090000}"/>
    <cellStyle name="Normal 3 2 2 2 2 4 3 3" xfId="7075" xr:uid="{00000000-0005-0000-0000-000003090000}"/>
    <cellStyle name="Normal 3 2 2 2 2 4 4" xfId="2214" xr:uid="{00000000-0005-0000-0000-000004090000}"/>
    <cellStyle name="Normal 3 2 2 2 2 4 4 2" xfId="7572" xr:uid="{00000000-0005-0000-0000-000005090000}"/>
    <cellStyle name="Normal 3 2 2 2 2 4 5" xfId="3328" xr:uid="{00000000-0005-0000-0000-000006090000}"/>
    <cellStyle name="Normal 3 2 2 2 2 4 5 2" xfId="8620" xr:uid="{00000000-0005-0000-0000-000007090000}"/>
    <cellStyle name="Normal 3 2 2 2 2 4 6" xfId="4510" xr:uid="{00000000-0005-0000-0000-000008090000}"/>
    <cellStyle name="Normal 3 2 2 2 2 4 6 2" xfId="9798" xr:uid="{00000000-0005-0000-0000-000009090000}"/>
    <cellStyle name="Normal 3 2 2 2 2 4 7" xfId="6152" xr:uid="{00000000-0005-0000-0000-00000A090000}"/>
    <cellStyle name="Normal 3 2 2 2 2 5" xfId="694" xr:uid="{00000000-0005-0000-0000-00000B090000}"/>
    <cellStyle name="Normal 3 2 2 2 2 5 2" xfId="2713" xr:uid="{00000000-0005-0000-0000-00000C090000}"/>
    <cellStyle name="Normal 3 2 2 2 2 5 2 2" xfId="8066" xr:uid="{00000000-0005-0000-0000-00000D090000}"/>
    <cellStyle name="Normal 3 2 2 2 2 5 3" xfId="3823" xr:uid="{00000000-0005-0000-0000-00000E090000}"/>
    <cellStyle name="Normal 3 2 2 2 2 5 3 2" xfId="9114" xr:uid="{00000000-0005-0000-0000-00000F090000}"/>
    <cellStyle name="Normal 3 2 2 2 2 5 4" xfId="4512" xr:uid="{00000000-0005-0000-0000-000010090000}"/>
    <cellStyle name="Normal 3 2 2 2 2 5 4 2" xfId="9800" xr:uid="{00000000-0005-0000-0000-000011090000}"/>
    <cellStyle name="Normal 3 2 2 2 2 5 5" xfId="6154" xr:uid="{00000000-0005-0000-0000-000012090000}"/>
    <cellStyle name="Normal 3 2 2 2 2 6" xfId="1657" xr:uid="{00000000-0005-0000-0000-000013090000}"/>
    <cellStyle name="Normal 3 2 2 2 2 6 2" xfId="5428" xr:uid="{00000000-0005-0000-0000-000014090000}"/>
    <cellStyle name="Normal 3 2 2 2 2 6 2 2" xfId="10716" xr:uid="{00000000-0005-0000-0000-000015090000}"/>
    <cellStyle name="Normal 3 2 2 2 2 6 3" xfId="7070" xr:uid="{00000000-0005-0000-0000-000016090000}"/>
    <cellStyle name="Normal 3 2 2 2 2 7" xfId="2209" xr:uid="{00000000-0005-0000-0000-000017090000}"/>
    <cellStyle name="Normal 3 2 2 2 2 7 2" xfId="7567" xr:uid="{00000000-0005-0000-0000-000018090000}"/>
    <cellStyle name="Normal 3 2 2 2 2 8" xfId="3323" xr:uid="{00000000-0005-0000-0000-000019090000}"/>
    <cellStyle name="Normal 3 2 2 2 2 8 2" xfId="8615" xr:uid="{00000000-0005-0000-0000-00001A090000}"/>
    <cellStyle name="Normal 3 2 2 2 2 9" xfId="4501" xr:uid="{00000000-0005-0000-0000-00001B090000}"/>
    <cellStyle name="Normal 3 2 2 2 2 9 2" xfId="9789" xr:uid="{00000000-0005-0000-0000-00001C090000}"/>
    <cellStyle name="Normal 3 2 2 2 3" xfId="695" xr:uid="{00000000-0005-0000-0000-00001D090000}"/>
    <cellStyle name="Normal 3 2 2 2 3 2" xfId="696" xr:uid="{00000000-0005-0000-0000-00001E090000}"/>
    <cellStyle name="Normal 3 2 2 2 3 2 2" xfId="697" xr:uid="{00000000-0005-0000-0000-00001F090000}"/>
    <cellStyle name="Normal 3 2 2 2 3 2 2 2" xfId="2720" xr:uid="{00000000-0005-0000-0000-000020090000}"/>
    <cellStyle name="Normal 3 2 2 2 3 2 2 2 2" xfId="8073" xr:uid="{00000000-0005-0000-0000-000021090000}"/>
    <cellStyle name="Normal 3 2 2 2 3 2 2 3" xfId="3830" xr:uid="{00000000-0005-0000-0000-000022090000}"/>
    <cellStyle name="Normal 3 2 2 2 3 2 2 3 2" xfId="9121" xr:uid="{00000000-0005-0000-0000-000023090000}"/>
    <cellStyle name="Normal 3 2 2 2 3 2 2 4" xfId="4515" xr:uid="{00000000-0005-0000-0000-000024090000}"/>
    <cellStyle name="Normal 3 2 2 2 3 2 2 4 2" xfId="9803" xr:uid="{00000000-0005-0000-0000-000025090000}"/>
    <cellStyle name="Normal 3 2 2 2 3 2 2 5" xfId="6157" xr:uid="{00000000-0005-0000-0000-000026090000}"/>
    <cellStyle name="Normal 3 2 2 2 3 2 3" xfId="1664" xr:uid="{00000000-0005-0000-0000-000027090000}"/>
    <cellStyle name="Normal 3 2 2 2 3 2 3 2" xfId="5435" xr:uid="{00000000-0005-0000-0000-000028090000}"/>
    <cellStyle name="Normal 3 2 2 2 3 2 3 2 2" xfId="10723" xr:uid="{00000000-0005-0000-0000-000029090000}"/>
    <cellStyle name="Normal 3 2 2 2 3 2 3 3" xfId="7077" xr:uid="{00000000-0005-0000-0000-00002A090000}"/>
    <cellStyle name="Normal 3 2 2 2 3 2 4" xfId="2216" xr:uid="{00000000-0005-0000-0000-00002B090000}"/>
    <cellStyle name="Normal 3 2 2 2 3 2 4 2" xfId="7574" xr:uid="{00000000-0005-0000-0000-00002C090000}"/>
    <cellStyle name="Normal 3 2 2 2 3 2 5" xfId="3330" xr:uid="{00000000-0005-0000-0000-00002D090000}"/>
    <cellStyle name="Normal 3 2 2 2 3 2 5 2" xfId="8622" xr:uid="{00000000-0005-0000-0000-00002E090000}"/>
    <cellStyle name="Normal 3 2 2 2 3 2 6" xfId="4514" xr:uid="{00000000-0005-0000-0000-00002F090000}"/>
    <cellStyle name="Normal 3 2 2 2 3 2 6 2" xfId="9802" xr:uid="{00000000-0005-0000-0000-000030090000}"/>
    <cellStyle name="Normal 3 2 2 2 3 2 7" xfId="6156" xr:uid="{00000000-0005-0000-0000-000031090000}"/>
    <cellStyle name="Normal 3 2 2 2 3 3" xfId="698" xr:uid="{00000000-0005-0000-0000-000032090000}"/>
    <cellStyle name="Normal 3 2 2 2 3 3 2" xfId="699" xr:uid="{00000000-0005-0000-0000-000033090000}"/>
    <cellStyle name="Normal 3 2 2 2 3 3 2 2" xfId="2721" xr:uid="{00000000-0005-0000-0000-000034090000}"/>
    <cellStyle name="Normal 3 2 2 2 3 3 2 2 2" xfId="8074" xr:uid="{00000000-0005-0000-0000-000035090000}"/>
    <cellStyle name="Normal 3 2 2 2 3 3 2 3" xfId="3831" xr:uid="{00000000-0005-0000-0000-000036090000}"/>
    <cellStyle name="Normal 3 2 2 2 3 3 2 3 2" xfId="9122" xr:uid="{00000000-0005-0000-0000-000037090000}"/>
    <cellStyle name="Normal 3 2 2 2 3 3 2 4" xfId="4517" xr:uid="{00000000-0005-0000-0000-000038090000}"/>
    <cellStyle name="Normal 3 2 2 2 3 3 2 4 2" xfId="9805" xr:uid="{00000000-0005-0000-0000-000039090000}"/>
    <cellStyle name="Normal 3 2 2 2 3 3 2 5" xfId="6159" xr:uid="{00000000-0005-0000-0000-00003A090000}"/>
    <cellStyle name="Normal 3 2 2 2 3 3 3" xfId="1665" xr:uid="{00000000-0005-0000-0000-00003B090000}"/>
    <cellStyle name="Normal 3 2 2 2 3 3 3 2" xfId="5436" xr:uid="{00000000-0005-0000-0000-00003C090000}"/>
    <cellStyle name="Normal 3 2 2 2 3 3 3 2 2" xfId="10724" xr:uid="{00000000-0005-0000-0000-00003D090000}"/>
    <cellStyle name="Normal 3 2 2 2 3 3 3 3" xfId="7078" xr:uid="{00000000-0005-0000-0000-00003E090000}"/>
    <cellStyle name="Normal 3 2 2 2 3 3 4" xfId="2217" xr:uid="{00000000-0005-0000-0000-00003F090000}"/>
    <cellStyle name="Normal 3 2 2 2 3 3 4 2" xfId="7575" xr:uid="{00000000-0005-0000-0000-000040090000}"/>
    <cellStyle name="Normal 3 2 2 2 3 3 5" xfId="3331" xr:uid="{00000000-0005-0000-0000-000041090000}"/>
    <cellStyle name="Normal 3 2 2 2 3 3 5 2" xfId="8623" xr:uid="{00000000-0005-0000-0000-000042090000}"/>
    <cellStyle name="Normal 3 2 2 2 3 3 6" xfId="4516" xr:uid="{00000000-0005-0000-0000-000043090000}"/>
    <cellStyle name="Normal 3 2 2 2 3 3 6 2" xfId="9804" xr:uid="{00000000-0005-0000-0000-000044090000}"/>
    <cellStyle name="Normal 3 2 2 2 3 3 7" xfId="6158" xr:uid="{00000000-0005-0000-0000-000045090000}"/>
    <cellStyle name="Normal 3 2 2 2 3 4" xfId="700" xr:uid="{00000000-0005-0000-0000-000046090000}"/>
    <cellStyle name="Normal 3 2 2 2 3 4 2" xfId="2719" xr:uid="{00000000-0005-0000-0000-000047090000}"/>
    <cellStyle name="Normal 3 2 2 2 3 4 2 2" xfId="8072" xr:uid="{00000000-0005-0000-0000-000048090000}"/>
    <cellStyle name="Normal 3 2 2 2 3 4 3" xfId="3829" xr:uid="{00000000-0005-0000-0000-000049090000}"/>
    <cellStyle name="Normal 3 2 2 2 3 4 3 2" xfId="9120" xr:uid="{00000000-0005-0000-0000-00004A090000}"/>
    <cellStyle name="Normal 3 2 2 2 3 4 4" xfId="4518" xr:uid="{00000000-0005-0000-0000-00004B090000}"/>
    <cellStyle name="Normal 3 2 2 2 3 4 4 2" xfId="9806" xr:uid="{00000000-0005-0000-0000-00004C090000}"/>
    <cellStyle name="Normal 3 2 2 2 3 4 5" xfId="6160" xr:uid="{00000000-0005-0000-0000-00004D090000}"/>
    <cellStyle name="Normal 3 2 2 2 3 5" xfId="1663" xr:uid="{00000000-0005-0000-0000-00004E090000}"/>
    <cellStyle name="Normal 3 2 2 2 3 5 2" xfId="5434" xr:uid="{00000000-0005-0000-0000-00004F090000}"/>
    <cellStyle name="Normal 3 2 2 2 3 5 2 2" xfId="10722" xr:uid="{00000000-0005-0000-0000-000050090000}"/>
    <cellStyle name="Normal 3 2 2 2 3 5 3" xfId="7076" xr:uid="{00000000-0005-0000-0000-000051090000}"/>
    <cellStyle name="Normal 3 2 2 2 3 6" xfId="2215" xr:uid="{00000000-0005-0000-0000-000052090000}"/>
    <cellStyle name="Normal 3 2 2 2 3 6 2" xfId="7573" xr:uid="{00000000-0005-0000-0000-000053090000}"/>
    <cellStyle name="Normal 3 2 2 2 3 7" xfId="3329" xr:uid="{00000000-0005-0000-0000-000054090000}"/>
    <cellStyle name="Normal 3 2 2 2 3 7 2" xfId="8621" xr:uid="{00000000-0005-0000-0000-000055090000}"/>
    <cellStyle name="Normal 3 2 2 2 3 8" xfId="4513" xr:uid="{00000000-0005-0000-0000-000056090000}"/>
    <cellStyle name="Normal 3 2 2 2 3 8 2" xfId="9801" xr:uid="{00000000-0005-0000-0000-000057090000}"/>
    <cellStyle name="Normal 3 2 2 2 3 9" xfId="6155" xr:uid="{00000000-0005-0000-0000-000058090000}"/>
    <cellStyle name="Normal 3 2 2 2 4" xfId="701" xr:uid="{00000000-0005-0000-0000-000059090000}"/>
    <cellStyle name="Normal 3 2 2 2 4 2" xfId="702" xr:uid="{00000000-0005-0000-0000-00005A090000}"/>
    <cellStyle name="Normal 3 2 2 2 4 2 2" xfId="2722" xr:uid="{00000000-0005-0000-0000-00005B090000}"/>
    <cellStyle name="Normal 3 2 2 2 4 2 2 2" xfId="8075" xr:uid="{00000000-0005-0000-0000-00005C090000}"/>
    <cellStyle name="Normal 3 2 2 2 4 2 3" xfId="3832" xr:uid="{00000000-0005-0000-0000-00005D090000}"/>
    <cellStyle name="Normal 3 2 2 2 4 2 3 2" xfId="9123" xr:uid="{00000000-0005-0000-0000-00005E090000}"/>
    <cellStyle name="Normal 3 2 2 2 4 2 4" xfId="4520" xr:uid="{00000000-0005-0000-0000-00005F090000}"/>
    <cellStyle name="Normal 3 2 2 2 4 2 4 2" xfId="9808" xr:uid="{00000000-0005-0000-0000-000060090000}"/>
    <cellStyle name="Normal 3 2 2 2 4 2 5" xfId="6162" xr:uid="{00000000-0005-0000-0000-000061090000}"/>
    <cellStyle name="Normal 3 2 2 2 4 3" xfId="1666" xr:uid="{00000000-0005-0000-0000-000062090000}"/>
    <cellStyle name="Normal 3 2 2 2 4 3 2" xfId="5437" xr:uid="{00000000-0005-0000-0000-000063090000}"/>
    <cellStyle name="Normal 3 2 2 2 4 3 2 2" xfId="10725" xr:uid="{00000000-0005-0000-0000-000064090000}"/>
    <cellStyle name="Normal 3 2 2 2 4 3 3" xfId="7079" xr:uid="{00000000-0005-0000-0000-000065090000}"/>
    <cellStyle name="Normal 3 2 2 2 4 4" xfId="2218" xr:uid="{00000000-0005-0000-0000-000066090000}"/>
    <cellStyle name="Normal 3 2 2 2 4 4 2" xfId="7576" xr:uid="{00000000-0005-0000-0000-000067090000}"/>
    <cellStyle name="Normal 3 2 2 2 4 5" xfId="3332" xr:uid="{00000000-0005-0000-0000-000068090000}"/>
    <cellStyle name="Normal 3 2 2 2 4 5 2" xfId="8624" xr:uid="{00000000-0005-0000-0000-000069090000}"/>
    <cellStyle name="Normal 3 2 2 2 4 6" xfId="4519" xr:uid="{00000000-0005-0000-0000-00006A090000}"/>
    <cellStyle name="Normal 3 2 2 2 4 6 2" xfId="9807" xr:uid="{00000000-0005-0000-0000-00006B090000}"/>
    <cellStyle name="Normal 3 2 2 2 4 7" xfId="6161" xr:uid="{00000000-0005-0000-0000-00006C090000}"/>
    <cellStyle name="Normal 3 2 2 2 5" xfId="703" xr:uid="{00000000-0005-0000-0000-00006D090000}"/>
    <cellStyle name="Normal 3 2 2 2 5 2" xfId="704" xr:uid="{00000000-0005-0000-0000-00006E090000}"/>
    <cellStyle name="Normal 3 2 2 2 5 2 2" xfId="2723" xr:uid="{00000000-0005-0000-0000-00006F090000}"/>
    <cellStyle name="Normal 3 2 2 2 5 2 2 2" xfId="8076" xr:uid="{00000000-0005-0000-0000-000070090000}"/>
    <cellStyle name="Normal 3 2 2 2 5 2 3" xfId="3833" xr:uid="{00000000-0005-0000-0000-000071090000}"/>
    <cellStyle name="Normal 3 2 2 2 5 2 3 2" xfId="9124" xr:uid="{00000000-0005-0000-0000-000072090000}"/>
    <cellStyle name="Normal 3 2 2 2 5 2 4" xfId="4522" xr:uid="{00000000-0005-0000-0000-000073090000}"/>
    <cellStyle name="Normal 3 2 2 2 5 2 4 2" xfId="9810" xr:uid="{00000000-0005-0000-0000-000074090000}"/>
    <cellStyle name="Normal 3 2 2 2 5 2 5" xfId="6164" xr:uid="{00000000-0005-0000-0000-000075090000}"/>
    <cellStyle name="Normal 3 2 2 2 5 3" xfId="1667" xr:uid="{00000000-0005-0000-0000-000076090000}"/>
    <cellStyle name="Normal 3 2 2 2 5 3 2" xfId="5438" xr:uid="{00000000-0005-0000-0000-000077090000}"/>
    <cellStyle name="Normal 3 2 2 2 5 3 2 2" xfId="10726" xr:uid="{00000000-0005-0000-0000-000078090000}"/>
    <cellStyle name="Normal 3 2 2 2 5 3 3" xfId="7080" xr:uid="{00000000-0005-0000-0000-000079090000}"/>
    <cellStyle name="Normal 3 2 2 2 5 4" xfId="2219" xr:uid="{00000000-0005-0000-0000-00007A090000}"/>
    <cellStyle name="Normal 3 2 2 2 5 4 2" xfId="7577" xr:uid="{00000000-0005-0000-0000-00007B090000}"/>
    <cellStyle name="Normal 3 2 2 2 5 5" xfId="3333" xr:uid="{00000000-0005-0000-0000-00007C090000}"/>
    <cellStyle name="Normal 3 2 2 2 5 5 2" xfId="8625" xr:uid="{00000000-0005-0000-0000-00007D090000}"/>
    <cellStyle name="Normal 3 2 2 2 5 6" xfId="4521" xr:uid="{00000000-0005-0000-0000-00007E090000}"/>
    <cellStyle name="Normal 3 2 2 2 5 6 2" xfId="9809" xr:uid="{00000000-0005-0000-0000-00007F090000}"/>
    <cellStyle name="Normal 3 2 2 2 5 7" xfId="6163" xr:uid="{00000000-0005-0000-0000-000080090000}"/>
    <cellStyle name="Normal 3 2 2 2 6" xfId="705" xr:uid="{00000000-0005-0000-0000-000081090000}"/>
    <cellStyle name="Normal 3 2 2 2 6 2" xfId="2712" xr:uid="{00000000-0005-0000-0000-000082090000}"/>
    <cellStyle name="Normal 3 2 2 2 6 2 2" xfId="8065" xr:uid="{00000000-0005-0000-0000-000083090000}"/>
    <cellStyle name="Normal 3 2 2 2 6 3" xfId="3822" xr:uid="{00000000-0005-0000-0000-000084090000}"/>
    <cellStyle name="Normal 3 2 2 2 6 3 2" xfId="9113" xr:uid="{00000000-0005-0000-0000-000085090000}"/>
    <cellStyle name="Normal 3 2 2 2 6 4" xfId="4523" xr:uid="{00000000-0005-0000-0000-000086090000}"/>
    <cellStyle name="Normal 3 2 2 2 6 4 2" xfId="9811" xr:uid="{00000000-0005-0000-0000-000087090000}"/>
    <cellStyle name="Normal 3 2 2 2 6 5" xfId="6165" xr:uid="{00000000-0005-0000-0000-000088090000}"/>
    <cellStyle name="Normal 3 2 2 2 7" xfId="1656" xr:uid="{00000000-0005-0000-0000-000089090000}"/>
    <cellStyle name="Normal 3 2 2 2 7 2" xfId="5427" xr:uid="{00000000-0005-0000-0000-00008A090000}"/>
    <cellStyle name="Normal 3 2 2 2 7 2 2" xfId="10715" xr:uid="{00000000-0005-0000-0000-00008B090000}"/>
    <cellStyle name="Normal 3 2 2 2 7 3" xfId="7069" xr:uid="{00000000-0005-0000-0000-00008C090000}"/>
    <cellStyle name="Normal 3 2 2 2 8" xfId="2208" xr:uid="{00000000-0005-0000-0000-00008D090000}"/>
    <cellStyle name="Normal 3 2 2 2 8 2" xfId="7566" xr:uid="{00000000-0005-0000-0000-00008E090000}"/>
    <cellStyle name="Normal 3 2 2 2 9" xfId="3322" xr:uid="{00000000-0005-0000-0000-00008F090000}"/>
    <cellStyle name="Normal 3 2 2 2 9 2" xfId="8614" xr:uid="{00000000-0005-0000-0000-000090090000}"/>
    <cellStyle name="Normal 3 2 2 3" xfId="706" xr:uid="{00000000-0005-0000-0000-000091090000}"/>
    <cellStyle name="Normal 3 2 2 3 10" xfId="6166" xr:uid="{00000000-0005-0000-0000-000092090000}"/>
    <cellStyle name="Normal 3 2 2 3 2" xfId="707" xr:uid="{00000000-0005-0000-0000-000093090000}"/>
    <cellStyle name="Normal 3 2 2 3 2 2" xfId="708" xr:uid="{00000000-0005-0000-0000-000094090000}"/>
    <cellStyle name="Normal 3 2 2 3 2 2 2" xfId="709" xr:uid="{00000000-0005-0000-0000-000095090000}"/>
    <cellStyle name="Normal 3 2 2 3 2 2 2 2" xfId="2726" xr:uid="{00000000-0005-0000-0000-000096090000}"/>
    <cellStyle name="Normal 3 2 2 3 2 2 2 2 2" xfId="8079" xr:uid="{00000000-0005-0000-0000-000097090000}"/>
    <cellStyle name="Normal 3 2 2 3 2 2 2 3" xfId="3836" xr:uid="{00000000-0005-0000-0000-000098090000}"/>
    <cellStyle name="Normal 3 2 2 3 2 2 2 3 2" xfId="9127" xr:uid="{00000000-0005-0000-0000-000099090000}"/>
    <cellStyle name="Normal 3 2 2 3 2 2 2 4" xfId="4527" xr:uid="{00000000-0005-0000-0000-00009A090000}"/>
    <cellStyle name="Normal 3 2 2 3 2 2 2 4 2" xfId="9815" xr:uid="{00000000-0005-0000-0000-00009B090000}"/>
    <cellStyle name="Normal 3 2 2 3 2 2 2 5" xfId="6169" xr:uid="{00000000-0005-0000-0000-00009C090000}"/>
    <cellStyle name="Normal 3 2 2 3 2 2 3" xfId="1670" xr:uid="{00000000-0005-0000-0000-00009D090000}"/>
    <cellStyle name="Normal 3 2 2 3 2 2 3 2" xfId="5441" xr:uid="{00000000-0005-0000-0000-00009E090000}"/>
    <cellStyle name="Normal 3 2 2 3 2 2 3 2 2" xfId="10729" xr:uid="{00000000-0005-0000-0000-00009F090000}"/>
    <cellStyle name="Normal 3 2 2 3 2 2 3 3" xfId="7083" xr:uid="{00000000-0005-0000-0000-0000A0090000}"/>
    <cellStyle name="Normal 3 2 2 3 2 2 4" xfId="2222" xr:uid="{00000000-0005-0000-0000-0000A1090000}"/>
    <cellStyle name="Normal 3 2 2 3 2 2 4 2" xfId="7580" xr:uid="{00000000-0005-0000-0000-0000A2090000}"/>
    <cellStyle name="Normal 3 2 2 3 2 2 5" xfId="3336" xr:uid="{00000000-0005-0000-0000-0000A3090000}"/>
    <cellStyle name="Normal 3 2 2 3 2 2 5 2" xfId="8628" xr:uid="{00000000-0005-0000-0000-0000A4090000}"/>
    <cellStyle name="Normal 3 2 2 3 2 2 6" xfId="4526" xr:uid="{00000000-0005-0000-0000-0000A5090000}"/>
    <cellStyle name="Normal 3 2 2 3 2 2 6 2" xfId="9814" xr:uid="{00000000-0005-0000-0000-0000A6090000}"/>
    <cellStyle name="Normal 3 2 2 3 2 2 7" xfId="6168" xr:uid="{00000000-0005-0000-0000-0000A7090000}"/>
    <cellStyle name="Normal 3 2 2 3 2 3" xfId="710" xr:uid="{00000000-0005-0000-0000-0000A8090000}"/>
    <cellStyle name="Normal 3 2 2 3 2 3 2" xfId="711" xr:uid="{00000000-0005-0000-0000-0000A9090000}"/>
    <cellStyle name="Normal 3 2 2 3 2 3 2 2" xfId="2727" xr:uid="{00000000-0005-0000-0000-0000AA090000}"/>
    <cellStyle name="Normal 3 2 2 3 2 3 2 2 2" xfId="8080" xr:uid="{00000000-0005-0000-0000-0000AB090000}"/>
    <cellStyle name="Normal 3 2 2 3 2 3 2 3" xfId="3837" xr:uid="{00000000-0005-0000-0000-0000AC090000}"/>
    <cellStyle name="Normal 3 2 2 3 2 3 2 3 2" xfId="9128" xr:uid="{00000000-0005-0000-0000-0000AD090000}"/>
    <cellStyle name="Normal 3 2 2 3 2 3 2 4" xfId="4529" xr:uid="{00000000-0005-0000-0000-0000AE090000}"/>
    <cellStyle name="Normal 3 2 2 3 2 3 2 4 2" xfId="9817" xr:uid="{00000000-0005-0000-0000-0000AF090000}"/>
    <cellStyle name="Normal 3 2 2 3 2 3 2 5" xfId="6171" xr:uid="{00000000-0005-0000-0000-0000B0090000}"/>
    <cellStyle name="Normal 3 2 2 3 2 3 3" xfId="1671" xr:uid="{00000000-0005-0000-0000-0000B1090000}"/>
    <cellStyle name="Normal 3 2 2 3 2 3 3 2" xfId="5442" xr:uid="{00000000-0005-0000-0000-0000B2090000}"/>
    <cellStyle name="Normal 3 2 2 3 2 3 3 2 2" xfId="10730" xr:uid="{00000000-0005-0000-0000-0000B3090000}"/>
    <cellStyle name="Normal 3 2 2 3 2 3 3 3" xfId="7084" xr:uid="{00000000-0005-0000-0000-0000B4090000}"/>
    <cellStyle name="Normal 3 2 2 3 2 3 4" xfId="2223" xr:uid="{00000000-0005-0000-0000-0000B5090000}"/>
    <cellStyle name="Normal 3 2 2 3 2 3 4 2" xfId="7581" xr:uid="{00000000-0005-0000-0000-0000B6090000}"/>
    <cellStyle name="Normal 3 2 2 3 2 3 5" xfId="3337" xr:uid="{00000000-0005-0000-0000-0000B7090000}"/>
    <cellStyle name="Normal 3 2 2 3 2 3 5 2" xfId="8629" xr:uid="{00000000-0005-0000-0000-0000B8090000}"/>
    <cellStyle name="Normal 3 2 2 3 2 3 6" xfId="4528" xr:uid="{00000000-0005-0000-0000-0000B9090000}"/>
    <cellStyle name="Normal 3 2 2 3 2 3 6 2" xfId="9816" xr:uid="{00000000-0005-0000-0000-0000BA090000}"/>
    <cellStyle name="Normal 3 2 2 3 2 3 7" xfId="6170" xr:uid="{00000000-0005-0000-0000-0000BB090000}"/>
    <cellStyle name="Normal 3 2 2 3 2 4" xfId="712" xr:uid="{00000000-0005-0000-0000-0000BC090000}"/>
    <cellStyle name="Normal 3 2 2 3 2 4 2" xfId="2725" xr:uid="{00000000-0005-0000-0000-0000BD090000}"/>
    <cellStyle name="Normal 3 2 2 3 2 4 2 2" xfId="8078" xr:uid="{00000000-0005-0000-0000-0000BE090000}"/>
    <cellStyle name="Normal 3 2 2 3 2 4 3" xfId="3835" xr:uid="{00000000-0005-0000-0000-0000BF090000}"/>
    <cellStyle name="Normal 3 2 2 3 2 4 3 2" xfId="9126" xr:uid="{00000000-0005-0000-0000-0000C0090000}"/>
    <cellStyle name="Normal 3 2 2 3 2 4 4" xfId="4530" xr:uid="{00000000-0005-0000-0000-0000C1090000}"/>
    <cellStyle name="Normal 3 2 2 3 2 4 4 2" xfId="9818" xr:uid="{00000000-0005-0000-0000-0000C2090000}"/>
    <cellStyle name="Normal 3 2 2 3 2 4 5" xfId="6172" xr:uid="{00000000-0005-0000-0000-0000C3090000}"/>
    <cellStyle name="Normal 3 2 2 3 2 5" xfId="1669" xr:uid="{00000000-0005-0000-0000-0000C4090000}"/>
    <cellStyle name="Normal 3 2 2 3 2 5 2" xfId="5440" xr:uid="{00000000-0005-0000-0000-0000C5090000}"/>
    <cellStyle name="Normal 3 2 2 3 2 5 2 2" xfId="10728" xr:uid="{00000000-0005-0000-0000-0000C6090000}"/>
    <cellStyle name="Normal 3 2 2 3 2 5 3" xfId="7082" xr:uid="{00000000-0005-0000-0000-0000C7090000}"/>
    <cellStyle name="Normal 3 2 2 3 2 6" xfId="2221" xr:uid="{00000000-0005-0000-0000-0000C8090000}"/>
    <cellStyle name="Normal 3 2 2 3 2 6 2" xfId="7579" xr:uid="{00000000-0005-0000-0000-0000C9090000}"/>
    <cellStyle name="Normal 3 2 2 3 2 7" xfId="3335" xr:uid="{00000000-0005-0000-0000-0000CA090000}"/>
    <cellStyle name="Normal 3 2 2 3 2 7 2" xfId="8627" xr:uid="{00000000-0005-0000-0000-0000CB090000}"/>
    <cellStyle name="Normal 3 2 2 3 2 8" xfId="4525" xr:uid="{00000000-0005-0000-0000-0000CC090000}"/>
    <cellStyle name="Normal 3 2 2 3 2 8 2" xfId="9813" xr:uid="{00000000-0005-0000-0000-0000CD090000}"/>
    <cellStyle name="Normal 3 2 2 3 2 9" xfId="6167" xr:uid="{00000000-0005-0000-0000-0000CE090000}"/>
    <cellStyle name="Normal 3 2 2 3 3" xfId="713" xr:uid="{00000000-0005-0000-0000-0000CF090000}"/>
    <cellStyle name="Normal 3 2 2 3 3 2" xfId="714" xr:uid="{00000000-0005-0000-0000-0000D0090000}"/>
    <cellStyle name="Normal 3 2 2 3 3 2 2" xfId="2728" xr:uid="{00000000-0005-0000-0000-0000D1090000}"/>
    <cellStyle name="Normal 3 2 2 3 3 2 2 2" xfId="8081" xr:uid="{00000000-0005-0000-0000-0000D2090000}"/>
    <cellStyle name="Normal 3 2 2 3 3 2 3" xfId="3838" xr:uid="{00000000-0005-0000-0000-0000D3090000}"/>
    <cellStyle name="Normal 3 2 2 3 3 2 3 2" xfId="9129" xr:uid="{00000000-0005-0000-0000-0000D4090000}"/>
    <cellStyle name="Normal 3 2 2 3 3 2 4" xfId="4532" xr:uid="{00000000-0005-0000-0000-0000D5090000}"/>
    <cellStyle name="Normal 3 2 2 3 3 2 4 2" xfId="9820" xr:uid="{00000000-0005-0000-0000-0000D6090000}"/>
    <cellStyle name="Normal 3 2 2 3 3 2 5" xfId="6174" xr:uid="{00000000-0005-0000-0000-0000D7090000}"/>
    <cellStyle name="Normal 3 2 2 3 3 3" xfId="1672" xr:uid="{00000000-0005-0000-0000-0000D8090000}"/>
    <cellStyle name="Normal 3 2 2 3 3 3 2" xfId="5443" xr:uid="{00000000-0005-0000-0000-0000D9090000}"/>
    <cellStyle name="Normal 3 2 2 3 3 3 2 2" xfId="10731" xr:uid="{00000000-0005-0000-0000-0000DA090000}"/>
    <cellStyle name="Normal 3 2 2 3 3 3 3" xfId="7085" xr:uid="{00000000-0005-0000-0000-0000DB090000}"/>
    <cellStyle name="Normal 3 2 2 3 3 4" xfId="2224" xr:uid="{00000000-0005-0000-0000-0000DC090000}"/>
    <cellStyle name="Normal 3 2 2 3 3 4 2" xfId="7582" xr:uid="{00000000-0005-0000-0000-0000DD090000}"/>
    <cellStyle name="Normal 3 2 2 3 3 5" xfId="3338" xr:uid="{00000000-0005-0000-0000-0000DE090000}"/>
    <cellStyle name="Normal 3 2 2 3 3 5 2" xfId="8630" xr:uid="{00000000-0005-0000-0000-0000DF090000}"/>
    <cellStyle name="Normal 3 2 2 3 3 6" xfId="4531" xr:uid="{00000000-0005-0000-0000-0000E0090000}"/>
    <cellStyle name="Normal 3 2 2 3 3 6 2" xfId="9819" xr:uid="{00000000-0005-0000-0000-0000E1090000}"/>
    <cellStyle name="Normal 3 2 2 3 3 7" xfId="6173" xr:uid="{00000000-0005-0000-0000-0000E2090000}"/>
    <cellStyle name="Normal 3 2 2 3 4" xfId="715" xr:uid="{00000000-0005-0000-0000-0000E3090000}"/>
    <cellStyle name="Normal 3 2 2 3 4 2" xfId="716" xr:uid="{00000000-0005-0000-0000-0000E4090000}"/>
    <cellStyle name="Normal 3 2 2 3 4 2 2" xfId="2729" xr:uid="{00000000-0005-0000-0000-0000E5090000}"/>
    <cellStyle name="Normal 3 2 2 3 4 2 2 2" xfId="8082" xr:uid="{00000000-0005-0000-0000-0000E6090000}"/>
    <cellStyle name="Normal 3 2 2 3 4 2 3" xfId="3839" xr:uid="{00000000-0005-0000-0000-0000E7090000}"/>
    <cellStyle name="Normal 3 2 2 3 4 2 3 2" xfId="9130" xr:uid="{00000000-0005-0000-0000-0000E8090000}"/>
    <cellStyle name="Normal 3 2 2 3 4 2 4" xfId="4534" xr:uid="{00000000-0005-0000-0000-0000E9090000}"/>
    <cellStyle name="Normal 3 2 2 3 4 2 4 2" xfId="9822" xr:uid="{00000000-0005-0000-0000-0000EA090000}"/>
    <cellStyle name="Normal 3 2 2 3 4 2 5" xfId="6176" xr:uid="{00000000-0005-0000-0000-0000EB090000}"/>
    <cellStyle name="Normal 3 2 2 3 4 3" xfId="1673" xr:uid="{00000000-0005-0000-0000-0000EC090000}"/>
    <cellStyle name="Normal 3 2 2 3 4 3 2" xfId="5444" xr:uid="{00000000-0005-0000-0000-0000ED090000}"/>
    <cellStyle name="Normal 3 2 2 3 4 3 2 2" xfId="10732" xr:uid="{00000000-0005-0000-0000-0000EE090000}"/>
    <cellStyle name="Normal 3 2 2 3 4 3 3" xfId="7086" xr:uid="{00000000-0005-0000-0000-0000EF090000}"/>
    <cellStyle name="Normal 3 2 2 3 4 4" xfId="2225" xr:uid="{00000000-0005-0000-0000-0000F0090000}"/>
    <cellStyle name="Normal 3 2 2 3 4 4 2" xfId="7583" xr:uid="{00000000-0005-0000-0000-0000F1090000}"/>
    <cellStyle name="Normal 3 2 2 3 4 5" xfId="3339" xr:uid="{00000000-0005-0000-0000-0000F2090000}"/>
    <cellStyle name="Normal 3 2 2 3 4 5 2" xfId="8631" xr:uid="{00000000-0005-0000-0000-0000F3090000}"/>
    <cellStyle name="Normal 3 2 2 3 4 6" xfId="4533" xr:uid="{00000000-0005-0000-0000-0000F4090000}"/>
    <cellStyle name="Normal 3 2 2 3 4 6 2" xfId="9821" xr:uid="{00000000-0005-0000-0000-0000F5090000}"/>
    <cellStyle name="Normal 3 2 2 3 4 7" xfId="6175" xr:uid="{00000000-0005-0000-0000-0000F6090000}"/>
    <cellStyle name="Normal 3 2 2 3 5" xfId="717" xr:uid="{00000000-0005-0000-0000-0000F7090000}"/>
    <cellStyle name="Normal 3 2 2 3 5 2" xfId="2724" xr:uid="{00000000-0005-0000-0000-0000F8090000}"/>
    <cellStyle name="Normal 3 2 2 3 5 2 2" xfId="8077" xr:uid="{00000000-0005-0000-0000-0000F9090000}"/>
    <cellStyle name="Normal 3 2 2 3 5 3" xfId="3834" xr:uid="{00000000-0005-0000-0000-0000FA090000}"/>
    <cellStyle name="Normal 3 2 2 3 5 3 2" xfId="9125" xr:uid="{00000000-0005-0000-0000-0000FB090000}"/>
    <cellStyle name="Normal 3 2 2 3 5 4" xfId="4535" xr:uid="{00000000-0005-0000-0000-0000FC090000}"/>
    <cellStyle name="Normal 3 2 2 3 5 4 2" xfId="9823" xr:uid="{00000000-0005-0000-0000-0000FD090000}"/>
    <cellStyle name="Normal 3 2 2 3 5 5" xfId="6177" xr:uid="{00000000-0005-0000-0000-0000FE090000}"/>
    <cellStyle name="Normal 3 2 2 3 6" xfId="1668" xr:uid="{00000000-0005-0000-0000-0000FF090000}"/>
    <cellStyle name="Normal 3 2 2 3 6 2" xfId="5439" xr:uid="{00000000-0005-0000-0000-0000000A0000}"/>
    <cellStyle name="Normal 3 2 2 3 6 2 2" xfId="10727" xr:uid="{00000000-0005-0000-0000-0000010A0000}"/>
    <cellStyle name="Normal 3 2 2 3 6 3" xfId="7081" xr:uid="{00000000-0005-0000-0000-0000020A0000}"/>
    <cellStyle name="Normal 3 2 2 3 7" xfId="2220" xr:uid="{00000000-0005-0000-0000-0000030A0000}"/>
    <cellStyle name="Normal 3 2 2 3 7 2" xfId="7578" xr:uid="{00000000-0005-0000-0000-0000040A0000}"/>
    <cellStyle name="Normal 3 2 2 3 8" xfId="3334" xr:uid="{00000000-0005-0000-0000-0000050A0000}"/>
    <cellStyle name="Normal 3 2 2 3 8 2" xfId="8626" xr:uid="{00000000-0005-0000-0000-0000060A0000}"/>
    <cellStyle name="Normal 3 2 2 3 9" xfId="4524" xr:uid="{00000000-0005-0000-0000-0000070A0000}"/>
    <cellStyle name="Normal 3 2 2 3 9 2" xfId="9812" xr:uid="{00000000-0005-0000-0000-0000080A0000}"/>
    <cellStyle name="Normal 3 2 2 4" xfId="718" xr:uid="{00000000-0005-0000-0000-0000090A0000}"/>
    <cellStyle name="Normal 3 2 2 4 2" xfId="719" xr:uid="{00000000-0005-0000-0000-00000A0A0000}"/>
    <cellStyle name="Normal 3 2 2 4 2 2" xfId="720" xr:uid="{00000000-0005-0000-0000-00000B0A0000}"/>
    <cellStyle name="Normal 3 2 2 4 2 2 2" xfId="2731" xr:uid="{00000000-0005-0000-0000-00000C0A0000}"/>
    <cellStyle name="Normal 3 2 2 4 2 2 2 2" xfId="8084" xr:uid="{00000000-0005-0000-0000-00000D0A0000}"/>
    <cellStyle name="Normal 3 2 2 4 2 2 3" xfId="3841" xr:uid="{00000000-0005-0000-0000-00000E0A0000}"/>
    <cellStyle name="Normal 3 2 2 4 2 2 3 2" xfId="9132" xr:uid="{00000000-0005-0000-0000-00000F0A0000}"/>
    <cellStyle name="Normal 3 2 2 4 2 2 4" xfId="4538" xr:uid="{00000000-0005-0000-0000-0000100A0000}"/>
    <cellStyle name="Normal 3 2 2 4 2 2 4 2" xfId="9826" xr:uid="{00000000-0005-0000-0000-0000110A0000}"/>
    <cellStyle name="Normal 3 2 2 4 2 2 5" xfId="6180" xr:uid="{00000000-0005-0000-0000-0000120A0000}"/>
    <cellStyle name="Normal 3 2 2 4 2 3" xfId="1675" xr:uid="{00000000-0005-0000-0000-0000130A0000}"/>
    <cellStyle name="Normal 3 2 2 4 2 3 2" xfId="5446" xr:uid="{00000000-0005-0000-0000-0000140A0000}"/>
    <cellStyle name="Normal 3 2 2 4 2 3 2 2" xfId="10734" xr:uid="{00000000-0005-0000-0000-0000150A0000}"/>
    <cellStyle name="Normal 3 2 2 4 2 3 3" xfId="7088" xr:uid="{00000000-0005-0000-0000-0000160A0000}"/>
    <cellStyle name="Normal 3 2 2 4 2 4" xfId="2227" xr:uid="{00000000-0005-0000-0000-0000170A0000}"/>
    <cellStyle name="Normal 3 2 2 4 2 4 2" xfId="7585" xr:uid="{00000000-0005-0000-0000-0000180A0000}"/>
    <cellStyle name="Normal 3 2 2 4 2 5" xfId="3341" xr:uid="{00000000-0005-0000-0000-0000190A0000}"/>
    <cellStyle name="Normal 3 2 2 4 2 5 2" xfId="8633" xr:uid="{00000000-0005-0000-0000-00001A0A0000}"/>
    <cellStyle name="Normal 3 2 2 4 2 6" xfId="4537" xr:uid="{00000000-0005-0000-0000-00001B0A0000}"/>
    <cellStyle name="Normal 3 2 2 4 2 6 2" xfId="9825" xr:uid="{00000000-0005-0000-0000-00001C0A0000}"/>
    <cellStyle name="Normal 3 2 2 4 2 7" xfId="6179" xr:uid="{00000000-0005-0000-0000-00001D0A0000}"/>
    <cellStyle name="Normal 3 2 2 4 3" xfId="721" xr:uid="{00000000-0005-0000-0000-00001E0A0000}"/>
    <cellStyle name="Normal 3 2 2 4 3 2" xfId="722" xr:uid="{00000000-0005-0000-0000-00001F0A0000}"/>
    <cellStyle name="Normal 3 2 2 4 3 2 2" xfId="2732" xr:uid="{00000000-0005-0000-0000-0000200A0000}"/>
    <cellStyle name="Normal 3 2 2 4 3 2 2 2" xfId="8085" xr:uid="{00000000-0005-0000-0000-0000210A0000}"/>
    <cellStyle name="Normal 3 2 2 4 3 2 3" xfId="3842" xr:uid="{00000000-0005-0000-0000-0000220A0000}"/>
    <cellStyle name="Normal 3 2 2 4 3 2 3 2" xfId="9133" xr:uid="{00000000-0005-0000-0000-0000230A0000}"/>
    <cellStyle name="Normal 3 2 2 4 3 2 4" xfId="4540" xr:uid="{00000000-0005-0000-0000-0000240A0000}"/>
    <cellStyle name="Normal 3 2 2 4 3 2 4 2" xfId="9828" xr:uid="{00000000-0005-0000-0000-0000250A0000}"/>
    <cellStyle name="Normal 3 2 2 4 3 2 5" xfId="6182" xr:uid="{00000000-0005-0000-0000-0000260A0000}"/>
    <cellStyle name="Normal 3 2 2 4 3 3" xfId="1676" xr:uid="{00000000-0005-0000-0000-0000270A0000}"/>
    <cellStyle name="Normal 3 2 2 4 3 3 2" xfId="5447" xr:uid="{00000000-0005-0000-0000-0000280A0000}"/>
    <cellStyle name="Normal 3 2 2 4 3 3 2 2" xfId="10735" xr:uid="{00000000-0005-0000-0000-0000290A0000}"/>
    <cellStyle name="Normal 3 2 2 4 3 3 3" xfId="7089" xr:uid="{00000000-0005-0000-0000-00002A0A0000}"/>
    <cellStyle name="Normal 3 2 2 4 3 4" xfId="2228" xr:uid="{00000000-0005-0000-0000-00002B0A0000}"/>
    <cellStyle name="Normal 3 2 2 4 3 4 2" xfId="7586" xr:uid="{00000000-0005-0000-0000-00002C0A0000}"/>
    <cellStyle name="Normal 3 2 2 4 3 5" xfId="3342" xr:uid="{00000000-0005-0000-0000-00002D0A0000}"/>
    <cellStyle name="Normal 3 2 2 4 3 5 2" xfId="8634" xr:uid="{00000000-0005-0000-0000-00002E0A0000}"/>
    <cellStyle name="Normal 3 2 2 4 3 6" xfId="4539" xr:uid="{00000000-0005-0000-0000-00002F0A0000}"/>
    <cellStyle name="Normal 3 2 2 4 3 6 2" xfId="9827" xr:uid="{00000000-0005-0000-0000-0000300A0000}"/>
    <cellStyle name="Normal 3 2 2 4 3 7" xfId="6181" xr:uid="{00000000-0005-0000-0000-0000310A0000}"/>
    <cellStyle name="Normal 3 2 2 4 4" xfId="723" xr:uid="{00000000-0005-0000-0000-0000320A0000}"/>
    <cellStyle name="Normal 3 2 2 4 4 2" xfId="2730" xr:uid="{00000000-0005-0000-0000-0000330A0000}"/>
    <cellStyle name="Normal 3 2 2 4 4 2 2" xfId="8083" xr:uid="{00000000-0005-0000-0000-0000340A0000}"/>
    <cellStyle name="Normal 3 2 2 4 4 3" xfId="3840" xr:uid="{00000000-0005-0000-0000-0000350A0000}"/>
    <cellStyle name="Normal 3 2 2 4 4 3 2" xfId="9131" xr:uid="{00000000-0005-0000-0000-0000360A0000}"/>
    <cellStyle name="Normal 3 2 2 4 4 4" xfId="4541" xr:uid="{00000000-0005-0000-0000-0000370A0000}"/>
    <cellStyle name="Normal 3 2 2 4 4 4 2" xfId="9829" xr:uid="{00000000-0005-0000-0000-0000380A0000}"/>
    <cellStyle name="Normal 3 2 2 4 4 5" xfId="6183" xr:uid="{00000000-0005-0000-0000-0000390A0000}"/>
    <cellStyle name="Normal 3 2 2 4 5" xfId="1674" xr:uid="{00000000-0005-0000-0000-00003A0A0000}"/>
    <cellStyle name="Normal 3 2 2 4 5 2" xfId="5445" xr:uid="{00000000-0005-0000-0000-00003B0A0000}"/>
    <cellStyle name="Normal 3 2 2 4 5 2 2" xfId="10733" xr:uid="{00000000-0005-0000-0000-00003C0A0000}"/>
    <cellStyle name="Normal 3 2 2 4 5 3" xfId="7087" xr:uid="{00000000-0005-0000-0000-00003D0A0000}"/>
    <cellStyle name="Normal 3 2 2 4 6" xfId="2226" xr:uid="{00000000-0005-0000-0000-00003E0A0000}"/>
    <cellStyle name="Normal 3 2 2 4 6 2" xfId="7584" xr:uid="{00000000-0005-0000-0000-00003F0A0000}"/>
    <cellStyle name="Normal 3 2 2 4 7" xfId="3340" xr:uid="{00000000-0005-0000-0000-0000400A0000}"/>
    <cellStyle name="Normal 3 2 2 4 7 2" xfId="8632" xr:uid="{00000000-0005-0000-0000-0000410A0000}"/>
    <cellStyle name="Normal 3 2 2 4 8" xfId="4536" xr:uid="{00000000-0005-0000-0000-0000420A0000}"/>
    <cellStyle name="Normal 3 2 2 4 8 2" xfId="9824" xr:uid="{00000000-0005-0000-0000-0000430A0000}"/>
    <cellStyle name="Normal 3 2 2 4 9" xfId="6178" xr:uid="{00000000-0005-0000-0000-0000440A0000}"/>
    <cellStyle name="Normal 3 2 2 5" xfId="724" xr:uid="{00000000-0005-0000-0000-0000450A0000}"/>
    <cellStyle name="Normal 3 2 2 5 2" xfId="725" xr:uid="{00000000-0005-0000-0000-0000460A0000}"/>
    <cellStyle name="Normal 3 2 2 5 2 2" xfId="2733" xr:uid="{00000000-0005-0000-0000-0000470A0000}"/>
    <cellStyle name="Normal 3 2 2 5 2 2 2" xfId="8086" xr:uid="{00000000-0005-0000-0000-0000480A0000}"/>
    <cellStyle name="Normal 3 2 2 5 2 3" xfId="3843" xr:uid="{00000000-0005-0000-0000-0000490A0000}"/>
    <cellStyle name="Normal 3 2 2 5 2 3 2" xfId="9134" xr:uid="{00000000-0005-0000-0000-00004A0A0000}"/>
    <cellStyle name="Normal 3 2 2 5 2 4" xfId="4543" xr:uid="{00000000-0005-0000-0000-00004B0A0000}"/>
    <cellStyle name="Normal 3 2 2 5 2 4 2" xfId="9831" xr:uid="{00000000-0005-0000-0000-00004C0A0000}"/>
    <cellStyle name="Normal 3 2 2 5 2 5" xfId="6185" xr:uid="{00000000-0005-0000-0000-00004D0A0000}"/>
    <cellStyle name="Normal 3 2 2 5 3" xfId="1677" xr:uid="{00000000-0005-0000-0000-00004E0A0000}"/>
    <cellStyle name="Normal 3 2 2 5 3 2" xfId="5448" xr:uid="{00000000-0005-0000-0000-00004F0A0000}"/>
    <cellStyle name="Normal 3 2 2 5 3 2 2" xfId="10736" xr:uid="{00000000-0005-0000-0000-0000500A0000}"/>
    <cellStyle name="Normal 3 2 2 5 3 3" xfId="7090" xr:uid="{00000000-0005-0000-0000-0000510A0000}"/>
    <cellStyle name="Normal 3 2 2 5 4" xfId="2229" xr:uid="{00000000-0005-0000-0000-0000520A0000}"/>
    <cellStyle name="Normal 3 2 2 5 4 2" xfId="7587" xr:uid="{00000000-0005-0000-0000-0000530A0000}"/>
    <cellStyle name="Normal 3 2 2 5 5" xfId="3343" xr:uid="{00000000-0005-0000-0000-0000540A0000}"/>
    <cellStyle name="Normal 3 2 2 5 5 2" xfId="8635" xr:uid="{00000000-0005-0000-0000-0000550A0000}"/>
    <cellStyle name="Normal 3 2 2 5 6" xfId="4542" xr:uid="{00000000-0005-0000-0000-0000560A0000}"/>
    <cellStyle name="Normal 3 2 2 5 6 2" xfId="9830" xr:uid="{00000000-0005-0000-0000-0000570A0000}"/>
    <cellStyle name="Normal 3 2 2 5 7" xfId="6184" xr:uid="{00000000-0005-0000-0000-0000580A0000}"/>
    <cellStyle name="Normal 3 2 2 6" xfId="726" xr:uid="{00000000-0005-0000-0000-0000590A0000}"/>
    <cellStyle name="Normal 3 2 2 6 2" xfId="727" xr:uid="{00000000-0005-0000-0000-00005A0A0000}"/>
    <cellStyle name="Normal 3 2 2 6 2 2" xfId="2734" xr:uid="{00000000-0005-0000-0000-00005B0A0000}"/>
    <cellStyle name="Normal 3 2 2 6 2 2 2" xfId="8087" xr:uid="{00000000-0005-0000-0000-00005C0A0000}"/>
    <cellStyle name="Normal 3 2 2 6 2 3" xfId="3844" xr:uid="{00000000-0005-0000-0000-00005D0A0000}"/>
    <cellStyle name="Normal 3 2 2 6 2 3 2" xfId="9135" xr:uid="{00000000-0005-0000-0000-00005E0A0000}"/>
    <cellStyle name="Normal 3 2 2 6 2 4" xfId="4545" xr:uid="{00000000-0005-0000-0000-00005F0A0000}"/>
    <cellStyle name="Normal 3 2 2 6 2 4 2" xfId="9833" xr:uid="{00000000-0005-0000-0000-0000600A0000}"/>
    <cellStyle name="Normal 3 2 2 6 2 5" xfId="6187" xr:uid="{00000000-0005-0000-0000-0000610A0000}"/>
    <cellStyle name="Normal 3 2 2 6 3" xfId="1678" xr:uid="{00000000-0005-0000-0000-0000620A0000}"/>
    <cellStyle name="Normal 3 2 2 6 3 2" xfId="5449" xr:uid="{00000000-0005-0000-0000-0000630A0000}"/>
    <cellStyle name="Normal 3 2 2 6 3 2 2" xfId="10737" xr:uid="{00000000-0005-0000-0000-0000640A0000}"/>
    <cellStyle name="Normal 3 2 2 6 3 3" xfId="7091" xr:uid="{00000000-0005-0000-0000-0000650A0000}"/>
    <cellStyle name="Normal 3 2 2 6 4" xfId="2230" xr:uid="{00000000-0005-0000-0000-0000660A0000}"/>
    <cellStyle name="Normal 3 2 2 6 4 2" xfId="7588" xr:uid="{00000000-0005-0000-0000-0000670A0000}"/>
    <cellStyle name="Normal 3 2 2 6 5" xfId="3344" xr:uid="{00000000-0005-0000-0000-0000680A0000}"/>
    <cellStyle name="Normal 3 2 2 6 5 2" xfId="8636" xr:uid="{00000000-0005-0000-0000-0000690A0000}"/>
    <cellStyle name="Normal 3 2 2 6 6" xfId="4544" xr:uid="{00000000-0005-0000-0000-00006A0A0000}"/>
    <cellStyle name="Normal 3 2 2 6 6 2" xfId="9832" xr:uid="{00000000-0005-0000-0000-00006B0A0000}"/>
    <cellStyle name="Normal 3 2 2 6 7" xfId="6186" xr:uid="{00000000-0005-0000-0000-00006C0A0000}"/>
    <cellStyle name="Normal 3 2 2 7" xfId="728" xr:uid="{00000000-0005-0000-0000-00006D0A0000}"/>
    <cellStyle name="Normal 3 2 2 7 2" xfId="2711" xr:uid="{00000000-0005-0000-0000-00006E0A0000}"/>
    <cellStyle name="Normal 3 2 2 7 2 2" xfId="8064" xr:uid="{00000000-0005-0000-0000-00006F0A0000}"/>
    <cellStyle name="Normal 3 2 2 7 3" xfId="3821" xr:uid="{00000000-0005-0000-0000-0000700A0000}"/>
    <cellStyle name="Normal 3 2 2 7 3 2" xfId="9112" xr:uid="{00000000-0005-0000-0000-0000710A0000}"/>
    <cellStyle name="Normal 3 2 2 7 4" xfId="4546" xr:uid="{00000000-0005-0000-0000-0000720A0000}"/>
    <cellStyle name="Normal 3 2 2 7 4 2" xfId="9834" xr:uid="{00000000-0005-0000-0000-0000730A0000}"/>
    <cellStyle name="Normal 3 2 2 7 5" xfId="6188" xr:uid="{00000000-0005-0000-0000-0000740A0000}"/>
    <cellStyle name="Normal 3 2 2 8" xfId="1655" xr:uid="{00000000-0005-0000-0000-0000750A0000}"/>
    <cellStyle name="Normal 3 2 2 8 2" xfId="5426" xr:uid="{00000000-0005-0000-0000-0000760A0000}"/>
    <cellStyle name="Normal 3 2 2 8 2 2" xfId="10714" xr:uid="{00000000-0005-0000-0000-0000770A0000}"/>
    <cellStyle name="Normal 3 2 2 8 3" xfId="7068" xr:uid="{00000000-0005-0000-0000-0000780A0000}"/>
    <cellStyle name="Normal 3 2 2 9" xfId="2207" xr:uid="{00000000-0005-0000-0000-0000790A0000}"/>
    <cellStyle name="Normal 3 2 2 9 2" xfId="5895" xr:uid="{00000000-0005-0000-0000-00007A0A0000}"/>
    <cellStyle name="Normal 3 2 2 9 2 2" xfId="11168" xr:uid="{00000000-0005-0000-0000-00007B0A0000}"/>
    <cellStyle name="Normal 3 2 2 9 3" xfId="7565" xr:uid="{00000000-0005-0000-0000-00007C0A0000}"/>
    <cellStyle name="Normal 3 2 3" xfId="729" xr:uid="{00000000-0005-0000-0000-00007D0A0000}"/>
    <cellStyle name="Normal 3 2 3 10" xfId="4547" xr:uid="{00000000-0005-0000-0000-00007E0A0000}"/>
    <cellStyle name="Normal 3 2 3 10 2" xfId="9835" xr:uid="{00000000-0005-0000-0000-00007F0A0000}"/>
    <cellStyle name="Normal 3 2 3 11" xfId="6189" xr:uid="{00000000-0005-0000-0000-0000800A0000}"/>
    <cellStyle name="Normal 3 2 3 2" xfId="730" xr:uid="{00000000-0005-0000-0000-0000810A0000}"/>
    <cellStyle name="Normal 3 2 3 2 10" xfId="6190" xr:uid="{00000000-0005-0000-0000-0000820A0000}"/>
    <cellStyle name="Normal 3 2 3 2 2" xfId="731" xr:uid="{00000000-0005-0000-0000-0000830A0000}"/>
    <cellStyle name="Normal 3 2 3 2 2 2" xfId="732" xr:uid="{00000000-0005-0000-0000-0000840A0000}"/>
    <cellStyle name="Normal 3 2 3 2 2 2 2" xfId="733" xr:uid="{00000000-0005-0000-0000-0000850A0000}"/>
    <cellStyle name="Normal 3 2 3 2 2 2 2 2" xfId="2738" xr:uid="{00000000-0005-0000-0000-0000860A0000}"/>
    <cellStyle name="Normal 3 2 3 2 2 2 2 2 2" xfId="8091" xr:uid="{00000000-0005-0000-0000-0000870A0000}"/>
    <cellStyle name="Normal 3 2 3 2 2 2 2 3" xfId="3848" xr:uid="{00000000-0005-0000-0000-0000880A0000}"/>
    <cellStyle name="Normal 3 2 3 2 2 2 2 3 2" xfId="9139" xr:uid="{00000000-0005-0000-0000-0000890A0000}"/>
    <cellStyle name="Normal 3 2 3 2 2 2 2 4" xfId="4551" xr:uid="{00000000-0005-0000-0000-00008A0A0000}"/>
    <cellStyle name="Normal 3 2 3 2 2 2 2 4 2" xfId="9839" xr:uid="{00000000-0005-0000-0000-00008B0A0000}"/>
    <cellStyle name="Normal 3 2 3 2 2 2 2 5" xfId="6193" xr:uid="{00000000-0005-0000-0000-00008C0A0000}"/>
    <cellStyle name="Normal 3 2 3 2 2 2 3" xfId="1682" xr:uid="{00000000-0005-0000-0000-00008D0A0000}"/>
    <cellStyle name="Normal 3 2 3 2 2 2 3 2" xfId="5453" xr:uid="{00000000-0005-0000-0000-00008E0A0000}"/>
    <cellStyle name="Normal 3 2 3 2 2 2 3 2 2" xfId="10741" xr:uid="{00000000-0005-0000-0000-00008F0A0000}"/>
    <cellStyle name="Normal 3 2 3 2 2 2 3 3" xfId="7095" xr:uid="{00000000-0005-0000-0000-0000900A0000}"/>
    <cellStyle name="Normal 3 2 3 2 2 2 4" xfId="2234" xr:uid="{00000000-0005-0000-0000-0000910A0000}"/>
    <cellStyle name="Normal 3 2 3 2 2 2 4 2" xfId="7592" xr:uid="{00000000-0005-0000-0000-0000920A0000}"/>
    <cellStyle name="Normal 3 2 3 2 2 2 5" xfId="3348" xr:uid="{00000000-0005-0000-0000-0000930A0000}"/>
    <cellStyle name="Normal 3 2 3 2 2 2 5 2" xfId="8640" xr:uid="{00000000-0005-0000-0000-0000940A0000}"/>
    <cellStyle name="Normal 3 2 3 2 2 2 6" xfId="4550" xr:uid="{00000000-0005-0000-0000-0000950A0000}"/>
    <cellStyle name="Normal 3 2 3 2 2 2 6 2" xfId="9838" xr:uid="{00000000-0005-0000-0000-0000960A0000}"/>
    <cellStyle name="Normal 3 2 3 2 2 2 7" xfId="6192" xr:uid="{00000000-0005-0000-0000-0000970A0000}"/>
    <cellStyle name="Normal 3 2 3 2 2 3" xfId="734" xr:uid="{00000000-0005-0000-0000-0000980A0000}"/>
    <cellStyle name="Normal 3 2 3 2 2 3 2" xfId="735" xr:uid="{00000000-0005-0000-0000-0000990A0000}"/>
    <cellStyle name="Normal 3 2 3 2 2 3 2 2" xfId="2739" xr:uid="{00000000-0005-0000-0000-00009A0A0000}"/>
    <cellStyle name="Normal 3 2 3 2 2 3 2 2 2" xfId="8092" xr:uid="{00000000-0005-0000-0000-00009B0A0000}"/>
    <cellStyle name="Normal 3 2 3 2 2 3 2 3" xfId="3849" xr:uid="{00000000-0005-0000-0000-00009C0A0000}"/>
    <cellStyle name="Normal 3 2 3 2 2 3 2 3 2" xfId="9140" xr:uid="{00000000-0005-0000-0000-00009D0A0000}"/>
    <cellStyle name="Normal 3 2 3 2 2 3 2 4" xfId="4553" xr:uid="{00000000-0005-0000-0000-00009E0A0000}"/>
    <cellStyle name="Normal 3 2 3 2 2 3 2 4 2" xfId="9841" xr:uid="{00000000-0005-0000-0000-00009F0A0000}"/>
    <cellStyle name="Normal 3 2 3 2 2 3 2 5" xfId="6195" xr:uid="{00000000-0005-0000-0000-0000A00A0000}"/>
    <cellStyle name="Normal 3 2 3 2 2 3 3" xfId="1683" xr:uid="{00000000-0005-0000-0000-0000A10A0000}"/>
    <cellStyle name="Normal 3 2 3 2 2 3 3 2" xfId="5454" xr:uid="{00000000-0005-0000-0000-0000A20A0000}"/>
    <cellStyle name="Normal 3 2 3 2 2 3 3 2 2" xfId="10742" xr:uid="{00000000-0005-0000-0000-0000A30A0000}"/>
    <cellStyle name="Normal 3 2 3 2 2 3 3 3" xfId="7096" xr:uid="{00000000-0005-0000-0000-0000A40A0000}"/>
    <cellStyle name="Normal 3 2 3 2 2 3 4" xfId="2235" xr:uid="{00000000-0005-0000-0000-0000A50A0000}"/>
    <cellStyle name="Normal 3 2 3 2 2 3 4 2" xfId="7593" xr:uid="{00000000-0005-0000-0000-0000A60A0000}"/>
    <cellStyle name="Normal 3 2 3 2 2 3 5" xfId="3349" xr:uid="{00000000-0005-0000-0000-0000A70A0000}"/>
    <cellStyle name="Normal 3 2 3 2 2 3 5 2" xfId="8641" xr:uid="{00000000-0005-0000-0000-0000A80A0000}"/>
    <cellStyle name="Normal 3 2 3 2 2 3 6" xfId="4552" xr:uid="{00000000-0005-0000-0000-0000A90A0000}"/>
    <cellStyle name="Normal 3 2 3 2 2 3 6 2" xfId="9840" xr:uid="{00000000-0005-0000-0000-0000AA0A0000}"/>
    <cellStyle name="Normal 3 2 3 2 2 3 7" xfId="6194" xr:uid="{00000000-0005-0000-0000-0000AB0A0000}"/>
    <cellStyle name="Normal 3 2 3 2 2 4" xfId="736" xr:uid="{00000000-0005-0000-0000-0000AC0A0000}"/>
    <cellStyle name="Normal 3 2 3 2 2 4 2" xfId="2737" xr:uid="{00000000-0005-0000-0000-0000AD0A0000}"/>
    <cellStyle name="Normal 3 2 3 2 2 4 2 2" xfId="8090" xr:uid="{00000000-0005-0000-0000-0000AE0A0000}"/>
    <cellStyle name="Normal 3 2 3 2 2 4 3" xfId="3847" xr:uid="{00000000-0005-0000-0000-0000AF0A0000}"/>
    <cellStyle name="Normal 3 2 3 2 2 4 3 2" xfId="9138" xr:uid="{00000000-0005-0000-0000-0000B00A0000}"/>
    <cellStyle name="Normal 3 2 3 2 2 4 4" xfId="4554" xr:uid="{00000000-0005-0000-0000-0000B10A0000}"/>
    <cellStyle name="Normal 3 2 3 2 2 4 4 2" xfId="9842" xr:uid="{00000000-0005-0000-0000-0000B20A0000}"/>
    <cellStyle name="Normal 3 2 3 2 2 4 5" xfId="6196" xr:uid="{00000000-0005-0000-0000-0000B30A0000}"/>
    <cellStyle name="Normal 3 2 3 2 2 5" xfId="1681" xr:uid="{00000000-0005-0000-0000-0000B40A0000}"/>
    <cellStyle name="Normal 3 2 3 2 2 5 2" xfId="5452" xr:uid="{00000000-0005-0000-0000-0000B50A0000}"/>
    <cellStyle name="Normal 3 2 3 2 2 5 2 2" xfId="10740" xr:uid="{00000000-0005-0000-0000-0000B60A0000}"/>
    <cellStyle name="Normal 3 2 3 2 2 5 3" xfId="7094" xr:uid="{00000000-0005-0000-0000-0000B70A0000}"/>
    <cellStyle name="Normal 3 2 3 2 2 6" xfId="2233" xr:uid="{00000000-0005-0000-0000-0000B80A0000}"/>
    <cellStyle name="Normal 3 2 3 2 2 6 2" xfId="7591" xr:uid="{00000000-0005-0000-0000-0000B90A0000}"/>
    <cellStyle name="Normal 3 2 3 2 2 7" xfId="3347" xr:uid="{00000000-0005-0000-0000-0000BA0A0000}"/>
    <cellStyle name="Normal 3 2 3 2 2 7 2" xfId="8639" xr:uid="{00000000-0005-0000-0000-0000BB0A0000}"/>
    <cellStyle name="Normal 3 2 3 2 2 8" xfId="4549" xr:uid="{00000000-0005-0000-0000-0000BC0A0000}"/>
    <cellStyle name="Normal 3 2 3 2 2 8 2" xfId="9837" xr:uid="{00000000-0005-0000-0000-0000BD0A0000}"/>
    <cellStyle name="Normal 3 2 3 2 2 9" xfId="6191" xr:uid="{00000000-0005-0000-0000-0000BE0A0000}"/>
    <cellStyle name="Normal 3 2 3 2 3" xfId="737" xr:uid="{00000000-0005-0000-0000-0000BF0A0000}"/>
    <cellStyle name="Normal 3 2 3 2 3 2" xfId="738" xr:uid="{00000000-0005-0000-0000-0000C00A0000}"/>
    <cellStyle name="Normal 3 2 3 2 3 2 2" xfId="2740" xr:uid="{00000000-0005-0000-0000-0000C10A0000}"/>
    <cellStyle name="Normal 3 2 3 2 3 2 2 2" xfId="8093" xr:uid="{00000000-0005-0000-0000-0000C20A0000}"/>
    <cellStyle name="Normal 3 2 3 2 3 2 3" xfId="3850" xr:uid="{00000000-0005-0000-0000-0000C30A0000}"/>
    <cellStyle name="Normal 3 2 3 2 3 2 3 2" xfId="9141" xr:uid="{00000000-0005-0000-0000-0000C40A0000}"/>
    <cellStyle name="Normal 3 2 3 2 3 2 4" xfId="4556" xr:uid="{00000000-0005-0000-0000-0000C50A0000}"/>
    <cellStyle name="Normal 3 2 3 2 3 2 4 2" xfId="9844" xr:uid="{00000000-0005-0000-0000-0000C60A0000}"/>
    <cellStyle name="Normal 3 2 3 2 3 2 5" xfId="6198" xr:uid="{00000000-0005-0000-0000-0000C70A0000}"/>
    <cellStyle name="Normal 3 2 3 2 3 3" xfId="1684" xr:uid="{00000000-0005-0000-0000-0000C80A0000}"/>
    <cellStyle name="Normal 3 2 3 2 3 3 2" xfId="5455" xr:uid="{00000000-0005-0000-0000-0000C90A0000}"/>
    <cellStyle name="Normal 3 2 3 2 3 3 2 2" xfId="10743" xr:uid="{00000000-0005-0000-0000-0000CA0A0000}"/>
    <cellStyle name="Normal 3 2 3 2 3 3 3" xfId="7097" xr:uid="{00000000-0005-0000-0000-0000CB0A0000}"/>
    <cellStyle name="Normal 3 2 3 2 3 4" xfId="2236" xr:uid="{00000000-0005-0000-0000-0000CC0A0000}"/>
    <cellStyle name="Normal 3 2 3 2 3 4 2" xfId="7594" xr:uid="{00000000-0005-0000-0000-0000CD0A0000}"/>
    <cellStyle name="Normal 3 2 3 2 3 5" xfId="3350" xr:uid="{00000000-0005-0000-0000-0000CE0A0000}"/>
    <cellStyle name="Normal 3 2 3 2 3 5 2" xfId="8642" xr:uid="{00000000-0005-0000-0000-0000CF0A0000}"/>
    <cellStyle name="Normal 3 2 3 2 3 6" xfId="4555" xr:uid="{00000000-0005-0000-0000-0000D00A0000}"/>
    <cellStyle name="Normal 3 2 3 2 3 6 2" xfId="9843" xr:uid="{00000000-0005-0000-0000-0000D10A0000}"/>
    <cellStyle name="Normal 3 2 3 2 3 7" xfId="6197" xr:uid="{00000000-0005-0000-0000-0000D20A0000}"/>
    <cellStyle name="Normal 3 2 3 2 4" xfId="739" xr:uid="{00000000-0005-0000-0000-0000D30A0000}"/>
    <cellStyle name="Normal 3 2 3 2 4 2" xfId="740" xr:uid="{00000000-0005-0000-0000-0000D40A0000}"/>
    <cellStyle name="Normal 3 2 3 2 4 2 2" xfId="2741" xr:uid="{00000000-0005-0000-0000-0000D50A0000}"/>
    <cellStyle name="Normal 3 2 3 2 4 2 2 2" xfId="8094" xr:uid="{00000000-0005-0000-0000-0000D60A0000}"/>
    <cellStyle name="Normal 3 2 3 2 4 2 3" xfId="3851" xr:uid="{00000000-0005-0000-0000-0000D70A0000}"/>
    <cellStyle name="Normal 3 2 3 2 4 2 3 2" xfId="9142" xr:uid="{00000000-0005-0000-0000-0000D80A0000}"/>
    <cellStyle name="Normal 3 2 3 2 4 2 4" xfId="4558" xr:uid="{00000000-0005-0000-0000-0000D90A0000}"/>
    <cellStyle name="Normal 3 2 3 2 4 2 4 2" xfId="9846" xr:uid="{00000000-0005-0000-0000-0000DA0A0000}"/>
    <cellStyle name="Normal 3 2 3 2 4 2 5" xfId="6200" xr:uid="{00000000-0005-0000-0000-0000DB0A0000}"/>
    <cellStyle name="Normal 3 2 3 2 4 3" xfId="1685" xr:uid="{00000000-0005-0000-0000-0000DC0A0000}"/>
    <cellStyle name="Normal 3 2 3 2 4 3 2" xfId="5456" xr:uid="{00000000-0005-0000-0000-0000DD0A0000}"/>
    <cellStyle name="Normal 3 2 3 2 4 3 2 2" xfId="10744" xr:uid="{00000000-0005-0000-0000-0000DE0A0000}"/>
    <cellStyle name="Normal 3 2 3 2 4 3 3" xfId="7098" xr:uid="{00000000-0005-0000-0000-0000DF0A0000}"/>
    <cellStyle name="Normal 3 2 3 2 4 4" xfId="2237" xr:uid="{00000000-0005-0000-0000-0000E00A0000}"/>
    <cellStyle name="Normal 3 2 3 2 4 4 2" xfId="7595" xr:uid="{00000000-0005-0000-0000-0000E10A0000}"/>
    <cellStyle name="Normal 3 2 3 2 4 5" xfId="3351" xr:uid="{00000000-0005-0000-0000-0000E20A0000}"/>
    <cellStyle name="Normal 3 2 3 2 4 5 2" xfId="8643" xr:uid="{00000000-0005-0000-0000-0000E30A0000}"/>
    <cellStyle name="Normal 3 2 3 2 4 6" xfId="4557" xr:uid="{00000000-0005-0000-0000-0000E40A0000}"/>
    <cellStyle name="Normal 3 2 3 2 4 6 2" xfId="9845" xr:uid="{00000000-0005-0000-0000-0000E50A0000}"/>
    <cellStyle name="Normal 3 2 3 2 4 7" xfId="6199" xr:uid="{00000000-0005-0000-0000-0000E60A0000}"/>
    <cellStyle name="Normal 3 2 3 2 5" xfId="741" xr:uid="{00000000-0005-0000-0000-0000E70A0000}"/>
    <cellStyle name="Normal 3 2 3 2 5 2" xfId="2736" xr:uid="{00000000-0005-0000-0000-0000E80A0000}"/>
    <cellStyle name="Normal 3 2 3 2 5 2 2" xfId="8089" xr:uid="{00000000-0005-0000-0000-0000E90A0000}"/>
    <cellStyle name="Normal 3 2 3 2 5 3" xfId="3846" xr:uid="{00000000-0005-0000-0000-0000EA0A0000}"/>
    <cellStyle name="Normal 3 2 3 2 5 3 2" xfId="9137" xr:uid="{00000000-0005-0000-0000-0000EB0A0000}"/>
    <cellStyle name="Normal 3 2 3 2 5 4" xfId="4559" xr:uid="{00000000-0005-0000-0000-0000EC0A0000}"/>
    <cellStyle name="Normal 3 2 3 2 5 4 2" xfId="9847" xr:uid="{00000000-0005-0000-0000-0000ED0A0000}"/>
    <cellStyle name="Normal 3 2 3 2 5 5" xfId="6201" xr:uid="{00000000-0005-0000-0000-0000EE0A0000}"/>
    <cellStyle name="Normal 3 2 3 2 6" xfId="1680" xr:uid="{00000000-0005-0000-0000-0000EF0A0000}"/>
    <cellStyle name="Normal 3 2 3 2 6 2" xfId="5451" xr:uid="{00000000-0005-0000-0000-0000F00A0000}"/>
    <cellStyle name="Normal 3 2 3 2 6 2 2" xfId="10739" xr:uid="{00000000-0005-0000-0000-0000F10A0000}"/>
    <cellStyle name="Normal 3 2 3 2 6 3" xfId="7093" xr:uid="{00000000-0005-0000-0000-0000F20A0000}"/>
    <cellStyle name="Normal 3 2 3 2 7" xfId="2232" xr:uid="{00000000-0005-0000-0000-0000F30A0000}"/>
    <cellStyle name="Normal 3 2 3 2 7 2" xfId="7590" xr:uid="{00000000-0005-0000-0000-0000F40A0000}"/>
    <cellStyle name="Normal 3 2 3 2 8" xfId="3346" xr:uid="{00000000-0005-0000-0000-0000F50A0000}"/>
    <cellStyle name="Normal 3 2 3 2 8 2" xfId="8638" xr:uid="{00000000-0005-0000-0000-0000F60A0000}"/>
    <cellStyle name="Normal 3 2 3 2 9" xfId="4548" xr:uid="{00000000-0005-0000-0000-0000F70A0000}"/>
    <cellStyle name="Normal 3 2 3 2 9 2" xfId="9836" xr:uid="{00000000-0005-0000-0000-0000F80A0000}"/>
    <cellStyle name="Normal 3 2 3 3" xfId="742" xr:uid="{00000000-0005-0000-0000-0000F90A0000}"/>
    <cellStyle name="Normal 3 2 3 3 2" xfId="743" xr:uid="{00000000-0005-0000-0000-0000FA0A0000}"/>
    <cellStyle name="Normal 3 2 3 3 2 2" xfId="744" xr:uid="{00000000-0005-0000-0000-0000FB0A0000}"/>
    <cellStyle name="Normal 3 2 3 3 2 2 2" xfId="2743" xr:uid="{00000000-0005-0000-0000-0000FC0A0000}"/>
    <cellStyle name="Normal 3 2 3 3 2 2 2 2" xfId="8096" xr:uid="{00000000-0005-0000-0000-0000FD0A0000}"/>
    <cellStyle name="Normal 3 2 3 3 2 2 3" xfId="3853" xr:uid="{00000000-0005-0000-0000-0000FE0A0000}"/>
    <cellStyle name="Normal 3 2 3 3 2 2 3 2" xfId="9144" xr:uid="{00000000-0005-0000-0000-0000FF0A0000}"/>
    <cellStyle name="Normal 3 2 3 3 2 2 4" xfId="4562" xr:uid="{00000000-0005-0000-0000-0000000B0000}"/>
    <cellStyle name="Normal 3 2 3 3 2 2 4 2" xfId="9850" xr:uid="{00000000-0005-0000-0000-0000010B0000}"/>
    <cellStyle name="Normal 3 2 3 3 2 2 5" xfId="6204" xr:uid="{00000000-0005-0000-0000-0000020B0000}"/>
    <cellStyle name="Normal 3 2 3 3 2 3" xfId="1687" xr:uid="{00000000-0005-0000-0000-0000030B0000}"/>
    <cellStyle name="Normal 3 2 3 3 2 3 2" xfId="5458" xr:uid="{00000000-0005-0000-0000-0000040B0000}"/>
    <cellStyle name="Normal 3 2 3 3 2 3 2 2" xfId="10746" xr:uid="{00000000-0005-0000-0000-0000050B0000}"/>
    <cellStyle name="Normal 3 2 3 3 2 3 3" xfId="7100" xr:uid="{00000000-0005-0000-0000-0000060B0000}"/>
    <cellStyle name="Normal 3 2 3 3 2 4" xfId="2239" xr:uid="{00000000-0005-0000-0000-0000070B0000}"/>
    <cellStyle name="Normal 3 2 3 3 2 4 2" xfId="7597" xr:uid="{00000000-0005-0000-0000-0000080B0000}"/>
    <cellStyle name="Normal 3 2 3 3 2 5" xfId="3353" xr:uid="{00000000-0005-0000-0000-0000090B0000}"/>
    <cellStyle name="Normal 3 2 3 3 2 5 2" xfId="8645" xr:uid="{00000000-0005-0000-0000-00000A0B0000}"/>
    <cellStyle name="Normal 3 2 3 3 2 6" xfId="4561" xr:uid="{00000000-0005-0000-0000-00000B0B0000}"/>
    <cellStyle name="Normal 3 2 3 3 2 6 2" xfId="9849" xr:uid="{00000000-0005-0000-0000-00000C0B0000}"/>
    <cellStyle name="Normal 3 2 3 3 2 7" xfId="6203" xr:uid="{00000000-0005-0000-0000-00000D0B0000}"/>
    <cellStyle name="Normal 3 2 3 3 3" xfId="745" xr:uid="{00000000-0005-0000-0000-00000E0B0000}"/>
    <cellStyle name="Normal 3 2 3 3 3 2" xfId="746" xr:uid="{00000000-0005-0000-0000-00000F0B0000}"/>
    <cellStyle name="Normal 3 2 3 3 3 2 2" xfId="2744" xr:uid="{00000000-0005-0000-0000-0000100B0000}"/>
    <cellStyle name="Normal 3 2 3 3 3 2 2 2" xfId="8097" xr:uid="{00000000-0005-0000-0000-0000110B0000}"/>
    <cellStyle name="Normal 3 2 3 3 3 2 3" xfId="3854" xr:uid="{00000000-0005-0000-0000-0000120B0000}"/>
    <cellStyle name="Normal 3 2 3 3 3 2 3 2" xfId="9145" xr:uid="{00000000-0005-0000-0000-0000130B0000}"/>
    <cellStyle name="Normal 3 2 3 3 3 2 4" xfId="4564" xr:uid="{00000000-0005-0000-0000-0000140B0000}"/>
    <cellStyle name="Normal 3 2 3 3 3 2 4 2" xfId="9852" xr:uid="{00000000-0005-0000-0000-0000150B0000}"/>
    <cellStyle name="Normal 3 2 3 3 3 2 5" xfId="6206" xr:uid="{00000000-0005-0000-0000-0000160B0000}"/>
    <cellStyle name="Normal 3 2 3 3 3 3" xfId="1688" xr:uid="{00000000-0005-0000-0000-0000170B0000}"/>
    <cellStyle name="Normal 3 2 3 3 3 3 2" xfId="5459" xr:uid="{00000000-0005-0000-0000-0000180B0000}"/>
    <cellStyle name="Normal 3 2 3 3 3 3 2 2" xfId="10747" xr:uid="{00000000-0005-0000-0000-0000190B0000}"/>
    <cellStyle name="Normal 3 2 3 3 3 3 3" xfId="7101" xr:uid="{00000000-0005-0000-0000-00001A0B0000}"/>
    <cellStyle name="Normal 3 2 3 3 3 4" xfId="2240" xr:uid="{00000000-0005-0000-0000-00001B0B0000}"/>
    <cellStyle name="Normal 3 2 3 3 3 4 2" xfId="7598" xr:uid="{00000000-0005-0000-0000-00001C0B0000}"/>
    <cellStyle name="Normal 3 2 3 3 3 5" xfId="3354" xr:uid="{00000000-0005-0000-0000-00001D0B0000}"/>
    <cellStyle name="Normal 3 2 3 3 3 5 2" xfId="8646" xr:uid="{00000000-0005-0000-0000-00001E0B0000}"/>
    <cellStyle name="Normal 3 2 3 3 3 6" xfId="4563" xr:uid="{00000000-0005-0000-0000-00001F0B0000}"/>
    <cellStyle name="Normal 3 2 3 3 3 6 2" xfId="9851" xr:uid="{00000000-0005-0000-0000-0000200B0000}"/>
    <cellStyle name="Normal 3 2 3 3 3 7" xfId="6205" xr:uid="{00000000-0005-0000-0000-0000210B0000}"/>
    <cellStyle name="Normal 3 2 3 3 4" xfId="747" xr:uid="{00000000-0005-0000-0000-0000220B0000}"/>
    <cellStyle name="Normal 3 2 3 3 4 2" xfId="2742" xr:uid="{00000000-0005-0000-0000-0000230B0000}"/>
    <cellStyle name="Normal 3 2 3 3 4 2 2" xfId="8095" xr:uid="{00000000-0005-0000-0000-0000240B0000}"/>
    <cellStyle name="Normal 3 2 3 3 4 3" xfId="3852" xr:uid="{00000000-0005-0000-0000-0000250B0000}"/>
    <cellStyle name="Normal 3 2 3 3 4 3 2" xfId="9143" xr:uid="{00000000-0005-0000-0000-0000260B0000}"/>
    <cellStyle name="Normal 3 2 3 3 4 4" xfId="4565" xr:uid="{00000000-0005-0000-0000-0000270B0000}"/>
    <cellStyle name="Normal 3 2 3 3 4 4 2" xfId="9853" xr:uid="{00000000-0005-0000-0000-0000280B0000}"/>
    <cellStyle name="Normal 3 2 3 3 4 5" xfId="6207" xr:uid="{00000000-0005-0000-0000-0000290B0000}"/>
    <cellStyle name="Normal 3 2 3 3 5" xfId="1686" xr:uid="{00000000-0005-0000-0000-00002A0B0000}"/>
    <cellStyle name="Normal 3 2 3 3 5 2" xfId="5457" xr:uid="{00000000-0005-0000-0000-00002B0B0000}"/>
    <cellStyle name="Normal 3 2 3 3 5 2 2" xfId="10745" xr:uid="{00000000-0005-0000-0000-00002C0B0000}"/>
    <cellStyle name="Normal 3 2 3 3 5 3" xfId="7099" xr:uid="{00000000-0005-0000-0000-00002D0B0000}"/>
    <cellStyle name="Normal 3 2 3 3 6" xfId="2238" xr:uid="{00000000-0005-0000-0000-00002E0B0000}"/>
    <cellStyle name="Normal 3 2 3 3 6 2" xfId="7596" xr:uid="{00000000-0005-0000-0000-00002F0B0000}"/>
    <cellStyle name="Normal 3 2 3 3 7" xfId="3352" xr:uid="{00000000-0005-0000-0000-0000300B0000}"/>
    <cellStyle name="Normal 3 2 3 3 7 2" xfId="8644" xr:uid="{00000000-0005-0000-0000-0000310B0000}"/>
    <cellStyle name="Normal 3 2 3 3 8" xfId="4560" xr:uid="{00000000-0005-0000-0000-0000320B0000}"/>
    <cellStyle name="Normal 3 2 3 3 8 2" xfId="9848" xr:uid="{00000000-0005-0000-0000-0000330B0000}"/>
    <cellStyle name="Normal 3 2 3 3 9" xfId="6202" xr:uid="{00000000-0005-0000-0000-0000340B0000}"/>
    <cellStyle name="Normal 3 2 3 4" xfId="748" xr:uid="{00000000-0005-0000-0000-0000350B0000}"/>
    <cellStyle name="Normal 3 2 3 4 2" xfId="749" xr:uid="{00000000-0005-0000-0000-0000360B0000}"/>
    <cellStyle name="Normal 3 2 3 4 2 2" xfId="2745" xr:uid="{00000000-0005-0000-0000-0000370B0000}"/>
    <cellStyle name="Normal 3 2 3 4 2 2 2" xfId="8098" xr:uid="{00000000-0005-0000-0000-0000380B0000}"/>
    <cellStyle name="Normal 3 2 3 4 2 3" xfId="3855" xr:uid="{00000000-0005-0000-0000-0000390B0000}"/>
    <cellStyle name="Normal 3 2 3 4 2 3 2" xfId="9146" xr:uid="{00000000-0005-0000-0000-00003A0B0000}"/>
    <cellStyle name="Normal 3 2 3 4 2 4" xfId="4567" xr:uid="{00000000-0005-0000-0000-00003B0B0000}"/>
    <cellStyle name="Normal 3 2 3 4 2 4 2" xfId="9855" xr:uid="{00000000-0005-0000-0000-00003C0B0000}"/>
    <cellStyle name="Normal 3 2 3 4 2 5" xfId="6209" xr:uid="{00000000-0005-0000-0000-00003D0B0000}"/>
    <cellStyle name="Normal 3 2 3 4 3" xfId="1689" xr:uid="{00000000-0005-0000-0000-00003E0B0000}"/>
    <cellStyle name="Normal 3 2 3 4 3 2" xfId="5460" xr:uid="{00000000-0005-0000-0000-00003F0B0000}"/>
    <cellStyle name="Normal 3 2 3 4 3 2 2" xfId="10748" xr:uid="{00000000-0005-0000-0000-0000400B0000}"/>
    <cellStyle name="Normal 3 2 3 4 3 3" xfId="7102" xr:uid="{00000000-0005-0000-0000-0000410B0000}"/>
    <cellStyle name="Normal 3 2 3 4 4" xfId="2241" xr:uid="{00000000-0005-0000-0000-0000420B0000}"/>
    <cellStyle name="Normal 3 2 3 4 4 2" xfId="7599" xr:uid="{00000000-0005-0000-0000-0000430B0000}"/>
    <cellStyle name="Normal 3 2 3 4 5" xfId="3355" xr:uid="{00000000-0005-0000-0000-0000440B0000}"/>
    <cellStyle name="Normal 3 2 3 4 5 2" xfId="8647" xr:uid="{00000000-0005-0000-0000-0000450B0000}"/>
    <cellStyle name="Normal 3 2 3 4 6" xfId="4566" xr:uid="{00000000-0005-0000-0000-0000460B0000}"/>
    <cellStyle name="Normal 3 2 3 4 6 2" xfId="9854" xr:uid="{00000000-0005-0000-0000-0000470B0000}"/>
    <cellStyle name="Normal 3 2 3 4 7" xfId="6208" xr:uid="{00000000-0005-0000-0000-0000480B0000}"/>
    <cellStyle name="Normal 3 2 3 5" xfId="750" xr:uid="{00000000-0005-0000-0000-0000490B0000}"/>
    <cellStyle name="Normal 3 2 3 5 2" xfId="751" xr:uid="{00000000-0005-0000-0000-00004A0B0000}"/>
    <cellStyle name="Normal 3 2 3 5 2 2" xfId="2746" xr:uid="{00000000-0005-0000-0000-00004B0B0000}"/>
    <cellStyle name="Normal 3 2 3 5 2 2 2" xfId="8099" xr:uid="{00000000-0005-0000-0000-00004C0B0000}"/>
    <cellStyle name="Normal 3 2 3 5 2 3" xfId="3856" xr:uid="{00000000-0005-0000-0000-00004D0B0000}"/>
    <cellStyle name="Normal 3 2 3 5 2 3 2" xfId="9147" xr:uid="{00000000-0005-0000-0000-00004E0B0000}"/>
    <cellStyle name="Normal 3 2 3 5 2 4" xfId="4569" xr:uid="{00000000-0005-0000-0000-00004F0B0000}"/>
    <cellStyle name="Normal 3 2 3 5 2 4 2" xfId="9857" xr:uid="{00000000-0005-0000-0000-0000500B0000}"/>
    <cellStyle name="Normal 3 2 3 5 2 5" xfId="6211" xr:uid="{00000000-0005-0000-0000-0000510B0000}"/>
    <cellStyle name="Normal 3 2 3 5 3" xfId="1690" xr:uid="{00000000-0005-0000-0000-0000520B0000}"/>
    <cellStyle name="Normal 3 2 3 5 3 2" xfId="5461" xr:uid="{00000000-0005-0000-0000-0000530B0000}"/>
    <cellStyle name="Normal 3 2 3 5 3 2 2" xfId="10749" xr:uid="{00000000-0005-0000-0000-0000540B0000}"/>
    <cellStyle name="Normal 3 2 3 5 3 3" xfId="7103" xr:uid="{00000000-0005-0000-0000-0000550B0000}"/>
    <cellStyle name="Normal 3 2 3 5 4" xfId="2242" xr:uid="{00000000-0005-0000-0000-0000560B0000}"/>
    <cellStyle name="Normal 3 2 3 5 4 2" xfId="7600" xr:uid="{00000000-0005-0000-0000-0000570B0000}"/>
    <cellStyle name="Normal 3 2 3 5 5" xfId="3356" xr:uid="{00000000-0005-0000-0000-0000580B0000}"/>
    <cellStyle name="Normal 3 2 3 5 5 2" xfId="8648" xr:uid="{00000000-0005-0000-0000-0000590B0000}"/>
    <cellStyle name="Normal 3 2 3 5 6" xfId="4568" xr:uid="{00000000-0005-0000-0000-00005A0B0000}"/>
    <cellStyle name="Normal 3 2 3 5 6 2" xfId="9856" xr:uid="{00000000-0005-0000-0000-00005B0B0000}"/>
    <cellStyle name="Normal 3 2 3 5 7" xfId="6210" xr:uid="{00000000-0005-0000-0000-00005C0B0000}"/>
    <cellStyle name="Normal 3 2 3 6" xfId="752" xr:uid="{00000000-0005-0000-0000-00005D0B0000}"/>
    <cellStyle name="Normal 3 2 3 6 2" xfId="2735" xr:uid="{00000000-0005-0000-0000-00005E0B0000}"/>
    <cellStyle name="Normal 3 2 3 6 2 2" xfId="8088" xr:uid="{00000000-0005-0000-0000-00005F0B0000}"/>
    <cellStyle name="Normal 3 2 3 6 3" xfId="3845" xr:uid="{00000000-0005-0000-0000-0000600B0000}"/>
    <cellStyle name="Normal 3 2 3 6 3 2" xfId="9136" xr:uid="{00000000-0005-0000-0000-0000610B0000}"/>
    <cellStyle name="Normal 3 2 3 6 4" xfId="4570" xr:uid="{00000000-0005-0000-0000-0000620B0000}"/>
    <cellStyle name="Normal 3 2 3 6 4 2" xfId="9858" xr:uid="{00000000-0005-0000-0000-0000630B0000}"/>
    <cellStyle name="Normal 3 2 3 6 5" xfId="6212" xr:uid="{00000000-0005-0000-0000-0000640B0000}"/>
    <cellStyle name="Normal 3 2 3 7" xfId="1679" xr:uid="{00000000-0005-0000-0000-0000650B0000}"/>
    <cellStyle name="Normal 3 2 3 7 2" xfId="5450" xr:uid="{00000000-0005-0000-0000-0000660B0000}"/>
    <cellStyle name="Normal 3 2 3 7 2 2" xfId="10738" xr:uid="{00000000-0005-0000-0000-0000670B0000}"/>
    <cellStyle name="Normal 3 2 3 7 3" xfId="7092" xr:uid="{00000000-0005-0000-0000-0000680B0000}"/>
    <cellStyle name="Normal 3 2 3 8" xfId="2231" xr:uid="{00000000-0005-0000-0000-0000690B0000}"/>
    <cellStyle name="Normal 3 2 3 8 2" xfId="7589" xr:uid="{00000000-0005-0000-0000-00006A0B0000}"/>
    <cellStyle name="Normal 3 2 3 9" xfId="3345" xr:uid="{00000000-0005-0000-0000-00006B0B0000}"/>
    <cellStyle name="Normal 3 2 3 9 2" xfId="8637" xr:uid="{00000000-0005-0000-0000-00006C0B0000}"/>
    <cellStyle name="Normal 3 2 4" xfId="753" xr:uid="{00000000-0005-0000-0000-00006D0B0000}"/>
    <cellStyle name="Normal 3 2 4 10" xfId="4571" xr:uid="{00000000-0005-0000-0000-00006E0B0000}"/>
    <cellStyle name="Normal 3 2 4 10 2" xfId="9859" xr:uid="{00000000-0005-0000-0000-00006F0B0000}"/>
    <cellStyle name="Normal 3 2 4 11" xfId="6213" xr:uid="{00000000-0005-0000-0000-0000700B0000}"/>
    <cellStyle name="Normal 3 2 4 2" xfId="754" xr:uid="{00000000-0005-0000-0000-0000710B0000}"/>
    <cellStyle name="Normal 3 2 4 2 10" xfId="6214" xr:uid="{00000000-0005-0000-0000-0000720B0000}"/>
    <cellStyle name="Normal 3 2 4 2 2" xfId="755" xr:uid="{00000000-0005-0000-0000-0000730B0000}"/>
    <cellStyle name="Normal 3 2 4 2 2 2" xfId="756" xr:uid="{00000000-0005-0000-0000-0000740B0000}"/>
    <cellStyle name="Normal 3 2 4 2 2 2 2" xfId="757" xr:uid="{00000000-0005-0000-0000-0000750B0000}"/>
    <cellStyle name="Normal 3 2 4 2 2 2 2 2" xfId="2750" xr:uid="{00000000-0005-0000-0000-0000760B0000}"/>
    <cellStyle name="Normal 3 2 4 2 2 2 2 2 2" xfId="8103" xr:uid="{00000000-0005-0000-0000-0000770B0000}"/>
    <cellStyle name="Normal 3 2 4 2 2 2 2 3" xfId="3860" xr:uid="{00000000-0005-0000-0000-0000780B0000}"/>
    <cellStyle name="Normal 3 2 4 2 2 2 2 3 2" xfId="9151" xr:uid="{00000000-0005-0000-0000-0000790B0000}"/>
    <cellStyle name="Normal 3 2 4 2 2 2 2 4" xfId="4575" xr:uid="{00000000-0005-0000-0000-00007A0B0000}"/>
    <cellStyle name="Normal 3 2 4 2 2 2 2 4 2" xfId="9863" xr:uid="{00000000-0005-0000-0000-00007B0B0000}"/>
    <cellStyle name="Normal 3 2 4 2 2 2 2 5" xfId="6217" xr:uid="{00000000-0005-0000-0000-00007C0B0000}"/>
    <cellStyle name="Normal 3 2 4 2 2 2 3" xfId="1694" xr:uid="{00000000-0005-0000-0000-00007D0B0000}"/>
    <cellStyle name="Normal 3 2 4 2 2 2 3 2" xfId="5465" xr:uid="{00000000-0005-0000-0000-00007E0B0000}"/>
    <cellStyle name="Normal 3 2 4 2 2 2 3 2 2" xfId="10753" xr:uid="{00000000-0005-0000-0000-00007F0B0000}"/>
    <cellStyle name="Normal 3 2 4 2 2 2 3 3" xfId="7107" xr:uid="{00000000-0005-0000-0000-0000800B0000}"/>
    <cellStyle name="Normal 3 2 4 2 2 2 4" xfId="2246" xr:uid="{00000000-0005-0000-0000-0000810B0000}"/>
    <cellStyle name="Normal 3 2 4 2 2 2 4 2" xfId="7604" xr:uid="{00000000-0005-0000-0000-0000820B0000}"/>
    <cellStyle name="Normal 3 2 4 2 2 2 5" xfId="3360" xr:uid="{00000000-0005-0000-0000-0000830B0000}"/>
    <cellStyle name="Normal 3 2 4 2 2 2 5 2" xfId="8652" xr:uid="{00000000-0005-0000-0000-0000840B0000}"/>
    <cellStyle name="Normal 3 2 4 2 2 2 6" xfId="4574" xr:uid="{00000000-0005-0000-0000-0000850B0000}"/>
    <cellStyle name="Normal 3 2 4 2 2 2 6 2" xfId="9862" xr:uid="{00000000-0005-0000-0000-0000860B0000}"/>
    <cellStyle name="Normal 3 2 4 2 2 2 7" xfId="6216" xr:uid="{00000000-0005-0000-0000-0000870B0000}"/>
    <cellStyle name="Normal 3 2 4 2 2 3" xfId="758" xr:uid="{00000000-0005-0000-0000-0000880B0000}"/>
    <cellStyle name="Normal 3 2 4 2 2 3 2" xfId="759" xr:uid="{00000000-0005-0000-0000-0000890B0000}"/>
    <cellStyle name="Normal 3 2 4 2 2 3 2 2" xfId="2751" xr:uid="{00000000-0005-0000-0000-00008A0B0000}"/>
    <cellStyle name="Normal 3 2 4 2 2 3 2 2 2" xfId="8104" xr:uid="{00000000-0005-0000-0000-00008B0B0000}"/>
    <cellStyle name="Normal 3 2 4 2 2 3 2 3" xfId="3861" xr:uid="{00000000-0005-0000-0000-00008C0B0000}"/>
    <cellStyle name="Normal 3 2 4 2 2 3 2 3 2" xfId="9152" xr:uid="{00000000-0005-0000-0000-00008D0B0000}"/>
    <cellStyle name="Normal 3 2 4 2 2 3 2 4" xfId="4577" xr:uid="{00000000-0005-0000-0000-00008E0B0000}"/>
    <cellStyle name="Normal 3 2 4 2 2 3 2 4 2" xfId="9865" xr:uid="{00000000-0005-0000-0000-00008F0B0000}"/>
    <cellStyle name="Normal 3 2 4 2 2 3 2 5" xfId="6219" xr:uid="{00000000-0005-0000-0000-0000900B0000}"/>
    <cellStyle name="Normal 3 2 4 2 2 3 3" xfId="1695" xr:uid="{00000000-0005-0000-0000-0000910B0000}"/>
    <cellStyle name="Normal 3 2 4 2 2 3 3 2" xfId="5466" xr:uid="{00000000-0005-0000-0000-0000920B0000}"/>
    <cellStyle name="Normal 3 2 4 2 2 3 3 2 2" xfId="10754" xr:uid="{00000000-0005-0000-0000-0000930B0000}"/>
    <cellStyle name="Normal 3 2 4 2 2 3 3 3" xfId="7108" xr:uid="{00000000-0005-0000-0000-0000940B0000}"/>
    <cellStyle name="Normal 3 2 4 2 2 3 4" xfId="2247" xr:uid="{00000000-0005-0000-0000-0000950B0000}"/>
    <cellStyle name="Normal 3 2 4 2 2 3 4 2" xfId="7605" xr:uid="{00000000-0005-0000-0000-0000960B0000}"/>
    <cellStyle name="Normal 3 2 4 2 2 3 5" xfId="3361" xr:uid="{00000000-0005-0000-0000-0000970B0000}"/>
    <cellStyle name="Normal 3 2 4 2 2 3 5 2" xfId="8653" xr:uid="{00000000-0005-0000-0000-0000980B0000}"/>
    <cellStyle name="Normal 3 2 4 2 2 3 6" xfId="4576" xr:uid="{00000000-0005-0000-0000-0000990B0000}"/>
    <cellStyle name="Normal 3 2 4 2 2 3 6 2" xfId="9864" xr:uid="{00000000-0005-0000-0000-00009A0B0000}"/>
    <cellStyle name="Normal 3 2 4 2 2 3 7" xfId="6218" xr:uid="{00000000-0005-0000-0000-00009B0B0000}"/>
    <cellStyle name="Normal 3 2 4 2 2 4" xfId="760" xr:uid="{00000000-0005-0000-0000-00009C0B0000}"/>
    <cellStyle name="Normal 3 2 4 2 2 4 2" xfId="2749" xr:uid="{00000000-0005-0000-0000-00009D0B0000}"/>
    <cellStyle name="Normal 3 2 4 2 2 4 2 2" xfId="8102" xr:uid="{00000000-0005-0000-0000-00009E0B0000}"/>
    <cellStyle name="Normal 3 2 4 2 2 4 3" xfId="3859" xr:uid="{00000000-0005-0000-0000-00009F0B0000}"/>
    <cellStyle name="Normal 3 2 4 2 2 4 3 2" xfId="9150" xr:uid="{00000000-0005-0000-0000-0000A00B0000}"/>
    <cellStyle name="Normal 3 2 4 2 2 4 4" xfId="4578" xr:uid="{00000000-0005-0000-0000-0000A10B0000}"/>
    <cellStyle name="Normal 3 2 4 2 2 4 4 2" xfId="9866" xr:uid="{00000000-0005-0000-0000-0000A20B0000}"/>
    <cellStyle name="Normal 3 2 4 2 2 4 5" xfId="6220" xr:uid="{00000000-0005-0000-0000-0000A30B0000}"/>
    <cellStyle name="Normal 3 2 4 2 2 5" xfId="1693" xr:uid="{00000000-0005-0000-0000-0000A40B0000}"/>
    <cellStyle name="Normal 3 2 4 2 2 5 2" xfId="5464" xr:uid="{00000000-0005-0000-0000-0000A50B0000}"/>
    <cellStyle name="Normal 3 2 4 2 2 5 2 2" xfId="10752" xr:uid="{00000000-0005-0000-0000-0000A60B0000}"/>
    <cellStyle name="Normal 3 2 4 2 2 5 3" xfId="7106" xr:uid="{00000000-0005-0000-0000-0000A70B0000}"/>
    <cellStyle name="Normal 3 2 4 2 2 6" xfId="2245" xr:uid="{00000000-0005-0000-0000-0000A80B0000}"/>
    <cellStyle name="Normal 3 2 4 2 2 6 2" xfId="7603" xr:uid="{00000000-0005-0000-0000-0000A90B0000}"/>
    <cellStyle name="Normal 3 2 4 2 2 7" xfId="3359" xr:uid="{00000000-0005-0000-0000-0000AA0B0000}"/>
    <cellStyle name="Normal 3 2 4 2 2 7 2" xfId="8651" xr:uid="{00000000-0005-0000-0000-0000AB0B0000}"/>
    <cellStyle name="Normal 3 2 4 2 2 8" xfId="4573" xr:uid="{00000000-0005-0000-0000-0000AC0B0000}"/>
    <cellStyle name="Normal 3 2 4 2 2 8 2" xfId="9861" xr:uid="{00000000-0005-0000-0000-0000AD0B0000}"/>
    <cellStyle name="Normal 3 2 4 2 2 9" xfId="6215" xr:uid="{00000000-0005-0000-0000-0000AE0B0000}"/>
    <cellStyle name="Normal 3 2 4 2 3" xfId="761" xr:uid="{00000000-0005-0000-0000-0000AF0B0000}"/>
    <cellStyle name="Normal 3 2 4 2 3 2" xfId="762" xr:uid="{00000000-0005-0000-0000-0000B00B0000}"/>
    <cellStyle name="Normal 3 2 4 2 3 2 2" xfId="2752" xr:uid="{00000000-0005-0000-0000-0000B10B0000}"/>
    <cellStyle name="Normal 3 2 4 2 3 2 2 2" xfId="8105" xr:uid="{00000000-0005-0000-0000-0000B20B0000}"/>
    <cellStyle name="Normal 3 2 4 2 3 2 3" xfId="3862" xr:uid="{00000000-0005-0000-0000-0000B30B0000}"/>
    <cellStyle name="Normal 3 2 4 2 3 2 3 2" xfId="9153" xr:uid="{00000000-0005-0000-0000-0000B40B0000}"/>
    <cellStyle name="Normal 3 2 4 2 3 2 4" xfId="4580" xr:uid="{00000000-0005-0000-0000-0000B50B0000}"/>
    <cellStyle name="Normal 3 2 4 2 3 2 4 2" xfId="9868" xr:uid="{00000000-0005-0000-0000-0000B60B0000}"/>
    <cellStyle name="Normal 3 2 4 2 3 2 5" xfId="6222" xr:uid="{00000000-0005-0000-0000-0000B70B0000}"/>
    <cellStyle name="Normal 3 2 4 2 3 3" xfId="1696" xr:uid="{00000000-0005-0000-0000-0000B80B0000}"/>
    <cellStyle name="Normal 3 2 4 2 3 3 2" xfId="5467" xr:uid="{00000000-0005-0000-0000-0000B90B0000}"/>
    <cellStyle name="Normal 3 2 4 2 3 3 2 2" xfId="10755" xr:uid="{00000000-0005-0000-0000-0000BA0B0000}"/>
    <cellStyle name="Normal 3 2 4 2 3 3 3" xfId="7109" xr:uid="{00000000-0005-0000-0000-0000BB0B0000}"/>
    <cellStyle name="Normal 3 2 4 2 3 4" xfId="2248" xr:uid="{00000000-0005-0000-0000-0000BC0B0000}"/>
    <cellStyle name="Normal 3 2 4 2 3 4 2" xfId="7606" xr:uid="{00000000-0005-0000-0000-0000BD0B0000}"/>
    <cellStyle name="Normal 3 2 4 2 3 5" xfId="3362" xr:uid="{00000000-0005-0000-0000-0000BE0B0000}"/>
    <cellStyle name="Normal 3 2 4 2 3 5 2" xfId="8654" xr:uid="{00000000-0005-0000-0000-0000BF0B0000}"/>
    <cellStyle name="Normal 3 2 4 2 3 6" xfId="4579" xr:uid="{00000000-0005-0000-0000-0000C00B0000}"/>
    <cellStyle name="Normal 3 2 4 2 3 6 2" xfId="9867" xr:uid="{00000000-0005-0000-0000-0000C10B0000}"/>
    <cellStyle name="Normal 3 2 4 2 3 7" xfId="6221" xr:uid="{00000000-0005-0000-0000-0000C20B0000}"/>
    <cellStyle name="Normal 3 2 4 2 4" xfId="763" xr:uid="{00000000-0005-0000-0000-0000C30B0000}"/>
    <cellStyle name="Normal 3 2 4 2 4 2" xfId="764" xr:uid="{00000000-0005-0000-0000-0000C40B0000}"/>
    <cellStyle name="Normal 3 2 4 2 4 2 2" xfId="2753" xr:uid="{00000000-0005-0000-0000-0000C50B0000}"/>
    <cellStyle name="Normal 3 2 4 2 4 2 2 2" xfId="8106" xr:uid="{00000000-0005-0000-0000-0000C60B0000}"/>
    <cellStyle name="Normal 3 2 4 2 4 2 3" xfId="3863" xr:uid="{00000000-0005-0000-0000-0000C70B0000}"/>
    <cellStyle name="Normal 3 2 4 2 4 2 3 2" xfId="9154" xr:uid="{00000000-0005-0000-0000-0000C80B0000}"/>
    <cellStyle name="Normal 3 2 4 2 4 2 4" xfId="4582" xr:uid="{00000000-0005-0000-0000-0000C90B0000}"/>
    <cellStyle name="Normal 3 2 4 2 4 2 4 2" xfId="9870" xr:uid="{00000000-0005-0000-0000-0000CA0B0000}"/>
    <cellStyle name="Normal 3 2 4 2 4 2 5" xfId="6224" xr:uid="{00000000-0005-0000-0000-0000CB0B0000}"/>
    <cellStyle name="Normal 3 2 4 2 4 3" xfId="1697" xr:uid="{00000000-0005-0000-0000-0000CC0B0000}"/>
    <cellStyle name="Normal 3 2 4 2 4 3 2" xfId="5468" xr:uid="{00000000-0005-0000-0000-0000CD0B0000}"/>
    <cellStyle name="Normal 3 2 4 2 4 3 2 2" xfId="10756" xr:uid="{00000000-0005-0000-0000-0000CE0B0000}"/>
    <cellStyle name="Normal 3 2 4 2 4 3 3" xfId="7110" xr:uid="{00000000-0005-0000-0000-0000CF0B0000}"/>
    <cellStyle name="Normal 3 2 4 2 4 4" xfId="2249" xr:uid="{00000000-0005-0000-0000-0000D00B0000}"/>
    <cellStyle name="Normal 3 2 4 2 4 4 2" xfId="7607" xr:uid="{00000000-0005-0000-0000-0000D10B0000}"/>
    <cellStyle name="Normal 3 2 4 2 4 5" xfId="3363" xr:uid="{00000000-0005-0000-0000-0000D20B0000}"/>
    <cellStyle name="Normal 3 2 4 2 4 5 2" xfId="8655" xr:uid="{00000000-0005-0000-0000-0000D30B0000}"/>
    <cellStyle name="Normal 3 2 4 2 4 6" xfId="4581" xr:uid="{00000000-0005-0000-0000-0000D40B0000}"/>
    <cellStyle name="Normal 3 2 4 2 4 6 2" xfId="9869" xr:uid="{00000000-0005-0000-0000-0000D50B0000}"/>
    <cellStyle name="Normal 3 2 4 2 4 7" xfId="6223" xr:uid="{00000000-0005-0000-0000-0000D60B0000}"/>
    <cellStyle name="Normal 3 2 4 2 5" xfId="765" xr:uid="{00000000-0005-0000-0000-0000D70B0000}"/>
    <cellStyle name="Normal 3 2 4 2 5 2" xfId="2748" xr:uid="{00000000-0005-0000-0000-0000D80B0000}"/>
    <cellStyle name="Normal 3 2 4 2 5 2 2" xfId="8101" xr:uid="{00000000-0005-0000-0000-0000D90B0000}"/>
    <cellStyle name="Normal 3 2 4 2 5 3" xfId="3858" xr:uid="{00000000-0005-0000-0000-0000DA0B0000}"/>
    <cellStyle name="Normal 3 2 4 2 5 3 2" xfId="9149" xr:uid="{00000000-0005-0000-0000-0000DB0B0000}"/>
    <cellStyle name="Normal 3 2 4 2 5 4" xfId="4583" xr:uid="{00000000-0005-0000-0000-0000DC0B0000}"/>
    <cellStyle name="Normal 3 2 4 2 5 4 2" xfId="9871" xr:uid="{00000000-0005-0000-0000-0000DD0B0000}"/>
    <cellStyle name="Normal 3 2 4 2 5 5" xfId="6225" xr:uid="{00000000-0005-0000-0000-0000DE0B0000}"/>
    <cellStyle name="Normal 3 2 4 2 6" xfId="1692" xr:uid="{00000000-0005-0000-0000-0000DF0B0000}"/>
    <cellStyle name="Normal 3 2 4 2 6 2" xfId="5463" xr:uid="{00000000-0005-0000-0000-0000E00B0000}"/>
    <cellStyle name="Normal 3 2 4 2 6 2 2" xfId="10751" xr:uid="{00000000-0005-0000-0000-0000E10B0000}"/>
    <cellStyle name="Normal 3 2 4 2 6 3" xfId="7105" xr:uid="{00000000-0005-0000-0000-0000E20B0000}"/>
    <cellStyle name="Normal 3 2 4 2 7" xfId="2244" xr:uid="{00000000-0005-0000-0000-0000E30B0000}"/>
    <cellStyle name="Normal 3 2 4 2 7 2" xfId="7602" xr:uid="{00000000-0005-0000-0000-0000E40B0000}"/>
    <cellStyle name="Normal 3 2 4 2 8" xfId="3358" xr:uid="{00000000-0005-0000-0000-0000E50B0000}"/>
    <cellStyle name="Normal 3 2 4 2 8 2" xfId="8650" xr:uid="{00000000-0005-0000-0000-0000E60B0000}"/>
    <cellStyle name="Normal 3 2 4 2 9" xfId="4572" xr:uid="{00000000-0005-0000-0000-0000E70B0000}"/>
    <cellStyle name="Normal 3 2 4 2 9 2" xfId="9860" xr:uid="{00000000-0005-0000-0000-0000E80B0000}"/>
    <cellStyle name="Normal 3 2 4 3" xfId="766" xr:uid="{00000000-0005-0000-0000-0000E90B0000}"/>
    <cellStyle name="Normal 3 2 4 3 2" xfId="767" xr:uid="{00000000-0005-0000-0000-0000EA0B0000}"/>
    <cellStyle name="Normal 3 2 4 3 2 2" xfId="768" xr:uid="{00000000-0005-0000-0000-0000EB0B0000}"/>
    <cellStyle name="Normal 3 2 4 3 2 2 2" xfId="2755" xr:uid="{00000000-0005-0000-0000-0000EC0B0000}"/>
    <cellStyle name="Normal 3 2 4 3 2 2 2 2" xfId="8108" xr:uid="{00000000-0005-0000-0000-0000ED0B0000}"/>
    <cellStyle name="Normal 3 2 4 3 2 2 3" xfId="3865" xr:uid="{00000000-0005-0000-0000-0000EE0B0000}"/>
    <cellStyle name="Normal 3 2 4 3 2 2 3 2" xfId="9156" xr:uid="{00000000-0005-0000-0000-0000EF0B0000}"/>
    <cellStyle name="Normal 3 2 4 3 2 2 4" xfId="4586" xr:uid="{00000000-0005-0000-0000-0000F00B0000}"/>
    <cellStyle name="Normal 3 2 4 3 2 2 4 2" xfId="9874" xr:uid="{00000000-0005-0000-0000-0000F10B0000}"/>
    <cellStyle name="Normal 3 2 4 3 2 2 5" xfId="6228" xr:uid="{00000000-0005-0000-0000-0000F20B0000}"/>
    <cellStyle name="Normal 3 2 4 3 2 3" xfId="1699" xr:uid="{00000000-0005-0000-0000-0000F30B0000}"/>
    <cellStyle name="Normal 3 2 4 3 2 3 2" xfId="5470" xr:uid="{00000000-0005-0000-0000-0000F40B0000}"/>
    <cellStyle name="Normal 3 2 4 3 2 3 2 2" xfId="10758" xr:uid="{00000000-0005-0000-0000-0000F50B0000}"/>
    <cellStyle name="Normal 3 2 4 3 2 3 3" xfId="7112" xr:uid="{00000000-0005-0000-0000-0000F60B0000}"/>
    <cellStyle name="Normal 3 2 4 3 2 4" xfId="2251" xr:uid="{00000000-0005-0000-0000-0000F70B0000}"/>
    <cellStyle name="Normal 3 2 4 3 2 4 2" xfId="7609" xr:uid="{00000000-0005-0000-0000-0000F80B0000}"/>
    <cellStyle name="Normal 3 2 4 3 2 5" xfId="3365" xr:uid="{00000000-0005-0000-0000-0000F90B0000}"/>
    <cellStyle name="Normal 3 2 4 3 2 5 2" xfId="8657" xr:uid="{00000000-0005-0000-0000-0000FA0B0000}"/>
    <cellStyle name="Normal 3 2 4 3 2 6" xfId="4585" xr:uid="{00000000-0005-0000-0000-0000FB0B0000}"/>
    <cellStyle name="Normal 3 2 4 3 2 6 2" xfId="9873" xr:uid="{00000000-0005-0000-0000-0000FC0B0000}"/>
    <cellStyle name="Normal 3 2 4 3 2 7" xfId="6227" xr:uid="{00000000-0005-0000-0000-0000FD0B0000}"/>
    <cellStyle name="Normal 3 2 4 3 3" xfId="769" xr:uid="{00000000-0005-0000-0000-0000FE0B0000}"/>
    <cellStyle name="Normal 3 2 4 3 3 2" xfId="770" xr:uid="{00000000-0005-0000-0000-0000FF0B0000}"/>
    <cellStyle name="Normal 3 2 4 3 3 2 2" xfId="2756" xr:uid="{00000000-0005-0000-0000-0000000C0000}"/>
    <cellStyle name="Normal 3 2 4 3 3 2 2 2" xfId="8109" xr:uid="{00000000-0005-0000-0000-0000010C0000}"/>
    <cellStyle name="Normal 3 2 4 3 3 2 3" xfId="3866" xr:uid="{00000000-0005-0000-0000-0000020C0000}"/>
    <cellStyle name="Normal 3 2 4 3 3 2 3 2" xfId="9157" xr:uid="{00000000-0005-0000-0000-0000030C0000}"/>
    <cellStyle name="Normal 3 2 4 3 3 2 4" xfId="4588" xr:uid="{00000000-0005-0000-0000-0000040C0000}"/>
    <cellStyle name="Normal 3 2 4 3 3 2 4 2" xfId="9876" xr:uid="{00000000-0005-0000-0000-0000050C0000}"/>
    <cellStyle name="Normal 3 2 4 3 3 2 5" xfId="6230" xr:uid="{00000000-0005-0000-0000-0000060C0000}"/>
    <cellStyle name="Normal 3 2 4 3 3 3" xfId="1700" xr:uid="{00000000-0005-0000-0000-0000070C0000}"/>
    <cellStyle name="Normal 3 2 4 3 3 3 2" xfId="5471" xr:uid="{00000000-0005-0000-0000-0000080C0000}"/>
    <cellStyle name="Normal 3 2 4 3 3 3 2 2" xfId="10759" xr:uid="{00000000-0005-0000-0000-0000090C0000}"/>
    <cellStyle name="Normal 3 2 4 3 3 3 3" xfId="7113" xr:uid="{00000000-0005-0000-0000-00000A0C0000}"/>
    <cellStyle name="Normal 3 2 4 3 3 4" xfId="2252" xr:uid="{00000000-0005-0000-0000-00000B0C0000}"/>
    <cellStyle name="Normal 3 2 4 3 3 4 2" xfId="7610" xr:uid="{00000000-0005-0000-0000-00000C0C0000}"/>
    <cellStyle name="Normal 3 2 4 3 3 5" xfId="3366" xr:uid="{00000000-0005-0000-0000-00000D0C0000}"/>
    <cellStyle name="Normal 3 2 4 3 3 5 2" xfId="8658" xr:uid="{00000000-0005-0000-0000-00000E0C0000}"/>
    <cellStyle name="Normal 3 2 4 3 3 6" xfId="4587" xr:uid="{00000000-0005-0000-0000-00000F0C0000}"/>
    <cellStyle name="Normal 3 2 4 3 3 6 2" xfId="9875" xr:uid="{00000000-0005-0000-0000-0000100C0000}"/>
    <cellStyle name="Normal 3 2 4 3 3 7" xfId="6229" xr:uid="{00000000-0005-0000-0000-0000110C0000}"/>
    <cellStyle name="Normal 3 2 4 3 4" xfId="771" xr:uid="{00000000-0005-0000-0000-0000120C0000}"/>
    <cellStyle name="Normal 3 2 4 3 4 2" xfId="2754" xr:uid="{00000000-0005-0000-0000-0000130C0000}"/>
    <cellStyle name="Normal 3 2 4 3 4 2 2" xfId="8107" xr:uid="{00000000-0005-0000-0000-0000140C0000}"/>
    <cellStyle name="Normal 3 2 4 3 4 3" xfId="3864" xr:uid="{00000000-0005-0000-0000-0000150C0000}"/>
    <cellStyle name="Normal 3 2 4 3 4 3 2" xfId="9155" xr:uid="{00000000-0005-0000-0000-0000160C0000}"/>
    <cellStyle name="Normal 3 2 4 3 4 4" xfId="4589" xr:uid="{00000000-0005-0000-0000-0000170C0000}"/>
    <cellStyle name="Normal 3 2 4 3 4 4 2" xfId="9877" xr:uid="{00000000-0005-0000-0000-0000180C0000}"/>
    <cellStyle name="Normal 3 2 4 3 4 5" xfId="6231" xr:uid="{00000000-0005-0000-0000-0000190C0000}"/>
    <cellStyle name="Normal 3 2 4 3 5" xfId="1698" xr:uid="{00000000-0005-0000-0000-00001A0C0000}"/>
    <cellStyle name="Normal 3 2 4 3 5 2" xfId="5469" xr:uid="{00000000-0005-0000-0000-00001B0C0000}"/>
    <cellStyle name="Normal 3 2 4 3 5 2 2" xfId="10757" xr:uid="{00000000-0005-0000-0000-00001C0C0000}"/>
    <cellStyle name="Normal 3 2 4 3 5 3" xfId="7111" xr:uid="{00000000-0005-0000-0000-00001D0C0000}"/>
    <cellStyle name="Normal 3 2 4 3 6" xfId="2250" xr:uid="{00000000-0005-0000-0000-00001E0C0000}"/>
    <cellStyle name="Normal 3 2 4 3 6 2" xfId="7608" xr:uid="{00000000-0005-0000-0000-00001F0C0000}"/>
    <cellStyle name="Normal 3 2 4 3 7" xfId="3364" xr:uid="{00000000-0005-0000-0000-0000200C0000}"/>
    <cellStyle name="Normal 3 2 4 3 7 2" xfId="8656" xr:uid="{00000000-0005-0000-0000-0000210C0000}"/>
    <cellStyle name="Normal 3 2 4 3 8" xfId="4584" xr:uid="{00000000-0005-0000-0000-0000220C0000}"/>
    <cellStyle name="Normal 3 2 4 3 8 2" xfId="9872" xr:uid="{00000000-0005-0000-0000-0000230C0000}"/>
    <cellStyle name="Normal 3 2 4 3 9" xfId="6226" xr:uid="{00000000-0005-0000-0000-0000240C0000}"/>
    <cellStyle name="Normal 3 2 4 4" xfId="772" xr:uid="{00000000-0005-0000-0000-0000250C0000}"/>
    <cellStyle name="Normal 3 2 4 4 2" xfId="773" xr:uid="{00000000-0005-0000-0000-0000260C0000}"/>
    <cellStyle name="Normal 3 2 4 4 2 2" xfId="2757" xr:uid="{00000000-0005-0000-0000-0000270C0000}"/>
    <cellStyle name="Normal 3 2 4 4 2 2 2" xfId="8110" xr:uid="{00000000-0005-0000-0000-0000280C0000}"/>
    <cellStyle name="Normal 3 2 4 4 2 3" xfId="3867" xr:uid="{00000000-0005-0000-0000-0000290C0000}"/>
    <cellStyle name="Normal 3 2 4 4 2 3 2" xfId="9158" xr:uid="{00000000-0005-0000-0000-00002A0C0000}"/>
    <cellStyle name="Normal 3 2 4 4 2 4" xfId="4591" xr:uid="{00000000-0005-0000-0000-00002B0C0000}"/>
    <cellStyle name="Normal 3 2 4 4 2 4 2" xfId="9879" xr:uid="{00000000-0005-0000-0000-00002C0C0000}"/>
    <cellStyle name="Normal 3 2 4 4 2 5" xfId="6233" xr:uid="{00000000-0005-0000-0000-00002D0C0000}"/>
    <cellStyle name="Normal 3 2 4 4 3" xfId="1701" xr:uid="{00000000-0005-0000-0000-00002E0C0000}"/>
    <cellStyle name="Normal 3 2 4 4 3 2" xfId="5472" xr:uid="{00000000-0005-0000-0000-00002F0C0000}"/>
    <cellStyle name="Normal 3 2 4 4 3 2 2" xfId="10760" xr:uid="{00000000-0005-0000-0000-0000300C0000}"/>
    <cellStyle name="Normal 3 2 4 4 3 3" xfId="7114" xr:uid="{00000000-0005-0000-0000-0000310C0000}"/>
    <cellStyle name="Normal 3 2 4 4 4" xfId="2253" xr:uid="{00000000-0005-0000-0000-0000320C0000}"/>
    <cellStyle name="Normal 3 2 4 4 4 2" xfId="7611" xr:uid="{00000000-0005-0000-0000-0000330C0000}"/>
    <cellStyle name="Normal 3 2 4 4 5" xfId="3367" xr:uid="{00000000-0005-0000-0000-0000340C0000}"/>
    <cellStyle name="Normal 3 2 4 4 5 2" xfId="8659" xr:uid="{00000000-0005-0000-0000-0000350C0000}"/>
    <cellStyle name="Normal 3 2 4 4 6" xfId="4590" xr:uid="{00000000-0005-0000-0000-0000360C0000}"/>
    <cellStyle name="Normal 3 2 4 4 6 2" xfId="9878" xr:uid="{00000000-0005-0000-0000-0000370C0000}"/>
    <cellStyle name="Normal 3 2 4 4 7" xfId="6232" xr:uid="{00000000-0005-0000-0000-0000380C0000}"/>
    <cellStyle name="Normal 3 2 4 5" xfId="774" xr:uid="{00000000-0005-0000-0000-0000390C0000}"/>
    <cellStyle name="Normal 3 2 4 5 2" xfId="775" xr:uid="{00000000-0005-0000-0000-00003A0C0000}"/>
    <cellStyle name="Normal 3 2 4 5 2 2" xfId="2758" xr:uid="{00000000-0005-0000-0000-00003B0C0000}"/>
    <cellStyle name="Normal 3 2 4 5 2 2 2" xfId="8111" xr:uid="{00000000-0005-0000-0000-00003C0C0000}"/>
    <cellStyle name="Normal 3 2 4 5 2 3" xfId="3868" xr:uid="{00000000-0005-0000-0000-00003D0C0000}"/>
    <cellStyle name="Normal 3 2 4 5 2 3 2" xfId="9159" xr:uid="{00000000-0005-0000-0000-00003E0C0000}"/>
    <cellStyle name="Normal 3 2 4 5 2 4" xfId="4593" xr:uid="{00000000-0005-0000-0000-00003F0C0000}"/>
    <cellStyle name="Normal 3 2 4 5 2 4 2" xfId="9881" xr:uid="{00000000-0005-0000-0000-0000400C0000}"/>
    <cellStyle name="Normal 3 2 4 5 2 5" xfId="6235" xr:uid="{00000000-0005-0000-0000-0000410C0000}"/>
    <cellStyle name="Normal 3 2 4 5 3" xfId="1702" xr:uid="{00000000-0005-0000-0000-0000420C0000}"/>
    <cellStyle name="Normal 3 2 4 5 3 2" xfId="5473" xr:uid="{00000000-0005-0000-0000-0000430C0000}"/>
    <cellStyle name="Normal 3 2 4 5 3 2 2" xfId="10761" xr:uid="{00000000-0005-0000-0000-0000440C0000}"/>
    <cellStyle name="Normal 3 2 4 5 3 3" xfId="7115" xr:uid="{00000000-0005-0000-0000-0000450C0000}"/>
    <cellStyle name="Normal 3 2 4 5 4" xfId="2254" xr:uid="{00000000-0005-0000-0000-0000460C0000}"/>
    <cellStyle name="Normal 3 2 4 5 4 2" xfId="7612" xr:uid="{00000000-0005-0000-0000-0000470C0000}"/>
    <cellStyle name="Normal 3 2 4 5 5" xfId="3368" xr:uid="{00000000-0005-0000-0000-0000480C0000}"/>
    <cellStyle name="Normal 3 2 4 5 5 2" xfId="8660" xr:uid="{00000000-0005-0000-0000-0000490C0000}"/>
    <cellStyle name="Normal 3 2 4 5 6" xfId="4592" xr:uid="{00000000-0005-0000-0000-00004A0C0000}"/>
    <cellStyle name="Normal 3 2 4 5 6 2" xfId="9880" xr:uid="{00000000-0005-0000-0000-00004B0C0000}"/>
    <cellStyle name="Normal 3 2 4 5 7" xfId="6234" xr:uid="{00000000-0005-0000-0000-00004C0C0000}"/>
    <cellStyle name="Normal 3 2 4 6" xfId="776" xr:uid="{00000000-0005-0000-0000-00004D0C0000}"/>
    <cellStyle name="Normal 3 2 4 6 2" xfId="2747" xr:uid="{00000000-0005-0000-0000-00004E0C0000}"/>
    <cellStyle name="Normal 3 2 4 6 2 2" xfId="8100" xr:uid="{00000000-0005-0000-0000-00004F0C0000}"/>
    <cellStyle name="Normal 3 2 4 6 3" xfId="3857" xr:uid="{00000000-0005-0000-0000-0000500C0000}"/>
    <cellStyle name="Normal 3 2 4 6 3 2" xfId="9148" xr:uid="{00000000-0005-0000-0000-0000510C0000}"/>
    <cellStyle name="Normal 3 2 4 6 4" xfId="4594" xr:uid="{00000000-0005-0000-0000-0000520C0000}"/>
    <cellStyle name="Normal 3 2 4 6 4 2" xfId="9882" xr:uid="{00000000-0005-0000-0000-0000530C0000}"/>
    <cellStyle name="Normal 3 2 4 6 5" xfId="6236" xr:uid="{00000000-0005-0000-0000-0000540C0000}"/>
    <cellStyle name="Normal 3 2 4 7" xfId="1691" xr:uid="{00000000-0005-0000-0000-0000550C0000}"/>
    <cellStyle name="Normal 3 2 4 7 2" xfId="5462" xr:uid="{00000000-0005-0000-0000-0000560C0000}"/>
    <cellStyle name="Normal 3 2 4 7 2 2" xfId="10750" xr:uid="{00000000-0005-0000-0000-0000570C0000}"/>
    <cellStyle name="Normal 3 2 4 7 3" xfId="7104" xr:uid="{00000000-0005-0000-0000-0000580C0000}"/>
    <cellStyle name="Normal 3 2 4 8" xfId="2243" xr:uid="{00000000-0005-0000-0000-0000590C0000}"/>
    <cellStyle name="Normal 3 2 4 8 2" xfId="7601" xr:uid="{00000000-0005-0000-0000-00005A0C0000}"/>
    <cellStyle name="Normal 3 2 4 9" xfId="3357" xr:uid="{00000000-0005-0000-0000-00005B0C0000}"/>
    <cellStyle name="Normal 3 2 4 9 2" xfId="8649" xr:uid="{00000000-0005-0000-0000-00005C0C0000}"/>
    <cellStyle name="Normal 3 2 5" xfId="777" xr:uid="{00000000-0005-0000-0000-00005D0C0000}"/>
    <cellStyle name="Normal 3 2 5 10" xfId="6237" xr:uid="{00000000-0005-0000-0000-00005E0C0000}"/>
    <cellStyle name="Normal 3 2 5 2" xfId="778" xr:uid="{00000000-0005-0000-0000-00005F0C0000}"/>
    <cellStyle name="Normal 3 2 5 2 2" xfId="779" xr:uid="{00000000-0005-0000-0000-0000600C0000}"/>
    <cellStyle name="Normal 3 2 5 2 2 2" xfId="780" xr:uid="{00000000-0005-0000-0000-0000610C0000}"/>
    <cellStyle name="Normal 3 2 5 2 2 2 2" xfId="2761" xr:uid="{00000000-0005-0000-0000-0000620C0000}"/>
    <cellStyle name="Normal 3 2 5 2 2 2 2 2" xfId="8114" xr:uid="{00000000-0005-0000-0000-0000630C0000}"/>
    <cellStyle name="Normal 3 2 5 2 2 2 3" xfId="3871" xr:uid="{00000000-0005-0000-0000-0000640C0000}"/>
    <cellStyle name="Normal 3 2 5 2 2 2 3 2" xfId="9162" xr:uid="{00000000-0005-0000-0000-0000650C0000}"/>
    <cellStyle name="Normal 3 2 5 2 2 2 4" xfId="4598" xr:uid="{00000000-0005-0000-0000-0000660C0000}"/>
    <cellStyle name="Normal 3 2 5 2 2 2 4 2" xfId="9886" xr:uid="{00000000-0005-0000-0000-0000670C0000}"/>
    <cellStyle name="Normal 3 2 5 2 2 2 5" xfId="6240" xr:uid="{00000000-0005-0000-0000-0000680C0000}"/>
    <cellStyle name="Normal 3 2 5 2 2 3" xfId="1705" xr:uid="{00000000-0005-0000-0000-0000690C0000}"/>
    <cellStyle name="Normal 3 2 5 2 2 3 2" xfId="5476" xr:uid="{00000000-0005-0000-0000-00006A0C0000}"/>
    <cellStyle name="Normal 3 2 5 2 2 3 2 2" xfId="10764" xr:uid="{00000000-0005-0000-0000-00006B0C0000}"/>
    <cellStyle name="Normal 3 2 5 2 2 3 3" xfId="7118" xr:uid="{00000000-0005-0000-0000-00006C0C0000}"/>
    <cellStyle name="Normal 3 2 5 2 2 4" xfId="2257" xr:uid="{00000000-0005-0000-0000-00006D0C0000}"/>
    <cellStyle name="Normal 3 2 5 2 2 4 2" xfId="7615" xr:uid="{00000000-0005-0000-0000-00006E0C0000}"/>
    <cellStyle name="Normal 3 2 5 2 2 5" xfId="3371" xr:uid="{00000000-0005-0000-0000-00006F0C0000}"/>
    <cellStyle name="Normal 3 2 5 2 2 5 2" xfId="8663" xr:uid="{00000000-0005-0000-0000-0000700C0000}"/>
    <cellStyle name="Normal 3 2 5 2 2 6" xfId="4597" xr:uid="{00000000-0005-0000-0000-0000710C0000}"/>
    <cellStyle name="Normal 3 2 5 2 2 6 2" xfId="9885" xr:uid="{00000000-0005-0000-0000-0000720C0000}"/>
    <cellStyle name="Normal 3 2 5 2 2 7" xfId="6239" xr:uid="{00000000-0005-0000-0000-0000730C0000}"/>
    <cellStyle name="Normal 3 2 5 2 3" xfId="781" xr:uid="{00000000-0005-0000-0000-0000740C0000}"/>
    <cellStyle name="Normal 3 2 5 2 3 2" xfId="782" xr:uid="{00000000-0005-0000-0000-0000750C0000}"/>
    <cellStyle name="Normal 3 2 5 2 3 2 2" xfId="2762" xr:uid="{00000000-0005-0000-0000-0000760C0000}"/>
    <cellStyle name="Normal 3 2 5 2 3 2 2 2" xfId="8115" xr:uid="{00000000-0005-0000-0000-0000770C0000}"/>
    <cellStyle name="Normal 3 2 5 2 3 2 3" xfId="3872" xr:uid="{00000000-0005-0000-0000-0000780C0000}"/>
    <cellStyle name="Normal 3 2 5 2 3 2 3 2" xfId="9163" xr:uid="{00000000-0005-0000-0000-0000790C0000}"/>
    <cellStyle name="Normal 3 2 5 2 3 2 4" xfId="4600" xr:uid="{00000000-0005-0000-0000-00007A0C0000}"/>
    <cellStyle name="Normal 3 2 5 2 3 2 4 2" xfId="9888" xr:uid="{00000000-0005-0000-0000-00007B0C0000}"/>
    <cellStyle name="Normal 3 2 5 2 3 2 5" xfId="6242" xr:uid="{00000000-0005-0000-0000-00007C0C0000}"/>
    <cellStyle name="Normal 3 2 5 2 3 3" xfId="1706" xr:uid="{00000000-0005-0000-0000-00007D0C0000}"/>
    <cellStyle name="Normal 3 2 5 2 3 3 2" xfId="5477" xr:uid="{00000000-0005-0000-0000-00007E0C0000}"/>
    <cellStyle name="Normal 3 2 5 2 3 3 2 2" xfId="10765" xr:uid="{00000000-0005-0000-0000-00007F0C0000}"/>
    <cellStyle name="Normal 3 2 5 2 3 3 3" xfId="7119" xr:uid="{00000000-0005-0000-0000-0000800C0000}"/>
    <cellStyle name="Normal 3 2 5 2 3 4" xfId="2258" xr:uid="{00000000-0005-0000-0000-0000810C0000}"/>
    <cellStyle name="Normal 3 2 5 2 3 4 2" xfId="7616" xr:uid="{00000000-0005-0000-0000-0000820C0000}"/>
    <cellStyle name="Normal 3 2 5 2 3 5" xfId="3372" xr:uid="{00000000-0005-0000-0000-0000830C0000}"/>
    <cellStyle name="Normal 3 2 5 2 3 5 2" xfId="8664" xr:uid="{00000000-0005-0000-0000-0000840C0000}"/>
    <cellStyle name="Normal 3 2 5 2 3 6" xfId="4599" xr:uid="{00000000-0005-0000-0000-0000850C0000}"/>
    <cellStyle name="Normal 3 2 5 2 3 6 2" xfId="9887" xr:uid="{00000000-0005-0000-0000-0000860C0000}"/>
    <cellStyle name="Normal 3 2 5 2 3 7" xfId="6241" xr:uid="{00000000-0005-0000-0000-0000870C0000}"/>
    <cellStyle name="Normal 3 2 5 2 4" xfId="783" xr:uid="{00000000-0005-0000-0000-0000880C0000}"/>
    <cellStyle name="Normal 3 2 5 2 4 2" xfId="2760" xr:uid="{00000000-0005-0000-0000-0000890C0000}"/>
    <cellStyle name="Normal 3 2 5 2 4 2 2" xfId="8113" xr:uid="{00000000-0005-0000-0000-00008A0C0000}"/>
    <cellStyle name="Normal 3 2 5 2 4 3" xfId="3870" xr:uid="{00000000-0005-0000-0000-00008B0C0000}"/>
    <cellStyle name="Normal 3 2 5 2 4 3 2" xfId="9161" xr:uid="{00000000-0005-0000-0000-00008C0C0000}"/>
    <cellStyle name="Normal 3 2 5 2 4 4" xfId="4601" xr:uid="{00000000-0005-0000-0000-00008D0C0000}"/>
    <cellStyle name="Normal 3 2 5 2 4 4 2" xfId="9889" xr:uid="{00000000-0005-0000-0000-00008E0C0000}"/>
    <cellStyle name="Normal 3 2 5 2 4 5" xfId="6243" xr:uid="{00000000-0005-0000-0000-00008F0C0000}"/>
    <cellStyle name="Normal 3 2 5 2 5" xfId="1704" xr:uid="{00000000-0005-0000-0000-0000900C0000}"/>
    <cellStyle name="Normal 3 2 5 2 5 2" xfId="5475" xr:uid="{00000000-0005-0000-0000-0000910C0000}"/>
    <cellStyle name="Normal 3 2 5 2 5 2 2" xfId="10763" xr:uid="{00000000-0005-0000-0000-0000920C0000}"/>
    <cellStyle name="Normal 3 2 5 2 5 3" xfId="7117" xr:uid="{00000000-0005-0000-0000-0000930C0000}"/>
    <cellStyle name="Normal 3 2 5 2 6" xfId="2256" xr:uid="{00000000-0005-0000-0000-0000940C0000}"/>
    <cellStyle name="Normal 3 2 5 2 6 2" xfId="7614" xr:uid="{00000000-0005-0000-0000-0000950C0000}"/>
    <cellStyle name="Normal 3 2 5 2 7" xfId="3370" xr:uid="{00000000-0005-0000-0000-0000960C0000}"/>
    <cellStyle name="Normal 3 2 5 2 7 2" xfId="8662" xr:uid="{00000000-0005-0000-0000-0000970C0000}"/>
    <cellStyle name="Normal 3 2 5 2 8" xfId="4596" xr:uid="{00000000-0005-0000-0000-0000980C0000}"/>
    <cellStyle name="Normal 3 2 5 2 8 2" xfId="9884" xr:uid="{00000000-0005-0000-0000-0000990C0000}"/>
    <cellStyle name="Normal 3 2 5 2 9" xfId="6238" xr:uid="{00000000-0005-0000-0000-00009A0C0000}"/>
    <cellStyle name="Normal 3 2 5 3" xfId="784" xr:uid="{00000000-0005-0000-0000-00009B0C0000}"/>
    <cellStyle name="Normal 3 2 5 3 2" xfId="785" xr:uid="{00000000-0005-0000-0000-00009C0C0000}"/>
    <cellStyle name="Normal 3 2 5 3 2 2" xfId="2763" xr:uid="{00000000-0005-0000-0000-00009D0C0000}"/>
    <cellStyle name="Normal 3 2 5 3 2 2 2" xfId="8116" xr:uid="{00000000-0005-0000-0000-00009E0C0000}"/>
    <cellStyle name="Normal 3 2 5 3 2 3" xfId="3873" xr:uid="{00000000-0005-0000-0000-00009F0C0000}"/>
    <cellStyle name="Normal 3 2 5 3 2 3 2" xfId="9164" xr:uid="{00000000-0005-0000-0000-0000A00C0000}"/>
    <cellStyle name="Normal 3 2 5 3 2 4" xfId="4603" xr:uid="{00000000-0005-0000-0000-0000A10C0000}"/>
    <cellStyle name="Normal 3 2 5 3 2 4 2" xfId="9891" xr:uid="{00000000-0005-0000-0000-0000A20C0000}"/>
    <cellStyle name="Normal 3 2 5 3 2 5" xfId="6245" xr:uid="{00000000-0005-0000-0000-0000A30C0000}"/>
    <cellStyle name="Normal 3 2 5 3 3" xfId="1707" xr:uid="{00000000-0005-0000-0000-0000A40C0000}"/>
    <cellStyle name="Normal 3 2 5 3 3 2" xfId="5478" xr:uid="{00000000-0005-0000-0000-0000A50C0000}"/>
    <cellStyle name="Normal 3 2 5 3 3 2 2" xfId="10766" xr:uid="{00000000-0005-0000-0000-0000A60C0000}"/>
    <cellStyle name="Normal 3 2 5 3 3 3" xfId="7120" xr:uid="{00000000-0005-0000-0000-0000A70C0000}"/>
    <cellStyle name="Normal 3 2 5 3 4" xfId="2259" xr:uid="{00000000-0005-0000-0000-0000A80C0000}"/>
    <cellStyle name="Normal 3 2 5 3 4 2" xfId="7617" xr:uid="{00000000-0005-0000-0000-0000A90C0000}"/>
    <cellStyle name="Normal 3 2 5 3 5" xfId="3373" xr:uid="{00000000-0005-0000-0000-0000AA0C0000}"/>
    <cellStyle name="Normal 3 2 5 3 5 2" xfId="8665" xr:uid="{00000000-0005-0000-0000-0000AB0C0000}"/>
    <cellStyle name="Normal 3 2 5 3 6" xfId="4602" xr:uid="{00000000-0005-0000-0000-0000AC0C0000}"/>
    <cellStyle name="Normal 3 2 5 3 6 2" xfId="9890" xr:uid="{00000000-0005-0000-0000-0000AD0C0000}"/>
    <cellStyle name="Normal 3 2 5 3 7" xfId="6244" xr:uid="{00000000-0005-0000-0000-0000AE0C0000}"/>
    <cellStyle name="Normal 3 2 5 4" xfId="786" xr:uid="{00000000-0005-0000-0000-0000AF0C0000}"/>
    <cellStyle name="Normal 3 2 5 4 2" xfId="787" xr:uid="{00000000-0005-0000-0000-0000B00C0000}"/>
    <cellStyle name="Normal 3 2 5 4 2 2" xfId="2764" xr:uid="{00000000-0005-0000-0000-0000B10C0000}"/>
    <cellStyle name="Normal 3 2 5 4 2 2 2" xfId="8117" xr:uid="{00000000-0005-0000-0000-0000B20C0000}"/>
    <cellStyle name="Normal 3 2 5 4 2 3" xfId="3874" xr:uid="{00000000-0005-0000-0000-0000B30C0000}"/>
    <cellStyle name="Normal 3 2 5 4 2 3 2" xfId="9165" xr:uid="{00000000-0005-0000-0000-0000B40C0000}"/>
    <cellStyle name="Normal 3 2 5 4 2 4" xfId="4605" xr:uid="{00000000-0005-0000-0000-0000B50C0000}"/>
    <cellStyle name="Normal 3 2 5 4 2 4 2" xfId="9893" xr:uid="{00000000-0005-0000-0000-0000B60C0000}"/>
    <cellStyle name="Normal 3 2 5 4 2 5" xfId="6247" xr:uid="{00000000-0005-0000-0000-0000B70C0000}"/>
    <cellStyle name="Normal 3 2 5 4 3" xfId="1708" xr:uid="{00000000-0005-0000-0000-0000B80C0000}"/>
    <cellStyle name="Normal 3 2 5 4 3 2" xfId="5479" xr:uid="{00000000-0005-0000-0000-0000B90C0000}"/>
    <cellStyle name="Normal 3 2 5 4 3 2 2" xfId="10767" xr:uid="{00000000-0005-0000-0000-0000BA0C0000}"/>
    <cellStyle name="Normal 3 2 5 4 3 3" xfId="7121" xr:uid="{00000000-0005-0000-0000-0000BB0C0000}"/>
    <cellStyle name="Normal 3 2 5 4 4" xfId="2260" xr:uid="{00000000-0005-0000-0000-0000BC0C0000}"/>
    <cellStyle name="Normal 3 2 5 4 4 2" xfId="7618" xr:uid="{00000000-0005-0000-0000-0000BD0C0000}"/>
    <cellStyle name="Normal 3 2 5 4 5" xfId="3374" xr:uid="{00000000-0005-0000-0000-0000BE0C0000}"/>
    <cellStyle name="Normal 3 2 5 4 5 2" xfId="8666" xr:uid="{00000000-0005-0000-0000-0000BF0C0000}"/>
    <cellStyle name="Normal 3 2 5 4 6" xfId="4604" xr:uid="{00000000-0005-0000-0000-0000C00C0000}"/>
    <cellStyle name="Normal 3 2 5 4 6 2" xfId="9892" xr:uid="{00000000-0005-0000-0000-0000C10C0000}"/>
    <cellStyle name="Normal 3 2 5 4 7" xfId="6246" xr:uid="{00000000-0005-0000-0000-0000C20C0000}"/>
    <cellStyle name="Normal 3 2 5 5" xfId="788" xr:uid="{00000000-0005-0000-0000-0000C30C0000}"/>
    <cellStyle name="Normal 3 2 5 5 2" xfId="2759" xr:uid="{00000000-0005-0000-0000-0000C40C0000}"/>
    <cellStyle name="Normal 3 2 5 5 2 2" xfId="8112" xr:uid="{00000000-0005-0000-0000-0000C50C0000}"/>
    <cellStyle name="Normal 3 2 5 5 3" xfId="3869" xr:uid="{00000000-0005-0000-0000-0000C60C0000}"/>
    <cellStyle name="Normal 3 2 5 5 3 2" xfId="9160" xr:uid="{00000000-0005-0000-0000-0000C70C0000}"/>
    <cellStyle name="Normal 3 2 5 5 4" xfId="4606" xr:uid="{00000000-0005-0000-0000-0000C80C0000}"/>
    <cellStyle name="Normal 3 2 5 5 4 2" xfId="9894" xr:uid="{00000000-0005-0000-0000-0000C90C0000}"/>
    <cellStyle name="Normal 3 2 5 5 5" xfId="6248" xr:uid="{00000000-0005-0000-0000-0000CA0C0000}"/>
    <cellStyle name="Normal 3 2 5 6" xfId="1703" xr:uid="{00000000-0005-0000-0000-0000CB0C0000}"/>
    <cellStyle name="Normal 3 2 5 6 2" xfId="5474" xr:uid="{00000000-0005-0000-0000-0000CC0C0000}"/>
    <cellStyle name="Normal 3 2 5 6 2 2" xfId="10762" xr:uid="{00000000-0005-0000-0000-0000CD0C0000}"/>
    <cellStyle name="Normal 3 2 5 6 3" xfId="7116" xr:uid="{00000000-0005-0000-0000-0000CE0C0000}"/>
    <cellStyle name="Normal 3 2 5 7" xfId="2255" xr:uid="{00000000-0005-0000-0000-0000CF0C0000}"/>
    <cellStyle name="Normal 3 2 5 7 2" xfId="7613" xr:uid="{00000000-0005-0000-0000-0000D00C0000}"/>
    <cellStyle name="Normal 3 2 5 8" xfId="3369" xr:uid="{00000000-0005-0000-0000-0000D10C0000}"/>
    <cellStyle name="Normal 3 2 5 8 2" xfId="8661" xr:uid="{00000000-0005-0000-0000-0000D20C0000}"/>
    <cellStyle name="Normal 3 2 5 9" xfId="4595" xr:uid="{00000000-0005-0000-0000-0000D30C0000}"/>
    <cellStyle name="Normal 3 2 5 9 2" xfId="9883" xr:uid="{00000000-0005-0000-0000-0000D40C0000}"/>
    <cellStyle name="Normal 3 2 6" xfId="789" xr:uid="{00000000-0005-0000-0000-0000D50C0000}"/>
    <cellStyle name="Normal 3 2 6 2" xfId="790" xr:uid="{00000000-0005-0000-0000-0000D60C0000}"/>
    <cellStyle name="Normal 3 2 6 2 2" xfId="791" xr:uid="{00000000-0005-0000-0000-0000D70C0000}"/>
    <cellStyle name="Normal 3 2 6 2 2 2" xfId="2766" xr:uid="{00000000-0005-0000-0000-0000D80C0000}"/>
    <cellStyle name="Normal 3 2 6 2 2 2 2" xfId="8119" xr:uid="{00000000-0005-0000-0000-0000D90C0000}"/>
    <cellStyle name="Normal 3 2 6 2 2 3" xfId="3876" xr:uid="{00000000-0005-0000-0000-0000DA0C0000}"/>
    <cellStyle name="Normal 3 2 6 2 2 3 2" xfId="9167" xr:uid="{00000000-0005-0000-0000-0000DB0C0000}"/>
    <cellStyle name="Normal 3 2 6 2 2 4" xfId="4609" xr:uid="{00000000-0005-0000-0000-0000DC0C0000}"/>
    <cellStyle name="Normal 3 2 6 2 2 4 2" xfId="9897" xr:uid="{00000000-0005-0000-0000-0000DD0C0000}"/>
    <cellStyle name="Normal 3 2 6 2 2 5" xfId="6251" xr:uid="{00000000-0005-0000-0000-0000DE0C0000}"/>
    <cellStyle name="Normal 3 2 6 2 3" xfId="1710" xr:uid="{00000000-0005-0000-0000-0000DF0C0000}"/>
    <cellStyle name="Normal 3 2 6 2 3 2" xfId="5481" xr:uid="{00000000-0005-0000-0000-0000E00C0000}"/>
    <cellStyle name="Normal 3 2 6 2 3 2 2" xfId="10769" xr:uid="{00000000-0005-0000-0000-0000E10C0000}"/>
    <cellStyle name="Normal 3 2 6 2 3 3" xfId="7123" xr:uid="{00000000-0005-0000-0000-0000E20C0000}"/>
    <cellStyle name="Normal 3 2 6 2 4" xfId="2262" xr:uid="{00000000-0005-0000-0000-0000E30C0000}"/>
    <cellStyle name="Normal 3 2 6 2 4 2" xfId="7620" xr:uid="{00000000-0005-0000-0000-0000E40C0000}"/>
    <cellStyle name="Normal 3 2 6 2 5" xfId="3376" xr:uid="{00000000-0005-0000-0000-0000E50C0000}"/>
    <cellStyle name="Normal 3 2 6 2 5 2" xfId="8668" xr:uid="{00000000-0005-0000-0000-0000E60C0000}"/>
    <cellStyle name="Normal 3 2 6 2 6" xfId="4608" xr:uid="{00000000-0005-0000-0000-0000E70C0000}"/>
    <cellStyle name="Normal 3 2 6 2 6 2" xfId="9896" xr:uid="{00000000-0005-0000-0000-0000E80C0000}"/>
    <cellStyle name="Normal 3 2 6 2 7" xfId="6250" xr:uid="{00000000-0005-0000-0000-0000E90C0000}"/>
    <cellStyle name="Normal 3 2 6 3" xfId="792" xr:uid="{00000000-0005-0000-0000-0000EA0C0000}"/>
    <cellStyle name="Normal 3 2 6 3 2" xfId="793" xr:uid="{00000000-0005-0000-0000-0000EB0C0000}"/>
    <cellStyle name="Normal 3 2 6 3 2 2" xfId="2767" xr:uid="{00000000-0005-0000-0000-0000EC0C0000}"/>
    <cellStyle name="Normal 3 2 6 3 2 2 2" xfId="8120" xr:uid="{00000000-0005-0000-0000-0000ED0C0000}"/>
    <cellStyle name="Normal 3 2 6 3 2 3" xfId="3877" xr:uid="{00000000-0005-0000-0000-0000EE0C0000}"/>
    <cellStyle name="Normal 3 2 6 3 2 3 2" xfId="9168" xr:uid="{00000000-0005-0000-0000-0000EF0C0000}"/>
    <cellStyle name="Normal 3 2 6 3 2 4" xfId="4611" xr:uid="{00000000-0005-0000-0000-0000F00C0000}"/>
    <cellStyle name="Normal 3 2 6 3 2 4 2" xfId="9899" xr:uid="{00000000-0005-0000-0000-0000F10C0000}"/>
    <cellStyle name="Normal 3 2 6 3 2 5" xfId="6253" xr:uid="{00000000-0005-0000-0000-0000F20C0000}"/>
    <cellStyle name="Normal 3 2 6 3 3" xfId="1711" xr:uid="{00000000-0005-0000-0000-0000F30C0000}"/>
    <cellStyle name="Normal 3 2 6 3 3 2" xfId="5482" xr:uid="{00000000-0005-0000-0000-0000F40C0000}"/>
    <cellStyle name="Normal 3 2 6 3 3 2 2" xfId="10770" xr:uid="{00000000-0005-0000-0000-0000F50C0000}"/>
    <cellStyle name="Normal 3 2 6 3 3 3" xfId="7124" xr:uid="{00000000-0005-0000-0000-0000F60C0000}"/>
    <cellStyle name="Normal 3 2 6 3 4" xfId="2263" xr:uid="{00000000-0005-0000-0000-0000F70C0000}"/>
    <cellStyle name="Normal 3 2 6 3 4 2" xfId="7621" xr:uid="{00000000-0005-0000-0000-0000F80C0000}"/>
    <cellStyle name="Normal 3 2 6 3 5" xfId="3377" xr:uid="{00000000-0005-0000-0000-0000F90C0000}"/>
    <cellStyle name="Normal 3 2 6 3 5 2" xfId="8669" xr:uid="{00000000-0005-0000-0000-0000FA0C0000}"/>
    <cellStyle name="Normal 3 2 6 3 6" xfId="4610" xr:uid="{00000000-0005-0000-0000-0000FB0C0000}"/>
    <cellStyle name="Normal 3 2 6 3 6 2" xfId="9898" xr:uid="{00000000-0005-0000-0000-0000FC0C0000}"/>
    <cellStyle name="Normal 3 2 6 3 7" xfId="6252" xr:uid="{00000000-0005-0000-0000-0000FD0C0000}"/>
    <cellStyle name="Normal 3 2 6 4" xfId="794" xr:uid="{00000000-0005-0000-0000-0000FE0C0000}"/>
    <cellStyle name="Normal 3 2 6 4 2" xfId="2765" xr:uid="{00000000-0005-0000-0000-0000FF0C0000}"/>
    <cellStyle name="Normal 3 2 6 4 2 2" xfId="8118" xr:uid="{00000000-0005-0000-0000-0000000D0000}"/>
    <cellStyle name="Normal 3 2 6 4 3" xfId="3875" xr:uid="{00000000-0005-0000-0000-0000010D0000}"/>
    <cellStyle name="Normal 3 2 6 4 3 2" xfId="9166" xr:uid="{00000000-0005-0000-0000-0000020D0000}"/>
    <cellStyle name="Normal 3 2 6 4 4" xfId="4612" xr:uid="{00000000-0005-0000-0000-0000030D0000}"/>
    <cellStyle name="Normal 3 2 6 4 4 2" xfId="9900" xr:uid="{00000000-0005-0000-0000-0000040D0000}"/>
    <cellStyle name="Normal 3 2 6 4 5" xfId="6254" xr:uid="{00000000-0005-0000-0000-0000050D0000}"/>
    <cellStyle name="Normal 3 2 6 5" xfId="1709" xr:uid="{00000000-0005-0000-0000-0000060D0000}"/>
    <cellStyle name="Normal 3 2 6 5 2" xfId="5480" xr:uid="{00000000-0005-0000-0000-0000070D0000}"/>
    <cellStyle name="Normal 3 2 6 5 2 2" xfId="10768" xr:uid="{00000000-0005-0000-0000-0000080D0000}"/>
    <cellStyle name="Normal 3 2 6 5 3" xfId="7122" xr:uid="{00000000-0005-0000-0000-0000090D0000}"/>
    <cellStyle name="Normal 3 2 6 6" xfId="2261" xr:uid="{00000000-0005-0000-0000-00000A0D0000}"/>
    <cellStyle name="Normal 3 2 6 6 2" xfId="7619" xr:uid="{00000000-0005-0000-0000-00000B0D0000}"/>
    <cellStyle name="Normal 3 2 6 7" xfId="3375" xr:uid="{00000000-0005-0000-0000-00000C0D0000}"/>
    <cellStyle name="Normal 3 2 6 7 2" xfId="8667" xr:uid="{00000000-0005-0000-0000-00000D0D0000}"/>
    <cellStyle name="Normal 3 2 6 8" xfId="4607" xr:uid="{00000000-0005-0000-0000-00000E0D0000}"/>
    <cellStyle name="Normal 3 2 6 8 2" xfId="9895" xr:uid="{00000000-0005-0000-0000-00000F0D0000}"/>
    <cellStyle name="Normal 3 2 6 9" xfId="6249" xr:uid="{00000000-0005-0000-0000-0000100D0000}"/>
    <cellStyle name="Normal 3 2 7" xfId="795" xr:uid="{00000000-0005-0000-0000-0000110D0000}"/>
    <cellStyle name="Normal 3 2 7 2" xfId="796" xr:uid="{00000000-0005-0000-0000-0000120D0000}"/>
    <cellStyle name="Normal 3 2 7 2 2" xfId="2768" xr:uid="{00000000-0005-0000-0000-0000130D0000}"/>
    <cellStyle name="Normal 3 2 7 2 2 2" xfId="8121" xr:uid="{00000000-0005-0000-0000-0000140D0000}"/>
    <cellStyle name="Normal 3 2 7 2 3" xfId="3878" xr:uid="{00000000-0005-0000-0000-0000150D0000}"/>
    <cellStyle name="Normal 3 2 7 2 3 2" xfId="9169" xr:uid="{00000000-0005-0000-0000-0000160D0000}"/>
    <cellStyle name="Normal 3 2 7 2 4" xfId="4614" xr:uid="{00000000-0005-0000-0000-0000170D0000}"/>
    <cellStyle name="Normal 3 2 7 2 4 2" xfId="9902" xr:uid="{00000000-0005-0000-0000-0000180D0000}"/>
    <cellStyle name="Normal 3 2 7 2 5" xfId="6256" xr:uid="{00000000-0005-0000-0000-0000190D0000}"/>
    <cellStyle name="Normal 3 2 7 3" xfId="1712" xr:uid="{00000000-0005-0000-0000-00001A0D0000}"/>
    <cellStyle name="Normal 3 2 7 3 2" xfId="5483" xr:uid="{00000000-0005-0000-0000-00001B0D0000}"/>
    <cellStyle name="Normal 3 2 7 3 2 2" xfId="10771" xr:uid="{00000000-0005-0000-0000-00001C0D0000}"/>
    <cellStyle name="Normal 3 2 7 3 3" xfId="7125" xr:uid="{00000000-0005-0000-0000-00001D0D0000}"/>
    <cellStyle name="Normal 3 2 7 4" xfId="2264" xr:uid="{00000000-0005-0000-0000-00001E0D0000}"/>
    <cellStyle name="Normal 3 2 7 4 2" xfId="7622" xr:uid="{00000000-0005-0000-0000-00001F0D0000}"/>
    <cellStyle name="Normal 3 2 7 5" xfId="3378" xr:uid="{00000000-0005-0000-0000-0000200D0000}"/>
    <cellStyle name="Normal 3 2 7 5 2" xfId="8670" xr:uid="{00000000-0005-0000-0000-0000210D0000}"/>
    <cellStyle name="Normal 3 2 7 6" xfId="4613" xr:uid="{00000000-0005-0000-0000-0000220D0000}"/>
    <cellStyle name="Normal 3 2 7 6 2" xfId="9901" xr:uid="{00000000-0005-0000-0000-0000230D0000}"/>
    <cellStyle name="Normal 3 2 7 7" xfId="6255" xr:uid="{00000000-0005-0000-0000-0000240D0000}"/>
    <cellStyle name="Normal 3 2 8" xfId="797" xr:uid="{00000000-0005-0000-0000-0000250D0000}"/>
    <cellStyle name="Normal 3 2 8 2" xfId="798" xr:uid="{00000000-0005-0000-0000-0000260D0000}"/>
    <cellStyle name="Normal 3 2 8 2 2" xfId="2769" xr:uid="{00000000-0005-0000-0000-0000270D0000}"/>
    <cellStyle name="Normal 3 2 8 2 2 2" xfId="8122" xr:uid="{00000000-0005-0000-0000-0000280D0000}"/>
    <cellStyle name="Normal 3 2 8 2 3" xfId="3879" xr:uid="{00000000-0005-0000-0000-0000290D0000}"/>
    <cellStyle name="Normal 3 2 8 2 3 2" xfId="9170" xr:uid="{00000000-0005-0000-0000-00002A0D0000}"/>
    <cellStyle name="Normal 3 2 8 2 4" xfId="4616" xr:uid="{00000000-0005-0000-0000-00002B0D0000}"/>
    <cellStyle name="Normal 3 2 8 2 4 2" xfId="9904" xr:uid="{00000000-0005-0000-0000-00002C0D0000}"/>
    <cellStyle name="Normal 3 2 8 2 5" xfId="6258" xr:uid="{00000000-0005-0000-0000-00002D0D0000}"/>
    <cellStyle name="Normal 3 2 8 3" xfId="1713" xr:uid="{00000000-0005-0000-0000-00002E0D0000}"/>
    <cellStyle name="Normal 3 2 8 3 2" xfId="5484" xr:uid="{00000000-0005-0000-0000-00002F0D0000}"/>
    <cellStyle name="Normal 3 2 8 3 2 2" xfId="10772" xr:uid="{00000000-0005-0000-0000-0000300D0000}"/>
    <cellStyle name="Normal 3 2 8 3 3" xfId="7126" xr:uid="{00000000-0005-0000-0000-0000310D0000}"/>
    <cellStyle name="Normal 3 2 8 4" xfId="2265" xr:uid="{00000000-0005-0000-0000-0000320D0000}"/>
    <cellStyle name="Normal 3 2 8 4 2" xfId="7623" xr:uid="{00000000-0005-0000-0000-0000330D0000}"/>
    <cellStyle name="Normal 3 2 8 5" xfId="3379" xr:uid="{00000000-0005-0000-0000-0000340D0000}"/>
    <cellStyle name="Normal 3 2 8 5 2" xfId="8671" xr:uid="{00000000-0005-0000-0000-0000350D0000}"/>
    <cellStyle name="Normal 3 2 8 6" xfId="4615" xr:uid="{00000000-0005-0000-0000-0000360D0000}"/>
    <cellStyle name="Normal 3 2 8 6 2" xfId="9903" xr:uid="{00000000-0005-0000-0000-0000370D0000}"/>
    <cellStyle name="Normal 3 2 8 7" xfId="6257" xr:uid="{00000000-0005-0000-0000-0000380D0000}"/>
    <cellStyle name="Normal 3 2 9" xfId="799" xr:uid="{00000000-0005-0000-0000-0000390D0000}"/>
    <cellStyle name="Normal 3 2 9 2" xfId="2710" xr:uid="{00000000-0005-0000-0000-00003A0D0000}"/>
    <cellStyle name="Normal 3 2 9 2 2" xfId="8063" xr:uid="{00000000-0005-0000-0000-00003B0D0000}"/>
    <cellStyle name="Normal 3 2 9 3" xfId="3820" xr:uid="{00000000-0005-0000-0000-00003C0D0000}"/>
    <cellStyle name="Normal 3 2 9 3 2" xfId="9111" xr:uid="{00000000-0005-0000-0000-00003D0D0000}"/>
    <cellStyle name="Normal 3 2 9 4" xfId="4617" xr:uid="{00000000-0005-0000-0000-00003E0D0000}"/>
    <cellStyle name="Normal 3 2 9 4 2" xfId="9905" xr:uid="{00000000-0005-0000-0000-00003F0D0000}"/>
    <cellStyle name="Normal 3 2 9 5" xfId="6259" xr:uid="{00000000-0005-0000-0000-0000400D0000}"/>
    <cellStyle name="Normal 3 3" xfId="800" xr:uid="{00000000-0005-0000-0000-0000410D0000}"/>
    <cellStyle name="Normal 3 3 10" xfId="2266" xr:uid="{00000000-0005-0000-0000-0000420D0000}"/>
    <cellStyle name="Normal 3 3 10 2" xfId="5874" xr:uid="{00000000-0005-0000-0000-0000430D0000}"/>
    <cellStyle name="Normal 3 3 10 3" xfId="7624" xr:uid="{00000000-0005-0000-0000-0000440D0000}"/>
    <cellStyle name="Normal 3 3 11" xfId="3191" xr:uid="{00000000-0005-0000-0000-0000450D0000}"/>
    <cellStyle name="Normal 3 3 12" xfId="3380" xr:uid="{00000000-0005-0000-0000-0000460D0000}"/>
    <cellStyle name="Normal 3 3 12 2" xfId="8672" xr:uid="{00000000-0005-0000-0000-0000470D0000}"/>
    <cellStyle name="Normal 3 3 13" xfId="4618" xr:uid="{00000000-0005-0000-0000-0000480D0000}"/>
    <cellStyle name="Normal 3 3 13 2" xfId="9906" xr:uid="{00000000-0005-0000-0000-0000490D0000}"/>
    <cellStyle name="Normal 3 3 14" xfId="6260" xr:uid="{00000000-0005-0000-0000-00004A0D0000}"/>
    <cellStyle name="Normal 3 3 2" xfId="801" xr:uid="{00000000-0005-0000-0000-00004B0D0000}"/>
    <cellStyle name="Normal 3 3 2 10" xfId="4619" xr:uid="{00000000-0005-0000-0000-00004C0D0000}"/>
    <cellStyle name="Normal 3 3 2 10 2" xfId="9907" xr:uid="{00000000-0005-0000-0000-00004D0D0000}"/>
    <cellStyle name="Normal 3 3 2 11" xfId="6261" xr:uid="{00000000-0005-0000-0000-00004E0D0000}"/>
    <cellStyle name="Normal 3 3 2 2" xfId="802" xr:uid="{00000000-0005-0000-0000-00004F0D0000}"/>
    <cellStyle name="Normal 3 3 2 2 10" xfId="6262" xr:uid="{00000000-0005-0000-0000-0000500D0000}"/>
    <cellStyle name="Normal 3 3 2 2 2" xfId="803" xr:uid="{00000000-0005-0000-0000-0000510D0000}"/>
    <cellStyle name="Normal 3 3 2 2 2 2" xfId="804" xr:uid="{00000000-0005-0000-0000-0000520D0000}"/>
    <cellStyle name="Normal 3 3 2 2 2 2 2" xfId="805" xr:uid="{00000000-0005-0000-0000-0000530D0000}"/>
    <cellStyle name="Normal 3 3 2 2 2 2 2 2" xfId="2774" xr:uid="{00000000-0005-0000-0000-0000540D0000}"/>
    <cellStyle name="Normal 3 3 2 2 2 2 2 2 2" xfId="8127" xr:uid="{00000000-0005-0000-0000-0000550D0000}"/>
    <cellStyle name="Normal 3 3 2 2 2 2 2 3" xfId="3884" xr:uid="{00000000-0005-0000-0000-0000560D0000}"/>
    <cellStyle name="Normal 3 3 2 2 2 2 2 3 2" xfId="9175" xr:uid="{00000000-0005-0000-0000-0000570D0000}"/>
    <cellStyle name="Normal 3 3 2 2 2 2 2 4" xfId="4623" xr:uid="{00000000-0005-0000-0000-0000580D0000}"/>
    <cellStyle name="Normal 3 3 2 2 2 2 2 4 2" xfId="9911" xr:uid="{00000000-0005-0000-0000-0000590D0000}"/>
    <cellStyle name="Normal 3 3 2 2 2 2 2 5" xfId="6265" xr:uid="{00000000-0005-0000-0000-00005A0D0000}"/>
    <cellStyle name="Normal 3 3 2 2 2 2 3" xfId="1718" xr:uid="{00000000-0005-0000-0000-00005B0D0000}"/>
    <cellStyle name="Normal 3 3 2 2 2 2 3 2" xfId="5489" xr:uid="{00000000-0005-0000-0000-00005C0D0000}"/>
    <cellStyle name="Normal 3 3 2 2 2 2 3 2 2" xfId="10777" xr:uid="{00000000-0005-0000-0000-00005D0D0000}"/>
    <cellStyle name="Normal 3 3 2 2 2 2 3 3" xfId="7131" xr:uid="{00000000-0005-0000-0000-00005E0D0000}"/>
    <cellStyle name="Normal 3 3 2 2 2 2 4" xfId="2270" xr:uid="{00000000-0005-0000-0000-00005F0D0000}"/>
    <cellStyle name="Normal 3 3 2 2 2 2 4 2" xfId="7628" xr:uid="{00000000-0005-0000-0000-0000600D0000}"/>
    <cellStyle name="Normal 3 3 2 2 2 2 5" xfId="3384" xr:uid="{00000000-0005-0000-0000-0000610D0000}"/>
    <cellStyle name="Normal 3 3 2 2 2 2 5 2" xfId="8676" xr:uid="{00000000-0005-0000-0000-0000620D0000}"/>
    <cellStyle name="Normal 3 3 2 2 2 2 6" xfId="4622" xr:uid="{00000000-0005-0000-0000-0000630D0000}"/>
    <cellStyle name="Normal 3 3 2 2 2 2 6 2" xfId="9910" xr:uid="{00000000-0005-0000-0000-0000640D0000}"/>
    <cellStyle name="Normal 3 3 2 2 2 2 7" xfId="6264" xr:uid="{00000000-0005-0000-0000-0000650D0000}"/>
    <cellStyle name="Normal 3 3 2 2 2 3" xfId="806" xr:uid="{00000000-0005-0000-0000-0000660D0000}"/>
    <cellStyle name="Normal 3 3 2 2 2 3 2" xfId="807" xr:uid="{00000000-0005-0000-0000-0000670D0000}"/>
    <cellStyle name="Normal 3 3 2 2 2 3 2 2" xfId="2775" xr:uid="{00000000-0005-0000-0000-0000680D0000}"/>
    <cellStyle name="Normal 3 3 2 2 2 3 2 2 2" xfId="8128" xr:uid="{00000000-0005-0000-0000-0000690D0000}"/>
    <cellStyle name="Normal 3 3 2 2 2 3 2 3" xfId="3885" xr:uid="{00000000-0005-0000-0000-00006A0D0000}"/>
    <cellStyle name="Normal 3 3 2 2 2 3 2 3 2" xfId="9176" xr:uid="{00000000-0005-0000-0000-00006B0D0000}"/>
    <cellStyle name="Normal 3 3 2 2 2 3 2 4" xfId="4625" xr:uid="{00000000-0005-0000-0000-00006C0D0000}"/>
    <cellStyle name="Normal 3 3 2 2 2 3 2 4 2" xfId="9913" xr:uid="{00000000-0005-0000-0000-00006D0D0000}"/>
    <cellStyle name="Normal 3 3 2 2 2 3 2 5" xfId="6267" xr:uid="{00000000-0005-0000-0000-00006E0D0000}"/>
    <cellStyle name="Normal 3 3 2 2 2 3 3" xfId="1719" xr:uid="{00000000-0005-0000-0000-00006F0D0000}"/>
    <cellStyle name="Normal 3 3 2 2 2 3 3 2" xfId="5490" xr:uid="{00000000-0005-0000-0000-0000700D0000}"/>
    <cellStyle name="Normal 3 3 2 2 2 3 3 2 2" xfId="10778" xr:uid="{00000000-0005-0000-0000-0000710D0000}"/>
    <cellStyle name="Normal 3 3 2 2 2 3 3 3" xfId="7132" xr:uid="{00000000-0005-0000-0000-0000720D0000}"/>
    <cellStyle name="Normal 3 3 2 2 2 3 4" xfId="2271" xr:uid="{00000000-0005-0000-0000-0000730D0000}"/>
    <cellStyle name="Normal 3 3 2 2 2 3 4 2" xfId="7629" xr:uid="{00000000-0005-0000-0000-0000740D0000}"/>
    <cellStyle name="Normal 3 3 2 2 2 3 5" xfId="3385" xr:uid="{00000000-0005-0000-0000-0000750D0000}"/>
    <cellStyle name="Normal 3 3 2 2 2 3 5 2" xfId="8677" xr:uid="{00000000-0005-0000-0000-0000760D0000}"/>
    <cellStyle name="Normal 3 3 2 2 2 3 6" xfId="4624" xr:uid="{00000000-0005-0000-0000-0000770D0000}"/>
    <cellStyle name="Normal 3 3 2 2 2 3 6 2" xfId="9912" xr:uid="{00000000-0005-0000-0000-0000780D0000}"/>
    <cellStyle name="Normal 3 3 2 2 2 3 7" xfId="6266" xr:uid="{00000000-0005-0000-0000-0000790D0000}"/>
    <cellStyle name="Normal 3 3 2 2 2 4" xfId="808" xr:uid="{00000000-0005-0000-0000-00007A0D0000}"/>
    <cellStyle name="Normal 3 3 2 2 2 4 2" xfId="2773" xr:uid="{00000000-0005-0000-0000-00007B0D0000}"/>
    <cellStyle name="Normal 3 3 2 2 2 4 2 2" xfId="8126" xr:uid="{00000000-0005-0000-0000-00007C0D0000}"/>
    <cellStyle name="Normal 3 3 2 2 2 4 3" xfId="3883" xr:uid="{00000000-0005-0000-0000-00007D0D0000}"/>
    <cellStyle name="Normal 3 3 2 2 2 4 3 2" xfId="9174" xr:uid="{00000000-0005-0000-0000-00007E0D0000}"/>
    <cellStyle name="Normal 3 3 2 2 2 4 4" xfId="4626" xr:uid="{00000000-0005-0000-0000-00007F0D0000}"/>
    <cellStyle name="Normal 3 3 2 2 2 4 4 2" xfId="9914" xr:uid="{00000000-0005-0000-0000-0000800D0000}"/>
    <cellStyle name="Normal 3 3 2 2 2 4 5" xfId="6268" xr:uid="{00000000-0005-0000-0000-0000810D0000}"/>
    <cellStyle name="Normal 3 3 2 2 2 5" xfId="1717" xr:uid="{00000000-0005-0000-0000-0000820D0000}"/>
    <cellStyle name="Normal 3 3 2 2 2 5 2" xfId="5488" xr:uid="{00000000-0005-0000-0000-0000830D0000}"/>
    <cellStyle name="Normal 3 3 2 2 2 5 2 2" xfId="10776" xr:uid="{00000000-0005-0000-0000-0000840D0000}"/>
    <cellStyle name="Normal 3 3 2 2 2 5 3" xfId="7130" xr:uid="{00000000-0005-0000-0000-0000850D0000}"/>
    <cellStyle name="Normal 3 3 2 2 2 6" xfId="2269" xr:uid="{00000000-0005-0000-0000-0000860D0000}"/>
    <cellStyle name="Normal 3 3 2 2 2 6 2" xfId="7627" xr:uid="{00000000-0005-0000-0000-0000870D0000}"/>
    <cellStyle name="Normal 3 3 2 2 2 7" xfId="3383" xr:uid="{00000000-0005-0000-0000-0000880D0000}"/>
    <cellStyle name="Normal 3 3 2 2 2 7 2" xfId="8675" xr:uid="{00000000-0005-0000-0000-0000890D0000}"/>
    <cellStyle name="Normal 3 3 2 2 2 8" xfId="4621" xr:uid="{00000000-0005-0000-0000-00008A0D0000}"/>
    <cellStyle name="Normal 3 3 2 2 2 8 2" xfId="9909" xr:uid="{00000000-0005-0000-0000-00008B0D0000}"/>
    <cellStyle name="Normal 3 3 2 2 2 9" xfId="6263" xr:uid="{00000000-0005-0000-0000-00008C0D0000}"/>
    <cellStyle name="Normal 3 3 2 2 3" xfId="809" xr:uid="{00000000-0005-0000-0000-00008D0D0000}"/>
    <cellStyle name="Normal 3 3 2 2 3 2" xfId="810" xr:uid="{00000000-0005-0000-0000-00008E0D0000}"/>
    <cellStyle name="Normal 3 3 2 2 3 2 2" xfId="2776" xr:uid="{00000000-0005-0000-0000-00008F0D0000}"/>
    <cellStyle name="Normal 3 3 2 2 3 2 2 2" xfId="8129" xr:uid="{00000000-0005-0000-0000-0000900D0000}"/>
    <cellStyle name="Normal 3 3 2 2 3 2 3" xfId="3886" xr:uid="{00000000-0005-0000-0000-0000910D0000}"/>
    <cellStyle name="Normal 3 3 2 2 3 2 3 2" xfId="9177" xr:uid="{00000000-0005-0000-0000-0000920D0000}"/>
    <cellStyle name="Normal 3 3 2 2 3 2 4" xfId="4628" xr:uid="{00000000-0005-0000-0000-0000930D0000}"/>
    <cellStyle name="Normal 3 3 2 2 3 2 4 2" xfId="9916" xr:uid="{00000000-0005-0000-0000-0000940D0000}"/>
    <cellStyle name="Normal 3 3 2 2 3 2 5" xfId="6270" xr:uid="{00000000-0005-0000-0000-0000950D0000}"/>
    <cellStyle name="Normal 3 3 2 2 3 3" xfId="1720" xr:uid="{00000000-0005-0000-0000-0000960D0000}"/>
    <cellStyle name="Normal 3 3 2 2 3 3 2" xfId="5491" xr:uid="{00000000-0005-0000-0000-0000970D0000}"/>
    <cellStyle name="Normal 3 3 2 2 3 3 2 2" xfId="10779" xr:uid="{00000000-0005-0000-0000-0000980D0000}"/>
    <cellStyle name="Normal 3 3 2 2 3 3 3" xfId="7133" xr:uid="{00000000-0005-0000-0000-0000990D0000}"/>
    <cellStyle name="Normal 3 3 2 2 3 4" xfId="2272" xr:uid="{00000000-0005-0000-0000-00009A0D0000}"/>
    <cellStyle name="Normal 3 3 2 2 3 4 2" xfId="7630" xr:uid="{00000000-0005-0000-0000-00009B0D0000}"/>
    <cellStyle name="Normal 3 3 2 2 3 5" xfId="3386" xr:uid="{00000000-0005-0000-0000-00009C0D0000}"/>
    <cellStyle name="Normal 3 3 2 2 3 5 2" xfId="8678" xr:uid="{00000000-0005-0000-0000-00009D0D0000}"/>
    <cellStyle name="Normal 3 3 2 2 3 6" xfId="4627" xr:uid="{00000000-0005-0000-0000-00009E0D0000}"/>
    <cellStyle name="Normal 3 3 2 2 3 6 2" xfId="9915" xr:uid="{00000000-0005-0000-0000-00009F0D0000}"/>
    <cellStyle name="Normal 3 3 2 2 3 7" xfId="6269" xr:uid="{00000000-0005-0000-0000-0000A00D0000}"/>
    <cellStyle name="Normal 3 3 2 2 4" xfId="811" xr:uid="{00000000-0005-0000-0000-0000A10D0000}"/>
    <cellStyle name="Normal 3 3 2 2 4 2" xfId="812" xr:uid="{00000000-0005-0000-0000-0000A20D0000}"/>
    <cellStyle name="Normal 3 3 2 2 4 2 2" xfId="2777" xr:uid="{00000000-0005-0000-0000-0000A30D0000}"/>
    <cellStyle name="Normal 3 3 2 2 4 2 2 2" xfId="8130" xr:uid="{00000000-0005-0000-0000-0000A40D0000}"/>
    <cellStyle name="Normal 3 3 2 2 4 2 3" xfId="3887" xr:uid="{00000000-0005-0000-0000-0000A50D0000}"/>
    <cellStyle name="Normal 3 3 2 2 4 2 3 2" xfId="9178" xr:uid="{00000000-0005-0000-0000-0000A60D0000}"/>
    <cellStyle name="Normal 3 3 2 2 4 2 4" xfId="4630" xr:uid="{00000000-0005-0000-0000-0000A70D0000}"/>
    <cellStyle name="Normal 3 3 2 2 4 2 4 2" xfId="9918" xr:uid="{00000000-0005-0000-0000-0000A80D0000}"/>
    <cellStyle name="Normal 3 3 2 2 4 2 5" xfId="6272" xr:uid="{00000000-0005-0000-0000-0000A90D0000}"/>
    <cellStyle name="Normal 3 3 2 2 4 3" xfId="1721" xr:uid="{00000000-0005-0000-0000-0000AA0D0000}"/>
    <cellStyle name="Normal 3 3 2 2 4 3 2" xfId="5492" xr:uid="{00000000-0005-0000-0000-0000AB0D0000}"/>
    <cellStyle name="Normal 3 3 2 2 4 3 2 2" xfId="10780" xr:uid="{00000000-0005-0000-0000-0000AC0D0000}"/>
    <cellStyle name="Normal 3 3 2 2 4 3 3" xfId="7134" xr:uid="{00000000-0005-0000-0000-0000AD0D0000}"/>
    <cellStyle name="Normal 3 3 2 2 4 4" xfId="2273" xr:uid="{00000000-0005-0000-0000-0000AE0D0000}"/>
    <cellStyle name="Normal 3 3 2 2 4 4 2" xfId="7631" xr:uid="{00000000-0005-0000-0000-0000AF0D0000}"/>
    <cellStyle name="Normal 3 3 2 2 4 5" xfId="3387" xr:uid="{00000000-0005-0000-0000-0000B00D0000}"/>
    <cellStyle name="Normal 3 3 2 2 4 5 2" xfId="8679" xr:uid="{00000000-0005-0000-0000-0000B10D0000}"/>
    <cellStyle name="Normal 3 3 2 2 4 6" xfId="4629" xr:uid="{00000000-0005-0000-0000-0000B20D0000}"/>
    <cellStyle name="Normal 3 3 2 2 4 6 2" xfId="9917" xr:uid="{00000000-0005-0000-0000-0000B30D0000}"/>
    <cellStyle name="Normal 3 3 2 2 4 7" xfId="6271" xr:uid="{00000000-0005-0000-0000-0000B40D0000}"/>
    <cellStyle name="Normal 3 3 2 2 5" xfId="813" xr:uid="{00000000-0005-0000-0000-0000B50D0000}"/>
    <cellStyle name="Normal 3 3 2 2 5 2" xfId="2772" xr:uid="{00000000-0005-0000-0000-0000B60D0000}"/>
    <cellStyle name="Normal 3 3 2 2 5 2 2" xfId="8125" xr:uid="{00000000-0005-0000-0000-0000B70D0000}"/>
    <cellStyle name="Normal 3 3 2 2 5 3" xfId="3882" xr:uid="{00000000-0005-0000-0000-0000B80D0000}"/>
    <cellStyle name="Normal 3 3 2 2 5 3 2" xfId="9173" xr:uid="{00000000-0005-0000-0000-0000B90D0000}"/>
    <cellStyle name="Normal 3 3 2 2 5 4" xfId="4631" xr:uid="{00000000-0005-0000-0000-0000BA0D0000}"/>
    <cellStyle name="Normal 3 3 2 2 5 4 2" xfId="9919" xr:uid="{00000000-0005-0000-0000-0000BB0D0000}"/>
    <cellStyle name="Normal 3 3 2 2 5 5" xfId="6273" xr:uid="{00000000-0005-0000-0000-0000BC0D0000}"/>
    <cellStyle name="Normal 3 3 2 2 6" xfId="1716" xr:uid="{00000000-0005-0000-0000-0000BD0D0000}"/>
    <cellStyle name="Normal 3 3 2 2 6 2" xfId="5487" xr:uid="{00000000-0005-0000-0000-0000BE0D0000}"/>
    <cellStyle name="Normal 3 3 2 2 6 2 2" xfId="10775" xr:uid="{00000000-0005-0000-0000-0000BF0D0000}"/>
    <cellStyle name="Normal 3 3 2 2 6 3" xfId="7129" xr:uid="{00000000-0005-0000-0000-0000C00D0000}"/>
    <cellStyle name="Normal 3 3 2 2 7" xfId="2268" xr:uid="{00000000-0005-0000-0000-0000C10D0000}"/>
    <cellStyle name="Normal 3 3 2 2 7 2" xfId="7626" xr:uid="{00000000-0005-0000-0000-0000C20D0000}"/>
    <cellStyle name="Normal 3 3 2 2 8" xfId="3382" xr:uid="{00000000-0005-0000-0000-0000C30D0000}"/>
    <cellStyle name="Normal 3 3 2 2 8 2" xfId="8674" xr:uid="{00000000-0005-0000-0000-0000C40D0000}"/>
    <cellStyle name="Normal 3 3 2 2 9" xfId="4620" xr:uid="{00000000-0005-0000-0000-0000C50D0000}"/>
    <cellStyle name="Normal 3 3 2 2 9 2" xfId="9908" xr:uid="{00000000-0005-0000-0000-0000C60D0000}"/>
    <cellStyle name="Normal 3 3 2 3" xfId="814" xr:uid="{00000000-0005-0000-0000-0000C70D0000}"/>
    <cellStyle name="Normal 3 3 2 3 2" xfId="815" xr:uid="{00000000-0005-0000-0000-0000C80D0000}"/>
    <cellStyle name="Normal 3 3 2 3 2 2" xfId="816" xr:uid="{00000000-0005-0000-0000-0000C90D0000}"/>
    <cellStyle name="Normal 3 3 2 3 2 2 2" xfId="2779" xr:uid="{00000000-0005-0000-0000-0000CA0D0000}"/>
    <cellStyle name="Normal 3 3 2 3 2 2 2 2" xfId="8132" xr:uid="{00000000-0005-0000-0000-0000CB0D0000}"/>
    <cellStyle name="Normal 3 3 2 3 2 2 3" xfId="3889" xr:uid="{00000000-0005-0000-0000-0000CC0D0000}"/>
    <cellStyle name="Normal 3 3 2 3 2 2 3 2" xfId="9180" xr:uid="{00000000-0005-0000-0000-0000CD0D0000}"/>
    <cellStyle name="Normal 3 3 2 3 2 2 4" xfId="4634" xr:uid="{00000000-0005-0000-0000-0000CE0D0000}"/>
    <cellStyle name="Normal 3 3 2 3 2 2 4 2" xfId="9922" xr:uid="{00000000-0005-0000-0000-0000CF0D0000}"/>
    <cellStyle name="Normal 3 3 2 3 2 2 5" xfId="6276" xr:uid="{00000000-0005-0000-0000-0000D00D0000}"/>
    <cellStyle name="Normal 3 3 2 3 2 3" xfId="1723" xr:uid="{00000000-0005-0000-0000-0000D10D0000}"/>
    <cellStyle name="Normal 3 3 2 3 2 3 2" xfId="5494" xr:uid="{00000000-0005-0000-0000-0000D20D0000}"/>
    <cellStyle name="Normal 3 3 2 3 2 3 2 2" xfId="10782" xr:uid="{00000000-0005-0000-0000-0000D30D0000}"/>
    <cellStyle name="Normal 3 3 2 3 2 3 3" xfId="7136" xr:uid="{00000000-0005-0000-0000-0000D40D0000}"/>
    <cellStyle name="Normal 3 3 2 3 2 4" xfId="2275" xr:uid="{00000000-0005-0000-0000-0000D50D0000}"/>
    <cellStyle name="Normal 3 3 2 3 2 4 2" xfId="7633" xr:uid="{00000000-0005-0000-0000-0000D60D0000}"/>
    <cellStyle name="Normal 3 3 2 3 2 5" xfId="3389" xr:uid="{00000000-0005-0000-0000-0000D70D0000}"/>
    <cellStyle name="Normal 3 3 2 3 2 5 2" xfId="8681" xr:uid="{00000000-0005-0000-0000-0000D80D0000}"/>
    <cellStyle name="Normal 3 3 2 3 2 6" xfId="4633" xr:uid="{00000000-0005-0000-0000-0000D90D0000}"/>
    <cellStyle name="Normal 3 3 2 3 2 6 2" xfId="9921" xr:uid="{00000000-0005-0000-0000-0000DA0D0000}"/>
    <cellStyle name="Normal 3 3 2 3 2 7" xfId="6275" xr:uid="{00000000-0005-0000-0000-0000DB0D0000}"/>
    <cellStyle name="Normal 3 3 2 3 3" xfId="817" xr:uid="{00000000-0005-0000-0000-0000DC0D0000}"/>
    <cellStyle name="Normal 3 3 2 3 3 2" xfId="818" xr:uid="{00000000-0005-0000-0000-0000DD0D0000}"/>
    <cellStyle name="Normal 3 3 2 3 3 2 2" xfId="2780" xr:uid="{00000000-0005-0000-0000-0000DE0D0000}"/>
    <cellStyle name="Normal 3 3 2 3 3 2 2 2" xfId="8133" xr:uid="{00000000-0005-0000-0000-0000DF0D0000}"/>
    <cellStyle name="Normal 3 3 2 3 3 2 3" xfId="3890" xr:uid="{00000000-0005-0000-0000-0000E00D0000}"/>
    <cellStyle name="Normal 3 3 2 3 3 2 3 2" xfId="9181" xr:uid="{00000000-0005-0000-0000-0000E10D0000}"/>
    <cellStyle name="Normal 3 3 2 3 3 2 4" xfId="4636" xr:uid="{00000000-0005-0000-0000-0000E20D0000}"/>
    <cellStyle name="Normal 3 3 2 3 3 2 4 2" xfId="9924" xr:uid="{00000000-0005-0000-0000-0000E30D0000}"/>
    <cellStyle name="Normal 3 3 2 3 3 2 5" xfId="6278" xr:uid="{00000000-0005-0000-0000-0000E40D0000}"/>
    <cellStyle name="Normal 3 3 2 3 3 3" xfId="1724" xr:uid="{00000000-0005-0000-0000-0000E50D0000}"/>
    <cellStyle name="Normal 3 3 2 3 3 3 2" xfId="5495" xr:uid="{00000000-0005-0000-0000-0000E60D0000}"/>
    <cellStyle name="Normal 3 3 2 3 3 3 2 2" xfId="10783" xr:uid="{00000000-0005-0000-0000-0000E70D0000}"/>
    <cellStyle name="Normal 3 3 2 3 3 3 3" xfId="7137" xr:uid="{00000000-0005-0000-0000-0000E80D0000}"/>
    <cellStyle name="Normal 3 3 2 3 3 4" xfId="2276" xr:uid="{00000000-0005-0000-0000-0000E90D0000}"/>
    <cellStyle name="Normal 3 3 2 3 3 4 2" xfId="7634" xr:uid="{00000000-0005-0000-0000-0000EA0D0000}"/>
    <cellStyle name="Normal 3 3 2 3 3 5" xfId="3390" xr:uid="{00000000-0005-0000-0000-0000EB0D0000}"/>
    <cellStyle name="Normal 3 3 2 3 3 5 2" xfId="8682" xr:uid="{00000000-0005-0000-0000-0000EC0D0000}"/>
    <cellStyle name="Normal 3 3 2 3 3 6" xfId="4635" xr:uid="{00000000-0005-0000-0000-0000ED0D0000}"/>
    <cellStyle name="Normal 3 3 2 3 3 6 2" xfId="9923" xr:uid="{00000000-0005-0000-0000-0000EE0D0000}"/>
    <cellStyle name="Normal 3 3 2 3 3 7" xfId="6277" xr:uid="{00000000-0005-0000-0000-0000EF0D0000}"/>
    <cellStyle name="Normal 3 3 2 3 4" xfId="819" xr:uid="{00000000-0005-0000-0000-0000F00D0000}"/>
    <cellStyle name="Normal 3 3 2 3 4 2" xfId="2778" xr:uid="{00000000-0005-0000-0000-0000F10D0000}"/>
    <cellStyle name="Normal 3 3 2 3 4 2 2" xfId="8131" xr:uid="{00000000-0005-0000-0000-0000F20D0000}"/>
    <cellStyle name="Normal 3 3 2 3 4 3" xfId="3888" xr:uid="{00000000-0005-0000-0000-0000F30D0000}"/>
    <cellStyle name="Normal 3 3 2 3 4 3 2" xfId="9179" xr:uid="{00000000-0005-0000-0000-0000F40D0000}"/>
    <cellStyle name="Normal 3 3 2 3 4 4" xfId="4637" xr:uid="{00000000-0005-0000-0000-0000F50D0000}"/>
    <cellStyle name="Normal 3 3 2 3 4 4 2" xfId="9925" xr:uid="{00000000-0005-0000-0000-0000F60D0000}"/>
    <cellStyle name="Normal 3 3 2 3 4 5" xfId="6279" xr:uid="{00000000-0005-0000-0000-0000F70D0000}"/>
    <cellStyle name="Normal 3 3 2 3 5" xfId="1722" xr:uid="{00000000-0005-0000-0000-0000F80D0000}"/>
    <cellStyle name="Normal 3 3 2 3 5 2" xfId="5493" xr:uid="{00000000-0005-0000-0000-0000F90D0000}"/>
    <cellStyle name="Normal 3 3 2 3 5 2 2" xfId="10781" xr:uid="{00000000-0005-0000-0000-0000FA0D0000}"/>
    <cellStyle name="Normal 3 3 2 3 5 3" xfId="7135" xr:uid="{00000000-0005-0000-0000-0000FB0D0000}"/>
    <cellStyle name="Normal 3 3 2 3 6" xfId="2274" xr:uid="{00000000-0005-0000-0000-0000FC0D0000}"/>
    <cellStyle name="Normal 3 3 2 3 6 2" xfId="7632" xr:uid="{00000000-0005-0000-0000-0000FD0D0000}"/>
    <cellStyle name="Normal 3 3 2 3 7" xfId="3388" xr:uid="{00000000-0005-0000-0000-0000FE0D0000}"/>
    <cellStyle name="Normal 3 3 2 3 7 2" xfId="8680" xr:uid="{00000000-0005-0000-0000-0000FF0D0000}"/>
    <cellStyle name="Normal 3 3 2 3 8" xfId="4632" xr:uid="{00000000-0005-0000-0000-0000000E0000}"/>
    <cellStyle name="Normal 3 3 2 3 8 2" xfId="9920" xr:uid="{00000000-0005-0000-0000-0000010E0000}"/>
    <cellStyle name="Normal 3 3 2 3 9" xfId="6274" xr:uid="{00000000-0005-0000-0000-0000020E0000}"/>
    <cellStyle name="Normal 3 3 2 4" xfId="820" xr:uid="{00000000-0005-0000-0000-0000030E0000}"/>
    <cellStyle name="Normal 3 3 2 4 2" xfId="821" xr:uid="{00000000-0005-0000-0000-0000040E0000}"/>
    <cellStyle name="Normal 3 3 2 4 2 2" xfId="2781" xr:uid="{00000000-0005-0000-0000-0000050E0000}"/>
    <cellStyle name="Normal 3 3 2 4 2 2 2" xfId="8134" xr:uid="{00000000-0005-0000-0000-0000060E0000}"/>
    <cellStyle name="Normal 3 3 2 4 2 3" xfId="3891" xr:uid="{00000000-0005-0000-0000-0000070E0000}"/>
    <cellStyle name="Normal 3 3 2 4 2 3 2" xfId="9182" xr:uid="{00000000-0005-0000-0000-0000080E0000}"/>
    <cellStyle name="Normal 3 3 2 4 2 4" xfId="4639" xr:uid="{00000000-0005-0000-0000-0000090E0000}"/>
    <cellStyle name="Normal 3 3 2 4 2 4 2" xfId="9927" xr:uid="{00000000-0005-0000-0000-00000A0E0000}"/>
    <cellStyle name="Normal 3 3 2 4 2 5" xfId="6281" xr:uid="{00000000-0005-0000-0000-00000B0E0000}"/>
    <cellStyle name="Normal 3 3 2 4 3" xfId="1725" xr:uid="{00000000-0005-0000-0000-00000C0E0000}"/>
    <cellStyle name="Normal 3 3 2 4 3 2" xfId="5496" xr:uid="{00000000-0005-0000-0000-00000D0E0000}"/>
    <cellStyle name="Normal 3 3 2 4 3 2 2" xfId="10784" xr:uid="{00000000-0005-0000-0000-00000E0E0000}"/>
    <cellStyle name="Normal 3 3 2 4 3 3" xfId="7138" xr:uid="{00000000-0005-0000-0000-00000F0E0000}"/>
    <cellStyle name="Normal 3 3 2 4 4" xfId="2277" xr:uid="{00000000-0005-0000-0000-0000100E0000}"/>
    <cellStyle name="Normal 3 3 2 4 4 2" xfId="7635" xr:uid="{00000000-0005-0000-0000-0000110E0000}"/>
    <cellStyle name="Normal 3 3 2 4 5" xfId="3391" xr:uid="{00000000-0005-0000-0000-0000120E0000}"/>
    <cellStyle name="Normal 3 3 2 4 5 2" xfId="8683" xr:uid="{00000000-0005-0000-0000-0000130E0000}"/>
    <cellStyle name="Normal 3 3 2 4 6" xfId="4638" xr:uid="{00000000-0005-0000-0000-0000140E0000}"/>
    <cellStyle name="Normal 3 3 2 4 6 2" xfId="9926" xr:uid="{00000000-0005-0000-0000-0000150E0000}"/>
    <cellStyle name="Normal 3 3 2 4 7" xfId="6280" xr:uid="{00000000-0005-0000-0000-0000160E0000}"/>
    <cellStyle name="Normal 3 3 2 5" xfId="822" xr:uid="{00000000-0005-0000-0000-0000170E0000}"/>
    <cellStyle name="Normal 3 3 2 5 2" xfId="823" xr:uid="{00000000-0005-0000-0000-0000180E0000}"/>
    <cellStyle name="Normal 3 3 2 5 2 2" xfId="2782" xr:uid="{00000000-0005-0000-0000-0000190E0000}"/>
    <cellStyle name="Normal 3 3 2 5 2 2 2" xfId="8135" xr:uid="{00000000-0005-0000-0000-00001A0E0000}"/>
    <cellStyle name="Normal 3 3 2 5 2 3" xfId="3892" xr:uid="{00000000-0005-0000-0000-00001B0E0000}"/>
    <cellStyle name="Normal 3 3 2 5 2 3 2" xfId="9183" xr:uid="{00000000-0005-0000-0000-00001C0E0000}"/>
    <cellStyle name="Normal 3 3 2 5 2 4" xfId="4641" xr:uid="{00000000-0005-0000-0000-00001D0E0000}"/>
    <cellStyle name="Normal 3 3 2 5 2 4 2" xfId="9929" xr:uid="{00000000-0005-0000-0000-00001E0E0000}"/>
    <cellStyle name="Normal 3 3 2 5 2 5" xfId="6283" xr:uid="{00000000-0005-0000-0000-00001F0E0000}"/>
    <cellStyle name="Normal 3 3 2 5 3" xfId="1726" xr:uid="{00000000-0005-0000-0000-0000200E0000}"/>
    <cellStyle name="Normal 3 3 2 5 3 2" xfId="5497" xr:uid="{00000000-0005-0000-0000-0000210E0000}"/>
    <cellStyle name="Normal 3 3 2 5 3 2 2" xfId="10785" xr:uid="{00000000-0005-0000-0000-0000220E0000}"/>
    <cellStyle name="Normal 3 3 2 5 3 3" xfId="7139" xr:uid="{00000000-0005-0000-0000-0000230E0000}"/>
    <cellStyle name="Normal 3 3 2 5 4" xfId="2278" xr:uid="{00000000-0005-0000-0000-0000240E0000}"/>
    <cellStyle name="Normal 3 3 2 5 4 2" xfId="7636" xr:uid="{00000000-0005-0000-0000-0000250E0000}"/>
    <cellStyle name="Normal 3 3 2 5 5" xfId="3392" xr:uid="{00000000-0005-0000-0000-0000260E0000}"/>
    <cellStyle name="Normal 3 3 2 5 5 2" xfId="8684" xr:uid="{00000000-0005-0000-0000-0000270E0000}"/>
    <cellStyle name="Normal 3 3 2 5 6" xfId="4640" xr:uid="{00000000-0005-0000-0000-0000280E0000}"/>
    <cellStyle name="Normal 3 3 2 5 6 2" xfId="9928" xr:uid="{00000000-0005-0000-0000-0000290E0000}"/>
    <cellStyle name="Normal 3 3 2 5 7" xfId="6282" xr:uid="{00000000-0005-0000-0000-00002A0E0000}"/>
    <cellStyle name="Normal 3 3 2 6" xfId="824" xr:uid="{00000000-0005-0000-0000-00002B0E0000}"/>
    <cellStyle name="Normal 3 3 2 6 2" xfId="2771" xr:uid="{00000000-0005-0000-0000-00002C0E0000}"/>
    <cellStyle name="Normal 3 3 2 6 2 2" xfId="8124" xr:uid="{00000000-0005-0000-0000-00002D0E0000}"/>
    <cellStyle name="Normal 3 3 2 6 3" xfId="3881" xr:uid="{00000000-0005-0000-0000-00002E0E0000}"/>
    <cellStyle name="Normal 3 3 2 6 3 2" xfId="9172" xr:uid="{00000000-0005-0000-0000-00002F0E0000}"/>
    <cellStyle name="Normal 3 3 2 6 4" xfId="4642" xr:uid="{00000000-0005-0000-0000-0000300E0000}"/>
    <cellStyle name="Normal 3 3 2 6 4 2" xfId="9930" xr:uid="{00000000-0005-0000-0000-0000310E0000}"/>
    <cellStyle name="Normal 3 3 2 6 5" xfId="6284" xr:uid="{00000000-0005-0000-0000-0000320E0000}"/>
    <cellStyle name="Normal 3 3 2 7" xfId="1715" xr:uid="{00000000-0005-0000-0000-0000330E0000}"/>
    <cellStyle name="Normal 3 3 2 7 2" xfId="5486" xr:uid="{00000000-0005-0000-0000-0000340E0000}"/>
    <cellStyle name="Normal 3 3 2 7 2 2" xfId="10774" xr:uid="{00000000-0005-0000-0000-0000350E0000}"/>
    <cellStyle name="Normal 3 3 2 7 3" xfId="7128" xr:uid="{00000000-0005-0000-0000-0000360E0000}"/>
    <cellStyle name="Normal 3 3 2 8" xfId="2267" xr:uid="{00000000-0005-0000-0000-0000370E0000}"/>
    <cellStyle name="Normal 3 3 2 8 2" xfId="7625" xr:uid="{00000000-0005-0000-0000-0000380E0000}"/>
    <cellStyle name="Normal 3 3 2 9" xfId="3381" xr:uid="{00000000-0005-0000-0000-0000390E0000}"/>
    <cellStyle name="Normal 3 3 2 9 2" xfId="8673" xr:uid="{00000000-0005-0000-0000-00003A0E0000}"/>
    <cellStyle name="Normal 3 3 3" xfId="825" xr:uid="{00000000-0005-0000-0000-00003B0E0000}"/>
    <cellStyle name="Normal 3 3 3 10" xfId="4643" xr:uid="{00000000-0005-0000-0000-00003C0E0000}"/>
    <cellStyle name="Normal 3 3 3 10 2" xfId="9931" xr:uid="{00000000-0005-0000-0000-00003D0E0000}"/>
    <cellStyle name="Normal 3 3 3 11" xfId="6285" xr:uid="{00000000-0005-0000-0000-00003E0E0000}"/>
    <cellStyle name="Normal 3 3 3 2" xfId="826" xr:uid="{00000000-0005-0000-0000-00003F0E0000}"/>
    <cellStyle name="Normal 3 3 3 2 10" xfId="6286" xr:uid="{00000000-0005-0000-0000-0000400E0000}"/>
    <cellStyle name="Normal 3 3 3 2 2" xfId="827" xr:uid="{00000000-0005-0000-0000-0000410E0000}"/>
    <cellStyle name="Normal 3 3 3 2 2 2" xfId="828" xr:uid="{00000000-0005-0000-0000-0000420E0000}"/>
    <cellStyle name="Normal 3 3 3 2 2 2 2" xfId="829" xr:uid="{00000000-0005-0000-0000-0000430E0000}"/>
    <cellStyle name="Normal 3 3 3 2 2 2 2 2" xfId="2786" xr:uid="{00000000-0005-0000-0000-0000440E0000}"/>
    <cellStyle name="Normal 3 3 3 2 2 2 2 2 2" xfId="8139" xr:uid="{00000000-0005-0000-0000-0000450E0000}"/>
    <cellStyle name="Normal 3 3 3 2 2 2 2 3" xfId="3896" xr:uid="{00000000-0005-0000-0000-0000460E0000}"/>
    <cellStyle name="Normal 3 3 3 2 2 2 2 3 2" xfId="9187" xr:uid="{00000000-0005-0000-0000-0000470E0000}"/>
    <cellStyle name="Normal 3 3 3 2 2 2 2 4" xfId="4647" xr:uid="{00000000-0005-0000-0000-0000480E0000}"/>
    <cellStyle name="Normal 3 3 3 2 2 2 2 4 2" xfId="9935" xr:uid="{00000000-0005-0000-0000-0000490E0000}"/>
    <cellStyle name="Normal 3 3 3 2 2 2 2 5" xfId="6289" xr:uid="{00000000-0005-0000-0000-00004A0E0000}"/>
    <cellStyle name="Normal 3 3 3 2 2 2 3" xfId="1730" xr:uid="{00000000-0005-0000-0000-00004B0E0000}"/>
    <cellStyle name="Normal 3 3 3 2 2 2 3 2" xfId="5501" xr:uid="{00000000-0005-0000-0000-00004C0E0000}"/>
    <cellStyle name="Normal 3 3 3 2 2 2 3 2 2" xfId="10789" xr:uid="{00000000-0005-0000-0000-00004D0E0000}"/>
    <cellStyle name="Normal 3 3 3 2 2 2 3 3" xfId="7143" xr:uid="{00000000-0005-0000-0000-00004E0E0000}"/>
    <cellStyle name="Normal 3 3 3 2 2 2 4" xfId="2282" xr:uid="{00000000-0005-0000-0000-00004F0E0000}"/>
    <cellStyle name="Normal 3 3 3 2 2 2 4 2" xfId="7640" xr:uid="{00000000-0005-0000-0000-0000500E0000}"/>
    <cellStyle name="Normal 3 3 3 2 2 2 5" xfId="3396" xr:uid="{00000000-0005-0000-0000-0000510E0000}"/>
    <cellStyle name="Normal 3 3 3 2 2 2 5 2" xfId="8688" xr:uid="{00000000-0005-0000-0000-0000520E0000}"/>
    <cellStyle name="Normal 3 3 3 2 2 2 6" xfId="4646" xr:uid="{00000000-0005-0000-0000-0000530E0000}"/>
    <cellStyle name="Normal 3 3 3 2 2 2 6 2" xfId="9934" xr:uid="{00000000-0005-0000-0000-0000540E0000}"/>
    <cellStyle name="Normal 3 3 3 2 2 2 7" xfId="6288" xr:uid="{00000000-0005-0000-0000-0000550E0000}"/>
    <cellStyle name="Normal 3 3 3 2 2 3" xfId="830" xr:uid="{00000000-0005-0000-0000-0000560E0000}"/>
    <cellStyle name="Normal 3 3 3 2 2 3 2" xfId="831" xr:uid="{00000000-0005-0000-0000-0000570E0000}"/>
    <cellStyle name="Normal 3 3 3 2 2 3 2 2" xfId="2787" xr:uid="{00000000-0005-0000-0000-0000580E0000}"/>
    <cellStyle name="Normal 3 3 3 2 2 3 2 2 2" xfId="8140" xr:uid="{00000000-0005-0000-0000-0000590E0000}"/>
    <cellStyle name="Normal 3 3 3 2 2 3 2 3" xfId="3897" xr:uid="{00000000-0005-0000-0000-00005A0E0000}"/>
    <cellStyle name="Normal 3 3 3 2 2 3 2 3 2" xfId="9188" xr:uid="{00000000-0005-0000-0000-00005B0E0000}"/>
    <cellStyle name="Normal 3 3 3 2 2 3 2 4" xfId="4649" xr:uid="{00000000-0005-0000-0000-00005C0E0000}"/>
    <cellStyle name="Normal 3 3 3 2 2 3 2 4 2" xfId="9937" xr:uid="{00000000-0005-0000-0000-00005D0E0000}"/>
    <cellStyle name="Normal 3 3 3 2 2 3 2 5" xfId="6291" xr:uid="{00000000-0005-0000-0000-00005E0E0000}"/>
    <cellStyle name="Normal 3 3 3 2 2 3 3" xfId="1731" xr:uid="{00000000-0005-0000-0000-00005F0E0000}"/>
    <cellStyle name="Normal 3 3 3 2 2 3 3 2" xfId="5502" xr:uid="{00000000-0005-0000-0000-0000600E0000}"/>
    <cellStyle name="Normal 3 3 3 2 2 3 3 2 2" xfId="10790" xr:uid="{00000000-0005-0000-0000-0000610E0000}"/>
    <cellStyle name="Normal 3 3 3 2 2 3 3 3" xfId="7144" xr:uid="{00000000-0005-0000-0000-0000620E0000}"/>
    <cellStyle name="Normal 3 3 3 2 2 3 4" xfId="2283" xr:uid="{00000000-0005-0000-0000-0000630E0000}"/>
    <cellStyle name="Normal 3 3 3 2 2 3 4 2" xfId="7641" xr:uid="{00000000-0005-0000-0000-0000640E0000}"/>
    <cellStyle name="Normal 3 3 3 2 2 3 5" xfId="3397" xr:uid="{00000000-0005-0000-0000-0000650E0000}"/>
    <cellStyle name="Normal 3 3 3 2 2 3 5 2" xfId="8689" xr:uid="{00000000-0005-0000-0000-0000660E0000}"/>
    <cellStyle name="Normal 3 3 3 2 2 3 6" xfId="4648" xr:uid="{00000000-0005-0000-0000-0000670E0000}"/>
    <cellStyle name="Normal 3 3 3 2 2 3 6 2" xfId="9936" xr:uid="{00000000-0005-0000-0000-0000680E0000}"/>
    <cellStyle name="Normal 3 3 3 2 2 3 7" xfId="6290" xr:uid="{00000000-0005-0000-0000-0000690E0000}"/>
    <cellStyle name="Normal 3 3 3 2 2 4" xfId="832" xr:uid="{00000000-0005-0000-0000-00006A0E0000}"/>
    <cellStyle name="Normal 3 3 3 2 2 4 2" xfId="2785" xr:uid="{00000000-0005-0000-0000-00006B0E0000}"/>
    <cellStyle name="Normal 3 3 3 2 2 4 2 2" xfId="8138" xr:uid="{00000000-0005-0000-0000-00006C0E0000}"/>
    <cellStyle name="Normal 3 3 3 2 2 4 3" xfId="3895" xr:uid="{00000000-0005-0000-0000-00006D0E0000}"/>
    <cellStyle name="Normal 3 3 3 2 2 4 3 2" xfId="9186" xr:uid="{00000000-0005-0000-0000-00006E0E0000}"/>
    <cellStyle name="Normal 3 3 3 2 2 4 4" xfId="4650" xr:uid="{00000000-0005-0000-0000-00006F0E0000}"/>
    <cellStyle name="Normal 3 3 3 2 2 4 4 2" xfId="9938" xr:uid="{00000000-0005-0000-0000-0000700E0000}"/>
    <cellStyle name="Normal 3 3 3 2 2 4 5" xfId="6292" xr:uid="{00000000-0005-0000-0000-0000710E0000}"/>
    <cellStyle name="Normal 3 3 3 2 2 5" xfId="1729" xr:uid="{00000000-0005-0000-0000-0000720E0000}"/>
    <cellStyle name="Normal 3 3 3 2 2 5 2" xfId="5500" xr:uid="{00000000-0005-0000-0000-0000730E0000}"/>
    <cellStyle name="Normal 3 3 3 2 2 5 2 2" xfId="10788" xr:uid="{00000000-0005-0000-0000-0000740E0000}"/>
    <cellStyle name="Normal 3 3 3 2 2 5 3" xfId="7142" xr:uid="{00000000-0005-0000-0000-0000750E0000}"/>
    <cellStyle name="Normal 3 3 3 2 2 6" xfId="2281" xr:uid="{00000000-0005-0000-0000-0000760E0000}"/>
    <cellStyle name="Normal 3 3 3 2 2 6 2" xfId="7639" xr:uid="{00000000-0005-0000-0000-0000770E0000}"/>
    <cellStyle name="Normal 3 3 3 2 2 7" xfId="3395" xr:uid="{00000000-0005-0000-0000-0000780E0000}"/>
    <cellStyle name="Normal 3 3 3 2 2 7 2" xfId="8687" xr:uid="{00000000-0005-0000-0000-0000790E0000}"/>
    <cellStyle name="Normal 3 3 3 2 2 8" xfId="4645" xr:uid="{00000000-0005-0000-0000-00007A0E0000}"/>
    <cellStyle name="Normal 3 3 3 2 2 8 2" xfId="9933" xr:uid="{00000000-0005-0000-0000-00007B0E0000}"/>
    <cellStyle name="Normal 3 3 3 2 2 9" xfId="6287" xr:uid="{00000000-0005-0000-0000-00007C0E0000}"/>
    <cellStyle name="Normal 3 3 3 2 3" xfId="833" xr:uid="{00000000-0005-0000-0000-00007D0E0000}"/>
    <cellStyle name="Normal 3 3 3 2 3 2" xfId="834" xr:uid="{00000000-0005-0000-0000-00007E0E0000}"/>
    <cellStyle name="Normal 3 3 3 2 3 2 2" xfId="2788" xr:uid="{00000000-0005-0000-0000-00007F0E0000}"/>
    <cellStyle name="Normal 3 3 3 2 3 2 2 2" xfId="8141" xr:uid="{00000000-0005-0000-0000-0000800E0000}"/>
    <cellStyle name="Normal 3 3 3 2 3 2 3" xfId="3898" xr:uid="{00000000-0005-0000-0000-0000810E0000}"/>
    <cellStyle name="Normal 3 3 3 2 3 2 3 2" xfId="9189" xr:uid="{00000000-0005-0000-0000-0000820E0000}"/>
    <cellStyle name="Normal 3 3 3 2 3 2 4" xfId="4652" xr:uid="{00000000-0005-0000-0000-0000830E0000}"/>
    <cellStyle name="Normal 3 3 3 2 3 2 4 2" xfId="9940" xr:uid="{00000000-0005-0000-0000-0000840E0000}"/>
    <cellStyle name="Normal 3 3 3 2 3 2 5" xfId="6294" xr:uid="{00000000-0005-0000-0000-0000850E0000}"/>
    <cellStyle name="Normal 3 3 3 2 3 3" xfId="1732" xr:uid="{00000000-0005-0000-0000-0000860E0000}"/>
    <cellStyle name="Normal 3 3 3 2 3 3 2" xfId="5503" xr:uid="{00000000-0005-0000-0000-0000870E0000}"/>
    <cellStyle name="Normal 3 3 3 2 3 3 2 2" xfId="10791" xr:uid="{00000000-0005-0000-0000-0000880E0000}"/>
    <cellStyle name="Normal 3 3 3 2 3 3 3" xfId="7145" xr:uid="{00000000-0005-0000-0000-0000890E0000}"/>
    <cellStyle name="Normal 3 3 3 2 3 4" xfId="2284" xr:uid="{00000000-0005-0000-0000-00008A0E0000}"/>
    <cellStyle name="Normal 3 3 3 2 3 4 2" xfId="7642" xr:uid="{00000000-0005-0000-0000-00008B0E0000}"/>
    <cellStyle name="Normal 3 3 3 2 3 5" xfId="3398" xr:uid="{00000000-0005-0000-0000-00008C0E0000}"/>
    <cellStyle name="Normal 3 3 3 2 3 5 2" xfId="8690" xr:uid="{00000000-0005-0000-0000-00008D0E0000}"/>
    <cellStyle name="Normal 3 3 3 2 3 6" xfId="4651" xr:uid="{00000000-0005-0000-0000-00008E0E0000}"/>
    <cellStyle name="Normal 3 3 3 2 3 6 2" xfId="9939" xr:uid="{00000000-0005-0000-0000-00008F0E0000}"/>
    <cellStyle name="Normal 3 3 3 2 3 7" xfId="6293" xr:uid="{00000000-0005-0000-0000-0000900E0000}"/>
    <cellStyle name="Normal 3 3 3 2 4" xfId="835" xr:uid="{00000000-0005-0000-0000-0000910E0000}"/>
    <cellStyle name="Normal 3 3 3 2 4 2" xfId="836" xr:uid="{00000000-0005-0000-0000-0000920E0000}"/>
    <cellStyle name="Normal 3 3 3 2 4 2 2" xfId="2789" xr:uid="{00000000-0005-0000-0000-0000930E0000}"/>
    <cellStyle name="Normal 3 3 3 2 4 2 2 2" xfId="8142" xr:uid="{00000000-0005-0000-0000-0000940E0000}"/>
    <cellStyle name="Normal 3 3 3 2 4 2 3" xfId="3899" xr:uid="{00000000-0005-0000-0000-0000950E0000}"/>
    <cellStyle name="Normal 3 3 3 2 4 2 3 2" xfId="9190" xr:uid="{00000000-0005-0000-0000-0000960E0000}"/>
    <cellStyle name="Normal 3 3 3 2 4 2 4" xfId="4654" xr:uid="{00000000-0005-0000-0000-0000970E0000}"/>
    <cellStyle name="Normal 3 3 3 2 4 2 4 2" xfId="9942" xr:uid="{00000000-0005-0000-0000-0000980E0000}"/>
    <cellStyle name="Normal 3 3 3 2 4 2 5" xfId="6296" xr:uid="{00000000-0005-0000-0000-0000990E0000}"/>
    <cellStyle name="Normal 3 3 3 2 4 3" xfId="1733" xr:uid="{00000000-0005-0000-0000-00009A0E0000}"/>
    <cellStyle name="Normal 3 3 3 2 4 3 2" xfId="5504" xr:uid="{00000000-0005-0000-0000-00009B0E0000}"/>
    <cellStyle name="Normal 3 3 3 2 4 3 2 2" xfId="10792" xr:uid="{00000000-0005-0000-0000-00009C0E0000}"/>
    <cellStyle name="Normal 3 3 3 2 4 3 3" xfId="7146" xr:uid="{00000000-0005-0000-0000-00009D0E0000}"/>
    <cellStyle name="Normal 3 3 3 2 4 4" xfId="2285" xr:uid="{00000000-0005-0000-0000-00009E0E0000}"/>
    <cellStyle name="Normal 3 3 3 2 4 4 2" xfId="7643" xr:uid="{00000000-0005-0000-0000-00009F0E0000}"/>
    <cellStyle name="Normal 3 3 3 2 4 5" xfId="3399" xr:uid="{00000000-0005-0000-0000-0000A00E0000}"/>
    <cellStyle name="Normal 3 3 3 2 4 5 2" xfId="8691" xr:uid="{00000000-0005-0000-0000-0000A10E0000}"/>
    <cellStyle name="Normal 3 3 3 2 4 6" xfId="4653" xr:uid="{00000000-0005-0000-0000-0000A20E0000}"/>
    <cellStyle name="Normal 3 3 3 2 4 6 2" xfId="9941" xr:uid="{00000000-0005-0000-0000-0000A30E0000}"/>
    <cellStyle name="Normal 3 3 3 2 4 7" xfId="6295" xr:uid="{00000000-0005-0000-0000-0000A40E0000}"/>
    <cellStyle name="Normal 3 3 3 2 5" xfId="837" xr:uid="{00000000-0005-0000-0000-0000A50E0000}"/>
    <cellStyle name="Normal 3 3 3 2 5 2" xfId="2784" xr:uid="{00000000-0005-0000-0000-0000A60E0000}"/>
    <cellStyle name="Normal 3 3 3 2 5 2 2" xfId="8137" xr:uid="{00000000-0005-0000-0000-0000A70E0000}"/>
    <cellStyle name="Normal 3 3 3 2 5 3" xfId="3894" xr:uid="{00000000-0005-0000-0000-0000A80E0000}"/>
    <cellStyle name="Normal 3 3 3 2 5 3 2" xfId="9185" xr:uid="{00000000-0005-0000-0000-0000A90E0000}"/>
    <cellStyle name="Normal 3 3 3 2 5 4" xfId="4655" xr:uid="{00000000-0005-0000-0000-0000AA0E0000}"/>
    <cellStyle name="Normal 3 3 3 2 5 4 2" xfId="9943" xr:uid="{00000000-0005-0000-0000-0000AB0E0000}"/>
    <cellStyle name="Normal 3 3 3 2 5 5" xfId="6297" xr:uid="{00000000-0005-0000-0000-0000AC0E0000}"/>
    <cellStyle name="Normal 3 3 3 2 6" xfId="1728" xr:uid="{00000000-0005-0000-0000-0000AD0E0000}"/>
    <cellStyle name="Normal 3 3 3 2 6 2" xfId="5499" xr:uid="{00000000-0005-0000-0000-0000AE0E0000}"/>
    <cellStyle name="Normal 3 3 3 2 6 2 2" xfId="10787" xr:uid="{00000000-0005-0000-0000-0000AF0E0000}"/>
    <cellStyle name="Normal 3 3 3 2 6 3" xfId="7141" xr:uid="{00000000-0005-0000-0000-0000B00E0000}"/>
    <cellStyle name="Normal 3 3 3 2 7" xfId="2280" xr:uid="{00000000-0005-0000-0000-0000B10E0000}"/>
    <cellStyle name="Normal 3 3 3 2 7 2" xfId="7638" xr:uid="{00000000-0005-0000-0000-0000B20E0000}"/>
    <cellStyle name="Normal 3 3 3 2 8" xfId="3394" xr:uid="{00000000-0005-0000-0000-0000B30E0000}"/>
    <cellStyle name="Normal 3 3 3 2 8 2" xfId="8686" xr:uid="{00000000-0005-0000-0000-0000B40E0000}"/>
    <cellStyle name="Normal 3 3 3 2 9" xfId="4644" xr:uid="{00000000-0005-0000-0000-0000B50E0000}"/>
    <cellStyle name="Normal 3 3 3 2 9 2" xfId="9932" xr:uid="{00000000-0005-0000-0000-0000B60E0000}"/>
    <cellStyle name="Normal 3 3 3 3" xfId="838" xr:uid="{00000000-0005-0000-0000-0000B70E0000}"/>
    <cellStyle name="Normal 3 3 3 3 2" xfId="839" xr:uid="{00000000-0005-0000-0000-0000B80E0000}"/>
    <cellStyle name="Normal 3 3 3 3 2 2" xfId="840" xr:uid="{00000000-0005-0000-0000-0000B90E0000}"/>
    <cellStyle name="Normal 3 3 3 3 2 2 2" xfId="2791" xr:uid="{00000000-0005-0000-0000-0000BA0E0000}"/>
    <cellStyle name="Normal 3 3 3 3 2 2 2 2" xfId="8144" xr:uid="{00000000-0005-0000-0000-0000BB0E0000}"/>
    <cellStyle name="Normal 3 3 3 3 2 2 3" xfId="3901" xr:uid="{00000000-0005-0000-0000-0000BC0E0000}"/>
    <cellStyle name="Normal 3 3 3 3 2 2 3 2" xfId="9192" xr:uid="{00000000-0005-0000-0000-0000BD0E0000}"/>
    <cellStyle name="Normal 3 3 3 3 2 2 4" xfId="4658" xr:uid="{00000000-0005-0000-0000-0000BE0E0000}"/>
    <cellStyle name="Normal 3 3 3 3 2 2 4 2" xfId="9946" xr:uid="{00000000-0005-0000-0000-0000BF0E0000}"/>
    <cellStyle name="Normal 3 3 3 3 2 2 5" xfId="6300" xr:uid="{00000000-0005-0000-0000-0000C00E0000}"/>
    <cellStyle name="Normal 3 3 3 3 2 3" xfId="1735" xr:uid="{00000000-0005-0000-0000-0000C10E0000}"/>
    <cellStyle name="Normal 3 3 3 3 2 3 2" xfId="5506" xr:uid="{00000000-0005-0000-0000-0000C20E0000}"/>
    <cellStyle name="Normal 3 3 3 3 2 3 2 2" xfId="10794" xr:uid="{00000000-0005-0000-0000-0000C30E0000}"/>
    <cellStyle name="Normal 3 3 3 3 2 3 3" xfId="7148" xr:uid="{00000000-0005-0000-0000-0000C40E0000}"/>
    <cellStyle name="Normal 3 3 3 3 2 4" xfId="2287" xr:uid="{00000000-0005-0000-0000-0000C50E0000}"/>
    <cellStyle name="Normal 3 3 3 3 2 4 2" xfId="7645" xr:uid="{00000000-0005-0000-0000-0000C60E0000}"/>
    <cellStyle name="Normal 3 3 3 3 2 5" xfId="3401" xr:uid="{00000000-0005-0000-0000-0000C70E0000}"/>
    <cellStyle name="Normal 3 3 3 3 2 5 2" xfId="8693" xr:uid="{00000000-0005-0000-0000-0000C80E0000}"/>
    <cellStyle name="Normal 3 3 3 3 2 6" xfId="4657" xr:uid="{00000000-0005-0000-0000-0000C90E0000}"/>
    <cellStyle name="Normal 3 3 3 3 2 6 2" xfId="9945" xr:uid="{00000000-0005-0000-0000-0000CA0E0000}"/>
    <cellStyle name="Normal 3 3 3 3 2 7" xfId="6299" xr:uid="{00000000-0005-0000-0000-0000CB0E0000}"/>
    <cellStyle name="Normal 3 3 3 3 3" xfId="841" xr:uid="{00000000-0005-0000-0000-0000CC0E0000}"/>
    <cellStyle name="Normal 3 3 3 3 3 2" xfId="842" xr:uid="{00000000-0005-0000-0000-0000CD0E0000}"/>
    <cellStyle name="Normal 3 3 3 3 3 2 2" xfId="2792" xr:uid="{00000000-0005-0000-0000-0000CE0E0000}"/>
    <cellStyle name="Normal 3 3 3 3 3 2 2 2" xfId="8145" xr:uid="{00000000-0005-0000-0000-0000CF0E0000}"/>
    <cellStyle name="Normal 3 3 3 3 3 2 3" xfId="3902" xr:uid="{00000000-0005-0000-0000-0000D00E0000}"/>
    <cellStyle name="Normal 3 3 3 3 3 2 3 2" xfId="9193" xr:uid="{00000000-0005-0000-0000-0000D10E0000}"/>
    <cellStyle name="Normal 3 3 3 3 3 2 4" xfId="4660" xr:uid="{00000000-0005-0000-0000-0000D20E0000}"/>
    <cellStyle name="Normal 3 3 3 3 3 2 4 2" xfId="9948" xr:uid="{00000000-0005-0000-0000-0000D30E0000}"/>
    <cellStyle name="Normal 3 3 3 3 3 2 5" xfId="6302" xr:uid="{00000000-0005-0000-0000-0000D40E0000}"/>
    <cellStyle name="Normal 3 3 3 3 3 3" xfId="1736" xr:uid="{00000000-0005-0000-0000-0000D50E0000}"/>
    <cellStyle name="Normal 3 3 3 3 3 3 2" xfId="5507" xr:uid="{00000000-0005-0000-0000-0000D60E0000}"/>
    <cellStyle name="Normal 3 3 3 3 3 3 2 2" xfId="10795" xr:uid="{00000000-0005-0000-0000-0000D70E0000}"/>
    <cellStyle name="Normal 3 3 3 3 3 3 3" xfId="7149" xr:uid="{00000000-0005-0000-0000-0000D80E0000}"/>
    <cellStyle name="Normal 3 3 3 3 3 4" xfId="2288" xr:uid="{00000000-0005-0000-0000-0000D90E0000}"/>
    <cellStyle name="Normal 3 3 3 3 3 4 2" xfId="7646" xr:uid="{00000000-0005-0000-0000-0000DA0E0000}"/>
    <cellStyle name="Normal 3 3 3 3 3 5" xfId="3402" xr:uid="{00000000-0005-0000-0000-0000DB0E0000}"/>
    <cellStyle name="Normal 3 3 3 3 3 5 2" xfId="8694" xr:uid="{00000000-0005-0000-0000-0000DC0E0000}"/>
    <cellStyle name="Normal 3 3 3 3 3 6" xfId="4659" xr:uid="{00000000-0005-0000-0000-0000DD0E0000}"/>
    <cellStyle name="Normal 3 3 3 3 3 6 2" xfId="9947" xr:uid="{00000000-0005-0000-0000-0000DE0E0000}"/>
    <cellStyle name="Normal 3 3 3 3 3 7" xfId="6301" xr:uid="{00000000-0005-0000-0000-0000DF0E0000}"/>
    <cellStyle name="Normal 3 3 3 3 4" xfId="843" xr:uid="{00000000-0005-0000-0000-0000E00E0000}"/>
    <cellStyle name="Normal 3 3 3 3 4 2" xfId="2790" xr:uid="{00000000-0005-0000-0000-0000E10E0000}"/>
    <cellStyle name="Normal 3 3 3 3 4 2 2" xfId="8143" xr:uid="{00000000-0005-0000-0000-0000E20E0000}"/>
    <cellStyle name="Normal 3 3 3 3 4 3" xfId="3900" xr:uid="{00000000-0005-0000-0000-0000E30E0000}"/>
    <cellStyle name="Normal 3 3 3 3 4 3 2" xfId="9191" xr:uid="{00000000-0005-0000-0000-0000E40E0000}"/>
    <cellStyle name="Normal 3 3 3 3 4 4" xfId="4661" xr:uid="{00000000-0005-0000-0000-0000E50E0000}"/>
    <cellStyle name="Normal 3 3 3 3 4 4 2" xfId="9949" xr:uid="{00000000-0005-0000-0000-0000E60E0000}"/>
    <cellStyle name="Normal 3 3 3 3 4 5" xfId="6303" xr:uid="{00000000-0005-0000-0000-0000E70E0000}"/>
    <cellStyle name="Normal 3 3 3 3 5" xfId="1734" xr:uid="{00000000-0005-0000-0000-0000E80E0000}"/>
    <cellStyle name="Normal 3 3 3 3 5 2" xfId="5505" xr:uid="{00000000-0005-0000-0000-0000E90E0000}"/>
    <cellStyle name="Normal 3 3 3 3 5 2 2" xfId="10793" xr:uid="{00000000-0005-0000-0000-0000EA0E0000}"/>
    <cellStyle name="Normal 3 3 3 3 5 3" xfId="7147" xr:uid="{00000000-0005-0000-0000-0000EB0E0000}"/>
    <cellStyle name="Normal 3 3 3 3 6" xfId="2286" xr:uid="{00000000-0005-0000-0000-0000EC0E0000}"/>
    <cellStyle name="Normal 3 3 3 3 6 2" xfId="7644" xr:uid="{00000000-0005-0000-0000-0000ED0E0000}"/>
    <cellStyle name="Normal 3 3 3 3 7" xfId="3400" xr:uid="{00000000-0005-0000-0000-0000EE0E0000}"/>
    <cellStyle name="Normal 3 3 3 3 7 2" xfId="8692" xr:uid="{00000000-0005-0000-0000-0000EF0E0000}"/>
    <cellStyle name="Normal 3 3 3 3 8" xfId="4656" xr:uid="{00000000-0005-0000-0000-0000F00E0000}"/>
    <cellStyle name="Normal 3 3 3 3 8 2" xfId="9944" xr:uid="{00000000-0005-0000-0000-0000F10E0000}"/>
    <cellStyle name="Normal 3 3 3 3 9" xfId="6298" xr:uid="{00000000-0005-0000-0000-0000F20E0000}"/>
    <cellStyle name="Normal 3 3 3 4" xfId="844" xr:uid="{00000000-0005-0000-0000-0000F30E0000}"/>
    <cellStyle name="Normal 3 3 3 4 2" xfId="845" xr:uid="{00000000-0005-0000-0000-0000F40E0000}"/>
    <cellStyle name="Normal 3 3 3 4 2 2" xfId="2793" xr:uid="{00000000-0005-0000-0000-0000F50E0000}"/>
    <cellStyle name="Normal 3 3 3 4 2 2 2" xfId="8146" xr:uid="{00000000-0005-0000-0000-0000F60E0000}"/>
    <cellStyle name="Normal 3 3 3 4 2 3" xfId="3903" xr:uid="{00000000-0005-0000-0000-0000F70E0000}"/>
    <cellStyle name="Normal 3 3 3 4 2 3 2" xfId="9194" xr:uid="{00000000-0005-0000-0000-0000F80E0000}"/>
    <cellStyle name="Normal 3 3 3 4 2 4" xfId="4663" xr:uid="{00000000-0005-0000-0000-0000F90E0000}"/>
    <cellStyle name="Normal 3 3 3 4 2 4 2" xfId="9951" xr:uid="{00000000-0005-0000-0000-0000FA0E0000}"/>
    <cellStyle name="Normal 3 3 3 4 2 5" xfId="6305" xr:uid="{00000000-0005-0000-0000-0000FB0E0000}"/>
    <cellStyle name="Normal 3 3 3 4 3" xfId="1737" xr:uid="{00000000-0005-0000-0000-0000FC0E0000}"/>
    <cellStyle name="Normal 3 3 3 4 3 2" xfId="5508" xr:uid="{00000000-0005-0000-0000-0000FD0E0000}"/>
    <cellStyle name="Normal 3 3 3 4 3 2 2" xfId="10796" xr:uid="{00000000-0005-0000-0000-0000FE0E0000}"/>
    <cellStyle name="Normal 3 3 3 4 3 3" xfId="7150" xr:uid="{00000000-0005-0000-0000-0000FF0E0000}"/>
    <cellStyle name="Normal 3 3 3 4 4" xfId="2289" xr:uid="{00000000-0005-0000-0000-0000000F0000}"/>
    <cellStyle name="Normal 3 3 3 4 4 2" xfId="7647" xr:uid="{00000000-0005-0000-0000-0000010F0000}"/>
    <cellStyle name="Normal 3 3 3 4 5" xfId="3403" xr:uid="{00000000-0005-0000-0000-0000020F0000}"/>
    <cellStyle name="Normal 3 3 3 4 5 2" xfId="8695" xr:uid="{00000000-0005-0000-0000-0000030F0000}"/>
    <cellStyle name="Normal 3 3 3 4 6" xfId="4662" xr:uid="{00000000-0005-0000-0000-0000040F0000}"/>
    <cellStyle name="Normal 3 3 3 4 6 2" xfId="9950" xr:uid="{00000000-0005-0000-0000-0000050F0000}"/>
    <cellStyle name="Normal 3 3 3 4 7" xfId="6304" xr:uid="{00000000-0005-0000-0000-0000060F0000}"/>
    <cellStyle name="Normal 3 3 3 5" xfId="846" xr:uid="{00000000-0005-0000-0000-0000070F0000}"/>
    <cellStyle name="Normal 3 3 3 5 2" xfId="847" xr:uid="{00000000-0005-0000-0000-0000080F0000}"/>
    <cellStyle name="Normal 3 3 3 5 2 2" xfId="2794" xr:uid="{00000000-0005-0000-0000-0000090F0000}"/>
    <cellStyle name="Normal 3 3 3 5 2 2 2" xfId="8147" xr:uid="{00000000-0005-0000-0000-00000A0F0000}"/>
    <cellStyle name="Normal 3 3 3 5 2 3" xfId="3904" xr:uid="{00000000-0005-0000-0000-00000B0F0000}"/>
    <cellStyle name="Normal 3 3 3 5 2 3 2" xfId="9195" xr:uid="{00000000-0005-0000-0000-00000C0F0000}"/>
    <cellStyle name="Normal 3 3 3 5 2 4" xfId="4665" xr:uid="{00000000-0005-0000-0000-00000D0F0000}"/>
    <cellStyle name="Normal 3 3 3 5 2 4 2" xfId="9953" xr:uid="{00000000-0005-0000-0000-00000E0F0000}"/>
    <cellStyle name="Normal 3 3 3 5 2 5" xfId="6307" xr:uid="{00000000-0005-0000-0000-00000F0F0000}"/>
    <cellStyle name="Normal 3 3 3 5 3" xfId="1738" xr:uid="{00000000-0005-0000-0000-0000100F0000}"/>
    <cellStyle name="Normal 3 3 3 5 3 2" xfId="5509" xr:uid="{00000000-0005-0000-0000-0000110F0000}"/>
    <cellStyle name="Normal 3 3 3 5 3 2 2" xfId="10797" xr:uid="{00000000-0005-0000-0000-0000120F0000}"/>
    <cellStyle name="Normal 3 3 3 5 3 3" xfId="7151" xr:uid="{00000000-0005-0000-0000-0000130F0000}"/>
    <cellStyle name="Normal 3 3 3 5 4" xfId="2290" xr:uid="{00000000-0005-0000-0000-0000140F0000}"/>
    <cellStyle name="Normal 3 3 3 5 4 2" xfId="7648" xr:uid="{00000000-0005-0000-0000-0000150F0000}"/>
    <cellStyle name="Normal 3 3 3 5 5" xfId="3404" xr:uid="{00000000-0005-0000-0000-0000160F0000}"/>
    <cellStyle name="Normal 3 3 3 5 5 2" xfId="8696" xr:uid="{00000000-0005-0000-0000-0000170F0000}"/>
    <cellStyle name="Normal 3 3 3 5 6" xfId="4664" xr:uid="{00000000-0005-0000-0000-0000180F0000}"/>
    <cellStyle name="Normal 3 3 3 5 6 2" xfId="9952" xr:uid="{00000000-0005-0000-0000-0000190F0000}"/>
    <cellStyle name="Normal 3 3 3 5 7" xfId="6306" xr:uid="{00000000-0005-0000-0000-00001A0F0000}"/>
    <cellStyle name="Normal 3 3 3 6" xfId="848" xr:uid="{00000000-0005-0000-0000-00001B0F0000}"/>
    <cellStyle name="Normal 3 3 3 6 2" xfId="2783" xr:uid="{00000000-0005-0000-0000-00001C0F0000}"/>
    <cellStyle name="Normal 3 3 3 6 2 2" xfId="8136" xr:uid="{00000000-0005-0000-0000-00001D0F0000}"/>
    <cellStyle name="Normal 3 3 3 6 3" xfId="3893" xr:uid="{00000000-0005-0000-0000-00001E0F0000}"/>
    <cellStyle name="Normal 3 3 3 6 3 2" xfId="9184" xr:uid="{00000000-0005-0000-0000-00001F0F0000}"/>
    <cellStyle name="Normal 3 3 3 6 4" xfId="4666" xr:uid="{00000000-0005-0000-0000-0000200F0000}"/>
    <cellStyle name="Normal 3 3 3 6 4 2" xfId="9954" xr:uid="{00000000-0005-0000-0000-0000210F0000}"/>
    <cellStyle name="Normal 3 3 3 6 5" xfId="6308" xr:uid="{00000000-0005-0000-0000-0000220F0000}"/>
    <cellStyle name="Normal 3 3 3 7" xfId="1727" xr:uid="{00000000-0005-0000-0000-0000230F0000}"/>
    <cellStyle name="Normal 3 3 3 7 2" xfId="5498" xr:uid="{00000000-0005-0000-0000-0000240F0000}"/>
    <cellStyle name="Normal 3 3 3 7 2 2" xfId="10786" xr:uid="{00000000-0005-0000-0000-0000250F0000}"/>
    <cellStyle name="Normal 3 3 3 7 3" xfId="7140" xr:uid="{00000000-0005-0000-0000-0000260F0000}"/>
    <cellStyle name="Normal 3 3 3 8" xfId="2279" xr:uid="{00000000-0005-0000-0000-0000270F0000}"/>
    <cellStyle name="Normal 3 3 3 8 2" xfId="7637" xr:uid="{00000000-0005-0000-0000-0000280F0000}"/>
    <cellStyle name="Normal 3 3 3 9" xfId="3393" xr:uid="{00000000-0005-0000-0000-0000290F0000}"/>
    <cellStyle name="Normal 3 3 3 9 2" xfId="8685" xr:uid="{00000000-0005-0000-0000-00002A0F0000}"/>
    <cellStyle name="Normal 3 3 4" xfId="849" xr:uid="{00000000-0005-0000-0000-00002B0F0000}"/>
    <cellStyle name="Normal 3 3 4 10" xfId="6309" xr:uid="{00000000-0005-0000-0000-00002C0F0000}"/>
    <cellStyle name="Normal 3 3 4 2" xfId="850" xr:uid="{00000000-0005-0000-0000-00002D0F0000}"/>
    <cellStyle name="Normal 3 3 4 2 2" xfId="851" xr:uid="{00000000-0005-0000-0000-00002E0F0000}"/>
    <cellStyle name="Normal 3 3 4 2 2 2" xfId="852" xr:uid="{00000000-0005-0000-0000-00002F0F0000}"/>
    <cellStyle name="Normal 3 3 4 2 2 2 2" xfId="2797" xr:uid="{00000000-0005-0000-0000-0000300F0000}"/>
    <cellStyle name="Normal 3 3 4 2 2 2 2 2" xfId="8150" xr:uid="{00000000-0005-0000-0000-0000310F0000}"/>
    <cellStyle name="Normal 3 3 4 2 2 2 3" xfId="3907" xr:uid="{00000000-0005-0000-0000-0000320F0000}"/>
    <cellStyle name="Normal 3 3 4 2 2 2 3 2" xfId="9198" xr:uid="{00000000-0005-0000-0000-0000330F0000}"/>
    <cellStyle name="Normal 3 3 4 2 2 2 4" xfId="4670" xr:uid="{00000000-0005-0000-0000-0000340F0000}"/>
    <cellStyle name="Normal 3 3 4 2 2 2 4 2" xfId="9958" xr:uid="{00000000-0005-0000-0000-0000350F0000}"/>
    <cellStyle name="Normal 3 3 4 2 2 2 5" xfId="6312" xr:uid="{00000000-0005-0000-0000-0000360F0000}"/>
    <cellStyle name="Normal 3 3 4 2 2 3" xfId="1741" xr:uid="{00000000-0005-0000-0000-0000370F0000}"/>
    <cellStyle name="Normal 3 3 4 2 2 3 2" xfId="5512" xr:uid="{00000000-0005-0000-0000-0000380F0000}"/>
    <cellStyle name="Normal 3 3 4 2 2 3 2 2" xfId="10800" xr:uid="{00000000-0005-0000-0000-0000390F0000}"/>
    <cellStyle name="Normal 3 3 4 2 2 3 3" xfId="7154" xr:uid="{00000000-0005-0000-0000-00003A0F0000}"/>
    <cellStyle name="Normal 3 3 4 2 2 4" xfId="2293" xr:uid="{00000000-0005-0000-0000-00003B0F0000}"/>
    <cellStyle name="Normal 3 3 4 2 2 4 2" xfId="7651" xr:uid="{00000000-0005-0000-0000-00003C0F0000}"/>
    <cellStyle name="Normal 3 3 4 2 2 5" xfId="3407" xr:uid="{00000000-0005-0000-0000-00003D0F0000}"/>
    <cellStyle name="Normal 3 3 4 2 2 5 2" xfId="8699" xr:uid="{00000000-0005-0000-0000-00003E0F0000}"/>
    <cellStyle name="Normal 3 3 4 2 2 6" xfId="4669" xr:uid="{00000000-0005-0000-0000-00003F0F0000}"/>
    <cellStyle name="Normal 3 3 4 2 2 6 2" xfId="9957" xr:uid="{00000000-0005-0000-0000-0000400F0000}"/>
    <cellStyle name="Normal 3 3 4 2 2 7" xfId="6311" xr:uid="{00000000-0005-0000-0000-0000410F0000}"/>
    <cellStyle name="Normal 3 3 4 2 3" xfId="853" xr:uid="{00000000-0005-0000-0000-0000420F0000}"/>
    <cellStyle name="Normal 3 3 4 2 3 2" xfId="854" xr:uid="{00000000-0005-0000-0000-0000430F0000}"/>
    <cellStyle name="Normal 3 3 4 2 3 2 2" xfId="2798" xr:uid="{00000000-0005-0000-0000-0000440F0000}"/>
    <cellStyle name="Normal 3 3 4 2 3 2 2 2" xfId="8151" xr:uid="{00000000-0005-0000-0000-0000450F0000}"/>
    <cellStyle name="Normal 3 3 4 2 3 2 3" xfId="3908" xr:uid="{00000000-0005-0000-0000-0000460F0000}"/>
    <cellStyle name="Normal 3 3 4 2 3 2 3 2" xfId="9199" xr:uid="{00000000-0005-0000-0000-0000470F0000}"/>
    <cellStyle name="Normal 3 3 4 2 3 2 4" xfId="4672" xr:uid="{00000000-0005-0000-0000-0000480F0000}"/>
    <cellStyle name="Normal 3 3 4 2 3 2 4 2" xfId="9960" xr:uid="{00000000-0005-0000-0000-0000490F0000}"/>
    <cellStyle name="Normal 3 3 4 2 3 2 5" xfId="6314" xr:uid="{00000000-0005-0000-0000-00004A0F0000}"/>
    <cellStyle name="Normal 3 3 4 2 3 3" xfId="1742" xr:uid="{00000000-0005-0000-0000-00004B0F0000}"/>
    <cellStyle name="Normal 3 3 4 2 3 3 2" xfId="5513" xr:uid="{00000000-0005-0000-0000-00004C0F0000}"/>
    <cellStyle name="Normal 3 3 4 2 3 3 2 2" xfId="10801" xr:uid="{00000000-0005-0000-0000-00004D0F0000}"/>
    <cellStyle name="Normal 3 3 4 2 3 3 3" xfId="7155" xr:uid="{00000000-0005-0000-0000-00004E0F0000}"/>
    <cellStyle name="Normal 3 3 4 2 3 4" xfId="2294" xr:uid="{00000000-0005-0000-0000-00004F0F0000}"/>
    <cellStyle name="Normal 3 3 4 2 3 4 2" xfId="7652" xr:uid="{00000000-0005-0000-0000-0000500F0000}"/>
    <cellStyle name="Normal 3 3 4 2 3 5" xfId="3408" xr:uid="{00000000-0005-0000-0000-0000510F0000}"/>
    <cellStyle name="Normal 3 3 4 2 3 5 2" xfId="8700" xr:uid="{00000000-0005-0000-0000-0000520F0000}"/>
    <cellStyle name="Normal 3 3 4 2 3 6" xfId="4671" xr:uid="{00000000-0005-0000-0000-0000530F0000}"/>
    <cellStyle name="Normal 3 3 4 2 3 6 2" xfId="9959" xr:uid="{00000000-0005-0000-0000-0000540F0000}"/>
    <cellStyle name="Normal 3 3 4 2 3 7" xfId="6313" xr:uid="{00000000-0005-0000-0000-0000550F0000}"/>
    <cellStyle name="Normal 3 3 4 2 4" xfId="855" xr:uid="{00000000-0005-0000-0000-0000560F0000}"/>
    <cellStyle name="Normal 3 3 4 2 4 2" xfId="2796" xr:uid="{00000000-0005-0000-0000-0000570F0000}"/>
    <cellStyle name="Normal 3 3 4 2 4 2 2" xfId="8149" xr:uid="{00000000-0005-0000-0000-0000580F0000}"/>
    <cellStyle name="Normal 3 3 4 2 4 3" xfId="3906" xr:uid="{00000000-0005-0000-0000-0000590F0000}"/>
    <cellStyle name="Normal 3 3 4 2 4 3 2" xfId="9197" xr:uid="{00000000-0005-0000-0000-00005A0F0000}"/>
    <cellStyle name="Normal 3 3 4 2 4 4" xfId="4673" xr:uid="{00000000-0005-0000-0000-00005B0F0000}"/>
    <cellStyle name="Normal 3 3 4 2 4 4 2" xfId="9961" xr:uid="{00000000-0005-0000-0000-00005C0F0000}"/>
    <cellStyle name="Normal 3 3 4 2 4 5" xfId="6315" xr:uid="{00000000-0005-0000-0000-00005D0F0000}"/>
    <cellStyle name="Normal 3 3 4 2 5" xfId="1740" xr:uid="{00000000-0005-0000-0000-00005E0F0000}"/>
    <cellStyle name="Normal 3 3 4 2 5 2" xfId="5511" xr:uid="{00000000-0005-0000-0000-00005F0F0000}"/>
    <cellStyle name="Normal 3 3 4 2 5 2 2" xfId="10799" xr:uid="{00000000-0005-0000-0000-0000600F0000}"/>
    <cellStyle name="Normal 3 3 4 2 5 3" xfId="7153" xr:uid="{00000000-0005-0000-0000-0000610F0000}"/>
    <cellStyle name="Normal 3 3 4 2 6" xfId="2292" xr:uid="{00000000-0005-0000-0000-0000620F0000}"/>
    <cellStyle name="Normal 3 3 4 2 6 2" xfId="7650" xr:uid="{00000000-0005-0000-0000-0000630F0000}"/>
    <cellStyle name="Normal 3 3 4 2 7" xfId="3406" xr:uid="{00000000-0005-0000-0000-0000640F0000}"/>
    <cellStyle name="Normal 3 3 4 2 7 2" xfId="8698" xr:uid="{00000000-0005-0000-0000-0000650F0000}"/>
    <cellStyle name="Normal 3 3 4 2 8" xfId="4668" xr:uid="{00000000-0005-0000-0000-0000660F0000}"/>
    <cellStyle name="Normal 3 3 4 2 8 2" xfId="9956" xr:uid="{00000000-0005-0000-0000-0000670F0000}"/>
    <cellStyle name="Normal 3 3 4 2 9" xfId="6310" xr:uid="{00000000-0005-0000-0000-0000680F0000}"/>
    <cellStyle name="Normal 3 3 4 3" xfId="856" xr:uid="{00000000-0005-0000-0000-0000690F0000}"/>
    <cellStyle name="Normal 3 3 4 3 2" xfId="857" xr:uid="{00000000-0005-0000-0000-00006A0F0000}"/>
    <cellStyle name="Normal 3 3 4 3 2 2" xfId="2799" xr:uid="{00000000-0005-0000-0000-00006B0F0000}"/>
    <cellStyle name="Normal 3 3 4 3 2 2 2" xfId="8152" xr:uid="{00000000-0005-0000-0000-00006C0F0000}"/>
    <cellStyle name="Normal 3 3 4 3 2 3" xfId="3909" xr:uid="{00000000-0005-0000-0000-00006D0F0000}"/>
    <cellStyle name="Normal 3 3 4 3 2 3 2" xfId="9200" xr:uid="{00000000-0005-0000-0000-00006E0F0000}"/>
    <cellStyle name="Normal 3 3 4 3 2 4" xfId="4675" xr:uid="{00000000-0005-0000-0000-00006F0F0000}"/>
    <cellStyle name="Normal 3 3 4 3 2 4 2" xfId="9963" xr:uid="{00000000-0005-0000-0000-0000700F0000}"/>
    <cellStyle name="Normal 3 3 4 3 2 5" xfId="6317" xr:uid="{00000000-0005-0000-0000-0000710F0000}"/>
    <cellStyle name="Normal 3 3 4 3 3" xfId="1743" xr:uid="{00000000-0005-0000-0000-0000720F0000}"/>
    <cellStyle name="Normal 3 3 4 3 3 2" xfId="5514" xr:uid="{00000000-0005-0000-0000-0000730F0000}"/>
    <cellStyle name="Normal 3 3 4 3 3 2 2" xfId="10802" xr:uid="{00000000-0005-0000-0000-0000740F0000}"/>
    <cellStyle name="Normal 3 3 4 3 3 3" xfId="7156" xr:uid="{00000000-0005-0000-0000-0000750F0000}"/>
    <cellStyle name="Normal 3 3 4 3 4" xfId="2295" xr:uid="{00000000-0005-0000-0000-0000760F0000}"/>
    <cellStyle name="Normal 3 3 4 3 4 2" xfId="7653" xr:uid="{00000000-0005-0000-0000-0000770F0000}"/>
    <cellStyle name="Normal 3 3 4 3 5" xfId="3409" xr:uid="{00000000-0005-0000-0000-0000780F0000}"/>
    <cellStyle name="Normal 3 3 4 3 5 2" xfId="8701" xr:uid="{00000000-0005-0000-0000-0000790F0000}"/>
    <cellStyle name="Normal 3 3 4 3 6" xfId="4674" xr:uid="{00000000-0005-0000-0000-00007A0F0000}"/>
    <cellStyle name="Normal 3 3 4 3 6 2" xfId="9962" xr:uid="{00000000-0005-0000-0000-00007B0F0000}"/>
    <cellStyle name="Normal 3 3 4 3 7" xfId="6316" xr:uid="{00000000-0005-0000-0000-00007C0F0000}"/>
    <cellStyle name="Normal 3 3 4 4" xfId="858" xr:uid="{00000000-0005-0000-0000-00007D0F0000}"/>
    <cellStyle name="Normal 3 3 4 4 2" xfId="859" xr:uid="{00000000-0005-0000-0000-00007E0F0000}"/>
    <cellStyle name="Normal 3 3 4 4 2 2" xfId="2800" xr:uid="{00000000-0005-0000-0000-00007F0F0000}"/>
    <cellStyle name="Normal 3 3 4 4 2 2 2" xfId="8153" xr:uid="{00000000-0005-0000-0000-0000800F0000}"/>
    <cellStyle name="Normal 3 3 4 4 2 3" xfId="3910" xr:uid="{00000000-0005-0000-0000-0000810F0000}"/>
    <cellStyle name="Normal 3 3 4 4 2 3 2" xfId="9201" xr:uid="{00000000-0005-0000-0000-0000820F0000}"/>
    <cellStyle name="Normal 3 3 4 4 2 4" xfId="4677" xr:uid="{00000000-0005-0000-0000-0000830F0000}"/>
    <cellStyle name="Normal 3 3 4 4 2 4 2" xfId="9965" xr:uid="{00000000-0005-0000-0000-0000840F0000}"/>
    <cellStyle name="Normal 3 3 4 4 2 5" xfId="6319" xr:uid="{00000000-0005-0000-0000-0000850F0000}"/>
    <cellStyle name="Normal 3 3 4 4 3" xfId="1744" xr:uid="{00000000-0005-0000-0000-0000860F0000}"/>
    <cellStyle name="Normal 3 3 4 4 3 2" xfId="5515" xr:uid="{00000000-0005-0000-0000-0000870F0000}"/>
    <cellStyle name="Normal 3 3 4 4 3 2 2" xfId="10803" xr:uid="{00000000-0005-0000-0000-0000880F0000}"/>
    <cellStyle name="Normal 3 3 4 4 3 3" xfId="7157" xr:uid="{00000000-0005-0000-0000-0000890F0000}"/>
    <cellStyle name="Normal 3 3 4 4 4" xfId="2296" xr:uid="{00000000-0005-0000-0000-00008A0F0000}"/>
    <cellStyle name="Normal 3 3 4 4 4 2" xfId="7654" xr:uid="{00000000-0005-0000-0000-00008B0F0000}"/>
    <cellStyle name="Normal 3 3 4 4 5" xfId="3410" xr:uid="{00000000-0005-0000-0000-00008C0F0000}"/>
    <cellStyle name="Normal 3 3 4 4 5 2" xfId="8702" xr:uid="{00000000-0005-0000-0000-00008D0F0000}"/>
    <cellStyle name="Normal 3 3 4 4 6" xfId="4676" xr:uid="{00000000-0005-0000-0000-00008E0F0000}"/>
    <cellStyle name="Normal 3 3 4 4 6 2" xfId="9964" xr:uid="{00000000-0005-0000-0000-00008F0F0000}"/>
    <cellStyle name="Normal 3 3 4 4 7" xfId="6318" xr:uid="{00000000-0005-0000-0000-0000900F0000}"/>
    <cellStyle name="Normal 3 3 4 5" xfId="860" xr:uid="{00000000-0005-0000-0000-0000910F0000}"/>
    <cellStyle name="Normal 3 3 4 5 2" xfId="2795" xr:uid="{00000000-0005-0000-0000-0000920F0000}"/>
    <cellStyle name="Normal 3 3 4 5 2 2" xfId="8148" xr:uid="{00000000-0005-0000-0000-0000930F0000}"/>
    <cellStyle name="Normal 3 3 4 5 3" xfId="3905" xr:uid="{00000000-0005-0000-0000-0000940F0000}"/>
    <cellStyle name="Normal 3 3 4 5 3 2" xfId="9196" xr:uid="{00000000-0005-0000-0000-0000950F0000}"/>
    <cellStyle name="Normal 3 3 4 5 4" xfId="4678" xr:uid="{00000000-0005-0000-0000-0000960F0000}"/>
    <cellStyle name="Normal 3 3 4 5 4 2" xfId="9966" xr:uid="{00000000-0005-0000-0000-0000970F0000}"/>
    <cellStyle name="Normal 3 3 4 5 5" xfId="6320" xr:uid="{00000000-0005-0000-0000-0000980F0000}"/>
    <cellStyle name="Normal 3 3 4 6" xfId="1739" xr:uid="{00000000-0005-0000-0000-0000990F0000}"/>
    <cellStyle name="Normal 3 3 4 6 2" xfId="5510" xr:uid="{00000000-0005-0000-0000-00009A0F0000}"/>
    <cellStyle name="Normal 3 3 4 6 2 2" xfId="10798" xr:uid="{00000000-0005-0000-0000-00009B0F0000}"/>
    <cellStyle name="Normal 3 3 4 6 3" xfId="7152" xr:uid="{00000000-0005-0000-0000-00009C0F0000}"/>
    <cellStyle name="Normal 3 3 4 7" xfId="2291" xr:uid="{00000000-0005-0000-0000-00009D0F0000}"/>
    <cellStyle name="Normal 3 3 4 7 2" xfId="7649" xr:uid="{00000000-0005-0000-0000-00009E0F0000}"/>
    <cellStyle name="Normal 3 3 4 8" xfId="3405" xr:uid="{00000000-0005-0000-0000-00009F0F0000}"/>
    <cellStyle name="Normal 3 3 4 8 2" xfId="8697" xr:uid="{00000000-0005-0000-0000-0000A00F0000}"/>
    <cellStyle name="Normal 3 3 4 9" xfId="4667" xr:uid="{00000000-0005-0000-0000-0000A10F0000}"/>
    <cellStyle name="Normal 3 3 4 9 2" xfId="9955" xr:uid="{00000000-0005-0000-0000-0000A20F0000}"/>
    <cellStyle name="Normal 3 3 5" xfId="861" xr:uid="{00000000-0005-0000-0000-0000A30F0000}"/>
    <cellStyle name="Normal 3 3 5 2" xfId="862" xr:uid="{00000000-0005-0000-0000-0000A40F0000}"/>
    <cellStyle name="Normal 3 3 5 2 2" xfId="863" xr:uid="{00000000-0005-0000-0000-0000A50F0000}"/>
    <cellStyle name="Normal 3 3 5 2 2 2" xfId="2802" xr:uid="{00000000-0005-0000-0000-0000A60F0000}"/>
    <cellStyle name="Normal 3 3 5 2 2 2 2" xfId="8155" xr:uid="{00000000-0005-0000-0000-0000A70F0000}"/>
    <cellStyle name="Normal 3 3 5 2 2 3" xfId="3912" xr:uid="{00000000-0005-0000-0000-0000A80F0000}"/>
    <cellStyle name="Normal 3 3 5 2 2 3 2" xfId="9203" xr:uid="{00000000-0005-0000-0000-0000A90F0000}"/>
    <cellStyle name="Normal 3 3 5 2 2 4" xfId="4681" xr:uid="{00000000-0005-0000-0000-0000AA0F0000}"/>
    <cellStyle name="Normal 3 3 5 2 2 4 2" xfId="9969" xr:uid="{00000000-0005-0000-0000-0000AB0F0000}"/>
    <cellStyle name="Normal 3 3 5 2 2 5" xfId="6323" xr:uid="{00000000-0005-0000-0000-0000AC0F0000}"/>
    <cellStyle name="Normal 3 3 5 2 3" xfId="1746" xr:uid="{00000000-0005-0000-0000-0000AD0F0000}"/>
    <cellStyle name="Normal 3 3 5 2 3 2" xfId="5517" xr:uid="{00000000-0005-0000-0000-0000AE0F0000}"/>
    <cellStyle name="Normal 3 3 5 2 3 2 2" xfId="10805" xr:uid="{00000000-0005-0000-0000-0000AF0F0000}"/>
    <cellStyle name="Normal 3 3 5 2 3 3" xfId="7159" xr:uid="{00000000-0005-0000-0000-0000B00F0000}"/>
    <cellStyle name="Normal 3 3 5 2 4" xfId="2298" xr:uid="{00000000-0005-0000-0000-0000B10F0000}"/>
    <cellStyle name="Normal 3 3 5 2 4 2" xfId="7656" xr:uid="{00000000-0005-0000-0000-0000B20F0000}"/>
    <cellStyle name="Normal 3 3 5 2 5" xfId="3412" xr:uid="{00000000-0005-0000-0000-0000B30F0000}"/>
    <cellStyle name="Normal 3 3 5 2 5 2" xfId="8704" xr:uid="{00000000-0005-0000-0000-0000B40F0000}"/>
    <cellStyle name="Normal 3 3 5 2 6" xfId="4680" xr:uid="{00000000-0005-0000-0000-0000B50F0000}"/>
    <cellStyle name="Normal 3 3 5 2 6 2" xfId="9968" xr:uid="{00000000-0005-0000-0000-0000B60F0000}"/>
    <cellStyle name="Normal 3 3 5 2 7" xfId="6322" xr:uid="{00000000-0005-0000-0000-0000B70F0000}"/>
    <cellStyle name="Normal 3 3 5 3" xfId="864" xr:uid="{00000000-0005-0000-0000-0000B80F0000}"/>
    <cellStyle name="Normal 3 3 5 3 2" xfId="865" xr:uid="{00000000-0005-0000-0000-0000B90F0000}"/>
    <cellStyle name="Normal 3 3 5 3 2 2" xfId="2803" xr:uid="{00000000-0005-0000-0000-0000BA0F0000}"/>
    <cellStyle name="Normal 3 3 5 3 2 2 2" xfId="8156" xr:uid="{00000000-0005-0000-0000-0000BB0F0000}"/>
    <cellStyle name="Normal 3 3 5 3 2 3" xfId="3913" xr:uid="{00000000-0005-0000-0000-0000BC0F0000}"/>
    <cellStyle name="Normal 3 3 5 3 2 3 2" xfId="9204" xr:uid="{00000000-0005-0000-0000-0000BD0F0000}"/>
    <cellStyle name="Normal 3 3 5 3 2 4" xfId="4683" xr:uid="{00000000-0005-0000-0000-0000BE0F0000}"/>
    <cellStyle name="Normal 3 3 5 3 2 4 2" xfId="9971" xr:uid="{00000000-0005-0000-0000-0000BF0F0000}"/>
    <cellStyle name="Normal 3 3 5 3 2 5" xfId="6325" xr:uid="{00000000-0005-0000-0000-0000C00F0000}"/>
    <cellStyle name="Normal 3 3 5 3 3" xfId="1747" xr:uid="{00000000-0005-0000-0000-0000C10F0000}"/>
    <cellStyle name="Normal 3 3 5 3 3 2" xfId="5518" xr:uid="{00000000-0005-0000-0000-0000C20F0000}"/>
    <cellStyle name="Normal 3 3 5 3 3 2 2" xfId="10806" xr:uid="{00000000-0005-0000-0000-0000C30F0000}"/>
    <cellStyle name="Normal 3 3 5 3 3 3" xfId="7160" xr:uid="{00000000-0005-0000-0000-0000C40F0000}"/>
    <cellStyle name="Normal 3 3 5 3 4" xfId="2299" xr:uid="{00000000-0005-0000-0000-0000C50F0000}"/>
    <cellStyle name="Normal 3 3 5 3 4 2" xfId="7657" xr:uid="{00000000-0005-0000-0000-0000C60F0000}"/>
    <cellStyle name="Normal 3 3 5 3 5" xfId="3413" xr:uid="{00000000-0005-0000-0000-0000C70F0000}"/>
    <cellStyle name="Normal 3 3 5 3 5 2" xfId="8705" xr:uid="{00000000-0005-0000-0000-0000C80F0000}"/>
    <cellStyle name="Normal 3 3 5 3 6" xfId="4682" xr:uid="{00000000-0005-0000-0000-0000C90F0000}"/>
    <cellStyle name="Normal 3 3 5 3 6 2" xfId="9970" xr:uid="{00000000-0005-0000-0000-0000CA0F0000}"/>
    <cellStyle name="Normal 3 3 5 3 7" xfId="6324" xr:uid="{00000000-0005-0000-0000-0000CB0F0000}"/>
    <cellStyle name="Normal 3 3 5 4" xfId="866" xr:uid="{00000000-0005-0000-0000-0000CC0F0000}"/>
    <cellStyle name="Normal 3 3 5 4 2" xfId="2801" xr:uid="{00000000-0005-0000-0000-0000CD0F0000}"/>
    <cellStyle name="Normal 3 3 5 4 2 2" xfId="8154" xr:uid="{00000000-0005-0000-0000-0000CE0F0000}"/>
    <cellStyle name="Normal 3 3 5 4 3" xfId="3911" xr:uid="{00000000-0005-0000-0000-0000CF0F0000}"/>
    <cellStyle name="Normal 3 3 5 4 3 2" xfId="9202" xr:uid="{00000000-0005-0000-0000-0000D00F0000}"/>
    <cellStyle name="Normal 3 3 5 4 4" xfId="4684" xr:uid="{00000000-0005-0000-0000-0000D10F0000}"/>
    <cellStyle name="Normal 3 3 5 4 4 2" xfId="9972" xr:uid="{00000000-0005-0000-0000-0000D20F0000}"/>
    <cellStyle name="Normal 3 3 5 4 5" xfId="6326" xr:uid="{00000000-0005-0000-0000-0000D30F0000}"/>
    <cellStyle name="Normal 3 3 5 5" xfId="1745" xr:uid="{00000000-0005-0000-0000-0000D40F0000}"/>
    <cellStyle name="Normal 3 3 5 5 2" xfId="5516" xr:uid="{00000000-0005-0000-0000-0000D50F0000}"/>
    <cellStyle name="Normal 3 3 5 5 2 2" xfId="10804" xr:uid="{00000000-0005-0000-0000-0000D60F0000}"/>
    <cellStyle name="Normal 3 3 5 5 3" xfId="7158" xr:uid="{00000000-0005-0000-0000-0000D70F0000}"/>
    <cellStyle name="Normal 3 3 5 6" xfId="2297" xr:uid="{00000000-0005-0000-0000-0000D80F0000}"/>
    <cellStyle name="Normal 3 3 5 6 2" xfId="7655" xr:uid="{00000000-0005-0000-0000-0000D90F0000}"/>
    <cellStyle name="Normal 3 3 5 7" xfId="3411" xr:uid="{00000000-0005-0000-0000-0000DA0F0000}"/>
    <cellStyle name="Normal 3 3 5 7 2" xfId="8703" xr:uid="{00000000-0005-0000-0000-0000DB0F0000}"/>
    <cellStyle name="Normal 3 3 5 8" xfId="4679" xr:uid="{00000000-0005-0000-0000-0000DC0F0000}"/>
    <cellStyle name="Normal 3 3 5 8 2" xfId="9967" xr:uid="{00000000-0005-0000-0000-0000DD0F0000}"/>
    <cellStyle name="Normal 3 3 5 9" xfId="6321" xr:uid="{00000000-0005-0000-0000-0000DE0F0000}"/>
    <cellStyle name="Normal 3 3 6" xfId="867" xr:uid="{00000000-0005-0000-0000-0000DF0F0000}"/>
    <cellStyle name="Normal 3 3 6 2" xfId="868" xr:uid="{00000000-0005-0000-0000-0000E00F0000}"/>
    <cellStyle name="Normal 3 3 6 2 2" xfId="2804" xr:uid="{00000000-0005-0000-0000-0000E10F0000}"/>
    <cellStyle name="Normal 3 3 6 2 2 2" xfId="8157" xr:uid="{00000000-0005-0000-0000-0000E20F0000}"/>
    <cellStyle name="Normal 3 3 6 2 3" xfId="3914" xr:uid="{00000000-0005-0000-0000-0000E30F0000}"/>
    <cellStyle name="Normal 3 3 6 2 3 2" xfId="9205" xr:uid="{00000000-0005-0000-0000-0000E40F0000}"/>
    <cellStyle name="Normal 3 3 6 2 4" xfId="4686" xr:uid="{00000000-0005-0000-0000-0000E50F0000}"/>
    <cellStyle name="Normal 3 3 6 2 4 2" xfId="9974" xr:uid="{00000000-0005-0000-0000-0000E60F0000}"/>
    <cellStyle name="Normal 3 3 6 2 5" xfId="6328" xr:uid="{00000000-0005-0000-0000-0000E70F0000}"/>
    <cellStyle name="Normal 3 3 6 3" xfId="1748" xr:uid="{00000000-0005-0000-0000-0000E80F0000}"/>
    <cellStyle name="Normal 3 3 6 3 2" xfId="5519" xr:uid="{00000000-0005-0000-0000-0000E90F0000}"/>
    <cellStyle name="Normal 3 3 6 3 2 2" xfId="10807" xr:uid="{00000000-0005-0000-0000-0000EA0F0000}"/>
    <cellStyle name="Normal 3 3 6 3 3" xfId="7161" xr:uid="{00000000-0005-0000-0000-0000EB0F0000}"/>
    <cellStyle name="Normal 3 3 6 4" xfId="2300" xr:uid="{00000000-0005-0000-0000-0000EC0F0000}"/>
    <cellStyle name="Normal 3 3 6 4 2" xfId="7658" xr:uid="{00000000-0005-0000-0000-0000ED0F0000}"/>
    <cellStyle name="Normal 3 3 6 5" xfId="3414" xr:uid="{00000000-0005-0000-0000-0000EE0F0000}"/>
    <cellStyle name="Normal 3 3 6 5 2" xfId="8706" xr:uid="{00000000-0005-0000-0000-0000EF0F0000}"/>
    <cellStyle name="Normal 3 3 6 6" xfId="4685" xr:uid="{00000000-0005-0000-0000-0000F00F0000}"/>
    <cellStyle name="Normal 3 3 6 6 2" xfId="9973" xr:uid="{00000000-0005-0000-0000-0000F10F0000}"/>
    <cellStyle name="Normal 3 3 6 7" xfId="6327" xr:uid="{00000000-0005-0000-0000-0000F20F0000}"/>
    <cellStyle name="Normal 3 3 7" xfId="869" xr:uid="{00000000-0005-0000-0000-0000F30F0000}"/>
    <cellStyle name="Normal 3 3 7 2" xfId="870" xr:uid="{00000000-0005-0000-0000-0000F40F0000}"/>
    <cellStyle name="Normal 3 3 7 2 2" xfId="2805" xr:uid="{00000000-0005-0000-0000-0000F50F0000}"/>
    <cellStyle name="Normal 3 3 7 2 2 2" xfId="8158" xr:uid="{00000000-0005-0000-0000-0000F60F0000}"/>
    <cellStyle name="Normal 3 3 7 2 3" xfId="3915" xr:uid="{00000000-0005-0000-0000-0000F70F0000}"/>
    <cellStyle name="Normal 3 3 7 2 3 2" xfId="9206" xr:uid="{00000000-0005-0000-0000-0000F80F0000}"/>
    <cellStyle name="Normal 3 3 7 2 4" xfId="4688" xr:uid="{00000000-0005-0000-0000-0000F90F0000}"/>
    <cellStyle name="Normal 3 3 7 2 4 2" xfId="9976" xr:uid="{00000000-0005-0000-0000-0000FA0F0000}"/>
    <cellStyle name="Normal 3 3 7 2 5" xfId="6330" xr:uid="{00000000-0005-0000-0000-0000FB0F0000}"/>
    <cellStyle name="Normal 3 3 7 3" xfId="1749" xr:uid="{00000000-0005-0000-0000-0000FC0F0000}"/>
    <cellStyle name="Normal 3 3 7 3 2" xfId="5520" xr:uid="{00000000-0005-0000-0000-0000FD0F0000}"/>
    <cellStyle name="Normal 3 3 7 3 2 2" xfId="10808" xr:uid="{00000000-0005-0000-0000-0000FE0F0000}"/>
    <cellStyle name="Normal 3 3 7 3 3" xfId="7162" xr:uid="{00000000-0005-0000-0000-0000FF0F0000}"/>
    <cellStyle name="Normal 3 3 7 4" xfId="2301" xr:uid="{00000000-0005-0000-0000-000000100000}"/>
    <cellStyle name="Normal 3 3 7 4 2" xfId="7659" xr:uid="{00000000-0005-0000-0000-000001100000}"/>
    <cellStyle name="Normal 3 3 7 5" xfId="3415" xr:uid="{00000000-0005-0000-0000-000002100000}"/>
    <cellStyle name="Normal 3 3 7 5 2" xfId="8707" xr:uid="{00000000-0005-0000-0000-000003100000}"/>
    <cellStyle name="Normal 3 3 7 6" xfId="4687" xr:uid="{00000000-0005-0000-0000-000004100000}"/>
    <cellStyle name="Normal 3 3 7 6 2" xfId="9975" xr:uid="{00000000-0005-0000-0000-000005100000}"/>
    <cellStyle name="Normal 3 3 7 7" xfId="6329" xr:uid="{00000000-0005-0000-0000-000006100000}"/>
    <cellStyle name="Normal 3 3 8" xfId="871" xr:uid="{00000000-0005-0000-0000-000007100000}"/>
    <cellStyle name="Normal 3 3 8 2" xfId="2770" xr:uid="{00000000-0005-0000-0000-000008100000}"/>
    <cellStyle name="Normal 3 3 8 2 2" xfId="8123" xr:uid="{00000000-0005-0000-0000-000009100000}"/>
    <cellStyle name="Normal 3 3 8 3" xfId="3880" xr:uid="{00000000-0005-0000-0000-00000A100000}"/>
    <cellStyle name="Normal 3 3 8 3 2" xfId="9171" xr:uid="{00000000-0005-0000-0000-00000B100000}"/>
    <cellStyle name="Normal 3 3 8 4" xfId="4689" xr:uid="{00000000-0005-0000-0000-00000C100000}"/>
    <cellStyle name="Normal 3 3 8 4 2" xfId="9977" xr:uid="{00000000-0005-0000-0000-00000D100000}"/>
    <cellStyle name="Normal 3 3 8 5" xfId="6331" xr:uid="{00000000-0005-0000-0000-00000E100000}"/>
    <cellStyle name="Normal 3 3 9" xfId="1714" xr:uid="{00000000-0005-0000-0000-00000F100000}"/>
    <cellStyle name="Normal 3 3 9 2" xfId="5485" xr:uid="{00000000-0005-0000-0000-000010100000}"/>
    <cellStyle name="Normal 3 3 9 2 2" xfId="10773" xr:uid="{00000000-0005-0000-0000-000011100000}"/>
    <cellStyle name="Normal 3 3 9 3" xfId="7127" xr:uid="{00000000-0005-0000-0000-000012100000}"/>
    <cellStyle name="Normal 3 4" xfId="872" xr:uid="{00000000-0005-0000-0000-000013100000}"/>
    <cellStyle name="Normal 3 4 10" xfId="2302" xr:uid="{00000000-0005-0000-0000-000014100000}"/>
    <cellStyle name="Normal 3 4 10 2" xfId="5875" xr:uid="{00000000-0005-0000-0000-000015100000}"/>
    <cellStyle name="Normal 3 4 10 2 2" xfId="11158" xr:uid="{00000000-0005-0000-0000-000016100000}"/>
    <cellStyle name="Normal 3 4 10 3" xfId="7660" xr:uid="{00000000-0005-0000-0000-000017100000}"/>
    <cellStyle name="Normal 3 4 11" xfId="3192" xr:uid="{00000000-0005-0000-0000-000018100000}"/>
    <cellStyle name="Normal 3 4 11 2" xfId="8510" xr:uid="{00000000-0005-0000-0000-000019100000}"/>
    <cellStyle name="Normal 3 4 12" xfId="3230" xr:uid="{00000000-0005-0000-0000-00001A100000}"/>
    <cellStyle name="Normal 3 4 12 2" xfId="8527" xr:uid="{00000000-0005-0000-0000-00001B100000}"/>
    <cellStyle name="Normal 3 4 13" xfId="3248" xr:uid="{00000000-0005-0000-0000-00001C100000}"/>
    <cellStyle name="Normal 3 4 13 2" xfId="8544" xr:uid="{00000000-0005-0000-0000-00001D100000}"/>
    <cellStyle name="Normal 3 4 14" xfId="3416" xr:uid="{00000000-0005-0000-0000-00001E100000}"/>
    <cellStyle name="Normal 3 4 14 2" xfId="8708" xr:uid="{00000000-0005-0000-0000-00001F100000}"/>
    <cellStyle name="Normal 3 4 15" xfId="4690" xr:uid="{00000000-0005-0000-0000-000020100000}"/>
    <cellStyle name="Normal 3 4 15 2" xfId="9978" xr:uid="{00000000-0005-0000-0000-000021100000}"/>
    <cellStyle name="Normal 3 4 16" xfId="6332" xr:uid="{00000000-0005-0000-0000-000022100000}"/>
    <cellStyle name="Normal 3 4 2" xfId="873" xr:uid="{00000000-0005-0000-0000-000023100000}"/>
    <cellStyle name="Normal 3 4 2 10" xfId="4691" xr:uid="{00000000-0005-0000-0000-000024100000}"/>
    <cellStyle name="Normal 3 4 2 10 2" xfId="9979" xr:uid="{00000000-0005-0000-0000-000025100000}"/>
    <cellStyle name="Normal 3 4 2 11" xfId="6333" xr:uid="{00000000-0005-0000-0000-000026100000}"/>
    <cellStyle name="Normal 3 4 2 2" xfId="874" xr:uid="{00000000-0005-0000-0000-000027100000}"/>
    <cellStyle name="Normal 3 4 2 2 10" xfId="6334" xr:uid="{00000000-0005-0000-0000-000028100000}"/>
    <cellStyle name="Normal 3 4 2 2 2" xfId="875" xr:uid="{00000000-0005-0000-0000-000029100000}"/>
    <cellStyle name="Normal 3 4 2 2 2 2" xfId="876" xr:uid="{00000000-0005-0000-0000-00002A100000}"/>
    <cellStyle name="Normal 3 4 2 2 2 2 2" xfId="877" xr:uid="{00000000-0005-0000-0000-00002B100000}"/>
    <cellStyle name="Normal 3 4 2 2 2 2 2 2" xfId="2810" xr:uid="{00000000-0005-0000-0000-00002C100000}"/>
    <cellStyle name="Normal 3 4 2 2 2 2 2 2 2" xfId="8163" xr:uid="{00000000-0005-0000-0000-00002D100000}"/>
    <cellStyle name="Normal 3 4 2 2 2 2 2 3" xfId="3920" xr:uid="{00000000-0005-0000-0000-00002E100000}"/>
    <cellStyle name="Normal 3 4 2 2 2 2 2 3 2" xfId="9211" xr:uid="{00000000-0005-0000-0000-00002F100000}"/>
    <cellStyle name="Normal 3 4 2 2 2 2 2 4" xfId="4695" xr:uid="{00000000-0005-0000-0000-000030100000}"/>
    <cellStyle name="Normal 3 4 2 2 2 2 2 4 2" xfId="9983" xr:uid="{00000000-0005-0000-0000-000031100000}"/>
    <cellStyle name="Normal 3 4 2 2 2 2 2 5" xfId="6337" xr:uid="{00000000-0005-0000-0000-000032100000}"/>
    <cellStyle name="Normal 3 4 2 2 2 2 3" xfId="1754" xr:uid="{00000000-0005-0000-0000-000033100000}"/>
    <cellStyle name="Normal 3 4 2 2 2 2 3 2" xfId="5525" xr:uid="{00000000-0005-0000-0000-000034100000}"/>
    <cellStyle name="Normal 3 4 2 2 2 2 3 2 2" xfId="10813" xr:uid="{00000000-0005-0000-0000-000035100000}"/>
    <cellStyle name="Normal 3 4 2 2 2 2 3 3" xfId="7167" xr:uid="{00000000-0005-0000-0000-000036100000}"/>
    <cellStyle name="Normal 3 4 2 2 2 2 4" xfId="2306" xr:uid="{00000000-0005-0000-0000-000037100000}"/>
    <cellStyle name="Normal 3 4 2 2 2 2 4 2" xfId="7664" xr:uid="{00000000-0005-0000-0000-000038100000}"/>
    <cellStyle name="Normal 3 4 2 2 2 2 5" xfId="3420" xr:uid="{00000000-0005-0000-0000-000039100000}"/>
    <cellStyle name="Normal 3 4 2 2 2 2 5 2" xfId="8712" xr:uid="{00000000-0005-0000-0000-00003A100000}"/>
    <cellStyle name="Normal 3 4 2 2 2 2 6" xfId="4694" xr:uid="{00000000-0005-0000-0000-00003B100000}"/>
    <cellStyle name="Normal 3 4 2 2 2 2 6 2" xfId="9982" xr:uid="{00000000-0005-0000-0000-00003C100000}"/>
    <cellStyle name="Normal 3 4 2 2 2 2 7" xfId="6336" xr:uid="{00000000-0005-0000-0000-00003D100000}"/>
    <cellStyle name="Normal 3 4 2 2 2 3" xfId="878" xr:uid="{00000000-0005-0000-0000-00003E100000}"/>
    <cellStyle name="Normal 3 4 2 2 2 3 2" xfId="879" xr:uid="{00000000-0005-0000-0000-00003F100000}"/>
    <cellStyle name="Normal 3 4 2 2 2 3 2 2" xfId="2811" xr:uid="{00000000-0005-0000-0000-000040100000}"/>
    <cellStyle name="Normal 3 4 2 2 2 3 2 2 2" xfId="8164" xr:uid="{00000000-0005-0000-0000-000041100000}"/>
    <cellStyle name="Normal 3 4 2 2 2 3 2 3" xfId="3921" xr:uid="{00000000-0005-0000-0000-000042100000}"/>
    <cellStyle name="Normal 3 4 2 2 2 3 2 3 2" xfId="9212" xr:uid="{00000000-0005-0000-0000-000043100000}"/>
    <cellStyle name="Normal 3 4 2 2 2 3 2 4" xfId="4697" xr:uid="{00000000-0005-0000-0000-000044100000}"/>
    <cellStyle name="Normal 3 4 2 2 2 3 2 4 2" xfId="9985" xr:uid="{00000000-0005-0000-0000-000045100000}"/>
    <cellStyle name="Normal 3 4 2 2 2 3 2 5" xfId="6339" xr:uid="{00000000-0005-0000-0000-000046100000}"/>
    <cellStyle name="Normal 3 4 2 2 2 3 3" xfId="1755" xr:uid="{00000000-0005-0000-0000-000047100000}"/>
    <cellStyle name="Normal 3 4 2 2 2 3 3 2" xfId="5526" xr:uid="{00000000-0005-0000-0000-000048100000}"/>
    <cellStyle name="Normal 3 4 2 2 2 3 3 2 2" xfId="10814" xr:uid="{00000000-0005-0000-0000-000049100000}"/>
    <cellStyle name="Normal 3 4 2 2 2 3 3 3" xfId="7168" xr:uid="{00000000-0005-0000-0000-00004A100000}"/>
    <cellStyle name="Normal 3 4 2 2 2 3 4" xfId="2307" xr:uid="{00000000-0005-0000-0000-00004B100000}"/>
    <cellStyle name="Normal 3 4 2 2 2 3 4 2" xfId="7665" xr:uid="{00000000-0005-0000-0000-00004C100000}"/>
    <cellStyle name="Normal 3 4 2 2 2 3 5" xfId="3421" xr:uid="{00000000-0005-0000-0000-00004D100000}"/>
    <cellStyle name="Normal 3 4 2 2 2 3 5 2" xfId="8713" xr:uid="{00000000-0005-0000-0000-00004E100000}"/>
    <cellStyle name="Normal 3 4 2 2 2 3 6" xfId="4696" xr:uid="{00000000-0005-0000-0000-00004F100000}"/>
    <cellStyle name="Normal 3 4 2 2 2 3 6 2" xfId="9984" xr:uid="{00000000-0005-0000-0000-000050100000}"/>
    <cellStyle name="Normal 3 4 2 2 2 3 7" xfId="6338" xr:uid="{00000000-0005-0000-0000-000051100000}"/>
    <cellStyle name="Normal 3 4 2 2 2 4" xfId="880" xr:uid="{00000000-0005-0000-0000-000052100000}"/>
    <cellStyle name="Normal 3 4 2 2 2 4 2" xfId="2809" xr:uid="{00000000-0005-0000-0000-000053100000}"/>
    <cellStyle name="Normal 3 4 2 2 2 4 2 2" xfId="8162" xr:uid="{00000000-0005-0000-0000-000054100000}"/>
    <cellStyle name="Normal 3 4 2 2 2 4 3" xfId="3919" xr:uid="{00000000-0005-0000-0000-000055100000}"/>
    <cellStyle name="Normal 3 4 2 2 2 4 3 2" xfId="9210" xr:uid="{00000000-0005-0000-0000-000056100000}"/>
    <cellStyle name="Normal 3 4 2 2 2 4 4" xfId="4698" xr:uid="{00000000-0005-0000-0000-000057100000}"/>
    <cellStyle name="Normal 3 4 2 2 2 4 4 2" xfId="9986" xr:uid="{00000000-0005-0000-0000-000058100000}"/>
    <cellStyle name="Normal 3 4 2 2 2 4 5" xfId="6340" xr:uid="{00000000-0005-0000-0000-000059100000}"/>
    <cellStyle name="Normal 3 4 2 2 2 5" xfId="1753" xr:uid="{00000000-0005-0000-0000-00005A100000}"/>
    <cellStyle name="Normal 3 4 2 2 2 5 2" xfId="5524" xr:uid="{00000000-0005-0000-0000-00005B100000}"/>
    <cellStyle name="Normal 3 4 2 2 2 5 2 2" xfId="10812" xr:uid="{00000000-0005-0000-0000-00005C100000}"/>
    <cellStyle name="Normal 3 4 2 2 2 5 3" xfId="7166" xr:uid="{00000000-0005-0000-0000-00005D100000}"/>
    <cellStyle name="Normal 3 4 2 2 2 6" xfId="2305" xr:uid="{00000000-0005-0000-0000-00005E100000}"/>
    <cellStyle name="Normal 3 4 2 2 2 6 2" xfId="7663" xr:uid="{00000000-0005-0000-0000-00005F100000}"/>
    <cellStyle name="Normal 3 4 2 2 2 7" xfId="3419" xr:uid="{00000000-0005-0000-0000-000060100000}"/>
    <cellStyle name="Normal 3 4 2 2 2 7 2" xfId="8711" xr:uid="{00000000-0005-0000-0000-000061100000}"/>
    <cellStyle name="Normal 3 4 2 2 2 8" xfId="4693" xr:uid="{00000000-0005-0000-0000-000062100000}"/>
    <cellStyle name="Normal 3 4 2 2 2 8 2" xfId="9981" xr:uid="{00000000-0005-0000-0000-000063100000}"/>
    <cellStyle name="Normal 3 4 2 2 2 9" xfId="6335" xr:uid="{00000000-0005-0000-0000-000064100000}"/>
    <cellStyle name="Normal 3 4 2 2 3" xfId="881" xr:uid="{00000000-0005-0000-0000-000065100000}"/>
    <cellStyle name="Normal 3 4 2 2 3 2" xfId="882" xr:uid="{00000000-0005-0000-0000-000066100000}"/>
    <cellStyle name="Normal 3 4 2 2 3 2 2" xfId="2812" xr:uid="{00000000-0005-0000-0000-000067100000}"/>
    <cellStyle name="Normal 3 4 2 2 3 2 2 2" xfId="8165" xr:uid="{00000000-0005-0000-0000-000068100000}"/>
    <cellStyle name="Normal 3 4 2 2 3 2 3" xfId="3922" xr:uid="{00000000-0005-0000-0000-000069100000}"/>
    <cellStyle name="Normal 3 4 2 2 3 2 3 2" xfId="9213" xr:uid="{00000000-0005-0000-0000-00006A100000}"/>
    <cellStyle name="Normal 3 4 2 2 3 2 4" xfId="4700" xr:uid="{00000000-0005-0000-0000-00006B100000}"/>
    <cellStyle name="Normal 3 4 2 2 3 2 4 2" xfId="9988" xr:uid="{00000000-0005-0000-0000-00006C100000}"/>
    <cellStyle name="Normal 3 4 2 2 3 2 5" xfId="6342" xr:uid="{00000000-0005-0000-0000-00006D100000}"/>
    <cellStyle name="Normal 3 4 2 2 3 3" xfId="1756" xr:uid="{00000000-0005-0000-0000-00006E100000}"/>
    <cellStyle name="Normal 3 4 2 2 3 3 2" xfId="5527" xr:uid="{00000000-0005-0000-0000-00006F100000}"/>
    <cellStyle name="Normal 3 4 2 2 3 3 2 2" xfId="10815" xr:uid="{00000000-0005-0000-0000-000070100000}"/>
    <cellStyle name="Normal 3 4 2 2 3 3 3" xfId="7169" xr:uid="{00000000-0005-0000-0000-000071100000}"/>
    <cellStyle name="Normal 3 4 2 2 3 4" xfId="2308" xr:uid="{00000000-0005-0000-0000-000072100000}"/>
    <cellStyle name="Normal 3 4 2 2 3 4 2" xfId="7666" xr:uid="{00000000-0005-0000-0000-000073100000}"/>
    <cellStyle name="Normal 3 4 2 2 3 5" xfId="3422" xr:uid="{00000000-0005-0000-0000-000074100000}"/>
    <cellStyle name="Normal 3 4 2 2 3 5 2" xfId="8714" xr:uid="{00000000-0005-0000-0000-000075100000}"/>
    <cellStyle name="Normal 3 4 2 2 3 6" xfId="4699" xr:uid="{00000000-0005-0000-0000-000076100000}"/>
    <cellStyle name="Normal 3 4 2 2 3 6 2" xfId="9987" xr:uid="{00000000-0005-0000-0000-000077100000}"/>
    <cellStyle name="Normal 3 4 2 2 3 7" xfId="6341" xr:uid="{00000000-0005-0000-0000-000078100000}"/>
    <cellStyle name="Normal 3 4 2 2 4" xfId="883" xr:uid="{00000000-0005-0000-0000-000079100000}"/>
    <cellStyle name="Normal 3 4 2 2 4 2" xfId="884" xr:uid="{00000000-0005-0000-0000-00007A100000}"/>
    <cellStyle name="Normal 3 4 2 2 4 2 2" xfId="2813" xr:uid="{00000000-0005-0000-0000-00007B100000}"/>
    <cellStyle name="Normal 3 4 2 2 4 2 2 2" xfId="8166" xr:uid="{00000000-0005-0000-0000-00007C100000}"/>
    <cellStyle name="Normal 3 4 2 2 4 2 3" xfId="3923" xr:uid="{00000000-0005-0000-0000-00007D100000}"/>
    <cellStyle name="Normal 3 4 2 2 4 2 3 2" xfId="9214" xr:uid="{00000000-0005-0000-0000-00007E100000}"/>
    <cellStyle name="Normal 3 4 2 2 4 2 4" xfId="4702" xr:uid="{00000000-0005-0000-0000-00007F100000}"/>
    <cellStyle name="Normal 3 4 2 2 4 2 4 2" xfId="9990" xr:uid="{00000000-0005-0000-0000-000080100000}"/>
    <cellStyle name="Normal 3 4 2 2 4 2 5" xfId="6344" xr:uid="{00000000-0005-0000-0000-000081100000}"/>
    <cellStyle name="Normal 3 4 2 2 4 3" xfId="1757" xr:uid="{00000000-0005-0000-0000-000082100000}"/>
    <cellStyle name="Normal 3 4 2 2 4 3 2" xfId="5528" xr:uid="{00000000-0005-0000-0000-000083100000}"/>
    <cellStyle name="Normal 3 4 2 2 4 3 2 2" xfId="10816" xr:uid="{00000000-0005-0000-0000-000084100000}"/>
    <cellStyle name="Normal 3 4 2 2 4 3 3" xfId="7170" xr:uid="{00000000-0005-0000-0000-000085100000}"/>
    <cellStyle name="Normal 3 4 2 2 4 4" xfId="2309" xr:uid="{00000000-0005-0000-0000-000086100000}"/>
    <cellStyle name="Normal 3 4 2 2 4 4 2" xfId="7667" xr:uid="{00000000-0005-0000-0000-000087100000}"/>
    <cellStyle name="Normal 3 4 2 2 4 5" xfId="3423" xr:uid="{00000000-0005-0000-0000-000088100000}"/>
    <cellStyle name="Normal 3 4 2 2 4 5 2" xfId="8715" xr:uid="{00000000-0005-0000-0000-000089100000}"/>
    <cellStyle name="Normal 3 4 2 2 4 6" xfId="4701" xr:uid="{00000000-0005-0000-0000-00008A100000}"/>
    <cellStyle name="Normal 3 4 2 2 4 6 2" xfId="9989" xr:uid="{00000000-0005-0000-0000-00008B100000}"/>
    <cellStyle name="Normal 3 4 2 2 4 7" xfId="6343" xr:uid="{00000000-0005-0000-0000-00008C100000}"/>
    <cellStyle name="Normal 3 4 2 2 5" xfId="885" xr:uid="{00000000-0005-0000-0000-00008D100000}"/>
    <cellStyle name="Normal 3 4 2 2 5 2" xfId="2808" xr:uid="{00000000-0005-0000-0000-00008E100000}"/>
    <cellStyle name="Normal 3 4 2 2 5 2 2" xfId="8161" xr:uid="{00000000-0005-0000-0000-00008F100000}"/>
    <cellStyle name="Normal 3 4 2 2 5 3" xfId="3918" xr:uid="{00000000-0005-0000-0000-000090100000}"/>
    <cellStyle name="Normal 3 4 2 2 5 3 2" xfId="9209" xr:uid="{00000000-0005-0000-0000-000091100000}"/>
    <cellStyle name="Normal 3 4 2 2 5 4" xfId="4703" xr:uid="{00000000-0005-0000-0000-000092100000}"/>
    <cellStyle name="Normal 3 4 2 2 5 4 2" xfId="9991" xr:uid="{00000000-0005-0000-0000-000093100000}"/>
    <cellStyle name="Normal 3 4 2 2 5 5" xfId="6345" xr:uid="{00000000-0005-0000-0000-000094100000}"/>
    <cellStyle name="Normal 3 4 2 2 6" xfId="1752" xr:uid="{00000000-0005-0000-0000-000095100000}"/>
    <cellStyle name="Normal 3 4 2 2 6 2" xfId="5523" xr:uid="{00000000-0005-0000-0000-000096100000}"/>
    <cellStyle name="Normal 3 4 2 2 6 2 2" xfId="10811" xr:uid="{00000000-0005-0000-0000-000097100000}"/>
    <cellStyle name="Normal 3 4 2 2 6 3" xfId="7165" xr:uid="{00000000-0005-0000-0000-000098100000}"/>
    <cellStyle name="Normal 3 4 2 2 7" xfId="2304" xr:uid="{00000000-0005-0000-0000-000099100000}"/>
    <cellStyle name="Normal 3 4 2 2 7 2" xfId="7662" xr:uid="{00000000-0005-0000-0000-00009A100000}"/>
    <cellStyle name="Normal 3 4 2 2 8" xfId="3418" xr:uid="{00000000-0005-0000-0000-00009B100000}"/>
    <cellStyle name="Normal 3 4 2 2 8 2" xfId="8710" xr:uid="{00000000-0005-0000-0000-00009C100000}"/>
    <cellStyle name="Normal 3 4 2 2 9" xfId="4692" xr:uid="{00000000-0005-0000-0000-00009D100000}"/>
    <cellStyle name="Normal 3 4 2 2 9 2" xfId="9980" xr:uid="{00000000-0005-0000-0000-00009E100000}"/>
    <cellStyle name="Normal 3 4 2 3" xfId="886" xr:uid="{00000000-0005-0000-0000-00009F100000}"/>
    <cellStyle name="Normal 3 4 2 3 2" xfId="887" xr:uid="{00000000-0005-0000-0000-0000A0100000}"/>
    <cellStyle name="Normal 3 4 2 3 2 2" xfId="888" xr:uid="{00000000-0005-0000-0000-0000A1100000}"/>
    <cellStyle name="Normal 3 4 2 3 2 2 2" xfId="2815" xr:uid="{00000000-0005-0000-0000-0000A2100000}"/>
    <cellStyle name="Normal 3 4 2 3 2 2 2 2" xfId="8168" xr:uid="{00000000-0005-0000-0000-0000A3100000}"/>
    <cellStyle name="Normal 3 4 2 3 2 2 3" xfId="3925" xr:uid="{00000000-0005-0000-0000-0000A4100000}"/>
    <cellStyle name="Normal 3 4 2 3 2 2 3 2" xfId="9216" xr:uid="{00000000-0005-0000-0000-0000A5100000}"/>
    <cellStyle name="Normal 3 4 2 3 2 2 4" xfId="4706" xr:uid="{00000000-0005-0000-0000-0000A6100000}"/>
    <cellStyle name="Normal 3 4 2 3 2 2 4 2" xfId="9994" xr:uid="{00000000-0005-0000-0000-0000A7100000}"/>
    <cellStyle name="Normal 3 4 2 3 2 2 5" xfId="6348" xr:uid="{00000000-0005-0000-0000-0000A8100000}"/>
    <cellStyle name="Normal 3 4 2 3 2 3" xfId="1759" xr:uid="{00000000-0005-0000-0000-0000A9100000}"/>
    <cellStyle name="Normal 3 4 2 3 2 3 2" xfId="5530" xr:uid="{00000000-0005-0000-0000-0000AA100000}"/>
    <cellStyle name="Normal 3 4 2 3 2 3 2 2" xfId="10818" xr:uid="{00000000-0005-0000-0000-0000AB100000}"/>
    <cellStyle name="Normal 3 4 2 3 2 3 3" xfId="7172" xr:uid="{00000000-0005-0000-0000-0000AC100000}"/>
    <cellStyle name="Normal 3 4 2 3 2 4" xfId="2311" xr:uid="{00000000-0005-0000-0000-0000AD100000}"/>
    <cellStyle name="Normal 3 4 2 3 2 4 2" xfId="7669" xr:uid="{00000000-0005-0000-0000-0000AE100000}"/>
    <cellStyle name="Normal 3 4 2 3 2 5" xfId="3425" xr:uid="{00000000-0005-0000-0000-0000AF100000}"/>
    <cellStyle name="Normal 3 4 2 3 2 5 2" xfId="8717" xr:uid="{00000000-0005-0000-0000-0000B0100000}"/>
    <cellStyle name="Normal 3 4 2 3 2 6" xfId="4705" xr:uid="{00000000-0005-0000-0000-0000B1100000}"/>
    <cellStyle name="Normal 3 4 2 3 2 6 2" xfId="9993" xr:uid="{00000000-0005-0000-0000-0000B2100000}"/>
    <cellStyle name="Normal 3 4 2 3 2 7" xfId="6347" xr:uid="{00000000-0005-0000-0000-0000B3100000}"/>
    <cellStyle name="Normal 3 4 2 3 3" xfId="889" xr:uid="{00000000-0005-0000-0000-0000B4100000}"/>
    <cellStyle name="Normal 3 4 2 3 3 2" xfId="890" xr:uid="{00000000-0005-0000-0000-0000B5100000}"/>
    <cellStyle name="Normal 3 4 2 3 3 2 2" xfId="2816" xr:uid="{00000000-0005-0000-0000-0000B6100000}"/>
    <cellStyle name="Normal 3 4 2 3 3 2 2 2" xfId="8169" xr:uid="{00000000-0005-0000-0000-0000B7100000}"/>
    <cellStyle name="Normal 3 4 2 3 3 2 3" xfId="3926" xr:uid="{00000000-0005-0000-0000-0000B8100000}"/>
    <cellStyle name="Normal 3 4 2 3 3 2 3 2" xfId="9217" xr:uid="{00000000-0005-0000-0000-0000B9100000}"/>
    <cellStyle name="Normal 3 4 2 3 3 2 4" xfId="4708" xr:uid="{00000000-0005-0000-0000-0000BA100000}"/>
    <cellStyle name="Normal 3 4 2 3 3 2 4 2" xfId="9996" xr:uid="{00000000-0005-0000-0000-0000BB100000}"/>
    <cellStyle name="Normal 3 4 2 3 3 2 5" xfId="6350" xr:uid="{00000000-0005-0000-0000-0000BC100000}"/>
    <cellStyle name="Normal 3 4 2 3 3 3" xfId="1760" xr:uid="{00000000-0005-0000-0000-0000BD100000}"/>
    <cellStyle name="Normal 3 4 2 3 3 3 2" xfId="5531" xr:uid="{00000000-0005-0000-0000-0000BE100000}"/>
    <cellStyle name="Normal 3 4 2 3 3 3 2 2" xfId="10819" xr:uid="{00000000-0005-0000-0000-0000BF100000}"/>
    <cellStyle name="Normal 3 4 2 3 3 3 3" xfId="7173" xr:uid="{00000000-0005-0000-0000-0000C0100000}"/>
    <cellStyle name="Normal 3 4 2 3 3 4" xfId="2312" xr:uid="{00000000-0005-0000-0000-0000C1100000}"/>
    <cellStyle name="Normal 3 4 2 3 3 4 2" xfId="7670" xr:uid="{00000000-0005-0000-0000-0000C2100000}"/>
    <cellStyle name="Normal 3 4 2 3 3 5" xfId="3426" xr:uid="{00000000-0005-0000-0000-0000C3100000}"/>
    <cellStyle name="Normal 3 4 2 3 3 5 2" xfId="8718" xr:uid="{00000000-0005-0000-0000-0000C4100000}"/>
    <cellStyle name="Normal 3 4 2 3 3 6" xfId="4707" xr:uid="{00000000-0005-0000-0000-0000C5100000}"/>
    <cellStyle name="Normal 3 4 2 3 3 6 2" xfId="9995" xr:uid="{00000000-0005-0000-0000-0000C6100000}"/>
    <cellStyle name="Normal 3 4 2 3 3 7" xfId="6349" xr:uid="{00000000-0005-0000-0000-0000C7100000}"/>
    <cellStyle name="Normal 3 4 2 3 4" xfId="891" xr:uid="{00000000-0005-0000-0000-0000C8100000}"/>
    <cellStyle name="Normal 3 4 2 3 4 2" xfId="2814" xr:uid="{00000000-0005-0000-0000-0000C9100000}"/>
    <cellStyle name="Normal 3 4 2 3 4 2 2" xfId="8167" xr:uid="{00000000-0005-0000-0000-0000CA100000}"/>
    <cellStyle name="Normal 3 4 2 3 4 3" xfId="3924" xr:uid="{00000000-0005-0000-0000-0000CB100000}"/>
    <cellStyle name="Normal 3 4 2 3 4 3 2" xfId="9215" xr:uid="{00000000-0005-0000-0000-0000CC100000}"/>
    <cellStyle name="Normal 3 4 2 3 4 4" xfId="4709" xr:uid="{00000000-0005-0000-0000-0000CD100000}"/>
    <cellStyle name="Normal 3 4 2 3 4 4 2" xfId="9997" xr:uid="{00000000-0005-0000-0000-0000CE100000}"/>
    <cellStyle name="Normal 3 4 2 3 4 5" xfId="6351" xr:uid="{00000000-0005-0000-0000-0000CF100000}"/>
    <cellStyle name="Normal 3 4 2 3 5" xfId="1758" xr:uid="{00000000-0005-0000-0000-0000D0100000}"/>
    <cellStyle name="Normal 3 4 2 3 5 2" xfId="5529" xr:uid="{00000000-0005-0000-0000-0000D1100000}"/>
    <cellStyle name="Normal 3 4 2 3 5 2 2" xfId="10817" xr:uid="{00000000-0005-0000-0000-0000D2100000}"/>
    <cellStyle name="Normal 3 4 2 3 5 3" xfId="7171" xr:uid="{00000000-0005-0000-0000-0000D3100000}"/>
    <cellStyle name="Normal 3 4 2 3 6" xfId="2310" xr:uid="{00000000-0005-0000-0000-0000D4100000}"/>
    <cellStyle name="Normal 3 4 2 3 6 2" xfId="7668" xr:uid="{00000000-0005-0000-0000-0000D5100000}"/>
    <cellStyle name="Normal 3 4 2 3 7" xfId="3424" xr:uid="{00000000-0005-0000-0000-0000D6100000}"/>
    <cellStyle name="Normal 3 4 2 3 7 2" xfId="8716" xr:uid="{00000000-0005-0000-0000-0000D7100000}"/>
    <cellStyle name="Normal 3 4 2 3 8" xfId="4704" xr:uid="{00000000-0005-0000-0000-0000D8100000}"/>
    <cellStyle name="Normal 3 4 2 3 8 2" xfId="9992" xr:uid="{00000000-0005-0000-0000-0000D9100000}"/>
    <cellStyle name="Normal 3 4 2 3 9" xfId="6346" xr:uid="{00000000-0005-0000-0000-0000DA100000}"/>
    <cellStyle name="Normal 3 4 2 4" xfId="892" xr:uid="{00000000-0005-0000-0000-0000DB100000}"/>
    <cellStyle name="Normal 3 4 2 4 2" xfId="893" xr:uid="{00000000-0005-0000-0000-0000DC100000}"/>
    <cellStyle name="Normal 3 4 2 4 2 2" xfId="2817" xr:uid="{00000000-0005-0000-0000-0000DD100000}"/>
    <cellStyle name="Normal 3 4 2 4 2 2 2" xfId="8170" xr:uid="{00000000-0005-0000-0000-0000DE100000}"/>
    <cellStyle name="Normal 3 4 2 4 2 3" xfId="3927" xr:uid="{00000000-0005-0000-0000-0000DF100000}"/>
    <cellStyle name="Normal 3 4 2 4 2 3 2" xfId="9218" xr:uid="{00000000-0005-0000-0000-0000E0100000}"/>
    <cellStyle name="Normal 3 4 2 4 2 4" xfId="4711" xr:uid="{00000000-0005-0000-0000-0000E1100000}"/>
    <cellStyle name="Normal 3 4 2 4 2 4 2" xfId="9999" xr:uid="{00000000-0005-0000-0000-0000E2100000}"/>
    <cellStyle name="Normal 3 4 2 4 2 5" xfId="6353" xr:uid="{00000000-0005-0000-0000-0000E3100000}"/>
    <cellStyle name="Normal 3 4 2 4 3" xfId="1761" xr:uid="{00000000-0005-0000-0000-0000E4100000}"/>
    <cellStyle name="Normal 3 4 2 4 3 2" xfId="5532" xr:uid="{00000000-0005-0000-0000-0000E5100000}"/>
    <cellStyle name="Normal 3 4 2 4 3 2 2" xfId="10820" xr:uid="{00000000-0005-0000-0000-0000E6100000}"/>
    <cellStyle name="Normal 3 4 2 4 3 3" xfId="7174" xr:uid="{00000000-0005-0000-0000-0000E7100000}"/>
    <cellStyle name="Normal 3 4 2 4 4" xfId="2313" xr:uid="{00000000-0005-0000-0000-0000E8100000}"/>
    <cellStyle name="Normal 3 4 2 4 4 2" xfId="7671" xr:uid="{00000000-0005-0000-0000-0000E9100000}"/>
    <cellStyle name="Normal 3 4 2 4 5" xfId="3427" xr:uid="{00000000-0005-0000-0000-0000EA100000}"/>
    <cellStyle name="Normal 3 4 2 4 5 2" xfId="8719" xr:uid="{00000000-0005-0000-0000-0000EB100000}"/>
    <cellStyle name="Normal 3 4 2 4 6" xfId="4710" xr:uid="{00000000-0005-0000-0000-0000EC100000}"/>
    <cellStyle name="Normal 3 4 2 4 6 2" xfId="9998" xr:uid="{00000000-0005-0000-0000-0000ED100000}"/>
    <cellStyle name="Normal 3 4 2 4 7" xfId="6352" xr:uid="{00000000-0005-0000-0000-0000EE100000}"/>
    <cellStyle name="Normal 3 4 2 5" xfId="894" xr:uid="{00000000-0005-0000-0000-0000EF100000}"/>
    <cellStyle name="Normal 3 4 2 5 2" xfId="895" xr:uid="{00000000-0005-0000-0000-0000F0100000}"/>
    <cellStyle name="Normal 3 4 2 5 2 2" xfId="2818" xr:uid="{00000000-0005-0000-0000-0000F1100000}"/>
    <cellStyle name="Normal 3 4 2 5 2 2 2" xfId="8171" xr:uid="{00000000-0005-0000-0000-0000F2100000}"/>
    <cellStyle name="Normal 3 4 2 5 2 3" xfId="3928" xr:uid="{00000000-0005-0000-0000-0000F3100000}"/>
    <cellStyle name="Normal 3 4 2 5 2 3 2" xfId="9219" xr:uid="{00000000-0005-0000-0000-0000F4100000}"/>
    <cellStyle name="Normal 3 4 2 5 2 4" xfId="4713" xr:uid="{00000000-0005-0000-0000-0000F5100000}"/>
    <cellStyle name="Normal 3 4 2 5 2 4 2" xfId="10001" xr:uid="{00000000-0005-0000-0000-0000F6100000}"/>
    <cellStyle name="Normal 3 4 2 5 2 5" xfId="6355" xr:uid="{00000000-0005-0000-0000-0000F7100000}"/>
    <cellStyle name="Normal 3 4 2 5 3" xfId="1762" xr:uid="{00000000-0005-0000-0000-0000F8100000}"/>
    <cellStyle name="Normal 3 4 2 5 3 2" xfId="5533" xr:uid="{00000000-0005-0000-0000-0000F9100000}"/>
    <cellStyle name="Normal 3 4 2 5 3 2 2" xfId="10821" xr:uid="{00000000-0005-0000-0000-0000FA100000}"/>
    <cellStyle name="Normal 3 4 2 5 3 3" xfId="7175" xr:uid="{00000000-0005-0000-0000-0000FB100000}"/>
    <cellStyle name="Normal 3 4 2 5 4" xfId="2314" xr:uid="{00000000-0005-0000-0000-0000FC100000}"/>
    <cellStyle name="Normal 3 4 2 5 4 2" xfId="7672" xr:uid="{00000000-0005-0000-0000-0000FD100000}"/>
    <cellStyle name="Normal 3 4 2 5 5" xfId="3428" xr:uid="{00000000-0005-0000-0000-0000FE100000}"/>
    <cellStyle name="Normal 3 4 2 5 5 2" xfId="8720" xr:uid="{00000000-0005-0000-0000-0000FF100000}"/>
    <cellStyle name="Normal 3 4 2 5 6" xfId="4712" xr:uid="{00000000-0005-0000-0000-000000110000}"/>
    <cellStyle name="Normal 3 4 2 5 6 2" xfId="10000" xr:uid="{00000000-0005-0000-0000-000001110000}"/>
    <cellStyle name="Normal 3 4 2 5 7" xfId="6354" xr:uid="{00000000-0005-0000-0000-000002110000}"/>
    <cellStyle name="Normal 3 4 2 6" xfId="896" xr:uid="{00000000-0005-0000-0000-000003110000}"/>
    <cellStyle name="Normal 3 4 2 6 2" xfId="2807" xr:uid="{00000000-0005-0000-0000-000004110000}"/>
    <cellStyle name="Normal 3 4 2 6 2 2" xfId="8160" xr:uid="{00000000-0005-0000-0000-000005110000}"/>
    <cellStyle name="Normal 3 4 2 6 3" xfId="3917" xr:uid="{00000000-0005-0000-0000-000006110000}"/>
    <cellStyle name="Normal 3 4 2 6 3 2" xfId="9208" xr:uid="{00000000-0005-0000-0000-000007110000}"/>
    <cellStyle name="Normal 3 4 2 6 4" xfId="4714" xr:uid="{00000000-0005-0000-0000-000008110000}"/>
    <cellStyle name="Normal 3 4 2 6 4 2" xfId="10002" xr:uid="{00000000-0005-0000-0000-000009110000}"/>
    <cellStyle name="Normal 3 4 2 6 5" xfId="6356" xr:uid="{00000000-0005-0000-0000-00000A110000}"/>
    <cellStyle name="Normal 3 4 2 7" xfId="1751" xr:uid="{00000000-0005-0000-0000-00000B110000}"/>
    <cellStyle name="Normal 3 4 2 7 2" xfId="5522" xr:uid="{00000000-0005-0000-0000-00000C110000}"/>
    <cellStyle name="Normal 3 4 2 7 2 2" xfId="10810" xr:uid="{00000000-0005-0000-0000-00000D110000}"/>
    <cellStyle name="Normal 3 4 2 7 3" xfId="7164" xr:uid="{00000000-0005-0000-0000-00000E110000}"/>
    <cellStyle name="Normal 3 4 2 8" xfId="2303" xr:uid="{00000000-0005-0000-0000-00000F110000}"/>
    <cellStyle name="Normal 3 4 2 8 2" xfId="7661" xr:uid="{00000000-0005-0000-0000-000010110000}"/>
    <cellStyle name="Normal 3 4 2 9" xfId="3417" xr:uid="{00000000-0005-0000-0000-000011110000}"/>
    <cellStyle name="Normal 3 4 2 9 2" xfId="8709" xr:uid="{00000000-0005-0000-0000-000012110000}"/>
    <cellStyle name="Normal 3 4 3" xfId="897" xr:uid="{00000000-0005-0000-0000-000013110000}"/>
    <cellStyle name="Normal 3 4 3 10" xfId="4715" xr:uid="{00000000-0005-0000-0000-000014110000}"/>
    <cellStyle name="Normal 3 4 3 10 2" xfId="10003" xr:uid="{00000000-0005-0000-0000-000015110000}"/>
    <cellStyle name="Normal 3 4 3 11" xfId="6357" xr:uid="{00000000-0005-0000-0000-000016110000}"/>
    <cellStyle name="Normal 3 4 3 2" xfId="898" xr:uid="{00000000-0005-0000-0000-000017110000}"/>
    <cellStyle name="Normal 3 4 3 2 10" xfId="6358" xr:uid="{00000000-0005-0000-0000-000018110000}"/>
    <cellStyle name="Normal 3 4 3 2 2" xfId="899" xr:uid="{00000000-0005-0000-0000-000019110000}"/>
    <cellStyle name="Normal 3 4 3 2 2 2" xfId="900" xr:uid="{00000000-0005-0000-0000-00001A110000}"/>
    <cellStyle name="Normal 3 4 3 2 2 2 2" xfId="901" xr:uid="{00000000-0005-0000-0000-00001B110000}"/>
    <cellStyle name="Normal 3 4 3 2 2 2 2 2" xfId="2822" xr:uid="{00000000-0005-0000-0000-00001C110000}"/>
    <cellStyle name="Normal 3 4 3 2 2 2 2 2 2" xfId="8175" xr:uid="{00000000-0005-0000-0000-00001D110000}"/>
    <cellStyle name="Normal 3 4 3 2 2 2 2 3" xfId="3932" xr:uid="{00000000-0005-0000-0000-00001E110000}"/>
    <cellStyle name="Normal 3 4 3 2 2 2 2 3 2" xfId="9223" xr:uid="{00000000-0005-0000-0000-00001F110000}"/>
    <cellStyle name="Normal 3 4 3 2 2 2 2 4" xfId="4719" xr:uid="{00000000-0005-0000-0000-000020110000}"/>
    <cellStyle name="Normal 3 4 3 2 2 2 2 4 2" xfId="10007" xr:uid="{00000000-0005-0000-0000-000021110000}"/>
    <cellStyle name="Normal 3 4 3 2 2 2 2 5" xfId="6361" xr:uid="{00000000-0005-0000-0000-000022110000}"/>
    <cellStyle name="Normal 3 4 3 2 2 2 3" xfId="1766" xr:uid="{00000000-0005-0000-0000-000023110000}"/>
    <cellStyle name="Normal 3 4 3 2 2 2 3 2" xfId="5537" xr:uid="{00000000-0005-0000-0000-000024110000}"/>
    <cellStyle name="Normal 3 4 3 2 2 2 3 2 2" xfId="10825" xr:uid="{00000000-0005-0000-0000-000025110000}"/>
    <cellStyle name="Normal 3 4 3 2 2 2 3 3" xfId="7179" xr:uid="{00000000-0005-0000-0000-000026110000}"/>
    <cellStyle name="Normal 3 4 3 2 2 2 4" xfId="2318" xr:uid="{00000000-0005-0000-0000-000027110000}"/>
    <cellStyle name="Normal 3 4 3 2 2 2 4 2" xfId="7676" xr:uid="{00000000-0005-0000-0000-000028110000}"/>
    <cellStyle name="Normal 3 4 3 2 2 2 5" xfId="3432" xr:uid="{00000000-0005-0000-0000-000029110000}"/>
    <cellStyle name="Normal 3 4 3 2 2 2 5 2" xfId="8724" xr:uid="{00000000-0005-0000-0000-00002A110000}"/>
    <cellStyle name="Normal 3 4 3 2 2 2 6" xfId="4718" xr:uid="{00000000-0005-0000-0000-00002B110000}"/>
    <cellStyle name="Normal 3 4 3 2 2 2 6 2" xfId="10006" xr:uid="{00000000-0005-0000-0000-00002C110000}"/>
    <cellStyle name="Normal 3 4 3 2 2 2 7" xfId="6360" xr:uid="{00000000-0005-0000-0000-00002D110000}"/>
    <cellStyle name="Normal 3 4 3 2 2 3" xfId="902" xr:uid="{00000000-0005-0000-0000-00002E110000}"/>
    <cellStyle name="Normal 3 4 3 2 2 3 2" xfId="903" xr:uid="{00000000-0005-0000-0000-00002F110000}"/>
    <cellStyle name="Normal 3 4 3 2 2 3 2 2" xfId="2823" xr:uid="{00000000-0005-0000-0000-000030110000}"/>
    <cellStyle name="Normal 3 4 3 2 2 3 2 2 2" xfId="8176" xr:uid="{00000000-0005-0000-0000-000031110000}"/>
    <cellStyle name="Normal 3 4 3 2 2 3 2 3" xfId="3933" xr:uid="{00000000-0005-0000-0000-000032110000}"/>
    <cellStyle name="Normal 3 4 3 2 2 3 2 3 2" xfId="9224" xr:uid="{00000000-0005-0000-0000-000033110000}"/>
    <cellStyle name="Normal 3 4 3 2 2 3 2 4" xfId="4721" xr:uid="{00000000-0005-0000-0000-000034110000}"/>
    <cellStyle name="Normal 3 4 3 2 2 3 2 4 2" xfId="10009" xr:uid="{00000000-0005-0000-0000-000035110000}"/>
    <cellStyle name="Normal 3 4 3 2 2 3 2 5" xfId="6363" xr:uid="{00000000-0005-0000-0000-000036110000}"/>
    <cellStyle name="Normal 3 4 3 2 2 3 3" xfId="1767" xr:uid="{00000000-0005-0000-0000-000037110000}"/>
    <cellStyle name="Normal 3 4 3 2 2 3 3 2" xfId="5538" xr:uid="{00000000-0005-0000-0000-000038110000}"/>
    <cellStyle name="Normal 3 4 3 2 2 3 3 2 2" xfId="10826" xr:uid="{00000000-0005-0000-0000-000039110000}"/>
    <cellStyle name="Normal 3 4 3 2 2 3 3 3" xfId="7180" xr:uid="{00000000-0005-0000-0000-00003A110000}"/>
    <cellStyle name="Normal 3 4 3 2 2 3 4" xfId="2319" xr:uid="{00000000-0005-0000-0000-00003B110000}"/>
    <cellStyle name="Normal 3 4 3 2 2 3 4 2" xfId="7677" xr:uid="{00000000-0005-0000-0000-00003C110000}"/>
    <cellStyle name="Normal 3 4 3 2 2 3 5" xfId="3433" xr:uid="{00000000-0005-0000-0000-00003D110000}"/>
    <cellStyle name="Normal 3 4 3 2 2 3 5 2" xfId="8725" xr:uid="{00000000-0005-0000-0000-00003E110000}"/>
    <cellStyle name="Normal 3 4 3 2 2 3 6" xfId="4720" xr:uid="{00000000-0005-0000-0000-00003F110000}"/>
    <cellStyle name="Normal 3 4 3 2 2 3 6 2" xfId="10008" xr:uid="{00000000-0005-0000-0000-000040110000}"/>
    <cellStyle name="Normal 3 4 3 2 2 3 7" xfId="6362" xr:uid="{00000000-0005-0000-0000-000041110000}"/>
    <cellStyle name="Normal 3 4 3 2 2 4" xfId="904" xr:uid="{00000000-0005-0000-0000-000042110000}"/>
    <cellStyle name="Normal 3 4 3 2 2 4 2" xfId="2821" xr:uid="{00000000-0005-0000-0000-000043110000}"/>
    <cellStyle name="Normal 3 4 3 2 2 4 2 2" xfId="8174" xr:uid="{00000000-0005-0000-0000-000044110000}"/>
    <cellStyle name="Normal 3 4 3 2 2 4 3" xfId="3931" xr:uid="{00000000-0005-0000-0000-000045110000}"/>
    <cellStyle name="Normal 3 4 3 2 2 4 3 2" xfId="9222" xr:uid="{00000000-0005-0000-0000-000046110000}"/>
    <cellStyle name="Normal 3 4 3 2 2 4 4" xfId="4722" xr:uid="{00000000-0005-0000-0000-000047110000}"/>
    <cellStyle name="Normal 3 4 3 2 2 4 4 2" xfId="10010" xr:uid="{00000000-0005-0000-0000-000048110000}"/>
    <cellStyle name="Normal 3 4 3 2 2 4 5" xfId="6364" xr:uid="{00000000-0005-0000-0000-000049110000}"/>
    <cellStyle name="Normal 3 4 3 2 2 5" xfId="1765" xr:uid="{00000000-0005-0000-0000-00004A110000}"/>
    <cellStyle name="Normal 3 4 3 2 2 5 2" xfId="5536" xr:uid="{00000000-0005-0000-0000-00004B110000}"/>
    <cellStyle name="Normal 3 4 3 2 2 5 2 2" xfId="10824" xr:uid="{00000000-0005-0000-0000-00004C110000}"/>
    <cellStyle name="Normal 3 4 3 2 2 5 3" xfId="7178" xr:uid="{00000000-0005-0000-0000-00004D110000}"/>
    <cellStyle name="Normal 3 4 3 2 2 6" xfId="2317" xr:uid="{00000000-0005-0000-0000-00004E110000}"/>
    <cellStyle name="Normal 3 4 3 2 2 6 2" xfId="7675" xr:uid="{00000000-0005-0000-0000-00004F110000}"/>
    <cellStyle name="Normal 3 4 3 2 2 7" xfId="3431" xr:uid="{00000000-0005-0000-0000-000050110000}"/>
    <cellStyle name="Normal 3 4 3 2 2 7 2" xfId="8723" xr:uid="{00000000-0005-0000-0000-000051110000}"/>
    <cellStyle name="Normal 3 4 3 2 2 8" xfId="4717" xr:uid="{00000000-0005-0000-0000-000052110000}"/>
    <cellStyle name="Normal 3 4 3 2 2 8 2" xfId="10005" xr:uid="{00000000-0005-0000-0000-000053110000}"/>
    <cellStyle name="Normal 3 4 3 2 2 9" xfId="6359" xr:uid="{00000000-0005-0000-0000-000054110000}"/>
    <cellStyle name="Normal 3 4 3 2 3" xfId="905" xr:uid="{00000000-0005-0000-0000-000055110000}"/>
    <cellStyle name="Normal 3 4 3 2 3 2" xfId="906" xr:uid="{00000000-0005-0000-0000-000056110000}"/>
    <cellStyle name="Normal 3 4 3 2 3 2 2" xfId="2824" xr:uid="{00000000-0005-0000-0000-000057110000}"/>
    <cellStyle name="Normal 3 4 3 2 3 2 2 2" xfId="8177" xr:uid="{00000000-0005-0000-0000-000058110000}"/>
    <cellStyle name="Normal 3 4 3 2 3 2 3" xfId="3934" xr:uid="{00000000-0005-0000-0000-000059110000}"/>
    <cellStyle name="Normal 3 4 3 2 3 2 3 2" xfId="9225" xr:uid="{00000000-0005-0000-0000-00005A110000}"/>
    <cellStyle name="Normal 3 4 3 2 3 2 4" xfId="4724" xr:uid="{00000000-0005-0000-0000-00005B110000}"/>
    <cellStyle name="Normal 3 4 3 2 3 2 4 2" xfId="10012" xr:uid="{00000000-0005-0000-0000-00005C110000}"/>
    <cellStyle name="Normal 3 4 3 2 3 2 5" xfId="6366" xr:uid="{00000000-0005-0000-0000-00005D110000}"/>
    <cellStyle name="Normal 3 4 3 2 3 3" xfId="1768" xr:uid="{00000000-0005-0000-0000-00005E110000}"/>
    <cellStyle name="Normal 3 4 3 2 3 3 2" xfId="5539" xr:uid="{00000000-0005-0000-0000-00005F110000}"/>
    <cellStyle name="Normal 3 4 3 2 3 3 2 2" xfId="10827" xr:uid="{00000000-0005-0000-0000-000060110000}"/>
    <cellStyle name="Normal 3 4 3 2 3 3 3" xfId="7181" xr:uid="{00000000-0005-0000-0000-000061110000}"/>
    <cellStyle name="Normal 3 4 3 2 3 4" xfId="2320" xr:uid="{00000000-0005-0000-0000-000062110000}"/>
    <cellStyle name="Normal 3 4 3 2 3 4 2" xfId="7678" xr:uid="{00000000-0005-0000-0000-000063110000}"/>
    <cellStyle name="Normal 3 4 3 2 3 5" xfId="3434" xr:uid="{00000000-0005-0000-0000-000064110000}"/>
    <cellStyle name="Normal 3 4 3 2 3 5 2" xfId="8726" xr:uid="{00000000-0005-0000-0000-000065110000}"/>
    <cellStyle name="Normal 3 4 3 2 3 6" xfId="4723" xr:uid="{00000000-0005-0000-0000-000066110000}"/>
    <cellStyle name="Normal 3 4 3 2 3 6 2" xfId="10011" xr:uid="{00000000-0005-0000-0000-000067110000}"/>
    <cellStyle name="Normal 3 4 3 2 3 7" xfId="6365" xr:uid="{00000000-0005-0000-0000-000068110000}"/>
    <cellStyle name="Normal 3 4 3 2 4" xfId="907" xr:uid="{00000000-0005-0000-0000-000069110000}"/>
    <cellStyle name="Normal 3 4 3 2 4 2" xfId="908" xr:uid="{00000000-0005-0000-0000-00006A110000}"/>
    <cellStyle name="Normal 3 4 3 2 4 2 2" xfId="2825" xr:uid="{00000000-0005-0000-0000-00006B110000}"/>
    <cellStyle name="Normal 3 4 3 2 4 2 2 2" xfId="8178" xr:uid="{00000000-0005-0000-0000-00006C110000}"/>
    <cellStyle name="Normal 3 4 3 2 4 2 3" xfId="3935" xr:uid="{00000000-0005-0000-0000-00006D110000}"/>
    <cellStyle name="Normal 3 4 3 2 4 2 3 2" xfId="9226" xr:uid="{00000000-0005-0000-0000-00006E110000}"/>
    <cellStyle name="Normal 3 4 3 2 4 2 4" xfId="4726" xr:uid="{00000000-0005-0000-0000-00006F110000}"/>
    <cellStyle name="Normal 3 4 3 2 4 2 4 2" xfId="10014" xr:uid="{00000000-0005-0000-0000-000070110000}"/>
    <cellStyle name="Normal 3 4 3 2 4 2 5" xfId="6368" xr:uid="{00000000-0005-0000-0000-000071110000}"/>
    <cellStyle name="Normal 3 4 3 2 4 3" xfId="1769" xr:uid="{00000000-0005-0000-0000-000072110000}"/>
    <cellStyle name="Normal 3 4 3 2 4 3 2" xfId="5540" xr:uid="{00000000-0005-0000-0000-000073110000}"/>
    <cellStyle name="Normal 3 4 3 2 4 3 2 2" xfId="10828" xr:uid="{00000000-0005-0000-0000-000074110000}"/>
    <cellStyle name="Normal 3 4 3 2 4 3 3" xfId="7182" xr:uid="{00000000-0005-0000-0000-000075110000}"/>
    <cellStyle name="Normal 3 4 3 2 4 4" xfId="2321" xr:uid="{00000000-0005-0000-0000-000076110000}"/>
    <cellStyle name="Normal 3 4 3 2 4 4 2" xfId="7679" xr:uid="{00000000-0005-0000-0000-000077110000}"/>
    <cellStyle name="Normal 3 4 3 2 4 5" xfId="3435" xr:uid="{00000000-0005-0000-0000-000078110000}"/>
    <cellStyle name="Normal 3 4 3 2 4 5 2" xfId="8727" xr:uid="{00000000-0005-0000-0000-000079110000}"/>
    <cellStyle name="Normal 3 4 3 2 4 6" xfId="4725" xr:uid="{00000000-0005-0000-0000-00007A110000}"/>
    <cellStyle name="Normal 3 4 3 2 4 6 2" xfId="10013" xr:uid="{00000000-0005-0000-0000-00007B110000}"/>
    <cellStyle name="Normal 3 4 3 2 4 7" xfId="6367" xr:uid="{00000000-0005-0000-0000-00007C110000}"/>
    <cellStyle name="Normal 3 4 3 2 5" xfId="909" xr:uid="{00000000-0005-0000-0000-00007D110000}"/>
    <cellStyle name="Normal 3 4 3 2 5 2" xfId="2820" xr:uid="{00000000-0005-0000-0000-00007E110000}"/>
    <cellStyle name="Normal 3 4 3 2 5 2 2" xfId="8173" xr:uid="{00000000-0005-0000-0000-00007F110000}"/>
    <cellStyle name="Normal 3 4 3 2 5 3" xfId="3930" xr:uid="{00000000-0005-0000-0000-000080110000}"/>
    <cellStyle name="Normal 3 4 3 2 5 3 2" xfId="9221" xr:uid="{00000000-0005-0000-0000-000081110000}"/>
    <cellStyle name="Normal 3 4 3 2 5 4" xfId="4727" xr:uid="{00000000-0005-0000-0000-000082110000}"/>
    <cellStyle name="Normal 3 4 3 2 5 4 2" xfId="10015" xr:uid="{00000000-0005-0000-0000-000083110000}"/>
    <cellStyle name="Normal 3 4 3 2 5 5" xfId="6369" xr:uid="{00000000-0005-0000-0000-000084110000}"/>
    <cellStyle name="Normal 3 4 3 2 6" xfId="1764" xr:uid="{00000000-0005-0000-0000-000085110000}"/>
    <cellStyle name="Normal 3 4 3 2 6 2" xfId="5535" xr:uid="{00000000-0005-0000-0000-000086110000}"/>
    <cellStyle name="Normal 3 4 3 2 6 2 2" xfId="10823" xr:uid="{00000000-0005-0000-0000-000087110000}"/>
    <cellStyle name="Normal 3 4 3 2 6 3" xfId="7177" xr:uid="{00000000-0005-0000-0000-000088110000}"/>
    <cellStyle name="Normal 3 4 3 2 7" xfId="2316" xr:uid="{00000000-0005-0000-0000-000089110000}"/>
    <cellStyle name="Normal 3 4 3 2 7 2" xfId="7674" xr:uid="{00000000-0005-0000-0000-00008A110000}"/>
    <cellStyle name="Normal 3 4 3 2 8" xfId="3430" xr:uid="{00000000-0005-0000-0000-00008B110000}"/>
    <cellStyle name="Normal 3 4 3 2 8 2" xfId="8722" xr:uid="{00000000-0005-0000-0000-00008C110000}"/>
    <cellStyle name="Normal 3 4 3 2 9" xfId="4716" xr:uid="{00000000-0005-0000-0000-00008D110000}"/>
    <cellStyle name="Normal 3 4 3 2 9 2" xfId="10004" xr:uid="{00000000-0005-0000-0000-00008E110000}"/>
    <cellStyle name="Normal 3 4 3 3" xfId="910" xr:uid="{00000000-0005-0000-0000-00008F110000}"/>
    <cellStyle name="Normal 3 4 3 3 2" xfId="911" xr:uid="{00000000-0005-0000-0000-000090110000}"/>
    <cellStyle name="Normal 3 4 3 3 2 2" xfId="912" xr:uid="{00000000-0005-0000-0000-000091110000}"/>
    <cellStyle name="Normal 3 4 3 3 2 2 2" xfId="2827" xr:uid="{00000000-0005-0000-0000-000092110000}"/>
    <cellStyle name="Normal 3 4 3 3 2 2 2 2" xfId="8180" xr:uid="{00000000-0005-0000-0000-000093110000}"/>
    <cellStyle name="Normal 3 4 3 3 2 2 3" xfId="3937" xr:uid="{00000000-0005-0000-0000-000094110000}"/>
    <cellStyle name="Normal 3 4 3 3 2 2 3 2" xfId="9228" xr:uid="{00000000-0005-0000-0000-000095110000}"/>
    <cellStyle name="Normal 3 4 3 3 2 2 4" xfId="4730" xr:uid="{00000000-0005-0000-0000-000096110000}"/>
    <cellStyle name="Normal 3 4 3 3 2 2 4 2" xfId="10018" xr:uid="{00000000-0005-0000-0000-000097110000}"/>
    <cellStyle name="Normal 3 4 3 3 2 2 5" xfId="6372" xr:uid="{00000000-0005-0000-0000-000098110000}"/>
    <cellStyle name="Normal 3 4 3 3 2 3" xfId="1771" xr:uid="{00000000-0005-0000-0000-000099110000}"/>
    <cellStyle name="Normal 3 4 3 3 2 3 2" xfId="5542" xr:uid="{00000000-0005-0000-0000-00009A110000}"/>
    <cellStyle name="Normal 3 4 3 3 2 3 2 2" xfId="10830" xr:uid="{00000000-0005-0000-0000-00009B110000}"/>
    <cellStyle name="Normal 3 4 3 3 2 3 3" xfId="7184" xr:uid="{00000000-0005-0000-0000-00009C110000}"/>
    <cellStyle name="Normal 3 4 3 3 2 4" xfId="2323" xr:uid="{00000000-0005-0000-0000-00009D110000}"/>
    <cellStyle name="Normal 3 4 3 3 2 4 2" xfId="7681" xr:uid="{00000000-0005-0000-0000-00009E110000}"/>
    <cellStyle name="Normal 3 4 3 3 2 5" xfId="3437" xr:uid="{00000000-0005-0000-0000-00009F110000}"/>
    <cellStyle name="Normal 3 4 3 3 2 5 2" xfId="8729" xr:uid="{00000000-0005-0000-0000-0000A0110000}"/>
    <cellStyle name="Normal 3 4 3 3 2 6" xfId="4729" xr:uid="{00000000-0005-0000-0000-0000A1110000}"/>
    <cellStyle name="Normal 3 4 3 3 2 6 2" xfId="10017" xr:uid="{00000000-0005-0000-0000-0000A2110000}"/>
    <cellStyle name="Normal 3 4 3 3 2 7" xfId="6371" xr:uid="{00000000-0005-0000-0000-0000A3110000}"/>
    <cellStyle name="Normal 3 4 3 3 3" xfId="913" xr:uid="{00000000-0005-0000-0000-0000A4110000}"/>
    <cellStyle name="Normal 3 4 3 3 3 2" xfId="914" xr:uid="{00000000-0005-0000-0000-0000A5110000}"/>
    <cellStyle name="Normal 3 4 3 3 3 2 2" xfId="2828" xr:uid="{00000000-0005-0000-0000-0000A6110000}"/>
    <cellStyle name="Normal 3 4 3 3 3 2 2 2" xfId="8181" xr:uid="{00000000-0005-0000-0000-0000A7110000}"/>
    <cellStyle name="Normal 3 4 3 3 3 2 3" xfId="3938" xr:uid="{00000000-0005-0000-0000-0000A8110000}"/>
    <cellStyle name="Normal 3 4 3 3 3 2 3 2" xfId="9229" xr:uid="{00000000-0005-0000-0000-0000A9110000}"/>
    <cellStyle name="Normal 3 4 3 3 3 2 4" xfId="4732" xr:uid="{00000000-0005-0000-0000-0000AA110000}"/>
    <cellStyle name="Normal 3 4 3 3 3 2 4 2" xfId="10020" xr:uid="{00000000-0005-0000-0000-0000AB110000}"/>
    <cellStyle name="Normal 3 4 3 3 3 2 5" xfId="6374" xr:uid="{00000000-0005-0000-0000-0000AC110000}"/>
    <cellStyle name="Normal 3 4 3 3 3 3" xfId="1772" xr:uid="{00000000-0005-0000-0000-0000AD110000}"/>
    <cellStyle name="Normal 3 4 3 3 3 3 2" xfId="5543" xr:uid="{00000000-0005-0000-0000-0000AE110000}"/>
    <cellStyle name="Normal 3 4 3 3 3 3 2 2" xfId="10831" xr:uid="{00000000-0005-0000-0000-0000AF110000}"/>
    <cellStyle name="Normal 3 4 3 3 3 3 3" xfId="7185" xr:uid="{00000000-0005-0000-0000-0000B0110000}"/>
    <cellStyle name="Normal 3 4 3 3 3 4" xfId="2324" xr:uid="{00000000-0005-0000-0000-0000B1110000}"/>
    <cellStyle name="Normal 3 4 3 3 3 4 2" xfId="7682" xr:uid="{00000000-0005-0000-0000-0000B2110000}"/>
    <cellStyle name="Normal 3 4 3 3 3 5" xfId="3438" xr:uid="{00000000-0005-0000-0000-0000B3110000}"/>
    <cellStyle name="Normal 3 4 3 3 3 5 2" xfId="8730" xr:uid="{00000000-0005-0000-0000-0000B4110000}"/>
    <cellStyle name="Normal 3 4 3 3 3 6" xfId="4731" xr:uid="{00000000-0005-0000-0000-0000B5110000}"/>
    <cellStyle name="Normal 3 4 3 3 3 6 2" xfId="10019" xr:uid="{00000000-0005-0000-0000-0000B6110000}"/>
    <cellStyle name="Normal 3 4 3 3 3 7" xfId="6373" xr:uid="{00000000-0005-0000-0000-0000B7110000}"/>
    <cellStyle name="Normal 3 4 3 3 4" xfId="915" xr:uid="{00000000-0005-0000-0000-0000B8110000}"/>
    <cellStyle name="Normal 3 4 3 3 4 2" xfId="2826" xr:uid="{00000000-0005-0000-0000-0000B9110000}"/>
    <cellStyle name="Normal 3 4 3 3 4 2 2" xfId="8179" xr:uid="{00000000-0005-0000-0000-0000BA110000}"/>
    <cellStyle name="Normal 3 4 3 3 4 3" xfId="3936" xr:uid="{00000000-0005-0000-0000-0000BB110000}"/>
    <cellStyle name="Normal 3 4 3 3 4 3 2" xfId="9227" xr:uid="{00000000-0005-0000-0000-0000BC110000}"/>
    <cellStyle name="Normal 3 4 3 3 4 4" xfId="4733" xr:uid="{00000000-0005-0000-0000-0000BD110000}"/>
    <cellStyle name="Normal 3 4 3 3 4 4 2" xfId="10021" xr:uid="{00000000-0005-0000-0000-0000BE110000}"/>
    <cellStyle name="Normal 3 4 3 3 4 5" xfId="6375" xr:uid="{00000000-0005-0000-0000-0000BF110000}"/>
    <cellStyle name="Normal 3 4 3 3 5" xfId="1770" xr:uid="{00000000-0005-0000-0000-0000C0110000}"/>
    <cellStyle name="Normal 3 4 3 3 5 2" xfId="5541" xr:uid="{00000000-0005-0000-0000-0000C1110000}"/>
    <cellStyle name="Normal 3 4 3 3 5 2 2" xfId="10829" xr:uid="{00000000-0005-0000-0000-0000C2110000}"/>
    <cellStyle name="Normal 3 4 3 3 5 3" xfId="7183" xr:uid="{00000000-0005-0000-0000-0000C3110000}"/>
    <cellStyle name="Normal 3 4 3 3 6" xfId="2322" xr:uid="{00000000-0005-0000-0000-0000C4110000}"/>
    <cellStyle name="Normal 3 4 3 3 6 2" xfId="7680" xr:uid="{00000000-0005-0000-0000-0000C5110000}"/>
    <cellStyle name="Normal 3 4 3 3 7" xfId="3436" xr:uid="{00000000-0005-0000-0000-0000C6110000}"/>
    <cellStyle name="Normal 3 4 3 3 7 2" xfId="8728" xr:uid="{00000000-0005-0000-0000-0000C7110000}"/>
    <cellStyle name="Normal 3 4 3 3 8" xfId="4728" xr:uid="{00000000-0005-0000-0000-0000C8110000}"/>
    <cellStyle name="Normal 3 4 3 3 8 2" xfId="10016" xr:uid="{00000000-0005-0000-0000-0000C9110000}"/>
    <cellStyle name="Normal 3 4 3 3 9" xfId="6370" xr:uid="{00000000-0005-0000-0000-0000CA110000}"/>
    <cellStyle name="Normal 3 4 3 4" xfId="916" xr:uid="{00000000-0005-0000-0000-0000CB110000}"/>
    <cellStyle name="Normal 3 4 3 4 2" xfId="917" xr:uid="{00000000-0005-0000-0000-0000CC110000}"/>
    <cellStyle name="Normal 3 4 3 4 2 2" xfId="2829" xr:uid="{00000000-0005-0000-0000-0000CD110000}"/>
    <cellStyle name="Normal 3 4 3 4 2 2 2" xfId="8182" xr:uid="{00000000-0005-0000-0000-0000CE110000}"/>
    <cellStyle name="Normal 3 4 3 4 2 3" xfId="3939" xr:uid="{00000000-0005-0000-0000-0000CF110000}"/>
    <cellStyle name="Normal 3 4 3 4 2 3 2" xfId="9230" xr:uid="{00000000-0005-0000-0000-0000D0110000}"/>
    <cellStyle name="Normal 3 4 3 4 2 4" xfId="4735" xr:uid="{00000000-0005-0000-0000-0000D1110000}"/>
    <cellStyle name="Normal 3 4 3 4 2 4 2" xfId="10023" xr:uid="{00000000-0005-0000-0000-0000D2110000}"/>
    <cellStyle name="Normal 3 4 3 4 2 5" xfId="6377" xr:uid="{00000000-0005-0000-0000-0000D3110000}"/>
    <cellStyle name="Normal 3 4 3 4 3" xfId="1773" xr:uid="{00000000-0005-0000-0000-0000D4110000}"/>
    <cellStyle name="Normal 3 4 3 4 3 2" xfId="5544" xr:uid="{00000000-0005-0000-0000-0000D5110000}"/>
    <cellStyle name="Normal 3 4 3 4 3 2 2" xfId="10832" xr:uid="{00000000-0005-0000-0000-0000D6110000}"/>
    <cellStyle name="Normal 3 4 3 4 3 3" xfId="7186" xr:uid="{00000000-0005-0000-0000-0000D7110000}"/>
    <cellStyle name="Normal 3 4 3 4 4" xfId="2325" xr:uid="{00000000-0005-0000-0000-0000D8110000}"/>
    <cellStyle name="Normal 3 4 3 4 4 2" xfId="7683" xr:uid="{00000000-0005-0000-0000-0000D9110000}"/>
    <cellStyle name="Normal 3 4 3 4 5" xfId="3439" xr:uid="{00000000-0005-0000-0000-0000DA110000}"/>
    <cellStyle name="Normal 3 4 3 4 5 2" xfId="8731" xr:uid="{00000000-0005-0000-0000-0000DB110000}"/>
    <cellStyle name="Normal 3 4 3 4 6" xfId="4734" xr:uid="{00000000-0005-0000-0000-0000DC110000}"/>
    <cellStyle name="Normal 3 4 3 4 6 2" xfId="10022" xr:uid="{00000000-0005-0000-0000-0000DD110000}"/>
    <cellStyle name="Normal 3 4 3 4 7" xfId="6376" xr:uid="{00000000-0005-0000-0000-0000DE110000}"/>
    <cellStyle name="Normal 3 4 3 5" xfId="918" xr:uid="{00000000-0005-0000-0000-0000DF110000}"/>
    <cellStyle name="Normal 3 4 3 5 2" xfId="919" xr:uid="{00000000-0005-0000-0000-0000E0110000}"/>
    <cellStyle name="Normal 3 4 3 5 2 2" xfId="2830" xr:uid="{00000000-0005-0000-0000-0000E1110000}"/>
    <cellStyle name="Normal 3 4 3 5 2 2 2" xfId="8183" xr:uid="{00000000-0005-0000-0000-0000E2110000}"/>
    <cellStyle name="Normal 3 4 3 5 2 3" xfId="3940" xr:uid="{00000000-0005-0000-0000-0000E3110000}"/>
    <cellStyle name="Normal 3 4 3 5 2 3 2" xfId="9231" xr:uid="{00000000-0005-0000-0000-0000E4110000}"/>
    <cellStyle name="Normal 3 4 3 5 2 4" xfId="4737" xr:uid="{00000000-0005-0000-0000-0000E5110000}"/>
    <cellStyle name="Normal 3 4 3 5 2 4 2" xfId="10025" xr:uid="{00000000-0005-0000-0000-0000E6110000}"/>
    <cellStyle name="Normal 3 4 3 5 2 5" xfId="6379" xr:uid="{00000000-0005-0000-0000-0000E7110000}"/>
    <cellStyle name="Normal 3 4 3 5 3" xfId="1774" xr:uid="{00000000-0005-0000-0000-0000E8110000}"/>
    <cellStyle name="Normal 3 4 3 5 3 2" xfId="5545" xr:uid="{00000000-0005-0000-0000-0000E9110000}"/>
    <cellStyle name="Normal 3 4 3 5 3 2 2" xfId="10833" xr:uid="{00000000-0005-0000-0000-0000EA110000}"/>
    <cellStyle name="Normal 3 4 3 5 3 3" xfId="7187" xr:uid="{00000000-0005-0000-0000-0000EB110000}"/>
    <cellStyle name="Normal 3 4 3 5 4" xfId="2326" xr:uid="{00000000-0005-0000-0000-0000EC110000}"/>
    <cellStyle name="Normal 3 4 3 5 4 2" xfId="7684" xr:uid="{00000000-0005-0000-0000-0000ED110000}"/>
    <cellStyle name="Normal 3 4 3 5 5" xfId="3440" xr:uid="{00000000-0005-0000-0000-0000EE110000}"/>
    <cellStyle name="Normal 3 4 3 5 5 2" xfId="8732" xr:uid="{00000000-0005-0000-0000-0000EF110000}"/>
    <cellStyle name="Normal 3 4 3 5 6" xfId="4736" xr:uid="{00000000-0005-0000-0000-0000F0110000}"/>
    <cellStyle name="Normal 3 4 3 5 6 2" xfId="10024" xr:uid="{00000000-0005-0000-0000-0000F1110000}"/>
    <cellStyle name="Normal 3 4 3 5 7" xfId="6378" xr:uid="{00000000-0005-0000-0000-0000F2110000}"/>
    <cellStyle name="Normal 3 4 3 6" xfId="920" xr:uid="{00000000-0005-0000-0000-0000F3110000}"/>
    <cellStyle name="Normal 3 4 3 6 2" xfId="2819" xr:uid="{00000000-0005-0000-0000-0000F4110000}"/>
    <cellStyle name="Normal 3 4 3 6 2 2" xfId="8172" xr:uid="{00000000-0005-0000-0000-0000F5110000}"/>
    <cellStyle name="Normal 3 4 3 6 3" xfId="3929" xr:uid="{00000000-0005-0000-0000-0000F6110000}"/>
    <cellStyle name="Normal 3 4 3 6 3 2" xfId="9220" xr:uid="{00000000-0005-0000-0000-0000F7110000}"/>
    <cellStyle name="Normal 3 4 3 6 4" xfId="4738" xr:uid="{00000000-0005-0000-0000-0000F8110000}"/>
    <cellStyle name="Normal 3 4 3 6 4 2" xfId="10026" xr:uid="{00000000-0005-0000-0000-0000F9110000}"/>
    <cellStyle name="Normal 3 4 3 6 5" xfId="6380" xr:uid="{00000000-0005-0000-0000-0000FA110000}"/>
    <cellStyle name="Normal 3 4 3 7" xfId="1763" xr:uid="{00000000-0005-0000-0000-0000FB110000}"/>
    <cellStyle name="Normal 3 4 3 7 2" xfId="5534" xr:uid="{00000000-0005-0000-0000-0000FC110000}"/>
    <cellStyle name="Normal 3 4 3 7 2 2" xfId="10822" xr:uid="{00000000-0005-0000-0000-0000FD110000}"/>
    <cellStyle name="Normal 3 4 3 7 3" xfId="7176" xr:uid="{00000000-0005-0000-0000-0000FE110000}"/>
    <cellStyle name="Normal 3 4 3 8" xfId="2315" xr:uid="{00000000-0005-0000-0000-0000FF110000}"/>
    <cellStyle name="Normal 3 4 3 8 2" xfId="7673" xr:uid="{00000000-0005-0000-0000-000000120000}"/>
    <cellStyle name="Normal 3 4 3 9" xfId="3429" xr:uid="{00000000-0005-0000-0000-000001120000}"/>
    <cellStyle name="Normal 3 4 3 9 2" xfId="8721" xr:uid="{00000000-0005-0000-0000-000002120000}"/>
    <cellStyle name="Normal 3 4 4" xfId="921" xr:uid="{00000000-0005-0000-0000-000003120000}"/>
    <cellStyle name="Normal 3 4 4 10" xfId="6381" xr:uid="{00000000-0005-0000-0000-000004120000}"/>
    <cellStyle name="Normal 3 4 4 2" xfId="922" xr:uid="{00000000-0005-0000-0000-000005120000}"/>
    <cellStyle name="Normal 3 4 4 2 2" xfId="923" xr:uid="{00000000-0005-0000-0000-000006120000}"/>
    <cellStyle name="Normal 3 4 4 2 2 2" xfId="924" xr:uid="{00000000-0005-0000-0000-000007120000}"/>
    <cellStyle name="Normal 3 4 4 2 2 2 2" xfId="2833" xr:uid="{00000000-0005-0000-0000-000008120000}"/>
    <cellStyle name="Normal 3 4 4 2 2 2 2 2" xfId="8186" xr:uid="{00000000-0005-0000-0000-000009120000}"/>
    <cellStyle name="Normal 3 4 4 2 2 2 3" xfId="3943" xr:uid="{00000000-0005-0000-0000-00000A120000}"/>
    <cellStyle name="Normal 3 4 4 2 2 2 3 2" xfId="9234" xr:uid="{00000000-0005-0000-0000-00000B120000}"/>
    <cellStyle name="Normal 3 4 4 2 2 2 4" xfId="4742" xr:uid="{00000000-0005-0000-0000-00000C120000}"/>
    <cellStyle name="Normal 3 4 4 2 2 2 4 2" xfId="10030" xr:uid="{00000000-0005-0000-0000-00000D120000}"/>
    <cellStyle name="Normal 3 4 4 2 2 2 5" xfId="6384" xr:uid="{00000000-0005-0000-0000-00000E120000}"/>
    <cellStyle name="Normal 3 4 4 2 2 3" xfId="1777" xr:uid="{00000000-0005-0000-0000-00000F120000}"/>
    <cellStyle name="Normal 3 4 4 2 2 3 2" xfId="5548" xr:uid="{00000000-0005-0000-0000-000010120000}"/>
    <cellStyle name="Normal 3 4 4 2 2 3 2 2" xfId="10836" xr:uid="{00000000-0005-0000-0000-000011120000}"/>
    <cellStyle name="Normal 3 4 4 2 2 3 3" xfId="7190" xr:uid="{00000000-0005-0000-0000-000012120000}"/>
    <cellStyle name="Normal 3 4 4 2 2 4" xfId="2329" xr:uid="{00000000-0005-0000-0000-000013120000}"/>
    <cellStyle name="Normal 3 4 4 2 2 4 2" xfId="7687" xr:uid="{00000000-0005-0000-0000-000014120000}"/>
    <cellStyle name="Normal 3 4 4 2 2 5" xfId="3443" xr:uid="{00000000-0005-0000-0000-000015120000}"/>
    <cellStyle name="Normal 3 4 4 2 2 5 2" xfId="8735" xr:uid="{00000000-0005-0000-0000-000016120000}"/>
    <cellStyle name="Normal 3 4 4 2 2 6" xfId="4741" xr:uid="{00000000-0005-0000-0000-000017120000}"/>
    <cellStyle name="Normal 3 4 4 2 2 6 2" xfId="10029" xr:uid="{00000000-0005-0000-0000-000018120000}"/>
    <cellStyle name="Normal 3 4 4 2 2 7" xfId="6383" xr:uid="{00000000-0005-0000-0000-000019120000}"/>
    <cellStyle name="Normal 3 4 4 2 3" xfId="925" xr:uid="{00000000-0005-0000-0000-00001A120000}"/>
    <cellStyle name="Normal 3 4 4 2 3 2" xfId="926" xr:uid="{00000000-0005-0000-0000-00001B120000}"/>
    <cellStyle name="Normal 3 4 4 2 3 2 2" xfId="2834" xr:uid="{00000000-0005-0000-0000-00001C120000}"/>
    <cellStyle name="Normal 3 4 4 2 3 2 2 2" xfId="8187" xr:uid="{00000000-0005-0000-0000-00001D120000}"/>
    <cellStyle name="Normal 3 4 4 2 3 2 3" xfId="3944" xr:uid="{00000000-0005-0000-0000-00001E120000}"/>
    <cellStyle name="Normal 3 4 4 2 3 2 3 2" xfId="9235" xr:uid="{00000000-0005-0000-0000-00001F120000}"/>
    <cellStyle name="Normal 3 4 4 2 3 2 4" xfId="4744" xr:uid="{00000000-0005-0000-0000-000020120000}"/>
    <cellStyle name="Normal 3 4 4 2 3 2 4 2" xfId="10032" xr:uid="{00000000-0005-0000-0000-000021120000}"/>
    <cellStyle name="Normal 3 4 4 2 3 2 5" xfId="6386" xr:uid="{00000000-0005-0000-0000-000022120000}"/>
    <cellStyle name="Normal 3 4 4 2 3 3" xfId="1778" xr:uid="{00000000-0005-0000-0000-000023120000}"/>
    <cellStyle name="Normal 3 4 4 2 3 3 2" xfId="5549" xr:uid="{00000000-0005-0000-0000-000024120000}"/>
    <cellStyle name="Normal 3 4 4 2 3 3 2 2" xfId="10837" xr:uid="{00000000-0005-0000-0000-000025120000}"/>
    <cellStyle name="Normal 3 4 4 2 3 3 3" xfId="7191" xr:uid="{00000000-0005-0000-0000-000026120000}"/>
    <cellStyle name="Normal 3 4 4 2 3 4" xfId="2330" xr:uid="{00000000-0005-0000-0000-000027120000}"/>
    <cellStyle name="Normal 3 4 4 2 3 4 2" xfId="7688" xr:uid="{00000000-0005-0000-0000-000028120000}"/>
    <cellStyle name="Normal 3 4 4 2 3 5" xfId="3444" xr:uid="{00000000-0005-0000-0000-000029120000}"/>
    <cellStyle name="Normal 3 4 4 2 3 5 2" xfId="8736" xr:uid="{00000000-0005-0000-0000-00002A120000}"/>
    <cellStyle name="Normal 3 4 4 2 3 6" xfId="4743" xr:uid="{00000000-0005-0000-0000-00002B120000}"/>
    <cellStyle name="Normal 3 4 4 2 3 6 2" xfId="10031" xr:uid="{00000000-0005-0000-0000-00002C120000}"/>
    <cellStyle name="Normal 3 4 4 2 3 7" xfId="6385" xr:uid="{00000000-0005-0000-0000-00002D120000}"/>
    <cellStyle name="Normal 3 4 4 2 4" xfId="927" xr:uid="{00000000-0005-0000-0000-00002E120000}"/>
    <cellStyle name="Normal 3 4 4 2 4 2" xfId="2832" xr:uid="{00000000-0005-0000-0000-00002F120000}"/>
    <cellStyle name="Normal 3 4 4 2 4 2 2" xfId="8185" xr:uid="{00000000-0005-0000-0000-000030120000}"/>
    <cellStyle name="Normal 3 4 4 2 4 3" xfId="3942" xr:uid="{00000000-0005-0000-0000-000031120000}"/>
    <cellStyle name="Normal 3 4 4 2 4 3 2" xfId="9233" xr:uid="{00000000-0005-0000-0000-000032120000}"/>
    <cellStyle name="Normal 3 4 4 2 4 4" xfId="4745" xr:uid="{00000000-0005-0000-0000-000033120000}"/>
    <cellStyle name="Normal 3 4 4 2 4 4 2" xfId="10033" xr:uid="{00000000-0005-0000-0000-000034120000}"/>
    <cellStyle name="Normal 3 4 4 2 4 5" xfId="6387" xr:uid="{00000000-0005-0000-0000-000035120000}"/>
    <cellStyle name="Normal 3 4 4 2 5" xfId="1776" xr:uid="{00000000-0005-0000-0000-000036120000}"/>
    <cellStyle name="Normal 3 4 4 2 5 2" xfId="5547" xr:uid="{00000000-0005-0000-0000-000037120000}"/>
    <cellStyle name="Normal 3 4 4 2 5 2 2" xfId="10835" xr:uid="{00000000-0005-0000-0000-000038120000}"/>
    <cellStyle name="Normal 3 4 4 2 5 3" xfId="7189" xr:uid="{00000000-0005-0000-0000-000039120000}"/>
    <cellStyle name="Normal 3 4 4 2 6" xfId="2328" xr:uid="{00000000-0005-0000-0000-00003A120000}"/>
    <cellStyle name="Normal 3 4 4 2 6 2" xfId="7686" xr:uid="{00000000-0005-0000-0000-00003B120000}"/>
    <cellStyle name="Normal 3 4 4 2 7" xfId="3442" xr:uid="{00000000-0005-0000-0000-00003C120000}"/>
    <cellStyle name="Normal 3 4 4 2 7 2" xfId="8734" xr:uid="{00000000-0005-0000-0000-00003D120000}"/>
    <cellStyle name="Normal 3 4 4 2 8" xfId="4740" xr:uid="{00000000-0005-0000-0000-00003E120000}"/>
    <cellStyle name="Normal 3 4 4 2 8 2" xfId="10028" xr:uid="{00000000-0005-0000-0000-00003F120000}"/>
    <cellStyle name="Normal 3 4 4 2 9" xfId="6382" xr:uid="{00000000-0005-0000-0000-000040120000}"/>
    <cellStyle name="Normal 3 4 4 3" xfId="928" xr:uid="{00000000-0005-0000-0000-000041120000}"/>
    <cellStyle name="Normal 3 4 4 3 2" xfId="929" xr:uid="{00000000-0005-0000-0000-000042120000}"/>
    <cellStyle name="Normal 3 4 4 3 2 2" xfId="2835" xr:uid="{00000000-0005-0000-0000-000043120000}"/>
    <cellStyle name="Normal 3 4 4 3 2 2 2" xfId="8188" xr:uid="{00000000-0005-0000-0000-000044120000}"/>
    <cellStyle name="Normal 3 4 4 3 2 3" xfId="3945" xr:uid="{00000000-0005-0000-0000-000045120000}"/>
    <cellStyle name="Normal 3 4 4 3 2 3 2" xfId="9236" xr:uid="{00000000-0005-0000-0000-000046120000}"/>
    <cellStyle name="Normal 3 4 4 3 2 4" xfId="4747" xr:uid="{00000000-0005-0000-0000-000047120000}"/>
    <cellStyle name="Normal 3 4 4 3 2 4 2" xfId="10035" xr:uid="{00000000-0005-0000-0000-000048120000}"/>
    <cellStyle name="Normal 3 4 4 3 2 5" xfId="6389" xr:uid="{00000000-0005-0000-0000-000049120000}"/>
    <cellStyle name="Normal 3 4 4 3 3" xfId="1779" xr:uid="{00000000-0005-0000-0000-00004A120000}"/>
    <cellStyle name="Normal 3 4 4 3 3 2" xfId="5550" xr:uid="{00000000-0005-0000-0000-00004B120000}"/>
    <cellStyle name="Normal 3 4 4 3 3 2 2" xfId="10838" xr:uid="{00000000-0005-0000-0000-00004C120000}"/>
    <cellStyle name="Normal 3 4 4 3 3 3" xfId="7192" xr:uid="{00000000-0005-0000-0000-00004D120000}"/>
    <cellStyle name="Normal 3 4 4 3 4" xfId="2331" xr:uid="{00000000-0005-0000-0000-00004E120000}"/>
    <cellStyle name="Normal 3 4 4 3 4 2" xfId="7689" xr:uid="{00000000-0005-0000-0000-00004F120000}"/>
    <cellStyle name="Normal 3 4 4 3 5" xfId="3445" xr:uid="{00000000-0005-0000-0000-000050120000}"/>
    <cellStyle name="Normal 3 4 4 3 5 2" xfId="8737" xr:uid="{00000000-0005-0000-0000-000051120000}"/>
    <cellStyle name="Normal 3 4 4 3 6" xfId="4746" xr:uid="{00000000-0005-0000-0000-000052120000}"/>
    <cellStyle name="Normal 3 4 4 3 6 2" xfId="10034" xr:uid="{00000000-0005-0000-0000-000053120000}"/>
    <cellStyle name="Normal 3 4 4 3 7" xfId="6388" xr:uid="{00000000-0005-0000-0000-000054120000}"/>
    <cellStyle name="Normal 3 4 4 4" xfId="930" xr:uid="{00000000-0005-0000-0000-000055120000}"/>
    <cellStyle name="Normal 3 4 4 4 2" xfId="931" xr:uid="{00000000-0005-0000-0000-000056120000}"/>
    <cellStyle name="Normal 3 4 4 4 2 2" xfId="2836" xr:uid="{00000000-0005-0000-0000-000057120000}"/>
    <cellStyle name="Normal 3 4 4 4 2 2 2" xfId="8189" xr:uid="{00000000-0005-0000-0000-000058120000}"/>
    <cellStyle name="Normal 3 4 4 4 2 3" xfId="3946" xr:uid="{00000000-0005-0000-0000-000059120000}"/>
    <cellStyle name="Normal 3 4 4 4 2 3 2" xfId="9237" xr:uid="{00000000-0005-0000-0000-00005A120000}"/>
    <cellStyle name="Normal 3 4 4 4 2 4" xfId="4749" xr:uid="{00000000-0005-0000-0000-00005B120000}"/>
    <cellStyle name="Normal 3 4 4 4 2 4 2" xfId="10037" xr:uid="{00000000-0005-0000-0000-00005C120000}"/>
    <cellStyle name="Normal 3 4 4 4 2 5" xfId="6391" xr:uid="{00000000-0005-0000-0000-00005D120000}"/>
    <cellStyle name="Normal 3 4 4 4 3" xfId="1780" xr:uid="{00000000-0005-0000-0000-00005E120000}"/>
    <cellStyle name="Normal 3 4 4 4 3 2" xfId="5551" xr:uid="{00000000-0005-0000-0000-00005F120000}"/>
    <cellStyle name="Normal 3 4 4 4 3 2 2" xfId="10839" xr:uid="{00000000-0005-0000-0000-000060120000}"/>
    <cellStyle name="Normal 3 4 4 4 3 3" xfId="7193" xr:uid="{00000000-0005-0000-0000-000061120000}"/>
    <cellStyle name="Normal 3 4 4 4 4" xfId="2332" xr:uid="{00000000-0005-0000-0000-000062120000}"/>
    <cellStyle name="Normal 3 4 4 4 4 2" xfId="7690" xr:uid="{00000000-0005-0000-0000-000063120000}"/>
    <cellStyle name="Normal 3 4 4 4 5" xfId="3446" xr:uid="{00000000-0005-0000-0000-000064120000}"/>
    <cellStyle name="Normal 3 4 4 4 5 2" xfId="8738" xr:uid="{00000000-0005-0000-0000-000065120000}"/>
    <cellStyle name="Normal 3 4 4 4 6" xfId="4748" xr:uid="{00000000-0005-0000-0000-000066120000}"/>
    <cellStyle name="Normal 3 4 4 4 6 2" xfId="10036" xr:uid="{00000000-0005-0000-0000-000067120000}"/>
    <cellStyle name="Normal 3 4 4 4 7" xfId="6390" xr:uid="{00000000-0005-0000-0000-000068120000}"/>
    <cellStyle name="Normal 3 4 4 5" xfId="932" xr:uid="{00000000-0005-0000-0000-000069120000}"/>
    <cellStyle name="Normal 3 4 4 5 2" xfId="2831" xr:uid="{00000000-0005-0000-0000-00006A120000}"/>
    <cellStyle name="Normal 3 4 4 5 2 2" xfId="8184" xr:uid="{00000000-0005-0000-0000-00006B120000}"/>
    <cellStyle name="Normal 3 4 4 5 3" xfId="3941" xr:uid="{00000000-0005-0000-0000-00006C120000}"/>
    <cellStyle name="Normal 3 4 4 5 3 2" xfId="9232" xr:uid="{00000000-0005-0000-0000-00006D120000}"/>
    <cellStyle name="Normal 3 4 4 5 4" xfId="4750" xr:uid="{00000000-0005-0000-0000-00006E120000}"/>
    <cellStyle name="Normal 3 4 4 5 4 2" xfId="10038" xr:uid="{00000000-0005-0000-0000-00006F120000}"/>
    <cellStyle name="Normal 3 4 4 5 5" xfId="6392" xr:uid="{00000000-0005-0000-0000-000070120000}"/>
    <cellStyle name="Normal 3 4 4 6" xfId="1775" xr:uid="{00000000-0005-0000-0000-000071120000}"/>
    <cellStyle name="Normal 3 4 4 6 2" xfId="5546" xr:uid="{00000000-0005-0000-0000-000072120000}"/>
    <cellStyle name="Normal 3 4 4 6 2 2" xfId="10834" xr:uid="{00000000-0005-0000-0000-000073120000}"/>
    <cellStyle name="Normal 3 4 4 6 3" xfId="7188" xr:uid="{00000000-0005-0000-0000-000074120000}"/>
    <cellStyle name="Normal 3 4 4 7" xfId="2327" xr:uid="{00000000-0005-0000-0000-000075120000}"/>
    <cellStyle name="Normal 3 4 4 7 2" xfId="7685" xr:uid="{00000000-0005-0000-0000-000076120000}"/>
    <cellStyle name="Normal 3 4 4 8" xfId="3441" xr:uid="{00000000-0005-0000-0000-000077120000}"/>
    <cellStyle name="Normal 3 4 4 8 2" xfId="8733" xr:uid="{00000000-0005-0000-0000-000078120000}"/>
    <cellStyle name="Normal 3 4 4 9" xfId="4739" xr:uid="{00000000-0005-0000-0000-000079120000}"/>
    <cellStyle name="Normal 3 4 4 9 2" xfId="10027" xr:uid="{00000000-0005-0000-0000-00007A120000}"/>
    <cellStyle name="Normal 3 4 5" xfId="933" xr:uid="{00000000-0005-0000-0000-00007B120000}"/>
    <cellStyle name="Normal 3 4 5 2" xfId="934" xr:uid="{00000000-0005-0000-0000-00007C120000}"/>
    <cellStyle name="Normal 3 4 5 2 2" xfId="935" xr:uid="{00000000-0005-0000-0000-00007D120000}"/>
    <cellStyle name="Normal 3 4 5 2 2 2" xfId="2838" xr:uid="{00000000-0005-0000-0000-00007E120000}"/>
    <cellStyle name="Normal 3 4 5 2 2 2 2" xfId="8191" xr:uid="{00000000-0005-0000-0000-00007F120000}"/>
    <cellStyle name="Normal 3 4 5 2 2 3" xfId="3948" xr:uid="{00000000-0005-0000-0000-000080120000}"/>
    <cellStyle name="Normal 3 4 5 2 2 3 2" xfId="9239" xr:uid="{00000000-0005-0000-0000-000081120000}"/>
    <cellStyle name="Normal 3 4 5 2 2 4" xfId="4753" xr:uid="{00000000-0005-0000-0000-000082120000}"/>
    <cellStyle name="Normal 3 4 5 2 2 4 2" xfId="10041" xr:uid="{00000000-0005-0000-0000-000083120000}"/>
    <cellStyle name="Normal 3 4 5 2 2 5" xfId="6395" xr:uid="{00000000-0005-0000-0000-000084120000}"/>
    <cellStyle name="Normal 3 4 5 2 3" xfId="1782" xr:uid="{00000000-0005-0000-0000-000085120000}"/>
    <cellStyle name="Normal 3 4 5 2 3 2" xfId="5553" xr:uid="{00000000-0005-0000-0000-000086120000}"/>
    <cellStyle name="Normal 3 4 5 2 3 2 2" xfId="10841" xr:uid="{00000000-0005-0000-0000-000087120000}"/>
    <cellStyle name="Normal 3 4 5 2 3 3" xfId="7195" xr:uid="{00000000-0005-0000-0000-000088120000}"/>
    <cellStyle name="Normal 3 4 5 2 4" xfId="2334" xr:uid="{00000000-0005-0000-0000-000089120000}"/>
    <cellStyle name="Normal 3 4 5 2 4 2" xfId="7692" xr:uid="{00000000-0005-0000-0000-00008A120000}"/>
    <cellStyle name="Normal 3 4 5 2 5" xfId="3448" xr:uid="{00000000-0005-0000-0000-00008B120000}"/>
    <cellStyle name="Normal 3 4 5 2 5 2" xfId="8740" xr:uid="{00000000-0005-0000-0000-00008C120000}"/>
    <cellStyle name="Normal 3 4 5 2 6" xfId="4752" xr:uid="{00000000-0005-0000-0000-00008D120000}"/>
    <cellStyle name="Normal 3 4 5 2 6 2" xfId="10040" xr:uid="{00000000-0005-0000-0000-00008E120000}"/>
    <cellStyle name="Normal 3 4 5 2 7" xfId="6394" xr:uid="{00000000-0005-0000-0000-00008F120000}"/>
    <cellStyle name="Normal 3 4 5 3" xfId="936" xr:uid="{00000000-0005-0000-0000-000090120000}"/>
    <cellStyle name="Normal 3 4 5 3 2" xfId="937" xr:uid="{00000000-0005-0000-0000-000091120000}"/>
    <cellStyle name="Normal 3 4 5 3 2 2" xfId="2839" xr:uid="{00000000-0005-0000-0000-000092120000}"/>
    <cellStyle name="Normal 3 4 5 3 2 2 2" xfId="8192" xr:uid="{00000000-0005-0000-0000-000093120000}"/>
    <cellStyle name="Normal 3 4 5 3 2 3" xfId="3949" xr:uid="{00000000-0005-0000-0000-000094120000}"/>
    <cellStyle name="Normal 3 4 5 3 2 3 2" xfId="9240" xr:uid="{00000000-0005-0000-0000-000095120000}"/>
    <cellStyle name="Normal 3 4 5 3 2 4" xfId="4755" xr:uid="{00000000-0005-0000-0000-000096120000}"/>
    <cellStyle name="Normal 3 4 5 3 2 4 2" xfId="10043" xr:uid="{00000000-0005-0000-0000-000097120000}"/>
    <cellStyle name="Normal 3 4 5 3 2 5" xfId="6397" xr:uid="{00000000-0005-0000-0000-000098120000}"/>
    <cellStyle name="Normal 3 4 5 3 3" xfId="1783" xr:uid="{00000000-0005-0000-0000-000099120000}"/>
    <cellStyle name="Normal 3 4 5 3 3 2" xfId="5554" xr:uid="{00000000-0005-0000-0000-00009A120000}"/>
    <cellStyle name="Normal 3 4 5 3 3 2 2" xfId="10842" xr:uid="{00000000-0005-0000-0000-00009B120000}"/>
    <cellStyle name="Normal 3 4 5 3 3 3" xfId="7196" xr:uid="{00000000-0005-0000-0000-00009C120000}"/>
    <cellStyle name="Normal 3 4 5 3 4" xfId="2335" xr:uid="{00000000-0005-0000-0000-00009D120000}"/>
    <cellStyle name="Normal 3 4 5 3 4 2" xfId="7693" xr:uid="{00000000-0005-0000-0000-00009E120000}"/>
    <cellStyle name="Normal 3 4 5 3 5" xfId="3449" xr:uid="{00000000-0005-0000-0000-00009F120000}"/>
    <cellStyle name="Normal 3 4 5 3 5 2" xfId="8741" xr:uid="{00000000-0005-0000-0000-0000A0120000}"/>
    <cellStyle name="Normal 3 4 5 3 6" xfId="4754" xr:uid="{00000000-0005-0000-0000-0000A1120000}"/>
    <cellStyle name="Normal 3 4 5 3 6 2" xfId="10042" xr:uid="{00000000-0005-0000-0000-0000A2120000}"/>
    <cellStyle name="Normal 3 4 5 3 7" xfId="6396" xr:uid="{00000000-0005-0000-0000-0000A3120000}"/>
    <cellStyle name="Normal 3 4 5 4" xfId="938" xr:uid="{00000000-0005-0000-0000-0000A4120000}"/>
    <cellStyle name="Normal 3 4 5 4 2" xfId="2837" xr:uid="{00000000-0005-0000-0000-0000A5120000}"/>
    <cellStyle name="Normal 3 4 5 4 2 2" xfId="8190" xr:uid="{00000000-0005-0000-0000-0000A6120000}"/>
    <cellStyle name="Normal 3 4 5 4 3" xfId="3947" xr:uid="{00000000-0005-0000-0000-0000A7120000}"/>
    <cellStyle name="Normal 3 4 5 4 3 2" xfId="9238" xr:uid="{00000000-0005-0000-0000-0000A8120000}"/>
    <cellStyle name="Normal 3 4 5 4 4" xfId="4756" xr:uid="{00000000-0005-0000-0000-0000A9120000}"/>
    <cellStyle name="Normal 3 4 5 4 4 2" xfId="10044" xr:uid="{00000000-0005-0000-0000-0000AA120000}"/>
    <cellStyle name="Normal 3 4 5 4 5" xfId="6398" xr:uid="{00000000-0005-0000-0000-0000AB120000}"/>
    <cellStyle name="Normal 3 4 5 5" xfId="1781" xr:uid="{00000000-0005-0000-0000-0000AC120000}"/>
    <cellStyle name="Normal 3 4 5 5 2" xfId="5552" xr:uid="{00000000-0005-0000-0000-0000AD120000}"/>
    <cellStyle name="Normal 3 4 5 5 2 2" xfId="10840" xr:uid="{00000000-0005-0000-0000-0000AE120000}"/>
    <cellStyle name="Normal 3 4 5 5 3" xfId="7194" xr:uid="{00000000-0005-0000-0000-0000AF120000}"/>
    <cellStyle name="Normal 3 4 5 6" xfId="2333" xr:uid="{00000000-0005-0000-0000-0000B0120000}"/>
    <cellStyle name="Normal 3 4 5 6 2" xfId="7691" xr:uid="{00000000-0005-0000-0000-0000B1120000}"/>
    <cellStyle name="Normal 3 4 5 7" xfId="3447" xr:uid="{00000000-0005-0000-0000-0000B2120000}"/>
    <cellStyle name="Normal 3 4 5 7 2" xfId="8739" xr:uid="{00000000-0005-0000-0000-0000B3120000}"/>
    <cellStyle name="Normal 3 4 5 8" xfId="4751" xr:uid="{00000000-0005-0000-0000-0000B4120000}"/>
    <cellStyle name="Normal 3 4 5 8 2" xfId="10039" xr:uid="{00000000-0005-0000-0000-0000B5120000}"/>
    <cellStyle name="Normal 3 4 5 9" xfId="6393" xr:uid="{00000000-0005-0000-0000-0000B6120000}"/>
    <cellStyle name="Normal 3 4 6" xfId="939" xr:uid="{00000000-0005-0000-0000-0000B7120000}"/>
    <cellStyle name="Normal 3 4 6 2" xfId="940" xr:uid="{00000000-0005-0000-0000-0000B8120000}"/>
    <cellStyle name="Normal 3 4 6 2 2" xfId="2840" xr:uid="{00000000-0005-0000-0000-0000B9120000}"/>
    <cellStyle name="Normal 3 4 6 2 2 2" xfId="8193" xr:uid="{00000000-0005-0000-0000-0000BA120000}"/>
    <cellStyle name="Normal 3 4 6 2 3" xfId="3950" xr:uid="{00000000-0005-0000-0000-0000BB120000}"/>
    <cellStyle name="Normal 3 4 6 2 3 2" xfId="9241" xr:uid="{00000000-0005-0000-0000-0000BC120000}"/>
    <cellStyle name="Normal 3 4 6 2 4" xfId="4758" xr:uid="{00000000-0005-0000-0000-0000BD120000}"/>
    <cellStyle name="Normal 3 4 6 2 4 2" xfId="10046" xr:uid="{00000000-0005-0000-0000-0000BE120000}"/>
    <cellStyle name="Normal 3 4 6 2 5" xfId="6400" xr:uid="{00000000-0005-0000-0000-0000BF120000}"/>
    <cellStyle name="Normal 3 4 6 3" xfId="1784" xr:uid="{00000000-0005-0000-0000-0000C0120000}"/>
    <cellStyle name="Normal 3 4 6 3 2" xfId="5555" xr:uid="{00000000-0005-0000-0000-0000C1120000}"/>
    <cellStyle name="Normal 3 4 6 3 2 2" xfId="10843" xr:uid="{00000000-0005-0000-0000-0000C2120000}"/>
    <cellStyle name="Normal 3 4 6 3 3" xfId="7197" xr:uid="{00000000-0005-0000-0000-0000C3120000}"/>
    <cellStyle name="Normal 3 4 6 4" xfId="2336" xr:uid="{00000000-0005-0000-0000-0000C4120000}"/>
    <cellStyle name="Normal 3 4 6 4 2" xfId="7694" xr:uid="{00000000-0005-0000-0000-0000C5120000}"/>
    <cellStyle name="Normal 3 4 6 5" xfId="3450" xr:uid="{00000000-0005-0000-0000-0000C6120000}"/>
    <cellStyle name="Normal 3 4 6 5 2" xfId="8742" xr:uid="{00000000-0005-0000-0000-0000C7120000}"/>
    <cellStyle name="Normal 3 4 6 6" xfId="4757" xr:uid="{00000000-0005-0000-0000-0000C8120000}"/>
    <cellStyle name="Normal 3 4 6 6 2" xfId="10045" xr:uid="{00000000-0005-0000-0000-0000C9120000}"/>
    <cellStyle name="Normal 3 4 6 7" xfId="6399" xr:uid="{00000000-0005-0000-0000-0000CA120000}"/>
    <cellStyle name="Normal 3 4 7" xfId="941" xr:uid="{00000000-0005-0000-0000-0000CB120000}"/>
    <cellStyle name="Normal 3 4 7 2" xfId="942" xr:uid="{00000000-0005-0000-0000-0000CC120000}"/>
    <cellStyle name="Normal 3 4 7 2 2" xfId="2841" xr:uid="{00000000-0005-0000-0000-0000CD120000}"/>
    <cellStyle name="Normal 3 4 7 2 2 2" xfId="8194" xr:uid="{00000000-0005-0000-0000-0000CE120000}"/>
    <cellStyle name="Normal 3 4 7 2 3" xfId="3951" xr:uid="{00000000-0005-0000-0000-0000CF120000}"/>
    <cellStyle name="Normal 3 4 7 2 3 2" xfId="9242" xr:uid="{00000000-0005-0000-0000-0000D0120000}"/>
    <cellStyle name="Normal 3 4 7 2 4" xfId="4760" xr:uid="{00000000-0005-0000-0000-0000D1120000}"/>
    <cellStyle name="Normal 3 4 7 2 4 2" xfId="10048" xr:uid="{00000000-0005-0000-0000-0000D2120000}"/>
    <cellStyle name="Normal 3 4 7 2 5" xfId="6402" xr:uid="{00000000-0005-0000-0000-0000D3120000}"/>
    <cellStyle name="Normal 3 4 7 3" xfId="1785" xr:uid="{00000000-0005-0000-0000-0000D4120000}"/>
    <cellStyle name="Normal 3 4 7 3 2" xfId="5556" xr:uid="{00000000-0005-0000-0000-0000D5120000}"/>
    <cellStyle name="Normal 3 4 7 3 2 2" xfId="10844" xr:uid="{00000000-0005-0000-0000-0000D6120000}"/>
    <cellStyle name="Normal 3 4 7 3 3" xfId="7198" xr:uid="{00000000-0005-0000-0000-0000D7120000}"/>
    <cellStyle name="Normal 3 4 7 4" xfId="2337" xr:uid="{00000000-0005-0000-0000-0000D8120000}"/>
    <cellStyle name="Normal 3 4 7 4 2" xfId="7695" xr:uid="{00000000-0005-0000-0000-0000D9120000}"/>
    <cellStyle name="Normal 3 4 7 5" xfId="3451" xr:uid="{00000000-0005-0000-0000-0000DA120000}"/>
    <cellStyle name="Normal 3 4 7 5 2" xfId="8743" xr:uid="{00000000-0005-0000-0000-0000DB120000}"/>
    <cellStyle name="Normal 3 4 7 6" xfId="4759" xr:uid="{00000000-0005-0000-0000-0000DC120000}"/>
    <cellStyle name="Normal 3 4 7 6 2" xfId="10047" xr:uid="{00000000-0005-0000-0000-0000DD120000}"/>
    <cellStyle name="Normal 3 4 7 7" xfId="6401" xr:uid="{00000000-0005-0000-0000-0000DE120000}"/>
    <cellStyle name="Normal 3 4 8" xfId="943" xr:uid="{00000000-0005-0000-0000-0000DF120000}"/>
    <cellStyle name="Normal 3 4 8 2" xfId="2806" xr:uid="{00000000-0005-0000-0000-0000E0120000}"/>
    <cellStyle name="Normal 3 4 8 2 2" xfId="8159" xr:uid="{00000000-0005-0000-0000-0000E1120000}"/>
    <cellStyle name="Normal 3 4 8 3" xfId="3916" xr:uid="{00000000-0005-0000-0000-0000E2120000}"/>
    <cellStyle name="Normal 3 4 8 3 2" xfId="9207" xr:uid="{00000000-0005-0000-0000-0000E3120000}"/>
    <cellStyle name="Normal 3 4 8 4" xfId="4761" xr:uid="{00000000-0005-0000-0000-0000E4120000}"/>
    <cellStyle name="Normal 3 4 8 4 2" xfId="10049" xr:uid="{00000000-0005-0000-0000-0000E5120000}"/>
    <cellStyle name="Normal 3 4 8 5" xfId="6403" xr:uid="{00000000-0005-0000-0000-0000E6120000}"/>
    <cellStyle name="Normal 3 4 9" xfId="1750" xr:uid="{00000000-0005-0000-0000-0000E7120000}"/>
    <cellStyle name="Normal 3 4 9 2" xfId="5521" xr:uid="{00000000-0005-0000-0000-0000E8120000}"/>
    <cellStyle name="Normal 3 4 9 2 2" xfId="10809" xr:uid="{00000000-0005-0000-0000-0000E9120000}"/>
    <cellStyle name="Normal 3 4 9 3" xfId="7163" xr:uid="{00000000-0005-0000-0000-0000EA120000}"/>
    <cellStyle name="Normal 3 5" xfId="944" xr:uid="{00000000-0005-0000-0000-0000EB120000}"/>
    <cellStyle name="Normal 3 5 10" xfId="3189" xr:uid="{00000000-0005-0000-0000-0000EC120000}"/>
    <cellStyle name="Normal 3 5 11" xfId="3452" xr:uid="{00000000-0005-0000-0000-0000ED120000}"/>
    <cellStyle name="Normal 3 5 11 2" xfId="8744" xr:uid="{00000000-0005-0000-0000-0000EE120000}"/>
    <cellStyle name="Normal 3 5 12" xfId="4762" xr:uid="{00000000-0005-0000-0000-0000EF120000}"/>
    <cellStyle name="Normal 3 5 12 2" xfId="10050" xr:uid="{00000000-0005-0000-0000-0000F0120000}"/>
    <cellStyle name="Normal 3 5 13" xfId="6404" xr:uid="{00000000-0005-0000-0000-0000F1120000}"/>
    <cellStyle name="Normal 3 5 2" xfId="945" xr:uid="{00000000-0005-0000-0000-0000F2120000}"/>
    <cellStyle name="Normal 3 5 2 10" xfId="4763" xr:uid="{00000000-0005-0000-0000-0000F3120000}"/>
    <cellStyle name="Normal 3 5 2 10 2" xfId="10051" xr:uid="{00000000-0005-0000-0000-0000F4120000}"/>
    <cellStyle name="Normal 3 5 2 11" xfId="6405" xr:uid="{00000000-0005-0000-0000-0000F5120000}"/>
    <cellStyle name="Normal 3 5 2 2" xfId="946" xr:uid="{00000000-0005-0000-0000-0000F6120000}"/>
    <cellStyle name="Normal 3 5 2 2 10" xfId="6406" xr:uid="{00000000-0005-0000-0000-0000F7120000}"/>
    <cellStyle name="Normal 3 5 2 2 2" xfId="947" xr:uid="{00000000-0005-0000-0000-0000F8120000}"/>
    <cellStyle name="Normal 3 5 2 2 2 2" xfId="948" xr:uid="{00000000-0005-0000-0000-0000F9120000}"/>
    <cellStyle name="Normal 3 5 2 2 2 2 2" xfId="949" xr:uid="{00000000-0005-0000-0000-0000FA120000}"/>
    <cellStyle name="Normal 3 5 2 2 2 2 2 2" xfId="2846" xr:uid="{00000000-0005-0000-0000-0000FB120000}"/>
    <cellStyle name="Normal 3 5 2 2 2 2 2 2 2" xfId="8199" xr:uid="{00000000-0005-0000-0000-0000FC120000}"/>
    <cellStyle name="Normal 3 5 2 2 2 2 2 3" xfId="3956" xr:uid="{00000000-0005-0000-0000-0000FD120000}"/>
    <cellStyle name="Normal 3 5 2 2 2 2 2 3 2" xfId="9247" xr:uid="{00000000-0005-0000-0000-0000FE120000}"/>
    <cellStyle name="Normal 3 5 2 2 2 2 2 4" xfId="4767" xr:uid="{00000000-0005-0000-0000-0000FF120000}"/>
    <cellStyle name="Normal 3 5 2 2 2 2 2 4 2" xfId="10055" xr:uid="{00000000-0005-0000-0000-000000130000}"/>
    <cellStyle name="Normal 3 5 2 2 2 2 2 5" xfId="6409" xr:uid="{00000000-0005-0000-0000-000001130000}"/>
    <cellStyle name="Normal 3 5 2 2 2 2 3" xfId="1790" xr:uid="{00000000-0005-0000-0000-000002130000}"/>
    <cellStyle name="Normal 3 5 2 2 2 2 3 2" xfId="5561" xr:uid="{00000000-0005-0000-0000-000003130000}"/>
    <cellStyle name="Normal 3 5 2 2 2 2 3 2 2" xfId="10849" xr:uid="{00000000-0005-0000-0000-000004130000}"/>
    <cellStyle name="Normal 3 5 2 2 2 2 3 3" xfId="7203" xr:uid="{00000000-0005-0000-0000-000005130000}"/>
    <cellStyle name="Normal 3 5 2 2 2 2 4" xfId="2342" xr:uid="{00000000-0005-0000-0000-000006130000}"/>
    <cellStyle name="Normal 3 5 2 2 2 2 4 2" xfId="7700" xr:uid="{00000000-0005-0000-0000-000007130000}"/>
    <cellStyle name="Normal 3 5 2 2 2 2 5" xfId="3456" xr:uid="{00000000-0005-0000-0000-000008130000}"/>
    <cellStyle name="Normal 3 5 2 2 2 2 5 2" xfId="8748" xr:uid="{00000000-0005-0000-0000-000009130000}"/>
    <cellStyle name="Normal 3 5 2 2 2 2 6" xfId="4766" xr:uid="{00000000-0005-0000-0000-00000A130000}"/>
    <cellStyle name="Normal 3 5 2 2 2 2 6 2" xfId="10054" xr:uid="{00000000-0005-0000-0000-00000B130000}"/>
    <cellStyle name="Normal 3 5 2 2 2 2 7" xfId="6408" xr:uid="{00000000-0005-0000-0000-00000C130000}"/>
    <cellStyle name="Normal 3 5 2 2 2 3" xfId="950" xr:uid="{00000000-0005-0000-0000-00000D130000}"/>
    <cellStyle name="Normal 3 5 2 2 2 3 2" xfId="951" xr:uid="{00000000-0005-0000-0000-00000E130000}"/>
    <cellStyle name="Normal 3 5 2 2 2 3 2 2" xfId="2847" xr:uid="{00000000-0005-0000-0000-00000F130000}"/>
    <cellStyle name="Normal 3 5 2 2 2 3 2 2 2" xfId="8200" xr:uid="{00000000-0005-0000-0000-000010130000}"/>
    <cellStyle name="Normal 3 5 2 2 2 3 2 3" xfId="3957" xr:uid="{00000000-0005-0000-0000-000011130000}"/>
    <cellStyle name="Normal 3 5 2 2 2 3 2 3 2" xfId="9248" xr:uid="{00000000-0005-0000-0000-000012130000}"/>
    <cellStyle name="Normal 3 5 2 2 2 3 2 4" xfId="4769" xr:uid="{00000000-0005-0000-0000-000013130000}"/>
    <cellStyle name="Normal 3 5 2 2 2 3 2 4 2" xfId="10057" xr:uid="{00000000-0005-0000-0000-000014130000}"/>
    <cellStyle name="Normal 3 5 2 2 2 3 2 5" xfId="6411" xr:uid="{00000000-0005-0000-0000-000015130000}"/>
    <cellStyle name="Normal 3 5 2 2 2 3 3" xfId="1791" xr:uid="{00000000-0005-0000-0000-000016130000}"/>
    <cellStyle name="Normal 3 5 2 2 2 3 3 2" xfId="5562" xr:uid="{00000000-0005-0000-0000-000017130000}"/>
    <cellStyle name="Normal 3 5 2 2 2 3 3 2 2" xfId="10850" xr:uid="{00000000-0005-0000-0000-000018130000}"/>
    <cellStyle name="Normal 3 5 2 2 2 3 3 3" xfId="7204" xr:uid="{00000000-0005-0000-0000-000019130000}"/>
    <cellStyle name="Normal 3 5 2 2 2 3 4" xfId="2343" xr:uid="{00000000-0005-0000-0000-00001A130000}"/>
    <cellStyle name="Normal 3 5 2 2 2 3 4 2" xfId="7701" xr:uid="{00000000-0005-0000-0000-00001B130000}"/>
    <cellStyle name="Normal 3 5 2 2 2 3 5" xfId="3457" xr:uid="{00000000-0005-0000-0000-00001C130000}"/>
    <cellStyle name="Normal 3 5 2 2 2 3 5 2" xfId="8749" xr:uid="{00000000-0005-0000-0000-00001D130000}"/>
    <cellStyle name="Normal 3 5 2 2 2 3 6" xfId="4768" xr:uid="{00000000-0005-0000-0000-00001E130000}"/>
    <cellStyle name="Normal 3 5 2 2 2 3 6 2" xfId="10056" xr:uid="{00000000-0005-0000-0000-00001F130000}"/>
    <cellStyle name="Normal 3 5 2 2 2 3 7" xfId="6410" xr:uid="{00000000-0005-0000-0000-000020130000}"/>
    <cellStyle name="Normal 3 5 2 2 2 4" xfId="952" xr:uid="{00000000-0005-0000-0000-000021130000}"/>
    <cellStyle name="Normal 3 5 2 2 2 4 2" xfId="2845" xr:uid="{00000000-0005-0000-0000-000022130000}"/>
    <cellStyle name="Normal 3 5 2 2 2 4 2 2" xfId="8198" xr:uid="{00000000-0005-0000-0000-000023130000}"/>
    <cellStyle name="Normal 3 5 2 2 2 4 3" xfId="3955" xr:uid="{00000000-0005-0000-0000-000024130000}"/>
    <cellStyle name="Normal 3 5 2 2 2 4 3 2" xfId="9246" xr:uid="{00000000-0005-0000-0000-000025130000}"/>
    <cellStyle name="Normal 3 5 2 2 2 4 4" xfId="4770" xr:uid="{00000000-0005-0000-0000-000026130000}"/>
    <cellStyle name="Normal 3 5 2 2 2 4 4 2" xfId="10058" xr:uid="{00000000-0005-0000-0000-000027130000}"/>
    <cellStyle name="Normal 3 5 2 2 2 4 5" xfId="6412" xr:uid="{00000000-0005-0000-0000-000028130000}"/>
    <cellStyle name="Normal 3 5 2 2 2 5" xfId="1789" xr:uid="{00000000-0005-0000-0000-000029130000}"/>
    <cellStyle name="Normal 3 5 2 2 2 5 2" xfId="5560" xr:uid="{00000000-0005-0000-0000-00002A130000}"/>
    <cellStyle name="Normal 3 5 2 2 2 5 2 2" xfId="10848" xr:uid="{00000000-0005-0000-0000-00002B130000}"/>
    <cellStyle name="Normal 3 5 2 2 2 5 3" xfId="7202" xr:uid="{00000000-0005-0000-0000-00002C130000}"/>
    <cellStyle name="Normal 3 5 2 2 2 6" xfId="2341" xr:uid="{00000000-0005-0000-0000-00002D130000}"/>
    <cellStyle name="Normal 3 5 2 2 2 6 2" xfId="7699" xr:uid="{00000000-0005-0000-0000-00002E130000}"/>
    <cellStyle name="Normal 3 5 2 2 2 7" xfId="3455" xr:uid="{00000000-0005-0000-0000-00002F130000}"/>
    <cellStyle name="Normal 3 5 2 2 2 7 2" xfId="8747" xr:uid="{00000000-0005-0000-0000-000030130000}"/>
    <cellStyle name="Normal 3 5 2 2 2 8" xfId="4765" xr:uid="{00000000-0005-0000-0000-000031130000}"/>
    <cellStyle name="Normal 3 5 2 2 2 8 2" xfId="10053" xr:uid="{00000000-0005-0000-0000-000032130000}"/>
    <cellStyle name="Normal 3 5 2 2 2 9" xfId="6407" xr:uid="{00000000-0005-0000-0000-000033130000}"/>
    <cellStyle name="Normal 3 5 2 2 3" xfId="953" xr:uid="{00000000-0005-0000-0000-000034130000}"/>
    <cellStyle name="Normal 3 5 2 2 3 2" xfId="954" xr:uid="{00000000-0005-0000-0000-000035130000}"/>
    <cellStyle name="Normal 3 5 2 2 3 2 2" xfId="2848" xr:uid="{00000000-0005-0000-0000-000036130000}"/>
    <cellStyle name="Normal 3 5 2 2 3 2 2 2" xfId="8201" xr:uid="{00000000-0005-0000-0000-000037130000}"/>
    <cellStyle name="Normal 3 5 2 2 3 2 3" xfId="3958" xr:uid="{00000000-0005-0000-0000-000038130000}"/>
    <cellStyle name="Normal 3 5 2 2 3 2 3 2" xfId="9249" xr:uid="{00000000-0005-0000-0000-000039130000}"/>
    <cellStyle name="Normal 3 5 2 2 3 2 4" xfId="4772" xr:uid="{00000000-0005-0000-0000-00003A130000}"/>
    <cellStyle name="Normal 3 5 2 2 3 2 4 2" xfId="10060" xr:uid="{00000000-0005-0000-0000-00003B130000}"/>
    <cellStyle name="Normal 3 5 2 2 3 2 5" xfId="6414" xr:uid="{00000000-0005-0000-0000-00003C130000}"/>
    <cellStyle name="Normal 3 5 2 2 3 3" xfId="1792" xr:uid="{00000000-0005-0000-0000-00003D130000}"/>
    <cellStyle name="Normal 3 5 2 2 3 3 2" xfId="5563" xr:uid="{00000000-0005-0000-0000-00003E130000}"/>
    <cellStyle name="Normal 3 5 2 2 3 3 2 2" xfId="10851" xr:uid="{00000000-0005-0000-0000-00003F130000}"/>
    <cellStyle name="Normal 3 5 2 2 3 3 3" xfId="7205" xr:uid="{00000000-0005-0000-0000-000040130000}"/>
    <cellStyle name="Normal 3 5 2 2 3 4" xfId="2344" xr:uid="{00000000-0005-0000-0000-000041130000}"/>
    <cellStyle name="Normal 3 5 2 2 3 4 2" xfId="7702" xr:uid="{00000000-0005-0000-0000-000042130000}"/>
    <cellStyle name="Normal 3 5 2 2 3 5" xfId="3458" xr:uid="{00000000-0005-0000-0000-000043130000}"/>
    <cellStyle name="Normal 3 5 2 2 3 5 2" xfId="8750" xr:uid="{00000000-0005-0000-0000-000044130000}"/>
    <cellStyle name="Normal 3 5 2 2 3 6" xfId="4771" xr:uid="{00000000-0005-0000-0000-000045130000}"/>
    <cellStyle name="Normal 3 5 2 2 3 6 2" xfId="10059" xr:uid="{00000000-0005-0000-0000-000046130000}"/>
    <cellStyle name="Normal 3 5 2 2 3 7" xfId="6413" xr:uid="{00000000-0005-0000-0000-000047130000}"/>
    <cellStyle name="Normal 3 5 2 2 4" xfId="955" xr:uid="{00000000-0005-0000-0000-000048130000}"/>
    <cellStyle name="Normal 3 5 2 2 4 2" xfId="956" xr:uid="{00000000-0005-0000-0000-000049130000}"/>
    <cellStyle name="Normal 3 5 2 2 4 2 2" xfId="2849" xr:uid="{00000000-0005-0000-0000-00004A130000}"/>
    <cellStyle name="Normal 3 5 2 2 4 2 2 2" xfId="8202" xr:uid="{00000000-0005-0000-0000-00004B130000}"/>
    <cellStyle name="Normal 3 5 2 2 4 2 3" xfId="3959" xr:uid="{00000000-0005-0000-0000-00004C130000}"/>
    <cellStyle name="Normal 3 5 2 2 4 2 3 2" xfId="9250" xr:uid="{00000000-0005-0000-0000-00004D130000}"/>
    <cellStyle name="Normal 3 5 2 2 4 2 4" xfId="4774" xr:uid="{00000000-0005-0000-0000-00004E130000}"/>
    <cellStyle name="Normal 3 5 2 2 4 2 4 2" xfId="10062" xr:uid="{00000000-0005-0000-0000-00004F130000}"/>
    <cellStyle name="Normal 3 5 2 2 4 2 5" xfId="6416" xr:uid="{00000000-0005-0000-0000-000050130000}"/>
    <cellStyle name="Normal 3 5 2 2 4 3" xfId="1793" xr:uid="{00000000-0005-0000-0000-000051130000}"/>
    <cellStyle name="Normal 3 5 2 2 4 3 2" xfId="5564" xr:uid="{00000000-0005-0000-0000-000052130000}"/>
    <cellStyle name="Normal 3 5 2 2 4 3 2 2" xfId="10852" xr:uid="{00000000-0005-0000-0000-000053130000}"/>
    <cellStyle name="Normal 3 5 2 2 4 3 3" xfId="7206" xr:uid="{00000000-0005-0000-0000-000054130000}"/>
    <cellStyle name="Normal 3 5 2 2 4 4" xfId="2345" xr:uid="{00000000-0005-0000-0000-000055130000}"/>
    <cellStyle name="Normal 3 5 2 2 4 4 2" xfId="7703" xr:uid="{00000000-0005-0000-0000-000056130000}"/>
    <cellStyle name="Normal 3 5 2 2 4 5" xfId="3459" xr:uid="{00000000-0005-0000-0000-000057130000}"/>
    <cellStyle name="Normal 3 5 2 2 4 5 2" xfId="8751" xr:uid="{00000000-0005-0000-0000-000058130000}"/>
    <cellStyle name="Normal 3 5 2 2 4 6" xfId="4773" xr:uid="{00000000-0005-0000-0000-000059130000}"/>
    <cellStyle name="Normal 3 5 2 2 4 6 2" xfId="10061" xr:uid="{00000000-0005-0000-0000-00005A130000}"/>
    <cellStyle name="Normal 3 5 2 2 4 7" xfId="6415" xr:uid="{00000000-0005-0000-0000-00005B130000}"/>
    <cellStyle name="Normal 3 5 2 2 5" xfId="957" xr:uid="{00000000-0005-0000-0000-00005C130000}"/>
    <cellStyle name="Normal 3 5 2 2 5 2" xfId="2844" xr:uid="{00000000-0005-0000-0000-00005D130000}"/>
    <cellStyle name="Normal 3 5 2 2 5 2 2" xfId="8197" xr:uid="{00000000-0005-0000-0000-00005E130000}"/>
    <cellStyle name="Normal 3 5 2 2 5 3" xfId="3954" xr:uid="{00000000-0005-0000-0000-00005F130000}"/>
    <cellStyle name="Normal 3 5 2 2 5 3 2" xfId="9245" xr:uid="{00000000-0005-0000-0000-000060130000}"/>
    <cellStyle name="Normal 3 5 2 2 5 4" xfId="4775" xr:uid="{00000000-0005-0000-0000-000061130000}"/>
    <cellStyle name="Normal 3 5 2 2 5 4 2" xfId="10063" xr:uid="{00000000-0005-0000-0000-000062130000}"/>
    <cellStyle name="Normal 3 5 2 2 5 5" xfId="6417" xr:uid="{00000000-0005-0000-0000-000063130000}"/>
    <cellStyle name="Normal 3 5 2 2 6" xfId="1788" xr:uid="{00000000-0005-0000-0000-000064130000}"/>
    <cellStyle name="Normal 3 5 2 2 6 2" xfId="5559" xr:uid="{00000000-0005-0000-0000-000065130000}"/>
    <cellStyle name="Normal 3 5 2 2 6 2 2" xfId="10847" xr:uid="{00000000-0005-0000-0000-000066130000}"/>
    <cellStyle name="Normal 3 5 2 2 6 3" xfId="7201" xr:uid="{00000000-0005-0000-0000-000067130000}"/>
    <cellStyle name="Normal 3 5 2 2 7" xfId="2340" xr:uid="{00000000-0005-0000-0000-000068130000}"/>
    <cellStyle name="Normal 3 5 2 2 7 2" xfId="7698" xr:uid="{00000000-0005-0000-0000-000069130000}"/>
    <cellStyle name="Normal 3 5 2 2 8" xfId="3454" xr:uid="{00000000-0005-0000-0000-00006A130000}"/>
    <cellStyle name="Normal 3 5 2 2 8 2" xfId="8746" xr:uid="{00000000-0005-0000-0000-00006B130000}"/>
    <cellStyle name="Normal 3 5 2 2 9" xfId="4764" xr:uid="{00000000-0005-0000-0000-00006C130000}"/>
    <cellStyle name="Normal 3 5 2 2 9 2" xfId="10052" xr:uid="{00000000-0005-0000-0000-00006D130000}"/>
    <cellStyle name="Normal 3 5 2 3" xfId="958" xr:uid="{00000000-0005-0000-0000-00006E130000}"/>
    <cellStyle name="Normal 3 5 2 3 2" xfId="959" xr:uid="{00000000-0005-0000-0000-00006F130000}"/>
    <cellStyle name="Normal 3 5 2 3 2 2" xfId="960" xr:uid="{00000000-0005-0000-0000-000070130000}"/>
    <cellStyle name="Normal 3 5 2 3 2 2 2" xfId="2851" xr:uid="{00000000-0005-0000-0000-000071130000}"/>
    <cellStyle name="Normal 3 5 2 3 2 2 2 2" xfId="8204" xr:uid="{00000000-0005-0000-0000-000072130000}"/>
    <cellStyle name="Normal 3 5 2 3 2 2 3" xfId="3961" xr:uid="{00000000-0005-0000-0000-000073130000}"/>
    <cellStyle name="Normal 3 5 2 3 2 2 3 2" xfId="9252" xr:uid="{00000000-0005-0000-0000-000074130000}"/>
    <cellStyle name="Normal 3 5 2 3 2 2 4" xfId="4778" xr:uid="{00000000-0005-0000-0000-000075130000}"/>
    <cellStyle name="Normal 3 5 2 3 2 2 4 2" xfId="10066" xr:uid="{00000000-0005-0000-0000-000076130000}"/>
    <cellStyle name="Normal 3 5 2 3 2 2 5" xfId="6420" xr:uid="{00000000-0005-0000-0000-000077130000}"/>
    <cellStyle name="Normal 3 5 2 3 2 3" xfId="1795" xr:uid="{00000000-0005-0000-0000-000078130000}"/>
    <cellStyle name="Normal 3 5 2 3 2 3 2" xfId="5566" xr:uid="{00000000-0005-0000-0000-000079130000}"/>
    <cellStyle name="Normal 3 5 2 3 2 3 2 2" xfId="10854" xr:uid="{00000000-0005-0000-0000-00007A130000}"/>
    <cellStyle name="Normal 3 5 2 3 2 3 3" xfId="7208" xr:uid="{00000000-0005-0000-0000-00007B130000}"/>
    <cellStyle name="Normal 3 5 2 3 2 4" xfId="2347" xr:uid="{00000000-0005-0000-0000-00007C130000}"/>
    <cellStyle name="Normal 3 5 2 3 2 4 2" xfId="7705" xr:uid="{00000000-0005-0000-0000-00007D130000}"/>
    <cellStyle name="Normal 3 5 2 3 2 5" xfId="3461" xr:uid="{00000000-0005-0000-0000-00007E130000}"/>
    <cellStyle name="Normal 3 5 2 3 2 5 2" xfId="8753" xr:uid="{00000000-0005-0000-0000-00007F130000}"/>
    <cellStyle name="Normal 3 5 2 3 2 6" xfId="4777" xr:uid="{00000000-0005-0000-0000-000080130000}"/>
    <cellStyle name="Normal 3 5 2 3 2 6 2" xfId="10065" xr:uid="{00000000-0005-0000-0000-000081130000}"/>
    <cellStyle name="Normal 3 5 2 3 2 7" xfId="6419" xr:uid="{00000000-0005-0000-0000-000082130000}"/>
    <cellStyle name="Normal 3 5 2 3 3" xfId="961" xr:uid="{00000000-0005-0000-0000-000083130000}"/>
    <cellStyle name="Normal 3 5 2 3 3 2" xfId="962" xr:uid="{00000000-0005-0000-0000-000084130000}"/>
    <cellStyle name="Normal 3 5 2 3 3 2 2" xfId="2852" xr:uid="{00000000-0005-0000-0000-000085130000}"/>
    <cellStyle name="Normal 3 5 2 3 3 2 2 2" xfId="8205" xr:uid="{00000000-0005-0000-0000-000086130000}"/>
    <cellStyle name="Normal 3 5 2 3 3 2 3" xfId="3962" xr:uid="{00000000-0005-0000-0000-000087130000}"/>
    <cellStyle name="Normal 3 5 2 3 3 2 3 2" xfId="9253" xr:uid="{00000000-0005-0000-0000-000088130000}"/>
    <cellStyle name="Normal 3 5 2 3 3 2 4" xfId="4780" xr:uid="{00000000-0005-0000-0000-000089130000}"/>
    <cellStyle name="Normal 3 5 2 3 3 2 4 2" xfId="10068" xr:uid="{00000000-0005-0000-0000-00008A130000}"/>
    <cellStyle name="Normal 3 5 2 3 3 2 5" xfId="6422" xr:uid="{00000000-0005-0000-0000-00008B130000}"/>
    <cellStyle name="Normal 3 5 2 3 3 3" xfId="1796" xr:uid="{00000000-0005-0000-0000-00008C130000}"/>
    <cellStyle name="Normal 3 5 2 3 3 3 2" xfId="5567" xr:uid="{00000000-0005-0000-0000-00008D130000}"/>
    <cellStyle name="Normal 3 5 2 3 3 3 2 2" xfId="10855" xr:uid="{00000000-0005-0000-0000-00008E130000}"/>
    <cellStyle name="Normal 3 5 2 3 3 3 3" xfId="7209" xr:uid="{00000000-0005-0000-0000-00008F130000}"/>
    <cellStyle name="Normal 3 5 2 3 3 4" xfId="2348" xr:uid="{00000000-0005-0000-0000-000090130000}"/>
    <cellStyle name="Normal 3 5 2 3 3 4 2" xfId="7706" xr:uid="{00000000-0005-0000-0000-000091130000}"/>
    <cellStyle name="Normal 3 5 2 3 3 5" xfId="3462" xr:uid="{00000000-0005-0000-0000-000092130000}"/>
    <cellStyle name="Normal 3 5 2 3 3 5 2" xfId="8754" xr:uid="{00000000-0005-0000-0000-000093130000}"/>
    <cellStyle name="Normal 3 5 2 3 3 6" xfId="4779" xr:uid="{00000000-0005-0000-0000-000094130000}"/>
    <cellStyle name="Normal 3 5 2 3 3 6 2" xfId="10067" xr:uid="{00000000-0005-0000-0000-000095130000}"/>
    <cellStyle name="Normal 3 5 2 3 3 7" xfId="6421" xr:uid="{00000000-0005-0000-0000-000096130000}"/>
    <cellStyle name="Normal 3 5 2 3 4" xfId="963" xr:uid="{00000000-0005-0000-0000-000097130000}"/>
    <cellStyle name="Normal 3 5 2 3 4 2" xfId="2850" xr:uid="{00000000-0005-0000-0000-000098130000}"/>
    <cellStyle name="Normal 3 5 2 3 4 2 2" xfId="8203" xr:uid="{00000000-0005-0000-0000-000099130000}"/>
    <cellStyle name="Normal 3 5 2 3 4 3" xfId="3960" xr:uid="{00000000-0005-0000-0000-00009A130000}"/>
    <cellStyle name="Normal 3 5 2 3 4 3 2" xfId="9251" xr:uid="{00000000-0005-0000-0000-00009B130000}"/>
    <cellStyle name="Normal 3 5 2 3 4 4" xfId="4781" xr:uid="{00000000-0005-0000-0000-00009C130000}"/>
    <cellStyle name="Normal 3 5 2 3 4 4 2" xfId="10069" xr:uid="{00000000-0005-0000-0000-00009D130000}"/>
    <cellStyle name="Normal 3 5 2 3 4 5" xfId="6423" xr:uid="{00000000-0005-0000-0000-00009E130000}"/>
    <cellStyle name="Normal 3 5 2 3 5" xfId="1794" xr:uid="{00000000-0005-0000-0000-00009F130000}"/>
    <cellStyle name="Normal 3 5 2 3 5 2" xfId="5565" xr:uid="{00000000-0005-0000-0000-0000A0130000}"/>
    <cellStyle name="Normal 3 5 2 3 5 2 2" xfId="10853" xr:uid="{00000000-0005-0000-0000-0000A1130000}"/>
    <cellStyle name="Normal 3 5 2 3 5 3" xfId="7207" xr:uid="{00000000-0005-0000-0000-0000A2130000}"/>
    <cellStyle name="Normal 3 5 2 3 6" xfId="2346" xr:uid="{00000000-0005-0000-0000-0000A3130000}"/>
    <cellStyle name="Normal 3 5 2 3 6 2" xfId="7704" xr:uid="{00000000-0005-0000-0000-0000A4130000}"/>
    <cellStyle name="Normal 3 5 2 3 7" xfId="3460" xr:uid="{00000000-0005-0000-0000-0000A5130000}"/>
    <cellStyle name="Normal 3 5 2 3 7 2" xfId="8752" xr:uid="{00000000-0005-0000-0000-0000A6130000}"/>
    <cellStyle name="Normal 3 5 2 3 8" xfId="4776" xr:uid="{00000000-0005-0000-0000-0000A7130000}"/>
    <cellStyle name="Normal 3 5 2 3 8 2" xfId="10064" xr:uid="{00000000-0005-0000-0000-0000A8130000}"/>
    <cellStyle name="Normal 3 5 2 3 9" xfId="6418" xr:uid="{00000000-0005-0000-0000-0000A9130000}"/>
    <cellStyle name="Normal 3 5 2 4" xfId="964" xr:uid="{00000000-0005-0000-0000-0000AA130000}"/>
    <cellStyle name="Normal 3 5 2 4 2" xfId="965" xr:uid="{00000000-0005-0000-0000-0000AB130000}"/>
    <cellStyle name="Normal 3 5 2 4 2 2" xfId="2853" xr:uid="{00000000-0005-0000-0000-0000AC130000}"/>
    <cellStyle name="Normal 3 5 2 4 2 2 2" xfId="8206" xr:uid="{00000000-0005-0000-0000-0000AD130000}"/>
    <cellStyle name="Normal 3 5 2 4 2 3" xfId="3963" xr:uid="{00000000-0005-0000-0000-0000AE130000}"/>
    <cellStyle name="Normal 3 5 2 4 2 3 2" xfId="9254" xr:uid="{00000000-0005-0000-0000-0000AF130000}"/>
    <cellStyle name="Normal 3 5 2 4 2 4" xfId="4783" xr:uid="{00000000-0005-0000-0000-0000B0130000}"/>
    <cellStyle name="Normal 3 5 2 4 2 4 2" xfId="10071" xr:uid="{00000000-0005-0000-0000-0000B1130000}"/>
    <cellStyle name="Normal 3 5 2 4 2 5" xfId="6425" xr:uid="{00000000-0005-0000-0000-0000B2130000}"/>
    <cellStyle name="Normal 3 5 2 4 3" xfId="1797" xr:uid="{00000000-0005-0000-0000-0000B3130000}"/>
    <cellStyle name="Normal 3 5 2 4 3 2" xfId="5568" xr:uid="{00000000-0005-0000-0000-0000B4130000}"/>
    <cellStyle name="Normal 3 5 2 4 3 2 2" xfId="10856" xr:uid="{00000000-0005-0000-0000-0000B5130000}"/>
    <cellStyle name="Normal 3 5 2 4 3 3" xfId="7210" xr:uid="{00000000-0005-0000-0000-0000B6130000}"/>
    <cellStyle name="Normal 3 5 2 4 4" xfId="2349" xr:uid="{00000000-0005-0000-0000-0000B7130000}"/>
    <cellStyle name="Normal 3 5 2 4 4 2" xfId="7707" xr:uid="{00000000-0005-0000-0000-0000B8130000}"/>
    <cellStyle name="Normal 3 5 2 4 5" xfId="3463" xr:uid="{00000000-0005-0000-0000-0000B9130000}"/>
    <cellStyle name="Normal 3 5 2 4 5 2" xfId="8755" xr:uid="{00000000-0005-0000-0000-0000BA130000}"/>
    <cellStyle name="Normal 3 5 2 4 6" xfId="4782" xr:uid="{00000000-0005-0000-0000-0000BB130000}"/>
    <cellStyle name="Normal 3 5 2 4 6 2" xfId="10070" xr:uid="{00000000-0005-0000-0000-0000BC130000}"/>
    <cellStyle name="Normal 3 5 2 4 7" xfId="6424" xr:uid="{00000000-0005-0000-0000-0000BD130000}"/>
    <cellStyle name="Normal 3 5 2 5" xfId="966" xr:uid="{00000000-0005-0000-0000-0000BE130000}"/>
    <cellStyle name="Normal 3 5 2 5 2" xfId="967" xr:uid="{00000000-0005-0000-0000-0000BF130000}"/>
    <cellStyle name="Normal 3 5 2 5 2 2" xfId="2854" xr:uid="{00000000-0005-0000-0000-0000C0130000}"/>
    <cellStyle name="Normal 3 5 2 5 2 2 2" xfId="8207" xr:uid="{00000000-0005-0000-0000-0000C1130000}"/>
    <cellStyle name="Normal 3 5 2 5 2 3" xfId="3964" xr:uid="{00000000-0005-0000-0000-0000C2130000}"/>
    <cellStyle name="Normal 3 5 2 5 2 3 2" xfId="9255" xr:uid="{00000000-0005-0000-0000-0000C3130000}"/>
    <cellStyle name="Normal 3 5 2 5 2 4" xfId="4785" xr:uid="{00000000-0005-0000-0000-0000C4130000}"/>
    <cellStyle name="Normal 3 5 2 5 2 4 2" xfId="10073" xr:uid="{00000000-0005-0000-0000-0000C5130000}"/>
    <cellStyle name="Normal 3 5 2 5 2 5" xfId="6427" xr:uid="{00000000-0005-0000-0000-0000C6130000}"/>
    <cellStyle name="Normal 3 5 2 5 3" xfId="1798" xr:uid="{00000000-0005-0000-0000-0000C7130000}"/>
    <cellStyle name="Normal 3 5 2 5 3 2" xfId="5569" xr:uid="{00000000-0005-0000-0000-0000C8130000}"/>
    <cellStyle name="Normal 3 5 2 5 3 2 2" xfId="10857" xr:uid="{00000000-0005-0000-0000-0000C9130000}"/>
    <cellStyle name="Normal 3 5 2 5 3 3" xfId="7211" xr:uid="{00000000-0005-0000-0000-0000CA130000}"/>
    <cellStyle name="Normal 3 5 2 5 4" xfId="2350" xr:uid="{00000000-0005-0000-0000-0000CB130000}"/>
    <cellStyle name="Normal 3 5 2 5 4 2" xfId="7708" xr:uid="{00000000-0005-0000-0000-0000CC130000}"/>
    <cellStyle name="Normal 3 5 2 5 5" xfId="3464" xr:uid="{00000000-0005-0000-0000-0000CD130000}"/>
    <cellStyle name="Normal 3 5 2 5 5 2" xfId="8756" xr:uid="{00000000-0005-0000-0000-0000CE130000}"/>
    <cellStyle name="Normal 3 5 2 5 6" xfId="4784" xr:uid="{00000000-0005-0000-0000-0000CF130000}"/>
    <cellStyle name="Normal 3 5 2 5 6 2" xfId="10072" xr:uid="{00000000-0005-0000-0000-0000D0130000}"/>
    <cellStyle name="Normal 3 5 2 5 7" xfId="6426" xr:uid="{00000000-0005-0000-0000-0000D1130000}"/>
    <cellStyle name="Normal 3 5 2 6" xfId="968" xr:uid="{00000000-0005-0000-0000-0000D2130000}"/>
    <cellStyle name="Normal 3 5 2 6 2" xfId="2843" xr:uid="{00000000-0005-0000-0000-0000D3130000}"/>
    <cellStyle name="Normal 3 5 2 6 2 2" xfId="8196" xr:uid="{00000000-0005-0000-0000-0000D4130000}"/>
    <cellStyle name="Normal 3 5 2 6 3" xfId="3953" xr:uid="{00000000-0005-0000-0000-0000D5130000}"/>
    <cellStyle name="Normal 3 5 2 6 3 2" xfId="9244" xr:uid="{00000000-0005-0000-0000-0000D6130000}"/>
    <cellStyle name="Normal 3 5 2 6 4" xfId="4786" xr:uid="{00000000-0005-0000-0000-0000D7130000}"/>
    <cellStyle name="Normal 3 5 2 6 4 2" xfId="10074" xr:uid="{00000000-0005-0000-0000-0000D8130000}"/>
    <cellStyle name="Normal 3 5 2 6 5" xfId="6428" xr:uid="{00000000-0005-0000-0000-0000D9130000}"/>
    <cellStyle name="Normal 3 5 2 7" xfId="1787" xr:uid="{00000000-0005-0000-0000-0000DA130000}"/>
    <cellStyle name="Normal 3 5 2 7 2" xfId="5558" xr:uid="{00000000-0005-0000-0000-0000DB130000}"/>
    <cellStyle name="Normal 3 5 2 7 2 2" xfId="10846" xr:uid="{00000000-0005-0000-0000-0000DC130000}"/>
    <cellStyle name="Normal 3 5 2 7 3" xfId="7200" xr:uid="{00000000-0005-0000-0000-0000DD130000}"/>
    <cellStyle name="Normal 3 5 2 8" xfId="2339" xr:uid="{00000000-0005-0000-0000-0000DE130000}"/>
    <cellStyle name="Normal 3 5 2 8 2" xfId="7697" xr:uid="{00000000-0005-0000-0000-0000DF130000}"/>
    <cellStyle name="Normal 3 5 2 9" xfId="3453" xr:uid="{00000000-0005-0000-0000-0000E0130000}"/>
    <cellStyle name="Normal 3 5 2 9 2" xfId="8745" xr:uid="{00000000-0005-0000-0000-0000E1130000}"/>
    <cellStyle name="Normal 3 5 3" xfId="969" xr:uid="{00000000-0005-0000-0000-0000E2130000}"/>
    <cellStyle name="Normal 3 5 3 10" xfId="6429" xr:uid="{00000000-0005-0000-0000-0000E3130000}"/>
    <cellStyle name="Normal 3 5 3 2" xfId="970" xr:uid="{00000000-0005-0000-0000-0000E4130000}"/>
    <cellStyle name="Normal 3 5 3 2 2" xfId="971" xr:uid="{00000000-0005-0000-0000-0000E5130000}"/>
    <cellStyle name="Normal 3 5 3 2 2 2" xfId="972" xr:uid="{00000000-0005-0000-0000-0000E6130000}"/>
    <cellStyle name="Normal 3 5 3 2 2 2 2" xfId="2857" xr:uid="{00000000-0005-0000-0000-0000E7130000}"/>
    <cellStyle name="Normal 3 5 3 2 2 2 2 2" xfId="8210" xr:uid="{00000000-0005-0000-0000-0000E8130000}"/>
    <cellStyle name="Normal 3 5 3 2 2 2 3" xfId="3967" xr:uid="{00000000-0005-0000-0000-0000E9130000}"/>
    <cellStyle name="Normal 3 5 3 2 2 2 3 2" xfId="9258" xr:uid="{00000000-0005-0000-0000-0000EA130000}"/>
    <cellStyle name="Normal 3 5 3 2 2 2 4" xfId="4790" xr:uid="{00000000-0005-0000-0000-0000EB130000}"/>
    <cellStyle name="Normal 3 5 3 2 2 2 4 2" xfId="10078" xr:uid="{00000000-0005-0000-0000-0000EC130000}"/>
    <cellStyle name="Normal 3 5 3 2 2 2 5" xfId="6432" xr:uid="{00000000-0005-0000-0000-0000ED130000}"/>
    <cellStyle name="Normal 3 5 3 2 2 3" xfId="1801" xr:uid="{00000000-0005-0000-0000-0000EE130000}"/>
    <cellStyle name="Normal 3 5 3 2 2 3 2" xfId="5572" xr:uid="{00000000-0005-0000-0000-0000EF130000}"/>
    <cellStyle name="Normal 3 5 3 2 2 3 2 2" xfId="10860" xr:uid="{00000000-0005-0000-0000-0000F0130000}"/>
    <cellStyle name="Normal 3 5 3 2 2 3 3" xfId="7214" xr:uid="{00000000-0005-0000-0000-0000F1130000}"/>
    <cellStyle name="Normal 3 5 3 2 2 4" xfId="2353" xr:uid="{00000000-0005-0000-0000-0000F2130000}"/>
    <cellStyle name="Normal 3 5 3 2 2 4 2" xfId="7711" xr:uid="{00000000-0005-0000-0000-0000F3130000}"/>
    <cellStyle name="Normal 3 5 3 2 2 5" xfId="3467" xr:uid="{00000000-0005-0000-0000-0000F4130000}"/>
    <cellStyle name="Normal 3 5 3 2 2 5 2" xfId="8759" xr:uid="{00000000-0005-0000-0000-0000F5130000}"/>
    <cellStyle name="Normal 3 5 3 2 2 6" xfId="4789" xr:uid="{00000000-0005-0000-0000-0000F6130000}"/>
    <cellStyle name="Normal 3 5 3 2 2 6 2" xfId="10077" xr:uid="{00000000-0005-0000-0000-0000F7130000}"/>
    <cellStyle name="Normal 3 5 3 2 2 7" xfId="6431" xr:uid="{00000000-0005-0000-0000-0000F8130000}"/>
    <cellStyle name="Normal 3 5 3 2 3" xfId="973" xr:uid="{00000000-0005-0000-0000-0000F9130000}"/>
    <cellStyle name="Normal 3 5 3 2 3 2" xfId="974" xr:uid="{00000000-0005-0000-0000-0000FA130000}"/>
    <cellStyle name="Normal 3 5 3 2 3 2 2" xfId="2858" xr:uid="{00000000-0005-0000-0000-0000FB130000}"/>
    <cellStyle name="Normal 3 5 3 2 3 2 2 2" xfId="8211" xr:uid="{00000000-0005-0000-0000-0000FC130000}"/>
    <cellStyle name="Normal 3 5 3 2 3 2 3" xfId="3968" xr:uid="{00000000-0005-0000-0000-0000FD130000}"/>
    <cellStyle name="Normal 3 5 3 2 3 2 3 2" xfId="9259" xr:uid="{00000000-0005-0000-0000-0000FE130000}"/>
    <cellStyle name="Normal 3 5 3 2 3 2 4" xfId="4792" xr:uid="{00000000-0005-0000-0000-0000FF130000}"/>
    <cellStyle name="Normal 3 5 3 2 3 2 4 2" xfId="10080" xr:uid="{00000000-0005-0000-0000-000000140000}"/>
    <cellStyle name="Normal 3 5 3 2 3 2 5" xfId="6434" xr:uid="{00000000-0005-0000-0000-000001140000}"/>
    <cellStyle name="Normal 3 5 3 2 3 3" xfId="1802" xr:uid="{00000000-0005-0000-0000-000002140000}"/>
    <cellStyle name="Normal 3 5 3 2 3 3 2" xfId="5573" xr:uid="{00000000-0005-0000-0000-000003140000}"/>
    <cellStyle name="Normal 3 5 3 2 3 3 2 2" xfId="10861" xr:uid="{00000000-0005-0000-0000-000004140000}"/>
    <cellStyle name="Normal 3 5 3 2 3 3 3" xfId="7215" xr:uid="{00000000-0005-0000-0000-000005140000}"/>
    <cellStyle name="Normal 3 5 3 2 3 4" xfId="2354" xr:uid="{00000000-0005-0000-0000-000006140000}"/>
    <cellStyle name="Normal 3 5 3 2 3 4 2" xfId="7712" xr:uid="{00000000-0005-0000-0000-000007140000}"/>
    <cellStyle name="Normal 3 5 3 2 3 5" xfId="3468" xr:uid="{00000000-0005-0000-0000-000008140000}"/>
    <cellStyle name="Normal 3 5 3 2 3 5 2" xfId="8760" xr:uid="{00000000-0005-0000-0000-000009140000}"/>
    <cellStyle name="Normal 3 5 3 2 3 6" xfId="4791" xr:uid="{00000000-0005-0000-0000-00000A140000}"/>
    <cellStyle name="Normal 3 5 3 2 3 6 2" xfId="10079" xr:uid="{00000000-0005-0000-0000-00000B140000}"/>
    <cellStyle name="Normal 3 5 3 2 3 7" xfId="6433" xr:uid="{00000000-0005-0000-0000-00000C140000}"/>
    <cellStyle name="Normal 3 5 3 2 4" xfId="975" xr:uid="{00000000-0005-0000-0000-00000D140000}"/>
    <cellStyle name="Normal 3 5 3 2 4 2" xfId="2856" xr:uid="{00000000-0005-0000-0000-00000E140000}"/>
    <cellStyle name="Normal 3 5 3 2 4 2 2" xfId="8209" xr:uid="{00000000-0005-0000-0000-00000F140000}"/>
    <cellStyle name="Normal 3 5 3 2 4 3" xfId="3966" xr:uid="{00000000-0005-0000-0000-000010140000}"/>
    <cellStyle name="Normal 3 5 3 2 4 3 2" xfId="9257" xr:uid="{00000000-0005-0000-0000-000011140000}"/>
    <cellStyle name="Normal 3 5 3 2 4 4" xfId="4793" xr:uid="{00000000-0005-0000-0000-000012140000}"/>
    <cellStyle name="Normal 3 5 3 2 4 4 2" xfId="10081" xr:uid="{00000000-0005-0000-0000-000013140000}"/>
    <cellStyle name="Normal 3 5 3 2 4 5" xfId="6435" xr:uid="{00000000-0005-0000-0000-000014140000}"/>
    <cellStyle name="Normal 3 5 3 2 5" xfId="1800" xr:uid="{00000000-0005-0000-0000-000015140000}"/>
    <cellStyle name="Normal 3 5 3 2 5 2" xfId="5571" xr:uid="{00000000-0005-0000-0000-000016140000}"/>
    <cellStyle name="Normal 3 5 3 2 5 2 2" xfId="10859" xr:uid="{00000000-0005-0000-0000-000017140000}"/>
    <cellStyle name="Normal 3 5 3 2 5 3" xfId="7213" xr:uid="{00000000-0005-0000-0000-000018140000}"/>
    <cellStyle name="Normal 3 5 3 2 6" xfId="2352" xr:uid="{00000000-0005-0000-0000-000019140000}"/>
    <cellStyle name="Normal 3 5 3 2 6 2" xfId="7710" xr:uid="{00000000-0005-0000-0000-00001A140000}"/>
    <cellStyle name="Normal 3 5 3 2 7" xfId="3466" xr:uid="{00000000-0005-0000-0000-00001B140000}"/>
    <cellStyle name="Normal 3 5 3 2 7 2" xfId="8758" xr:uid="{00000000-0005-0000-0000-00001C140000}"/>
    <cellStyle name="Normal 3 5 3 2 8" xfId="4788" xr:uid="{00000000-0005-0000-0000-00001D140000}"/>
    <cellStyle name="Normal 3 5 3 2 8 2" xfId="10076" xr:uid="{00000000-0005-0000-0000-00001E140000}"/>
    <cellStyle name="Normal 3 5 3 2 9" xfId="6430" xr:uid="{00000000-0005-0000-0000-00001F140000}"/>
    <cellStyle name="Normal 3 5 3 3" xfId="976" xr:uid="{00000000-0005-0000-0000-000020140000}"/>
    <cellStyle name="Normal 3 5 3 3 2" xfId="977" xr:uid="{00000000-0005-0000-0000-000021140000}"/>
    <cellStyle name="Normal 3 5 3 3 2 2" xfId="2859" xr:uid="{00000000-0005-0000-0000-000022140000}"/>
    <cellStyle name="Normal 3 5 3 3 2 2 2" xfId="8212" xr:uid="{00000000-0005-0000-0000-000023140000}"/>
    <cellStyle name="Normal 3 5 3 3 2 3" xfId="3969" xr:uid="{00000000-0005-0000-0000-000024140000}"/>
    <cellStyle name="Normal 3 5 3 3 2 3 2" xfId="9260" xr:uid="{00000000-0005-0000-0000-000025140000}"/>
    <cellStyle name="Normal 3 5 3 3 2 4" xfId="4795" xr:uid="{00000000-0005-0000-0000-000026140000}"/>
    <cellStyle name="Normal 3 5 3 3 2 4 2" xfId="10083" xr:uid="{00000000-0005-0000-0000-000027140000}"/>
    <cellStyle name="Normal 3 5 3 3 2 5" xfId="6437" xr:uid="{00000000-0005-0000-0000-000028140000}"/>
    <cellStyle name="Normal 3 5 3 3 3" xfId="1803" xr:uid="{00000000-0005-0000-0000-000029140000}"/>
    <cellStyle name="Normal 3 5 3 3 3 2" xfId="5574" xr:uid="{00000000-0005-0000-0000-00002A140000}"/>
    <cellStyle name="Normal 3 5 3 3 3 2 2" xfId="10862" xr:uid="{00000000-0005-0000-0000-00002B140000}"/>
    <cellStyle name="Normal 3 5 3 3 3 3" xfId="7216" xr:uid="{00000000-0005-0000-0000-00002C140000}"/>
    <cellStyle name="Normal 3 5 3 3 4" xfId="2355" xr:uid="{00000000-0005-0000-0000-00002D140000}"/>
    <cellStyle name="Normal 3 5 3 3 4 2" xfId="7713" xr:uid="{00000000-0005-0000-0000-00002E140000}"/>
    <cellStyle name="Normal 3 5 3 3 5" xfId="3469" xr:uid="{00000000-0005-0000-0000-00002F140000}"/>
    <cellStyle name="Normal 3 5 3 3 5 2" xfId="8761" xr:uid="{00000000-0005-0000-0000-000030140000}"/>
    <cellStyle name="Normal 3 5 3 3 6" xfId="4794" xr:uid="{00000000-0005-0000-0000-000031140000}"/>
    <cellStyle name="Normal 3 5 3 3 6 2" xfId="10082" xr:uid="{00000000-0005-0000-0000-000032140000}"/>
    <cellStyle name="Normal 3 5 3 3 7" xfId="6436" xr:uid="{00000000-0005-0000-0000-000033140000}"/>
    <cellStyle name="Normal 3 5 3 4" xfId="978" xr:uid="{00000000-0005-0000-0000-000034140000}"/>
    <cellStyle name="Normal 3 5 3 4 2" xfId="979" xr:uid="{00000000-0005-0000-0000-000035140000}"/>
    <cellStyle name="Normal 3 5 3 4 2 2" xfId="2860" xr:uid="{00000000-0005-0000-0000-000036140000}"/>
    <cellStyle name="Normal 3 5 3 4 2 2 2" xfId="8213" xr:uid="{00000000-0005-0000-0000-000037140000}"/>
    <cellStyle name="Normal 3 5 3 4 2 3" xfId="3970" xr:uid="{00000000-0005-0000-0000-000038140000}"/>
    <cellStyle name="Normal 3 5 3 4 2 3 2" xfId="9261" xr:uid="{00000000-0005-0000-0000-000039140000}"/>
    <cellStyle name="Normal 3 5 3 4 2 4" xfId="4797" xr:uid="{00000000-0005-0000-0000-00003A140000}"/>
    <cellStyle name="Normal 3 5 3 4 2 4 2" xfId="10085" xr:uid="{00000000-0005-0000-0000-00003B140000}"/>
    <cellStyle name="Normal 3 5 3 4 2 5" xfId="6439" xr:uid="{00000000-0005-0000-0000-00003C140000}"/>
    <cellStyle name="Normal 3 5 3 4 3" xfId="1804" xr:uid="{00000000-0005-0000-0000-00003D140000}"/>
    <cellStyle name="Normal 3 5 3 4 3 2" xfId="5575" xr:uid="{00000000-0005-0000-0000-00003E140000}"/>
    <cellStyle name="Normal 3 5 3 4 3 2 2" xfId="10863" xr:uid="{00000000-0005-0000-0000-00003F140000}"/>
    <cellStyle name="Normal 3 5 3 4 3 3" xfId="7217" xr:uid="{00000000-0005-0000-0000-000040140000}"/>
    <cellStyle name="Normal 3 5 3 4 4" xfId="2356" xr:uid="{00000000-0005-0000-0000-000041140000}"/>
    <cellStyle name="Normal 3 5 3 4 4 2" xfId="7714" xr:uid="{00000000-0005-0000-0000-000042140000}"/>
    <cellStyle name="Normal 3 5 3 4 5" xfId="3470" xr:uid="{00000000-0005-0000-0000-000043140000}"/>
    <cellStyle name="Normal 3 5 3 4 5 2" xfId="8762" xr:uid="{00000000-0005-0000-0000-000044140000}"/>
    <cellStyle name="Normal 3 5 3 4 6" xfId="4796" xr:uid="{00000000-0005-0000-0000-000045140000}"/>
    <cellStyle name="Normal 3 5 3 4 6 2" xfId="10084" xr:uid="{00000000-0005-0000-0000-000046140000}"/>
    <cellStyle name="Normal 3 5 3 4 7" xfId="6438" xr:uid="{00000000-0005-0000-0000-000047140000}"/>
    <cellStyle name="Normal 3 5 3 5" xfId="980" xr:uid="{00000000-0005-0000-0000-000048140000}"/>
    <cellStyle name="Normal 3 5 3 5 2" xfId="2855" xr:uid="{00000000-0005-0000-0000-000049140000}"/>
    <cellStyle name="Normal 3 5 3 5 2 2" xfId="8208" xr:uid="{00000000-0005-0000-0000-00004A140000}"/>
    <cellStyle name="Normal 3 5 3 5 3" xfId="3965" xr:uid="{00000000-0005-0000-0000-00004B140000}"/>
    <cellStyle name="Normal 3 5 3 5 3 2" xfId="9256" xr:uid="{00000000-0005-0000-0000-00004C140000}"/>
    <cellStyle name="Normal 3 5 3 5 4" xfId="4798" xr:uid="{00000000-0005-0000-0000-00004D140000}"/>
    <cellStyle name="Normal 3 5 3 5 4 2" xfId="10086" xr:uid="{00000000-0005-0000-0000-00004E140000}"/>
    <cellStyle name="Normal 3 5 3 5 5" xfId="6440" xr:uid="{00000000-0005-0000-0000-00004F140000}"/>
    <cellStyle name="Normal 3 5 3 6" xfId="1799" xr:uid="{00000000-0005-0000-0000-000050140000}"/>
    <cellStyle name="Normal 3 5 3 6 2" xfId="5570" xr:uid="{00000000-0005-0000-0000-000051140000}"/>
    <cellStyle name="Normal 3 5 3 6 2 2" xfId="10858" xr:uid="{00000000-0005-0000-0000-000052140000}"/>
    <cellStyle name="Normal 3 5 3 6 3" xfId="7212" xr:uid="{00000000-0005-0000-0000-000053140000}"/>
    <cellStyle name="Normal 3 5 3 7" xfId="2351" xr:uid="{00000000-0005-0000-0000-000054140000}"/>
    <cellStyle name="Normal 3 5 3 7 2" xfId="7709" xr:uid="{00000000-0005-0000-0000-000055140000}"/>
    <cellStyle name="Normal 3 5 3 8" xfId="3465" xr:uid="{00000000-0005-0000-0000-000056140000}"/>
    <cellStyle name="Normal 3 5 3 8 2" xfId="8757" xr:uid="{00000000-0005-0000-0000-000057140000}"/>
    <cellStyle name="Normal 3 5 3 9" xfId="4787" xr:uid="{00000000-0005-0000-0000-000058140000}"/>
    <cellStyle name="Normal 3 5 3 9 2" xfId="10075" xr:uid="{00000000-0005-0000-0000-000059140000}"/>
    <cellStyle name="Normal 3 5 4" xfId="981" xr:uid="{00000000-0005-0000-0000-00005A140000}"/>
    <cellStyle name="Normal 3 5 4 2" xfId="982" xr:uid="{00000000-0005-0000-0000-00005B140000}"/>
    <cellStyle name="Normal 3 5 4 2 2" xfId="983" xr:uid="{00000000-0005-0000-0000-00005C140000}"/>
    <cellStyle name="Normal 3 5 4 2 2 2" xfId="2862" xr:uid="{00000000-0005-0000-0000-00005D140000}"/>
    <cellStyle name="Normal 3 5 4 2 2 2 2" xfId="8215" xr:uid="{00000000-0005-0000-0000-00005E140000}"/>
    <cellStyle name="Normal 3 5 4 2 2 3" xfId="3972" xr:uid="{00000000-0005-0000-0000-00005F140000}"/>
    <cellStyle name="Normal 3 5 4 2 2 3 2" xfId="9263" xr:uid="{00000000-0005-0000-0000-000060140000}"/>
    <cellStyle name="Normal 3 5 4 2 2 4" xfId="4801" xr:uid="{00000000-0005-0000-0000-000061140000}"/>
    <cellStyle name="Normal 3 5 4 2 2 4 2" xfId="10089" xr:uid="{00000000-0005-0000-0000-000062140000}"/>
    <cellStyle name="Normal 3 5 4 2 2 5" xfId="6443" xr:uid="{00000000-0005-0000-0000-000063140000}"/>
    <cellStyle name="Normal 3 5 4 2 3" xfId="1806" xr:uid="{00000000-0005-0000-0000-000064140000}"/>
    <cellStyle name="Normal 3 5 4 2 3 2" xfId="5577" xr:uid="{00000000-0005-0000-0000-000065140000}"/>
    <cellStyle name="Normal 3 5 4 2 3 2 2" xfId="10865" xr:uid="{00000000-0005-0000-0000-000066140000}"/>
    <cellStyle name="Normal 3 5 4 2 3 3" xfId="7219" xr:uid="{00000000-0005-0000-0000-000067140000}"/>
    <cellStyle name="Normal 3 5 4 2 4" xfId="2358" xr:uid="{00000000-0005-0000-0000-000068140000}"/>
    <cellStyle name="Normal 3 5 4 2 4 2" xfId="7716" xr:uid="{00000000-0005-0000-0000-000069140000}"/>
    <cellStyle name="Normal 3 5 4 2 5" xfId="3472" xr:uid="{00000000-0005-0000-0000-00006A140000}"/>
    <cellStyle name="Normal 3 5 4 2 5 2" xfId="8764" xr:uid="{00000000-0005-0000-0000-00006B140000}"/>
    <cellStyle name="Normal 3 5 4 2 6" xfId="4800" xr:uid="{00000000-0005-0000-0000-00006C140000}"/>
    <cellStyle name="Normal 3 5 4 2 6 2" xfId="10088" xr:uid="{00000000-0005-0000-0000-00006D140000}"/>
    <cellStyle name="Normal 3 5 4 2 7" xfId="6442" xr:uid="{00000000-0005-0000-0000-00006E140000}"/>
    <cellStyle name="Normal 3 5 4 3" xfId="984" xr:uid="{00000000-0005-0000-0000-00006F140000}"/>
    <cellStyle name="Normal 3 5 4 3 2" xfId="985" xr:uid="{00000000-0005-0000-0000-000070140000}"/>
    <cellStyle name="Normal 3 5 4 3 2 2" xfId="2863" xr:uid="{00000000-0005-0000-0000-000071140000}"/>
    <cellStyle name="Normal 3 5 4 3 2 2 2" xfId="8216" xr:uid="{00000000-0005-0000-0000-000072140000}"/>
    <cellStyle name="Normal 3 5 4 3 2 3" xfId="3973" xr:uid="{00000000-0005-0000-0000-000073140000}"/>
    <cellStyle name="Normal 3 5 4 3 2 3 2" xfId="9264" xr:uid="{00000000-0005-0000-0000-000074140000}"/>
    <cellStyle name="Normal 3 5 4 3 2 4" xfId="4803" xr:uid="{00000000-0005-0000-0000-000075140000}"/>
    <cellStyle name="Normal 3 5 4 3 2 4 2" xfId="10091" xr:uid="{00000000-0005-0000-0000-000076140000}"/>
    <cellStyle name="Normal 3 5 4 3 2 5" xfId="6445" xr:uid="{00000000-0005-0000-0000-000077140000}"/>
    <cellStyle name="Normal 3 5 4 3 3" xfId="1807" xr:uid="{00000000-0005-0000-0000-000078140000}"/>
    <cellStyle name="Normal 3 5 4 3 3 2" xfId="5578" xr:uid="{00000000-0005-0000-0000-000079140000}"/>
    <cellStyle name="Normal 3 5 4 3 3 2 2" xfId="10866" xr:uid="{00000000-0005-0000-0000-00007A140000}"/>
    <cellStyle name="Normal 3 5 4 3 3 3" xfId="7220" xr:uid="{00000000-0005-0000-0000-00007B140000}"/>
    <cellStyle name="Normal 3 5 4 3 4" xfId="2359" xr:uid="{00000000-0005-0000-0000-00007C140000}"/>
    <cellStyle name="Normal 3 5 4 3 4 2" xfId="7717" xr:uid="{00000000-0005-0000-0000-00007D140000}"/>
    <cellStyle name="Normal 3 5 4 3 5" xfId="3473" xr:uid="{00000000-0005-0000-0000-00007E140000}"/>
    <cellStyle name="Normal 3 5 4 3 5 2" xfId="8765" xr:uid="{00000000-0005-0000-0000-00007F140000}"/>
    <cellStyle name="Normal 3 5 4 3 6" xfId="4802" xr:uid="{00000000-0005-0000-0000-000080140000}"/>
    <cellStyle name="Normal 3 5 4 3 6 2" xfId="10090" xr:uid="{00000000-0005-0000-0000-000081140000}"/>
    <cellStyle name="Normal 3 5 4 3 7" xfId="6444" xr:uid="{00000000-0005-0000-0000-000082140000}"/>
    <cellStyle name="Normal 3 5 4 4" xfId="986" xr:uid="{00000000-0005-0000-0000-000083140000}"/>
    <cellStyle name="Normal 3 5 4 4 2" xfId="2861" xr:uid="{00000000-0005-0000-0000-000084140000}"/>
    <cellStyle name="Normal 3 5 4 4 2 2" xfId="8214" xr:uid="{00000000-0005-0000-0000-000085140000}"/>
    <cellStyle name="Normal 3 5 4 4 3" xfId="3971" xr:uid="{00000000-0005-0000-0000-000086140000}"/>
    <cellStyle name="Normal 3 5 4 4 3 2" xfId="9262" xr:uid="{00000000-0005-0000-0000-000087140000}"/>
    <cellStyle name="Normal 3 5 4 4 4" xfId="4804" xr:uid="{00000000-0005-0000-0000-000088140000}"/>
    <cellStyle name="Normal 3 5 4 4 4 2" xfId="10092" xr:uid="{00000000-0005-0000-0000-000089140000}"/>
    <cellStyle name="Normal 3 5 4 4 5" xfId="6446" xr:uid="{00000000-0005-0000-0000-00008A140000}"/>
    <cellStyle name="Normal 3 5 4 5" xfId="1805" xr:uid="{00000000-0005-0000-0000-00008B140000}"/>
    <cellStyle name="Normal 3 5 4 5 2" xfId="5576" xr:uid="{00000000-0005-0000-0000-00008C140000}"/>
    <cellStyle name="Normal 3 5 4 5 2 2" xfId="10864" xr:uid="{00000000-0005-0000-0000-00008D140000}"/>
    <cellStyle name="Normal 3 5 4 5 3" xfId="7218" xr:uid="{00000000-0005-0000-0000-00008E140000}"/>
    <cellStyle name="Normal 3 5 4 6" xfId="2357" xr:uid="{00000000-0005-0000-0000-00008F140000}"/>
    <cellStyle name="Normal 3 5 4 6 2" xfId="7715" xr:uid="{00000000-0005-0000-0000-000090140000}"/>
    <cellStyle name="Normal 3 5 4 7" xfId="3471" xr:uid="{00000000-0005-0000-0000-000091140000}"/>
    <cellStyle name="Normal 3 5 4 7 2" xfId="8763" xr:uid="{00000000-0005-0000-0000-000092140000}"/>
    <cellStyle name="Normal 3 5 4 8" xfId="4799" xr:uid="{00000000-0005-0000-0000-000093140000}"/>
    <cellStyle name="Normal 3 5 4 8 2" xfId="10087" xr:uid="{00000000-0005-0000-0000-000094140000}"/>
    <cellStyle name="Normal 3 5 4 9" xfId="6441" xr:uid="{00000000-0005-0000-0000-000095140000}"/>
    <cellStyle name="Normal 3 5 5" xfId="987" xr:uid="{00000000-0005-0000-0000-000096140000}"/>
    <cellStyle name="Normal 3 5 5 2" xfId="988" xr:uid="{00000000-0005-0000-0000-000097140000}"/>
    <cellStyle name="Normal 3 5 5 2 2" xfId="2864" xr:uid="{00000000-0005-0000-0000-000098140000}"/>
    <cellStyle name="Normal 3 5 5 2 2 2" xfId="8217" xr:uid="{00000000-0005-0000-0000-000099140000}"/>
    <cellStyle name="Normal 3 5 5 2 3" xfId="3974" xr:uid="{00000000-0005-0000-0000-00009A140000}"/>
    <cellStyle name="Normal 3 5 5 2 3 2" xfId="9265" xr:uid="{00000000-0005-0000-0000-00009B140000}"/>
    <cellStyle name="Normal 3 5 5 2 4" xfId="4806" xr:uid="{00000000-0005-0000-0000-00009C140000}"/>
    <cellStyle name="Normal 3 5 5 2 4 2" xfId="10094" xr:uid="{00000000-0005-0000-0000-00009D140000}"/>
    <cellStyle name="Normal 3 5 5 2 5" xfId="6448" xr:uid="{00000000-0005-0000-0000-00009E140000}"/>
    <cellStyle name="Normal 3 5 5 3" xfId="1808" xr:uid="{00000000-0005-0000-0000-00009F140000}"/>
    <cellStyle name="Normal 3 5 5 3 2" xfId="5579" xr:uid="{00000000-0005-0000-0000-0000A0140000}"/>
    <cellStyle name="Normal 3 5 5 3 2 2" xfId="10867" xr:uid="{00000000-0005-0000-0000-0000A1140000}"/>
    <cellStyle name="Normal 3 5 5 3 3" xfId="7221" xr:uid="{00000000-0005-0000-0000-0000A2140000}"/>
    <cellStyle name="Normal 3 5 5 4" xfId="2360" xr:uid="{00000000-0005-0000-0000-0000A3140000}"/>
    <cellStyle name="Normal 3 5 5 4 2" xfId="7718" xr:uid="{00000000-0005-0000-0000-0000A4140000}"/>
    <cellStyle name="Normal 3 5 5 5" xfId="3474" xr:uid="{00000000-0005-0000-0000-0000A5140000}"/>
    <cellStyle name="Normal 3 5 5 5 2" xfId="8766" xr:uid="{00000000-0005-0000-0000-0000A6140000}"/>
    <cellStyle name="Normal 3 5 5 6" xfId="4805" xr:uid="{00000000-0005-0000-0000-0000A7140000}"/>
    <cellStyle name="Normal 3 5 5 6 2" xfId="10093" xr:uid="{00000000-0005-0000-0000-0000A8140000}"/>
    <cellStyle name="Normal 3 5 5 7" xfId="6447" xr:uid="{00000000-0005-0000-0000-0000A9140000}"/>
    <cellStyle name="Normal 3 5 6" xfId="989" xr:uid="{00000000-0005-0000-0000-0000AA140000}"/>
    <cellStyle name="Normal 3 5 6 2" xfId="990" xr:uid="{00000000-0005-0000-0000-0000AB140000}"/>
    <cellStyle name="Normal 3 5 6 2 2" xfId="2865" xr:uid="{00000000-0005-0000-0000-0000AC140000}"/>
    <cellStyle name="Normal 3 5 6 2 2 2" xfId="8218" xr:uid="{00000000-0005-0000-0000-0000AD140000}"/>
    <cellStyle name="Normal 3 5 6 2 3" xfId="3975" xr:uid="{00000000-0005-0000-0000-0000AE140000}"/>
    <cellStyle name="Normal 3 5 6 2 3 2" xfId="9266" xr:uid="{00000000-0005-0000-0000-0000AF140000}"/>
    <cellStyle name="Normal 3 5 6 2 4" xfId="4808" xr:uid="{00000000-0005-0000-0000-0000B0140000}"/>
    <cellStyle name="Normal 3 5 6 2 4 2" xfId="10096" xr:uid="{00000000-0005-0000-0000-0000B1140000}"/>
    <cellStyle name="Normal 3 5 6 2 5" xfId="6450" xr:uid="{00000000-0005-0000-0000-0000B2140000}"/>
    <cellStyle name="Normal 3 5 6 3" xfId="1809" xr:uid="{00000000-0005-0000-0000-0000B3140000}"/>
    <cellStyle name="Normal 3 5 6 3 2" xfId="5580" xr:uid="{00000000-0005-0000-0000-0000B4140000}"/>
    <cellStyle name="Normal 3 5 6 3 2 2" xfId="10868" xr:uid="{00000000-0005-0000-0000-0000B5140000}"/>
    <cellStyle name="Normal 3 5 6 3 3" xfId="7222" xr:uid="{00000000-0005-0000-0000-0000B6140000}"/>
    <cellStyle name="Normal 3 5 6 4" xfId="2361" xr:uid="{00000000-0005-0000-0000-0000B7140000}"/>
    <cellStyle name="Normal 3 5 6 4 2" xfId="7719" xr:uid="{00000000-0005-0000-0000-0000B8140000}"/>
    <cellStyle name="Normal 3 5 6 5" xfId="3475" xr:uid="{00000000-0005-0000-0000-0000B9140000}"/>
    <cellStyle name="Normal 3 5 6 5 2" xfId="8767" xr:uid="{00000000-0005-0000-0000-0000BA140000}"/>
    <cellStyle name="Normal 3 5 6 6" xfId="4807" xr:uid="{00000000-0005-0000-0000-0000BB140000}"/>
    <cellStyle name="Normal 3 5 6 6 2" xfId="10095" xr:uid="{00000000-0005-0000-0000-0000BC140000}"/>
    <cellStyle name="Normal 3 5 6 7" xfId="6449" xr:uid="{00000000-0005-0000-0000-0000BD140000}"/>
    <cellStyle name="Normal 3 5 7" xfId="991" xr:uid="{00000000-0005-0000-0000-0000BE140000}"/>
    <cellStyle name="Normal 3 5 7 2" xfId="2842" xr:uid="{00000000-0005-0000-0000-0000BF140000}"/>
    <cellStyle name="Normal 3 5 7 2 2" xfId="8195" xr:uid="{00000000-0005-0000-0000-0000C0140000}"/>
    <cellStyle name="Normal 3 5 7 3" xfId="3952" xr:uid="{00000000-0005-0000-0000-0000C1140000}"/>
    <cellStyle name="Normal 3 5 7 3 2" xfId="9243" xr:uid="{00000000-0005-0000-0000-0000C2140000}"/>
    <cellStyle name="Normal 3 5 7 4" xfId="4809" xr:uid="{00000000-0005-0000-0000-0000C3140000}"/>
    <cellStyle name="Normal 3 5 7 4 2" xfId="10097" xr:uid="{00000000-0005-0000-0000-0000C4140000}"/>
    <cellStyle name="Normal 3 5 7 5" xfId="6451" xr:uid="{00000000-0005-0000-0000-0000C5140000}"/>
    <cellStyle name="Normal 3 5 8" xfId="1786" xr:uid="{00000000-0005-0000-0000-0000C6140000}"/>
    <cellStyle name="Normal 3 5 8 2" xfId="5557" xr:uid="{00000000-0005-0000-0000-0000C7140000}"/>
    <cellStyle name="Normal 3 5 8 2 2" xfId="10845" xr:uid="{00000000-0005-0000-0000-0000C8140000}"/>
    <cellStyle name="Normal 3 5 8 3" xfId="7199" xr:uid="{00000000-0005-0000-0000-0000C9140000}"/>
    <cellStyle name="Normal 3 5 9" xfId="2338" xr:uid="{00000000-0005-0000-0000-0000CA140000}"/>
    <cellStyle name="Normal 3 5 9 2" xfId="5872" xr:uid="{00000000-0005-0000-0000-0000CB140000}"/>
    <cellStyle name="Normal 3 5 9 3" xfId="7696" xr:uid="{00000000-0005-0000-0000-0000CC140000}"/>
    <cellStyle name="Normal 3 6" xfId="992" xr:uid="{00000000-0005-0000-0000-0000CD140000}"/>
    <cellStyle name="Normal 3 6 10" xfId="3237" xr:uid="{00000000-0005-0000-0000-0000CE140000}"/>
    <cellStyle name="Normal 3 6 10 2" xfId="8534" xr:uid="{00000000-0005-0000-0000-0000CF140000}"/>
    <cellStyle name="Normal 3 6 11" xfId="3255" xr:uid="{00000000-0005-0000-0000-0000D0140000}"/>
    <cellStyle name="Normal 3 6 11 2" xfId="8551" xr:uid="{00000000-0005-0000-0000-0000D1140000}"/>
    <cellStyle name="Normal 3 6 12" xfId="3476" xr:uid="{00000000-0005-0000-0000-0000D2140000}"/>
    <cellStyle name="Normal 3 6 12 2" xfId="8768" xr:uid="{00000000-0005-0000-0000-0000D3140000}"/>
    <cellStyle name="Normal 3 6 13" xfId="4810" xr:uid="{00000000-0005-0000-0000-0000D4140000}"/>
    <cellStyle name="Normal 3 6 13 2" xfId="10098" xr:uid="{00000000-0005-0000-0000-0000D5140000}"/>
    <cellStyle name="Normal 3 6 14" xfId="6452" xr:uid="{00000000-0005-0000-0000-0000D6140000}"/>
    <cellStyle name="Normal 3 6 2" xfId="993" xr:uid="{00000000-0005-0000-0000-0000D7140000}"/>
    <cellStyle name="Normal 3 6 2 10" xfId="6453" xr:uid="{00000000-0005-0000-0000-0000D8140000}"/>
    <cellStyle name="Normal 3 6 2 2" xfId="994" xr:uid="{00000000-0005-0000-0000-0000D9140000}"/>
    <cellStyle name="Normal 3 6 2 2 2" xfId="995" xr:uid="{00000000-0005-0000-0000-0000DA140000}"/>
    <cellStyle name="Normal 3 6 2 2 2 2" xfId="996" xr:uid="{00000000-0005-0000-0000-0000DB140000}"/>
    <cellStyle name="Normal 3 6 2 2 2 2 2" xfId="2869" xr:uid="{00000000-0005-0000-0000-0000DC140000}"/>
    <cellStyle name="Normal 3 6 2 2 2 2 2 2" xfId="8222" xr:uid="{00000000-0005-0000-0000-0000DD140000}"/>
    <cellStyle name="Normal 3 6 2 2 2 2 3" xfId="3979" xr:uid="{00000000-0005-0000-0000-0000DE140000}"/>
    <cellStyle name="Normal 3 6 2 2 2 2 3 2" xfId="9270" xr:uid="{00000000-0005-0000-0000-0000DF140000}"/>
    <cellStyle name="Normal 3 6 2 2 2 2 4" xfId="4814" xr:uid="{00000000-0005-0000-0000-0000E0140000}"/>
    <cellStyle name="Normal 3 6 2 2 2 2 4 2" xfId="10102" xr:uid="{00000000-0005-0000-0000-0000E1140000}"/>
    <cellStyle name="Normal 3 6 2 2 2 2 5" xfId="6456" xr:uid="{00000000-0005-0000-0000-0000E2140000}"/>
    <cellStyle name="Normal 3 6 2 2 2 3" xfId="1813" xr:uid="{00000000-0005-0000-0000-0000E3140000}"/>
    <cellStyle name="Normal 3 6 2 2 2 3 2" xfId="5584" xr:uid="{00000000-0005-0000-0000-0000E4140000}"/>
    <cellStyle name="Normal 3 6 2 2 2 3 2 2" xfId="10872" xr:uid="{00000000-0005-0000-0000-0000E5140000}"/>
    <cellStyle name="Normal 3 6 2 2 2 3 3" xfId="7226" xr:uid="{00000000-0005-0000-0000-0000E6140000}"/>
    <cellStyle name="Normal 3 6 2 2 2 4" xfId="2365" xr:uid="{00000000-0005-0000-0000-0000E7140000}"/>
    <cellStyle name="Normal 3 6 2 2 2 4 2" xfId="7723" xr:uid="{00000000-0005-0000-0000-0000E8140000}"/>
    <cellStyle name="Normal 3 6 2 2 2 5" xfId="3479" xr:uid="{00000000-0005-0000-0000-0000E9140000}"/>
    <cellStyle name="Normal 3 6 2 2 2 5 2" xfId="8771" xr:uid="{00000000-0005-0000-0000-0000EA140000}"/>
    <cellStyle name="Normal 3 6 2 2 2 6" xfId="4813" xr:uid="{00000000-0005-0000-0000-0000EB140000}"/>
    <cellStyle name="Normal 3 6 2 2 2 6 2" xfId="10101" xr:uid="{00000000-0005-0000-0000-0000EC140000}"/>
    <cellStyle name="Normal 3 6 2 2 2 7" xfId="6455" xr:uid="{00000000-0005-0000-0000-0000ED140000}"/>
    <cellStyle name="Normal 3 6 2 2 3" xfId="997" xr:uid="{00000000-0005-0000-0000-0000EE140000}"/>
    <cellStyle name="Normal 3 6 2 2 3 2" xfId="998" xr:uid="{00000000-0005-0000-0000-0000EF140000}"/>
    <cellStyle name="Normal 3 6 2 2 3 2 2" xfId="2870" xr:uid="{00000000-0005-0000-0000-0000F0140000}"/>
    <cellStyle name="Normal 3 6 2 2 3 2 2 2" xfId="8223" xr:uid="{00000000-0005-0000-0000-0000F1140000}"/>
    <cellStyle name="Normal 3 6 2 2 3 2 3" xfId="3980" xr:uid="{00000000-0005-0000-0000-0000F2140000}"/>
    <cellStyle name="Normal 3 6 2 2 3 2 3 2" xfId="9271" xr:uid="{00000000-0005-0000-0000-0000F3140000}"/>
    <cellStyle name="Normal 3 6 2 2 3 2 4" xfId="4816" xr:uid="{00000000-0005-0000-0000-0000F4140000}"/>
    <cellStyle name="Normal 3 6 2 2 3 2 4 2" xfId="10104" xr:uid="{00000000-0005-0000-0000-0000F5140000}"/>
    <cellStyle name="Normal 3 6 2 2 3 2 5" xfId="6458" xr:uid="{00000000-0005-0000-0000-0000F6140000}"/>
    <cellStyle name="Normal 3 6 2 2 3 3" xfId="1814" xr:uid="{00000000-0005-0000-0000-0000F7140000}"/>
    <cellStyle name="Normal 3 6 2 2 3 3 2" xfId="5585" xr:uid="{00000000-0005-0000-0000-0000F8140000}"/>
    <cellStyle name="Normal 3 6 2 2 3 3 2 2" xfId="10873" xr:uid="{00000000-0005-0000-0000-0000F9140000}"/>
    <cellStyle name="Normal 3 6 2 2 3 3 3" xfId="7227" xr:uid="{00000000-0005-0000-0000-0000FA140000}"/>
    <cellStyle name="Normal 3 6 2 2 3 4" xfId="2366" xr:uid="{00000000-0005-0000-0000-0000FB140000}"/>
    <cellStyle name="Normal 3 6 2 2 3 4 2" xfId="7724" xr:uid="{00000000-0005-0000-0000-0000FC140000}"/>
    <cellStyle name="Normal 3 6 2 2 3 5" xfId="3480" xr:uid="{00000000-0005-0000-0000-0000FD140000}"/>
    <cellStyle name="Normal 3 6 2 2 3 5 2" xfId="8772" xr:uid="{00000000-0005-0000-0000-0000FE140000}"/>
    <cellStyle name="Normal 3 6 2 2 3 6" xfId="4815" xr:uid="{00000000-0005-0000-0000-0000FF140000}"/>
    <cellStyle name="Normal 3 6 2 2 3 6 2" xfId="10103" xr:uid="{00000000-0005-0000-0000-000000150000}"/>
    <cellStyle name="Normal 3 6 2 2 3 7" xfId="6457" xr:uid="{00000000-0005-0000-0000-000001150000}"/>
    <cellStyle name="Normal 3 6 2 2 4" xfId="999" xr:uid="{00000000-0005-0000-0000-000002150000}"/>
    <cellStyle name="Normal 3 6 2 2 4 2" xfId="2868" xr:uid="{00000000-0005-0000-0000-000003150000}"/>
    <cellStyle name="Normal 3 6 2 2 4 2 2" xfId="8221" xr:uid="{00000000-0005-0000-0000-000004150000}"/>
    <cellStyle name="Normal 3 6 2 2 4 3" xfId="3978" xr:uid="{00000000-0005-0000-0000-000005150000}"/>
    <cellStyle name="Normal 3 6 2 2 4 3 2" xfId="9269" xr:uid="{00000000-0005-0000-0000-000006150000}"/>
    <cellStyle name="Normal 3 6 2 2 4 4" xfId="4817" xr:uid="{00000000-0005-0000-0000-000007150000}"/>
    <cellStyle name="Normal 3 6 2 2 4 4 2" xfId="10105" xr:uid="{00000000-0005-0000-0000-000008150000}"/>
    <cellStyle name="Normal 3 6 2 2 4 5" xfId="6459" xr:uid="{00000000-0005-0000-0000-000009150000}"/>
    <cellStyle name="Normal 3 6 2 2 5" xfId="1812" xr:uid="{00000000-0005-0000-0000-00000A150000}"/>
    <cellStyle name="Normal 3 6 2 2 5 2" xfId="5583" xr:uid="{00000000-0005-0000-0000-00000B150000}"/>
    <cellStyle name="Normal 3 6 2 2 5 2 2" xfId="10871" xr:uid="{00000000-0005-0000-0000-00000C150000}"/>
    <cellStyle name="Normal 3 6 2 2 5 3" xfId="7225" xr:uid="{00000000-0005-0000-0000-00000D150000}"/>
    <cellStyle name="Normal 3 6 2 2 6" xfId="2364" xr:uid="{00000000-0005-0000-0000-00000E150000}"/>
    <cellStyle name="Normal 3 6 2 2 6 2" xfId="7722" xr:uid="{00000000-0005-0000-0000-00000F150000}"/>
    <cellStyle name="Normal 3 6 2 2 7" xfId="3478" xr:uid="{00000000-0005-0000-0000-000010150000}"/>
    <cellStyle name="Normal 3 6 2 2 7 2" xfId="8770" xr:uid="{00000000-0005-0000-0000-000011150000}"/>
    <cellStyle name="Normal 3 6 2 2 8" xfId="4812" xr:uid="{00000000-0005-0000-0000-000012150000}"/>
    <cellStyle name="Normal 3 6 2 2 8 2" xfId="10100" xr:uid="{00000000-0005-0000-0000-000013150000}"/>
    <cellStyle name="Normal 3 6 2 2 9" xfId="6454" xr:uid="{00000000-0005-0000-0000-000014150000}"/>
    <cellStyle name="Normal 3 6 2 3" xfId="1000" xr:uid="{00000000-0005-0000-0000-000015150000}"/>
    <cellStyle name="Normal 3 6 2 3 2" xfId="1001" xr:uid="{00000000-0005-0000-0000-000016150000}"/>
    <cellStyle name="Normal 3 6 2 3 2 2" xfId="2871" xr:uid="{00000000-0005-0000-0000-000017150000}"/>
    <cellStyle name="Normal 3 6 2 3 2 2 2" xfId="8224" xr:uid="{00000000-0005-0000-0000-000018150000}"/>
    <cellStyle name="Normal 3 6 2 3 2 3" xfId="3981" xr:uid="{00000000-0005-0000-0000-000019150000}"/>
    <cellStyle name="Normal 3 6 2 3 2 3 2" xfId="9272" xr:uid="{00000000-0005-0000-0000-00001A150000}"/>
    <cellStyle name="Normal 3 6 2 3 2 4" xfId="4819" xr:uid="{00000000-0005-0000-0000-00001B150000}"/>
    <cellStyle name="Normal 3 6 2 3 2 4 2" xfId="10107" xr:uid="{00000000-0005-0000-0000-00001C150000}"/>
    <cellStyle name="Normal 3 6 2 3 2 5" xfId="6461" xr:uid="{00000000-0005-0000-0000-00001D150000}"/>
    <cellStyle name="Normal 3 6 2 3 3" xfId="1815" xr:uid="{00000000-0005-0000-0000-00001E150000}"/>
    <cellStyle name="Normal 3 6 2 3 3 2" xfId="5586" xr:uid="{00000000-0005-0000-0000-00001F150000}"/>
    <cellStyle name="Normal 3 6 2 3 3 2 2" xfId="10874" xr:uid="{00000000-0005-0000-0000-000020150000}"/>
    <cellStyle name="Normal 3 6 2 3 3 3" xfId="7228" xr:uid="{00000000-0005-0000-0000-000021150000}"/>
    <cellStyle name="Normal 3 6 2 3 4" xfId="2367" xr:uid="{00000000-0005-0000-0000-000022150000}"/>
    <cellStyle name="Normal 3 6 2 3 4 2" xfId="7725" xr:uid="{00000000-0005-0000-0000-000023150000}"/>
    <cellStyle name="Normal 3 6 2 3 5" xfId="3481" xr:uid="{00000000-0005-0000-0000-000024150000}"/>
    <cellStyle name="Normal 3 6 2 3 5 2" xfId="8773" xr:uid="{00000000-0005-0000-0000-000025150000}"/>
    <cellStyle name="Normal 3 6 2 3 6" xfId="4818" xr:uid="{00000000-0005-0000-0000-000026150000}"/>
    <cellStyle name="Normal 3 6 2 3 6 2" xfId="10106" xr:uid="{00000000-0005-0000-0000-000027150000}"/>
    <cellStyle name="Normal 3 6 2 3 7" xfId="6460" xr:uid="{00000000-0005-0000-0000-000028150000}"/>
    <cellStyle name="Normal 3 6 2 4" xfId="1002" xr:uid="{00000000-0005-0000-0000-000029150000}"/>
    <cellStyle name="Normal 3 6 2 4 2" xfId="1003" xr:uid="{00000000-0005-0000-0000-00002A150000}"/>
    <cellStyle name="Normal 3 6 2 4 2 2" xfId="2872" xr:uid="{00000000-0005-0000-0000-00002B150000}"/>
    <cellStyle name="Normal 3 6 2 4 2 2 2" xfId="8225" xr:uid="{00000000-0005-0000-0000-00002C150000}"/>
    <cellStyle name="Normal 3 6 2 4 2 3" xfId="3982" xr:uid="{00000000-0005-0000-0000-00002D150000}"/>
    <cellStyle name="Normal 3 6 2 4 2 3 2" xfId="9273" xr:uid="{00000000-0005-0000-0000-00002E150000}"/>
    <cellStyle name="Normal 3 6 2 4 2 4" xfId="4821" xr:uid="{00000000-0005-0000-0000-00002F150000}"/>
    <cellStyle name="Normal 3 6 2 4 2 4 2" xfId="10109" xr:uid="{00000000-0005-0000-0000-000030150000}"/>
    <cellStyle name="Normal 3 6 2 4 2 5" xfId="6463" xr:uid="{00000000-0005-0000-0000-000031150000}"/>
    <cellStyle name="Normal 3 6 2 4 3" xfId="1816" xr:uid="{00000000-0005-0000-0000-000032150000}"/>
    <cellStyle name="Normal 3 6 2 4 3 2" xfId="5587" xr:uid="{00000000-0005-0000-0000-000033150000}"/>
    <cellStyle name="Normal 3 6 2 4 3 2 2" xfId="10875" xr:uid="{00000000-0005-0000-0000-000034150000}"/>
    <cellStyle name="Normal 3 6 2 4 3 3" xfId="7229" xr:uid="{00000000-0005-0000-0000-000035150000}"/>
    <cellStyle name="Normal 3 6 2 4 4" xfId="2368" xr:uid="{00000000-0005-0000-0000-000036150000}"/>
    <cellStyle name="Normal 3 6 2 4 4 2" xfId="7726" xr:uid="{00000000-0005-0000-0000-000037150000}"/>
    <cellStyle name="Normal 3 6 2 4 5" xfId="3482" xr:uid="{00000000-0005-0000-0000-000038150000}"/>
    <cellStyle name="Normal 3 6 2 4 5 2" xfId="8774" xr:uid="{00000000-0005-0000-0000-000039150000}"/>
    <cellStyle name="Normal 3 6 2 4 6" xfId="4820" xr:uid="{00000000-0005-0000-0000-00003A150000}"/>
    <cellStyle name="Normal 3 6 2 4 6 2" xfId="10108" xr:uid="{00000000-0005-0000-0000-00003B150000}"/>
    <cellStyle name="Normal 3 6 2 4 7" xfId="6462" xr:uid="{00000000-0005-0000-0000-00003C150000}"/>
    <cellStyle name="Normal 3 6 2 5" xfId="1004" xr:uid="{00000000-0005-0000-0000-00003D150000}"/>
    <cellStyle name="Normal 3 6 2 5 2" xfId="2867" xr:uid="{00000000-0005-0000-0000-00003E150000}"/>
    <cellStyle name="Normal 3 6 2 5 2 2" xfId="8220" xr:uid="{00000000-0005-0000-0000-00003F150000}"/>
    <cellStyle name="Normal 3 6 2 5 3" xfId="3977" xr:uid="{00000000-0005-0000-0000-000040150000}"/>
    <cellStyle name="Normal 3 6 2 5 3 2" xfId="9268" xr:uid="{00000000-0005-0000-0000-000041150000}"/>
    <cellStyle name="Normal 3 6 2 5 4" xfId="4822" xr:uid="{00000000-0005-0000-0000-000042150000}"/>
    <cellStyle name="Normal 3 6 2 5 4 2" xfId="10110" xr:uid="{00000000-0005-0000-0000-000043150000}"/>
    <cellStyle name="Normal 3 6 2 5 5" xfId="6464" xr:uid="{00000000-0005-0000-0000-000044150000}"/>
    <cellStyle name="Normal 3 6 2 6" xfId="1811" xr:uid="{00000000-0005-0000-0000-000045150000}"/>
    <cellStyle name="Normal 3 6 2 6 2" xfId="5582" xr:uid="{00000000-0005-0000-0000-000046150000}"/>
    <cellStyle name="Normal 3 6 2 6 2 2" xfId="10870" xr:uid="{00000000-0005-0000-0000-000047150000}"/>
    <cellStyle name="Normal 3 6 2 6 3" xfId="7224" xr:uid="{00000000-0005-0000-0000-000048150000}"/>
    <cellStyle name="Normal 3 6 2 7" xfId="2363" xr:uid="{00000000-0005-0000-0000-000049150000}"/>
    <cellStyle name="Normal 3 6 2 7 2" xfId="7721" xr:uid="{00000000-0005-0000-0000-00004A150000}"/>
    <cellStyle name="Normal 3 6 2 8" xfId="3477" xr:uid="{00000000-0005-0000-0000-00004B150000}"/>
    <cellStyle name="Normal 3 6 2 8 2" xfId="8769" xr:uid="{00000000-0005-0000-0000-00004C150000}"/>
    <cellStyle name="Normal 3 6 2 9" xfId="4811" xr:uid="{00000000-0005-0000-0000-00004D150000}"/>
    <cellStyle name="Normal 3 6 2 9 2" xfId="10099" xr:uid="{00000000-0005-0000-0000-00004E150000}"/>
    <cellStyle name="Normal 3 6 3" xfId="1005" xr:uid="{00000000-0005-0000-0000-00004F150000}"/>
    <cellStyle name="Normal 3 6 3 2" xfId="1006" xr:uid="{00000000-0005-0000-0000-000050150000}"/>
    <cellStyle name="Normal 3 6 3 2 2" xfId="1007" xr:uid="{00000000-0005-0000-0000-000051150000}"/>
    <cellStyle name="Normal 3 6 3 2 2 2" xfId="2874" xr:uid="{00000000-0005-0000-0000-000052150000}"/>
    <cellStyle name="Normal 3 6 3 2 2 2 2" xfId="8227" xr:uid="{00000000-0005-0000-0000-000053150000}"/>
    <cellStyle name="Normal 3 6 3 2 2 3" xfId="3984" xr:uid="{00000000-0005-0000-0000-000054150000}"/>
    <cellStyle name="Normal 3 6 3 2 2 3 2" xfId="9275" xr:uid="{00000000-0005-0000-0000-000055150000}"/>
    <cellStyle name="Normal 3 6 3 2 2 4" xfId="4825" xr:uid="{00000000-0005-0000-0000-000056150000}"/>
    <cellStyle name="Normal 3 6 3 2 2 4 2" xfId="10113" xr:uid="{00000000-0005-0000-0000-000057150000}"/>
    <cellStyle name="Normal 3 6 3 2 2 5" xfId="6467" xr:uid="{00000000-0005-0000-0000-000058150000}"/>
    <cellStyle name="Normal 3 6 3 2 3" xfId="1818" xr:uid="{00000000-0005-0000-0000-000059150000}"/>
    <cellStyle name="Normal 3 6 3 2 3 2" xfId="5589" xr:uid="{00000000-0005-0000-0000-00005A150000}"/>
    <cellStyle name="Normal 3 6 3 2 3 2 2" xfId="10877" xr:uid="{00000000-0005-0000-0000-00005B150000}"/>
    <cellStyle name="Normal 3 6 3 2 3 3" xfId="7231" xr:uid="{00000000-0005-0000-0000-00005C150000}"/>
    <cellStyle name="Normal 3 6 3 2 4" xfId="2370" xr:uid="{00000000-0005-0000-0000-00005D150000}"/>
    <cellStyle name="Normal 3 6 3 2 4 2" xfId="7728" xr:uid="{00000000-0005-0000-0000-00005E150000}"/>
    <cellStyle name="Normal 3 6 3 2 5" xfId="3484" xr:uid="{00000000-0005-0000-0000-00005F150000}"/>
    <cellStyle name="Normal 3 6 3 2 5 2" xfId="8776" xr:uid="{00000000-0005-0000-0000-000060150000}"/>
    <cellStyle name="Normal 3 6 3 2 6" xfId="4824" xr:uid="{00000000-0005-0000-0000-000061150000}"/>
    <cellStyle name="Normal 3 6 3 2 6 2" xfId="10112" xr:uid="{00000000-0005-0000-0000-000062150000}"/>
    <cellStyle name="Normal 3 6 3 2 7" xfId="6466" xr:uid="{00000000-0005-0000-0000-000063150000}"/>
    <cellStyle name="Normal 3 6 3 3" xfId="1008" xr:uid="{00000000-0005-0000-0000-000064150000}"/>
    <cellStyle name="Normal 3 6 3 3 2" xfId="1009" xr:uid="{00000000-0005-0000-0000-000065150000}"/>
    <cellStyle name="Normal 3 6 3 3 2 2" xfId="2875" xr:uid="{00000000-0005-0000-0000-000066150000}"/>
    <cellStyle name="Normal 3 6 3 3 2 2 2" xfId="8228" xr:uid="{00000000-0005-0000-0000-000067150000}"/>
    <cellStyle name="Normal 3 6 3 3 2 3" xfId="3985" xr:uid="{00000000-0005-0000-0000-000068150000}"/>
    <cellStyle name="Normal 3 6 3 3 2 3 2" xfId="9276" xr:uid="{00000000-0005-0000-0000-000069150000}"/>
    <cellStyle name="Normal 3 6 3 3 2 4" xfId="4827" xr:uid="{00000000-0005-0000-0000-00006A150000}"/>
    <cellStyle name="Normal 3 6 3 3 2 4 2" xfId="10115" xr:uid="{00000000-0005-0000-0000-00006B150000}"/>
    <cellStyle name="Normal 3 6 3 3 2 5" xfId="6469" xr:uid="{00000000-0005-0000-0000-00006C150000}"/>
    <cellStyle name="Normal 3 6 3 3 3" xfId="1819" xr:uid="{00000000-0005-0000-0000-00006D150000}"/>
    <cellStyle name="Normal 3 6 3 3 3 2" xfId="5590" xr:uid="{00000000-0005-0000-0000-00006E150000}"/>
    <cellStyle name="Normal 3 6 3 3 3 2 2" xfId="10878" xr:uid="{00000000-0005-0000-0000-00006F150000}"/>
    <cellStyle name="Normal 3 6 3 3 3 3" xfId="7232" xr:uid="{00000000-0005-0000-0000-000070150000}"/>
    <cellStyle name="Normal 3 6 3 3 4" xfId="2371" xr:uid="{00000000-0005-0000-0000-000071150000}"/>
    <cellStyle name="Normal 3 6 3 3 4 2" xfId="7729" xr:uid="{00000000-0005-0000-0000-000072150000}"/>
    <cellStyle name="Normal 3 6 3 3 5" xfId="3485" xr:uid="{00000000-0005-0000-0000-000073150000}"/>
    <cellStyle name="Normal 3 6 3 3 5 2" xfId="8777" xr:uid="{00000000-0005-0000-0000-000074150000}"/>
    <cellStyle name="Normal 3 6 3 3 6" xfId="4826" xr:uid="{00000000-0005-0000-0000-000075150000}"/>
    <cellStyle name="Normal 3 6 3 3 6 2" xfId="10114" xr:uid="{00000000-0005-0000-0000-000076150000}"/>
    <cellStyle name="Normal 3 6 3 3 7" xfId="6468" xr:uid="{00000000-0005-0000-0000-000077150000}"/>
    <cellStyle name="Normal 3 6 3 4" xfId="1010" xr:uid="{00000000-0005-0000-0000-000078150000}"/>
    <cellStyle name="Normal 3 6 3 4 2" xfId="2873" xr:uid="{00000000-0005-0000-0000-000079150000}"/>
    <cellStyle name="Normal 3 6 3 4 2 2" xfId="8226" xr:uid="{00000000-0005-0000-0000-00007A150000}"/>
    <cellStyle name="Normal 3 6 3 4 3" xfId="3983" xr:uid="{00000000-0005-0000-0000-00007B150000}"/>
    <cellStyle name="Normal 3 6 3 4 3 2" xfId="9274" xr:uid="{00000000-0005-0000-0000-00007C150000}"/>
    <cellStyle name="Normal 3 6 3 4 4" xfId="4828" xr:uid="{00000000-0005-0000-0000-00007D150000}"/>
    <cellStyle name="Normal 3 6 3 4 4 2" xfId="10116" xr:uid="{00000000-0005-0000-0000-00007E150000}"/>
    <cellStyle name="Normal 3 6 3 4 5" xfId="6470" xr:uid="{00000000-0005-0000-0000-00007F150000}"/>
    <cellStyle name="Normal 3 6 3 5" xfId="1817" xr:uid="{00000000-0005-0000-0000-000080150000}"/>
    <cellStyle name="Normal 3 6 3 5 2" xfId="5588" xr:uid="{00000000-0005-0000-0000-000081150000}"/>
    <cellStyle name="Normal 3 6 3 5 2 2" xfId="10876" xr:uid="{00000000-0005-0000-0000-000082150000}"/>
    <cellStyle name="Normal 3 6 3 5 3" xfId="7230" xr:uid="{00000000-0005-0000-0000-000083150000}"/>
    <cellStyle name="Normal 3 6 3 6" xfId="2369" xr:uid="{00000000-0005-0000-0000-000084150000}"/>
    <cellStyle name="Normal 3 6 3 6 2" xfId="7727" xr:uid="{00000000-0005-0000-0000-000085150000}"/>
    <cellStyle name="Normal 3 6 3 7" xfId="3483" xr:uid="{00000000-0005-0000-0000-000086150000}"/>
    <cellStyle name="Normal 3 6 3 7 2" xfId="8775" xr:uid="{00000000-0005-0000-0000-000087150000}"/>
    <cellStyle name="Normal 3 6 3 8" xfId="4823" xr:uid="{00000000-0005-0000-0000-000088150000}"/>
    <cellStyle name="Normal 3 6 3 8 2" xfId="10111" xr:uid="{00000000-0005-0000-0000-000089150000}"/>
    <cellStyle name="Normal 3 6 3 9" xfId="6465" xr:uid="{00000000-0005-0000-0000-00008A150000}"/>
    <cellStyle name="Normal 3 6 4" xfId="1011" xr:uid="{00000000-0005-0000-0000-00008B150000}"/>
    <cellStyle name="Normal 3 6 4 2" xfId="1012" xr:uid="{00000000-0005-0000-0000-00008C150000}"/>
    <cellStyle name="Normal 3 6 4 2 2" xfId="2876" xr:uid="{00000000-0005-0000-0000-00008D150000}"/>
    <cellStyle name="Normal 3 6 4 2 2 2" xfId="8229" xr:uid="{00000000-0005-0000-0000-00008E150000}"/>
    <cellStyle name="Normal 3 6 4 2 3" xfId="3986" xr:uid="{00000000-0005-0000-0000-00008F150000}"/>
    <cellStyle name="Normal 3 6 4 2 3 2" xfId="9277" xr:uid="{00000000-0005-0000-0000-000090150000}"/>
    <cellStyle name="Normal 3 6 4 2 4" xfId="4830" xr:uid="{00000000-0005-0000-0000-000091150000}"/>
    <cellStyle name="Normal 3 6 4 2 4 2" xfId="10118" xr:uid="{00000000-0005-0000-0000-000092150000}"/>
    <cellStyle name="Normal 3 6 4 2 5" xfId="6472" xr:uid="{00000000-0005-0000-0000-000093150000}"/>
    <cellStyle name="Normal 3 6 4 3" xfId="1820" xr:uid="{00000000-0005-0000-0000-000094150000}"/>
    <cellStyle name="Normal 3 6 4 3 2" xfId="5591" xr:uid="{00000000-0005-0000-0000-000095150000}"/>
    <cellStyle name="Normal 3 6 4 3 2 2" xfId="10879" xr:uid="{00000000-0005-0000-0000-000096150000}"/>
    <cellStyle name="Normal 3 6 4 3 3" xfId="7233" xr:uid="{00000000-0005-0000-0000-000097150000}"/>
    <cellStyle name="Normal 3 6 4 4" xfId="2372" xr:uid="{00000000-0005-0000-0000-000098150000}"/>
    <cellStyle name="Normal 3 6 4 4 2" xfId="7730" xr:uid="{00000000-0005-0000-0000-000099150000}"/>
    <cellStyle name="Normal 3 6 4 5" xfId="3486" xr:uid="{00000000-0005-0000-0000-00009A150000}"/>
    <cellStyle name="Normal 3 6 4 5 2" xfId="8778" xr:uid="{00000000-0005-0000-0000-00009B150000}"/>
    <cellStyle name="Normal 3 6 4 6" xfId="4829" xr:uid="{00000000-0005-0000-0000-00009C150000}"/>
    <cellStyle name="Normal 3 6 4 6 2" xfId="10117" xr:uid="{00000000-0005-0000-0000-00009D150000}"/>
    <cellStyle name="Normal 3 6 4 7" xfId="6471" xr:uid="{00000000-0005-0000-0000-00009E150000}"/>
    <cellStyle name="Normal 3 6 5" xfId="1013" xr:uid="{00000000-0005-0000-0000-00009F150000}"/>
    <cellStyle name="Normal 3 6 5 2" xfId="1014" xr:uid="{00000000-0005-0000-0000-0000A0150000}"/>
    <cellStyle name="Normal 3 6 5 2 2" xfId="2877" xr:uid="{00000000-0005-0000-0000-0000A1150000}"/>
    <cellStyle name="Normal 3 6 5 2 2 2" xfId="8230" xr:uid="{00000000-0005-0000-0000-0000A2150000}"/>
    <cellStyle name="Normal 3 6 5 2 3" xfId="3987" xr:uid="{00000000-0005-0000-0000-0000A3150000}"/>
    <cellStyle name="Normal 3 6 5 2 3 2" xfId="9278" xr:uid="{00000000-0005-0000-0000-0000A4150000}"/>
    <cellStyle name="Normal 3 6 5 2 4" xfId="4832" xr:uid="{00000000-0005-0000-0000-0000A5150000}"/>
    <cellStyle name="Normal 3 6 5 2 4 2" xfId="10120" xr:uid="{00000000-0005-0000-0000-0000A6150000}"/>
    <cellStyle name="Normal 3 6 5 2 5" xfId="6474" xr:uid="{00000000-0005-0000-0000-0000A7150000}"/>
    <cellStyle name="Normal 3 6 5 3" xfId="1821" xr:uid="{00000000-0005-0000-0000-0000A8150000}"/>
    <cellStyle name="Normal 3 6 5 3 2" xfId="5592" xr:uid="{00000000-0005-0000-0000-0000A9150000}"/>
    <cellStyle name="Normal 3 6 5 3 2 2" xfId="10880" xr:uid="{00000000-0005-0000-0000-0000AA150000}"/>
    <cellStyle name="Normal 3 6 5 3 3" xfId="7234" xr:uid="{00000000-0005-0000-0000-0000AB150000}"/>
    <cellStyle name="Normal 3 6 5 4" xfId="2373" xr:uid="{00000000-0005-0000-0000-0000AC150000}"/>
    <cellStyle name="Normal 3 6 5 4 2" xfId="7731" xr:uid="{00000000-0005-0000-0000-0000AD150000}"/>
    <cellStyle name="Normal 3 6 5 5" xfId="3487" xr:uid="{00000000-0005-0000-0000-0000AE150000}"/>
    <cellStyle name="Normal 3 6 5 5 2" xfId="8779" xr:uid="{00000000-0005-0000-0000-0000AF150000}"/>
    <cellStyle name="Normal 3 6 5 6" xfId="4831" xr:uid="{00000000-0005-0000-0000-0000B0150000}"/>
    <cellStyle name="Normal 3 6 5 6 2" xfId="10119" xr:uid="{00000000-0005-0000-0000-0000B1150000}"/>
    <cellStyle name="Normal 3 6 5 7" xfId="6473" xr:uid="{00000000-0005-0000-0000-0000B2150000}"/>
    <cellStyle name="Normal 3 6 6" xfId="1015" xr:uid="{00000000-0005-0000-0000-0000B3150000}"/>
    <cellStyle name="Normal 3 6 6 2" xfId="2866" xr:uid="{00000000-0005-0000-0000-0000B4150000}"/>
    <cellStyle name="Normal 3 6 6 2 2" xfId="8219" xr:uid="{00000000-0005-0000-0000-0000B5150000}"/>
    <cellStyle name="Normal 3 6 6 3" xfId="3976" xr:uid="{00000000-0005-0000-0000-0000B6150000}"/>
    <cellStyle name="Normal 3 6 6 3 2" xfId="9267" xr:uid="{00000000-0005-0000-0000-0000B7150000}"/>
    <cellStyle name="Normal 3 6 6 4" xfId="4833" xr:uid="{00000000-0005-0000-0000-0000B8150000}"/>
    <cellStyle name="Normal 3 6 6 4 2" xfId="10121" xr:uid="{00000000-0005-0000-0000-0000B9150000}"/>
    <cellStyle name="Normal 3 6 6 5" xfId="6475" xr:uid="{00000000-0005-0000-0000-0000BA150000}"/>
    <cellStyle name="Normal 3 6 7" xfId="1810" xr:uid="{00000000-0005-0000-0000-0000BB150000}"/>
    <cellStyle name="Normal 3 6 7 2" xfId="5581" xr:uid="{00000000-0005-0000-0000-0000BC150000}"/>
    <cellStyle name="Normal 3 6 7 2 2" xfId="10869" xr:uid="{00000000-0005-0000-0000-0000BD150000}"/>
    <cellStyle name="Normal 3 6 7 3" xfId="7223" xr:uid="{00000000-0005-0000-0000-0000BE150000}"/>
    <cellStyle name="Normal 3 6 8" xfId="2362" xr:uid="{00000000-0005-0000-0000-0000BF150000}"/>
    <cellStyle name="Normal 3 6 8 2" xfId="5891" xr:uid="{00000000-0005-0000-0000-0000C0150000}"/>
    <cellStyle name="Normal 3 6 8 2 2" xfId="11165" xr:uid="{00000000-0005-0000-0000-0000C1150000}"/>
    <cellStyle name="Normal 3 6 8 3" xfId="7720" xr:uid="{00000000-0005-0000-0000-0000C2150000}"/>
    <cellStyle name="Normal 3 6 9" xfId="3217" xr:uid="{00000000-0005-0000-0000-0000C3150000}"/>
    <cellStyle name="Normal 3 6 9 2" xfId="8517" xr:uid="{00000000-0005-0000-0000-0000C4150000}"/>
    <cellStyle name="Normal 3 7" xfId="1016" xr:uid="{00000000-0005-0000-0000-0000C5150000}"/>
    <cellStyle name="Normal 3 7 10" xfId="4834" xr:uid="{00000000-0005-0000-0000-0000C6150000}"/>
    <cellStyle name="Normal 3 7 10 2" xfId="10122" xr:uid="{00000000-0005-0000-0000-0000C7150000}"/>
    <cellStyle name="Normal 3 7 11" xfId="6476" xr:uid="{00000000-0005-0000-0000-0000C8150000}"/>
    <cellStyle name="Normal 3 7 2" xfId="1017" xr:uid="{00000000-0005-0000-0000-0000C9150000}"/>
    <cellStyle name="Normal 3 7 2 10" xfId="6477" xr:uid="{00000000-0005-0000-0000-0000CA150000}"/>
    <cellStyle name="Normal 3 7 2 2" xfId="1018" xr:uid="{00000000-0005-0000-0000-0000CB150000}"/>
    <cellStyle name="Normal 3 7 2 2 2" xfId="1019" xr:uid="{00000000-0005-0000-0000-0000CC150000}"/>
    <cellStyle name="Normal 3 7 2 2 2 2" xfId="1020" xr:uid="{00000000-0005-0000-0000-0000CD150000}"/>
    <cellStyle name="Normal 3 7 2 2 2 2 2" xfId="2881" xr:uid="{00000000-0005-0000-0000-0000CE150000}"/>
    <cellStyle name="Normal 3 7 2 2 2 2 2 2" xfId="8234" xr:uid="{00000000-0005-0000-0000-0000CF150000}"/>
    <cellStyle name="Normal 3 7 2 2 2 2 3" xfId="3991" xr:uid="{00000000-0005-0000-0000-0000D0150000}"/>
    <cellStyle name="Normal 3 7 2 2 2 2 3 2" xfId="9282" xr:uid="{00000000-0005-0000-0000-0000D1150000}"/>
    <cellStyle name="Normal 3 7 2 2 2 2 4" xfId="4838" xr:uid="{00000000-0005-0000-0000-0000D2150000}"/>
    <cellStyle name="Normal 3 7 2 2 2 2 4 2" xfId="10126" xr:uid="{00000000-0005-0000-0000-0000D3150000}"/>
    <cellStyle name="Normal 3 7 2 2 2 2 5" xfId="6480" xr:uid="{00000000-0005-0000-0000-0000D4150000}"/>
    <cellStyle name="Normal 3 7 2 2 2 3" xfId="1825" xr:uid="{00000000-0005-0000-0000-0000D5150000}"/>
    <cellStyle name="Normal 3 7 2 2 2 3 2" xfId="5596" xr:uid="{00000000-0005-0000-0000-0000D6150000}"/>
    <cellStyle name="Normal 3 7 2 2 2 3 2 2" xfId="10884" xr:uid="{00000000-0005-0000-0000-0000D7150000}"/>
    <cellStyle name="Normal 3 7 2 2 2 3 3" xfId="7238" xr:uid="{00000000-0005-0000-0000-0000D8150000}"/>
    <cellStyle name="Normal 3 7 2 2 2 4" xfId="2377" xr:uid="{00000000-0005-0000-0000-0000D9150000}"/>
    <cellStyle name="Normal 3 7 2 2 2 4 2" xfId="7735" xr:uid="{00000000-0005-0000-0000-0000DA150000}"/>
    <cellStyle name="Normal 3 7 2 2 2 5" xfId="3491" xr:uid="{00000000-0005-0000-0000-0000DB150000}"/>
    <cellStyle name="Normal 3 7 2 2 2 5 2" xfId="8783" xr:uid="{00000000-0005-0000-0000-0000DC150000}"/>
    <cellStyle name="Normal 3 7 2 2 2 6" xfId="4837" xr:uid="{00000000-0005-0000-0000-0000DD150000}"/>
    <cellStyle name="Normal 3 7 2 2 2 6 2" xfId="10125" xr:uid="{00000000-0005-0000-0000-0000DE150000}"/>
    <cellStyle name="Normal 3 7 2 2 2 7" xfId="6479" xr:uid="{00000000-0005-0000-0000-0000DF150000}"/>
    <cellStyle name="Normal 3 7 2 2 3" xfId="1021" xr:uid="{00000000-0005-0000-0000-0000E0150000}"/>
    <cellStyle name="Normal 3 7 2 2 3 2" xfId="1022" xr:uid="{00000000-0005-0000-0000-0000E1150000}"/>
    <cellStyle name="Normal 3 7 2 2 3 2 2" xfId="2882" xr:uid="{00000000-0005-0000-0000-0000E2150000}"/>
    <cellStyle name="Normal 3 7 2 2 3 2 2 2" xfId="8235" xr:uid="{00000000-0005-0000-0000-0000E3150000}"/>
    <cellStyle name="Normal 3 7 2 2 3 2 3" xfId="3992" xr:uid="{00000000-0005-0000-0000-0000E4150000}"/>
    <cellStyle name="Normal 3 7 2 2 3 2 3 2" xfId="9283" xr:uid="{00000000-0005-0000-0000-0000E5150000}"/>
    <cellStyle name="Normal 3 7 2 2 3 2 4" xfId="4840" xr:uid="{00000000-0005-0000-0000-0000E6150000}"/>
    <cellStyle name="Normal 3 7 2 2 3 2 4 2" xfId="10128" xr:uid="{00000000-0005-0000-0000-0000E7150000}"/>
    <cellStyle name="Normal 3 7 2 2 3 2 5" xfId="6482" xr:uid="{00000000-0005-0000-0000-0000E8150000}"/>
    <cellStyle name="Normal 3 7 2 2 3 3" xfId="1826" xr:uid="{00000000-0005-0000-0000-0000E9150000}"/>
    <cellStyle name="Normal 3 7 2 2 3 3 2" xfId="5597" xr:uid="{00000000-0005-0000-0000-0000EA150000}"/>
    <cellStyle name="Normal 3 7 2 2 3 3 2 2" xfId="10885" xr:uid="{00000000-0005-0000-0000-0000EB150000}"/>
    <cellStyle name="Normal 3 7 2 2 3 3 3" xfId="7239" xr:uid="{00000000-0005-0000-0000-0000EC150000}"/>
    <cellStyle name="Normal 3 7 2 2 3 4" xfId="2378" xr:uid="{00000000-0005-0000-0000-0000ED150000}"/>
    <cellStyle name="Normal 3 7 2 2 3 4 2" xfId="7736" xr:uid="{00000000-0005-0000-0000-0000EE150000}"/>
    <cellStyle name="Normal 3 7 2 2 3 5" xfId="3492" xr:uid="{00000000-0005-0000-0000-0000EF150000}"/>
    <cellStyle name="Normal 3 7 2 2 3 5 2" xfId="8784" xr:uid="{00000000-0005-0000-0000-0000F0150000}"/>
    <cellStyle name="Normal 3 7 2 2 3 6" xfId="4839" xr:uid="{00000000-0005-0000-0000-0000F1150000}"/>
    <cellStyle name="Normal 3 7 2 2 3 6 2" xfId="10127" xr:uid="{00000000-0005-0000-0000-0000F2150000}"/>
    <cellStyle name="Normal 3 7 2 2 3 7" xfId="6481" xr:uid="{00000000-0005-0000-0000-0000F3150000}"/>
    <cellStyle name="Normal 3 7 2 2 4" xfId="1023" xr:uid="{00000000-0005-0000-0000-0000F4150000}"/>
    <cellStyle name="Normal 3 7 2 2 4 2" xfId="2880" xr:uid="{00000000-0005-0000-0000-0000F5150000}"/>
    <cellStyle name="Normal 3 7 2 2 4 2 2" xfId="8233" xr:uid="{00000000-0005-0000-0000-0000F6150000}"/>
    <cellStyle name="Normal 3 7 2 2 4 3" xfId="3990" xr:uid="{00000000-0005-0000-0000-0000F7150000}"/>
    <cellStyle name="Normal 3 7 2 2 4 3 2" xfId="9281" xr:uid="{00000000-0005-0000-0000-0000F8150000}"/>
    <cellStyle name="Normal 3 7 2 2 4 4" xfId="4841" xr:uid="{00000000-0005-0000-0000-0000F9150000}"/>
    <cellStyle name="Normal 3 7 2 2 4 4 2" xfId="10129" xr:uid="{00000000-0005-0000-0000-0000FA150000}"/>
    <cellStyle name="Normal 3 7 2 2 4 5" xfId="6483" xr:uid="{00000000-0005-0000-0000-0000FB150000}"/>
    <cellStyle name="Normal 3 7 2 2 5" xfId="1824" xr:uid="{00000000-0005-0000-0000-0000FC150000}"/>
    <cellStyle name="Normal 3 7 2 2 5 2" xfId="5595" xr:uid="{00000000-0005-0000-0000-0000FD150000}"/>
    <cellStyle name="Normal 3 7 2 2 5 2 2" xfId="10883" xr:uid="{00000000-0005-0000-0000-0000FE150000}"/>
    <cellStyle name="Normal 3 7 2 2 5 3" xfId="7237" xr:uid="{00000000-0005-0000-0000-0000FF150000}"/>
    <cellStyle name="Normal 3 7 2 2 6" xfId="2376" xr:uid="{00000000-0005-0000-0000-000000160000}"/>
    <cellStyle name="Normal 3 7 2 2 6 2" xfId="7734" xr:uid="{00000000-0005-0000-0000-000001160000}"/>
    <cellStyle name="Normal 3 7 2 2 7" xfId="3490" xr:uid="{00000000-0005-0000-0000-000002160000}"/>
    <cellStyle name="Normal 3 7 2 2 7 2" xfId="8782" xr:uid="{00000000-0005-0000-0000-000003160000}"/>
    <cellStyle name="Normal 3 7 2 2 8" xfId="4836" xr:uid="{00000000-0005-0000-0000-000004160000}"/>
    <cellStyle name="Normal 3 7 2 2 8 2" xfId="10124" xr:uid="{00000000-0005-0000-0000-000005160000}"/>
    <cellStyle name="Normal 3 7 2 2 9" xfId="6478" xr:uid="{00000000-0005-0000-0000-000006160000}"/>
    <cellStyle name="Normal 3 7 2 3" xfId="1024" xr:uid="{00000000-0005-0000-0000-000007160000}"/>
    <cellStyle name="Normal 3 7 2 3 2" xfId="1025" xr:uid="{00000000-0005-0000-0000-000008160000}"/>
    <cellStyle name="Normal 3 7 2 3 2 2" xfId="2883" xr:uid="{00000000-0005-0000-0000-000009160000}"/>
    <cellStyle name="Normal 3 7 2 3 2 2 2" xfId="8236" xr:uid="{00000000-0005-0000-0000-00000A160000}"/>
    <cellStyle name="Normal 3 7 2 3 2 3" xfId="3993" xr:uid="{00000000-0005-0000-0000-00000B160000}"/>
    <cellStyle name="Normal 3 7 2 3 2 3 2" xfId="9284" xr:uid="{00000000-0005-0000-0000-00000C160000}"/>
    <cellStyle name="Normal 3 7 2 3 2 4" xfId="4843" xr:uid="{00000000-0005-0000-0000-00000D160000}"/>
    <cellStyle name="Normal 3 7 2 3 2 4 2" xfId="10131" xr:uid="{00000000-0005-0000-0000-00000E160000}"/>
    <cellStyle name="Normal 3 7 2 3 2 5" xfId="6485" xr:uid="{00000000-0005-0000-0000-00000F160000}"/>
    <cellStyle name="Normal 3 7 2 3 3" xfId="1827" xr:uid="{00000000-0005-0000-0000-000010160000}"/>
    <cellStyle name="Normal 3 7 2 3 3 2" xfId="5598" xr:uid="{00000000-0005-0000-0000-000011160000}"/>
    <cellStyle name="Normal 3 7 2 3 3 2 2" xfId="10886" xr:uid="{00000000-0005-0000-0000-000012160000}"/>
    <cellStyle name="Normal 3 7 2 3 3 3" xfId="7240" xr:uid="{00000000-0005-0000-0000-000013160000}"/>
    <cellStyle name="Normal 3 7 2 3 4" xfId="2379" xr:uid="{00000000-0005-0000-0000-000014160000}"/>
    <cellStyle name="Normal 3 7 2 3 4 2" xfId="7737" xr:uid="{00000000-0005-0000-0000-000015160000}"/>
    <cellStyle name="Normal 3 7 2 3 5" xfId="3493" xr:uid="{00000000-0005-0000-0000-000016160000}"/>
    <cellStyle name="Normal 3 7 2 3 5 2" xfId="8785" xr:uid="{00000000-0005-0000-0000-000017160000}"/>
    <cellStyle name="Normal 3 7 2 3 6" xfId="4842" xr:uid="{00000000-0005-0000-0000-000018160000}"/>
    <cellStyle name="Normal 3 7 2 3 6 2" xfId="10130" xr:uid="{00000000-0005-0000-0000-000019160000}"/>
    <cellStyle name="Normal 3 7 2 3 7" xfId="6484" xr:uid="{00000000-0005-0000-0000-00001A160000}"/>
    <cellStyle name="Normal 3 7 2 4" xfId="1026" xr:uid="{00000000-0005-0000-0000-00001B160000}"/>
    <cellStyle name="Normal 3 7 2 4 2" xfId="1027" xr:uid="{00000000-0005-0000-0000-00001C160000}"/>
    <cellStyle name="Normal 3 7 2 4 2 2" xfId="2884" xr:uid="{00000000-0005-0000-0000-00001D160000}"/>
    <cellStyle name="Normal 3 7 2 4 2 2 2" xfId="8237" xr:uid="{00000000-0005-0000-0000-00001E160000}"/>
    <cellStyle name="Normal 3 7 2 4 2 3" xfId="3994" xr:uid="{00000000-0005-0000-0000-00001F160000}"/>
    <cellStyle name="Normal 3 7 2 4 2 3 2" xfId="9285" xr:uid="{00000000-0005-0000-0000-000020160000}"/>
    <cellStyle name="Normal 3 7 2 4 2 4" xfId="4845" xr:uid="{00000000-0005-0000-0000-000021160000}"/>
    <cellStyle name="Normal 3 7 2 4 2 4 2" xfId="10133" xr:uid="{00000000-0005-0000-0000-000022160000}"/>
    <cellStyle name="Normal 3 7 2 4 2 5" xfId="6487" xr:uid="{00000000-0005-0000-0000-000023160000}"/>
    <cellStyle name="Normal 3 7 2 4 3" xfId="1828" xr:uid="{00000000-0005-0000-0000-000024160000}"/>
    <cellStyle name="Normal 3 7 2 4 3 2" xfId="5599" xr:uid="{00000000-0005-0000-0000-000025160000}"/>
    <cellStyle name="Normal 3 7 2 4 3 2 2" xfId="10887" xr:uid="{00000000-0005-0000-0000-000026160000}"/>
    <cellStyle name="Normal 3 7 2 4 3 3" xfId="7241" xr:uid="{00000000-0005-0000-0000-000027160000}"/>
    <cellStyle name="Normal 3 7 2 4 4" xfId="2380" xr:uid="{00000000-0005-0000-0000-000028160000}"/>
    <cellStyle name="Normal 3 7 2 4 4 2" xfId="7738" xr:uid="{00000000-0005-0000-0000-000029160000}"/>
    <cellStyle name="Normal 3 7 2 4 5" xfId="3494" xr:uid="{00000000-0005-0000-0000-00002A160000}"/>
    <cellStyle name="Normal 3 7 2 4 5 2" xfId="8786" xr:uid="{00000000-0005-0000-0000-00002B160000}"/>
    <cellStyle name="Normal 3 7 2 4 6" xfId="4844" xr:uid="{00000000-0005-0000-0000-00002C160000}"/>
    <cellStyle name="Normal 3 7 2 4 6 2" xfId="10132" xr:uid="{00000000-0005-0000-0000-00002D160000}"/>
    <cellStyle name="Normal 3 7 2 4 7" xfId="6486" xr:uid="{00000000-0005-0000-0000-00002E160000}"/>
    <cellStyle name="Normal 3 7 2 5" xfId="1028" xr:uid="{00000000-0005-0000-0000-00002F160000}"/>
    <cellStyle name="Normal 3 7 2 5 2" xfId="2879" xr:uid="{00000000-0005-0000-0000-000030160000}"/>
    <cellStyle name="Normal 3 7 2 5 2 2" xfId="8232" xr:uid="{00000000-0005-0000-0000-000031160000}"/>
    <cellStyle name="Normal 3 7 2 5 3" xfId="3989" xr:uid="{00000000-0005-0000-0000-000032160000}"/>
    <cellStyle name="Normal 3 7 2 5 3 2" xfId="9280" xr:uid="{00000000-0005-0000-0000-000033160000}"/>
    <cellStyle name="Normal 3 7 2 5 4" xfId="4846" xr:uid="{00000000-0005-0000-0000-000034160000}"/>
    <cellStyle name="Normal 3 7 2 5 4 2" xfId="10134" xr:uid="{00000000-0005-0000-0000-000035160000}"/>
    <cellStyle name="Normal 3 7 2 5 5" xfId="6488" xr:uid="{00000000-0005-0000-0000-000036160000}"/>
    <cellStyle name="Normal 3 7 2 6" xfId="1823" xr:uid="{00000000-0005-0000-0000-000037160000}"/>
    <cellStyle name="Normal 3 7 2 6 2" xfId="5594" xr:uid="{00000000-0005-0000-0000-000038160000}"/>
    <cellStyle name="Normal 3 7 2 6 2 2" xfId="10882" xr:uid="{00000000-0005-0000-0000-000039160000}"/>
    <cellStyle name="Normal 3 7 2 6 3" xfId="7236" xr:uid="{00000000-0005-0000-0000-00003A160000}"/>
    <cellStyle name="Normal 3 7 2 7" xfId="2375" xr:uid="{00000000-0005-0000-0000-00003B160000}"/>
    <cellStyle name="Normal 3 7 2 7 2" xfId="7733" xr:uid="{00000000-0005-0000-0000-00003C160000}"/>
    <cellStyle name="Normal 3 7 2 8" xfId="3489" xr:uid="{00000000-0005-0000-0000-00003D160000}"/>
    <cellStyle name="Normal 3 7 2 8 2" xfId="8781" xr:uid="{00000000-0005-0000-0000-00003E160000}"/>
    <cellStyle name="Normal 3 7 2 9" xfId="4835" xr:uid="{00000000-0005-0000-0000-00003F160000}"/>
    <cellStyle name="Normal 3 7 2 9 2" xfId="10123" xr:uid="{00000000-0005-0000-0000-000040160000}"/>
    <cellStyle name="Normal 3 7 3" xfId="1029" xr:uid="{00000000-0005-0000-0000-000041160000}"/>
    <cellStyle name="Normal 3 7 3 2" xfId="1030" xr:uid="{00000000-0005-0000-0000-000042160000}"/>
    <cellStyle name="Normal 3 7 3 2 2" xfId="1031" xr:uid="{00000000-0005-0000-0000-000043160000}"/>
    <cellStyle name="Normal 3 7 3 2 2 2" xfId="2886" xr:uid="{00000000-0005-0000-0000-000044160000}"/>
    <cellStyle name="Normal 3 7 3 2 2 2 2" xfId="8239" xr:uid="{00000000-0005-0000-0000-000045160000}"/>
    <cellStyle name="Normal 3 7 3 2 2 3" xfId="3996" xr:uid="{00000000-0005-0000-0000-000046160000}"/>
    <cellStyle name="Normal 3 7 3 2 2 3 2" xfId="9287" xr:uid="{00000000-0005-0000-0000-000047160000}"/>
    <cellStyle name="Normal 3 7 3 2 2 4" xfId="4849" xr:uid="{00000000-0005-0000-0000-000048160000}"/>
    <cellStyle name="Normal 3 7 3 2 2 4 2" xfId="10137" xr:uid="{00000000-0005-0000-0000-000049160000}"/>
    <cellStyle name="Normal 3 7 3 2 2 5" xfId="6491" xr:uid="{00000000-0005-0000-0000-00004A160000}"/>
    <cellStyle name="Normal 3 7 3 2 3" xfId="1830" xr:uid="{00000000-0005-0000-0000-00004B160000}"/>
    <cellStyle name="Normal 3 7 3 2 3 2" xfId="5601" xr:uid="{00000000-0005-0000-0000-00004C160000}"/>
    <cellStyle name="Normal 3 7 3 2 3 2 2" xfId="10889" xr:uid="{00000000-0005-0000-0000-00004D160000}"/>
    <cellStyle name="Normal 3 7 3 2 3 3" xfId="7243" xr:uid="{00000000-0005-0000-0000-00004E160000}"/>
    <cellStyle name="Normal 3 7 3 2 4" xfId="2382" xr:uid="{00000000-0005-0000-0000-00004F160000}"/>
    <cellStyle name="Normal 3 7 3 2 4 2" xfId="7740" xr:uid="{00000000-0005-0000-0000-000050160000}"/>
    <cellStyle name="Normal 3 7 3 2 5" xfId="3496" xr:uid="{00000000-0005-0000-0000-000051160000}"/>
    <cellStyle name="Normal 3 7 3 2 5 2" xfId="8788" xr:uid="{00000000-0005-0000-0000-000052160000}"/>
    <cellStyle name="Normal 3 7 3 2 6" xfId="4848" xr:uid="{00000000-0005-0000-0000-000053160000}"/>
    <cellStyle name="Normal 3 7 3 2 6 2" xfId="10136" xr:uid="{00000000-0005-0000-0000-000054160000}"/>
    <cellStyle name="Normal 3 7 3 2 7" xfId="6490" xr:uid="{00000000-0005-0000-0000-000055160000}"/>
    <cellStyle name="Normal 3 7 3 3" xfId="1032" xr:uid="{00000000-0005-0000-0000-000056160000}"/>
    <cellStyle name="Normal 3 7 3 3 2" xfId="1033" xr:uid="{00000000-0005-0000-0000-000057160000}"/>
    <cellStyle name="Normal 3 7 3 3 2 2" xfId="2887" xr:uid="{00000000-0005-0000-0000-000058160000}"/>
    <cellStyle name="Normal 3 7 3 3 2 2 2" xfId="8240" xr:uid="{00000000-0005-0000-0000-000059160000}"/>
    <cellStyle name="Normal 3 7 3 3 2 3" xfId="3997" xr:uid="{00000000-0005-0000-0000-00005A160000}"/>
    <cellStyle name="Normal 3 7 3 3 2 3 2" xfId="9288" xr:uid="{00000000-0005-0000-0000-00005B160000}"/>
    <cellStyle name="Normal 3 7 3 3 2 4" xfId="4851" xr:uid="{00000000-0005-0000-0000-00005C160000}"/>
    <cellStyle name="Normal 3 7 3 3 2 4 2" xfId="10139" xr:uid="{00000000-0005-0000-0000-00005D160000}"/>
    <cellStyle name="Normal 3 7 3 3 2 5" xfId="6493" xr:uid="{00000000-0005-0000-0000-00005E160000}"/>
    <cellStyle name="Normal 3 7 3 3 3" xfId="1831" xr:uid="{00000000-0005-0000-0000-00005F160000}"/>
    <cellStyle name="Normal 3 7 3 3 3 2" xfId="5602" xr:uid="{00000000-0005-0000-0000-000060160000}"/>
    <cellStyle name="Normal 3 7 3 3 3 2 2" xfId="10890" xr:uid="{00000000-0005-0000-0000-000061160000}"/>
    <cellStyle name="Normal 3 7 3 3 3 3" xfId="7244" xr:uid="{00000000-0005-0000-0000-000062160000}"/>
    <cellStyle name="Normal 3 7 3 3 4" xfId="2383" xr:uid="{00000000-0005-0000-0000-000063160000}"/>
    <cellStyle name="Normal 3 7 3 3 4 2" xfId="7741" xr:uid="{00000000-0005-0000-0000-000064160000}"/>
    <cellStyle name="Normal 3 7 3 3 5" xfId="3497" xr:uid="{00000000-0005-0000-0000-000065160000}"/>
    <cellStyle name="Normal 3 7 3 3 5 2" xfId="8789" xr:uid="{00000000-0005-0000-0000-000066160000}"/>
    <cellStyle name="Normal 3 7 3 3 6" xfId="4850" xr:uid="{00000000-0005-0000-0000-000067160000}"/>
    <cellStyle name="Normal 3 7 3 3 6 2" xfId="10138" xr:uid="{00000000-0005-0000-0000-000068160000}"/>
    <cellStyle name="Normal 3 7 3 3 7" xfId="6492" xr:uid="{00000000-0005-0000-0000-000069160000}"/>
    <cellStyle name="Normal 3 7 3 4" xfId="1034" xr:uid="{00000000-0005-0000-0000-00006A160000}"/>
    <cellStyle name="Normal 3 7 3 4 2" xfId="2885" xr:uid="{00000000-0005-0000-0000-00006B160000}"/>
    <cellStyle name="Normal 3 7 3 4 2 2" xfId="8238" xr:uid="{00000000-0005-0000-0000-00006C160000}"/>
    <cellStyle name="Normal 3 7 3 4 3" xfId="3995" xr:uid="{00000000-0005-0000-0000-00006D160000}"/>
    <cellStyle name="Normal 3 7 3 4 3 2" xfId="9286" xr:uid="{00000000-0005-0000-0000-00006E160000}"/>
    <cellStyle name="Normal 3 7 3 4 4" xfId="4852" xr:uid="{00000000-0005-0000-0000-00006F160000}"/>
    <cellStyle name="Normal 3 7 3 4 4 2" xfId="10140" xr:uid="{00000000-0005-0000-0000-000070160000}"/>
    <cellStyle name="Normal 3 7 3 4 5" xfId="6494" xr:uid="{00000000-0005-0000-0000-000071160000}"/>
    <cellStyle name="Normal 3 7 3 5" xfId="1829" xr:uid="{00000000-0005-0000-0000-000072160000}"/>
    <cellStyle name="Normal 3 7 3 5 2" xfId="5600" xr:uid="{00000000-0005-0000-0000-000073160000}"/>
    <cellStyle name="Normal 3 7 3 5 2 2" xfId="10888" xr:uid="{00000000-0005-0000-0000-000074160000}"/>
    <cellStyle name="Normal 3 7 3 5 3" xfId="7242" xr:uid="{00000000-0005-0000-0000-000075160000}"/>
    <cellStyle name="Normal 3 7 3 6" xfId="2381" xr:uid="{00000000-0005-0000-0000-000076160000}"/>
    <cellStyle name="Normal 3 7 3 6 2" xfId="7739" xr:uid="{00000000-0005-0000-0000-000077160000}"/>
    <cellStyle name="Normal 3 7 3 7" xfId="3495" xr:uid="{00000000-0005-0000-0000-000078160000}"/>
    <cellStyle name="Normal 3 7 3 7 2" xfId="8787" xr:uid="{00000000-0005-0000-0000-000079160000}"/>
    <cellStyle name="Normal 3 7 3 8" xfId="4847" xr:uid="{00000000-0005-0000-0000-00007A160000}"/>
    <cellStyle name="Normal 3 7 3 8 2" xfId="10135" xr:uid="{00000000-0005-0000-0000-00007B160000}"/>
    <cellStyle name="Normal 3 7 3 9" xfId="6489" xr:uid="{00000000-0005-0000-0000-00007C160000}"/>
    <cellStyle name="Normal 3 7 4" xfId="1035" xr:uid="{00000000-0005-0000-0000-00007D160000}"/>
    <cellStyle name="Normal 3 7 4 2" xfId="1036" xr:uid="{00000000-0005-0000-0000-00007E160000}"/>
    <cellStyle name="Normal 3 7 4 2 2" xfId="2888" xr:uid="{00000000-0005-0000-0000-00007F160000}"/>
    <cellStyle name="Normal 3 7 4 2 2 2" xfId="8241" xr:uid="{00000000-0005-0000-0000-000080160000}"/>
    <cellStyle name="Normal 3 7 4 2 3" xfId="3998" xr:uid="{00000000-0005-0000-0000-000081160000}"/>
    <cellStyle name="Normal 3 7 4 2 3 2" xfId="9289" xr:uid="{00000000-0005-0000-0000-000082160000}"/>
    <cellStyle name="Normal 3 7 4 2 4" xfId="4854" xr:uid="{00000000-0005-0000-0000-000083160000}"/>
    <cellStyle name="Normal 3 7 4 2 4 2" xfId="10142" xr:uid="{00000000-0005-0000-0000-000084160000}"/>
    <cellStyle name="Normal 3 7 4 2 5" xfId="6496" xr:uid="{00000000-0005-0000-0000-000085160000}"/>
    <cellStyle name="Normal 3 7 4 3" xfId="1832" xr:uid="{00000000-0005-0000-0000-000086160000}"/>
    <cellStyle name="Normal 3 7 4 3 2" xfId="5603" xr:uid="{00000000-0005-0000-0000-000087160000}"/>
    <cellStyle name="Normal 3 7 4 3 2 2" xfId="10891" xr:uid="{00000000-0005-0000-0000-000088160000}"/>
    <cellStyle name="Normal 3 7 4 3 3" xfId="7245" xr:uid="{00000000-0005-0000-0000-000089160000}"/>
    <cellStyle name="Normal 3 7 4 4" xfId="2384" xr:uid="{00000000-0005-0000-0000-00008A160000}"/>
    <cellStyle name="Normal 3 7 4 4 2" xfId="7742" xr:uid="{00000000-0005-0000-0000-00008B160000}"/>
    <cellStyle name="Normal 3 7 4 5" xfId="3498" xr:uid="{00000000-0005-0000-0000-00008C160000}"/>
    <cellStyle name="Normal 3 7 4 5 2" xfId="8790" xr:uid="{00000000-0005-0000-0000-00008D160000}"/>
    <cellStyle name="Normal 3 7 4 6" xfId="4853" xr:uid="{00000000-0005-0000-0000-00008E160000}"/>
    <cellStyle name="Normal 3 7 4 6 2" xfId="10141" xr:uid="{00000000-0005-0000-0000-00008F160000}"/>
    <cellStyle name="Normal 3 7 4 7" xfId="6495" xr:uid="{00000000-0005-0000-0000-000090160000}"/>
    <cellStyle name="Normal 3 7 5" xfId="1037" xr:uid="{00000000-0005-0000-0000-000091160000}"/>
    <cellStyle name="Normal 3 7 5 2" xfId="1038" xr:uid="{00000000-0005-0000-0000-000092160000}"/>
    <cellStyle name="Normal 3 7 5 2 2" xfId="2889" xr:uid="{00000000-0005-0000-0000-000093160000}"/>
    <cellStyle name="Normal 3 7 5 2 2 2" xfId="8242" xr:uid="{00000000-0005-0000-0000-000094160000}"/>
    <cellStyle name="Normal 3 7 5 2 3" xfId="3999" xr:uid="{00000000-0005-0000-0000-000095160000}"/>
    <cellStyle name="Normal 3 7 5 2 3 2" xfId="9290" xr:uid="{00000000-0005-0000-0000-000096160000}"/>
    <cellStyle name="Normal 3 7 5 2 4" xfId="4856" xr:uid="{00000000-0005-0000-0000-000097160000}"/>
    <cellStyle name="Normal 3 7 5 2 4 2" xfId="10144" xr:uid="{00000000-0005-0000-0000-000098160000}"/>
    <cellStyle name="Normal 3 7 5 2 5" xfId="6498" xr:uid="{00000000-0005-0000-0000-000099160000}"/>
    <cellStyle name="Normal 3 7 5 3" xfId="1833" xr:uid="{00000000-0005-0000-0000-00009A160000}"/>
    <cellStyle name="Normal 3 7 5 3 2" xfId="5604" xr:uid="{00000000-0005-0000-0000-00009B160000}"/>
    <cellStyle name="Normal 3 7 5 3 2 2" xfId="10892" xr:uid="{00000000-0005-0000-0000-00009C160000}"/>
    <cellStyle name="Normal 3 7 5 3 3" xfId="7246" xr:uid="{00000000-0005-0000-0000-00009D160000}"/>
    <cellStyle name="Normal 3 7 5 4" xfId="2385" xr:uid="{00000000-0005-0000-0000-00009E160000}"/>
    <cellStyle name="Normal 3 7 5 4 2" xfId="7743" xr:uid="{00000000-0005-0000-0000-00009F160000}"/>
    <cellStyle name="Normal 3 7 5 5" xfId="3499" xr:uid="{00000000-0005-0000-0000-0000A0160000}"/>
    <cellStyle name="Normal 3 7 5 5 2" xfId="8791" xr:uid="{00000000-0005-0000-0000-0000A1160000}"/>
    <cellStyle name="Normal 3 7 5 6" xfId="4855" xr:uid="{00000000-0005-0000-0000-0000A2160000}"/>
    <cellStyle name="Normal 3 7 5 6 2" xfId="10143" xr:uid="{00000000-0005-0000-0000-0000A3160000}"/>
    <cellStyle name="Normal 3 7 5 7" xfId="6497" xr:uid="{00000000-0005-0000-0000-0000A4160000}"/>
    <cellStyle name="Normal 3 7 6" xfId="1039" xr:uid="{00000000-0005-0000-0000-0000A5160000}"/>
    <cellStyle name="Normal 3 7 6 2" xfId="2878" xr:uid="{00000000-0005-0000-0000-0000A6160000}"/>
    <cellStyle name="Normal 3 7 6 2 2" xfId="8231" xr:uid="{00000000-0005-0000-0000-0000A7160000}"/>
    <cellStyle name="Normal 3 7 6 3" xfId="3988" xr:uid="{00000000-0005-0000-0000-0000A8160000}"/>
    <cellStyle name="Normal 3 7 6 3 2" xfId="9279" xr:uid="{00000000-0005-0000-0000-0000A9160000}"/>
    <cellStyle name="Normal 3 7 6 4" xfId="4857" xr:uid="{00000000-0005-0000-0000-0000AA160000}"/>
    <cellStyle name="Normal 3 7 6 4 2" xfId="10145" xr:uid="{00000000-0005-0000-0000-0000AB160000}"/>
    <cellStyle name="Normal 3 7 6 5" xfId="6499" xr:uid="{00000000-0005-0000-0000-0000AC160000}"/>
    <cellStyle name="Normal 3 7 7" xfId="1822" xr:uid="{00000000-0005-0000-0000-0000AD160000}"/>
    <cellStyle name="Normal 3 7 7 2" xfId="5593" xr:uid="{00000000-0005-0000-0000-0000AE160000}"/>
    <cellStyle name="Normal 3 7 7 2 2" xfId="10881" xr:uid="{00000000-0005-0000-0000-0000AF160000}"/>
    <cellStyle name="Normal 3 7 7 3" xfId="7235" xr:uid="{00000000-0005-0000-0000-0000B0160000}"/>
    <cellStyle name="Normal 3 7 8" xfId="2374" xr:uid="{00000000-0005-0000-0000-0000B1160000}"/>
    <cellStyle name="Normal 3 7 8 2" xfId="7732" xr:uid="{00000000-0005-0000-0000-0000B2160000}"/>
    <cellStyle name="Normal 3 7 9" xfId="3488" xr:uid="{00000000-0005-0000-0000-0000B3160000}"/>
    <cellStyle name="Normal 3 7 9 2" xfId="8780" xr:uid="{00000000-0005-0000-0000-0000B4160000}"/>
    <cellStyle name="Normal 3 8" xfId="1040" xr:uid="{00000000-0005-0000-0000-0000B5160000}"/>
    <cellStyle name="Normal 3 8 10" xfId="6500" xr:uid="{00000000-0005-0000-0000-0000B6160000}"/>
    <cellStyle name="Normal 3 8 2" xfId="1041" xr:uid="{00000000-0005-0000-0000-0000B7160000}"/>
    <cellStyle name="Normal 3 8 2 2" xfId="1042" xr:uid="{00000000-0005-0000-0000-0000B8160000}"/>
    <cellStyle name="Normal 3 8 2 2 2" xfId="1043" xr:uid="{00000000-0005-0000-0000-0000B9160000}"/>
    <cellStyle name="Normal 3 8 2 2 2 2" xfId="2892" xr:uid="{00000000-0005-0000-0000-0000BA160000}"/>
    <cellStyle name="Normal 3 8 2 2 2 2 2" xfId="8245" xr:uid="{00000000-0005-0000-0000-0000BB160000}"/>
    <cellStyle name="Normal 3 8 2 2 2 3" xfId="4002" xr:uid="{00000000-0005-0000-0000-0000BC160000}"/>
    <cellStyle name="Normal 3 8 2 2 2 3 2" xfId="9293" xr:uid="{00000000-0005-0000-0000-0000BD160000}"/>
    <cellStyle name="Normal 3 8 2 2 2 4" xfId="4861" xr:uid="{00000000-0005-0000-0000-0000BE160000}"/>
    <cellStyle name="Normal 3 8 2 2 2 4 2" xfId="10149" xr:uid="{00000000-0005-0000-0000-0000BF160000}"/>
    <cellStyle name="Normal 3 8 2 2 2 5" xfId="6503" xr:uid="{00000000-0005-0000-0000-0000C0160000}"/>
    <cellStyle name="Normal 3 8 2 2 3" xfId="1836" xr:uid="{00000000-0005-0000-0000-0000C1160000}"/>
    <cellStyle name="Normal 3 8 2 2 3 2" xfId="5607" xr:uid="{00000000-0005-0000-0000-0000C2160000}"/>
    <cellStyle name="Normal 3 8 2 2 3 2 2" xfId="10895" xr:uid="{00000000-0005-0000-0000-0000C3160000}"/>
    <cellStyle name="Normal 3 8 2 2 3 3" xfId="7249" xr:uid="{00000000-0005-0000-0000-0000C4160000}"/>
    <cellStyle name="Normal 3 8 2 2 4" xfId="2388" xr:uid="{00000000-0005-0000-0000-0000C5160000}"/>
    <cellStyle name="Normal 3 8 2 2 4 2" xfId="7746" xr:uid="{00000000-0005-0000-0000-0000C6160000}"/>
    <cellStyle name="Normal 3 8 2 2 5" xfId="3502" xr:uid="{00000000-0005-0000-0000-0000C7160000}"/>
    <cellStyle name="Normal 3 8 2 2 5 2" xfId="8794" xr:uid="{00000000-0005-0000-0000-0000C8160000}"/>
    <cellStyle name="Normal 3 8 2 2 6" xfId="4860" xr:uid="{00000000-0005-0000-0000-0000C9160000}"/>
    <cellStyle name="Normal 3 8 2 2 6 2" xfId="10148" xr:uid="{00000000-0005-0000-0000-0000CA160000}"/>
    <cellStyle name="Normal 3 8 2 2 7" xfId="6502" xr:uid="{00000000-0005-0000-0000-0000CB160000}"/>
    <cellStyle name="Normal 3 8 2 3" xfId="1044" xr:uid="{00000000-0005-0000-0000-0000CC160000}"/>
    <cellStyle name="Normal 3 8 2 3 2" xfId="1045" xr:uid="{00000000-0005-0000-0000-0000CD160000}"/>
    <cellStyle name="Normal 3 8 2 3 2 2" xfId="2893" xr:uid="{00000000-0005-0000-0000-0000CE160000}"/>
    <cellStyle name="Normal 3 8 2 3 2 2 2" xfId="8246" xr:uid="{00000000-0005-0000-0000-0000CF160000}"/>
    <cellStyle name="Normal 3 8 2 3 2 3" xfId="4003" xr:uid="{00000000-0005-0000-0000-0000D0160000}"/>
    <cellStyle name="Normal 3 8 2 3 2 3 2" xfId="9294" xr:uid="{00000000-0005-0000-0000-0000D1160000}"/>
    <cellStyle name="Normal 3 8 2 3 2 4" xfId="4863" xr:uid="{00000000-0005-0000-0000-0000D2160000}"/>
    <cellStyle name="Normal 3 8 2 3 2 4 2" xfId="10151" xr:uid="{00000000-0005-0000-0000-0000D3160000}"/>
    <cellStyle name="Normal 3 8 2 3 2 5" xfId="6505" xr:uid="{00000000-0005-0000-0000-0000D4160000}"/>
    <cellStyle name="Normal 3 8 2 3 3" xfId="1837" xr:uid="{00000000-0005-0000-0000-0000D5160000}"/>
    <cellStyle name="Normal 3 8 2 3 3 2" xfId="5608" xr:uid="{00000000-0005-0000-0000-0000D6160000}"/>
    <cellStyle name="Normal 3 8 2 3 3 2 2" xfId="10896" xr:uid="{00000000-0005-0000-0000-0000D7160000}"/>
    <cellStyle name="Normal 3 8 2 3 3 3" xfId="7250" xr:uid="{00000000-0005-0000-0000-0000D8160000}"/>
    <cellStyle name="Normal 3 8 2 3 4" xfId="2389" xr:uid="{00000000-0005-0000-0000-0000D9160000}"/>
    <cellStyle name="Normal 3 8 2 3 4 2" xfId="7747" xr:uid="{00000000-0005-0000-0000-0000DA160000}"/>
    <cellStyle name="Normal 3 8 2 3 5" xfId="3503" xr:uid="{00000000-0005-0000-0000-0000DB160000}"/>
    <cellStyle name="Normal 3 8 2 3 5 2" xfId="8795" xr:uid="{00000000-0005-0000-0000-0000DC160000}"/>
    <cellStyle name="Normal 3 8 2 3 6" xfId="4862" xr:uid="{00000000-0005-0000-0000-0000DD160000}"/>
    <cellStyle name="Normal 3 8 2 3 6 2" xfId="10150" xr:uid="{00000000-0005-0000-0000-0000DE160000}"/>
    <cellStyle name="Normal 3 8 2 3 7" xfId="6504" xr:uid="{00000000-0005-0000-0000-0000DF160000}"/>
    <cellStyle name="Normal 3 8 2 4" xfId="1046" xr:uid="{00000000-0005-0000-0000-0000E0160000}"/>
    <cellStyle name="Normal 3 8 2 4 2" xfId="2891" xr:uid="{00000000-0005-0000-0000-0000E1160000}"/>
    <cellStyle name="Normal 3 8 2 4 2 2" xfId="8244" xr:uid="{00000000-0005-0000-0000-0000E2160000}"/>
    <cellStyle name="Normal 3 8 2 4 3" xfId="4001" xr:uid="{00000000-0005-0000-0000-0000E3160000}"/>
    <cellStyle name="Normal 3 8 2 4 3 2" xfId="9292" xr:uid="{00000000-0005-0000-0000-0000E4160000}"/>
    <cellStyle name="Normal 3 8 2 4 4" xfId="4864" xr:uid="{00000000-0005-0000-0000-0000E5160000}"/>
    <cellStyle name="Normal 3 8 2 4 4 2" xfId="10152" xr:uid="{00000000-0005-0000-0000-0000E6160000}"/>
    <cellStyle name="Normal 3 8 2 4 5" xfId="6506" xr:uid="{00000000-0005-0000-0000-0000E7160000}"/>
    <cellStyle name="Normal 3 8 2 5" xfId="1835" xr:uid="{00000000-0005-0000-0000-0000E8160000}"/>
    <cellStyle name="Normal 3 8 2 5 2" xfId="5606" xr:uid="{00000000-0005-0000-0000-0000E9160000}"/>
    <cellStyle name="Normal 3 8 2 5 2 2" xfId="10894" xr:uid="{00000000-0005-0000-0000-0000EA160000}"/>
    <cellStyle name="Normal 3 8 2 5 3" xfId="7248" xr:uid="{00000000-0005-0000-0000-0000EB160000}"/>
    <cellStyle name="Normal 3 8 2 6" xfId="2387" xr:uid="{00000000-0005-0000-0000-0000EC160000}"/>
    <cellStyle name="Normal 3 8 2 6 2" xfId="7745" xr:uid="{00000000-0005-0000-0000-0000ED160000}"/>
    <cellStyle name="Normal 3 8 2 7" xfId="3501" xr:uid="{00000000-0005-0000-0000-0000EE160000}"/>
    <cellStyle name="Normal 3 8 2 7 2" xfId="8793" xr:uid="{00000000-0005-0000-0000-0000EF160000}"/>
    <cellStyle name="Normal 3 8 2 8" xfId="4859" xr:uid="{00000000-0005-0000-0000-0000F0160000}"/>
    <cellStyle name="Normal 3 8 2 8 2" xfId="10147" xr:uid="{00000000-0005-0000-0000-0000F1160000}"/>
    <cellStyle name="Normal 3 8 2 9" xfId="6501" xr:uid="{00000000-0005-0000-0000-0000F2160000}"/>
    <cellStyle name="Normal 3 8 3" xfId="1047" xr:uid="{00000000-0005-0000-0000-0000F3160000}"/>
    <cellStyle name="Normal 3 8 3 2" xfId="1048" xr:uid="{00000000-0005-0000-0000-0000F4160000}"/>
    <cellStyle name="Normal 3 8 3 2 2" xfId="2894" xr:uid="{00000000-0005-0000-0000-0000F5160000}"/>
    <cellStyle name="Normal 3 8 3 2 2 2" xfId="8247" xr:uid="{00000000-0005-0000-0000-0000F6160000}"/>
    <cellStyle name="Normal 3 8 3 2 3" xfId="4004" xr:uid="{00000000-0005-0000-0000-0000F7160000}"/>
    <cellStyle name="Normal 3 8 3 2 3 2" xfId="9295" xr:uid="{00000000-0005-0000-0000-0000F8160000}"/>
    <cellStyle name="Normal 3 8 3 2 4" xfId="4866" xr:uid="{00000000-0005-0000-0000-0000F9160000}"/>
    <cellStyle name="Normal 3 8 3 2 4 2" xfId="10154" xr:uid="{00000000-0005-0000-0000-0000FA160000}"/>
    <cellStyle name="Normal 3 8 3 2 5" xfId="6508" xr:uid="{00000000-0005-0000-0000-0000FB160000}"/>
    <cellStyle name="Normal 3 8 3 3" xfId="1838" xr:uid="{00000000-0005-0000-0000-0000FC160000}"/>
    <cellStyle name="Normal 3 8 3 3 2" xfId="5609" xr:uid="{00000000-0005-0000-0000-0000FD160000}"/>
    <cellStyle name="Normal 3 8 3 3 2 2" xfId="10897" xr:uid="{00000000-0005-0000-0000-0000FE160000}"/>
    <cellStyle name="Normal 3 8 3 3 3" xfId="7251" xr:uid="{00000000-0005-0000-0000-0000FF160000}"/>
    <cellStyle name="Normal 3 8 3 4" xfId="2390" xr:uid="{00000000-0005-0000-0000-000000170000}"/>
    <cellStyle name="Normal 3 8 3 4 2" xfId="7748" xr:uid="{00000000-0005-0000-0000-000001170000}"/>
    <cellStyle name="Normal 3 8 3 5" xfId="3504" xr:uid="{00000000-0005-0000-0000-000002170000}"/>
    <cellStyle name="Normal 3 8 3 5 2" xfId="8796" xr:uid="{00000000-0005-0000-0000-000003170000}"/>
    <cellStyle name="Normal 3 8 3 6" xfId="4865" xr:uid="{00000000-0005-0000-0000-000004170000}"/>
    <cellStyle name="Normal 3 8 3 6 2" xfId="10153" xr:uid="{00000000-0005-0000-0000-000005170000}"/>
    <cellStyle name="Normal 3 8 3 7" xfId="6507" xr:uid="{00000000-0005-0000-0000-000006170000}"/>
    <cellStyle name="Normal 3 8 4" xfId="1049" xr:uid="{00000000-0005-0000-0000-000007170000}"/>
    <cellStyle name="Normal 3 8 4 2" xfId="1050" xr:uid="{00000000-0005-0000-0000-000008170000}"/>
    <cellStyle name="Normal 3 8 4 2 2" xfId="2895" xr:uid="{00000000-0005-0000-0000-000009170000}"/>
    <cellStyle name="Normal 3 8 4 2 2 2" xfId="8248" xr:uid="{00000000-0005-0000-0000-00000A170000}"/>
    <cellStyle name="Normal 3 8 4 2 3" xfId="4005" xr:uid="{00000000-0005-0000-0000-00000B170000}"/>
    <cellStyle name="Normal 3 8 4 2 3 2" xfId="9296" xr:uid="{00000000-0005-0000-0000-00000C170000}"/>
    <cellStyle name="Normal 3 8 4 2 4" xfId="4868" xr:uid="{00000000-0005-0000-0000-00000D170000}"/>
    <cellStyle name="Normal 3 8 4 2 4 2" xfId="10156" xr:uid="{00000000-0005-0000-0000-00000E170000}"/>
    <cellStyle name="Normal 3 8 4 2 5" xfId="6510" xr:uid="{00000000-0005-0000-0000-00000F170000}"/>
    <cellStyle name="Normal 3 8 4 3" xfId="1839" xr:uid="{00000000-0005-0000-0000-000010170000}"/>
    <cellStyle name="Normal 3 8 4 3 2" xfId="5610" xr:uid="{00000000-0005-0000-0000-000011170000}"/>
    <cellStyle name="Normal 3 8 4 3 2 2" xfId="10898" xr:uid="{00000000-0005-0000-0000-000012170000}"/>
    <cellStyle name="Normal 3 8 4 3 3" xfId="7252" xr:uid="{00000000-0005-0000-0000-000013170000}"/>
    <cellStyle name="Normal 3 8 4 4" xfId="2391" xr:uid="{00000000-0005-0000-0000-000014170000}"/>
    <cellStyle name="Normal 3 8 4 4 2" xfId="7749" xr:uid="{00000000-0005-0000-0000-000015170000}"/>
    <cellStyle name="Normal 3 8 4 5" xfId="3505" xr:uid="{00000000-0005-0000-0000-000016170000}"/>
    <cellStyle name="Normal 3 8 4 5 2" xfId="8797" xr:uid="{00000000-0005-0000-0000-000017170000}"/>
    <cellStyle name="Normal 3 8 4 6" xfId="4867" xr:uid="{00000000-0005-0000-0000-000018170000}"/>
    <cellStyle name="Normal 3 8 4 6 2" xfId="10155" xr:uid="{00000000-0005-0000-0000-000019170000}"/>
    <cellStyle name="Normal 3 8 4 7" xfId="6509" xr:uid="{00000000-0005-0000-0000-00001A170000}"/>
    <cellStyle name="Normal 3 8 5" xfId="1051" xr:uid="{00000000-0005-0000-0000-00001B170000}"/>
    <cellStyle name="Normal 3 8 5 2" xfId="2890" xr:uid="{00000000-0005-0000-0000-00001C170000}"/>
    <cellStyle name="Normal 3 8 5 2 2" xfId="8243" xr:uid="{00000000-0005-0000-0000-00001D170000}"/>
    <cellStyle name="Normal 3 8 5 3" xfId="4000" xr:uid="{00000000-0005-0000-0000-00001E170000}"/>
    <cellStyle name="Normal 3 8 5 3 2" xfId="9291" xr:uid="{00000000-0005-0000-0000-00001F170000}"/>
    <cellStyle name="Normal 3 8 5 4" xfId="4869" xr:uid="{00000000-0005-0000-0000-000020170000}"/>
    <cellStyle name="Normal 3 8 5 4 2" xfId="10157" xr:uid="{00000000-0005-0000-0000-000021170000}"/>
    <cellStyle name="Normal 3 8 5 5" xfId="6511" xr:uid="{00000000-0005-0000-0000-000022170000}"/>
    <cellStyle name="Normal 3 8 6" xfId="1834" xr:uid="{00000000-0005-0000-0000-000023170000}"/>
    <cellStyle name="Normal 3 8 6 2" xfId="5605" xr:uid="{00000000-0005-0000-0000-000024170000}"/>
    <cellStyle name="Normal 3 8 6 2 2" xfId="10893" xr:uid="{00000000-0005-0000-0000-000025170000}"/>
    <cellStyle name="Normal 3 8 6 3" xfId="7247" xr:uid="{00000000-0005-0000-0000-000026170000}"/>
    <cellStyle name="Normal 3 8 7" xfId="2386" xr:uid="{00000000-0005-0000-0000-000027170000}"/>
    <cellStyle name="Normal 3 8 7 2" xfId="7744" xr:uid="{00000000-0005-0000-0000-000028170000}"/>
    <cellStyle name="Normal 3 8 8" xfId="3500" xr:uid="{00000000-0005-0000-0000-000029170000}"/>
    <cellStyle name="Normal 3 8 8 2" xfId="8792" xr:uid="{00000000-0005-0000-0000-00002A170000}"/>
    <cellStyle name="Normal 3 8 9" xfId="4858" xr:uid="{00000000-0005-0000-0000-00002B170000}"/>
    <cellStyle name="Normal 3 8 9 2" xfId="10146" xr:uid="{00000000-0005-0000-0000-00002C170000}"/>
    <cellStyle name="Normal 3 9" xfId="1052" xr:uid="{00000000-0005-0000-0000-00002D170000}"/>
    <cellStyle name="Normal 3 9 10" xfId="6512" xr:uid="{00000000-0005-0000-0000-00002E170000}"/>
    <cellStyle name="Normal 3 9 2" xfId="1053" xr:uid="{00000000-0005-0000-0000-00002F170000}"/>
    <cellStyle name="Normal 3 9 2 2" xfId="1054" xr:uid="{00000000-0005-0000-0000-000030170000}"/>
    <cellStyle name="Normal 3 9 2 2 2" xfId="1055" xr:uid="{00000000-0005-0000-0000-000031170000}"/>
    <cellStyle name="Normal 3 9 2 2 2 2" xfId="2898" xr:uid="{00000000-0005-0000-0000-000032170000}"/>
    <cellStyle name="Normal 3 9 2 2 2 2 2" xfId="8251" xr:uid="{00000000-0005-0000-0000-000033170000}"/>
    <cellStyle name="Normal 3 9 2 2 2 3" xfId="4008" xr:uid="{00000000-0005-0000-0000-000034170000}"/>
    <cellStyle name="Normal 3 9 2 2 2 3 2" xfId="9299" xr:uid="{00000000-0005-0000-0000-000035170000}"/>
    <cellStyle name="Normal 3 9 2 2 2 4" xfId="4873" xr:uid="{00000000-0005-0000-0000-000036170000}"/>
    <cellStyle name="Normal 3 9 2 2 2 4 2" xfId="10161" xr:uid="{00000000-0005-0000-0000-000037170000}"/>
    <cellStyle name="Normal 3 9 2 2 2 5" xfId="6515" xr:uid="{00000000-0005-0000-0000-000038170000}"/>
    <cellStyle name="Normal 3 9 2 2 3" xfId="1842" xr:uid="{00000000-0005-0000-0000-000039170000}"/>
    <cellStyle name="Normal 3 9 2 2 3 2" xfId="5613" xr:uid="{00000000-0005-0000-0000-00003A170000}"/>
    <cellStyle name="Normal 3 9 2 2 3 2 2" xfId="10901" xr:uid="{00000000-0005-0000-0000-00003B170000}"/>
    <cellStyle name="Normal 3 9 2 2 3 3" xfId="7255" xr:uid="{00000000-0005-0000-0000-00003C170000}"/>
    <cellStyle name="Normal 3 9 2 2 4" xfId="2394" xr:uid="{00000000-0005-0000-0000-00003D170000}"/>
    <cellStyle name="Normal 3 9 2 2 4 2" xfId="7752" xr:uid="{00000000-0005-0000-0000-00003E170000}"/>
    <cellStyle name="Normal 3 9 2 2 5" xfId="3508" xr:uid="{00000000-0005-0000-0000-00003F170000}"/>
    <cellStyle name="Normal 3 9 2 2 5 2" xfId="8800" xr:uid="{00000000-0005-0000-0000-000040170000}"/>
    <cellStyle name="Normal 3 9 2 2 6" xfId="4872" xr:uid="{00000000-0005-0000-0000-000041170000}"/>
    <cellStyle name="Normal 3 9 2 2 6 2" xfId="10160" xr:uid="{00000000-0005-0000-0000-000042170000}"/>
    <cellStyle name="Normal 3 9 2 2 7" xfId="6514" xr:uid="{00000000-0005-0000-0000-000043170000}"/>
    <cellStyle name="Normal 3 9 2 3" xfId="1056" xr:uid="{00000000-0005-0000-0000-000044170000}"/>
    <cellStyle name="Normal 3 9 2 3 2" xfId="1057" xr:uid="{00000000-0005-0000-0000-000045170000}"/>
    <cellStyle name="Normal 3 9 2 3 2 2" xfId="2899" xr:uid="{00000000-0005-0000-0000-000046170000}"/>
    <cellStyle name="Normal 3 9 2 3 2 2 2" xfId="8252" xr:uid="{00000000-0005-0000-0000-000047170000}"/>
    <cellStyle name="Normal 3 9 2 3 2 3" xfId="4009" xr:uid="{00000000-0005-0000-0000-000048170000}"/>
    <cellStyle name="Normal 3 9 2 3 2 3 2" xfId="9300" xr:uid="{00000000-0005-0000-0000-000049170000}"/>
    <cellStyle name="Normal 3 9 2 3 2 4" xfId="4875" xr:uid="{00000000-0005-0000-0000-00004A170000}"/>
    <cellStyle name="Normal 3 9 2 3 2 4 2" xfId="10163" xr:uid="{00000000-0005-0000-0000-00004B170000}"/>
    <cellStyle name="Normal 3 9 2 3 2 5" xfId="6517" xr:uid="{00000000-0005-0000-0000-00004C170000}"/>
    <cellStyle name="Normal 3 9 2 3 3" xfId="1843" xr:uid="{00000000-0005-0000-0000-00004D170000}"/>
    <cellStyle name="Normal 3 9 2 3 3 2" xfId="5614" xr:uid="{00000000-0005-0000-0000-00004E170000}"/>
    <cellStyle name="Normal 3 9 2 3 3 2 2" xfId="10902" xr:uid="{00000000-0005-0000-0000-00004F170000}"/>
    <cellStyle name="Normal 3 9 2 3 3 3" xfId="7256" xr:uid="{00000000-0005-0000-0000-000050170000}"/>
    <cellStyle name="Normal 3 9 2 3 4" xfId="2395" xr:uid="{00000000-0005-0000-0000-000051170000}"/>
    <cellStyle name="Normal 3 9 2 3 4 2" xfId="7753" xr:uid="{00000000-0005-0000-0000-000052170000}"/>
    <cellStyle name="Normal 3 9 2 3 5" xfId="3509" xr:uid="{00000000-0005-0000-0000-000053170000}"/>
    <cellStyle name="Normal 3 9 2 3 5 2" xfId="8801" xr:uid="{00000000-0005-0000-0000-000054170000}"/>
    <cellStyle name="Normal 3 9 2 3 6" xfId="4874" xr:uid="{00000000-0005-0000-0000-000055170000}"/>
    <cellStyle name="Normal 3 9 2 3 6 2" xfId="10162" xr:uid="{00000000-0005-0000-0000-000056170000}"/>
    <cellStyle name="Normal 3 9 2 3 7" xfId="6516" xr:uid="{00000000-0005-0000-0000-000057170000}"/>
    <cellStyle name="Normal 3 9 2 4" xfId="1058" xr:uid="{00000000-0005-0000-0000-000058170000}"/>
    <cellStyle name="Normal 3 9 2 4 2" xfId="2897" xr:uid="{00000000-0005-0000-0000-000059170000}"/>
    <cellStyle name="Normal 3 9 2 4 2 2" xfId="8250" xr:uid="{00000000-0005-0000-0000-00005A170000}"/>
    <cellStyle name="Normal 3 9 2 4 3" xfId="4007" xr:uid="{00000000-0005-0000-0000-00005B170000}"/>
    <cellStyle name="Normal 3 9 2 4 3 2" xfId="9298" xr:uid="{00000000-0005-0000-0000-00005C170000}"/>
    <cellStyle name="Normal 3 9 2 4 4" xfId="4876" xr:uid="{00000000-0005-0000-0000-00005D170000}"/>
    <cellStyle name="Normal 3 9 2 4 4 2" xfId="10164" xr:uid="{00000000-0005-0000-0000-00005E170000}"/>
    <cellStyle name="Normal 3 9 2 4 5" xfId="6518" xr:uid="{00000000-0005-0000-0000-00005F170000}"/>
    <cellStyle name="Normal 3 9 2 5" xfId="1841" xr:uid="{00000000-0005-0000-0000-000060170000}"/>
    <cellStyle name="Normal 3 9 2 5 2" xfId="5612" xr:uid="{00000000-0005-0000-0000-000061170000}"/>
    <cellStyle name="Normal 3 9 2 5 2 2" xfId="10900" xr:uid="{00000000-0005-0000-0000-000062170000}"/>
    <cellStyle name="Normal 3 9 2 5 3" xfId="7254" xr:uid="{00000000-0005-0000-0000-000063170000}"/>
    <cellStyle name="Normal 3 9 2 6" xfId="2393" xr:uid="{00000000-0005-0000-0000-000064170000}"/>
    <cellStyle name="Normal 3 9 2 6 2" xfId="7751" xr:uid="{00000000-0005-0000-0000-000065170000}"/>
    <cellStyle name="Normal 3 9 2 7" xfId="3507" xr:uid="{00000000-0005-0000-0000-000066170000}"/>
    <cellStyle name="Normal 3 9 2 7 2" xfId="8799" xr:uid="{00000000-0005-0000-0000-000067170000}"/>
    <cellStyle name="Normal 3 9 2 8" xfId="4871" xr:uid="{00000000-0005-0000-0000-000068170000}"/>
    <cellStyle name="Normal 3 9 2 8 2" xfId="10159" xr:uid="{00000000-0005-0000-0000-000069170000}"/>
    <cellStyle name="Normal 3 9 2 9" xfId="6513" xr:uid="{00000000-0005-0000-0000-00006A170000}"/>
    <cellStyle name="Normal 3 9 3" xfId="1059" xr:uid="{00000000-0005-0000-0000-00006B170000}"/>
    <cellStyle name="Normal 3 9 3 2" xfId="1060" xr:uid="{00000000-0005-0000-0000-00006C170000}"/>
    <cellStyle name="Normal 3 9 3 2 2" xfId="2900" xr:uid="{00000000-0005-0000-0000-00006D170000}"/>
    <cellStyle name="Normal 3 9 3 2 2 2" xfId="8253" xr:uid="{00000000-0005-0000-0000-00006E170000}"/>
    <cellStyle name="Normal 3 9 3 2 3" xfId="4010" xr:uid="{00000000-0005-0000-0000-00006F170000}"/>
    <cellStyle name="Normal 3 9 3 2 3 2" xfId="9301" xr:uid="{00000000-0005-0000-0000-000070170000}"/>
    <cellStyle name="Normal 3 9 3 2 4" xfId="4878" xr:uid="{00000000-0005-0000-0000-000071170000}"/>
    <cellStyle name="Normal 3 9 3 2 4 2" xfId="10166" xr:uid="{00000000-0005-0000-0000-000072170000}"/>
    <cellStyle name="Normal 3 9 3 2 5" xfId="6520" xr:uid="{00000000-0005-0000-0000-000073170000}"/>
    <cellStyle name="Normal 3 9 3 3" xfId="1844" xr:uid="{00000000-0005-0000-0000-000074170000}"/>
    <cellStyle name="Normal 3 9 3 3 2" xfId="5615" xr:uid="{00000000-0005-0000-0000-000075170000}"/>
    <cellStyle name="Normal 3 9 3 3 2 2" xfId="10903" xr:uid="{00000000-0005-0000-0000-000076170000}"/>
    <cellStyle name="Normal 3 9 3 3 3" xfId="7257" xr:uid="{00000000-0005-0000-0000-000077170000}"/>
    <cellStyle name="Normal 3 9 3 4" xfId="2396" xr:uid="{00000000-0005-0000-0000-000078170000}"/>
    <cellStyle name="Normal 3 9 3 4 2" xfId="7754" xr:uid="{00000000-0005-0000-0000-000079170000}"/>
    <cellStyle name="Normal 3 9 3 5" xfId="3510" xr:uid="{00000000-0005-0000-0000-00007A170000}"/>
    <cellStyle name="Normal 3 9 3 5 2" xfId="8802" xr:uid="{00000000-0005-0000-0000-00007B170000}"/>
    <cellStyle name="Normal 3 9 3 6" xfId="4877" xr:uid="{00000000-0005-0000-0000-00007C170000}"/>
    <cellStyle name="Normal 3 9 3 6 2" xfId="10165" xr:uid="{00000000-0005-0000-0000-00007D170000}"/>
    <cellStyle name="Normal 3 9 3 7" xfId="6519" xr:uid="{00000000-0005-0000-0000-00007E170000}"/>
    <cellStyle name="Normal 3 9 4" xfId="1061" xr:uid="{00000000-0005-0000-0000-00007F170000}"/>
    <cellStyle name="Normal 3 9 4 2" xfId="1062" xr:uid="{00000000-0005-0000-0000-000080170000}"/>
    <cellStyle name="Normal 3 9 4 2 2" xfId="2901" xr:uid="{00000000-0005-0000-0000-000081170000}"/>
    <cellStyle name="Normal 3 9 4 2 2 2" xfId="8254" xr:uid="{00000000-0005-0000-0000-000082170000}"/>
    <cellStyle name="Normal 3 9 4 2 3" xfId="4011" xr:uid="{00000000-0005-0000-0000-000083170000}"/>
    <cellStyle name="Normal 3 9 4 2 3 2" xfId="9302" xr:uid="{00000000-0005-0000-0000-000084170000}"/>
    <cellStyle name="Normal 3 9 4 2 4" xfId="4880" xr:uid="{00000000-0005-0000-0000-000085170000}"/>
    <cellStyle name="Normal 3 9 4 2 4 2" xfId="10168" xr:uid="{00000000-0005-0000-0000-000086170000}"/>
    <cellStyle name="Normal 3 9 4 2 5" xfId="6522" xr:uid="{00000000-0005-0000-0000-000087170000}"/>
    <cellStyle name="Normal 3 9 4 3" xfId="1845" xr:uid="{00000000-0005-0000-0000-000088170000}"/>
    <cellStyle name="Normal 3 9 4 3 2" xfId="5616" xr:uid="{00000000-0005-0000-0000-000089170000}"/>
    <cellStyle name="Normal 3 9 4 3 2 2" xfId="10904" xr:uid="{00000000-0005-0000-0000-00008A170000}"/>
    <cellStyle name="Normal 3 9 4 3 3" xfId="7258" xr:uid="{00000000-0005-0000-0000-00008B170000}"/>
    <cellStyle name="Normal 3 9 4 4" xfId="2397" xr:uid="{00000000-0005-0000-0000-00008C170000}"/>
    <cellStyle name="Normal 3 9 4 4 2" xfId="7755" xr:uid="{00000000-0005-0000-0000-00008D170000}"/>
    <cellStyle name="Normal 3 9 4 5" xfId="3511" xr:uid="{00000000-0005-0000-0000-00008E170000}"/>
    <cellStyle name="Normal 3 9 4 5 2" xfId="8803" xr:uid="{00000000-0005-0000-0000-00008F170000}"/>
    <cellStyle name="Normal 3 9 4 6" xfId="4879" xr:uid="{00000000-0005-0000-0000-000090170000}"/>
    <cellStyle name="Normal 3 9 4 6 2" xfId="10167" xr:uid="{00000000-0005-0000-0000-000091170000}"/>
    <cellStyle name="Normal 3 9 4 7" xfId="6521" xr:uid="{00000000-0005-0000-0000-000092170000}"/>
    <cellStyle name="Normal 3 9 5" xfId="1063" xr:uid="{00000000-0005-0000-0000-000093170000}"/>
    <cellStyle name="Normal 3 9 5 2" xfId="2896" xr:uid="{00000000-0005-0000-0000-000094170000}"/>
    <cellStyle name="Normal 3 9 5 2 2" xfId="8249" xr:uid="{00000000-0005-0000-0000-000095170000}"/>
    <cellStyle name="Normal 3 9 5 3" xfId="4006" xr:uid="{00000000-0005-0000-0000-000096170000}"/>
    <cellStyle name="Normal 3 9 5 3 2" xfId="9297" xr:uid="{00000000-0005-0000-0000-000097170000}"/>
    <cellStyle name="Normal 3 9 5 4" xfId="4881" xr:uid="{00000000-0005-0000-0000-000098170000}"/>
    <cellStyle name="Normal 3 9 5 4 2" xfId="10169" xr:uid="{00000000-0005-0000-0000-000099170000}"/>
    <cellStyle name="Normal 3 9 5 5" xfId="6523" xr:uid="{00000000-0005-0000-0000-00009A170000}"/>
    <cellStyle name="Normal 3 9 6" xfId="1840" xr:uid="{00000000-0005-0000-0000-00009B170000}"/>
    <cellStyle name="Normal 3 9 6 2" xfId="5611" xr:uid="{00000000-0005-0000-0000-00009C170000}"/>
    <cellStyle name="Normal 3 9 6 2 2" xfId="10899" xr:uid="{00000000-0005-0000-0000-00009D170000}"/>
    <cellStyle name="Normal 3 9 6 3" xfId="7253" xr:uid="{00000000-0005-0000-0000-00009E170000}"/>
    <cellStyle name="Normal 3 9 7" xfId="2392" xr:uid="{00000000-0005-0000-0000-00009F170000}"/>
    <cellStyle name="Normal 3 9 7 2" xfId="7750" xr:uid="{00000000-0005-0000-0000-0000A0170000}"/>
    <cellStyle name="Normal 3 9 8" xfId="3506" xr:uid="{00000000-0005-0000-0000-0000A1170000}"/>
    <cellStyle name="Normal 3 9 8 2" xfId="8798" xr:uid="{00000000-0005-0000-0000-0000A2170000}"/>
    <cellStyle name="Normal 3 9 9" xfId="4870" xr:uid="{00000000-0005-0000-0000-0000A3170000}"/>
    <cellStyle name="Normal 3 9 9 2" xfId="10158" xr:uid="{00000000-0005-0000-0000-0000A4170000}"/>
    <cellStyle name="Normal 30" xfId="1064" xr:uid="{00000000-0005-0000-0000-0000A5170000}"/>
    <cellStyle name="Normal 30 2" xfId="1065" xr:uid="{00000000-0005-0000-0000-0000A6170000}"/>
    <cellStyle name="Normal 30 2 2" xfId="4883" xr:uid="{00000000-0005-0000-0000-0000A7170000}"/>
    <cellStyle name="Normal 30 2 2 2" xfId="10171" xr:uid="{00000000-0005-0000-0000-0000A8170000}"/>
    <cellStyle name="Normal 30 2 3" xfId="6525" xr:uid="{00000000-0005-0000-0000-0000A9170000}"/>
    <cellStyle name="Normal 30 3" xfId="4882" xr:uid="{00000000-0005-0000-0000-0000AA170000}"/>
    <cellStyle name="Normal 30 3 2" xfId="10170" xr:uid="{00000000-0005-0000-0000-0000AB170000}"/>
    <cellStyle name="Normal 30 4" xfId="6524" xr:uid="{00000000-0005-0000-0000-0000AC170000}"/>
    <cellStyle name="Normal 31" xfId="1066" xr:uid="{00000000-0005-0000-0000-0000AD170000}"/>
    <cellStyle name="Normal 32" xfId="1590" xr:uid="{00000000-0005-0000-0000-0000AE170000}"/>
    <cellStyle name="Normal 32 2" xfId="5368" xr:uid="{00000000-0005-0000-0000-0000AF170000}"/>
    <cellStyle name="Normal 32 2 2" xfId="10656" xr:uid="{00000000-0005-0000-0000-0000B0170000}"/>
    <cellStyle name="Normal 32 3" xfId="7010" xr:uid="{00000000-0005-0000-0000-0000B1170000}"/>
    <cellStyle name="Normal 33" xfId="2088" xr:uid="{00000000-0005-0000-0000-0000B2170000}"/>
    <cellStyle name="Normal 33 2" xfId="5858" xr:uid="{00000000-0005-0000-0000-0000B3170000}"/>
    <cellStyle name="Normal 33 2 2" xfId="11146" xr:uid="{00000000-0005-0000-0000-0000B4170000}"/>
    <cellStyle name="Normal 33 3" xfId="7500" xr:uid="{00000000-0005-0000-0000-0000B5170000}"/>
    <cellStyle name="Normal 34" xfId="2113" xr:uid="{00000000-0005-0000-0000-0000B6170000}"/>
    <cellStyle name="Normal 34 2" xfId="5860" xr:uid="{00000000-0005-0000-0000-0000B7170000}"/>
    <cellStyle name="Normal 34 2 2" xfId="11148" xr:uid="{00000000-0005-0000-0000-0000B8170000}"/>
    <cellStyle name="Normal 34 3" xfId="7502" xr:uid="{00000000-0005-0000-0000-0000B9170000}"/>
    <cellStyle name="Normal 35" xfId="2114" xr:uid="{00000000-0005-0000-0000-0000BA170000}"/>
    <cellStyle name="Normal 35 2" xfId="2115" xr:uid="{00000000-0005-0000-0000-0000BB170000}"/>
    <cellStyle name="Normal 35 2 2" xfId="2118" xr:uid="{00000000-0005-0000-0000-0000BC170000}"/>
    <cellStyle name="Normal 35 2 2 2" xfId="5864" xr:uid="{00000000-0005-0000-0000-0000BD170000}"/>
    <cellStyle name="Normal 35 2 2 2 2" xfId="11152" xr:uid="{00000000-0005-0000-0000-0000BE170000}"/>
    <cellStyle name="Normal 35 2 2 3" xfId="7506" xr:uid="{00000000-0005-0000-0000-0000BF170000}"/>
    <cellStyle name="Normal 35 2 3" xfId="5862" xr:uid="{00000000-0005-0000-0000-0000C0170000}"/>
    <cellStyle name="Normal 35 2 3 2" xfId="11150" xr:uid="{00000000-0005-0000-0000-0000C1170000}"/>
    <cellStyle name="Normal 35 2 4" xfId="7504" xr:uid="{00000000-0005-0000-0000-0000C2170000}"/>
    <cellStyle name="Normal 35 3" xfId="5861" xr:uid="{00000000-0005-0000-0000-0000C3170000}"/>
    <cellStyle name="Normal 35 3 2" xfId="11149" xr:uid="{00000000-0005-0000-0000-0000C4170000}"/>
    <cellStyle name="Normal 35 4" xfId="7503" xr:uid="{00000000-0005-0000-0000-0000C5170000}"/>
    <cellStyle name="Normal 36" xfId="2119" xr:uid="{00000000-0005-0000-0000-0000C6170000}"/>
    <cellStyle name="Normal 36 2" xfId="5865" xr:uid="{00000000-0005-0000-0000-0000C7170000}"/>
    <cellStyle name="Normal 37" xfId="3152" xr:uid="{00000000-0005-0000-0000-0000C8170000}"/>
    <cellStyle name="Normal 38" xfId="3224" xr:uid="{00000000-0005-0000-0000-0000C9170000}"/>
    <cellStyle name="Normal 38 2" xfId="8521" xr:uid="{00000000-0005-0000-0000-0000CA170000}"/>
    <cellStyle name="Normal 39" xfId="3242" xr:uid="{00000000-0005-0000-0000-0000CB170000}"/>
    <cellStyle name="Normal 39 2" xfId="8538" xr:uid="{00000000-0005-0000-0000-0000CC170000}"/>
    <cellStyle name="Normal 4" xfId="37" xr:uid="{00000000-0005-0000-0000-0000CD170000}"/>
    <cellStyle name="Normal 4 10" xfId="1846" xr:uid="{00000000-0005-0000-0000-0000CE170000}"/>
    <cellStyle name="Normal 4 10 2" xfId="5617" xr:uid="{00000000-0005-0000-0000-0000CF170000}"/>
    <cellStyle name="Normal 4 10 2 2" xfId="10905" xr:uid="{00000000-0005-0000-0000-0000D0170000}"/>
    <cellStyle name="Normal 4 10 3" xfId="7259" xr:uid="{00000000-0005-0000-0000-0000D1170000}"/>
    <cellStyle name="Normal 4 11" xfId="2398" xr:uid="{00000000-0005-0000-0000-0000D2170000}"/>
    <cellStyle name="Normal 4 11 2" xfId="5868" xr:uid="{00000000-0005-0000-0000-0000D3170000}"/>
    <cellStyle name="Normal 4 11 3" xfId="7756" xr:uid="{00000000-0005-0000-0000-0000D4170000}"/>
    <cellStyle name="Normal 4 12" xfId="3156" xr:uid="{00000000-0005-0000-0000-0000D5170000}"/>
    <cellStyle name="Normal 4 13" xfId="3512" xr:uid="{00000000-0005-0000-0000-0000D6170000}"/>
    <cellStyle name="Normal 4 13 2" xfId="8804" xr:uid="{00000000-0005-0000-0000-0000D7170000}"/>
    <cellStyle name="Normal 4 2" xfId="1067" xr:uid="{00000000-0005-0000-0000-0000D8170000}"/>
    <cellStyle name="Normal 4 2 10" xfId="3194" xr:uid="{00000000-0005-0000-0000-0000D9170000}"/>
    <cellStyle name="Normal 4 2 11" xfId="3513" xr:uid="{00000000-0005-0000-0000-0000DA170000}"/>
    <cellStyle name="Normal 4 2 11 2" xfId="8805" xr:uid="{00000000-0005-0000-0000-0000DB170000}"/>
    <cellStyle name="Normal 4 2 12" xfId="4884" xr:uid="{00000000-0005-0000-0000-0000DC170000}"/>
    <cellStyle name="Normal 4 2 12 2" xfId="10172" xr:uid="{00000000-0005-0000-0000-0000DD170000}"/>
    <cellStyle name="Normal 4 2 13" xfId="6526" xr:uid="{00000000-0005-0000-0000-0000DE170000}"/>
    <cellStyle name="Normal 4 2 2" xfId="1068" xr:uid="{00000000-0005-0000-0000-0000DF170000}"/>
    <cellStyle name="Normal 4 2 2 10" xfId="4885" xr:uid="{00000000-0005-0000-0000-0000E0170000}"/>
    <cellStyle name="Normal 4 2 2 10 2" xfId="10173" xr:uid="{00000000-0005-0000-0000-0000E1170000}"/>
    <cellStyle name="Normal 4 2 2 11" xfId="6527" xr:uid="{00000000-0005-0000-0000-0000E2170000}"/>
    <cellStyle name="Normal 4 2 2 2" xfId="1069" xr:uid="{00000000-0005-0000-0000-0000E3170000}"/>
    <cellStyle name="Normal 4 2 2 2 10" xfId="6528" xr:uid="{00000000-0005-0000-0000-0000E4170000}"/>
    <cellStyle name="Normal 4 2 2 2 2" xfId="1070" xr:uid="{00000000-0005-0000-0000-0000E5170000}"/>
    <cellStyle name="Normal 4 2 2 2 2 2" xfId="1071" xr:uid="{00000000-0005-0000-0000-0000E6170000}"/>
    <cellStyle name="Normal 4 2 2 2 2 2 2" xfId="1072" xr:uid="{00000000-0005-0000-0000-0000E7170000}"/>
    <cellStyle name="Normal 4 2 2 2 2 2 2 2" xfId="2907" xr:uid="{00000000-0005-0000-0000-0000E8170000}"/>
    <cellStyle name="Normal 4 2 2 2 2 2 2 2 2" xfId="8260" xr:uid="{00000000-0005-0000-0000-0000E9170000}"/>
    <cellStyle name="Normal 4 2 2 2 2 2 2 3" xfId="4017" xr:uid="{00000000-0005-0000-0000-0000EA170000}"/>
    <cellStyle name="Normal 4 2 2 2 2 2 2 3 2" xfId="9308" xr:uid="{00000000-0005-0000-0000-0000EB170000}"/>
    <cellStyle name="Normal 4 2 2 2 2 2 2 4" xfId="4889" xr:uid="{00000000-0005-0000-0000-0000EC170000}"/>
    <cellStyle name="Normal 4 2 2 2 2 2 2 4 2" xfId="10177" xr:uid="{00000000-0005-0000-0000-0000ED170000}"/>
    <cellStyle name="Normal 4 2 2 2 2 2 2 5" xfId="6531" xr:uid="{00000000-0005-0000-0000-0000EE170000}"/>
    <cellStyle name="Normal 4 2 2 2 2 2 3" xfId="1851" xr:uid="{00000000-0005-0000-0000-0000EF170000}"/>
    <cellStyle name="Normal 4 2 2 2 2 2 3 2" xfId="5622" xr:uid="{00000000-0005-0000-0000-0000F0170000}"/>
    <cellStyle name="Normal 4 2 2 2 2 2 3 2 2" xfId="10910" xr:uid="{00000000-0005-0000-0000-0000F1170000}"/>
    <cellStyle name="Normal 4 2 2 2 2 2 3 3" xfId="7264" xr:uid="{00000000-0005-0000-0000-0000F2170000}"/>
    <cellStyle name="Normal 4 2 2 2 2 2 4" xfId="2403" xr:uid="{00000000-0005-0000-0000-0000F3170000}"/>
    <cellStyle name="Normal 4 2 2 2 2 2 4 2" xfId="7761" xr:uid="{00000000-0005-0000-0000-0000F4170000}"/>
    <cellStyle name="Normal 4 2 2 2 2 2 5" xfId="3517" xr:uid="{00000000-0005-0000-0000-0000F5170000}"/>
    <cellStyle name="Normal 4 2 2 2 2 2 5 2" xfId="8809" xr:uid="{00000000-0005-0000-0000-0000F6170000}"/>
    <cellStyle name="Normal 4 2 2 2 2 2 6" xfId="4888" xr:uid="{00000000-0005-0000-0000-0000F7170000}"/>
    <cellStyle name="Normal 4 2 2 2 2 2 6 2" xfId="10176" xr:uid="{00000000-0005-0000-0000-0000F8170000}"/>
    <cellStyle name="Normal 4 2 2 2 2 2 7" xfId="6530" xr:uid="{00000000-0005-0000-0000-0000F9170000}"/>
    <cellStyle name="Normal 4 2 2 2 2 3" xfId="1073" xr:uid="{00000000-0005-0000-0000-0000FA170000}"/>
    <cellStyle name="Normal 4 2 2 2 2 3 2" xfId="1074" xr:uid="{00000000-0005-0000-0000-0000FB170000}"/>
    <cellStyle name="Normal 4 2 2 2 2 3 2 2" xfId="2908" xr:uid="{00000000-0005-0000-0000-0000FC170000}"/>
    <cellStyle name="Normal 4 2 2 2 2 3 2 2 2" xfId="8261" xr:uid="{00000000-0005-0000-0000-0000FD170000}"/>
    <cellStyle name="Normal 4 2 2 2 2 3 2 3" xfId="4018" xr:uid="{00000000-0005-0000-0000-0000FE170000}"/>
    <cellStyle name="Normal 4 2 2 2 2 3 2 3 2" xfId="9309" xr:uid="{00000000-0005-0000-0000-0000FF170000}"/>
    <cellStyle name="Normal 4 2 2 2 2 3 2 4" xfId="4891" xr:uid="{00000000-0005-0000-0000-000000180000}"/>
    <cellStyle name="Normal 4 2 2 2 2 3 2 4 2" xfId="10179" xr:uid="{00000000-0005-0000-0000-000001180000}"/>
    <cellStyle name="Normal 4 2 2 2 2 3 2 5" xfId="6533" xr:uid="{00000000-0005-0000-0000-000002180000}"/>
    <cellStyle name="Normal 4 2 2 2 2 3 3" xfId="1852" xr:uid="{00000000-0005-0000-0000-000003180000}"/>
    <cellStyle name="Normal 4 2 2 2 2 3 3 2" xfId="5623" xr:uid="{00000000-0005-0000-0000-000004180000}"/>
    <cellStyle name="Normal 4 2 2 2 2 3 3 2 2" xfId="10911" xr:uid="{00000000-0005-0000-0000-000005180000}"/>
    <cellStyle name="Normal 4 2 2 2 2 3 3 3" xfId="7265" xr:uid="{00000000-0005-0000-0000-000006180000}"/>
    <cellStyle name="Normal 4 2 2 2 2 3 4" xfId="2404" xr:uid="{00000000-0005-0000-0000-000007180000}"/>
    <cellStyle name="Normal 4 2 2 2 2 3 4 2" xfId="7762" xr:uid="{00000000-0005-0000-0000-000008180000}"/>
    <cellStyle name="Normal 4 2 2 2 2 3 5" xfId="3518" xr:uid="{00000000-0005-0000-0000-000009180000}"/>
    <cellStyle name="Normal 4 2 2 2 2 3 5 2" xfId="8810" xr:uid="{00000000-0005-0000-0000-00000A180000}"/>
    <cellStyle name="Normal 4 2 2 2 2 3 6" xfId="4890" xr:uid="{00000000-0005-0000-0000-00000B180000}"/>
    <cellStyle name="Normal 4 2 2 2 2 3 6 2" xfId="10178" xr:uid="{00000000-0005-0000-0000-00000C180000}"/>
    <cellStyle name="Normal 4 2 2 2 2 3 7" xfId="6532" xr:uid="{00000000-0005-0000-0000-00000D180000}"/>
    <cellStyle name="Normal 4 2 2 2 2 4" xfId="1075" xr:uid="{00000000-0005-0000-0000-00000E180000}"/>
    <cellStyle name="Normal 4 2 2 2 2 4 2" xfId="2906" xr:uid="{00000000-0005-0000-0000-00000F180000}"/>
    <cellStyle name="Normal 4 2 2 2 2 4 2 2" xfId="8259" xr:uid="{00000000-0005-0000-0000-000010180000}"/>
    <cellStyle name="Normal 4 2 2 2 2 4 3" xfId="4016" xr:uid="{00000000-0005-0000-0000-000011180000}"/>
    <cellStyle name="Normal 4 2 2 2 2 4 3 2" xfId="9307" xr:uid="{00000000-0005-0000-0000-000012180000}"/>
    <cellStyle name="Normal 4 2 2 2 2 4 4" xfId="4892" xr:uid="{00000000-0005-0000-0000-000013180000}"/>
    <cellStyle name="Normal 4 2 2 2 2 4 4 2" xfId="10180" xr:uid="{00000000-0005-0000-0000-000014180000}"/>
    <cellStyle name="Normal 4 2 2 2 2 4 5" xfId="6534" xr:uid="{00000000-0005-0000-0000-000015180000}"/>
    <cellStyle name="Normal 4 2 2 2 2 5" xfId="1850" xr:uid="{00000000-0005-0000-0000-000016180000}"/>
    <cellStyle name="Normal 4 2 2 2 2 5 2" xfId="5621" xr:uid="{00000000-0005-0000-0000-000017180000}"/>
    <cellStyle name="Normal 4 2 2 2 2 5 2 2" xfId="10909" xr:uid="{00000000-0005-0000-0000-000018180000}"/>
    <cellStyle name="Normal 4 2 2 2 2 5 3" xfId="7263" xr:uid="{00000000-0005-0000-0000-000019180000}"/>
    <cellStyle name="Normal 4 2 2 2 2 6" xfId="2402" xr:uid="{00000000-0005-0000-0000-00001A180000}"/>
    <cellStyle name="Normal 4 2 2 2 2 6 2" xfId="7760" xr:uid="{00000000-0005-0000-0000-00001B180000}"/>
    <cellStyle name="Normal 4 2 2 2 2 7" xfId="3516" xr:uid="{00000000-0005-0000-0000-00001C180000}"/>
    <cellStyle name="Normal 4 2 2 2 2 7 2" xfId="8808" xr:uid="{00000000-0005-0000-0000-00001D180000}"/>
    <cellStyle name="Normal 4 2 2 2 2 8" xfId="4887" xr:uid="{00000000-0005-0000-0000-00001E180000}"/>
    <cellStyle name="Normal 4 2 2 2 2 8 2" xfId="10175" xr:uid="{00000000-0005-0000-0000-00001F180000}"/>
    <cellStyle name="Normal 4 2 2 2 2 9" xfId="6529" xr:uid="{00000000-0005-0000-0000-000020180000}"/>
    <cellStyle name="Normal 4 2 2 2 3" xfId="1076" xr:uid="{00000000-0005-0000-0000-000021180000}"/>
    <cellStyle name="Normal 4 2 2 2 3 2" xfId="1077" xr:uid="{00000000-0005-0000-0000-000022180000}"/>
    <cellStyle name="Normal 4 2 2 2 3 2 2" xfId="2909" xr:uid="{00000000-0005-0000-0000-000023180000}"/>
    <cellStyle name="Normal 4 2 2 2 3 2 2 2" xfId="8262" xr:uid="{00000000-0005-0000-0000-000024180000}"/>
    <cellStyle name="Normal 4 2 2 2 3 2 3" xfId="4019" xr:uid="{00000000-0005-0000-0000-000025180000}"/>
    <cellStyle name="Normal 4 2 2 2 3 2 3 2" xfId="9310" xr:uid="{00000000-0005-0000-0000-000026180000}"/>
    <cellStyle name="Normal 4 2 2 2 3 2 4" xfId="4894" xr:uid="{00000000-0005-0000-0000-000027180000}"/>
    <cellStyle name="Normal 4 2 2 2 3 2 4 2" xfId="10182" xr:uid="{00000000-0005-0000-0000-000028180000}"/>
    <cellStyle name="Normal 4 2 2 2 3 2 5" xfId="6536" xr:uid="{00000000-0005-0000-0000-000029180000}"/>
    <cellStyle name="Normal 4 2 2 2 3 3" xfId="1853" xr:uid="{00000000-0005-0000-0000-00002A180000}"/>
    <cellStyle name="Normal 4 2 2 2 3 3 2" xfId="5624" xr:uid="{00000000-0005-0000-0000-00002B180000}"/>
    <cellStyle name="Normal 4 2 2 2 3 3 2 2" xfId="10912" xr:uid="{00000000-0005-0000-0000-00002C180000}"/>
    <cellStyle name="Normal 4 2 2 2 3 3 3" xfId="7266" xr:uid="{00000000-0005-0000-0000-00002D180000}"/>
    <cellStyle name="Normal 4 2 2 2 3 4" xfId="2405" xr:uid="{00000000-0005-0000-0000-00002E180000}"/>
    <cellStyle name="Normal 4 2 2 2 3 4 2" xfId="7763" xr:uid="{00000000-0005-0000-0000-00002F180000}"/>
    <cellStyle name="Normal 4 2 2 2 3 5" xfId="3519" xr:uid="{00000000-0005-0000-0000-000030180000}"/>
    <cellStyle name="Normal 4 2 2 2 3 5 2" xfId="8811" xr:uid="{00000000-0005-0000-0000-000031180000}"/>
    <cellStyle name="Normal 4 2 2 2 3 6" xfId="4893" xr:uid="{00000000-0005-0000-0000-000032180000}"/>
    <cellStyle name="Normal 4 2 2 2 3 6 2" xfId="10181" xr:uid="{00000000-0005-0000-0000-000033180000}"/>
    <cellStyle name="Normal 4 2 2 2 3 7" xfId="6535" xr:uid="{00000000-0005-0000-0000-000034180000}"/>
    <cellStyle name="Normal 4 2 2 2 4" xfId="1078" xr:uid="{00000000-0005-0000-0000-000035180000}"/>
    <cellStyle name="Normal 4 2 2 2 4 2" xfId="1079" xr:uid="{00000000-0005-0000-0000-000036180000}"/>
    <cellStyle name="Normal 4 2 2 2 4 2 2" xfId="2910" xr:uid="{00000000-0005-0000-0000-000037180000}"/>
    <cellStyle name="Normal 4 2 2 2 4 2 2 2" xfId="8263" xr:uid="{00000000-0005-0000-0000-000038180000}"/>
    <cellStyle name="Normal 4 2 2 2 4 2 3" xfId="4020" xr:uid="{00000000-0005-0000-0000-000039180000}"/>
    <cellStyle name="Normal 4 2 2 2 4 2 3 2" xfId="9311" xr:uid="{00000000-0005-0000-0000-00003A180000}"/>
    <cellStyle name="Normal 4 2 2 2 4 2 4" xfId="4896" xr:uid="{00000000-0005-0000-0000-00003B180000}"/>
    <cellStyle name="Normal 4 2 2 2 4 2 4 2" xfId="10184" xr:uid="{00000000-0005-0000-0000-00003C180000}"/>
    <cellStyle name="Normal 4 2 2 2 4 2 5" xfId="6538" xr:uid="{00000000-0005-0000-0000-00003D180000}"/>
    <cellStyle name="Normal 4 2 2 2 4 3" xfId="1854" xr:uid="{00000000-0005-0000-0000-00003E180000}"/>
    <cellStyle name="Normal 4 2 2 2 4 3 2" xfId="5625" xr:uid="{00000000-0005-0000-0000-00003F180000}"/>
    <cellStyle name="Normal 4 2 2 2 4 3 2 2" xfId="10913" xr:uid="{00000000-0005-0000-0000-000040180000}"/>
    <cellStyle name="Normal 4 2 2 2 4 3 3" xfId="7267" xr:uid="{00000000-0005-0000-0000-000041180000}"/>
    <cellStyle name="Normal 4 2 2 2 4 4" xfId="2406" xr:uid="{00000000-0005-0000-0000-000042180000}"/>
    <cellStyle name="Normal 4 2 2 2 4 4 2" xfId="7764" xr:uid="{00000000-0005-0000-0000-000043180000}"/>
    <cellStyle name="Normal 4 2 2 2 4 5" xfId="3520" xr:uid="{00000000-0005-0000-0000-000044180000}"/>
    <cellStyle name="Normal 4 2 2 2 4 5 2" xfId="8812" xr:uid="{00000000-0005-0000-0000-000045180000}"/>
    <cellStyle name="Normal 4 2 2 2 4 6" xfId="4895" xr:uid="{00000000-0005-0000-0000-000046180000}"/>
    <cellStyle name="Normal 4 2 2 2 4 6 2" xfId="10183" xr:uid="{00000000-0005-0000-0000-000047180000}"/>
    <cellStyle name="Normal 4 2 2 2 4 7" xfId="6537" xr:uid="{00000000-0005-0000-0000-000048180000}"/>
    <cellStyle name="Normal 4 2 2 2 5" xfId="1080" xr:uid="{00000000-0005-0000-0000-000049180000}"/>
    <cellStyle name="Normal 4 2 2 2 5 2" xfId="2905" xr:uid="{00000000-0005-0000-0000-00004A180000}"/>
    <cellStyle name="Normal 4 2 2 2 5 2 2" xfId="8258" xr:uid="{00000000-0005-0000-0000-00004B180000}"/>
    <cellStyle name="Normal 4 2 2 2 5 3" xfId="4015" xr:uid="{00000000-0005-0000-0000-00004C180000}"/>
    <cellStyle name="Normal 4 2 2 2 5 3 2" xfId="9306" xr:uid="{00000000-0005-0000-0000-00004D180000}"/>
    <cellStyle name="Normal 4 2 2 2 5 4" xfId="4897" xr:uid="{00000000-0005-0000-0000-00004E180000}"/>
    <cellStyle name="Normal 4 2 2 2 5 4 2" xfId="10185" xr:uid="{00000000-0005-0000-0000-00004F180000}"/>
    <cellStyle name="Normal 4 2 2 2 5 5" xfId="6539" xr:uid="{00000000-0005-0000-0000-000050180000}"/>
    <cellStyle name="Normal 4 2 2 2 6" xfId="1849" xr:uid="{00000000-0005-0000-0000-000051180000}"/>
    <cellStyle name="Normal 4 2 2 2 6 2" xfId="5620" xr:uid="{00000000-0005-0000-0000-000052180000}"/>
    <cellStyle name="Normal 4 2 2 2 6 2 2" xfId="10908" xr:uid="{00000000-0005-0000-0000-000053180000}"/>
    <cellStyle name="Normal 4 2 2 2 6 3" xfId="7262" xr:uid="{00000000-0005-0000-0000-000054180000}"/>
    <cellStyle name="Normal 4 2 2 2 7" xfId="2401" xr:uid="{00000000-0005-0000-0000-000055180000}"/>
    <cellStyle name="Normal 4 2 2 2 7 2" xfId="7759" xr:uid="{00000000-0005-0000-0000-000056180000}"/>
    <cellStyle name="Normal 4 2 2 2 8" xfId="3515" xr:uid="{00000000-0005-0000-0000-000057180000}"/>
    <cellStyle name="Normal 4 2 2 2 8 2" xfId="8807" xr:uid="{00000000-0005-0000-0000-000058180000}"/>
    <cellStyle name="Normal 4 2 2 2 9" xfId="4886" xr:uid="{00000000-0005-0000-0000-000059180000}"/>
    <cellStyle name="Normal 4 2 2 2 9 2" xfId="10174" xr:uid="{00000000-0005-0000-0000-00005A180000}"/>
    <cellStyle name="Normal 4 2 2 3" xfId="1081" xr:uid="{00000000-0005-0000-0000-00005B180000}"/>
    <cellStyle name="Normal 4 2 2 3 2" xfId="1082" xr:uid="{00000000-0005-0000-0000-00005C180000}"/>
    <cellStyle name="Normal 4 2 2 3 2 2" xfId="1083" xr:uid="{00000000-0005-0000-0000-00005D180000}"/>
    <cellStyle name="Normal 4 2 2 3 2 2 2" xfId="2912" xr:uid="{00000000-0005-0000-0000-00005E180000}"/>
    <cellStyle name="Normal 4 2 2 3 2 2 2 2" xfId="8265" xr:uid="{00000000-0005-0000-0000-00005F180000}"/>
    <cellStyle name="Normal 4 2 2 3 2 2 3" xfId="4022" xr:uid="{00000000-0005-0000-0000-000060180000}"/>
    <cellStyle name="Normal 4 2 2 3 2 2 3 2" xfId="9313" xr:uid="{00000000-0005-0000-0000-000061180000}"/>
    <cellStyle name="Normal 4 2 2 3 2 2 4" xfId="4900" xr:uid="{00000000-0005-0000-0000-000062180000}"/>
    <cellStyle name="Normal 4 2 2 3 2 2 4 2" xfId="10188" xr:uid="{00000000-0005-0000-0000-000063180000}"/>
    <cellStyle name="Normal 4 2 2 3 2 2 5" xfId="6542" xr:uid="{00000000-0005-0000-0000-000064180000}"/>
    <cellStyle name="Normal 4 2 2 3 2 3" xfId="1856" xr:uid="{00000000-0005-0000-0000-000065180000}"/>
    <cellStyle name="Normal 4 2 2 3 2 3 2" xfId="5627" xr:uid="{00000000-0005-0000-0000-000066180000}"/>
    <cellStyle name="Normal 4 2 2 3 2 3 2 2" xfId="10915" xr:uid="{00000000-0005-0000-0000-000067180000}"/>
    <cellStyle name="Normal 4 2 2 3 2 3 3" xfId="7269" xr:uid="{00000000-0005-0000-0000-000068180000}"/>
    <cellStyle name="Normal 4 2 2 3 2 4" xfId="2408" xr:uid="{00000000-0005-0000-0000-000069180000}"/>
    <cellStyle name="Normal 4 2 2 3 2 4 2" xfId="7766" xr:uid="{00000000-0005-0000-0000-00006A180000}"/>
    <cellStyle name="Normal 4 2 2 3 2 5" xfId="3522" xr:uid="{00000000-0005-0000-0000-00006B180000}"/>
    <cellStyle name="Normal 4 2 2 3 2 5 2" xfId="8814" xr:uid="{00000000-0005-0000-0000-00006C180000}"/>
    <cellStyle name="Normal 4 2 2 3 2 6" xfId="4899" xr:uid="{00000000-0005-0000-0000-00006D180000}"/>
    <cellStyle name="Normal 4 2 2 3 2 6 2" xfId="10187" xr:uid="{00000000-0005-0000-0000-00006E180000}"/>
    <cellStyle name="Normal 4 2 2 3 2 7" xfId="6541" xr:uid="{00000000-0005-0000-0000-00006F180000}"/>
    <cellStyle name="Normal 4 2 2 3 3" xfId="1084" xr:uid="{00000000-0005-0000-0000-000070180000}"/>
    <cellStyle name="Normal 4 2 2 3 3 2" xfId="1085" xr:uid="{00000000-0005-0000-0000-000071180000}"/>
    <cellStyle name="Normal 4 2 2 3 3 2 2" xfId="2913" xr:uid="{00000000-0005-0000-0000-000072180000}"/>
    <cellStyle name="Normal 4 2 2 3 3 2 2 2" xfId="8266" xr:uid="{00000000-0005-0000-0000-000073180000}"/>
    <cellStyle name="Normal 4 2 2 3 3 2 3" xfId="4023" xr:uid="{00000000-0005-0000-0000-000074180000}"/>
    <cellStyle name="Normal 4 2 2 3 3 2 3 2" xfId="9314" xr:uid="{00000000-0005-0000-0000-000075180000}"/>
    <cellStyle name="Normal 4 2 2 3 3 2 4" xfId="4902" xr:uid="{00000000-0005-0000-0000-000076180000}"/>
    <cellStyle name="Normal 4 2 2 3 3 2 4 2" xfId="10190" xr:uid="{00000000-0005-0000-0000-000077180000}"/>
    <cellStyle name="Normal 4 2 2 3 3 2 5" xfId="6544" xr:uid="{00000000-0005-0000-0000-000078180000}"/>
    <cellStyle name="Normal 4 2 2 3 3 3" xfId="1857" xr:uid="{00000000-0005-0000-0000-000079180000}"/>
    <cellStyle name="Normal 4 2 2 3 3 3 2" xfId="5628" xr:uid="{00000000-0005-0000-0000-00007A180000}"/>
    <cellStyle name="Normal 4 2 2 3 3 3 2 2" xfId="10916" xr:uid="{00000000-0005-0000-0000-00007B180000}"/>
    <cellStyle name="Normal 4 2 2 3 3 3 3" xfId="7270" xr:uid="{00000000-0005-0000-0000-00007C180000}"/>
    <cellStyle name="Normal 4 2 2 3 3 4" xfId="2409" xr:uid="{00000000-0005-0000-0000-00007D180000}"/>
    <cellStyle name="Normal 4 2 2 3 3 4 2" xfId="7767" xr:uid="{00000000-0005-0000-0000-00007E180000}"/>
    <cellStyle name="Normal 4 2 2 3 3 5" xfId="3523" xr:uid="{00000000-0005-0000-0000-00007F180000}"/>
    <cellStyle name="Normal 4 2 2 3 3 5 2" xfId="8815" xr:uid="{00000000-0005-0000-0000-000080180000}"/>
    <cellStyle name="Normal 4 2 2 3 3 6" xfId="4901" xr:uid="{00000000-0005-0000-0000-000081180000}"/>
    <cellStyle name="Normal 4 2 2 3 3 6 2" xfId="10189" xr:uid="{00000000-0005-0000-0000-000082180000}"/>
    <cellStyle name="Normal 4 2 2 3 3 7" xfId="6543" xr:uid="{00000000-0005-0000-0000-000083180000}"/>
    <cellStyle name="Normal 4 2 2 3 4" xfId="1086" xr:uid="{00000000-0005-0000-0000-000084180000}"/>
    <cellStyle name="Normal 4 2 2 3 4 2" xfId="2911" xr:uid="{00000000-0005-0000-0000-000085180000}"/>
    <cellStyle name="Normal 4 2 2 3 4 2 2" xfId="8264" xr:uid="{00000000-0005-0000-0000-000086180000}"/>
    <cellStyle name="Normal 4 2 2 3 4 3" xfId="4021" xr:uid="{00000000-0005-0000-0000-000087180000}"/>
    <cellStyle name="Normal 4 2 2 3 4 3 2" xfId="9312" xr:uid="{00000000-0005-0000-0000-000088180000}"/>
    <cellStyle name="Normal 4 2 2 3 4 4" xfId="4903" xr:uid="{00000000-0005-0000-0000-000089180000}"/>
    <cellStyle name="Normal 4 2 2 3 4 4 2" xfId="10191" xr:uid="{00000000-0005-0000-0000-00008A180000}"/>
    <cellStyle name="Normal 4 2 2 3 4 5" xfId="6545" xr:uid="{00000000-0005-0000-0000-00008B180000}"/>
    <cellStyle name="Normal 4 2 2 3 5" xfId="1855" xr:uid="{00000000-0005-0000-0000-00008C180000}"/>
    <cellStyle name="Normal 4 2 2 3 5 2" xfId="5626" xr:uid="{00000000-0005-0000-0000-00008D180000}"/>
    <cellStyle name="Normal 4 2 2 3 5 2 2" xfId="10914" xr:uid="{00000000-0005-0000-0000-00008E180000}"/>
    <cellStyle name="Normal 4 2 2 3 5 3" xfId="7268" xr:uid="{00000000-0005-0000-0000-00008F180000}"/>
    <cellStyle name="Normal 4 2 2 3 6" xfId="2407" xr:uid="{00000000-0005-0000-0000-000090180000}"/>
    <cellStyle name="Normal 4 2 2 3 6 2" xfId="7765" xr:uid="{00000000-0005-0000-0000-000091180000}"/>
    <cellStyle name="Normal 4 2 2 3 7" xfId="3521" xr:uid="{00000000-0005-0000-0000-000092180000}"/>
    <cellStyle name="Normal 4 2 2 3 7 2" xfId="8813" xr:uid="{00000000-0005-0000-0000-000093180000}"/>
    <cellStyle name="Normal 4 2 2 3 8" xfId="4898" xr:uid="{00000000-0005-0000-0000-000094180000}"/>
    <cellStyle name="Normal 4 2 2 3 8 2" xfId="10186" xr:uid="{00000000-0005-0000-0000-000095180000}"/>
    <cellStyle name="Normal 4 2 2 3 9" xfId="6540" xr:uid="{00000000-0005-0000-0000-000096180000}"/>
    <cellStyle name="Normal 4 2 2 4" xfId="1087" xr:uid="{00000000-0005-0000-0000-000097180000}"/>
    <cellStyle name="Normal 4 2 2 4 2" xfId="1088" xr:uid="{00000000-0005-0000-0000-000098180000}"/>
    <cellStyle name="Normal 4 2 2 4 2 2" xfId="2914" xr:uid="{00000000-0005-0000-0000-000099180000}"/>
    <cellStyle name="Normal 4 2 2 4 2 2 2" xfId="8267" xr:uid="{00000000-0005-0000-0000-00009A180000}"/>
    <cellStyle name="Normal 4 2 2 4 2 3" xfId="4024" xr:uid="{00000000-0005-0000-0000-00009B180000}"/>
    <cellStyle name="Normal 4 2 2 4 2 3 2" xfId="9315" xr:uid="{00000000-0005-0000-0000-00009C180000}"/>
    <cellStyle name="Normal 4 2 2 4 2 4" xfId="4905" xr:uid="{00000000-0005-0000-0000-00009D180000}"/>
    <cellStyle name="Normal 4 2 2 4 2 4 2" xfId="10193" xr:uid="{00000000-0005-0000-0000-00009E180000}"/>
    <cellStyle name="Normal 4 2 2 4 2 5" xfId="6547" xr:uid="{00000000-0005-0000-0000-00009F180000}"/>
    <cellStyle name="Normal 4 2 2 4 3" xfId="1858" xr:uid="{00000000-0005-0000-0000-0000A0180000}"/>
    <cellStyle name="Normal 4 2 2 4 3 2" xfId="5629" xr:uid="{00000000-0005-0000-0000-0000A1180000}"/>
    <cellStyle name="Normal 4 2 2 4 3 2 2" xfId="10917" xr:uid="{00000000-0005-0000-0000-0000A2180000}"/>
    <cellStyle name="Normal 4 2 2 4 3 3" xfId="7271" xr:uid="{00000000-0005-0000-0000-0000A3180000}"/>
    <cellStyle name="Normal 4 2 2 4 4" xfId="2410" xr:uid="{00000000-0005-0000-0000-0000A4180000}"/>
    <cellStyle name="Normal 4 2 2 4 4 2" xfId="7768" xr:uid="{00000000-0005-0000-0000-0000A5180000}"/>
    <cellStyle name="Normal 4 2 2 4 5" xfId="3524" xr:uid="{00000000-0005-0000-0000-0000A6180000}"/>
    <cellStyle name="Normal 4 2 2 4 5 2" xfId="8816" xr:uid="{00000000-0005-0000-0000-0000A7180000}"/>
    <cellStyle name="Normal 4 2 2 4 6" xfId="4904" xr:uid="{00000000-0005-0000-0000-0000A8180000}"/>
    <cellStyle name="Normal 4 2 2 4 6 2" xfId="10192" xr:uid="{00000000-0005-0000-0000-0000A9180000}"/>
    <cellStyle name="Normal 4 2 2 4 7" xfId="6546" xr:uid="{00000000-0005-0000-0000-0000AA180000}"/>
    <cellStyle name="Normal 4 2 2 5" xfId="1089" xr:uid="{00000000-0005-0000-0000-0000AB180000}"/>
    <cellStyle name="Normal 4 2 2 5 2" xfId="1090" xr:uid="{00000000-0005-0000-0000-0000AC180000}"/>
    <cellStyle name="Normal 4 2 2 5 2 2" xfId="2915" xr:uid="{00000000-0005-0000-0000-0000AD180000}"/>
    <cellStyle name="Normal 4 2 2 5 2 2 2" xfId="8268" xr:uid="{00000000-0005-0000-0000-0000AE180000}"/>
    <cellStyle name="Normal 4 2 2 5 2 3" xfId="4025" xr:uid="{00000000-0005-0000-0000-0000AF180000}"/>
    <cellStyle name="Normal 4 2 2 5 2 3 2" xfId="9316" xr:uid="{00000000-0005-0000-0000-0000B0180000}"/>
    <cellStyle name="Normal 4 2 2 5 2 4" xfId="4907" xr:uid="{00000000-0005-0000-0000-0000B1180000}"/>
    <cellStyle name="Normal 4 2 2 5 2 4 2" xfId="10195" xr:uid="{00000000-0005-0000-0000-0000B2180000}"/>
    <cellStyle name="Normal 4 2 2 5 2 5" xfId="6549" xr:uid="{00000000-0005-0000-0000-0000B3180000}"/>
    <cellStyle name="Normal 4 2 2 5 3" xfId="1859" xr:uid="{00000000-0005-0000-0000-0000B4180000}"/>
    <cellStyle name="Normal 4 2 2 5 3 2" xfId="5630" xr:uid="{00000000-0005-0000-0000-0000B5180000}"/>
    <cellStyle name="Normal 4 2 2 5 3 2 2" xfId="10918" xr:uid="{00000000-0005-0000-0000-0000B6180000}"/>
    <cellStyle name="Normal 4 2 2 5 3 3" xfId="7272" xr:uid="{00000000-0005-0000-0000-0000B7180000}"/>
    <cellStyle name="Normal 4 2 2 5 4" xfId="2411" xr:uid="{00000000-0005-0000-0000-0000B8180000}"/>
    <cellStyle name="Normal 4 2 2 5 4 2" xfId="7769" xr:uid="{00000000-0005-0000-0000-0000B9180000}"/>
    <cellStyle name="Normal 4 2 2 5 5" xfId="3525" xr:uid="{00000000-0005-0000-0000-0000BA180000}"/>
    <cellStyle name="Normal 4 2 2 5 5 2" xfId="8817" xr:uid="{00000000-0005-0000-0000-0000BB180000}"/>
    <cellStyle name="Normal 4 2 2 5 6" xfId="4906" xr:uid="{00000000-0005-0000-0000-0000BC180000}"/>
    <cellStyle name="Normal 4 2 2 5 6 2" xfId="10194" xr:uid="{00000000-0005-0000-0000-0000BD180000}"/>
    <cellStyle name="Normal 4 2 2 5 7" xfId="6548" xr:uid="{00000000-0005-0000-0000-0000BE180000}"/>
    <cellStyle name="Normal 4 2 2 6" xfId="1091" xr:uid="{00000000-0005-0000-0000-0000BF180000}"/>
    <cellStyle name="Normal 4 2 2 6 2" xfId="2904" xr:uid="{00000000-0005-0000-0000-0000C0180000}"/>
    <cellStyle name="Normal 4 2 2 6 2 2" xfId="8257" xr:uid="{00000000-0005-0000-0000-0000C1180000}"/>
    <cellStyle name="Normal 4 2 2 6 3" xfId="4014" xr:uid="{00000000-0005-0000-0000-0000C2180000}"/>
    <cellStyle name="Normal 4 2 2 6 3 2" xfId="9305" xr:uid="{00000000-0005-0000-0000-0000C3180000}"/>
    <cellStyle name="Normal 4 2 2 6 4" xfId="4908" xr:uid="{00000000-0005-0000-0000-0000C4180000}"/>
    <cellStyle name="Normal 4 2 2 6 4 2" xfId="10196" xr:uid="{00000000-0005-0000-0000-0000C5180000}"/>
    <cellStyle name="Normal 4 2 2 6 5" xfId="6550" xr:uid="{00000000-0005-0000-0000-0000C6180000}"/>
    <cellStyle name="Normal 4 2 2 7" xfId="1848" xr:uid="{00000000-0005-0000-0000-0000C7180000}"/>
    <cellStyle name="Normal 4 2 2 7 2" xfId="5619" xr:uid="{00000000-0005-0000-0000-0000C8180000}"/>
    <cellStyle name="Normal 4 2 2 7 2 2" xfId="10907" xr:uid="{00000000-0005-0000-0000-0000C9180000}"/>
    <cellStyle name="Normal 4 2 2 7 3" xfId="7261" xr:uid="{00000000-0005-0000-0000-0000CA180000}"/>
    <cellStyle name="Normal 4 2 2 8" xfId="2400" xr:uid="{00000000-0005-0000-0000-0000CB180000}"/>
    <cellStyle name="Normal 4 2 2 8 2" xfId="7758" xr:uid="{00000000-0005-0000-0000-0000CC180000}"/>
    <cellStyle name="Normal 4 2 2 9" xfId="3514" xr:uid="{00000000-0005-0000-0000-0000CD180000}"/>
    <cellStyle name="Normal 4 2 2 9 2" xfId="8806" xr:uid="{00000000-0005-0000-0000-0000CE180000}"/>
    <cellStyle name="Normal 4 2 3" xfId="1092" xr:uid="{00000000-0005-0000-0000-0000CF180000}"/>
    <cellStyle name="Normal 4 2 3 10" xfId="6551" xr:uid="{00000000-0005-0000-0000-0000D0180000}"/>
    <cellStyle name="Normal 4 2 3 2" xfId="1093" xr:uid="{00000000-0005-0000-0000-0000D1180000}"/>
    <cellStyle name="Normal 4 2 3 2 2" xfId="1094" xr:uid="{00000000-0005-0000-0000-0000D2180000}"/>
    <cellStyle name="Normal 4 2 3 2 2 2" xfId="1095" xr:uid="{00000000-0005-0000-0000-0000D3180000}"/>
    <cellStyle name="Normal 4 2 3 2 2 2 2" xfId="2918" xr:uid="{00000000-0005-0000-0000-0000D4180000}"/>
    <cellStyle name="Normal 4 2 3 2 2 2 2 2" xfId="8271" xr:uid="{00000000-0005-0000-0000-0000D5180000}"/>
    <cellStyle name="Normal 4 2 3 2 2 2 3" xfId="4028" xr:uid="{00000000-0005-0000-0000-0000D6180000}"/>
    <cellStyle name="Normal 4 2 3 2 2 2 3 2" xfId="9319" xr:uid="{00000000-0005-0000-0000-0000D7180000}"/>
    <cellStyle name="Normal 4 2 3 2 2 2 4" xfId="4912" xr:uid="{00000000-0005-0000-0000-0000D8180000}"/>
    <cellStyle name="Normal 4 2 3 2 2 2 4 2" xfId="10200" xr:uid="{00000000-0005-0000-0000-0000D9180000}"/>
    <cellStyle name="Normal 4 2 3 2 2 2 5" xfId="6554" xr:uid="{00000000-0005-0000-0000-0000DA180000}"/>
    <cellStyle name="Normal 4 2 3 2 2 3" xfId="1862" xr:uid="{00000000-0005-0000-0000-0000DB180000}"/>
    <cellStyle name="Normal 4 2 3 2 2 3 2" xfId="5633" xr:uid="{00000000-0005-0000-0000-0000DC180000}"/>
    <cellStyle name="Normal 4 2 3 2 2 3 2 2" xfId="10921" xr:uid="{00000000-0005-0000-0000-0000DD180000}"/>
    <cellStyle name="Normal 4 2 3 2 2 3 3" xfId="7275" xr:uid="{00000000-0005-0000-0000-0000DE180000}"/>
    <cellStyle name="Normal 4 2 3 2 2 4" xfId="2414" xr:uid="{00000000-0005-0000-0000-0000DF180000}"/>
    <cellStyle name="Normal 4 2 3 2 2 4 2" xfId="7772" xr:uid="{00000000-0005-0000-0000-0000E0180000}"/>
    <cellStyle name="Normal 4 2 3 2 2 5" xfId="3528" xr:uid="{00000000-0005-0000-0000-0000E1180000}"/>
    <cellStyle name="Normal 4 2 3 2 2 5 2" xfId="8820" xr:uid="{00000000-0005-0000-0000-0000E2180000}"/>
    <cellStyle name="Normal 4 2 3 2 2 6" xfId="4911" xr:uid="{00000000-0005-0000-0000-0000E3180000}"/>
    <cellStyle name="Normal 4 2 3 2 2 6 2" xfId="10199" xr:uid="{00000000-0005-0000-0000-0000E4180000}"/>
    <cellStyle name="Normal 4 2 3 2 2 7" xfId="6553" xr:uid="{00000000-0005-0000-0000-0000E5180000}"/>
    <cellStyle name="Normal 4 2 3 2 3" xfId="1096" xr:uid="{00000000-0005-0000-0000-0000E6180000}"/>
    <cellStyle name="Normal 4 2 3 2 3 2" xfId="1097" xr:uid="{00000000-0005-0000-0000-0000E7180000}"/>
    <cellStyle name="Normal 4 2 3 2 3 2 2" xfId="2919" xr:uid="{00000000-0005-0000-0000-0000E8180000}"/>
    <cellStyle name="Normal 4 2 3 2 3 2 2 2" xfId="8272" xr:uid="{00000000-0005-0000-0000-0000E9180000}"/>
    <cellStyle name="Normal 4 2 3 2 3 2 3" xfId="4029" xr:uid="{00000000-0005-0000-0000-0000EA180000}"/>
    <cellStyle name="Normal 4 2 3 2 3 2 3 2" xfId="9320" xr:uid="{00000000-0005-0000-0000-0000EB180000}"/>
    <cellStyle name="Normal 4 2 3 2 3 2 4" xfId="4914" xr:uid="{00000000-0005-0000-0000-0000EC180000}"/>
    <cellStyle name="Normal 4 2 3 2 3 2 4 2" xfId="10202" xr:uid="{00000000-0005-0000-0000-0000ED180000}"/>
    <cellStyle name="Normal 4 2 3 2 3 2 5" xfId="6556" xr:uid="{00000000-0005-0000-0000-0000EE180000}"/>
    <cellStyle name="Normal 4 2 3 2 3 3" xfId="1863" xr:uid="{00000000-0005-0000-0000-0000EF180000}"/>
    <cellStyle name="Normal 4 2 3 2 3 3 2" xfId="5634" xr:uid="{00000000-0005-0000-0000-0000F0180000}"/>
    <cellStyle name="Normal 4 2 3 2 3 3 2 2" xfId="10922" xr:uid="{00000000-0005-0000-0000-0000F1180000}"/>
    <cellStyle name="Normal 4 2 3 2 3 3 3" xfId="7276" xr:uid="{00000000-0005-0000-0000-0000F2180000}"/>
    <cellStyle name="Normal 4 2 3 2 3 4" xfId="2415" xr:uid="{00000000-0005-0000-0000-0000F3180000}"/>
    <cellStyle name="Normal 4 2 3 2 3 4 2" xfId="7773" xr:uid="{00000000-0005-0000-0000-0000F4180000}"/>
    <cellStyle name="Normal 4 2 3 2 3 5" xfId="3529" xr:uid="{00000000-0005-0000-0000-0000F5180000}"/>
    <cellStyle name="Normal 4 2 3 2 3 5 2" xfId="8821" xr:uid="{00000000-0005-0000-0000-0000F6180000}"/>
    <cellStyle name="Normal 4 2 3 2 3 6" xfId="4913" xr:uid="{00000000-0005-0000-0000-0000F7180000}"/>
    <cellStyle name="Normal 4 2 3 2 3 6 2" xfId="10201" xr:uid="{00000000-0005-0000-0000-0000F8180000}"/>
    <cellStyle name="Normal 4 2 3 2 3 7" xfId="6555" xr:uid="{00000000-0005-0000-0000-0000F9180000}"/>
    <cellStyle name="Normal 4 2 3 2 4" xfId="1098" xr:uid="{00000000-0005-0000-0000-0000FA180000}"/>
    <cellStyle name="Normal 4 2 3 2 4 2" xfId="2917" xr:uid="{00000000-0005-0000-0000-0000FB180000}"/>
    <cellStyle name="Normal 4 2 3 2 4 2 2" xfId="8270" xr:uid="{00000000-0005-0000-0000-0000FC180000}"/>
    <cellStyle name="Normal 4 2 3 2 4 3" xfId="4027" xr:uid="{00000000-0005-0000-0000-0000FD180000}"/>
    <cellStyle name="Normal 4 2 3 2 4 3 2" xfId="9318" xr:uid="{00000000-0005-0000-0000-0000FE180000}"/>
    <cellStyle name="Normal 4 2 3 2 4 4" xfId="4915" xr:uid="{00000000-0005-0000-0000-0000FF180000}"/>
    <cellStyle name="Normal 4 2 3 2 4 4 2" xfId="10203" xr:uid="{00000000-0005-0000-0000-000000190000}"/>
    <cellStyle name="Normal 4 2 3 2 4 5" xfId="6557" xr:uid="{00000000-0005-0000-0000-000001190000}"/>
    <cellStyle name="Normal 4 2 3 2 5" xfId="1861" xr:uid="{00000000-0005-0000-0000-000002190000}"/>
    <cellStyle name="Normal 4 2 3 2 5 2" xfId="5632" xr:uid="{00000000-0005-0000-0000-000003190000}"/>
    <cellStyle name="Normal 4 2 3 2 5 2 2" xfId="10920" xr:uid="{00000000-0005-0000-0000-000004190000}"/>
    <cellStyle name="Normal 4 2 3 2 5 3" xfId="7274" xr:uid="{00000000-0005-0000-0000-000005190000}"/>
    <cellStyle name="Normal 4 2 3 2 6" xfId="2413" xr:uid="{00000000-0005-0000-0000-000006190000}"/>
    <cellStyle name="Normal 4 2 3 2 6 2" xfId="7771" xr:uid="{00000000-0005-0000-0000-000007190000}"/>
    <cellStyle name="Normal 4 2 3 2 7" xfId="3527" xr:uid="{00000000-0005-0000-0000-000008190000}"/>
    <cellStyle name="Normal 4 2 3 2 7 2" xfId="8819" xr:uid="{00000000-0005-0000-0000-000009190000}"/>
    <cellStyle name="Normal 4 2 3 2 8" xfId="4910" xr:uid="{00000000-0005-0000-0000-00000A190000}"/>
    <cellStyle name="Normal 4 2 3 2 8 2" xfId="10198" xr:uid="{00000000-0005-0000-0000-00000B190000}"/>
    <cellStyle name="Normal 4 2 3 2 9" xfId="6552" xr:uid="{00000000-0005-0000-0000-00000C190000}"/>
    <cellStyle name="Normal 4 2 3 3" xfId="1099" xr:uid="{00000000-0005-0000-0000-00000D190000}"/>
    <cellStyle name="Normal 4 2 3 3 2" xfId="1100" xr:uid="{00000000-0005-0000-0000-00000E190000}"/>
    <cellStyle name="Normal 4 2 3 3 2 2" xfId="2920" xr:uid="{00000000-0005-0000-0000-00000F190000}"/>
    <cellStyle name="Normal 4 2 3 3 2 2 2" xfId="8273" xr:uid="{00000000-0005-0000-0000-000010190000}"/>
    <cellStyle name="Normal 4 2 3 3 2 3" xfId="4030" xr:uid="{00000000-0005-0000-0000-000011190000}"/>
    <cellStyle name="Normal 4 2 3 3 2 3 2" xfId="9321" xr:uid="{00000000-0005-0000-0000-000012190000}"/>
    <cellStyle name="Normal 4 2 3 3 2 4" xfId="4917" xr:uid="{00000000-0005-0000-0000-000013190000}"/>
    <cellStyle name="Normal 4 2 3 3 2 4 2" xfId="10205" xr:uid="{00000000-0005-0000-0000-000014190000}"/>
    <cellStyle name="Normal 4 2 3 3 2 5" xfId="6559" xr:uid="{00000000-0005-0000-0000-000015190000}"/>
    <cellStyle name="Normal 4 2 3 3 3" xfId="1864" xr:uid="{00000000-0005-0000-0000-000016190000}"/>
    <cellStyle name="Normal 4 2 3 3 3 2" xfId="5635" xr:uid="{00000000-0005-0000-0000-000017190000}"/>
    <cellStyle name="Normal 4 2 3 3 3 2 2" xfId="10923" xr:uid="{00000000-0005-0000-0000-000018190000}"/>
    <cellStyle name="Normal 4 2 3 3 3 3" xfId="7277" xr:uid="{00000000-0005-0000-0000-000019190000}"/>
    <cellStyle name="Normal 4 2 3 3 4" xfId="2416" xr:uid="{00000000-0005-0000-0000-00001A190000}"/>
    <cellStyle name="Normal 4 2 3 3 4 2" xfId="7774" xr:uid="{00000000-0005-0000-0000-00001B190000}"/>
    <cellStyle name="Normal 4 2 3 3 5" xfId="3530" xr:uid="{00000000-0005-0000-0000-00001C190000}"/>
    <cellStyle name="Normal 4 2 3 3 5 2" xfId="8822" xr:uid="{00000000-0005-0000-0000-00001D190000}"/>
    <cellStyle name="Normal 4 2 3 3 6" xfId="4916" xr:uid="{00000000-0005-0000-0000-00001E190000}"/>
    <cellStyle name="Normal 4 2 3 3 6 2" xfId="10204" xr:uid="{00000000-0005-0000-0000-00001F190000}"/>
    <cellStyle name="Normal 4 2 3 3 7" xfId="6558" xr:uid="{00000000-0005-0000-0000-000020190000}"/>
    <cellStyle name="Normal 4 2 3 4" xfId="1101" xr:uid="{00000000-0005-0000-0000-000021190000}"/>
    <cellStyle name="Normal 4 2 3 4 2" xfId="1102" xr:uid="{00000000-0005-0000-0000-000022190000}"/>
    <cellStyle name="Normal 4 2 3 4 2 2" xfId="2921" xr:uid="{00000000-0005-0000-0000-000023190000}"/>
    <cellStyle name="Normal 4 2 3 4 2 2 2" xfId="8274" xr:uid="{00000000-0005-0000-0000-000024190000}"/>
    <cellStyle name="Normal 4 2 3 4 2 3" xfId="4031" xr:uid="{00000000-0005-0000-0000-000025190000}"/>
    <cellStyle name="Normal 4 2 3 4 2 3 2" xfId="9322" xr:uid="{00000000-0005-0000-0000-000026190000}"/>
    <cellStyle name="Normal 4 2 3 4 2 4" xfId="4919" xr:uid="{00000000-0005-0000-0000-000027190000}"/>
    <cellStyle name="Normal 4 2 3 4 2 4 2" xfId="10207" xr:uid="{00000000-0005-0000-0000-000028190000}"/>
    <cellStyle name="Normal 4 2 3 4 2 5" xfId="6561" xr:uid="{00000000-0005-0000-0000-000029190000}"/>
    <cellStyle name="Normal 4 2 3 4 3" xfId="1865" xr:uid="{00000000-0005-0000-0000-00002A190000}"/>
    <cellStyle name="Normal 4 2 3 4 3 2" xfId="5636" xr:uid="{00000000-0005-0000-0000-00002B190000}"/>
    <cellStyle name="Normal 4 2 3 4 3 2 2" xfId="10924" xr:uid="{00000000-0005-0000-0000-00002C190000}"/>
    <cellStyle name="Normal 4 2 3 4 3 3" xfId="7278" xr:uid="{00000000-0005-0000-0000-00002D190000}"/>
    <cellStyle name="Normal 4 2 3 4 4" xfId="2417" xr:uid="{00000000-0005-0000-0000-00002E190000}"/>
    <cellStyle name="Normal 4 2 3 4 4 2" xfId="7775" xr:uid="{00000000-0005-0000-0000-00002F190000}"/>
    <cellStyle name="Normal 4 2 3 4 5" xfId="3531" xr:uid="{00000000-0005-0000-0000-000030190000}"/>
    <cellStyle name="Normal 4 2 3 4 5 2" xfId="8823" xr:uid="{00000000-0005-0000-0000-000031190000}"/>
    <cellStyle name="Normal 4 2 3 4 6" xfId="4918" xr:uid="{00000000-0005-0000-0000-000032190000}"/>
    <cellStyle name="Normal 4 2 3 4 6 2" xfId="10206" xr:uid="{00000000-0005-0000-0000-000033190000}"/>
    <cellStyle name="Normal 4 2 3 4 7" xfId="6560" xr:uid="{00000000-0005-0000-0000-000034190000}"/>
    <cellStyle name="Normal 4 2 3 5" xfId="1103" xr:uid="{00000000-0005-0000-0000-000035190000}"/>
    <cellStyle name="Normal 4 2 3 5 2" xfId="2916" xr:uid="{00000000-0005-0000-0000-000036190000}"/>
    <cellStyle name="Normal 4 2 3 5 2 2" xfId="8269" xr:uid="{00000000-0005-0000-0000-000037190000}"/>
    <cellStyle name="Normal 4 2 3 5 3" xfId="4026" xr:uid="{00000000-0005-0000-0000-000038190000}"/>
    <cellStyle name="Normal 4 2 3 5 3 2" xfId="9317" xr:uid="{00000000-0005-0000-0000-000039190000}"/>
    <cellStyle name="Normal 4 2 3 5 4" xfId="4920" xr:uid="{00000000-0005-0000-0000-00003A190000}"/>
    <cellStyle name="Normal 4 2 3 5 4 2" xfId="10208" xr:uid="{00000000-0005-0000-0000-00003B190000}"/>
    <cellStyle name="Normal 4 2 3 5 5" xfId="6562" xr:uid="{00000000-0005-0000-0000-00003C190000}"/>
    <cellStyle name="Normal 4 2 3 6" xfId="1860" xr:uid="{00000000-0005-0000-0000-00003D190000}"/>
    <cellStyle name="Normal 4 2 3 6 2" xfId="5631" xr:uid="{00000000-0005-0000-0000-00003E190000}"/>
    <cellStyle name="Normal 4 2 3 6 2 2" xfId="10919" xr:uid="{00000000-0005-0000-0000-00003F190000}"/>
    <cellStyle name="Normal 4 2 3 6 3" xfId="7273" xr:uid="{00000000-0005-0000-0000-000040190000}"/>
    <cellStyle name="Normal 4 2 3 7" xfId="2412" xr:uid="{00000000-0005-0000-0000-000041190000}"/>
    <cellStyle name="Normal 4 2 3 7 2" xfId="7770" xr:uid="{00000000-0005-0000-0000-000042190000}"/>
    <cellStyle name="Normal 4 2 3 8" xfId="3526" xr:uid="{00000000-0005-0000-0000-000043190000}"/>
    <cellStyle name="Normal 4 2 3 8 2" xfId="8818" xr:uid="{00000000-0005-0000-0000-000044190000}"/>
    <cellStyle name="Normal 4 2 3 9" xfId="4909" xr:uid="{00000000-0005-0000-0000-000045190000}"/>
    <cellStyle name="Normal 4 2 3 9 2" xfId="10197" xr:uid="{00000000-0005-0000-0000-000046190000}"/>
    <cellStyle name="Normal 4 2 4" xfId="1104" xr:uid="{00000000-0005-0000-0000-000047190000}"/>
    <cellStyle name="Normal 4 2 4 2" xfId="1105" xr:uid="{00000000-0005-0000-0000-000048190000}"/>
    <cellStyle name="Normal 4 2 4 2 2" xfId="1106" xr:uid="{00000000-0005-0000-0000-000049190000}"/>
    <cellStyle name="Normal 4 2 4 2 2 2" xfId="2923" xr:uid="{00000000-0005-0000-0000-00004A190000}"/>
    <cellStyle name="Normal 4 2 4 2 2 2 2" xfId="8276" xr:uid="{00000000-0005-0000-0000-00004B190000}"/>
    <cellStyle name="Normal 4 2 4 2 2 3" xfId="4033" xr:uid="{00000000-0005-0000-0000-00004C190000}"/>
    <cellStyle name="Normal 4 2 4 2 2 3 2" xfId="9324" xr:uid="{00000000-0005-0000-0000-00004D190000}"/>
    <cellStyle name="Normal 4 2 4 2 2 4" xfId="4923" xr:uid="{00000000-0005-0000-0000-00004E190000}"/>
    <cellStyle name="Normal 4 2 4 2 2 4 2" xfId="10211" xr:uid="{00000000-0005-0000-0000-00004F190000}"/>
    <cellStyle name="Normal 4 2 4 2 2 5" xfId="6565" xr:uid="{00000000-0005-0000-0000-000050190000}"/>
    <cellStyle name="Normal 4 2 4 2 3" xfId="1867" xr:uid="{00000000-0005-0000-0000-000051190000}"/>
    <cellStyle name="Normal 4 2 4 2 3 2" xfId="5638" xr:uid="{00000000-0005-0000-0000-000052190000}"/>
    <cellStyle name="Normal 4 2 4 2 3 2 2" xfId="10926" xr:uid="{00000000-0005-0000-0000-000053190000}"/>
    <cellStyle name="Normal 4 2 4 2 3 3" xfId="7280" xr:uid="{00000000-0005-0000-0000-000054190000}"/>
    <cellStyle name="Normal 4 2 4 2 4" xfId="2419" xr:uid="{00000000-0005-0000-0000-000055190000}"/>
    <cellStyle name="Normal 4 2 4 2 4 2" xfId="7777" xr:uid="{00000000-0005-0000-0000-000056190000}"/>
    <cellStyle name="Normal 4 2 4 2 5" xfId="3533" xr:uid="{00000000-0005-0000-0000-000057190000}"/>
    <cellStyle name="Normal 4 2 4 2 5 2" xfId="8825" xr:uid="{00000000-0005-0000-0000-000058190000}"/>
    <cellStyle name="Normal 4 2 4 2 6" xfId="4922" xr:uid="{00000000-0005-0000-0000-000059190000}"/>
    <cellStyle name="Normal 4 2 4 2 6 2" xfId="10210" xr:uid="{00000000-0005-0000-0000-00005A190000}"/>
    <cellStyle name="Normal 4 2 4 2 7" xfId="6564" xr:uid="{00000000-0005-0000-0000-00005B190000}"/>
    <cellStyle name="Normal 4 2 4 3" xfId="1107" xr:uid="{00000000-0005-0000-0000-00005C190000}"/>
    <cellStyle name="Normal 4 2 4 3 2" xfId="1108" xr:uid="{00000000-0005-0000-0000-00005D190000}"/>
    <cellStyle name="Normal 4 2 4 3 2 2" xfId="2924" xr:uid="{00000000-0005-0000-0000-00005E190000}"/>
    <cellStyle name="Normal 4 2 4 3 2 2 2" xfId="8277" xr:uid="{00000000-0005-0000-0000-00005F190000}"/>
    <cellStyle name="Normal 4 2 4 3 2 3" xfId="4034" xr:uid="{00000000-0005-0000-0000-000060190000}"/>
    <cellStyle name="Normal 4 2 4 3 2 3 2" xfId="9325" xr:uid="{00000000-0005-0000-0000-000061190000}"/>
    <cellStyle name="Normal 4 2 4 3 2 4" xfId="4925" xr:uid="{00000000-0005-0000-0000-000062190000}"/>
    <cellStyle name="Normal 4 2 4 3 2 4 2" xfId="10213" xr:uid="{00000000-0005-0000-0000-000063190000}"/>
    <cellStyle name="Normal 4 2 4 3 2 5" xfId="6567" xr:uid="{00000000-0005-0000-0000-000064190000}"/>
    <cellStyle name="Normal 4 2 4 3 3" xfId="1868" xr:uid="{00000000-0005-0000-0000-000065190000}"/>
    <cellStyle name="Normal 4 2 4 3 3 2" xfId="5639" xr:uid="{00000000-0005-0000-0000-000066190000}"/>
    <cellStyle name="Normal 4 2 4 3 3 2 2" xfId="10927" xr:uid="{00000000-0005-0000-0000-000067190000}"/>
    <cellStyle name="Normal 4 2 4 3 3 3" xfId="7281" xr:uid="{00000000-0005-0000-0000-000068190000}"/>
    <cellStyle name="Normal 4 2 4 3 4" xfId="2420" xr:uid="{00000000-0005-0000-0000-000069190000}"/>
    <cellStyle name="Normal 4 2 4 3 4 2" xfId="7778" xr:uid="{00000000-0005-0000-0000-00006A190000}"/>
    <cellStyle name="Normal 4 2 4 3 5" xfId="3534" xr:uid="{00000000-0005-0000-0000-00006B190000}"/>
    <cellStyle name="Normal 4 2 4 3 5 2" xfId="8826" xr:uid="{00000000-0005-0000-0000-00006C190000}"/>
    <cellStyle name="Normal 4 2 4 3 6" xfId="4924" xr:uid="{00000000-0005-0000-0000-00006D190000}"/>
    <cellStyle name="Normal 4 2 4 3 6 2" xfId="10212" xr:uid="{00000000-0005-0000-0000-00006E190000}"/>
    <cellStyle name="Normal 4 2 4 3 7" xfId="6566" xr:uid="{00000000-0005-0000-0000-00006F190000}"/>
    <cellStyle name="Normal 4 2 4 4" xfId="1109" xr:uid="{00000000-0005-0000-0000-000070190000}"/>
    <cellStyle name="Normal 4 2 4 4 2" xfId="2922" xr:uid="{00000000-0005-0000-0000-000071190000}"/>
    <cellStyle name="Normal 4 2 4 4 2 2" xfId="8275" xr:uid="{00000000-0005-0000-0000-000072190000}"/>
    <cellStyle name="Normal 4 2 4 4 3" xfId="4032" xr:uid="{00000000-0005-0000-0000-000073190000}"/>
    <cellStyle name="Normal 4 2 4 4 3 2" xfId="9323" xr:uid="{00000000-0005-0000-0000-000074190000}"/>
    <cellStyle name="Normal 4 2 4 4 4" xfId="4926" xr:uid="{00000000-0005-0000-0000-000075190000}"/>
    <cellStyle name="Normal 4 2 4 4 4 2" xfId="10214" xr:uid="{00000000-0005-0000-0000-000076190000}"/>
    <cellStyle name="Normal 4 2 4 4 5" xfId="6568" xr:uid="{00000000-0005-0000-0000-000077190000}"/>
    <cellStyle name="Normal 4 2 4 5" xfId="1866" xr:uid="{00000000-0005-0000-0000-000078190000}"/>
    <cellStyle name="Normal 4 2 4 5 2" xfId="5637" xr:uid="{00000000-0005-0000-0000-000079190000}"/>
    <cellStyle name="Normal 4 2 4 5 2 2" xfId="10925" xr:uid="{00000000-0005-0000-0000-00007A190000}"/>
    <cellStyle name="Normal 4 2 4 5 3" xfId="7279" xr:uid="{00000000-0005-0000-0000-00007B190000}"/>
    <cellStyle name="Normal 4 2 4 6" xfId="2418" xr:uid="{00000000-0005-0000-0000-00007C190000}"/>
    <cellStyle name="Normal 4 2 4 6 2" xfId="7776" xr:uid="{00000000-0005-0000-0000-00007D190000}"/>
    <cellStyle name="Normal 4 2 4 7" xfId="3532" xr:uid="{00000000-0005-0000-0000-00007E190000}"/>
    <cellStyle name="Normal 4 2 4 7 2" xfId="8824" xr:uid="{00000000-0005-0000-0000-00007F190000}"/>
    <cellStyle name="Normal 4 2 4 8" xfId="4921" xr:uid="{00000000-0005-0000-0000-000080190000}"/>
    <cellStyle name="Normal 4 2 4 8 2" xfId="10209" xr:uid="{00000000-0005-0000-0000-000081190000}"/>
    <cellStyle name="Normal 4 2 4 9" xfId="6563" xr:uid="{00000000-0005-0000-0000-000082190000}"/>
    <cellStyle name="Normal 4 2 5" xfId="1110" xr:uid="{00000000-0005-0000-0000-000083190000}"/>
    <cellStyle name="Normal 4 2 5 2" xfId="1111" xr:uid="{00000000-0005-0000-0000-000084190000}"/>
    <cellStyle name="Normal 4 2 5 2 2" xfId="2925" xr:uid="{00000000-0005-0000-0000-000085190000}"/>
    <cellStyle name="Normal 4 2 5 2 2 2" xfId="8278" xr:uid="{00000000-0005-0000-0000-000086190000}"/>
    <cellStyle name="Normal 4 2 5 2 3" xfId="4035" xr:uid="{00000000-0005-0000-0000-000087190000}"/>
    <cellStyle name="Normal 4 2 5 2 3 2" xfId="9326" xr:uid="{00000000-0005-0000-0000-000088190000}"/>
    <cellStyle name="Normal 4 2 5 2 4" xfId="4928" xr:uid="{00000000-0005-0000-0000-000089190000}"/>
    <cellStyle name="Normal 4 2 5 2 4 2" xfId="10216" xr:uid="{00000000-0005-0000-0000-00008A190000}"/>
    <cellStyle name="Normal 4 2 5 2 5" xfId="6570" xr:uid="{00000000-0005-0000-0000-00008B190000}"/>
    <cellStyle name="Normal 4 2 5 3" xfId="1869" xr:uid="{00000000-0005-0000-0000-00008C190000}"/>
    <cellStyle name="Normal 4 2 5 3 2" xfId="5640" xr:uid="{00000000-0005-0000-0000-00008D190000}"/>
    <cellStyle name="Normal 4 2 5 3 2 2" xfId="10928" xr:uid="{00000000-0005-0000-0000-00008E190000}"/>
    <cellStyle name="Normal 4 2 5 3 3" xfId="7282" xr:uid="{00000000-0005-0000-0000-00008F190000}"/>
    <cellStyle name="Normal 4 2 5 4" xfId="2421" xr:uid="{00000000-0005-0000-0000-000090190000}"/>
    <cellStyle name="Normal 4 2 5 4 2" xfId="7779" xr:uid="{00000000-0005-0000-0000-000091190000}"/>
    <cellStyle name="Normal 4 2 5 5" xfId="3535" xr:uid="{00000000-0005-0000-0000-000092190000}"/>
    <cellStyle name="Normal 4 2 5 5 2" xfId="8827" xr:uid="{00000000-0005-0000-0000-000093190000}"/>
    <cellStyle name="Normal 4 2 5 6" xfId="4927" xr:uid="{00000000-0005-0000-0000-000094190000}"/>
    <cellStyle name="Normal 4 2 5 6 2" xfId="10215" xr:uid="{00000000-0005-0000-0000-000095190000}"/>
    <cellStyle name="Normal 4 2 5 7" xfId="6569" xr:uid="{00000000-0005-0000-0000-000096190000}"/>
    <cellStyle name="Normal 4 2 6" xfId="1112" xr:uid="{00000000-0005-0000-0000-000097190000}"/>
    <cellStyle name="Normal 4 2 6 2" xfId="1113" xr:uid="{00000000-0005-0000-0000-000098190000}"/>
    <cellStyle name="Normal 4 2 6 2 2" xfId="2926" xr:uid="{00000000-0005-0000-0000-000099190000}"/>
    <cellStyle name="Normal 4 2 6 2 2 2" xfId="8279" xr:uid="{00000000-0005-0000-0000-00009A190000}"/>
    <cellStyle name="Normal 4 2 6 2 3" xfId="4036" xr:uid="{00000000-0005-0000-0000-00009B190000}"/>
    <cellStyle name="Normal 4 2 6 2 3 2" xfId="9327" xr:uid="{00000000-0005-0000-0000-00009C190000}"/>
    <cellStyle name="Normal 4 2 6 2 4" xfId="4930" xr:uid="{00000000-0005-0000-0000-00009D190000}"/>
    <cellStyle name="Normal 4 2 6 2 4 2" xfId="10218" xr:uid="{00000000-0005-0000-0000-00009E190000}"/>
    <cellStyle name="Normal 4 2 6 2 5" xfId="6572" xr:uid="{00000000-0005-0000-0000-00009F190000}"/>
    <cellStyle name="Normal 4 2 6 3" xfId="1870" xr:uid="{00000000-0005-0000-0000-0000A0190000}"/>
    <cellStyle name="Normal 4 2 6 3 2" xfId="5641" xr:uid="{00000000-0005-0000-0000-0000A1190000}"/>
    <cellStyle name="Normal 4 2 6 3 2 2" xfId="10929" xr:uid="{00000000-0005-0000-0000-0000A2190000}"/>
    <cellStyle name="Normal 4 2 6 3 3" xfId="7283" xr:uid="{00000000-0005-0000-0000-0000A3190000}"/>
    <cellStyle name="Normal 4 2 6 4" xfId="2422" xr:uid="{00000000-0005-0000-0000-0000A4190000}"/>
    <cellStyle name="Normal 4 2 6 4 2" xfId="7780" xr:uid="{00000000-0005-0000-0000-0000A5190000}"/>
    <cellStyle name="Normal 4 2 6 5" xfId="3536" xr:uid="{00000000-0005-0000-0000-0000A6190000}"/>
    <cellStyle name="Normal 4 2 6 5 2" xfId="8828" xr:uid="{00000000-0005-0000-0000-0000A7190000}"/>
    <cellStyle name="Normal 4 2 6 6" xfId="4929" xr:uid="{00000000-0005-0000-0000-0000A8190000}"/>
    <cellStyle name="Normal 4 2 6 6 2" xfId="10217" xr:uid="{00000000-0005-0000-0000-0000A9190000}"/>
    <cellStyle name="Normal 4 2 6 7" xfId="6571" xr:uid="{00000000-0005-0000-0000-0000AA190000}"/>
    <cellStyle name="Normal 4 2 7" xfId="1114" xr:uid="{00000000-0005-0000-0000-0000AB190000}"/>
    <cellStyle name="Normal 4 2 7 2" xfId="2903" xr:uid="{00000000-0005-0000-0000-0000AC190000}"/>
    <cellStyle name="Normal 4 2 7 2 2" xfId="8256" xr:uid="{00000000-0005-0000-0000-0000AD190000}"/>
    <cellStyle name="Normal 4 2 7 3" xfId="4013" xr:uid="{00000000-0005-0000-0000-0000AE190000}"/>
    <cellStyle name="Normal 4 2 7 3 2" xfId="9304" xr:uid="{00000000-0005-0000-0000-0000AF190000}"/>
    <cellStyle name="Normal 4 2 7 4" xfId="4931" xr:uid="{00000000-0005-0000-0000-0000B0190000}"/>
    <cellStyle name="Normal 4 2 7 4 2" xfId="10219" xr:uid="{00000000-0005-0000-0000-0000B1190000}"/>
    <cellStyle name="Normal 4 2 7 5" xfId="6573" xr:uid="{00000000-0005-0000-0000-0000B2190000}"/>
    <cellStyle name="Normal 4 2 8" xfId="1847" xr:uid="{00000000-0005-0000-0000-0000B3190000}"/>
    <cellStyle name="Normal 4 2 8 2" xfId="5618" xr:uid="{00000000-0005-0000-0000-0000B4190000}"/>
    <cellStyle name="Normal 4 2 8 2 2" xfId="10906" xr:uid="{00000000-0005-0000-0000-0000B5190000}"/>
    <cellStyle name="Normal 4 2 8 3" xfId="7260" xr:uid="{00000000-0005-0000-0000-0000B6190000}"/>
    <cellStyle name="Normal 4 2 9" xfId="2399" xr:uid="{00000000-0005-0000-0000-0000B7190000}"/>
    <cellStyle name="Normal 4 2 9 2" xfId="5877" xr:uid="{00000000-0005-0000-0000-0000B8190000}"/>
    <cellStyle name="Normal 4 2 9 3" xfId="7757" xr:uid="{00000000-0005-0000-0000-0000B9190000}"/>
    <cellStyle name="Normal 4 3" xfId="1115" xr:uid="{00000000-0005-0000-0000-0000BA190000}"/>
    <cellStyle name="Normal 4 3 10" xfId="3537" xr:uid="{00000000-0005-0000-0000-0000BB190000}"/>
    <cellStyle name="Normal 4 3 10 2" xfId="8829" xr:uid="{00000000-0005-0000-0000-0000BC190000}"/>
    <cellStyle name="Normal 4 3 11" xfId="4932" xr:uid="{00000000-0005-0000-0000-0000BD190000}"/>
    <cellStyle name="Normal 4 3 11 2" xfId="10220" xr:uid="{00000000-0005-0000-0000-0000BE190000}"/>
    <cellStyle name="Normal 4 3 12" xfId="6574" xr:uid="{00000000-0005-0000-0000-0000BF190000}"/>
    <cellStyle name="Normal 4 3 2" xfId="1116" xr:uid="{00000000-0005-0000-0000-0000C0190000}"/>
    <cellStyle name="Normal 4 3 2 10" xfId="6575" xr:uid="{00000000-0005-0000-0000-0000C1190000}"/>
    <cellStyle name="Normal 4 3 2 2" xfId="1117" xr:uid="{00000000-0005-0000-0000-0000C2190000}"/>
    <cellStyle name="Normal 4 3 2 2 2" xfId="1118" xr:uid="{00000000-0005-0000-0000-0000C3190000}"/>
    <cellStyle name="Normal 4 3 2 2 2 2" xfId="1119" xr:uid="{00000000-0005-0000-0000-0000C4190000}"/>
    <cellStyle name="Normal 4 3 2 2 2 2 2" xfId="2930" xr:uid="{00000000-0005-0000-0000-0000C5190000}"/>
    <cellStyle name="Normal 4 3 2 2 2 2 2 2" xfId="8283" xr:uid="{00000000-0005-0000-0000-0000C6190000}"/>
    <cellStyle name="Normal 4 3 2 2 2 2 3" xfId="4040" xr:uid="{00000000-0005-0000-0000-0000C7190000}"/>
    <cellStyle name="Normal 4 3 2 2 2 2 3 2" xfId="9331" xr:uid="{00000000-0005-0000-0000-0000C8190000}"/>
    <cellStyle name="Normal 4 3 2 2 2 2 4" xfId="4936" xr:uid="{00000000-0005-0000-0000-0000C9190000}"/>
    <cellStyle name="Normal 4 3 2 2 2 2 4 2" xfId="10224" xr:uid="{00000000-0005-0000-0000-0000CA190000}"/>
    <cellStyle name="Normal 4 3 2 2 2 2 5" xfId="6578" xr:uid="{00000000-0005-0000-0000-0000CB190000}"/>
    <cellStyle name="Normal 4 3 2 2 2 3" xfId="1874" xr:uid="{00000000-0005-0000-0000-0000CC190000}"/>
    <cellStyle name="Normal 4 3 2 2 2 3 2" xfId="5645" xr:uid="{00000000-0005-0000-0000-0000CD190000}"/>
    <cellStyle name="Normal 4 3 2 2 2 3 2 2" xfId="10933" xr:uid="{00000000-0005-0000-0000-0000CE190000}"/>
    <cellStyle name="Normal 4 3 2 2 2 3 3" xfId="7287" xr:uid="{00000000-0005-0000-0000-0000CF190000}"/>
    <cellStyle name="Normal 4 3 2 2 2 4" xfId="2426" xr:uid="{00000000-0005-0000-0000-0000D0190000}"/>
    <cellStyle name="Normal 4 3 2 2 2 4 2" xfId="7784" xr:uid="{00000000-0005-0000-0000-0000D1190000}"/>
    <cellStyle name="Normal 4 3 2 2 2 5" xfId="3540" xr:uid="{00000000-0005-0000-0000-0000D2190000}"/>
    <cellStyle name="Normal 4 3 2 2 2 5 2" xfId="8832" xr:uid="{00000000-0005-0000-0000-0000D3190000}"/>
    <cellStyle name="Normal 4 3 2 2 2 6" xfId="4935" xr:uid="{00000000-0005-0000-0000-0000D4190000}"/>
    <cellStyle name="Normal 4 3 2 2 2 6 2" xfId="10223" xr:uid="{00000000-0005-0000-0000-0000D5190000}"/>
    <cellStyle name="Normal 4 3 2 2 2 7" xfId="6577" xr:uid="{00000000-0005-0000-0000-0000D6190000}"/>
    <cellStyle name="Normal 4 3 2 2 3" xfId="1120" xr:uid="{00000000-0005-0000-0000-0000D7190000}"/>
    <cellStyle name="Normal 4 3 2 2 3 2" xfId="1121" xr:uid="{00000000-0005-0000-0000-0000D8190000}"/>
    <cellStyle name="Normal 4 3 2 2 3 2 2" xfId="2931" xr:uid="{00000000-0005-0000-0000-0000D9190000}"/>
    <cellStyle name="Normal 4 3 2 2 3 2 2 2" xfId="8284" xr:uid="{00000000-0005-0000-0000-0000DA190000}"/>
    <cellStyle name="Normal 4 3 2 2 3 2 3" xfId="4041" xr:uid="{00000000-0005-0000-0000-0000DB190000}"/>
    <cellStyle name="Normal 4 3 2 2 3 2 3 2" xfId="9332" xr:uid="{00000000-0005-0000-0000-0000DC190000}"/>
    <cellStyle name="Normal 4 3 2 2 3 2 4" xfId="4938" xr:uid="{00000000-0005-0000-0000-0000DD190000}"/>
    <cellStyle name="Normal 4 3 2 2 3 2 4 2" xfId="10226" xr:uid="{00000000-0005-0000-0000-0000DE190000}"/>
    <cellStyle name="Normal 4 3 2 2 3 2 5" xfId="6580" xr:uid="{00000000-0005-0000-0000-0000DF190000}"/>
    <cellStyle name="Normal 4 3 2 2 3 3" xfId="1875" xr:uid="{00000000-0005-0000-0000-0000E0190000}"/>
    <cellStyle name="Normal 4 3 2 2 3 3 2" xfId="5646" xr:uid="{00000000-0005-0000-0000-0000E1190000}"/>
    <cellStyle name="Normal 4 3 2 2 3 3 2 2" xfId="10934" xr:uid="{00000000-0005-0000-0000-0000E2190000}"/>
    <cellStyle name="Normal 4 3 2 2 3 3 3" xfId="7288" xr:uid="{00000000-0005-0000-0000-0000E3190000}"/>
    <cellStyle name="Normal 4 3 2 2 3 4" xfId="2427" xr:uid="{00000000-0005-0000-0000-0000E4190000}"/>
    <cellStyle name="Normal 4 3 2 2 3 4 2" xfId="7785" xr:uid="{00000000-0005-0000-0000-0000E5190000}"/>
    <cellStyle name="Normal 4 3 2 2 3 5" xfId="3541" xr:uid="{00000000-0005-0000-0000-0000E6190000}"/>
    <cellStyle name="Normal 4 3 2 2 3 5 2" xfId="8833" xr:uid="{00000000-0005-0000-0000-0000E7190000}"/>
    <cellStyle name="Normal 4 3 2 2 3 6" xfId="4937" xr:uid="{00000000-0005-0000-0000-0000E8190000}"/>
    <cellStyle name="Normal 4 3 2 2 3 6 2" xfId="10225" xr:uid="{00000000-0005-0000-0000-0000E9190000}"/>
    <cellStyle name="Normal 4 3 2 2 3 7" xfId="6579" xr:uid="{00000000-0005-0000-0000-0000EA190000}"/>
    <cellStyle name="Normal 4 3 2 2 4" xfId="1122" xr:uid="{00000000-0005-0000-0000-0000EB190000}"/>
    <cellStyle name="Normal 4 3 2 2 4 2" xfId="2929" xr:uid="{00000000-0005-0000-0000-0000EC190000}"/>
    <cellStyle name="Normal 4 3 2 2 4 2 2" xfId="8282" xr:uid="{00000000-0005-0000-0000-0000ED190000}"/>
    <cellStyle name="Normal 4 3 2 2 4 3" xfId="4039" xr:uid="{00000000-0005-0000-0000-0000EE190000}"/>
    <cellStyle name="Normal 4 3 2 2 4 3 2" xfId="9330" xr:uid="{00000000-0005-0000-0000-0000EF190000}"/>
    <cellStyle name="Normal 4 3 2 2 4 4" xfId="4939" xr:uid="{00000000-0005-0000-0000-0000F0190000}"/>
    <cellStyle name="Normal 4 3 2 2 4 4 2" xfId="10227" xr:uid="{00000000-0005-0000-0000-0000F1190000}"/>
    <cellStyle name="Normal 4 3 2 2 4 5" xfId="6581" xr:uid="{00000000-0005-0000-0000-0000F2190000}"/>
    <cellStyle name="Normal 4 3 2 2 5" xfId="1873" xr:uid="{00000000-0005-0000-0000-0000F3190000}"/>
    <cellStyle name="Normal 4 3 2 2 5 2" xfId="5644" xr:uid="{00000000-0005-0000-0000-0000F4190000}"/>
    <cellStyle name="Normal 4 3 2 2 5 2 2" xfId="10932" xr:uid="{00000000-0005-0000-0000-0000F5190000}"/>
    <cellStyle name="Normal 4 3 2 2 5 3" xfId="7286" xr:uid="{00000000-0005-0000-0000-0000F6190000}"/>
    <cellStyle name="Normal 4 3 2 2 6" xfId="2425" xr:uid="{00000000-0005-0000-0000-0000F7190000}"/>
    <cellStyle name="Normal 4 3 2 2 6 2" xfId="7783" xr:uid="{00000000-0005-0000-0000-0000F8190000}"/>
    <cellStyle name="Normal 4 3 2 2 7" xfId="3539" xr:uid="{00000000-0005-0000-0000-0000F9190000}"/>
    <cellStyle name="Normal 4 3 2 2 7 2" xfId="8831" xr:uid="{00000000-0005-0000-0000-0000FA190000}"/>
    <cellStyle name="Normal 4 3 2 2 8" xfId="4934" xr:uid="{00000000-0005-0000-0000-0000FB190000}"/>
    <cellStyle name="Normal 4 3 2 2 8 2" xfId="10222" xr:uid="{00000000-0005-0000-0000-0000FC190000}"/>
    <cellStyle name="Normal 4 3 2 2 9" xfId="6576" xr:uid="{00000000-0005-0000-0000-0000FD190000}"/>
    <cellStyle name="Normal 4 3 2 3" xfId="1123" xr:uid="{00000000-0005-0000-0000-0000FE190000}"/>
    <cellStyle name="Normal 4 3 2 3 2" xfId="1124" xr:uid="{00000000-0005-0000-0000-0000FF190000}"/>
    <cellStyle name="Normal 4 3 2 3 2 2" xfId="2932" xr:uid="{00000000-0005-0000-0000-0000001A0000}"/>
    <cellStyle name="Normal 4 3 2 3 2 2 2" xfId="8285" xr:uid="{00000000-0005-0000-0000-0000011A0000}"/>
    <cellStyle name="Normal 4 3 2 3 2 3" xfId="4042" xr:uid="{00000000-0005-0000-0000-0000021A0000}"/>
    <cellStyle name="Normal 4 3 2 3 2 3 2" xfId="9333" xr:uid="{00000000-0005-0000-0000-0000031A0000}"/>
    <cellStyle name="Normal 4 3 2 3 2 4" xfId="4941" xr:uid="{00000000-0005-0000-0000-0000041A0000}"/>
    <cellStyle name="Normal 4 3 2 3 2 4 2" xfId="10229" xr:uid="{00000000-0005-0000-0000-0000051A0000}"/>
    <cellStyle name="Normal 4 3 2 3 2 5" xfId="6583" xr:uid="{00000000-0005-0000-0000-0000061A0000}"/>
    <cellStyle name="Normal 4 3 2 3 3" xfId="1876" xr:uid="{00000000-0005-0000-0000-0000071A0000}"/>
    <cellStyle name="Normal 4 3 2 3 3 2" xfId="5647" xr:uid="{00000000-0005-0000-0000-0000081A0000}"/>
    <cellStyle name="Normal 4 3 2 3 3 2 2" xfId="10935" xr:uid="{00000000-0005-0000-0000-0000091A0000}"/>
    <cellStyle name="Normal 4 3 2 3 3 3" xfId="7289" xr:uid="{00000000-0005-0000-0000-00000A1A0000}"/>
    <cellStyle name="Normal 4 3 2 3 4" xfId="2428" xr:uid="{00000000-0005-0000-0000-00000B1A0000}"/>
    <cellStyle name="Normal 4 3 2 3 4 2" xfId="7786" xr:uid="{00000000-0005-0000-0000-00000C1A0000}"/>
    <cellStyle name="Normal 4 3 2 3 5" xfId="3542" xr:uid="{00000000-0005-0000-0000-00000D1A0000}"/>
    <cellStyle name="Normal 4 3 2 3 5 2" xfId="8834" xr:uid="{00000000-0005-0000-0000-00000E1A0000}"/>
    <cellStyle name="Normal 4 3 2 3 6" xfId="4940" xr:uid="{00000000-0005-0000-0000-00000F1A0000}"/>
    <cellStyle name="Normal 4 3 2 3 6 2" xfId="10228" xr:uid="{00000000-0005-0000-0000-0000101A0000}"/>
    <cellStyle name="Normal 4 3 2 3 7" xfId="6582" xr:uid="{00000000-0005-0000-0000-0000111A0000}"/>
    <cellStyle name="Normal 4 3 2 4" xfId="1125" xr:uid="{00000000-0005-0000-0000-0000121A0000}"/>
    <cellStyle name="Normal 4 3 2 4 2" xfId="1126" xr:uid="{00000000-0005-0000-0000-0000131A0000}"/>
    <cellStyle name="Normal 4 3 2 4 2 2" xfId="2933" xr:uid="{00000000-0005-0000-0000-0000141A0000}"/>
    <cellStyle name="Normal 4 3 2 4 2 2 2" xfId="8286" xr:uid="{00000000-0005-0000-0000-0000151A0000}"/>
    <cellStyle name="Normal 4 3 2 4 2 3" xfId="4043" xr:uid="{00000000-0005-0000-0000-0000161A0000}"/>
    <cellStyle name="Normal 4 3 2 4 2 3 2" xfId="9334" xr:uid="{00000000-0005-0000-0000-0000171A0000}"/>
    <cellStyle name="Normal 4 3 2 4 2 4" xfId="4943" xr:uid="{00000000-0005-0000-0000-0000181A0000}"/>
    <cellStyle name="Normal 4 3 2 4 2 4 2" xfId="10231" xr:uid="{00000000-0005-0000-0000-0000191A0000}"/>
    <cellStyle name="Normal 4 3 2 4 2 5" xfId="6585" xr:uid="{00000000-0005-0000-0000-00001A1A0000}"/>
    <cellStyle name="Normal 4 3 2 4 3" xfId="1877" xr:uid="{00000000-0005-0000-0000-00001B1A0000}"/>
    <cellStyle name="Normal 4 3 2 4 3 2" xfId="5648" xr:uid="{00000000-0005-0000-0000-00001C1A0000}"/>
    <cellStyle name="Normal 4 3 2 4 3 2 2" xfId="10936" xr:uid="{00000000-0005-0000-0000-00001D1A0000}"/>
    <cellStyle name="Normal 4 3 2 4 3 3" xfId="7290" xr:uid="{00000000-0005-0000-0000-00001E1A0000}"/>
    <cellStyle name="Normal 4 3 2 4 4" xfId="2429" xr:uid="{00000000-0005-0000-0000-00001F1A0000}"/>
    <cellStyle name="Normal 4 3 2 4 4 2" xfId="7787" xr:uid="{00000000-0005-0000-0000-0000201A0000}"/>
    <cellStyle name="Normal 4 3 2 4 5" xfId="3543" xr:uid="{00000000-0005-0000-0000-0000211A0000}"/>
    <cellStyle name="Normal 4 3 2 4 5 2" xfId="8835" xr:uid="{00000000-0005-0000-0000-0000221A0000}"/>
    <cellStyle name="Normal 4 3 2 4 6" xfId="4942" xr:uid="{00000000-0005-0000-0000-0000231A0000}"/>
    <cellStyle name="Normal 4 3 2 4 6 2" xfId="10230" xr:uid="{00000000-0005-0000-0000-0000241A0000}"/>
    <cellStyle name="Normal 4 3 2 4 7" xfId="6584" xr:uid="{00000000-0005-0000-0000-0000251A0000}"/>
    <cellStyle name="Normal 4 3 2 5" xfId="1127" xr:uid="{00000000-0005-0000-0000-0000261A0000}"/>
    <cellStyle name="Normal 4 3 2 5 2" xfId="2928" xr:uid="{00000000-0005-0000-0000-0000271A0000}"/>
    <cellStyle name="Normal 4 3 2 5 2 2" xfId="8281" xr:uid="{00000000-0005-0000-0000-0000281A0000}"/>
    <cellStyle name="Normal 4 3 2 5 3" xfId="4038" xr:uid="{00000000-0005-0000-0000-0000291A0000}"/>
    <cellStyle name="Normal 4 3 2 5 3 2" xfId="9329" xr:uid="{00000000-0005-0000-0000-00002A1A0000}"/>
    <cellStyle name="Normal 4 3 2 5 4" xfId="4944" xr:uid="{00000000-0005-0000-0000-00002B1A0000}"/>
    <cellStyle name="Normal 4 3 2 5 4 2" xfId="10232" xr:uid="{00000000-0005-0000-0000-00002C1A0000}"/>
    <cellStyle name="Normal 4 3 2 5 5" xfId="6586" xr:uid="{00000000-0005-0000-0000-00002D1A0000}"/>
    <cellStyle name="Normal 4 3 2 6" xfId="1872" xr:uid="{00000000-0005-0000-0000-00002E1A0000}"/>
    <cellStyle name="Normal 4 3 2 6 2" xfId="5643" xr:uid="{00000000-0005-0000-0000-00002F1A0000}"/>
    <cellStyle name="Normal 4 3 2 6 2 2" xfId="10931" xr:uid="{00000000-0005-0000-0000-0000301A0000}"/>
    <cellStyle name="Normal 4 3 2 6 3" xfId="7285" xr:uid="{00000000-0005-0000-0000-0000311A0000}"/>
    <cellStyle name="Normal 4 3 2 7" xfId="2424" xr:uid="{00000000-0005-0000-0000-0000321A0000}"/>
    <cellStyle name="Normal 4 3 2 7 2" xfId="7782" xr:uid="{00000000-0005-0000-0000-0000331A0000}"/>
    <cellStyle name="Normal 4 3 2 8" xfId="3538" xr:uid="{00000000-0005-0000-0000-0000341A0000}"/>
    <cellStyle name="Normal 4 3 2 8 2" xfId="8830" xr:uid="{00000000-0005-0000-0000-0000351A0000}"/>
    <cellStyle name="Normal 4 3 2 9" xfId="4933" xr:uid="{00000000-0005-0000-0000-0000361A0000}"/>
    <cellStyle name="Normal 4 3 2 9 2" xfId="10221" xr:uid="{00000000-0005-0000-0000-0000371A0000}"/>
    <cellStyle name="Normal 4 3 3" xfId="1128" xr:uid="{00000000-0005-0000-0000-0000381A0000}"/>
    <cellStyle name="Normal 4 3 3 2" xfId="1129" xr:uid="{00000000-0005-0000-0000-0000391A0000}"/>
    <cellStyle name="Normal 4 3 3 2 2" xfId="1130" xr:uid="{00000000-0005-0000-0000-00003A1A0000}"/>
    <cellStyle name="Normal 4 3 3 2 2 2" xfId="2935" xr:uid="{00000000-0005-0000-0000-00003B1A0000}"/>
    <cellStyle name="Normal 4 3 3 2 2 2 2" xfId="8288" xr:uid="{00000000-0005-0000-0000-00003C1A0000}"/>
    <cellStyle name="Normal 4 3 3 2 2 3" xfId="4045" xr:uid="{00000000-0005-0000-0000-00003D1A0000}"/>
    <cellStyle name="Normal 4 3 3 2 2 3 2" xfId="9336" xr:uid="{00000000-0005-0000-0000-00003E1A0000}"/>
    <cellStyle name="Normal 4 3 3 2 2 4" xfId="4947" xr:uid="{00000000-0005-0000-0000-00003F1A0000}"/>
    <cellStyle name="Normal 4 3 3 2 2 4 2" xfId="10235" xr:uid="{00000000-0005-0000-0000-0000401A0000}"/>
    <cellStyle name="Normal 4 3 3 2 2 5" xfId="6589" xr:uid="{00000000-0005-0000-0000-0000411A0000}"/>
    <cellStyle name="Normal 4 3 3 2 3" xfId="1879" xr:uid="{00000000-0005-0000-0000-0000421A0000}"/>
    <cellStyle name="Normal 4 3 3 2 3 2" xfId="5650" xr:uid="{00000000-0005-0000-0000-0000431A0000}"/>
    <cellStyle name="Normal 4 3 3 2 3 2 2" xfId="10938" xr:uid="{00000000-0005-0000-0000-0000441A0000}"/>
    <cellStyle name="Normal 4 3 3 2 3 3" xfId="7292" xr:uid="{00000000-0005-0000-0000-0000451A0000}"/>
    <cellStyle name="Normal 4 3 3 2 4" xfId="2431" xr:uid="{00000000-0005-0000-0000-0000461A0000}"/>
    <cellStyle name="Normal 4 3 3 2 4 2" xfId="7789" xr:uid="{00000000-0005-0000-0000-0000471A0000}"/>
    <cellStyle name="Normal 4 3 3 2 5" xfId="3545" xr:uid="{00000000-0005-0000-0000-0000481A0000}"/>
    <cellStyle name="Normal 4 3 3 2 5 2" xfId="8837" xr:uid="{00000000-0005-0000-0000-0000491A0000}"/>
    <cellStyle name="Normal 4 3 3 2 6" xfId="4946" xr:uid="{00000000-0005-0000-0000-00004A1A0000}"/>
    <cellStyle name="Normal 4 3 3 2 6 2" xfId="10234" xr:uid="{00000000-0005-0000-0000-00004B1A0000}"/>
    <cellStyle name="Normal 4 3 3 2 7" xfId="6588" xr:uid="{00000000-0005-0000-0000-00004C1A0000}"/>
    <cellStyle name="Normal 4 3 3 3" xfId="1131" xr:uid="{00000000-0005-0000-0000-00004D1A0000}"/>
    <cellStyle name="Normal 4 3 3 3 2" xfId="1132" xr:uid="{00000000-0005-0000-0000-00004E1A0000}"/>
    <cellStyle name="Normal 4 3 3 3 2 2" xfId="2936" xr:uid="{00000000-0005-0000-0000-00004F1A0000}"/>
    <cellStyle name="Normal 4 3 3 3 2 2 2" xfId="8289" xr:uid="{00000000-0005-0000-0000-0000501A0000}"/>
    <cellStyle name="Normal 4 3 3 3 2 3" xfId="4046" xr:uid="{00000000-0005-0000-0000-0000511A0000}"/>
    <cellStyle name="Normal 4 3 3 3 2 3 2" xfId="9337" xr:uid="{00000000-0005-0000-0000-0000521A0000}"/>
    <cellStyle name="Normal 4 3 3 3 2 4" xfId="4949" xr:uid="{00000000-0005-0000-0000-0000531A0000}"/>
    <cellStyle name="Normal 4 3 3 3 2 4 2" xfId="10237" xr:uid="{00000000-0005-0000-0000-0000541A0000}"/>
    <cellStyle name="Normal 4 3 3 3 2 5" xfId="6591" xr:uid="{00000000-0005-0000-0000-0000551A0000}"/>
    <cellStyle name="Normal 4 3 3 3 3" xfId="1880" xr:uid="{00000000-0005-0000-0000-0000561A0000}"/>
    <cellStyle name="Normal 4 3 3 3 3 2" xfId="5651" xr:uid="{00000000-0005-0000-0000-0000571A0000}"/>
    <cellStyle name="Normal 4 3 3 3 3 2 2" xfId="10939" xr:uid="{00000000-0005-0000-0000-0000581A0000}"/>
    <cellStyle name="Normal 4 3 3 3 3 3" xfId="7293" xr:uid="{00000000-0005-0000-0000-0000591A0000}"/>
    <cellStyle name="Normal 4 3 3 3 4" xfId="2432" xr:uid="{00000000-0005-0000-0000-00005A1A0000}"/>
    <cellStyle name="Normal 4 3 3 3 4 2" xfId="7790" xr:uid="{00000000-0005-0000-0000-00005B1A0000}"/>
    <cellStyle name="Normal 4 3 3 3 5" xfId="3546" xr:uid="{00000000-0005-0000-0000-00005C1A0000}"/>
    <cellStyle name="Normal 4 3 3 3 5 2" xfId="8838" xr:uid="{00000000-0005-0000-0000-00005D1A0000}"/>
    <cellStyle name="Normal 4 3 3 3 6" xfId="4948" xr:uid="{00000000-0005-0000-0000-00005E1A0000}"/>
    <cellStyle name="Normal 4 3 3 3 6 2" xfId="10236" xr:uid="{00000000-0005-0000-0000-00005F1A0000}"/>
    <cellStyle name="Normal 4 3 3 3 7" xfId="6590" xr:uid="{00000000-0005-0000-0000-0000601A0000}"/>
    <cellStyle name="Normal 4 3 3 4" xfId="1133" xr:uid="{00000000-0005-0000-0000-0000611A0000}"/>
    <cellStyle name="Normal 4 3 3 4 2" xfId="2934" xr:uid="{00000000-0005-0000-0000-0000621A0000}"/>
    <cellStyle name="Normal 4 3 3 4 2 2" xfId="8287" xr:uid="{00000000-0005-0000-0000-0000631A0000}"/>
    <cellStyle name="Normal 4 3 3 4 3" xfId="4044" xr:uid="{00000000-0005-0000-0000-0000641A0000}"/>
    <cellStyle name="Normal 4 3 3 4 3 2" xfId="9335" xr:uid="{00000000-0005-0000-0000-0000651A0000}"/>
    <cellStyle name="Normal 4 3 3 4 4" xfId="4950" xr:uid="{00000000-0005-0000-0000-0000661A0000}"/>
    <cellStyle name="Normal 4 3 3 4 4 2" xfId="10238" xr:uid="{00000000-0005-0000-0000-0000671A0000}"/>
    <cellStyle name="Normal 4 3 3 4 5" xfId="6592" xr:uid="{00000000-0005-0000-0000-0000681A0000}"/>
    <cellStyle name="Normal 4 3 3 5" xfId="1878" xr:uid="{00000000-0005-0000-0000-0000691A0000}"/>
    <cellStyle name="Normal 4 3 3 5 2" xfId="5649" xr:uid="{00000000-0005-0000-0000-00006A1A0000}"/>
    <cellStyle name="Normal 4 3 3 5 2 2" xfId="10937" xr:uid="{00000000-0005-0000-0000-00006B1A0000}"/>
    <cellStyle name="Normal 4 3 3 5 3" xfId="7291" xr:uid="{00000000-0005-0000-0000-00006C1A0000}"/>
    <cellStyle name="Normal 4 3 3 6" xfId="2430" xr:uid="{00000000-0005-0000-0000-00006D1A0000}"/>
    <cellStyle name="Normal 4 3 3 6 2" xfId="7788" xr:uid="{00000000-0005-0000-0000-00006E1A0000}"/>
    <cellStyle name="Normal 4 3 3 7" xfId="3544" xr:uid="{00000000-0005-0000-0000-00006F1A0000}"/>
    <cellStyle name="Normal 4 3 3 7 2" xfId="8836" xr:uid="{00000000-0005-0000-0000-0000701A0000}"/>
    <cellStyle name="Normal 4 3 3 8" xfId="4945" xr:uid="{00000000-0005-0000-0000-0000711A0000}"/>
    <cellStyle name="Normal 4 3 3 8 2" xfId="10233" xr:uid="{00000000-0005-0000-0000-0000721A0000}"/>
    <cellStyle name="Normal 4 3 3 9" xfId="6587" xr:uid="{00000000-0005-0000-0000-0000731A0000}"/>
    <cellStyle name="Normal 4 3 4" xfId="1134" xr:uid="{00000000-0005-0000-0000-0000741A0000}"/>
    <cellStyle name="Normal 4 3 4 2" xfId="1135" xr:uid="{00000000-0005-0000-0000-0000751A0000}"/>
    <cellStyle name="Normal 4 3 4 2 2" xfId="2937" xr:uid="{00000000-0005-0000-0000-0000761A0000}"/>
    <cellStyle name="Normal 4 3 4 2 2 2" xfId="8290" xr:uid="{00000000-0005-0000-0000-0000771A0000}"/>
    <cellStyle name="Normal 4 3 4 2 3" xfId="4047" xr:uid="{00000000-0005-0000-0000-0000781A0000}"/>
    <cellStyle name="Normal 4 3 4 2 3 2" xfId="9338" xr:uid="{00000000-0005-0000-0000-0000791A0000}"/>
    <cellStyle name="Normal 4 3 4 2 4" xfId="4952" xr:uid="{00000000-0005-0000-0000-00007A1A0000}"/>
    <cellStyle name="Normal 4 3 4 2 4 2" xfId="10240" xr:uid="{00000000-0005-0000-0000-00007B1A0000}"/>
    <cellStyle name="Normal 4 3 4 2 5" xfId="6594" xr:uid="{00000000-0005-0000-0000-00007C1A0000}"/>
    <cellStyle name="Normal 4 3 4 3" xfId="1881" xr:uid="{00000000-0005-0000-0000-00007D1A0000}"/>
    <cellStyle name="Normal 4 3 4 3 2" xfId="5652" xr:uid="{00000000-0005-0000-0000-00007E1A0000}"/>
    <cellStyle name="Normal 4 3 4 3 2 2" xfId="10940" xr:uid="{00000000-0005-0000-0000-00007F1A0000}"/>
    <cellStyle name="Normal 4 3 4 3 3" xfId="7294" xr:uid="{00000000-0005-0000-0000-0000801A0000}"/>
    <cellStyle name="Normal 4 3 4 4" xfId="2433" xr:uid="{00000000-0005-0000-0000-0000811A0000}"/>
    <cellStyle name="Normal 4 3 4 4 2" xfId="7791" xr:uid="{00000000-0005-0000-0000-0000821A0000}"/>
    <cellStyle name="Normal 4 3 4 5" xfId="3547" xr:uid="{00000000-0005-0000-0000-0000831A0000}"/>
    <cellStyle name="Normal 4 3 4 5 2" xfId="8839" xr:uid="{00000000-0005-0000-0000-0000841A0000}"/>
    <cellStyle name="Normal 4 3 4 6" xfId="4951" xr:uid="{00000000-0005-0000-0000-0000851A0000}"/>
    <cellStyle name="Normal 4 3 4 6 2" xfId="10239" xr:uid="{00000000-0005-0000-0000-0000861A0000}"/>
    <cellStyle name="Normal 4 3 4 7" xfId="6593" xr:uid="{00000000-0005-0000-0000-0000871A0000}"/>
    <cellStyle name="Normal 4 3 5" xfId="1136" xr:uid="{00000000-0005-0000-0000-0000881A0000}"/>
    <cellStyle name="Normal 4 3 5 2" xfId="1137" xr:uid="{00000000-0005-0000-0000-0000891A0000}"/>
    <cellStyle name="Normal 4 3 5 2 2" xfId="2938" xr:uid="{00000000-0005-0000-0000-00008A1A0000}"/>
    <cellStyle name="Normal 4 3 5 2 2 2" xfId="8291" xr:uid="{00000000-0005-0000-0000-00008B1A0000}"/>
    <cellStyle name="Normal 4 3 5 2 3" xfId="4048" xr:uid="{00000000-0005-0000-0000-00008C1A0000}"/>
    <cellStyle name="Normal 4 3 5 2 3 2" xfId="9339" xr:uid="{00000000-0005-0000-0000-00008D1A0000}"/>
    <cellStyle name="Normal 4 3 5 2 4" xfId="4954" xr:uid="{00000000-0005-0000-0000-00008E1A0000}"/>
    <cellStyle name="Normal 4 3 5 2 4 2" xfId="10242" xr:uid="{00000000-0005-0000-0000-00008F1A0000}"/>
    <cellStyle name="Normal 4 3 5 2 5" xfId="6596" xr:uid="{00000000-0005-0000-0000-0000901A0000}"/>
    <cellStyle name="Normal 4 3 5 3" xfId="1882" xr:uid="{00000000-0005-0000-0000-0000911A0000}"/>
    <cellStyle name="Normal 4 3 5 3 2" xfId="5653" xr:uid="{00000000-0005-0000-0000-0000921A0000}"/>
    <cellStyle name="Normal 4 3 5 3 2 2" xfId="10941" xr:uid="{00000000-0005-0000-0000-0000931A0000}"/>
    <cellStyle name="Normal 4 3 5 3 3" xfId="7295" xr:uid="{00000000-0005-0000-0000-0000941A0000}"/>
    <cellStyle name="Normal 4 3 5 4" xfId="2434" xr:uid="{00000000-0005-0000-0000-0000951A0000}"/>
    <cellStyle name="Normal 4 3 5 4 2" xfId="7792" xr:uid="{00000000-0005-0000-0000-0000961A0000}"/>
    <cellStyle name="Normal 4 3 5 5" xfId="3548" xr:uid="{00000000-0005-0000-0000-0000971A0000}"/>
    <cellStyle name="Normal 4 3 5 5 2" xfId="8840" xr:uid="{00000000-0005-0000-0000-0000981A0000}"/>
    <cellStyle name="Normal 4 3 5 6" xfId="4953" xr:uid="{00000000-0005-0000-0000-0000991A0000}"/>
    <cellStyle name="Normal 4 3 5 6 2" xfId="10241" xr:uid="{00000000-0005-0000-0000-00009A1A0000}"/>
    <cellStyle name="Normal 4 3 5 7" xfId="6595" xr:uid="{00000000-0005-0000-0000-00009B1A0000}"/>
    <cellStyle name="Normal 4 3 6" xfId="1138" xr:uid="{00000000-0005-0000-0000-00009C1A0000}"/>
    <cellStyle name="Normal 4 3 6 2" xfId="2927" xr:uid="{00000000-0005-0000-0000-00009D1A0000}"/>
    <cellStyle name="Normal 4 3 6 2 2" xfId="8280" xr:uid="{00000000-0005-0000-0000-00009E1A0000}"/>
    <cellStyle name="Normal 4 3 6 3" xfId="4037" xr:uid="{00000000-0005-0000-0000-00009F1A0000}"/>
    <cellStyle name="Normal 4 3 6 3 2" xfId="9328" xr:uid="{00000000-0005-0000-0000-0000A01A0000}"/>
    <cellStyle name="Normal 4 3 6 4" xfId="4955" xr:uid="{00000000-0005-0000-0000-0000A11A0000}"/>
    <cellStyle name="Normal 4 3 6 4 2" xfId="10243" xr:uid="{00000000-0005-0000-0000-0000A21A0000}"/>
    <cellStyle name="Normal 4 3 6 5" xfId="6597" xr:uid="{00000000-0005-0000-0000-0000A31A0000}"/>
    <cellStyle name="Normal 4 3 7" xfId="1871" xr:uid="{00000000-0005-0000-0000-0000A41A0000}"/>
    <cellStyle name="Normal 4 3 7 2" xfId="5642" xr:uid="{00000000-0005-0000-0000-0000A51A0000}"/>
    <cellStyle name="Normal 4 3 7 2 2" xfId="10930" xr:uid="{00000000-0005-0000-0000-0000A61A0000}"/>
    <cellStyle name="Normal 4 3 7 3" xfId="7284" xr:uid="{00000000-0005-0000-0000-0000A71A0000}"/>
    <cellStyle name="Normal 4 3 8" xfId="2423" xr:uid="{00000000-0005-0000-0000-0000A81A0000}"/>
    <cellStyle name="Normal 4 3 8 2" xfId="5878" xr:uid="{00000000-0005-0000-0000-0000A91A0000}"/>
    <cellStyle name="Normal 4 3 8 3" xfId="7781" xr:uid="{00000000-0005-0000-0000-0000AA1A0000}"/>
    <cellStyle name="Normal 4 3 9" xfId="3195" xr:uid="{00000000-0005-0000-0000-0000AB1A0000}"/>
    <cellStyle name="Normal 4 4" xfId="1139" xr:uid="{00000000-0005-0000-0000-0000AC1A0000}"/>
    <cellStyle name="Normal 4 4 10" xfId="3549" xr:uid="{00000000-0005-0000-0000-0000AD1A0000}"/>
    <cellStyle name="Normal 4 4 10 2" xfId="8841" xr:uid="{00000000-0005-0000-0000-0000AE1A0000}"/>
    <cellStyle name="Normal 4 4 11" xfId="4956" xr:uid="{00000000-0005-0000-0000-0000AF1A0000}"/>
    <cellStyle name="Normal 4 4 11 2" xfId="10244" xr:uid="{00000000-0005-0000-0000-0000B01A0000}"/>
    <cellStyle name="Normal 4 4 12" xfId="6598" xr:uid="{00000000-0005-0000-0000-0000B11A0000}"/>
    <cellStyle name="Normal 4 4 2" xfId="1140" xr:uid="{00000000-0005-0000-0000-0000B21A0000}"/>
    <cellStyle name="Normal 4 4 2 10" xfId="6599" xr:uid="{00000000-0005-0000-0000-0000B31A0000}"/>
    <cellStyle name="Normal 4 4 2 2" xfId="1141" xr:uid="{00000000-0005-0000-0000-0000B41A0000}"/>
    <cellStyle name="Normal 4 4 2 2 2" xfId="1142" xr:uid="{00000000-0005-0000-0000-0000B51A0000}"/>
    <cellStyle name="Normal 4 4 2 2 2 2" xfId="1143" xr:uid="{00000000-0005-0000-0000-0000B61A0000}"/>
    <cellStyle name="Normal 4 4 2 2 2 2 2" xfId="2942" xr:uid="{00000000-0005-0000-0000-0000B71A0000}"/>
    <cellStyle name="Normal 4 4 2 2 2 2 2 2" xfId="8295" xr:uid="{00000000-0005-0000-0000-0000B81A0000}"/>
    <cellStyle name="Normal 4 4 2 2 2 2 3" xfId="4052" xr:uid="{00000000-0005-0000-0000-0000B91A0000}"/>
    <cellStyle name="Normal 4 4 2 2 2 2 3 2" xfId="9343" xr:uid="{00000000-0005-0000-0000-0000BA1A0000}"/>
    <cellStyle name="Normal 4 4 2 2 2 2 4" xfId="4960" xr:uid="{00000000-0005-0000-0000-0000BB1A0000}"/>
    <cellStyle name="Normal 4 4 2 2 2 2 4 2" xfId="10248" xr:uid="{00000000-0005-0000-0000-0000BC1A0000}"/>
    <cellStyle name="Normal 4 4 2 2 2 2 5" xfId="6602" xr:uid="{00000000-0005-0000-0000-0000BD1A0000}"/>
    <cellStyle name="Normal 4 4 2 2 2 3" xfId="1886" xr:uid="{00000000-0005-0000-0000-0000BE1A0000}"/>
    <cellStyle name="Normal 4 4 2 2 2 3 2" xfId="5657" xr:uid="{00000000-0005-0000-0000-0000BF1A0000}"/>
    <cellStyle name="Normal 4 4 2 2 2 3 2 2" xfId="10945" xr:uid="{00000000-0005-0000-0000-0000C01A0000}"/>
    <cellStyle name="Normal 4 4 2 2 2 3 3" xfId="7299" xr:uid="{00000000-0005-0000-0000-0000C11A0000}"/>
    <cellStyle name="Normal 4 4 2 2 2 4" xfId="2438" xr:uid="{00000000-0005-0000-0000-0000C21A0000}"/>
    <cellStyle name="Normal 4 4 2 2 2 4 2" xfId="7796" xr:uid="{00000000-0005-0000-0000-0000C31A0000}"/>
    <cellStyle name="Normal 4 4 2 2 2 5" xfId="3552" xr:uid="{00000000-0005-0000-0000-0000C41A0000}"/>
    <cellStyle name="Normal 4 4 2 2 2 5 2" xfId="8844" xr:uid="{00000000-0005-0000-0000-0000C51A0000}"/>
    <cellStyle name="Normal 4 4 2 2 2 6" xfId="4959" xr:uid="{00000000-0005-0000-0000-0000C61A0000}"/>
    <cellStyle name="Normal 4 4 2 2 2 6 2" xfId="10247" xr:uid="{00000000-0005-0000-0000-0000C71A0000}"/>
    <cellStyle name="Normal 4 4 2 2 2 7" xfId="6601" xr:uid="{00000000-0005-0000-0000-0000C81A0000}"/>
    <cellStyle name="Normal 4 4 2 2 3" xfId="1144" xr:uid="{00000000-0005-0000-0000-0000C91A0000}"/>
    <cellStyle name="Normal 4 4 2 2 3 2" xfId="1145" xr:uid="{00000000-0005-0000-0000-0000CA1A0000}"/>
    <cellStyle name="Normal 4 4 2 2 3 2 2" xfId="2943" xr:uid="{00000000-0005-0000-0000-0000CB1A0000}"/>
    <cellStyle name="Normal 4 4 2 2 3 2 2 2" xfId="8296" xr:uid="{00000000-0005-0000-0000-0000CC1A0000}"/>
    <cellStyle name="Normal 4 4 2 2 3 2 3" xfId="4053" xr:uid="{00000000-0005-0000-0000-0000CD1A0000}"/>
    <cellStyle name="Normal 4 4 2 2 3 2 3 2" xfId="9344" xr:uid="{00000000-0005-0000-0000-0000CE1A0000}"/>
    <cellStyle name="Normal 4 4 2 2 3 2 4" xfId="4962" xr:uid="{00000000-0005-0000-0000-0000CF1A0000}"/>
    <cellStyle name="Normal 4 4 2 2 3 2 4 2" xfId="10250" xr:uid="{00000000-0005-0000-0000-0000D01A0000}"/>
    <cellStyle name="Normal 4 4 2 2 3 2 5" xfId="6604" xr:uid="{00000000-0005-0000-0000-0000D11A0000}"/>
    <cellStyle name="Normal 4 4 2 2 3 3" xfId="1887" xr:uid="{00000000-0005-0000-0000-0000D21A0000}"/>
    <cellStyle name="Normal 4 4 2 2 3 3 2" xfId="5658" xr:uid="{00000000-0005-0000-0000-0000D31A0000}"/>
    <cellStyle name="Normal 4 4 2 2 3 3 2 2" xfId="10946" xr:uid="{00000000-0005-0000-0000-0000D41A0000}"/>
    <cellStyle name="Normal 4 4 2 2 3 3 3" xfId="7300" xr:uid="{00000000-0005-0000-0000-0000D51A0000}"/>
    <cellStyle name="Normal 4 4 2 2 3 4" xfId="2439" xr:uid="{00000000-0005-0000-0000-0000D61A0000}"/>
    <cellStyle name="Normal 4 4 2 2 3 4 2" xfId="7797" xr:uid="{00000000-0005-0000-0000-0000D71A0000}"/>
    <cellStyle name="Normal 4 4 2 2 3 5" xfId="3553" xr:uid="{00000000-0005-0000-0000-0000D81A0000}"/>
    <cellStyle name="Normal 4 4 2 2 3 5 2" xfId="8845" xr:uid="{00000000-0005-0000-0000-0000D91A0000}"/>
    <cellStyle name="Normal 4 4 2 2 3 6" xfId="4961" xr:uid="{00000000-0005-0000-0000-0000DA1A0000}"/>
    <cellStyle name="Normal 4 4 2 2 3 6 2" xfId="10249" xr:uid="{00000000-0005-0000-0000-0000DB1A0000}"/>
    <cellStyle name="Normal 4 4 2 2 3 7" xfId="6603" xr:uid="{00000000-0005-0000-0000-0000DC1A0000}"/>
    <cellStyle name="Normal 4 4 2 2 4" xfId="1146" xr:uid="{00000000-0005-0000-0000-0000DD1A0000}"/>
    <cellStyle name="Normal 4 4 2 2 4 2" xfId="2941" xr:uid="{00000000-0005-0000-0000-0000DE1A0000}"/>
    <cellStyle name="Normal 4 4 2 2 4 2 2" xfId="8294" xr:uid="{00000000-0005-0000-0000-0000DF1A0000}"/>
    <cellStyle name="Normal 4 4 2 2 4 3" xfId="4051" xr:uid="{00000000-0005-0000-0000-0000E01A0000}"/>
    <cellStyle name="Normal 4 4 2 2 4 3 2" xfId="9342" xr:uid="{00000000-0005-0000-0000-0000E11A0000}"/>
    <cellStyle name="Normal 4 4 2 2 4 4" xfId="4963" xr:uid="{00000000-0005-0000-0000-0000E21A0000}"/>
    <cellStyle name="Normal 4 4 2 2 4 4 2" xfId="10251" xr:uid="{00000000-0005-0000-0000-0000E31A0000}"/>
    <cellStyle name="Normal 4 4 2 2 4 5" xfId="6605" xr:uid="{00000000-0005-0000-0000-0000E41A0000}"/>
    <cellStyle name="Normal 4 4 2 2 5" xfId="1885" xr:uid="{00000000-0005-0000-0000-0000E51A0000}"/>
    <cellStyle name="Normal 4 4 2 2 5 2" xfId="5656" xr:uid="{00000000-0005-0000-0000-0000E61A0000}"/>
    <cellStyle name="Normal 4 4 2 2 5 2 2" xfId="10944" xr:uid="{00000000-0005-0000-0000-0000E71A0000}"/>
    <cellStyle name="Normal 4 4 2 2 5 3" xfId="7298" xr:uid="{00000000-0005-0000-0000-0000E81A0000}"/>
    <cellStyle name="Normal 4 4 2 2 6" xfId="2437" xr:uid="{00000000-0005-0000-0000-0000E91A0000}"/>
    <cellStyle name="Normal 4 4 2 2 6 2" xfId="7795" xr:uid="{00000000-0005-0000-0000-0000EA1A0000}"/>
    <cellStyle name="Normal 4 4 2 2 7" xfId="3551" xr:uid="{00000000-0005-0000-0000-0000EB1A0000}"/>
    <cellStyle name="Normal 4 4 2 2 7 2" xfId="8843" xr:uid="{00000000-0005-0000-0000-0000EC1A0000}"/>
    <cellStyle name="Normal 4 4 2 2 8" xfId="4958" xr:uid="{00000000-0005-0000-0000-0000ED1A0000}"/>
    <cellStyle name="Normal 4 4 2 2 8 2" xfId="10246" xr:uid="{00000000-0005-0000-0000-0000EE1A0000}"/>
    <cellStyle name="Normal 4 4 2 2 9" xfId="6600" xr:uid="{00000000-0005-0000-0000-0000EF1A0000}"/>
    <cellStyle name="Normal 4 4 2 3" xfId="1147" xr:uid="{00000000-0005-0000-0000-0000F01A0000}"/>
    <cellStyle name="Normal 4 4 2 3 2" xfId="1148" xr:uid="{00000000-0005-0000-0000-0000F11A0000}"/>
    <cellStyle name="Normal 4 4 2 3 2 2" xfId="2944" xr:uid="{00000000-0005-0000-0000-0000F21A0000}"/>
    <cellStyle name="Normal 4 4 2 3 2 2 2" xfId="8297" xr:uid="{00000000-0005-0000-0000-0000F31A0000}"/>
    <cellStyle name="Normal 4 4 2 3 2 3" xfId="4054" xr:uid="{00000000-0005-0000-0000-0000F41A0000}"/>
    <cellStyle name="Normal 4 4 2 3 2 3 2" xfId="9345" xr:uid="{00000000-0005-0000-0000-0000F51A0000}"/>
    <cellStyle name="Normal 4 4 2 3 2 4" xfId="4965" xr:uid="{00000000-0005-0000-0000-0000F61A0000}"/>
    <cellStyle name="Normal 4 4 2 3 2 4 2" xfId="10253" xr:uid="{00000000-0005-0000-0000-0000F71A0000}"/>
    <cellStyle name="Normal 4 4 2 3 2 5" xfId="6607" xr:uid="{00000000-0005-0000-0000-0000F81A0000}"/>
    <cellStyle name="Normal 4 4 2 3 3" xfId="1888" xr:uid="{00000000-0005-0000-0000-0000F91A0000}"/>
    <cellStyle name="Normal 4 4 2 3 3 2" xfId="5659" xr:uid="{00000000-0005-0000-0000-0000FA1A0000}"/>
    <cellStyle name="Normal 4 4 2 3 3 2 2" xfId="10947" xr:uid="{00000000-0005-0000-0000-0000FB1A0000}"/>
    <cellStyle name="Normal 4 4 2 3 3 3" xfId="7301" xr:uid="{00000000-0005-0000-0000-0000FC1A0000}"/>
    <cellStyle name="Normal 4 4 2 3 4" xfId="2440" xr:uid="{00000000-0005-0000-0000-0000FD1A0000}"/>
    <cellStyle name="Normal 4 4 2 3 4 2" xfId="7798" xr:uid="{00000000-0005-0000-0000-0000FE1A0000}"/>
    <cellStyle name="Normal 4 4 2 3 5" xfId="3554" xr:uid="{00000000-0005-0000-0000-0000FF1A0000}"/>
    <cellStyle name="Normal 4 4 2 3 5 2" xfId="8846" xr:uid="{00000000-0005-0000-0000-0000001B0000}"/>
    <cellStyle name="Normal 4 4 2 3 6" xfId="4964" xr:uid="{00000000-0005-0000-0000-0000011B0000}"/>
    <cellStyle name="Normal 4 4 2 3 6 2" xfId="10252" xr:uid="{00000000-0005-0000-0000-0000021B0000}"/>
    <cellStyle name="Normal 4 4 2 3 7" xfId="6606" xr:uid="{00000000-0005-0000-0000-0000031B0000}"/>
    <cellStyle name="Normal 4 4 2 4" xfId="1149" xr:uid="{00000000-0005-0000-0000-0000041B0000}"/>
    <cellStyle name="Normal 4 4 2 4 2" xfId="1150" xr:uid="{00000000-0005-0000-0000-0000051B0000}"/>
    <cellStyle name="Normal 4 4 2 4 2 2" xfId="2945" xr:uid="{00000000-0005-0000-0000-0000061B0000}"/>
    <cellStyle name="Normal 4 4 2 4 2 2 2" xfId="8298" xr:uid="{00000000-0005-0000-0000-0000071B0000}"/>
    <cellStyle name="Normal 4 4 2 4 2 3" xfId="4055" xr:uid="{00000000-0005-0000-0000-0000081B0000}"/>
    <cellStyle name="Normal 4 4 2 4 2 3 2" xfId="9346" xr:uid="{00000000-0005-0000-0000-0000091B0000}"/>
    <cellStyle name="Normal 4 4 2 4 2 4" xfId="4967" xr:uid="{00000000-0005-0000-0000-00000A1B0000}"/>
    <cellStyle name="Normal 4 4 2 4 2 4 2" xfId="10255" xr:uid="{00000000-0005-0000-0000-00000B1B0000}"/>
    <cellStyle name="Normal 4 4 2 4 2 5" xfId="6609" xr:uid="{00000000-0005-0000-0000-00000C1B0000}"/>
    <cellStyle name="Normal 4 4 2 4 3" xfId="1889" xr:uid="{00000000-0005-0000-0000-00000D1B0000}"/>
    <cellStyle name="Normal 4 4 2 4 3 2" xfId="5660" xr:uid="{00000000-0005-0000-0000-00000E1B0000}"/>
    <cellStyle name="Normal 4 4 2 4 3 2 2" xfId="10948" xr:uid="{00000000-0005-0000-0000-00000F1B0000}"/>
    <cellStyle name="Normal 4 4 2 4 3 3" xfId="7302" xr:uid="{00000000-0005-0000-0000-0000101B0000}"/>
    <cellStyle name="Normal 4 4 2 4 4" xfId="2441" xr:uid="{00000000-0005-0000-0000-0000111B0000}"/>
    <cellStyle name="Normal 4 4 2 4 4 2" xfId="7799" xr:uid="{00000000-0005-0000-0000-0000121B0000}"/>
    <cellStyle name="Normal 4 4 2 4 5" xfId="3555" xr:uid="{00000000-0005-0000-0000-0000131B0000}"/>
    <cellStyle name="Normal 4 4 2 4 5 2" xfId="8847" xr:uid="{00000000-0005-0000-0000-0000141B0000}"/>
    <cellStyle name="Normal 4 4 2 4 6" xfId="4966" xr:uid="{00000000-0005-0000-0000-0000151B0000}"/>
    <cellStyle name="Normal 4 4 2 4 6 2" xfId="10254" xr:uid="{00000000-0005-0000-0000-0000161B0000}"/>
    <cellStyle name="Normal 4 4 2 4 7" xfId="6608" xr:uid="{00000000-0005-0000-0000-0000171B0000}"/>
    <cellStyle name="Normal 4 4 2 5" xfId="1151" xr:uid="{00000000-0005-0000-0000-0000181B0000}"/>
    <cellStyle name="Normal 4 4 2 5 2" xfId="2940" xr:uid="{00000000-0005-0000-0000-0000191B0000}"/>
    <cellStyle name="Normal 4 4 2 5 2 2" xfId="8293" xr:uid="{00000000-0005-0000-0000-00001A1B0000}"/>
    <cellStyle name="Normal 4 4 2 5 3" xfId="4050" xr:uid="{00000000-0005-0000-0000-00001B1B0000}"/>
    <cellStyle name="Normal 4 4 2 5 3 2" xfId="9341" xr:uid="{00000000-0005-0000-0000-00001C1B0000}"/>
    <cellStyle name="Normal 4 4 2 5 4" xfId="4968" xr:uid="{00000000-0005-0000-0000-00001D1B0000}"/>
    <cellStyle name="Normal 4 4 2 5 4 2" xfId="10256" xr:uid="{00000000-0005-0000-0000-00001E1B0000}"/>
    <cellStyle name="Normal 4 4 2 5 5" xfId="6610" xr:uid="{00000000-0005-0000-0000-00001F1B0000}"/>
    <cellStyle name="Normal 4 4 2 6" xfId="1884" xr:uid="{00000000-0005-0000-0000-0000201B0000}"/>
    <cellStyle name="Normal 4 4 2 6 2" xfId="5655" xr:uid="{00000000-0005-0000-0000-0000211B0000}"/>
    <cellStyle name="Normal 4 4 2 6 2 2" xfId="10943" xr:uid="{00000000-0005-0000-0000-0000221B0000}"/>
    <cellStyle name="Normal 4 4 2 6 3" xfId="7297" xr:uid="{00000000-0005-0000-0000-0000231B0000}"/>
    <cellStyle name="Normal 4 4 2 7" xfId="2436" xr:uid="{00000000-0005-0000-0000-0000241B0000}"/>
    <cellStyle name="Normal 4 4 2 7 2" xfId="7794" xr:uid="{00000000-0005-0000-0000-0000251B0000}"/>
    <cellStyle name="Normal 4 4 2 8" xfId="3550" xr:uid="{00000000-0005-0000-0000-0000261B0000}"/>
    <cellStyle name="Normal 4 4 2 8 2" xfId="8842" xr:uid="{00000000-0005-0000-0000-0000271B0000}"/>
    <cellStyle name="Normal 4 4 2 9" xfId="4957" xr:uid="{00000000-0005-0000-0000-0000281B0000}"/>
    <cellStyle name="Normal 4 4 2 9 2" xfId="10245" xr:uid="{00000000-0005-0000-0000-0000291B0000}"/>
    <cellStyle name="Normal 4 4 3" xfId="1152" xr:uid="{00000000-0005-0000-0000-00002A1B0000}"/>
    <cellStyle name="Normal 4 4 3 2" xfId="1153" xr:uid="{00000000-0005-0000-0000-00002B1B0000}"/>
    <cellStyle name="Normal 4 4 3 2 2" xfId="1154" xr:uid="{00000000-0005-0000-0000-00002C1B0000}"/>
    <cellStyle name="Normal 4 4 3 2 2 2" xfId="2947" xr:uid="{00000000-0005-0000-0000-00002D1B0000}"/>
    <cellStyle name="Normal 4 4 3 2 2 2 2" xfId="8300" xr:uid="{00000000-0005-0000-0000-00002E1B0000}"/>
    <cellStyle name="Normal 4 4 3 2 2 3" xfId="4057" xr:uid="{00000000-0005-0000-0000-00002F1B0000}"/>
    <cellStyle name="Normal 4 4 3 2 2 3 2" xfId="9348" xr:uid="{00000000-0005-0000-0000-0000301B0000}"/>
    <cellStyle name="Normal 4 4 3 2 2 4" xfId="4971" xr:uid="{00000000-0005-0000-0000-0000311B0000}"/>
    <cellStyle name="Normal 4 4 3 2 2 4 2" xfId="10259" xr:uid="{00000000-0005-0000-0000-0000321B0000}"/>
    <cellStyle name="Normal 4 4 3 2 2 5" xfId="6613" xr:uid="{00000000-0005-0000-0000-0000331B0000}"/>
    <cellStyle name="Normal 4 4 3 2 3" xfId="1891" xr:uid="{00000000-0005-0000-0000-0000341B0000}"/>
    <cellStyle name="Normal 4 4 3 2 3 2" xfId="5662" xr:uid="{00000000-0005-0000-0000-0000351B0000}"/>
    <cellStyle name="Normal 4 4 3 2 3 2 2" xfId="10950" xr:uid="{00000000-0005-0000-0000-0000361B0000}"/>
    <cellStyle name="Normal 4 4 3 2 3 3" xfId="7304" xr:uid="{00000000-0005-0000-0000-0000371B0000}"/>
    <cellStyle name="Normal 4 4 3 2 4" xfId="2443" xr:uid="{00000000-0005-0000-0000-0000381B0000}"/>
    <cellStyle name="Normal 4 4 3 2 4 2" xfId="7801" xr:uid="{00000000-0005-0000-0000-0000391B0000}"/>
    <cellStyle name="Normal 4 4 3 2 5" xfId="3557" xr:uid="{00000000-0005-0000-0000-00003A1B0000}"/>
    <cellStyle name="Normal 4 4 3 2 5 2" xfId="8849" xr:uid="{00000000-0005-0000-0000-00003B1B0000}"/>
    <cellStyle name="Normal 4 4 3 2 6" xfId="4970" xr:uid="{00000000-0005-0000-0000-00003C1B0000}"/>
    <cellStyle name="Normal 4 4 3 2 6 2" xfId="10258" xr:uid="{00000000-0005-0000-0000-00003D1B0000}"/>
    <cellStyle name="Normal 4 4 3 2 7" xfId="6612" xr:uid="{00000000-0005-0000-0000-00003E1B0000}"/>
    <cellStyle name="Normal 4 4 3 3" xfId="1155" xr:uid="{00000000-0005-0000-0000-00003F1B0000}"/>
    <cellStyle name="Normal 4 4 3 3 2" xfId="1156" xr:uid="{00000000-0005-0000-0000-0000401B0000}"/>
    <cellStyle name="Normal 4 4 3 3 2 2" xfId="2948" xr:uid="{00000000-0005-0000-0000-0000411B0000}"/>
    <cellStyle name="Normal 4 4 3 3 2 2 2" xfId="8301" xr:uid="{00000000-0005-0000-0000-0000421B0000}"/>
    <cellStyle name="Normal 4 4 3 3 2 3" xfId="4058" xr:uid="{00000000-0005-0000-0000-0000431B0000}"/>
    <cellStyle name="Normal 4 4 3 3 2 3 2" xfId="9349" xr:uid="{00000000-0005-0000-0000-0000441B0000}"/>
    <cellStyle name="Normal 4 4 3 3 2 4" xfId="4973" xr:uid="{00000000-0005-0000-0000-0000451B0000}"/>
    <cellStyle name="Normal 4 4 3 3 2 4 2" xfId="10261" xr:uid="{00000000-0005-0000-0000-0000461B0000}"/>
    <cellStyle name="Normal 4 4 3 3 2 5" xfId="6615" xr:uid="{00000000-0005-0000-0000-0000471B0000}"/>
    <cellStyle name="Normal 4 4 3 3 3" xfId="1892" xr:uid="{00000000-0005-0000-0000-0000481B0000}"/>
    <cellStyle name="Normal 4 4 3 3 3 2" xfId="5663" xr:uid="{00000000-0005-0000-0000-0000491B0000}"/>
    <cellStyle name="Normal 4 4 3 3 3 2 2" xfId="10951" xr:uid="{00000000-0005-0000-0000-00004A1B0000}"/>
    <cellStyle name="Normal 4 4 3 3 3 3" xfId="7305" xr:uid="{00000000-0005-0000-0000-00004B1B0000}"/>
    <cellStyle name="Normal 4 4 3 3 4" xfId="2444" xr:uid="{00000000-0005-0000-0000-00004C1B0000}"/>
    <cellStyle name="Normal 4 4 3 3 4 2" xfId="7802" xr:uid="{00000000-0005-0000-0000-00004D1B0000}"/>
    <cellStyle name="Normal 4 4 3 3 5" xfId="3558" xr:uid="{00000000-0005-0000-0000-00004E1B0000}"/>
    <cellStyle name="Normal 4 4 3 3 5 2" xfId="8850" xr:uid="{00000000-0005-0000-0000-00004F1B0000}"/>
    <cellStyle name="Normal 4 4 3 3 6" xfId="4972" xr:uid="{00000000-0005-0000-0000-0000501B0000}"/>
    <cellStyle name="Normal 4 4 3 3 6 2" xfId="10260" xr:uid="{00000000-0005-0000-0000-0000511B0000}"/>
    <cellStyle name="Normal 4 4 3 3 7" xfId="6614" xr:uid="{00000000-0005-0000-0000-0000521B0000}"/>
    <cellStyle name="Normal 4 4 3 4" xfId="1157" xr:uid="{00000000-0005-0000-0000-0000531B0000}"/>
    <cellStyle name="Normal 4 4 3 4 2" xfId="2946" xr:uid="{00000000-0005-0000-0000-0000541B0000}"/>
    <cellStyle name="Normal 4 4 3 4 2 2" xfId="8299" xr:uid="{00000000-0005-0000-0000-0000551B0000}"/>
    <cellStyle name="Normal 4 4 3 4 3" xfId="4056" xr:uid="{00000000-0005-0000-0000-0000561B0000}"/>
    <cellStyle name="Normal 4 4 3 4 3 2" xfId="9347" xr:uid="{00000000-0005-0000-0000-0000571B0000}"/>
    <cellStyle name="Normal 4 4 3 4 4" xfId="4974" xr:uid="{00000000-0005-0000-0000-0000581B0000}"/>
    <cellStyle name="Normal 4 4 3 4 4 2" xfId="10262" xr:uid="{00000000-0005-0000-0000-0000591B0000}"/>
    <cellStyle name="Normal 4 4 3 4 5" xfId="6616" xr:uid="{00000000-0005-0000-0000-00005A1B0000}"/>
    <cellStyle name="Normal 4 4 3 5" xfId="1890" xr:uid="{00000000-0005-0000-0000-00005B1B0000}"/>
    <cellStyle name="Normal 4 4 3 5 2" xfId="5661" xr:uid="{00000000-0005-0000-0000-00005C1B0000}"/>
    <cellStyle name="Normal 4 4 3 5 2 2" xfId="10949" xr:uid="{00000000-0005-0000-0000-00005D1B0000}"/>
    <cellStyle name="Normal 4 4 3 5 3" xfId="7303" xr:uid="{00000000-0005-0000-0000-00005E1B0000}"/>
    <cellStyle name="Normal 4 4 3 6" xfId="2442" xr:uid="{00000000-0005-0000-0000-00005F1B0000}"/>
    <cellStyle name="Normal 4 4 3 6 2" xfId="7800" xr:uid="{00000000-0005-0000-0000-0000601B0000}"/>
    <cellStyle name="Normal 4 4 3 7" xfId="3556" xr:uid="{00000000-0005-0000-0000-0000611B0000}"/>
    <cellStyle name="Normal 4 4 3 7 2" xfId="8848" xr:uid="{00000000-0005-0000-0000-0000621B0000}"/>
    <cellStyle name="Normal 4 4 3 8" xfId="4969" xr:uid="{00000000-0005-0000-0000-0000631B0000}"/>
    <cellStyle name="Normal 4 4 3 8 2" xfId="10257" xr:uid="{00000000-0005-0000-0000-0000641B0000}"/>
    <cellStyle name="Normal 4 4 3 9" xfId="6611" xr:uid="{00000000-0005-0000-0000-0000651B0000}"/>
    <cellStyle name="Normal 4 4 4" xfId="1158" xr:uid="{00000000-0005-0000-0000-0000661B0000}"/>
    <cellStyle name="Normal 4 4 4 2" xfId="1159" xr:uid="{00000000-0005-0000-0000-0000671B0000}"/>
    <cellStyle name="Normal 4 4 4 2 2" xfId="2949" xr:uid="{00000000-0005-0000-0000-0000681B0000}"/>
    <cellStyle name="Normal 4 4 4 2 2 2" xfId="8302" xr:uid="{00000000-0005-0000-0000-0000691B0000}"/>
    <cellStyle name="Normal 4 4 4 2 3" xfId="4059" xr:uid="{00000000-0005-0000-0000-00006A1B0000}"/>
    <cellStyle name="Normal 4 4 4 2 3 2" xfId="9350" xr:uid="{00000000-0005-0000-0000-00006B1B0000}"/>
    <cellStyle name="Normal 4 4 4 2 4" xfId="4976" xr:uid="{00000000-0005-0000-0000-00006C1B0000}"/>
    <cellStyle name="Normal 4 4 4 2 4 2" xfId="10264" xr:uid="{00000000-0005-0000-0000-00006D1B0000}"/>
    <cellStyle name="Normal 4 4 4 2 5" xfId="6618" xr:uid="{00000000-0005-0000-0000-00006E1B0000}"/>
    <cellStyle name="Normal 4 4 4 3" xfId="1893" xr:uid="{00000000-0005-0000-0000-00006F1B0000}"/>
    <cellStyle name="Normal 4 4 4 3 2" xfId="5664" xr:uid="{00000000-0005-0000-0000-0000701B0000}"/>
    <cellStyle name="Normal 4 4 4 3 2 2" xfId="10952" xr:uid="{00000000-0005-0000-0000-0000711B0000}"/>
    <cellStyle name="Normal 4 4 4 3 3" xfId="7306" xr:uid="{00000000-0005-0000-0000-0000721B0000}"/>
    <cellStyle name="Normal 4 4 4 4" xfId="2445" xr:uid="{00000000-0005-0000-0000-0000731B0000}"/>
    <cellStyle name="Normal 4 4 4 4 2" xfId="7803" xr:uid="{00000000-0005-0000-0000-0000741B0000}"/>
    <cellStyle name="Normal 4 4 4 5" xfId="3559" xr:uid="{00000000-0005-0000-0000-0000751B0000}"/>
    <cellStyle name="Normal 4 4 4 5 2" xfId="8851" xr:uid="{00000000-0005-0000-0000-0000761B0000}"/>
    <cellStyle name="Normal 4 4 4 6" xfId="4975" xr:uid="{00000000-0005-0000-0000-0000771B0000}"/>
    <cellStyle name="Normal 4 4 4 6 2" xfId="10263" xr:uid="{00000000-0005-0000-0000-0000781B0000}"/>
    <cellStyle name="Normal 4 4 4 7" xfId="6617" xr:uid="{00000000-0005-0000-0000-0000791B0000}"/>
    <cellStyle name="Normal 4 4 5" xfId="1160" xr:uid="{00000000-0005-0000-0000-00007A1B0000}"/>
    <cellStyle name="Normal 4 4 5 2" xfId="1161" xr:uid="{00000000-0005-0000-0000-00007B1B0000}"/>
    <cellStyle name="Normal 4 4 5 2 2" xfId="2950" xr:uid="{00000000-0005-0000-0000-00007C1B0000}"/>
    <cellStyle name="Normal 4 4 5 2 2 2" xfId="8303" xr:uid="{00000000-0005-0000-0000-00007D1B0000}"/>
    <cellStyle name="Normal 4 4 5 2 3" xfId="4060" xr:uid="{00000000-0005-0000-0000-00007E1B0000}"/>
    <cellStyle name="Normal 4 4 5 2 3 2" xfId="9351" xr:uid="{00000000-0005-0000-0000-00007F1B0000}"/>
    <cellStyle name="Normal 4 4 5 2 4" xfId="4978" xr:uid="{00000000-0005-0000-0000-0000801B0000}"/>
    <cellStyle name="Normal 4 4 5 2 4 2" xfId="10266" xr:uid="{00000000-0005-0000-0000-0000811B0000}"/>
    <cellStyle name="Normal 4 4 5 2 5" xfId="6620" xr:uid="{00000000-0005-0000-0000-0000821B0000}"/>
    <cellStyle name="Normal 4 4 5 3" xfId="1894" xr:uid="{00000000-0005-0000-0000-0000831B0000}"/>
    <cellStyle name="Normal 4 4 5 3 2" xfId="5665" xr:uid="{00000000-0005-0000-0000-0000841B0000}"/>
    <cellStyle name="Normal 4 4 5 3 2 2" xfId="10953" xr:uid="{00000000-0005-0000-0000-0000851B0000}"/>
    <cellStyle name="Normal 4 4 5 3 3" xfId="7307" xr:uid="{00000000-0005-0000-0000-0000861B0000}"/>
    <cellStyle name="Normal 4 4 5 4" xfId="2446" xr:uid="{00000000-0005-0000-0000-0000871B0000}"/>
    <cellStyle name="Normal 4 4 5 4 2" xfId="7804" xr:uid="{00000000-0005-0000-0000-0000881B0000}"/>
    <cellStyle name="Normal 4 4 5 5" xfId="3560" xr:uid="{00000000-0005-0000-0000-0000891B0000}"/>
    <cellStyle name="Normal 4 4 5 5 2" xfId="8852" xr:uid="{00000000-0005-0000-0000-00008A1B0000}"/>
    <cellStyle name="Normal 4 4 5 6" xfId="4977" xr:uid="{00000000-0005-0000-0000-00008B1B0000}"/>
    <cellStyle name="Normal 4 4 5 6 2" xfId="10265" xr:uid="{00000000-0005-0000-0000-00008C1B0000}"/>
    <cellStyle name="Normal 4 4 5 7" xfId="6619" xr:uid="{00000000-0005-0000-0000-00008D1B0000}"/>
    <cellStyle name="Normal 4 4 6" xfId="1162" xr:uid="{00000000-0005-0000-0000-00008E1B0000}"/>
    <cellStyle name="Normal 4 4 6 2" xfId="2939" xr:uid="{00000000-0005-0000-0000-00008F1B0000}"/>
    <cellStyle name="Normal 4 4 6 2 2" xfId="8292" xr:uid="{00000000-0005-0000-0000-0000901B0000}"/>
    <cellStyle name="Normal 4 4 6 3" xfId="4049" xr:uid="{00000000-0005-0000-0000-0000911B0000}"/>
    <cellStyle name="Normal 4 4 6 3 2" xfId="9340" xr:uid="{00000000-0005-0000-0000-0000921B0000}"/>
    <cellStyle name="Normal 4 4 6 4" xfId="4979" xr:uid="{00000000-0005-0000-0000-0000931B0000}"/>
    <cellStyle name="Normal 4 4 6 4 2" xfId="10267" xr:uid="{00000000-0005-0000-0000-0000941B0000}"/>
    <cellStyle name="Normal 4 4 6 5" xfId="6621" xr:uid="{00000000-0005-0000-0000-0000951B0000}"/>
    <cellStyle name="Normal 4 4 7" xfId="1883" xr:uid="{00000000-0005-0000-0000-0000961B0000}"/>
    <cellStyle name="Normal 4 4 7 2" xfId="5654" xr:uid="{00000000-0005-0000-0000-0000971B0000}"/>
    <cellStyle name="Normal 4 4 7 2 2" xfId="10942" xr:uid="{00000000-0005-0000-0000-0000981B0000}"/>
    <cellStyle name="Normal 4 4 7 3" xfId="7296" xr:uid="{00000000-0005-0000-0000-0000991B0000}"/>
    <cellStyle name="Normal 4 4 8" xfId="2435" xr:uid="{00000000-0005-0000-0000-00009A1B0000}"/>
    <cellStyle name="Normal 4 4 8 2" xfId="5879" xr:uid="{00000000-0005-0000-0000-00009B1B0000}"/>
    <cellStyle name="Normal 4 4 8 3" xfId="7793" xr:uid="{00000000-0005-0000-0000-00009C1B0000}"/>
    <cellStyle name="Normal 4 4 9" xfId="3196" xr:uid="{00000000-0005-0000-0000-00009D1B0000}"/>
    <cellStyle name="Normal 4 5" xfId="1163" xr:uid="{00000000-0005-0000-0000-00009E1B0000}"/>
    <cellStyle name="Normal 4 5 10" xfId="4980" xr:uid="{00000000-0005-0000-0000-00009F1B0000}"/>
    <cellStyle name="Normal 4 5 10 2" xfId="10268" xr:uid="{00000000-0005-0000-0000-0000A01B0000}"/>
    <cellStyle name="Normal 4 5 11" xfId="6622" xr:uid="{00000000-0005-0000-0000-0000A11B0000}"/>
    <cellStyle name="Normal 4 5 2" xfId="1164" xr:uid="{00000000-0005-0000-0000-0000A21B0000}"/>
    <cellStyle name="Normal 4 5 2 2" xfId="1165" xr:uid="{00000000-0005-0000-0000-0000A31B0000}"/>
    <cellStyle name="Normal 4 5 2 2 2" xfId="1166" xr:uid="{00000000-0005-0000-0000-0000A41B0000}"/>
    <cellStyle name="Normal 4 5 2 2 2 2" xfId="2953" xr:uid="{00000000-0005-0000-0000-0000A51B0000}"/>
    <cellStyle name="Normal 4 5 2 2 2 2 2" xfId="8306" xr:uid="{00000000-0005-0000-0000-0000A61B0000}"/>
    <cellStyle name="Normal 4 5 2 2 2 3" xfId="4063" xr:uid="{00000000-0005-0000-0000-0000A71B0000}"/>
    <cellStyle name="Normal 4 5 2 2 2 3 2" xfId="9354" xr:uid="{00000000-0005-0000-0000-0000A81B0000}"/>
    <cellStyle name="Normal 4 5 2 2 2 4" xfId="4983" xr:uid="{00000000-0005-0000-0000-0000A91B0000}"/>
    <cellStyle name="Normal 4 5 2 2 2 4 2" xfId="10271" xr:uid="{00000000-0005-0000-0000-0000AA1B0000}"/>
    <cellStyle name="Normal 4 5 2 2 2 5" xfId="6625" xr:uid="{00000000-0005-0000-0000-0000AB1B0000}"/>
    <cellStyle name="Normal 4 5 2 2 3" xfId="1897" xr:uid="{00000000-0005-0000-0000-0000AC1B0000}"/>
    <cellStyle name="Normal 4 5 2 2 3 2" xfId="5668" xr:uid="{00000000-0005-0000-0000-0000AD1B0000}"/>
    <cellStyle name="Normal 4 5 2 2 3 2 2" xfId="10956" xr:uid="{00000000-0005-0000-0000-0000AE1B0000}"/>
    <cellStyle name="Normal 4 5 2 2 3 3" xfId="7310" xr:uid="{00000000-0005-0000-0000-0000AF1B0000}"/>
    <cellStyle name="Normal 4 5 2 2 4" xfId="2449" xr:uid="{00000000-0005-0000-0000-0000B01B0000}"/>
    <cellStyle name="Normal 4 5 2 2 4 2" xfId="7807" xr:uid="{00000000-0005-0000-0000-0000B11B0000}"/>
    <cellStyle name="Normal 4 5 2 2 5" xfId="3563" xr:uid="{00000000-0005-0000-0000-0000B21B0000}"/>
    <cellStyle name="Normal 4 5 2 2 5 2" xfId="8855" xr:uid="{00000000-0005-0000-0000-0000B31B0000}"/>
    <cellStyle name="Normal 4 5 2 2 6" xfId="4982" xr:uid="{00000000-0005-0000-0000-0000B41B0000}"/>
    <cellStyle name="Normal 4 5 2 2 6 2" xfId="10270" xr:uid="{00000000-0005-0000-0000-0000B51B0000}"/>
    <cellStyle name="Normal 4 5 2 2 7" xfId="6624" xr:uid="{00000000-0005-0000-0000-0000B61B0000}"/>
    <cellStyle name="Normal 4 5 2 3" xfId="1167" xr:uid="{00000000-0005-0000-0000-0000B71B0000}"/>
    <cellStyle name="Normal 4 5 2 3 2" xfId="1168" xr:uid="{00000000-0005-0000-0000-0000B81B0000}"/>
    <cellStyle name="Normal 4 5 2 3 2 2" xfId="2954" xr:uid="{00000000-0005-0000-0000-0000B91B0000}"/>
    <cellStyle name="Normal 4 5 2 3 2 2 2" xfId="8307" xr:uid="{00000000-0005-0000-0000-0000BA1B0000}"/>
    <cellStyle name="Normal 4 5 2 3 2 3" xfId="4064" xr:uid="{00000000-0005-0000-0000-0000BB1B0000}"/>
    <cellStyle name="Normal 4 5 2 3 2 3 2" xfId="9355" xr:uid="{00000000-0005-0000-0000-0000BC1B0000}"/>
    <cellStyle name="Normal 4 5 2 3 2 4" xfId="4985" xr:uid="{00000000-0005-0000-0000-0000BD1B0000}"/>
    <cellStyle name="Normal 4 5 2 3 2 4 2" xfId="10273" xr:uid="{00000000-0005-0000-0000-0000BE1B0000}"/>
    <cellStyle name="Normal 4 5 2 3 2 5" xfId="6627" xr:uid="{00000000-0005-0000-0000-0000BF1B0000}"/>
    <cellStyle name="Normal 4 5 2 3 3" xfId="1898" xr:uid="{00000000-0005-0000-0000-0000C01B0000}"/>
    <cellStyle name="Normal 4 5 2 3 3 2" xfId="5669" xr:uid="{00000000-0005-0000-0000-0000C11B0000}"/>
    <cellStyle name="Normal 4 5 2 3 3 2 2" xfId="10957" xr:uid="{00000000-0005-0000-0000-0000C21B0000}"/>
    <cellStyle name="Normal 4 5 2 3 3 3" xfId="7311" xr:uid="{00000000-0005-0000-0000-0000C31B0000}"/>
    <cellStyle name="Normal 4 5 2 3 4" xfId="2450" xr:uid="{00000000-0005-0000-0000-0000C41B0000}"/>
    <cellStyle name="Normal 4 5 2 3 4 2" xfId="7808" xr:uid="{00000000-0005-0000-0000-0000C51B0000}"/>
    <cellStyle name="Normal 4 5 2 3 5" xfId="3564" xr:uid="{00000000-0005-0000-0000-0000C61B0000}"/>
    <cellStyle name="Normal 4 5 2 3 5 2" xfId="8856" xr:uid="{00000000-0005-0000-0000-0000C71B0000}"/>
    <cellStyle name="Normal 4 5 2 3 6" xfId="4984" xr:uid="{00000000-0005-0000-0000-0000C81B0000}"/>
    <cellStyle name="Normal 4 5 2 3 6 2" xfId="10272" xr:uid="{00000000-0005-0000-0000-0000C91B0000}"/>
    <cellStyle name="Normal 4 5 2 3 7" xfId="6626" xr:uid="{00000000-0005-0000-0000-0000CA1B0000}"/>
    <cellStyle name="Normal 4 5 2 4" xfId="1169" xr:uid="{00000000-0005-0000-0000-0000CB1B0000}"/>
    <cellStyle name="Normal 4 5 2 4 2" xfId="2952" xr:uid="{00000000-0005-0000-0000-0000CC1B0000}"/>
    <cellStyle name="Normal 4 5 2 4 2 2" xfId="8305" xr:uid="{00000000-0005-0000-0000-0000CD1B0000}"/>
    <cellStyle name="Normal 4 5 2 4 3" xfId="4062" xr:uid="{00000000-0005-0000-0000-0000CE1B0000}"/>
    <cellStyle name="Normal 4 5 2 4 3 2" xfId="9353" xr:uid="{00000000-0005-0000-0000-0000CF1B0000}"/>
    <cellStyle name="Normal 4 5 2 4 4" xfId="4986" xr:uid="{00000000-0005-0000-0000-0000D01B0000}"/>
    <cellStyle name="Normal 4 5 2 4 4 2" xfId="10274" xr:uid="{00000000-0005-0000-0000-0000D11B0000}"/>
    <cellStyle name="Normal 4 5 2 4 5" xfId="6628" xr:uid="{00000000-0005-0000-0000-0000D21B0000}"/>
    <cellStyle name="Normal 4 5 2 5" xfId="1896" xr:uid="{00000000-0005-0000-0000-0000D31B0000}"/>
    <cellStyle name="Normal 4 5 2 5 2" xfId="5667" xr:uid="{00000000-0005-0000-0000-0000D41B0000}"/>
    <cellStyle name="Normal 4 5 2 5 2 2" xfId="10955" xr:uid="{00000000-0005-0000-0000-0000D51B0000}"/>
    <cellStyle name="Normal 4 5 2 5 3" xfId="7309" xr:uid="{00000000-0005-0000-0000-0000D61B0000}"/>
    <cellStyle name="Normal 4 5 2 6" xfId="2448" xr:uid="{00000000-0005-0000-0000-0000D71B0000}"/>
    <cellStyle name="Normal 4 5 2 6 2" xfId="7806" xr:uid="{00000000-0005-0000-0000-0000D81B0000}"/>
    <cellStyle name="Normal 4 5 2 7" xfId="3562" xr:uid="{00000000-0005-0000-0000-0000D91B0000}"/>
    <cellStyle name="Normal 4 5 2 7 2" xfId="8854" xr:uid="{00000000-0005-0000-0000-0000DA1B0000}"/>
    <cellStyle name="Normal 4 5 2 8" xfId="4981" xr:uid="{00000000-0005-0000-0000-0000DB1B0000}"/>
    <cellStyle name="Normal 4 5 2 8 2" xfId="10269" xr:uid="{00000000-0005-0000-0000-0000DC1B0000}"/>
    <cellStyle name="Normal 4 5 2 9" xfId="6623" xr:uid="{00000000-0005-0000-0000-0000DD1B0000}"/>
    <cellStyle name="Normal 4 5 3" xfId="1170" xr:uid="{00000000-0005-0000-0000-0000DE1B0000}"/>
    <cellStyle name="Normal 4 5 3 2" xfId="1171" xr:uid="{00000000-0005-0000-0000-0000DF1B0000}"/>
    <cellStyle name="Normal 4 5 3 2 2" xfId="2955" xr:uid="{00000000-0005-0000-0000-0000E01B0000}"/>
    <cellStyle name="Normal 4 5 3 2 2 2" xfId="8308" xr:uid="{00000000-0005-0000-0000-0000E11B0000}"/>
    <cellStyle name="Normal 4 5 3 2 3" xfId="4065" xr:uid="{00000000-0005-0000-0000-0000E21B0000}"/>
    <cellStyle name="Normal 4 5 3 2 3 2" xfId="9356" xr:uid="{00000000-0005-0000-0000-0000E31B0000}"/>
    <cellStyle name="Normal 4 5 3 2 4" xfId="4988" xr:uid="{00000000-0005-0000-0000-0000E41B0000}"/>
    <cellStyle name="Normal 4 5 3 2 4 2" xfId="10276" xr:uid="{00000000-0005-0000-0000-0000E51B0000}"/>
    <cellStyle name="Normal 4 5 3 2 5" xfId="6630" xr:uid="{00000000-0005-0000-0000-0000E61B0000}"/>
    <cellStyle name="Normal 4 5 3 3" xfId="1899" xr:uid="{00000000-0005-0000-0000-0000E71B0000}"/>
    <cellStyle name="Normal 4 5 3 3 2" xfId="5670" xr:uid="{00000000-0005-0000-0000-0000E81B0000}"/>
    <cellStyle name="Normal 4 5 3 3 2 2" xfId="10958" xr:uid="{00000000-0005-0000-0000-0000E91B0000}"/>
    <cellStyle name="Normal 4 5 3 3 3" xfId="7312" xr:uid="{00000000-0005-0000-0000-0000EA1B0000}"/>
    <cellStyle name="Normal 4 5 3 4" xfId="2451" xr:uid="{00000000-0005-0000-0000-0000EB1B0000}"/>
    <cellStyle name="Normal 4 5 3 4 2" xfId="7809" xr:uid="{00000000-0005-0000-0000-0000EC1B0000}"/>
    <cellStyle name="Normal 4 5 3 5" xfId="3565" xr:uid="{00000000-0005-0000-0000-0000ED1B0000}"/>
    <cellStyle name="Normal 4 5 3 5 2" xfId="8857" xr:uid="{00000000-0005-0000-0000-0000EE1B0000}"/>
    <cellStyle name="Normal 4 5 3 6" xfId="4987" xr:uid="{00000000-0005-0000-0000-0000EF1B0000}"/>
    <cellStyle name="Normal 4 5 3 6 2" xfId="10275" xr:uid="{00000000-0005-0000-0000-0000F01B0000}"/>
    <cellStyle name="Normal 4 5 3 7" xfId="6629" xr:uid="{00000000-0005-0000-0000-0000F11B0000}"/>
    <cellStyle name="Normal 4 5 4" xfId="1172" xr:uid="{00000000-0005-0000-0000-0000F21B0000}"/>
    <cellStyle name="Normal 4 5 4 2" xfId="1173" xr:uid="{00000000-0005-0000-0000-0000F31B0000}"/>
    <cellStyle name="Normal 4 5 4 2 2" xfId="2956" xr:uid="{00000000-0005-0000-0000-0000F41B0000}"/>
    <cellStyle name="Normal 4 5 4 2 2 2" xfId="8309" xr:uid="{00000000-0005-0000-0000-0000F51B0000}"/>
    <cellStyle name="Normal 4 5 4 2 3" xfId="4066" xr:uid="{00000000-0005-0000-0000-0000F61B0000}"/>
    <cellStyle name="Normal 4 5 4 2 3 2" xfId="9357" xr:uid="{00000000-0005-0000-0000-0000F71B0000}"/>
    <cellStyle name="Normal 4 5 4 2 4" xfId="4990" xr:uid="{00000000-0005-0000-0000-0000F81B0000}"/>
    <cellStyle name="Normal 4 5 4 2 4 2" xfId="10278" xr:uid="{00000000-0005-0000-0000-0000F91B0000}"/>
    <cellStyle name="Normal 4 5 4 2 5" xfId="6632" xr:uid="{00000000-0005-0000-0000-0000FA1B0000}"/>
    <cellStyle name="Normal 4 5 4 3" xfId="1900" xr:uid="{00000000-0005-0000-0000-0000FB1B0000}"/>
    <cellStyle name="Normal 4 5 4 3 2" xfId="5671" xr:uid="{00000000-0005-0000-0000-0000FC1B0000}"/>
    <cellStyle name="Normal 4 5 4 3 2 2" xfId="10959" xr:uid="{00000000-0005-0000-0000-0000FD1B0000}"/>
    <cellStyle name="Normal 4 5 4 3 3" xfId="7313" xr:uid="{00000000-0005-0000-0000-0000FE1B0000}"/>
    <cellStyle name="Normal 4 5 4 4" xfId="2452" xr:uid="{00000000-0005-0000-0000-0000FF1B0000}"/>
    <cellStyle name="Normal 4 5 4 4 2" xfId="7810" xr:uid="{00000000-0005-0000-0000-0000001C0000}"/>
    <cellStyle name="Normal 4 5 4 5" xfId="3566" xr:uid="{00000000-0005-0000-0000-0000011C0000}"/>
    <cellStyle name="Normal 4 5 4 5 2" xfId="8858" xr:uid="{00000000-0005-0000-0000-0000021C0000}"/>
    <cellStyle name="Normal 4 5 4 6" xfId="4989" xr:uid="{00000000-0005-0000-0000-0000031C0000}"/>
    <cellStyle name="Normal 4 5 4 6 2" xfId="10277" xr:uid="{00000000-0005-0000-0000-0000041C0000}"/>
    <cellStyle name="Normal 4 5 4 7" xfId="6631" xr:uid="{00000000-0005-0000-0000-0000051C0000}"/>
    <cellStyle name="Normal 4 5 5" xfId="1174" xr:uid="{00000000-0005-0000-0000-0000061C0000}"/>
    <cellStyle name="Normal 4 5 5 2" xfId="2951" xr:uid="{00000000-0005-0000-0000-0000071C0000}"/>
    <cellStyle name="Normal 4 5 5 2 2" xfId="8304" xr:uid="{00000000-0005-0000-0000-0000081C0000}"/>
    <cellStyle name="Normal 4 5 5 3" xfId="4061" xr:uid="{00000000-0005-0000-0000-0000091C0000}"/>
    <cellStyle name="Normal 4 5 5 3 2" xfId="9352" xr:uid="{00000000-0005-0000-0000-00000A1C0000}"/>
    <cellStyle name="Normal 4 5 5 4" xfId="4991" xr:uid="{00000000-0005-0000-0000-00000B1C0000}"/>
    <cellStyle name="Normal 4 5 5 4 2" xfId="10279" xr:uid="{00000000-0005-0000-0000-00000C1C0000}"/>
    <cellStyle name="Normal 4 5 5 5" xfId="6633" xr:uid="{00000000-0005-0000-0000-00000D1C0000}"/>
    <cellStyle name="Normal 4 5 6" xfId="1895" xr:uid="{00000000-0005-0000-0000-00000E1C0000}"/>
    <cellStyle name="Normal 4 5 6 2" xfId="5666" xr:uid="{00000000-0005-0000-0000-00000F1C0000}"/>
    <cellStyle name="Normal 4 5 6 2 2" xfId="10954" xr:uid="{00000000-0005-0000-0000-0000101C0000}"/>
    <cellStyle name="Normal 4 5 6 3" xfId="7308" xr:uid="{00000000-0005-0000-0000-0000111C0000}"/>
    <cellStyle name="Normal 4 5 7" xfId="2447" xr:uid="{00000000-0005-0000-0000-0000121C0000}"/>
    <cellStyle name="Normal 4 5 7 2" xfId="5876" xr:uid="{00000000-0005-0000-0000-0000131C0000}"/>
    <cellStyle name="Normal 4 5 7 3" xfId="7805" xr:uid="{00000000-0005-0000-0000-0000141C0000}"/>
    <cellStyle name="Normal 4 5 8" xfId="3193" xr:uid="{00000000-0005-0000-0000-0000151C0000}"/>
    <cellStyle name="Normal 4 5 9" xfId="3561" xr:uid="{00000000-0005-0000-0000-0000161C0000}"/>
    <cellStyle name="Normal 4 5 9 2" xfId="8853" xr:uid="{00000000-0005-0000-0000-0000171C0000}"/>
    <cellStyle name="Normal 4 6" xfId="1175" xr:uid="{00000000-0005-0000-0000-0000181C0000}"/>
    <cellStyle name="Normal 4 6 2" xfId="1176" xr:uid="{00000000-0005-0000-0000-0000191C0000}"/>
    <cellStyle name="Normal 4 6 2 2" xfId="1177" xr:uid="{00000000-0005-0000-0000-00001A1C0000}"/>
    <cellStyle name="Normal 4 6 2 2 2" xfId="2958" xr:uid="{00000000-0005-0000-0000-00001B1C0000}"/>
    <cellStyle name="Normal 4 6 2 2 2 2" xfId="8311" xr:uid="{00000000-0005-0000-0000-00001C1C0000}"/>
    <cellStyle name="Normal 4 6 2 2 3" xfId="4068" xr:uid="{00000000-0005-0000-0000-00001D1C0000}"/>
    <cellStyle name="Normal 4 6 2 2 3 2" xfId="9359" xr:uid="{00000000-0005-0000-0000-00001E1C0000}"/>
    <cellStyle name="Normal 4 6 2 2 4" xfId="4994" xr:uid="{00000000-0005-0000-0000-00001F1C0000}"/>
    <cellStyle name="Normal 4 6 2 2 4 2" xfId="10282" xr:uid="{00000000-0005-0000-0000-0000201C0000}"/>
    <cellStyle name="Normal 4 6 2 2 5" xfId="6636" xr:uid="{00000000-0005-0000-0000-0000211C0000}"/>
    <cellStyle name="Normal 4 6 2 3" xfId="1902" xr:uid="{00000000-0005-0000-0000-0000221C0000}"/>
    <cellStyle name="Normal 4 6 2 3 2" xfId="5673" xr:uid="{00000000-0005-0000-0000-0000231C0000}"/>
    <cellStyle name="Normal 4 6 2 3 2 2" xfId="10961" xr:uid="{00000000-0005-0000-0000-0000241C0000}"/>
    <cellStyle name="Normal 4 6 2 3 3" xfId="7315" xr:uid="{00000000-0005-0000-0000-0000251C0000}"/>
    <cellStyle name="Normal 4 6 2 4" xfId="2454" xr:uid="{00000000-0005-0000-0000-0000261C0000}"/>
    <cellStyle name="Normal 4 6 2 4 2" xfId="7812" xr:uid="{00000000-0005-0000-0000-0000271C0000}"/>
    <cellStyle name="Normal 4 6 2 5" xfId="3568" xr:uid="{00000000-0005-0000-0000-0000281C0000}"/>
    <cellStyle name="Normal 4 6 2 5 2" xfId="8860" xr:uid="{00000000-0005-0000-0000-0000291C0000}"/>
    <cellStyle name="Normal 4 6 2 6" xfId="4993" xr:uid="{00000000-0005-0000-0000-00002A1C0000}"/>
    <cellStyle name="Normal 4 6 2 6 2" xfId="10281" xr:uid="{00000000-0005-0000-0000-00002B1C0000}"/>
    <cellStyle name="Normal 4 6 2 7" xfId="6635" xr:uid="{00000000-0005-0000-0000-00002C1C0000}"/>
    <cellStyle name="Normal 4 6 3" xfId="1178" xr:uid="{00000000-0005-0000-0000-00002D1C0000}"/>
    <cellStyle name="Normal 4 6 3 2" xfId="1179" xr:uid="{00000000-0005-0000-0000-00002E1C0000}"/>
    <cellStyle name="Normal 4 6 3 2 2" xfId="2959" xr:uid="{00000000-0005-0000-0000-00002F1C0000}"/>
    <cellStyle name="Normal 4 6 3 2 2 2" xfId="8312" xr:uid="{00000000-0005-0000-0000-0000301C0000}"/>
    <cellStyle name="Normal 4 6 3 2 3" xfId="4069" xr:uid="{00000000-0005-0000-0000-0000311C0000}"/>
    <cellStyle name="Normal 4 6 3 2 3 2" xfId="9360" xr:uid="{00000000-0005-0000-0000-0000321C0000}"/>
    <cellStyle name="Normal 4 6 3 2 4" xfId="4996" xr:uid="{00000000-0005-0000-0000-0000331C0000}"/>
    <cellStyle name="Normal 4 6 3 2 4 2" xfId="10284" xr:uid="{00000000-0005-0000-0000-0000341C0000}"/>
    <cellStyle name="Normal 4 6 3 2 5" xfId="6638" xr:uid="{00000000-0005-0000-0000-0000351C0000}"/>
    <cellStyle name="Normal 4 6 3 3" xfId="1903" xr:uid="{00000000-0005-0000-0000-0000361C0000}"/>
    <cellStyle name="Normal 4 6 3 3 2" xfId="5674" xr:uid="{00000000-0005-0000-0000-0000371C0000}"/>
    <cellStyle name="Normal 4 6 3 3 2 2" xfId="10962" xr:uid="{00000000-0005-0000-0000-0000381C0000}"/>
    <cellStyle name="Normal 4 6 3 3 3" xfId="7316" xr:uid="{00000000-0005-0000-0000-0000391C0000}"/>
    <cellStyle name="Normal 4 6 3 4" xfId="2455" xr:uid="{00000000-0005-0000-0000-00003A1C0000}"/>
    <cellStyle name="Normal 4 6 3 4 2" xfId="7813" xr:uid="{00000000-0005-0000-0000-00003B1C0000}"/>
    <cellStyle name="Normal 4 6 3 5" xfId="3569" xr:uid="{00000000-0005-0000-0000-00003C1C0000}"/>
    <cellStyle name="Normal 4 6 3 5 2" xfId="8861" xr:uid="{00000000-0005-0000-0000-00003D1C0000}"/>
    <cellStyle name="Normal 4 6 3 6" xfId="4995" xr:uid="{00000000-0005-0000-0000-00003E1C0000}"/>
    <cellStyle name="Normal 4 6 3 6 2" xfId="10283" xr:uid="{00000000-0005-0000-0000-00003F1C0000}"/>
    <cellStyle name="Normal 4 6 3 7" xfId="6637" xr:uid="{00000000-0005-0000-0000-0000401C0000}"/>
    <cellStyle name="Normal 4 6 4" xfId="1180" xr:uid="{00000000-0005-0000-0000-0000411C0000}"/>
    <cellStyle name="Normal 4 6 4 2" xfId="2957" xr:uid="{00000000-0005-0000-0000-0000421C0000}"/>
    <cellStyle name="Normal 4 6 4 2 2" xfId="8310" xr:uid="{00000000-0005-0000-0000-0000431C0000}"/>
    <cellStyle name="Normal 4 6 4 3" xfId="4067" xr:uid="{00000000-0005-0000-0000-0000441C0000}"/>
    <cellStyle name="Normal 4 6 4 3 2" xfId="9358" xr:uid="{00000000-0005-0000-0000-0000451C0000}"/>
    <cellStyle name="Normal 4 6 4 4" xfId="4997" xr:uid="{00000000-0005-0000-0000-0000461C0000}"/>
    <cellStyle name="Normal 4 6 4 4 2" xfId="10285" xr:uid="{00000000-0005-0000-0000-0000471C0000}"/>
    <cellStyle name="Normal 4 6 4 5" xfId="6639" xr:uid="{00000000-0005-0000-0000-0000481C0000}"/>
    <cellStyle name="Normal 4 6 5" xfId="1901" xr:uid="{00000000-0005-0000-0000-0000491C0000}"/>
    <cellStyle name="Normal 4 6 5 2" xfId="5672" xr:uid="{00000000-0005-0000-0000-00004A1C0000}"/>
    <cellStyle name="Normal 4 6 5 2 2" xfId="10960" xr:uid="{00000000-0005-0000-0000-00004B1C0000}"/>
    <cellStyle name="Normal 4 6 5 3" xfId="7314" xr:uid="{00000000-0005-0000-0000-00004C1C0000}"/>
    <cellStyle name="Normal 4 6 6" xfId="2453" xr:uid="{00000000-0005-0000-0000-00004D1C0000}"/>
    <cellStyle name="Normal 4 6 6 2" xfId="7811" xr:uid="{00000000-0005-0000-0000-00004E1C0000}"/>
    <cellStyle name="Normal 4 6 7" xfId="3567" xr:uid="{00000000-0005-0000-0000-00004F1C0000}"/>
    <cellStyle name="Normal 4 6 7 2" xfId="8859" xr:uid="{00000000-0005-0000-0000-0000501C0000}"/>
    <cellStyle name="Normal 4 6 8" xfId="4992" xr:uid="{00000000-0005-0000-0000-0000511C0000}"/>
    <cellStyle name="Normal 4 6 8 2" xfId="10280" xr:uid="{00000000-0005-0000-0000-0000521C0000}"/>
    <cellStyle name="Normal 4 6 9" xfId="6634" xr:uid="{00000000-0005-0000-0000-0000531C0000}"/>
    <cellStyle name="Normal 4 7" xfId="1181" xr:uid="{00000000-0005-0000-0000-0000541C0000}"/>
    <cellStyle name="Normal 4 7 2" xfId="1182" xr:uid="{00000000-0005-0000-0000-0000551C0000}"/>
    <cellStyle name="Normal 4 7 2 2" xfId="2960" xr:uid="{00000000-0005-0000-0000-0000561C0000}"/>
    <cellStyle name="Normal 4 7 2 2 2" xfId="8313" xr:uid="{00000000-0005-0000-0000-0000571C0000}"/>
    <cellStyle name="Normal 4 7 2 3" xfId="4070" xr:uid="{00000000-0005-0000-0000-0000581C0000}"/>
    <cellStyle name="Normal 4 7 2 3 2" xfId="9361" xr:uid="{00000000-0005-0000-0000-0000591C0000}"/>
    <cellStyle name="Normal 4 7 2 4" xfId="4999" xr:uid="{00000000-0005-0000-0000-00005A1C0000}"/>
    <cellStyle name="Normal 4 7 2 4 2" xfId="10287" xr:uid="{00000000-0005-0000-0000-00005B1C0000}"/>
    <cellStyle name="Normal 4 7 2 5" xfId="6641" xr:uid="{00000000-0005-0000-0000-00005C1C0000}"/>
    <cellStyle name="Normal 4 7 3" xfId="1904" xr:uid="{00000000-0005-0000-0000-00005D1C0000}"/>
    <cellStyle name="Normal 4 7 3 2" xfId="5675" xr:uid="{00000000-0005-0000-0000-00005E1C0000}"/>
    <cellStyle name="Normal 4 7 3 2 2" xfId="10963" xr:uid="{00000000-0005-0000-0000-00005F1C0000}"/>
    <cellStyle name="Normal 4 7 3 3" xfId="7317" xr:uid="{00000000-0005-0000-0000-0000601C0000}"/>
    <cellStyle name="Normal 4 7 4" xfId="2456" xr:uid="{00000000-0005-0000-0000-0000611C0000}"/>
    <cellStyle name="Normal 4 7 4 2" xfId="7814" xr:uid="{00000000-0005-0000-0000-0000621C0000}"/>
    <cellStyle name="Normal 4 7 5" xfId="3570" xr:uid="{00000000-0005-0000-0000-0000631C0000}"/>
    <cellStyle name="Normal 4 7 5 2" xfId="8862" xr:uid="{00000000-0005-0000-0000-0000641C0000}"/>
    <cellStyle name="Normal 4 7 6" xfId="4998" xr:uid="{00000000-0005-0000-0000-0000651C0000}"/>
    <cellStyle name="Normal 4 7 6 2" xfId="10286" xr:uid="{00000000-0005-0000-0000-0000661C0000}"/>
    <cellStyle name="Normal 4 7 7" xfId="6640" xr:uid="{00000000-0005-0000-0000-0000671C0000}"/>
    <cellStyle name="Normal 4 8" xfId="1183" xr:uid="{00000000-0005-0000-0000-0000681C0000}"/>
    <cellStyle name="Normal 4 8 2" xfId="1184" xr:uid="{00000000-0005-0000-0000-0000691C0000}"/>
    <cellStyle name="Normal 4 8 2 2" xfId="2961" xr:uid="{00000000-0005-0000-0000-00006A1C0000}"/>
    <cellStyle name="Normal 4 8 2 2 2" xfId="8314" xr:uid="{00000000-0005-0000-0000-00006B1C0000}"/>
    <cellStyle name="Normal 4 8 2 3" xfId="4071" xr:uid="{00000000-0005-0000-0000-00006C1C0000}"/>
    <cellStyle name="Normal 4 8 2 3 2" xfId="9362" xr:uid="{00000000-0005-0000-0000-00006D1C0000}"/>
    <cellStyle name="Normal 4 8 2 4" xfId="5001" xr:uid="{00000000-0005-0000-0000-00006E1C0000}"/>
    <cellStyle name="Normal 4 8 2 4 2" xfId="10289" xr:uid="{00000000-0005-0000-0000-00006F1C0000}"/>
    <cellStyle name="Normal 4 8 2 5" xfId="6643" xr:uid="{00000000-0005-0000-0000-0000701C0000}"/>
    <cellStyle name="Normal 4 8 3" xfId="1905" xr:uid="{00000000-0005-0000-0000-0000711C0000}"/>
    <cellStyle name="Normal 4 8 3 2" xfId="5676" xr:uid="{00000000-0005-0000-0000-0000721C0000}"/>
    <cellStyle name="Normal 4 8 3 2 2" xfId="10964" xr:uid="{00000000-0005-0000-0000-0000731C0000}"/>
    <cellStyle name="Normal 4 8 3 3" xfId="7318" xr:uid="{00000000-0005-0000-0000-0000741C0000}"/>
    <cellStyle name="Normal 4 8 4" xfId="2457" xr:uid="{00000000-0005-0000-0000-0000751C0000}"/>
    <cellStyle name="Normal 4 8 4 2" xfId="7815" xr:uid="{00000000-0005-0000-0000-0000761C0000}"/>
    <cellStyle name="Normal 4 8 5" xfId="3571" xr:uid="{00000000-0005-0000-0000-0000771C0000}"/>
    <cellStyle name="Normal 4 8 5 2" xfId="8863" xr:uid="{00000000-0005-0000-0000-0000781C0000}"/>
    <cellStyle name="Normal 4 8 6" xfId="5000" xr:uid="{00000000-0005-0000-0000-0000791C0000}"/>
    <cellStyle name="Normal 4 8 6 2" xfId="10288" xr:uid="{00000000-0005-0000-0000-00007A1C0000}"/>
    <cellStyle name="Normal 4 8 7" xfId="6642" xr:uid="{00000000-0005-0000-0000-00007B1C0000}"/>
    <cellStyle name="Normal 4 9" xfId="1185" xr:uid="{00000000-0005-0000-0000-00007C1C0000}"/>
    <cellStyle name="Normal 4 9 2" xfId="2095" xr:uid="{00000000-0005-0000-0000-00007D1C0000}"/>
    <cellStyle name="Normal 4 9 3" xfId="2902" xr:uid="{00000000-0005-0000-0000-00007E1C0000}"/>
    <cellStyle name="Normal 4 9 3 2" xfId="8255" xr:uid="{00000000-0005-0000-0000-00007F1C0000}"/>
    <cellStyle name="Normal 4 9 4" xfId="4012" xr:uid="{00000000-0005-0000-0000-0000801C0000}"/>
    <cellStyle name="Normal 4 9 4 2" xfId="9303" xr:uid="{00000000-0005-0000-0000-0000811C0000}"/>
    <cellStyle name="Normal 4 9 5" xfId="5002" xr:uid="{00000000-0005-0000-0000-0000821C0000}"/>
    <cellStyle name="Normal 4 9 5 2" xfId="10290" xr:uid="{00000000-0005-0000-0000-0000831C0000}"/>
    <cellStyle name="Normal 4 9 6" xfId="6644" xr:uid="{00000000-0005-0000-0000-0000841C0000}"/>
    <cellStyle name="Normal 40" xfId="3260" xr:uid="{00000000-0005-0000-0000-0000851C0000}"/>
    <cellStyle name="Normal 41" xfId="4262" xr:uid="{00000000-0005-0000-0000-0000861C0000}"/>
    <cellStyle name="Normal 42" xfId="5898" xr:uid="{00000000-0005-0000-0000-0000871C0000}"/>
    <cellStyle name="Normal 43" xfId="6003" xr:uid="{00000000-0005-0000-0000-0000881C0000}"/>
    <cellStyle name="Normal 44" xfId="5999" xr:uid="{00000000-0005-0000-0000-0000891C0000}"/>
    <cellStyle name="Normal 45" xfId="11169" xr:uid="{00000000-0005-0000-0000-00008A1C0000}"/>
    <cellStyle name="Normal 5" xfId="184" xr:uid="{00000000-0005-0000-0000-00008B1C0000}"/>
    <cellStyle name="Normal 5 10" xfId="1906" xr:uid="{00000000-0005-0000-0000-00008C1C0000}"/>
    <cellStyle name="Normal 5 10 2" xfId="5677" xr:uid="{00000000-0005-0000-0000-00008D1C0000}"/>
    <cellStyle name="Normal 5 10 2 2" xfId="10965" xr:uid="{00000000-0005-0000-0000-00008E1C0000}"/>
    <cellStyle name="Normal 5 10 3" xfId="7319" xr:uid="{00000000-0005-0000-0000-00008F1C0000}"/>
    <cellStyle name="Normal 5 11" xfId="2458" xr:uid="{00000000-0005-0000-0000-0000901C0000}"/>
    <cellStyle name="Normal 5 11 2" xfId="5880" xr:uid="{00000000-0005-0000-0000-0000911C0000}"/>
    <cellStyle name="Normal 5 11 3" xfId="7816" xr:uid="{00000000-0005-0000-0000-0000921C0000}"/>
    <cellStyle name="Normal 5 12" xfId="3197" xr:uid="{00000000-0005-0000-0000-0000931C0000}"/>
    <cellStyle name="Normal 5 13" xfId="3572" xr:uid="{00000000-0005-0000-0000-0000941C0000}"/>
    <cellStyle name="Normal 5 13 2" xfId="8864" xr:uid="{00000000-0005-0000-0000-0000951C0000}"/>
    <cellStyle name="Normal 5 14" xfId="4361" xr:uid="{00000000-0005-0000-0000-0000961C0000}"/>
    <cellStyle name="Normal 5 14 2" xfId="9649" xr:uid="{00000000-0005-0000-0000-0000971C0000}"/>
    <cellStyle name="Normal 5 15" xfId="5998" xr:uid="{00000000-0005-0000-0000-0000981C0000}"/>
    <cellStyle name="Normal 5 2" xfId="1186" xr:uid="{00000000-0005-0000-0000-0000991C0000}"/>
    <cellStyle name="Normal 5 2 10" xfId="3198" xr:uid="{00000000-0005-0000-0000-00009A1C0000}"/>
    <cellStyle name="Normal 5 2 11" xfId="3573" xr:uid="{00000000-0005-0000-0000-00009B1C0000}"/>
    <cellStyle name="Normal 5 2 11 2" xfId="8865" xr:uid="{00000000-0005-0000-0000-00009C1C0000}"/>
    <cellStyle name="Normal 5 2 12" xfId="5003" xr:uid="{00000000-0005-0000-0000-00009D1C0000}"/>
    <cellStyle name="Normal 5 2 12 2" xfId="10291" xr:uid="{00000000-0005-0000-0000-00009E1C0000}"/>
    <cellStyle name="Normal 5 2 13" xfId="6645" xr:uid="{00000000-0005-0000-0000-00009F1C0000}"/>
    <cellStyle name="Normal 5 2 2" xfId="1187" xr:uid="{00000000-0005-0000-0000-0000A01C0000}"/>
    <cellStyle name="Normal 5 2 2 10" xfId="5004" xr:uid="{00000000-0005-0000-0000-0000A11C0000}"/>
    <cellStyle name="Normal 5 2 2 10 2" xfId="10292" xr:uid="{00000000-0005-0000-0000-0000A21C0000}"/>
    <cellStyle name="Normal 5 2 2 11" xfId="6646" xr:uid="{00000000-0005-0000-0000-0000A31C0000}"/>
    <cellStyle name="Normal 5 2 2 2" xfId="1188" xr:uid="{00000000-0005-0000-0000-0000A41C0000}"/>
    <cellStyle name="Normal 5 2 2 2 10" xfId="6647" xr:uid="{00000000-0005-0000-0000-0000A51C0000}"/>
    <cellStyle name="Normal 5 2 2 2 2" xfId="1189" xr:uid="{00000000-0005-0000-0000-0000A61C0000}"/>
    <cellStyle name="Normal 5 2 2 2 2 2" xfId="1190" xr:uid="{00000000-0005-0000-0000-0000A71C0000}"/>
    <cellStyle name="Normal 5 2 2 2 2 2 2" xfId="1191" xr:uid="{00000000-0005-0000-0000-0000A81C0000}"/>
    <cellStyle name="Normal 5 2 2 2 2 2 2 2" xfId="2967" xr:uid="{00000000-0005-0000-0000-0000A91C0000}"/>
    <cellStyle name="Normal 5 2 2 2 2 2 2 2 2" xfId="8320" xr:uid="{00000000-0005-0000-0000-0000AA1C0000}"/>
    <cellStyle name="Normal 5 2 2 2 2 2 2 3" xfId="4077" xr:uid="{00000000-0005-0000-0000-0000AB1C0000}"/>
    <cellStyle name="Normal 5 2 2 2 2 2 2 3 2" xfId="9368" xr:uid="{00000000-0005-0000-0000-0000AC1C0000}"/>
    <cellStyle name="Normal 5 2 2 2 2 2 2 4" xfId="5008" xr:uid="{00000000-0005-0000-0000-0000AD1C0000}"/>
    <cellStyle name="Normal 5 2 2 2 2 2 2 4 2" xfId="10296" xr:uid="{00000000-0005-0000-0000-0000AE1C0000}"/>
    <cellStyle name="Normal 5 2 2 2 2 2 2 5" xfId="6650" xr:uid="{00000000-0005-0000-0000-0000AF1C0000}"/>
    <cellStyle name="Normal 5 2 2 2 2 2 3" xfId="1911" xr:uid="{00000000-0005-0000-0000-0000B01C0000}"/>
    <cellStyle name="Normal 5 2 2 2 2 2 3 2" xfId="5682" xr:uid="{00000000-0005-0000-0000-0000B11C0000}"/>
    <cellStyle name="Normal 5 2 2 2 2 2 3 2 2" xfId="10970" xr:uid="{00000000-0005-0000-0000-0000B21C0000}"/>
    <cellStyle name="Normal 5 2 2 2 2 2 3 3" xfId="7324" xr:uid="{00000000-0005-0000-0000-0000B31C0000}"/>
    <cellStyle name="Normal 5 2 2 2 2 2 4" xfId="2463" xr:uid="{00000000-0005-0000-0000-0000B41C0000}"/>
    <cellStyle name="Normal 5 2 2 2 2 2 4 2" xfId="7821" xr:uid="{00000000-0005-0000-0000-0000B51C0000}"/>
    <cellStyle name="Normal 5 2 2 2 2 2 5" xfId="3577" xr:uid="{00000000-0005-0000-0000-0000B61C0000}"/>
    <cellStyle name="Normal 5 2 2 2 2 2 5 2" xfId="8869" xr:uid="{00000000-0005-0000-0000-0000B71C0000}"/>
    <cellStyle name="Normal 5 2 2 2 2 2 6" xfId="5007" xr:uid="{00000000-0005-0000-0000-0000B81C0000}"/>
    <cellStyle name="Normal 5 2 2 2 2 2 6 2" xfId="10295" xr:uid="{00000000-0005-0000-0000-0000B91C0000}"/>
    <cellStyle name="Normal 5 2 2 2 2 2 7" xfId="6649" xr:uid="{00000000-0005-0000-0000-0000BA1C0000}"/>
    <cellStyle name="Normal 5 2 2 2 2 3" xfId="1192" xr:uid="{00000000-0005-0000-0000-0000BB1C0000}"/>
    <cellStyle name="Normal 5 2 2 2 2 3 2" xfId="1193" xr:uid="{00000000-0005-0000-0000-0000BC1C0000}"/>
    <cellStyle name="Normal 5 2 2 2 2 3 2 2" xfId="2968" xr:uid="{00000000-0005-0000-0000-0000BD1C0000}"/>
    <cellStyle name="Normal 5 2 2 2 2 3 2 2 2" xfId="8321" xr:uid="{00000000-0005-0000-0000-0000BE1C0000}"/>
    <cellStyle name="Normal 5 2 2 2 2 3 2 3" xfId="4078" xr:uid="{00000000-0005-0000-0000-0000BF1C0000}"/>
    <cellStyle name="Normal 5 2 2 2 2 3 2 3 2" xfId="9369" xr:uid="{00000000-0005-0000-0000-0000C01C0000}"/>
    <cellStyle name="Normal 5 2 2 2 2 3 2 4" xfId="5010" xr:uid="{00000000-0005-0000-0000-0000C11C0000}"/>
    <cellStyle name="Normal 5 2 2 2 2 3 2 4 2" xfId="10298" xr:uid="{00000000-0005-0000-0000-0000C21C0000}"/>
    <cellStyle name="Normal 5 2 2 2 2 3 2 5" xfId="6652" xr:uid="{00000000-0005-0000-0000-0000C31C0000}"/>
    <cellStyle name="Normal 5 2 2 2 2 3 3" xfId="1912" xr:uid="{00000000-0005-0000-0000-0000C41C0000}"/>
    <cellStyle name="Normal 5 2 2 2 2 3 3 2" xfId="5683" xr:uid="{00000000-0005-0000-0000-0000C51C0000}"/>
    <cellStyle name="Normal 5 2 2 2 2 3 3 2 2" xfId="10971" xr:uid="{00000000-0005-0000-0000-0000C61C0000}"/>
    <cellStyle name="Normal 5 2 2 2 2 3 3 3" xfId="7325" xr:uid="{00000000-0005-0000-0000-0000C71C0000}"/>
    <cellStyle name="Normal 5 2 2 2 2 3 4" xfId="2464" xr:uid="{00000000-0005-0000-0000-0000C81C0000}"/>
    <cellStyle name="Normal 5 2 2 2 2 3 4 2" xfId="7822" xr:uid="{00000000-0005-0000-0000-0000C91C0000}"/>
    <cellStyle name="Normal 5 2 2 2 2 3 5" xfId="3578" xr:uid="{00000000-0005-0000-0000-0000CA1C0000}"/>
    <cellStyle name="Normal 5 2 2 2 2 3 5 2" xfId="8870" xr:uid="{00000000-0005-0000-0000-0000CB1C0000}"/>
    <cellStyle name="Normal 5 2 2 2 2 3 6" xfId="5009" xr:uid="{00000000-0005-0000-0000-0000CC1C0000}"/>
    <cellStyle name="Normal 5 2 2 2 2 3 6 2" xfId="10297" xr:uid="{00000000-0005-0000-0000-0000CD1C0000}"/>
    <cellStyle name="Normal 5 2 2 2 2 3 7" xfId="6651" xr:uid="{00000000-0005-0000-0000-0000CE1C0000}"/>
    <cellStyle name="Normal 5 2 2 2 2 4" xfId="1194" xr:uid="{00000000-0005-0000-0000-0000CF1C0000}"/>
    <cellStyle name="Normal 5 2 2 2 2 4 2" xfId="2966" xr:uid="{00000000-0005-0000-0000-0000D01C0000}"/>
    <cellStyle name="Normal 5 2 2 2 2 4 2 2" xfId="8319" xr:uid="{00000000-0005-0000-0000-0000D11C0000}"/>
    <cellStyle name="Normal 5 2 2 2 2 4 3" xfId="4076" xr:uid="{00000000-0005-0000-0000-0000D21C0000}"/>
    <cellStyle name="Normal 5 2 2 2 2 4 3 2" xfId="9367" xr:uid="{00000000-0005-0000-0000-0000D31C0000}"/>
    <cellStyle name="Normal 5 2 2 2 2 4 4" xfId="5011" xr:uid="{00000000-0005-0000-0000-0000D41C0000}"/>
    <cellStyle name="Normal 5 2 2 2 2 4 4 2" xfId="10299" xr:uid="{00000000-0005-0000-0000-0000D51C0000}"/>
    <cellStyle name="Normal 5 2 2 2 2 4 5" xfId="6653" xr:uid="{00000000-0005-0000-0000-0000D61C0000}"/>
    <cellStyle name="Normal 5 2 2 2 2 5" xfId="1910" xr:uid="{00000000-0005-0000-0000-0000D71C0000}"/>
    <cellStyle name="Normal 5 2 2 2 2 5 2" xfId="5681" xr:uid="{00000000-0005-0000-0000-0000D81C0000}"/>
    <cellStyle name="Normal 5 2 2 2 2 5 2 2" xfId="10969" xr:uid="{00000000-0005-0000-0000-0000D91C0000}"/>
    <cellStyle name="Normal 5 2 2 2 2 5 3" xfId="7323" xr:uid="{00000000-0005-0000-0000-0000DA1C0000}"/>
    <cellStyle name="Normal 5 2 2 2 2 6" xfId="2462" xr:uid="{00000000-0005-0000-0000-0000DB1C0000}"/>
    <cellStyle name="Normal 5 2 2 2 2 6 2" xfId="7820" xr:uid="{00000000-0005-0000-0000-0000DC1C0000}"/>
    <cellStyle name="Normal 5 2 2 2 2 7" xfId="3576" xr:uid="{00000000-0005-0000-0000-0000DD1C0000}"/>
    <cellStyle name="Normal 5 2 2 2 2 7 2" xfId="8868" xr:uid="{00000000-0005-0000-0000-0000DE1C0000}"/>
    <cellStyle name="Normal 5 2 2 2 2 8" xfId="5006" xr:uid="{00000000-0005-0000-0000-0000DF1C0000}"/>
    <cellStyle name="Normal 5 2 2 2 2 8 2" xfId="10294" xr:uid="{00000000-0005-0000-0000-0000E01C0000}"/>
    <cellStyle name="Normal 5 2 2 2 2 9" xfId="6648" xr:uid="{00000000-0005-0000-0000-0000E11C0000}"/>
    <cellStyle name="Normal 5 2 2 2 3" xfId="1195" xr:uid="{00000000-0005-0000-0000-0000E21C0000}"/>
    <cellStyle name="Normal 5 2 2 2 3 2" xfId="1196" xr:uid="{00000000-0005-0000-0000-0000E31C0000}"/>
    <cellStyle name="Normal 5 2 2 2 3 2 2" xfId="2969" xr:uid="{00000000-0005-0000-0000-0000E41C0000}"/>
    <cellStyle name="Normal 5 2 2 2 3 2 2 2" xfId="8322" xr:uid="{00000000-0005-0000-0000-0000E51C0000}"/>
    <cellStyle name="Normal 5 2 2 2 3 2 3" xfId="4079" xr:uid="{00000000-0005-0000-0000-0000E61C0000}"/>
    <cellStyle name="Normal 5 2 2 2 3 2 3 2" xfId="9370" xr:uid="{00000000-0005-0000-0000-0000E71C0000}"/>
    <cellStyle name="Normal 5 2 2 2 3 2 4" xfId="5013" xr:uid="{00000000-0005-0000-0000-0000E81C0000}"/>
    <cellStyle name="Normal 5 2 2 2 3 2 4 2" xfId="10301" xr:uid="{00000000-0005-0000-0000-0000E91C0000}"/>
    <cellStyle name="Normal 5 2 2 2 3 2 5" xfId="6655" xr:uid="{00000000-0005-0000-0000-0000EA1C0000}"/>
    <cellStyle name="Normal 5 2 2 2 3 3" xfId="1913" xr:uid="{00000000-0005-0000-0000-0000EB1C0000}"/>
    <cellStyle name="Normal 5 2 2 2 3 3 2" xfId="5684" xr:uid="{00000000-0005-0000-0000-0000EC1C0000}"/>
    <cellStyle name="Normal 5 2 2 2 3 3 2 2" xfId="10972" xr:uid="{00000000-0005-0000-0000-0000ED1C0000}"/>
    <cellStyle name="Normal 5 2 2 2 3 3 3" xfId="7326" xr:uid="{00000000-0005-0000-0000-0000EE1C0000}"/>
    <cellStyle name="Normal 5 2 2 2 3 4" xfId="2465" xr:uid="{00000000-0005-0000-0000-0000EF1C0000}"/>
    <cellStyle name="Normal 5 2 2 2 3 4 2" xfId="7823" xr:uid="{00000000-0005-0000-0000-0000F01C0000}"/>
    <cellStyle name="Normal 5 2 2 2 3 5" xfId="3579" xr:uid="{00000000-0005-0000-0000-0000F11C0000}"/>
    <cellStyle name="Normal 5 2 2 2 3 5 2" xfId="8871" xr:uid="{00000000-0005-0000-0000-0000F21C0000}"/>
    <cellStyle name="Normal 5 2 2 2 3 6" xfId="5012" xr:uid="{00000000-0005-0000-0000-0000F31C0000}"/>
    <cellStyle name="Normal 5 2 2 2 3 6 2" xfId="10300" xr:uid="{00000000-0005-0000-0000-0000F41C0000}"/>
    <cellStyle name="Normal 5 2 2 2 3 7" xfId="6654" xr:uid="{00000000-0005-0000-0000-0000F51C0000}"/>
    <cellStyle name="Normal 5 2 2 2 4" xfId="1197" xr:uid="{00000000-0005-0000-0000-0000F61C0000}"/>
    <cellStyle name="Normal 5 2 2 2 4 2" xfId="1198" xr:uid="{00000000-0005-0000-0000-0000F71C0000}"/>
    <cellStyle name="Normal 5 2 2 2 4 2 2" xfId="2970" xr:uid="{00000000-0005-0000-0000-0000F81C0000}"/>
    <cellStyle name="Normal 5 2 2 2 4 2 2 2" xfId="8323" xr:uid="{00000000-0005-0000-0000-0000F91C0000}"/>
    <cellStyle name="Normal 5 2 2 2 4 2 3" xfId="4080" xr:uid="{00000000-0005-0000-0000-0000FA1C0000}"/>
    <cellStyle name="Normal 5 2 2 2 4 2 3 2" xfId="9371" xr:uid="{00000000-0005-0000-0000-0000FB1C0000}"/>
    <cellStyle name="Normal 5 2 2 2 4 2 4" xfId="5015" xr:uid="{00000000-0005-0000-0000-0000FC1C0000}"/>
    <cellStyle name="Normal 5 2 2 2 4 2 4 2" xfId="10303" xr:uid="{00000000-0005-0000-0000-0000FD1C0000}"/>
    <cellStyle name="Normal 5 2 2 2 4 2 5" xfId="6657" xr:uid="{00000000-0005-0000-0000-0000FE1C0000}"/>
    <cellStyle name="Normal 5 2 2 2 4 3" xfId="1914" xr:uid="{00000000-0005-0000-0000-0000FF1C0000}"/>
    <cellStyle name="Normal 5 2 2 2 4 3 2" xfId="5685" xr:uid="{00000000-0005-0000-0000-0000001D0000}"/>
    <cellStyle name="Normal 5 2 2 2 4 3 2 2" xfId="10973" xr:uid="{00000000-0005-0000-0000-0000011D0000}"/>
    <cellStyle name="Normal 5 2 2 2 4 3 3" xfId="7327" xr:uid="{00000000-0005-0000-0000-0000021D0000}"/>
    <cellStyle name="Normal 5 2 2 2 4 4" xfId="2466" xr:uid="{00000000-0005-0000-0000-0000031D0000}"/>
    <cellStyle name="Normal 5 2 2 2 4 4 2" xfId="7824" xr:uid="{00000000-0005-0000-0000-0000041D0000}"/>
    <cellStyle name="Normal 5 2 2 2 4 5" xfId="3580" xr:uid="{00000000-0005-0000-0000-0000051D0000}"/>
    <cellStyle name="Normal 5 2 2 2 4 5 2" xfId="8872" xr:uid="{00000000-0005-0000-0000-0000061D0000}"/>
    <cellStyle name="Normal 5 2 2 2 4 6" xfId="5014" xr:uid="{00000000-0005-0000-0000-0000071D0000}"/>
    <cellStyle name="Normal 5 2 2 2 4 6 2" xfId="10302" xr:uid="{00000000-0005-0000-0000-0000081D0000}"/>
    <cellStyle name="Normal 5 2 2 2 4 7" xfId="6656" xr:uid="{00000000-0005-0000-0000-0000091D0000}"/>
    <cellStyle name="Normal 5 2 2 2 5" xfId="1199" xr:uid="{00000000-0005-0000-0000-00000A1D0000}"/>
    <cellStyle name="Normal 5 2 2 2 5 2" xfId="2965" xr:uid="{00000000-0005-0000-0000-00000B1D0000}"/>
    <cellStyle name="Normal 5 2 2 2 5 2 2" xfId="8318" xr:uid="{00000000-0005-0000-0000-00000C1D0000}"/>
    <cellStyle name="Normal 5 2 2 2 5 3" xfId="4075" xr:uid="{00000000-0005-0000-0000-00000D1D0000}"/>
    <cellStyle name="Normal 5 2 2 2 5 3 2" xfId="9366" xr:uid="{00000000-0005-0000-0000-00000E1D0000}"/>
    <cellStyle name="Normal 5 2 2 2 5 4" xfId="5016" xr:uid="{00000000-0005-0000-0000-00000F1D0000}"/>
    <cellStyle name="Normal 5 2 2 2 5 4 2" xfId="10304" xr:uid="{00000000-0005-0000-0000-0000101D0000}"/>
    <cellStyle name="Normal 5 2 2 2 5 5" xfId="6658" xr:uid="{00000000-0005-0000-0000-0000111D0000}"/>
    <cellStyle name="Normal 5 2 2 2 6" xfId="1909" xr:uid="{00000000-0005-0000-0000-0000121D0000}"/>
    <cellStyle name="Normal 5 2 2 2 6 2" xfId="5680" xr:uid="{00000000-0005-0000-0000-0000131D0000}"/>
    <cellStyle name="Normal 5 2 2 2 6 2 2" xfId="10968" xr:uid="{00000000-0005-0000-0000-0000141D0000}"/>
    <cellStyle name="Normal 5 2 2 2 6 3" xfId="7322" xr:uid="{00000000-0005-0000-0000-0000151D0000}"/>
    <cellStyle name="Normal 5 2 2 2 7" xfId="2461" xr:uid="{00000000-0005-0000-0000-0000161D0000}"/>
    <cellStyle name="Normal 5 2 2 2 7 2" xfId="7819" xr:uid="{00000000-0005-0000-0000-0000171D0000}"/>
    <cellStyle name="Normal 5 2 2 2 8" xfId="3575" xr:uid="{00000000-0005-0000-0000-0000181D0000}"/>
    <cellStyle name="Normal 5 2 2 2 8 2" xfId="8867" xr:uid="{00000000-0005-0000-0000-0000191D0000}"/>
    <cellStyle name="Normal 5 2 2 2 9" xfId="5005" xr:uid="{00000000-0005-0000-0000-00001A1D0000}"/>
    <cellStyle name="Normal 5 2 2 2 9 2" xfId="10293" xr:uid="{00000000-0005-0000-0000-00001B1D0000}"/>
    <cellStyle name="Normal 5 2 2 3" xfId="1200" xr:uid="{00000000-0005-0000-0000-00001C1D0000}"/>
    <cellStyle name="Normal 5 2 2 3 2" xfId="1201" xr:uid="{00000000-0005-0000-0000-00001D1D0000}"/>
    <cellStyle name="Normal 5 2 2 3 2 2" xfId="1202" xr:uid="{00000000-0005-0000-0000-00001E1D0000}"/>
    <cellStyle name="Normal 5 2 2 3 2 2 2" xfId="2972" xr:uid="{00000000-0005-0000-0000-00001F1D0000}"/>
    <cellStyle name="Normal 5 2 2 3 2 2 2 2" xfId="8325" xr:uid="{00000000-0005-0000-0000-0000201D0000}"/>
    <cellStyle name="Normal 5 2 2 3 2 2 3" xfId="4082" xr:uid="{00000000-0005-0000-0000-0000211D0000}"/>
    <cellStyle name="Normal 5 2 2 3 2 2 3 2" xfId="9373" xr:uid="{00000000-0005-0000-0000-0000221D0000}"/>
    <cellStyle name="Normal 5 2 2 3 2 2 4" xfId="5019" xr:uid="{00000000-0005-0000-0000-0000231D0000}"/>
    <cellStyle name="Normal 5 2 2 3 2 2 4 2" xfId="10307" xr:uid="{00000000-0005-0000-0000-0000241D0000}"/>
    <cellStyle name="Normal 5 2 2 3 2 2 5" xfId="6661" xr:uid="{00000000-0005-0000-0000-0000251D0000}"/>
    <cellStyle name="Normal 5 2 2 3 2 3" xfId="1916" xr:uid="{00000000-0005-0000-0000-0000261D0000}"/>
    <cellStyle name="Normal 5 2 2 3 2 3 2" xfId="5687" xr:uid="{00000000-0005-0000-0000-0000271D0000}"/>
    <cellStyle name="Normal 5 2 2 3 2 3 2 2" xfId="10975" xr:uid="{00000000-0005-0000-0000-0000281D0000}"/>
    <cellStyle name="Normal 5 2 2 3 2 3 3" xfId="7329" xr:uid="{00000000-0005-0000-0000-0000291D0000}"/>
    <cellStyle name="Normal 5 2 2 3 2 4" xfId="2468" xr:uid="{00000000-0005-0000-0000-00002A1D0000}"/>
    <cellStyle name="Normal 5 2 2 3 2 4 2" xfId="7826" xr:uid="{00000000-0005-0000-0000-00002B1D0000}"/>
    <cellStyle name="Normal 5 2 2 3 2 5" xfId="3582" xr:uid="{00000000-0005-0000-0000-00002C1D0000}"/>
    <cellStyle name="Normal 5 2 2 3 2 5 2" xfId="8874" xr:uid="{00000000-0005-0000-0000-00002D1D0000}"/>
    <cellStyle name="Normal 5 2 2 3 2 6" xfId="5018" xr:uid="{00000000-0005-0000-0000-00002E1D0000}"/>
    <cellStyle name="Normal 5 2 2 3 2 6 2" xfId="10306" xr:uid="{00000000-0005-0000-0000-00002F1D0000}"/>
    <cellStyle name="Normal 5 2 2 3 2 7" xfId="6660" xr:uid="{00000000-0005-0000-0000-0000301D0000}"/>
    <cellStyle name="Normal 5 2 2 3 3" xfId="1203" xr:uid="{00000000-0005-0000-0000-0000311D0000}"/>
    <cellStyle name="Normal 5 2 2 3 3 2" xfId="1204" xr:uid="{00000000-0005-0000-0000-0000321D0000}"/>
    <cellStyle name="Normal 5 2 2 3 3 2 2" xfId="2973" xr:uid="{00000000-0005-0000-0000-0000331D0000}"/>
    <cellStyle name="Normal 5 2 2 3 3 2 2 2" xfId="8326" xr:uid="{00000000-0005-0000-0000-0000341D0000}"/>
    <cellStyle name="Normal 5 2 2 3 3 2 3" xfId="4083" xr:uid="{00000000-0005-0000-0000-0000351D0000}"/>
    <cellStyle name="Normal 5 2 2 3 3 2 3 2" xfId="9374" xr:uid="{00000000-0005-0000-0000-0000361D0000}"/>
    <cellStyle name="Normal 5 2 2 3 3 2 4" xfId="5021" xr:uid="{00000000-0005-0000-0000-0000371D0000}"/>
    <cellStyle name="Normal 5 2 2 3 3 2 4 2" xfId="10309" xr:uid="{00000000-0005-0000-0000-0000381D0000}"/>
    <cellStyle name="Normal 5 2 2 3 3 2 5" xfId="6663" xr:uid="{00000000-0005-0000-0000-0000391D0000}"/>
    <cellStyle name="Normal 5 2 2 3 3 3" xfId="1917" xr:uid="{00000000-0005-0000-0000-00003A1D0000}"/>
    <cellStyle name="Normal 5 2 2 3 3 3 2" xfId="5688" xr:uid="{00000000-0005-0000-0000-00003B1D0000}"/>
    <cellStyle name="Normal 5 2 2 3 3 3 2 2" xfId="10976" xr:uid="{00000000-0005-0000-0000-00003C1D0000}"/>
    <cellStyle name="Normal 5 2 2 3 3 3 3" xfId="7330" xr:uid="{00000000-0005-0000-0000-00003D1D0000}"/>
    <cellStyle name="Normal 5 2 2 3 3 4" xfId="2469" xr:uid="{00000000-0005-0000-0000-00003E1D0000}"/>
    <cellStyle name="Normal 5 2 2 3 3 4 2" xfId="7827" xr:uid="{00000000-0005-0000-0000-00003F1D0000}"/>
    <cellStyle name="Normal 5 2 2 3 3 5" xfId="3583" xr:uid="{00000000-0005-0000-0000-0000401D0000}"/>
    <cellStyle name="Normal 5 2 2 3 3 5 2" xfId="8875" xr:uid="{00000000-0005-0000-0000-0000411D0000}"/>
    <cellStyle name="Normal 5 2 2 3 3 6" xfId="5020" xr:uid="{00000000-0005-0000-0000-0000421D0000}"/>
    <cellStyle name="Normal 5 2 2 3 3 6 2" xfId="10308" xr:uid="{00000000-0005-0000-0000-0000431D0000}"/>
    <cellStyle name="Normal 5 2 2 3 3 7" xfId="6662" xr:uid="{00000000-0005-0000-0000-0000441D0000}"/>
    <cellStyle name="Normal 5 2 2 3 4" xfId="1205" xr:uid="{00000000-0005-0000-0000-0000451D0000}"/>
    <cellStyle name="Normal 5 2 2 3 4 2" xfId="2971" xr:uid="{00000000-0005-0000-0000-0000461D0000}"/>
    <cellStyle name="Normal 5 2 2 3 4 2 2" xfId="8324" xr:uid="{00000000-0005-0000-0000-0000471D0000}"/>
    <cellStyle name="Normal 5 2 2 3 4 3" xfId="4081" xr:uid="{00000000-0005-0000-0000-0000481D0000}"/>
    <cellStyle name="Normal 5 2 2 3 4 3 2" xfId="9372" xr:uid="{00000000-0005-0000-0000-0000491D0000}"/>
    <cellStyle name="Normal 5 2 2 3 4 4" xfId="5022" xr:uid="{00000000-0005-0000-0000-00004A1D0000}"/>
    <cellStyle name="Normal 5 2 2 3 4 4 2" xfId="10310" xr:uid="{00000000-0005-0000-0000-00004B1D0000}"/>
    <cellStyle name="Normal 5 2 2 3 4 5" xfId="6664" xr:uid="{00000000-0005-0000-0000-00004C1D0000}"/>
    <cellStyle name="Normal 5 2 2 3 5" xfId="1915" xr:uid="{00000000-0005-0000-0000-00004D1D0000}"/>
    <cellStyle name="Normal 5 2 2 3 5 2" xfId="5686" xr:uid="{00000000-0005-0000-0000-00004E1D0000}"/>
    <cellStyle name="Normal 5 2 2 3 5 2 2" xfId="10974" xr:uid="{00000000-0005-0000-0000-00004F1D0000}"/>
    <cellStyle name="Normal 5 2 2 3 5 3" xfId="7328" xr:uid="{00000000-0005-0000-0000-0000501D0000}"/>
    <cellStyle name="Normal 5 2 2 3 6" xfId="2467" xr:uid="{00000000-0005-0000-0000-0000511D0000}"/>
    <cellStyle name="Normal 5 2 2 3 6 2" xfId="7825" xr:uid="{00000000-0005-0000-0000-0000521D0000}"/>
    <cellStyle name="Normal 5 2 2 3 7" xfId="3581" xr:uid="{00000000-0005-0000-0000-0000531D0000}"/>
    <cellStyle name="Normal 5 2 2 3 7 2" xfId="8873" xr:uid="{00000000-0005-0000-0000-0000541D0000}"/>
    <cellStyle name="Normal 5 2 2 3 8" xfId="5017" xr:uid="{00000000-0005-0000-0000-0000551D0000}"/>
    <cellStyle name="Normal 5 2 2 3 8 2" xfId="10305" xr:uid="{00000000-0005-0000-0000-0000561D0000}"/>
    <cellStyle name="Normal 5 2 2 3 9" xfId="6659" xr:uid="{00000000-0005-0000-0000-0000571D0000}"/>
    <cellStyle name="Normal 5 2 2 4" xfId="1206" xr:uid="{00000000-0005-0000-0000-0000581D0000}"/>
    <cellStyle name="Normal 5 2 2 4 2" xfId="1207" xr:uid="{00000000-0005-0000-0000-0000591D0000}"/>
    <cellStyle name="Normal 5 2 2 4 2 2" xfId="2974" xr:uid="{00000000-0005-0000-0000-00005A1D0000}"/>
    <cellStyle name="Normal 5 2 2 4 2 2 2" xfId="8327" xr:uid="{00000000-0005-0000-0000-00005B1D0000}"/>
    <cellStyle name="Normal 5 2 2 4 2 3" xfId="4084" xr:uid="{00000000-0005-0000-0000-00005C1D0000}"/>
    <cellStyle name="Normal 5 2 2 4 2 3 2" xfId="9375" xr:uid="{00000000-0005-0000-0000-00005D1D0000}"/>
    <cellStyle name="Normal 5 2 2 4 2 4" xfId="5024" xr:uid="{00000000-0005-0000-0000-00005E1D0000}"/>
    <cellStyle name="Normal 5 2 2 4 2 4 2" xfId="10312" xr:uid="{00000000-0005-0000-0000-00005F1D0000}"/>
    <cellStyle name="Normal 5 2 2 4 2 5" xfId="6666" xr:uid="{00000000-0005-0000-0000-0000601D0000}"/>
    <cellStyle name="Normal 5 2 2 4 3" xfId="1918" xr:uid="{00000000-0005-0000-0000-0000611D0000}"/>
    <cellStyle name="Normal 5 2 2 4 3 2" xfId="5689" xr:uid="{00000000-0005-0000-0000-0000621D0000}"/>
    <cellStyle name="Normal 5 2 2 4 3 2 2" xfId="10977" xr:uid="{00000000-0005-0000-0000-0000631D0000}"/>
    <cellStyle name="Normal 5 2 2 4 3 3" xfId="7331" xr:uid="{00000000-0005-0000-0000-0000641D0000}"/>
    <cellStyle name="Normal 5 2 2 4 4" xfId="2470" xr:uid="{00000000-0005-0000-0000-0000651D0000}"/>
    <cellStyle name="Normal 5 2 2 4 4 2" xfId="7828" xr:uid="{00000000-0005-0000-0000-0000661D0000}"/>
    <cellStyle name="Normal 5 2 2 4 5" xfId="3584" xr:uid="{00000000-0005-0000-0000-0000671D0000}"/>
    <cellStyle name="Normal 5 2 2 4 5 2" xfId="8876" xr:uid="{00000000-0005-0000-0000-0000681D0000}"/>
    <cellStyle name="Normal 5 2 2 4 6" xfId="5023" xr:uid="{00000000-0005-0000-0000-0000691D0000}"/>
    <cellStyle name="Normal 5 2 2 4 6 2" xfId="10311" xr:uid="{00000000-0005-0000-0000-00006A1D0000}"/>
    <cellStyle name="Normal 5 2 2 4 7" xfId="6665" xr:uid="{00000000-0005-0000-0000-00006B1D0000}"/>
    <cellStyle name="Normal 5 2 2 5" xfId="1208" xr:uid="{00000000-0005-0000-0000-00006C1D0000}"/>
    <cellStyle name="Normal 5 2 2 5 2" xfId="1209" xr:uid="{00000000-0005-0000-0000-00006D1D0000}"/>
    <cellStyle name="Normal 5 2 2 5 2 2" xfId="2975" xr:uid="{00000000-0005-0000-0000-00006E1D0000}"/>
    <cellStyle name="Normal 5 2 2 5 2 2 2" xfId="8328" xr:uid="{00000000-0005-0000-0000-00006F1D0000}"/>
    <cellStyle name="Normal 5 2 2 5 2 3" xfId="4085" xr:uid="{00000000-0005-0000-0000-0000701D0000}"/>
    <cellStyle name="Normal 5 2 2 5 2 3 2" xfId="9376" xr:uid="{00000000-0005-0000-0000-0000711D0000}"/>
    <cellStyle name="Normal 5 2 2 5 2 4" xfId="5026" xr:uid="{00000000-0005-0000-0000-0000721D0000}"/>
    <cellStyle name="Normal 5 2 2 5 2 4 2" xfId="10314" xr:uid="{00000000-0005-0000-0000-0000731D0000}"/>
    <cellStyle name="Normal 5 2 2 5 2 5" xfId="6668" xr:uid="{00000000-0005-0000-0000-0000741D0000}"/>
    <cellStyle name="Normal 5 2 2 5 3" xfId="1919" xr:uid="{00000000-0005-0000-0000-0000751D0000}"/>
    <cellStyle name="Normal 5 2 2 5 3 2" xfId="5690" xr:uid="{00000000-0005-0000-0000-0000761D0000}"/>
    <cellStyle name="Normal 5 2 2 5 3 2 2" xfId="10978" xr:uid="{00000000-0005-0000-0000-0000771D0000}"/>
    <cellStyle name="Normal 5 2 2 5 3 3" xfId="7332" xr:uid="{00000000-0005-0000-0000-0000781D0000}"/>
    <cellStyle name="Normal 5 2 2 5 4" xfId="2471" xr:uid="{00000000-0005-0000-0000-0000791D0000}"/>
    <cellStyle name="Normal 5 2 2 5 4 2" xfId="7829" xr:uid="{00000000-0005-0000-0000-00007A1D0000}"/>
    <cellStyle name="Normal 5 2 2 5 5" xfId="3585" xr:uid="{00000000-0005-0000-0000-00007B1D0000}"/>
    <cellStyle name="Normal 5 2 2 5 5 2" xfId="8877" xr:uid="{00000000-0005-0000-0000-00007C1D0000}"/>
    <cellStyle name="Normal 5 2 2 5 6" xfId="5025" xr:uid="{00000000-0005-0000-0000-00007D1D0000}"/>
    <cellStyle name="Normal 5 2 2 5 6 2" xfId="10313" xr:uid="{00000000-0005-0000-0000-00007E1D0000}"/>
    <cellStyle name="Normal 5 2 2 5 7" xfId="6667" xr:uid="{00000000-0005-0000-0000-00007F1D0000}"/>
    <cellStyle name="Normal 5 2 2 6" xfId="1210" xr:uid="{00000000-0005-0000-0000-0000801D0000}"/>
    <cellStyle name="Normal 5 2 2 6 2" xfId="2964" xr:uid="{00000000-0005-0000-0000-0000811D0000}"/>
    <cellStyle name="Normal 5 2 2 6 2 2" xfId="8317" xr:uid="{00000000-0005-0000-0000-0000821D0000}"/>
    <cellStyle name="Normal 5 2 2 6 3" xfId="4074" xr:uid="{00000000-0005-0000-0000-0000831D0000}"/>
    <cellStyle name="Normal 5 2 2 6 3 2" xfId="9365" xr:uid="{00000000-0005-0000-0000-0000841D0000}"/>
    <cellStyle name="Normal 5 2 2 6 4" xfId="5027" xr:uid="{00000000-0005-0000-0000-0000851D0000}"/>
    <cellStyle name="Normal 5 2 2 6 4 2" xfId="10315" xr:uid="{00000000-0005-0000-0000-0000861D0000}"/>
    <cellStyle name="Normal 5 2 2 6 5" xfId="6669" xr:uid="{00000000-0005-0000-0000-0000871D0000}"/>
    <cellStyle name="Normal 5 2 2 7" xfId="1908" xr:uid="{00000000-0005-0000-0000-0000881D0000}"/>
    <cellStyle name="Normal 5 2 2 7 2" xfId="5679" xr:uid="{00000000-0005-0000-0000-0000891D0000}"/>
    <cellStyle name="Normal 5 2 2 7 2 2" xfId="10967" xr:uid="{00000000-0005-0000-0000-00008A1D0000}"/>
    <cellStyle name="Normal 5 2 2 7 3" xfId="7321" xr:uid="{00000000-0005-0000-0000-00008B1D0000}"/>
    <cellStyle name="Normal 5 2 2 8" xfId="2460" xr:uid="{00000000-0005-0000-0000-00008C1D0000}"/>
    <cellStyle name="Normal 5 2 2 8 2" xfId="7818" xr:uid="{00000000-0005-0000-0000-00008D1D0000}"/>
    <cellStyle name="Normal 5 2 2 9" xfId="3574" xr:uid="{00000000-0005-0000-0000-00008E1D0000}"/>
    <cellStyle name="Normal 5 2 2 9 2" xfId="8866" xr:uid="{00000000-0005-0000-0000-00008F1D0000}"/>
    <cellStyle name="Normal 5 2 3" xfId="1211" xr:uid="{00000000-0005-0000-0000-0000901D0000}"/>
    <cellStyle name="Normal 5 2 3 10" xfId="6670" xr:uid="{00000000-0005-0000-0000-0000911D0000}"/>
    <cellStyle name="Normal 5 2 3 2" xfId="1212" xr:uid="{00000000-0005-0000-0000-0000921D0000}"/>
    <cellStyle name="Normal 5 2 3 2 2" xfId="1213" xr:uid="{00000000-0005-0000-0000-0000931D0000}"/>
    <cellStyle name="Normal 5 2 3 2 2 2" xfId="1214" xr:uid="{00000000-0005-0000-0000-0000941D0000}"/>
    <cellStyle name="Normal 5 2 3 2 2 2 2" xfId="2978" xr:uid="{00000000-0005-0000-0000-0000951D0000}"/>
    <cellStyle name="Normal 5 2 3 2 2 2 2 2" xfId="8331" xr:uid="{00000000-0005-0000-0000-0000961D0000}"/>
    <cellStyle name="Normal 5 2 3 2 2 2 3" xfId="4088" xr:uid="{00000000-0005-0000-0000-0000971D0000}"/>
    <cellStyle name="Normal 5 2 3 2 2 2 3 2" xfId="9379" xr:uid="{00000000-0005-0000-0000-0000981D0000}"/>
    <cellStyle name="Normal 5 2 3 2 2 2 4" xfId="5031" xr:uid="{00000000-0005-0000-0000-0000991D0000}"/>
    <cellStyle name="Normal 5 2 3 2 2 2 4 2" xfId="10319" xr:uid="{00000000-0005-0000-0000-00009A1D0000}"/>
    <cellStyle name="Normal 5 2 3 2 2 2 5" xfId="6673" xr:uid="{00000000-0005-0000-0000-00009B1D0000}"/>
    <cellStyle name="Normal 5 2 3 2 2 3" xfId="1922" xr:uid="{00000000-0005-0000-0000-00009C1D0000}"/>
    <cellStyle name="Normal 5 2 3 2 2 3 2" xfId="5693" xr:uid="{00000000-0005-0000-0000-00009D1D0000}"/>
    <cellStyle name="Normal 5 2 3 2 2 3 2 2" xfId="10981" xr:uid="{00000000-0005-0000-0000-00009E1D0000}"/>
    <cellStyle name="Normal 5 2 3 2 2 3 3" xfId="7335" xr:uid="{00000000-0005-0000-0000-00009F1D0000}"/>
    <cellStyle name="Normal 5 2 3 2 2 4" xfId="2474" xr:uid="{00000000-0005-0000-0000-0000A01D0000}"/>
    <cellStyle name="Normal 5 2 3 2 2 4 2" xfId="7832" xr:uid="{00000000-0005-0000-0000-0000A11D0000}"/>
    <cellStyle name="Normal 5 2 3 2 2 5" xfId="3588" xr:uid="{00000000-0005-0000-0000-0000A21D0000}"/>
    <cellStyle name="Normal 5 2 3 2 2 5 2" xfId="8880" xr:uid="{00000000-0005-0000-0000-0000A31D0000}"/>
    <cellStyle name="Normal 5 2 3 2 2 6" xfId="5030" xr:uid="{00000000-0005-0000-0000-0000A41D0000}"/>
    <cellStyle name="Normal 5 2 3 2 2 6 2" xfId="10318" xr:uid="{00000000-0005-0000-0000-0000A51D0000}"/>
    <cellStyle name="Normal 5 2 3 2 2 7" xfId="6672" xr:uid="{00000000-0005-0000-0000-0000A61D0000}"/>
    <cellStyle name="Normal 5 2 3 2 3" xfId="1215" xr:uid="{00000000-0005-0000-0000-0000A71D0000}"/>
    <cellStyle name="Normal 5 2 3 2 3 2" xfId="1216" xr:uid="{00000000-0005-0000-0000-0000A81D0000}"/>
    <cellStyle name="Normal 5 2 3 2 3 2 2" xfId="2979" xr:uid="{00000000-0005-0000-0000-0000A91D0000}"/>
    <cellStyle name="Normal 5 2 3 2 3 2 2 2" xfId="8332" xr:uid="{00000000-0005-0000-0000-0000AA1D0000}"/>
    <cellStyle name="Normal 5 2 3 2 3 2 3" xfId="4089" xr:uid="{00000000-0005-0000-0000-0000AB1D0000}"/>
    <cellStyle name="Normal 5 2 3 2 3 2 3 2" xfId="9380" xr:uid="{00000000-0005-0000-0000-0000AC1D0000}"/>
    <cellStyle name="Normal 5 2 3 2 3 2 4" xfId="5033" xr:uid="{00000000-0005-0000-0000-0000AD1D0000}"/>
    <cellStyle name="Normal 5 2 3 2 3 2 4 2" xfId="10321" xr:uid="{00000000-0005-0000-0000-0000AE1D0000}"/>
    <cellStyle name="Normal 5 2 3 2 3 2 5" xfId="6675" xr:uid="{00000000-0005-0000-0000-0000AF1D0000}"/>
    <cellStyle name="Normal 5 2 3 2 3 3" xfId="1923" xr:uid="{00000000-0005-0000-0000-0000B01D0000}"/>
    <cellStyle name="Normal 5 2 3 2 3 3 2" xfId="5694" xr:uid="{00000000-0005-0000-0000-0000B11D0000}"/>
    <cellStyle name="Normal 5 2 3 2 3 3 2 2" xfId="10982" xr:uid="{00000000-0005-0000-0000-0000B21D0000}"/>
    <cellStyle name="Normal 5 2 3 2 3 3 3" xfId="7336" xr:uid="{00000000-0005-0000-0000-0000B31D0000}"/>
    <cellStyle name="Normal 5 2 3 2 3 4" xfId="2475" xr:uid="{00000000-0005-0000-0000-0000B41D0000}"/>
    <cellStyle name="Normal 5 2 3 2 3 4 2" xfId="7833" xr:uid="{00000000-0005-0000-0000-0000B51D0000}"/>
    <cellStyle name="Normal 5 2 3 2 3 5" xfId="3589" xr:uid="{00000000-0005-0000-0000-0000B61D0000}"/>
    <cellStyle name="Normal 5 2 3 2 3 5 2" xfId="8881" xr:uid="{00000000-0005-0000-0000-0000B71D0000}"/>
    <cellStyle name="Normal 5 2 3 2 3 6" xfId="5032" xr:uid="{00000000-0005-0000-0000-0000B81D0000}"/>
    <cellStyle name="Normal 5 2 3 2 3 6 2" xfId="10320" xr:uid="{00000000-0005-0000-0000-0000B91D0000}"/>
    <cellStyle name="Normal 5 2 3 2 3 7" xfId="6674" xr:uid="{00000000-0005-0000-0000-0000BA1D0000}"/>
    <cellStyle name="Normal 5 2 3 2 4" xfId="1217" xr:uid="{00000000-0005-0000-0000-0000BB1D0000}"/>
    <cellStyle name="Normal 5 2 3 2 4 2" xfId="2977" xr:uid="{00000000-0005-0000-0000-0000BC1D0000}"/>
    <cellStyle name="Normal 5 2 3 2 4 2 2" xfId="8330" xr:uid="{00000000-0005-0000-0000-0000BD1D0000}"/>
    <cellStyle name="Normal 5 2 3 2 4 3" xfId="4087" xr:uid="{00000000-0005-0000-0000-0000BE1D0000}"/>
    <cellStyle name="Normal 5 2 3 2 4 3 2" xfId="9378" xr:uid="{00000000-0005-0000-0000-0000BF1D0000}"/>
    <cellStyle name="Normal 5 2 3 2 4 4" xfId="5034" xr:uid="{00000000-0005-0000-0000-0000C01D0000}"/>
    <cellStyle name="Normal 5 2 3 2 4 4 2" xfId="10322" xr:uid="{00000000-0005-0000-0000-0000C11D0000}"/>
    <cellStyle name="Normal 5 2 3 2 4 5" xfId="6676" xr:uid="{00000000-0005-0000-0000-0000C21D0000}"/>
    <cellStyle name="Normal 5 2 3 2 5" xfId="1921" xr:uid="{00000000-0005-0000-0000-0000C31D0000}"/>
    <cellStyle name="Normal 5 2 3 2 5 2" xfId="5692" xr:uid="{00000000-0005-0000-0000-0000C41D0000}"/>
    <cellStyle name="Normal 5 2 3 2 5 2 2" xfId="10980" xr:uid="{00000000-0005-0000-0000-0000C51D0000}"/>
    <cellStyle name="Normal 5 2 3 2 5 3" xfId="7334" xr:uid="{00000000-0005-0000-0000-0000C61D0000}"/>
    <cellStyle name="Normal 5 2 3 2 6" xfId="2473" xr:uid="{00000000-0005-0000-0000-0000C71D0000}"/>
    <cellStyle name="Normal 5 2 3 2 6 2" xfId="7831" xr:uid="{00000000-0005-0000-0000-0000C81D0000}"/>
    <cellStyle name="Normal 5 2 3 2 7" xfId="3587" xr:uid="{00000000-0005-0000-0000-0000C91D0000}"/>
    <cellStyle name="Normal 5 2 3 2 7 2" xfId="8879" xr:uid="{00000000-0005-0000-0000-0000CA1D0000}"/>
    <cellStyle name="Normal 5 2 3 2 8" xfId="5029" xr:uid="{00000000-0005-0000-0000-0000CB1D0000}"/>
    <cellStyle name="Normal 5 2 3 2 8 2" xfId="10317" xr:uid="{00000000-0005-0000-0000-0000CC1D0000}"/>
    <cellStyle name="Normal 5 2 3 2 9" xfId="6671" xr:uid="{00000000-0005-0000-0000-0000CD1D0000}"/>
    <cellStyle name="Normal 5 2 3 3" xfId="1218" xr:uid="{00000000-0005-0000-0000-0000CE1D0000}"/>
    <cellStyle name="Normal 5 2 3 3 2" xfId="1219" xr:uid="{00000000-0005-0000-0000-0000CF1D0000}"/>
    <cellStyle name="Normal 5 2 3 3 2 2" xfId="2980" xr:uid="{00000000-0005-0000-0000-0000D01D0000}"/>
    <cellStyle name="Normal 5 2 3 3 2 2 2" xfId="8333" xr:uid="{00000000-0005-0000-0000-0000D11D0000}"/>
    <cellStyle name="Normal 5 2 3 3 2 3" xfId="4090" xr:uid="{00000000-0005-0000-0000-0000D21D0000}"/>
    <cellStyle name="Normal 5 2 3 3 2 3 2" xfId="9381" xr:uid="{00000000-0005-0000-0000-0000D31D0000}"/>
    <cellStyle name="Normal 5 2 3 3 2 4" xfId="5036" xr:uid="{00000000-0005-0000-0000-0000D41D0000}"/>
    <cellStyle name="Normal 5 2 3 3 2 4 2" xfId="10324" xr:uid="{00000000-0005-0000-0000-0000D51D0000}"/>
    <cellStyle name="Normal 5 2 3 3 2 5" xfId="6678" xr:uid="{00000000-0005-0000-0000-0000D61D0000}"/>
    <cellStyle name="Normal 5 2 3 3 3" xfId="1924" xr:uid="{00000000-0005-0000-0000-0000D71D0000}"/>
    <cellStyle name="Normal 5 2 3 3 3 2" xfId="5695" xr:uid="{00000000-0005-0000-0000-0000D81D0000}"/>
    <cellStyle name="Normal 5 2 3 3 3 2 2" xfId="10983" xr:uid="{00000000-0005-0000-0000-0000D91D0000}"/>
    <cellStyle name="Normal 5 2 3 3 3 3" xfId="7337" xr:uid="{00000000-0005-0000-0000-0000DA1D0000}"/>
    <cellStyle name="Normal 5 2 3 3 4" xfId="2476" xr:uid="{00000000-0005-0000-0000-0000DB1D0000}"/>
    <cellStyle name="Normal 5 2 3 3 4 2" xfId="7834" xr:uid="{00000000-0005-0000-0000-0000DC1D0000}"/>
    <cellStyle name="Normal 5 2 3 3 5" xfId="3590" xr:uid="{00000000-0005-0000-0000-0000DD1D0000}"/>
    <cellStyle name="Normal 5 2 3 3 5 2" xfId="8882" xr:uid="{00000000-0005-0000-0000-0000DE1D0000}"/>
    <cellStyle name="Normal 5 2 3 3 6" xfId="5035" xr:uid="{00000000-0005-0000-0000-0000DF1D0000}"/>
    <cellStyle name="Normal 5 2 3 3 6 2" xfId="10323" xr:uid="{00000000-0005-0000-0000-0000E01D0000}"/>
    <cellStyle name="Normal 5 2 3 3 7" xfId="6677" xr:uid="{00000000-0005-0000-0000-0000E11D0000}"/>
    <cellStyle name="Normal 5 2 3 4" xfId="1220" xr:uid="{00000000-0005-0000-0000-0000E21D0000}"/>
    <cellStyle name="Normal 5 2 3 4 2" xfId="1221" xr:uid="{00000000-0005-0000-0000-0000E31D0000}"/>
    <cellStyle name="Normal 5 2 3 4 2 2" xfId="2981" xr:uid="{00000000-0005-0000-0000-0000E41D0000}"/>
    <cellStyle name="Normal 5 2 3 4 2 2 2" xfId="8334" xr:uid="{00000000-0005-0000-0000-0000E51D0000}"/>
    <cellStyle name="Normal 5 2 3 4 2 3" xfId="4091" xr:uid="{00000000-0005-0000-0000-0000E61D0000}"/>
    <cellStyle name="Normal 5 2 3 4 2 3 2" xfId="9382" xr:uid="{00000000-0005-0000-0000-0000E71D0000}"/>
    <cellStyle name="Normal 5 2 3 4 2 4" xfId="5038" xr:uid="{00000000-0005-0000-0000-0000E81D0000}"/>
    <cellStyle name="Normal 5 2 3 4 2 4 2" xfId="10326" xr:uid="{00000000-0005-0000-0000-0000E91D0000}"/>
    <cellStyle name="Normal 5 2 3 4 2 5" xfId="6680" xr:uid="{00000000-0005-0000-0000-0000EA1D0000}"/>
    <cellStyle name="Normal 5 2 3 4 3" xfId="1925" xr:uid="{00000000-0005-0000-0000-0000EB1D0000}"/>
    <cellStyle name="Normal 5 2 3 4 3 2" xfId="5696" xr:uid="{00000000-0005-0000-0000-0000EC1D0000}"/>
    <cellStyle name="Normal 5 2 3 4 3 2 2" xfId="10984" xr:uid="{00000000-0005-0000-0000-0000ED1D0000}"/>
    <cellStyle name="Normal 5 2 3 4 3 3" xfId="7338" xr:uid="{00000000-0005-0000-0000-0000EE1D0000}"/>
    <cellStyle name="Normal 5 2 3 4 4" xfId="2477" xr:uid="{00000000-0005-0000-0000-0000EF1D0000}"/>
    <cellStyle name="Normal 5 2 3 4 4 2" xfId="7835" xr:uid="{00000000-0005-0000-0000-0000F01D0000}"/>
    <cellStyle name="Normal 5 2 3 4 5" xfId="3591" xr:uid="{00000000-0005-0000-0000-0000F11D0000}"/>
    <cellStyle name="Normal 5 2 3 4 5 2" xfId="8883" xr:uid="{00000000-0005-0000-0000-0000F21D0000}"/>
    <cellStyle name="Normal 5 2 3 4 6" xfId="5037" xr:uid="{00000000-0005-0000-0000-0000F31D0000}"/>
    <cellStyle name="Normal 5 2 3 4 6 2" xfId="10325" xr:uid="{00000000-0005-0000-0000-0000F41D0000}"/>
    <cellStyle name="Normal 5 2 3 4 7" xfId="6679" xr:uid="{00000000-0005-0000-0000-0000F51D0000}"/>
    <cellStyle name="Normal 5 2 3 5" xfId="1222" xr:uid="{00000000-0005-0000-0000-0000F61D0000}"/>
    <cellStyle name="Normal 5 2 3 5 2" xfId="2976" xr:uid="{00000000-0005-0000-0000-0000F71D0000}"/>
    <cellStyle name="Normal 5 2 3 5 2 2" xfId="8329" xr:uid="{00000000-0005-0000-0000-0000F81D0000}"/>
    <cellStyle name="Normal 5 2 3 5 3" xfId="4086" xr:uid="{00000000-0005-0000-0000-0000F91D0000}"/>
    <cellStyle name="Normal 5 2 3 5 3 2" xfId="9377" xr:uid="{00000000-0005-0000-0000-0000FA1D0000}"/>
    <cellStyle name="Normal 5 2 3 5 4" xfId="5039" xr:uid="{00000000-0005-0000-0000-0000FB1D0000}"/>
    <cellStyle name="Normal 5 2 3 5 4 2" xfId="10327" xr:uid="{00000000-0005-0000-0000-0000FC1D0000}"/>
    <cellStyle name="Normal 5 2 3 5 5" xfId="6681" xr:uid="{00000000-0005-0000-0000-0000FD1D0000}"/>
    <cellStyle name="Normal 5 2 3 6" xfId="1920" xr:uid="{00000000-0005-0000-0000-0000FE1D0000}"/>
    <cellStyle name="Normal 5 2 3 6 2" xfId="5691" xr:uid="{00000000-0005-0000-0000-0000FF1D0000}"/>
    <cellStyle name="Normal 5 2 3 6 2 2" xfId="10979" xr:uid="{00000000-0005-0000-0000-0000001E0000}"/>
    <cellStyle name="Normal 5 2 3 6 3" xfId="7333" xr:uid="{00000000-0005-0000-0000-0000011E0000}"/>
    <cellStyle name="Normal 5 2 3 7" xfId="2472" xr:uid="{00000000-0005-0000-0000-0000021E0000}"/>
    <cellStyle name="Normal 5 2 3 7 2" xfId="7830" xr:uid="{00000000-0005-0000-0000-0000031E0000}"/>
    <cellStyle name="Normal 5 2 3 8" xfId="3586" xr:uid="{00000000-0005-0000-0000-0000041E0000}"/>
    <cellStyle name="Normal 5 2 3 8 2" xfId="8878" xr:uid="{00000000-0005-0000-0000-0000051E0000}"/>
    <cellStyle name="Normal 5 2 3 9" xfId="5028" xr:uid="{00000000-0005-0000-0000-0000061E0000}"/>
    <cellStyle name="Normal 5 2 3 9 2" xfId="10316" xr:uid="{00000000-0005-0000-0000-0000071E0000}"/>
    <cellStyle name="Normal 5 2 4" xfId="1223" xr:uid="{00000000-0005-0000-0000-0000081E0000}"/>
    <cellStyle name="Normal 5 2 4 2" xfId="1224" xr:uid="{00000000-0005-0000-0000-0000091E0000}"/>
    <cellStyle name="Normal 5 2 4 2 2" xfId="1225" xr:uid="{00000000-0005-0000-0000-00000A1E0000}"/>
    <cellStyle name="Normal 5 2 4 2 2 2" xfId="2983" xr:uid="{00000000-0005-0000-0000-00000B1E0000}"/>
    <cellStyle name="Normal 5 2 4 2 2 2 2" xfId="8336" xr:uid="{00000000-0005-0000-0000-00000C1E0000}"/>
    <cellStyle name="Normal 5 2 4 2 2 3" xfId="4093" xr:uid="{00000000-0005-0000-0000-00000D1E0000}"/>
    <cellStyle name="Normal 5 2 4 2 2 3 2" xfId="9384" xr:uid="{00000000-0005-0000-0000-00000E1E0000}"/>
    <cellStyle name="Normal 5 2 4 2 2 4" xfId="5042" xr:uid="{00000000-0005-0000-0000-00000F1E0000}"/>
    <cellStyle name="Normal 5 2 4 2 2 4 2" xfId="10330" xr:uid="{00000000-0005-0000-0000-0000101E0000}"/>
    <cellStyle name="Normal 5 2 4 2 2 5" xfId="6684" xr:uid="{00000000-0005-0000-0000-0000111E0000}"/>
    <cellStyle name="Normal 5 2 4 2 3" xfId="1927" xr:uid="{00000000-0005-0000-0000-0000121E0000}"/>
    <cellStyle name="Normal 5 2 4 2 3 2" xfId="5698" xr:uid="{00000000-0005-0000-0000-0000131E0000}"/>
    <cellStyle name="Normal 5 2 4 2 3 2 2" xfId="10986" xr:uid="{00000000-0005-0000-0000-0000141E0000}"/>
    <cellStyle name="Normal 5 2 4 2 3 3" xfId="7340" xr:uid="{00000000-0005-0000-0000-0000151E0000}"/>
    <cellStyle name="Normal 5 2 4 2 4" xfId="2479" xr:uid="{00000000-0005-0000-0000-0000161E0000}"/>
    <cellStyle name="Normal 5 2 4 2 4 2" xfId="7837" xr:uid="{00000000-0005-0000-0000-0000171E0000}"/>
    <cellStyle name="Normal 5 2 4 2 5" xfId="3593" xr:uid="{00000000-0005-0000-0000-0000181E0000}"/>
    <cellStyle name="Normal 5 2 4 2 5 2" xfId="8885" xr:uid="{00000000-0005-0000-0000-0000191E0000}"/>
    <cellStyle name="Normal 5 2 4 2 6" xfId="5041" xr:uid="{00000000-0005-0000-0000-00001A1E0000}"/>
    <cellStyle name="Normal 5 2 4 2 6 2" xfId="10329" xr:uid="{00000000-0005-0000-0000-00001B1E0000}"/>
    <cellStyle name="Normal 5 2 4 2 7" xfId="6683" xr:uid="{00000000-0005-0000-0000-00001C1E0000}"/>
    <cellStyle name="Normal 5 2 4 3" xfId="1226" xr:uid="{00000000-0005-0000-0000-00001D1E0000}"/>
    <cellStyle name="Normal 5 2 4 3 2" xfId="1227" xr:uid="{00000000-0005-0000-0000-00001E1E0000}"/>
    <cellStyle name="Normal 5 2 4 3 2 2" xfId="2984" xr:uid="{00000000-0005-0000-0000-00001F1E0000}"/>
    <cellStyle name="Normal 5 2 4 3 2 2 2" xfId="8337" xr:uid="{00000000-0005-0000-0000-0000201E0000}"/>
    <cellStyle name="Normal 5 2 4 3 2 3" xfId="4094" xr:uid="{00000000-0005-0000-0000-0000211E0000}"/>
    <cellStyle name="Normal 5 2 4 3 2 3 2" xfId="9385" xr:uid="{00000000-0005-0000-0000-0000221E0000}"/>
    <cellStyle name="Normal 5 2 4 3 2 4" xfId="5044" xr:uid="{00000000-0005-0000-0000-0000231E0000}"/>
    <cellStyle name="Normal 5 2 4 3 2 4 2" xfId="10332" xr:uid="{00000000-0005-0000-0000-0000241E0000}"/>
    <cellStyle name="Normal 5 2 4 3 2 5" xfId="6686" xr:uid="{00000000-0005-0000-0000-0000251E0000}"/>
    <cellStyle name="Normal 5 2 4 3 3" xfId="1928" xr:uid="{00000000-0005-0000-0000-0000261E0000}"/>
    <cellStyle name="Normal 5 2 4 3 3 2" xfId="5699" xr:uid="{00000000-0005-0000-0000-0000271E0000}"/>
    <cellStyle name="Normal 5 2 4 3 3 2 2" xfId="10987" xr:uid="{00000000-0005-0000-0000-0000281E0000}"/>
    <cellStyle name="Normal 5 2 4 3 3 3" xfId="7341" xr:uid="{00000000-0005-0000-0000-0000291E0000}"/>
    <cellStyle name="Normal 5 2 4 3 4" xfId="2480" xr:uid="{00000000-0005-0000-0000-00002A1E0000}"/>
    <cellStyle name="Normal 5 2 4 3 4 2" xfId="7838" xr:uid="{00000000-0005-0000-0000-00002B1E0000}"/>
    <cellStyle name="Normal 5 2 4 3 5" xfId="3594" xr:uid="{00000000-0005-0000-0000-00002C1E0000}"/>
    <cellStyle name="Normal 5 2 4 3 5 2" xfId="8886" xr:uid="{00000000-0005-0000-0000-00002D1E0000}"/>
    <cellStyle name="Normal 5 2 4 3 6" xfId="5043" xr:uid="{00000000-0005-0000-0000-00002E1E0000}"/>
    <cellStyle name="Normal 5 2 4 3 6 2" xfId="10331" xr:uid="{00000000-0005-0000-0000-00002F1E0000}"/>
    <cellStyle name="Normal 5 2 4 3 7" xfId="6685" xr:uid="{00000000-0005-0000-0000-0000301E0000}"/>
    <cellStyle name="Normal 5 2 4 4" xfId="1228" xr:uid="{00000000-0005-0000-0000-0000311E0000}"/>
    <cellStyle name="Normal 5 2 4 4 2" xfId="2982" xr:uid="{00000000-0005-0000-0000-0000321E0000}"/>
    <cellStyle name="Normal 5 2 4 4 2 2" xfId="8335" xr:uid="{00000000-0005-0000-0000-0000331E0000}"/>
    <cellStyle name="Normal 5 2 4 4 3" xfId="4092" xr:uid="{00000000-0005-0000-0000-0000341E0000}"/>
    <cellStyle name="Normal 5 2 4 4 3 2" xfId="9383" xr:uid="{00000000-0005-0000-0000-0000351E0000}"/>
    <cellStyle name="Normal 5 2 4 4 4" xfId="5045" xr:uid="{00000000-0005-0000-0000-0000361E0000}"/>
    <cellStyle name="Normal 5 2 4 4 4 2" xfId="10333" xr:uid="{00000000-0005-0000-0000-0000371E0000}"/>
    <cellStyle name="Normal 5 2 4 4 5" xfId="6687" xr:uid="{00000000-0005-0000-0000-0000381E0000}"/>
    <cellStyle name="Normal 5 2 4 5" xfId="1926" xr:uid="{00000000-0005-0000-0000-0000391E0000}"/>
    <cellStyle name="Normal 5 2 4 5 2" xfId="5697" xr:uid="{00000000-0005-0000-0000-00003A1E0000}"/>
    <cellStyle name="Normal 5 2 4 5 2 2" xfId="10985" xr:uid="{00000000-0005-0000-0000-00003B1E0000}"/>
    <cellStyle name="Normal 5 2 4 5 3" xfId="7339" xr:uid="{00000000-0005-0000-0000-00003C1E0000}"/>
    <cellStyle name="Normal 5 2 4 6" xfId="2478" xr:uid="{00000000-0005-0000-0000-00003D1E0000}"/>
    <cellStyle name="Normal 5 2 4 6 2" xfId="7836" xr:uid="{00000000-0005-0000-0000-00003E1E0000}"/>
    <cellStyle name="Normal 5 2 4 7" xfId="3592" xr:uid="{00000000-0005-0000-0000-00003F1E0000}"/>
    <cellStyle name="Normal 5 2 4 7 2" xfId="8884" xr:uid="{00000000-0005-0000-0000-0000401E0000}"/>
    <cellStyle name="Normal 5 2 4 8" xfId="5040" xr:uid="{00000000-0005-0000-0000-0000411E0000}"/>
    <cellStyle name="Normal 5 2 4 8 2" xfId="10328" xr:uid="{00000000-0005-0000-0000-0000421E0000}"/>
    <cellStyle name="Normal 5 2 4 9" xfId="6682" xr:uid="{00000000-0005-0000-0000-0000431E0000}"/>
    <cellStyle name="Normal 5 2 5" xfId="1229" xr:uid="{00000000-0005-0000-0000-0000441E0000}"/>
    <cellStyle name="Normal 5 2 5 2" xfId="1230" xr:uid="{00000000-0005-0000-0000-0000451E0000}"/>
    <cellStyle name="Normal 5 2 5 2 2" xfId="2985" xr:uid="{00000000-0005-0000-0000-0000461E0000}"/>
    <cellStyle name="Normal 5 2 5 2 2 2" xfId="8338" xr:uid="{00000000-0005-0000-0000-0000471E0000}"/>
    <cellStyle name="Normal 5 2 5 2 3" xfId="4095" xr:uid="{00000000-0005-0000-0000-0000481E0000}"/>
    <cellStyle name="Normal 5 2 5 2 3 2" xfId="9386" xr:uid="{00000000-0005-0000-0000-0000491E0000}"/>
    <cellStyle name="Normal 5 2 5 2 4" xfId="5047" xr:uid="{00000000-0005-0000-0000-00004A1E0000}"/>
    <cellStyle name="Normal 5 2 5 2 4 2" xfId="10335" xr:uid="{00000000-0005-0000-0000-00004B1E0000}"/>
    <cellStyle name="Normal 5 2 5 2 5" xfId="6689" xr:uid="{00000000-0005-0000-0000-00004C1E0000}"/>
    <cellStyle name="Normal 5 2 5 3" xfId="1929" xr:uid="{00000000-0005-0000-0000-00004D1E0000}"/>
    <cellStyle name="Normal 5 2 5 3 2" xfId="5700" xr:uid="{00000000-0005-0000-0000-00004E1E0000}"/>
    <cellStyle name="Normal 5 2 5 3 2 2" xfId="10988" xr:uid="{00000000-0005-0000-0000-00004F1E0000}"/>
    <cellStyle name="Normal 5 2 5 3 3" xfId="7342" xr:uid="{00000000-0005-0000-0000-0000501E0000}"/>
    <cellStyle name="Normal 5 2 5 4" xfId="2481" xr:uid="{00000000-0005-0000-0000-0000511E0000}"/>
    <cellStyle name="Normal 5 2 5 4 2" xfId="7839" xr:uid="{00000000-0005-0000-0000-0000521E0000}"/>
    <cellStyle name="Normal 5 2 5 5" xfId="3595" xr:uid="{00000000-0005-0000-0000-0000531E0000}"/>
    <cellStyle name="Normal 5 2 5 5 2" xfId="8887" xr:uid="{00000000-0005-0000-0000-0000541E0000}"/>
    <cellStyle name="Normal 5 2 5 6" xfId="5046" xr:uid="{00000000-0005-0000-0000-0000551E0000}"/>
    <cellStyle name="Normal 5 2 5 6 2" xfId="10334" xr:uid="{00000000-0005-0000-0000-0000561E0000}"/>
    <cellStyle name="Normal 5 2 5 7" xfId="6688" xr:uid="{00000000-0005-0000-0000-0000571E0000}"/>
    <cellStyle name="Normal 5 2 6" xfId="1231" xr:uid="{00000000-0005-0000-0000-0000581E0000}"/>
    <cellStyle name="Normal 5 2 6 2" xfId="1232" xr:uid="{00000000-0005-0000-0000-0000591E0000}"/>
    <cellStyle name="Normal 5 2 6 2 2" xfId="2986" xr:uid="{00000000-0005-0000-0000-00005A1E0000}"/>
    <cellStyle name="Normal 5 2 6 2 2 2" xfId="8339" xr:uid="{00000000-0005-0000-0000-00005B1E0000}"/>
    <cellStyle name="Normal 5 2 6 2 3" xfId="4096" xr:uid="{00000000-0005-0000-0000-00005C1E0000}"/>
    <cellStyle name="Normal 5 2 6 2 3 2" xfId="9387" xr:uid="{00000000-0005-0000-0000-00005D1E0000}"/>
    <cellStyle name="Normal 5 2 6 2 4" xfId="5049" xr:uid="{00000000-0005-0000-0000-00005E1E0000}"/>
    <cellStyle name="Normal 5 2 6 2 4 2" xfId="10337" xr:uid="{00000000-0005-0000-0000-00005F1E0000}"/>
    <cellStyle name="Normal 5 2 6 2 5" xfId="6691" xr:uid="{00000000-0005-0000-0000-0000601E0000}"/>
    <cellStyle name="Normal 5 2 6 3" xfId="1930" xr:uid="{00000000-0005-0000-0000-0000611E0000}"/>
    <cellStyle name="Normal 5 2 6 3 2" xfId="5701" xr:uid="{00000000-0005-0000-0000-0000621E0000}"/>
    <cellStyle name="Normal 5 2 6 3 2 2" xfId="10989" xr:uid="{00000000-0005-0000-0000-0000631E0000}"/>
    <cellStyle name="Normal 5 2 6 3 3" xfId="7343" xr:uid="{00000000-0005-0000-0000-0000641E0000}"/>
    <cellStyle name="Normal 5 2 6 4" xfId="2482" xr:uid="{00000000-0005-0000-0000-0000651E0000}"/>
    <cellStyle name="Normal 5 2 6 4 2" xfId="7840" xr:uid="{00000000-0005-0000-0000-0000661E0000}"/>
    <cellStyle name="Normal 5 2 6 5" xfId="3596" xr:uid="{00000000-0005-0000-0000-0000671E0000}"/>
    <cellStyle name="Normal 5 2 6 5 2" xfId="8888" xr:uid="{00000000-0005-0000-0000-0000681E0000}"/>
    <cellStyle name="Normal 5 2 6 6" xfId="5048" xr:uid="{00000000-0005-0000-0000-0000691E0000}"/>
    <cellStyle name="Normal 5 2 6 6 2" xfId="10336" xr:uid="{00000000-0005-0000-0000-00006A1E0000}"/>
    <cellStyle name="Normal 5 2 6 7" xfId="6690" xr:uid="{00000000-0005-0000-0000-00006B1E0000}"/>
    <cellStyle name="Normal 5 2 7" xfId="1233" xr:uid="{00000000-0005-0000-0000-00006C1E0000}"/>
    <cellStyle name="Normal 5 2 7 2" xfId="2963" xr:uid="{00000000-0005-0000-0000-00006D1E0000}"/>
    <cellStyle name="Normal 5 2 7 2 2" xfId="8316" xr:uid="{00000000-0005-0000-0000-00006E1E0000}"/>
    <cellStyle name="Normal 5 2 7 3" xfId="4073" xr:uid="{00000000-0005-0000-0000-00006F1E0000}"/>
    <cellStyle name="Normal 5 2 7 3 2" xfId="9364" xr:uid="{00000000-0005-0000-0000-0000701E0000}"/>
    <cellStyle name="Normal 5 2 7 4" xfId="5050" xr:uid="{00000000-0005-0000-0000-0000711E0000}"/>
    <cellStyle name="Normal 5 2 7 4 2" xfId="10338" xr:uid="{00000000-0005-0000-0000-0000721E0000}"/>
    <cellStyle name="Normal 5 2 7 5" xfId="6692" xr:uid="{00000000-0005-0000-0000-0000731E0000}"/>
    <cellStyle name="Normal 5 2 8" xfId="1907" xr:uid="{00000000-0005-0000-0000-0000741E0000}"/>
    <cellStyle name="Normal 5 2 8 2" xfId="5678" xr:uid="{00000000-0005-0000-0000-0000751E0000}"/>
    <cellStyle name="Normal 5 2 8 2 2" xfId="10966" xr:uid="{00000000-0005-0000-0000-0000761E0000}"/>
    <cellStyle name="Normal 5 2 8 3" xfId="7320" xr:uid="{00000000-0005-0000-0000-0000771E0000}"/>
    <cellStyle name="Normal 5 2 9" xfId="2459" xr:uid="{00000000-0005-0000-0000-0000781E0000}"/>
    <cellStyle name="Normal 5 2 9 2" xfId="5881" xr:uid="{00000000-0005-0000-0000-0000791E0000}"/>
    <cellStyle name="Normal 5 2 9 3" xfId="7817" xr:uid="{00000000-0005-0000-0000-00007A1E0000}"/>
    <cellStyle name="Normal 5 3" xfId="1234" xr:uid="{00000000-0005-0000-0000-00007B1E0000}"/>
    <cellStyle name="Normal 5 3 10" xfId="3597" xr:uid="{00000000-0005-0000-0000-00007C1E0000}"/>
    <cellStyle name="Normal 5 3 10 2" xfId="8889" xr:uid="{00000000-0005-0000-0000-00007D1E0000}"/>
    <cellStyle name="Normal 5 3 11" xfId="5051" xr:uid="{00000000-0005-0000-0000-00007E1E0000}"/>
    <cellStyle name="Normal 5 3 11 2" xfId="10339" xr:uid="{00000000-0005-0000-0000-00007F1E0000}"/>
    <cellStyle name="Normal 5 3 12" xfId="6693" xr:uid="{00000000-0005-0000-0000-0000801E0000}"/>
    <cellStyle name="Normal 5 3 2" xfId="1235" xr:uid="{00000000-0005-0000-0000-0000811E0000}"/>
    <cellStyle name="Normal 5 3 2 10" xfId="6694" xr:uid="{00000000-0005-0000-0000-0000821E0000}"/>
    <cellStyle name="Normal 5 3 2 2" xfId="1236" xr:uid="{00000000-0005-0000-0000-0000831E0000}"/>
    <cellStyle name="Normal 5 3 2 2 2" xfId="1237" xr:uid="{00000000-0005-0000-0000-0000841E0000}"/>
    <cellStyle name="Normal 5 3 2 2 2 2" xfId="1238" xr:uid="{00000000-0005-0000-0000-0000851E0000}"/>
    <cellStyle name="Normal 5 3 2 2 2 2 2" xfId="2990" xr:uid="{00000000-0005-0000-0000-0000861E0000}"/>
    <cellStyle name="Normal 5 3 2 2 2 2 2 2" xfId="8343" xr:uid="{00000000-0005-0000-0000-0000871E0000}"/>
    <cellStyle name="Normal 5 3 2 2 2 2 3" xfId="4100" xr:uid="{00000000-0005-0000-0000-0000881E0000}"/>
    <cellStyle name="Normal 5 3 2 2 2 2 3 2" xfId="9391" xr:uid="{00000000-0005-0000-0000-0000891E0000}"/>
    <cellStyle name="Normal 5 3 2 2 2 2 4" xfId="5055" xr:uid="{00000000-0005-0000-0000-00008A1E0000}"/>
    <cellStyle name="Normal 5 3 2 2 2 2 4 2" xfId="10343" xr:uid="{00000000-0005-0000-0000-00008B1E0000}"/>
    <cellStyle name="Normal 5 3 2 2 2 2 5" xfId="6697" xr:uid="{00000000-0005-0000-0000-00008C1E0000}"/>
    <cellStyle name="Normal 5 3 2 2 2 3" xfId="1934" xr:uid="{00000000-0005-0000-0000-00008D1E0000}"/>
    <cellStyle name="Normal 5 3 2 2 2 3 2" xfId="5705" xr:uid="{00000000-0005-0000-0000-00008E1E0000}"/>
    <cellStyle name="Normal 5 3 2 2 2 3 2 2" xfId="10993" xr:uid="{00000000-0005-0000-0000-00008F1E0000}"/>
    <cellStyle name="Normal 5 3 2 2 2 3 3" xfId="7347" xr:uid="{00000000-0005-0000-0000-0000901E0000}"/>
    <cellStyle name="Normal 5 3 2 2 2 4" xfId="2486" xr:uid="{00000000-0005-0000-0000-0000911E0000}"/>
    <cellStyle name="Normal 5 3 2 2 2 4 2" xfId="7844" xr:uid="{00000000-0005-0000-0000-0000921E0000}"/>
    <cellStyle name="Normal 5 3 2 2 2 5" xfId="3600" xr:uid="{00000000-0005-0000-0000-0000931E0000}"/>
    <cellStyle name="Normal 5 3 2 2 2 5 2" xfId="8892" xr:uid="{00000000-0005-0000-0000-0000941E0000}"/>
    <cellStyle name="Normal 5 3 2 2 2 6" xfId="5054" xr:uid="{00000000-0005-0000-0000-0000951E0000}"/>
    <cellStyle name="Normal 5 3 2 2 2 6 2" xfId="10342" xr:uid="{00000000-0005-0000-0000-0000961E0000}"/>
    <cellStyle name="Normal 5 3 2 2 2 7" xfId="6696" xr:uid="{00000000-0005-0000-0000-0000971E0000}"/>
    <cellStyle name="Normal 5 3 2 2 3" xfId="1239" xr:uid="{00000000-0005-0000-0000-0000981E0000}"/>
    <cellStyle name="Normal 5 3 2 2 3 2" xfId="1240" xr:uid="{00000000-0005-0000-0000-0000991E0000}"/>
    <cellStyle name="Normal 5 3 2 2 3 2 2" xfId="2991" xr:uid="{00000000-0005-0000-0000-00009A1E0000}"/>
    <cellStyle name="Normal 5 3 2 2 3 2 2 2" xfId="8344" xr:uid="{00000000-0005-0000-0000-00009B1E0000}"/>
    <cellStyle name="Normal 5 3 2 2 3 2 3" xfId="4101" xr:uid="{00000000-0005-0000-0000-00009C1E0000}"/>
    <cellStyle name="Normal 5 3 2 2 3 2 3 2" xfId="9392" xr:uid="{00000000-0005-0000-0000-00009D1E0000}"/>
    <cellStyle name="Normal 5 3 2 2 3 2 4" xfId="5057" xr:uid="{00000000-0005-0000-0000-00009E1E0000}"/>
    <cellStyle name="Normal 5 3 2 2 3 2 4 2" xfId="10345" xr:uid="{00000000-0005-0000-0000-00009F1E0000}"/>
    <cellStyle name="Normal 5 3 2 2 3 2 5" xfId="6699" xr:uid="{00000000-0005-0000-0000-0000A01E0000}"/>
    <cellStyle name="Normal 5 3 2 2 3 3" xfId="1935" xr:uid="{00000000-0005-0000-0000-0000A11E0000}"/>
    <cellStyle name="Normal 5 3 2 2 3 3 2" xfId="5706" xr:uid="{00000000-0005-0000-0000-0000A21E0000}"/>
    <cellStyle name="Normal 5 3 2 2 3 3 2 2" xfId="10994" xr:uid="{00000000-0005-0000-0000-0000A31E0000}"/>
    <cellStyle name="Normal 5 3 2 2 3 3 3" xfId="7348" xr:uid="{00000000-0005-0000-0000-0000A41E0000}"/>
    <cellStyle name="Normal 5 3 2 2 3 4" xfId="2487" xr:uid="{00000000-0005-0000-0000-0000A51E0000}"/>
    <cellStyle name="Normal 5 3 2 2 3 4 2" xfId="7845" xr:uid="{00000000-0005-0000-0000-0000A61E0000}"/>
    <cellStyle name="Normal 5 3 2 2 3 5" xfId="3601" xr:uid="{00000000-0005-0000-0000-0000A71E0000}"/>
    <cellStyle name="Normal 5 3 2 2 3 5 2" xfId="8893" xr:uid="{00000000-0005-0000-0000-0000A81E0000}"/>
    <cellStyle name="Normal 5 3 2 2 3 6" xfId="5056" xr:uid="{00000000-0005-0000-0000-0000A91E0000}"/>
    <cellStyle name="Normal 5 3 2 2 3 6 2" xfId="10344" xr:uid="{00000000-0005-0000-0000-0000AA1E0000}"/>
    <cellStyle name="Normal 5 3 2 2 3 7" xfId="6698" xr:uid="{00000000-0005-0000-0000-0000AB1E0000}"/>
    <cellStyle name="Normal 5 3 2 2 4" xfId="1241" xr:uid="{00000000-0005-0000-0000-0000AC1E0000}"/>
    <cellStyle name="Normal 5 3 2 2 4 2" xfId="2989" xr:uid="{00000000-0005-0000-0000-0000AD1E0000}"/>
    <cellStyle name="Normal 5 3 2 2 4 2 2" xfId="8342" xr:uid="{00000000-0005-0000-0000-0000AE1E0000}"/>
    <cellStyle name="Normal 5 3 2 2 4 3" xfId="4099" xr:uid="{00000000-0005-0000-0000-0000AF1E0000}"/>
    <cellStyle name="Normal 5 3 2 2 4 3 2" xfId="9390" xr:uid="{00000000-0005-0000-0000-0000B01E0000}"/>
    <cellStyle name="Normal 5 3 2 2 4 4" xfId="5058" xr:uid="{00000000-0005-0000-0000-0000B11E0000}"/>
    <cellStyle name="Normal 5 3 2 2 4 4 2" xfId="10346" xr:uid="{00000000-0005-0000-0000-0000B21E0000}"/>
    <cellStyle name="Normal 5 3 2 2 4 5" xfId="6700" xr:uid="{00000000-0005-0000-0000-0000B31E0000}"/>
    <cellStyle name="Normal 5 3 2 2 5" xfId="1933" xr:uid="{00000000-0005-0000-0000-0000B41E0000}"/>
    <cellStyle name="Normal 5 3 2 2 5 2" xfId="5704" xr:uid="{00000000-0005-0000-0000-0000B51E0000}"/>
    <cellStyle name="Normal 5 3 2 2 5 2 2" xfId="10992" xr:uid="{00000000-0005-0000-0000-0000B61E0000}"/>
    <cellStyle name="Normal 5 3 2 2 5 3" xfId="7346" xr:uid="{00000000-0005-0000-0000-0000B71E0000}"/>
    <cellStyle name="Normal 5 3 2 2 6" xfId="2485" xr:uid="{00000000-0005-0000-0000-0000B81E0000}"/>
    <cellStyle name="Normal 5 3 2 2 6 2" xfId="7843" xr:uid="{00000000-0005-0000-0000-0000B91E0000}"/>
    <cellStyle name="Normal 5 3 2 2 7" xfId="3599" xr:uid="{00000000-0005-0000-0000-0000BA1E0000}"/>
    <cellStyle name="Normal 5 3 2 2 7 2" xfId="8891" xr:uid="{00000000-0005-0000-0000-0000BB1E0000}"/>
    <cellStyle name="Normal 5 3 2 2 8" xfId="5053" xr:uid="{00000000-0005-0000-0000-0000BC1E0000}"/>
    <cellStyle name="Normal 5 3 2 2 8 2" xfId="10341" xr:uid="{00000000-0005-0000-0000-0000BD1E0000}"/>
    <cellStyle name="Normal 5 3 2 2 9" xfId="6695" xr:uid="{00000000-0005-0000-0000-0000BE1E0000}"/>
    <cellStyle name="Normal 5 3 2 3" xfId="1242" xr:uid="{00000000-0005-0000-0000-0000BF1E0000}"/>
    <cellStyle name="Normal 5 3 2 3 2" xfId="1243" xr:uid="{00000000-0005-0000-0000-0000C01E0000}"/>
    <cellStyle name="Normal 5 3 2 3 2 2" xfId="2992" xr:uid="{00000000-0005-0000-0000-0000C11E0000}"/>
    <cellStyle name="Normal 5 3 2 3 2 2 2" xfId="8345" xr:uid="{00000000-0005-0000-0000-0000C21E0000}"/>
    <cellStyle name="Normal 5 3 2 3 2 3" xfId="4102" xr:uid="{00000000-0005-0000-0000-0000C31E0000}"/>
    <cellStyle name="Normal 5 3 2 3 2 3 2" xfId="9393" xr:uid="{00000000-0005-0000-0000-0000C41E0000}"/>
    <cellStyle name="Normal 5 3 2 3 2 4" xfId="5060" xr:uid="{00000000-0005-0000-0000-0000C51E0000}"/>
    <cellStyle name="Normal 5 3 2 3 2 4 2" xfId="10348" xr:uid="{00000000-0005-0000-0000-0000C61E0000}"/>
    <cellStyle name="Normal 5 3 2 3 2 5" xfId="6702" xr:uid="{00000000-0005-0000-0000-0000C71E0000}"/>
    <cellStyle name="Normal 5 3 2 3 3" xfId="1936" xr:uid="{00000000-0005-0000-0000-0000C81E0000}"/>
    <cellStyle name="Normal 5 3 2 3 3 2" xfId="5707" xr:uid="{00000000-0005-0000-0000-0000C91E0000}"/>
    <cellStyle name="Normal 5 3 2 3 3 2 2" xfId="10995" xr:uid="{00000000-0005-0000-0000-0000CA1E0000}"/>
    <cellStyle name="Normal 5 3 2 3 3 3" xfId="7349" xr:uid="{00000000-0005-0000-0000-0000CB1E0000}"/>
    <cellStyle name="Normal 5 3 2 3 4" xfId="2488" xr:uid="{00000000-0005-0000-0000-0000CC1E0000}"/>
    <cellStyle name="Normal 5 3 2 3 4 2" xfId="7846" xr:uid="{00000000-0005-0000-0000-0000CD1E0000}"/>
    <cellStyle name="Normal 5 3 2 3 5" xfId="3602" xr:uid="{00000000-0005-0000-0000-0000CE1E0000}"/>
    <cellStyle name="Normal 5 3 2 3 5 2" xfId="8894" xr:uid="{00000000-0005-0000-0000-0000CF1E0000}"/>
    <cellStyle name="Normal 5 3 2 3 6" xfId="5059" xr:uid="{00000000-0005-0000-0000-0000D01E0000}"/>
    <cellStyle name="Normal 5 3 2 3 6 2" xfId="10347" xr:uid="{00000000-0005-0000-0000-0000D11E0000}"/>
    <cellStyle name="Normal 5 3 2 3 7" xfId="6701" xr:uid="{00000000-0005-0000-0000-0000D21E0000}"/>
    <cellStyle name="Normal 5 3 2 4" xfId="1244" xr:uid="{00000000-0005-0000-0000-0000D31E0000}"/>
    <cellStyle name="Normal 5 3 2 4 2" xfId="1245" xr:uid="{00000000-0005-0000-0000-0000D41E0000}"/>
    <cellStyle name="Normal 5 3 2 4 2 2" xfId="2993" xr:uid="{00000000-0005-0000-0000-0000D51E0000}"/>
    <cellStyle name="Normal 5 3 2 4 2 2 2" xfId="8346" xr:uid="{00000000-0005-0000-0000-0000D61E0000}"/>
    <cellStyle name="Normal 5 3 2 4 2 3" xfId="4103" xr:uid="{00000000-0005-0000-0000-0000D71E0000}"/>
    <cellStyle name="Normal 5 3 2 4 2 3 2" xfId="9394" xr:uid="{00000000-0005-0000-0000-0000D81E0000}"/>
    <cellStyle name="Normal 5 3 2 4 2 4" xfId="5062" xr:uid="{00000000-0005-0000-0000-0000D91E0000}"/>
    <cellStyle name="Normal 5 3 2 4 2 4 2" xfId="10350" xr:uid="{00000000-0005-0000-0000-0000DA1E0000}"/>
    <cellStyle name="Normal 5 3 2 4 2 5" xfId="6704" xr:uid="{00000000-0005-0000-0000-0000DB1E0000}"/>
    <cellStyle name="Normal 5 3 2 4 3" xfId="1937" xr:uid="{00000000-0005-0000-0000-0000DC1E0000}"/>
    <cellStyle name="Normal 5 3 2 4 3 2" xfId="5708" xr:uid="{00000000-0005-0000-0000-0000DD1E0000}"/>
    <cellStyle name="Normal 5 3 2 4 3 2 2" xfId="10996" xr:uid="{00000000-0005-0000-0000-0000DE1E0000}"/>
    <cellStyle name="Normal 5 3 2 4 3 3" xfId="7350" xr:uid="{00000000-0005-0000-0000-0000DF1E0000}"/>
    <cellStyle name="Normal 5 3 2 4 4" xfId="2489" xr:uid="{00000000-0005-0000-0000-0000E01E0000}"/>
    <cellStyle name="Normal 5 3 2 4 4 2" xfId="7847" xr:uid="{00000000-0005-0000-0000-0000E11E0000}"/>
    <cellStyle name="Normal 5 3 2 4 5" xfId="3603" xr:uid="{00000000-0005-0000-0000-0000E21E0000}"/>
    <cellStyle name="Normal 5 3 2 4 5 2" xfId="8895" xr:uid="{00000000-0005-0000-0000-0000E31E0000}"/>
    <cellStyle name="Normal 5 3 2 4 6" xfId="5061" xr:uid="{00000000-0005-0000-0000-0000E41E0000}"/>
    <cellStyle name="Normal 5 3 2 4 6 2" xfId="10349" xr:uid="{00000000-0005-0000-0000-0000E51E0000}"/>
    <cellStyle name="Normal 5 3 2 4 7" xfId="6703" xr:uid="{00000000-0005-0000-0000-0000E61E0000}"/>
    <cellStyle name="Normal 5 3 2 5" xfId="1246" xr:uid="{00000000-0005-0000-0000-0000E71E0000}"/>
    <cellStyle name="Normal 5 3 2 5 2" xfId="2988" xr:uid="{00000000-0005-0000-0000-0000E81E0000}"/>
    <cellStyle name="Normal 5 3 2 5 2 2" xfId="8341" xr:uid="{00000000-0005-0000-0000-0000E91E0000}"/>
    <cellStyle name="Normal 5 3 2 5 3" xfId="4098" xr:uid="{00000000-0005-0000-0000-0000EA1E0000}"/>
    <cellStyle name="Normal 5 3 2 5 3 2" xfId="9389" xr:uid="{00000000-0005-0000-0000-0000EB1E0000}"/>
    <cellStyle name="Normal 5 3 2 5 4" xfId="5063" xr:uid="{00000000-0005-0000-0000-0000EC1E0000}"/>
    <cellStyle name="Normal 5 3 2 5 4 2" xfId="10351" xr:uid="{00000000-0005-0000-0000-0000ED1E0000}"/>
    <cellStyle name="Normal 5 3 2 5 5" xfId="6705" xr:uid="{00000000-0005-0000-0000-0000EE1E0000}"/>
    <cellStyle name="Normal 5 3 2 6" xfId="1932" xr:uid="{00000000-0005-0000-0000-0000EF1E0000}"/>
    <cellStyle name="Normal 5 3 2 6 2" xfId="5703" xr:uid="{00000000-0005-0000-0000-0000F01E0000}"/>
    <cellStyle name="Normal 5 3 2 6 2 2" xfId="10991" xr:uid="{00000000-0005-0000-0000-0000F11E0000}"/>
    <cellStyle name="Normal 5 3 2 6 3" xfId="7345" xr:uid="{00000000-0005-0000-0000-0000F21E0000}"/>
    <cellStyle name="Normal 5 3 2 7" xfId="2484" xr:uid="{00000000-0005-0000-0000-0000F31E0000}"/>
    <cellStyle name="Normal 5 3 2 7 2" xfId="7842" xr:uid="{00000000-0005-0000-0000-0000F41E0000}"/>
    <cellStyle name="Normal 5 3 2 8" xfId="3598" xr:uid="{00000000-0005-0000-0000-0000F51E0000}"/>
    <cellStyle name="Normal 5 3 2 8 2" xfId="8890" xr:uid="{00000000-0005-0000-0000-0000F61E0000}"/>
    <cellStyle name="Normal 5 3 2 9" xfId="5052" xr:uid="{00000000-0005-0000-0000-0000F71E0000}"/>
    <cellStyle name="Normal 5 3 2 9 2" xfId="10340" xr:uid="{00000000-0005-0000-0000-0000F81E0000}"/>
    <cellStyle name="Normal 5 3 3" xfId="1247" xr:uid="{00000000-0005-0000-0000-0000F91E0000}"/>
    <cellStyle name="Normal 5 3 3 2" xfId="1248" xr:uid="{00000000-0005-0000-0000-0000FA1E0000}"/>
    <cellStyle name="Normal 5 3 3 2 2" xfId="1249" xr:uid="{00000000-0005-0000-0000-0000FB1E0000}"/>
    <cellStyle name="Normal 5 3 3 2 2 2" xfId="2995" xr:uid="{00000000-0005-0000-0000-0000FC1E0000}"/>
    <cellStyle name="Normal 5 3 3 2 2 2 2" xfId="8348" xr:uid="{00000000-0005-0000-0000-0000FD1E0000}"/>
    <cellStyle name="Normal 5 3 3 2 2 3" xfId="4105" xr:uid="{00000000-0005-0000-0000-0000FE1E0000}"/>
    <cellStyle name="Normal 5 3 3 2 2 3 2" xfId="9396" xr:uid="{00000000-0005-0000-0000-0000FF1E0000}"/>
    <cellStyle name="Normal 5 3 3 2 2 4" xfId="5066" xr:uid="{00000000-0005-0000-0000-0000001F0000}"/>
    <cellStyle name="Normal 5 3 3 2 2 4 2" xfId="10354" xr:uid="{00000000-0005-0000-0000-0000011F0000}"/>
    <cellStyle name="Normal 5 3 3 2 2 5" xfId="6708" xr:uid="{00000000-0005-0000-0000-0000021F0000}"/>
    <cellStyle name="Normal 5 3 3 2 3" xfId="1939" xr:uid="{00000000-0005-0000-0000-0000031F0000}"/>
    <cellStyle name="Normal 5 3 3 2 3 2" xfId="5710" xr:uid="{00000000-0005-0000-0000-0000041F0000}"/>
    <cellStyle name="Normal 5 3 3 2 3 2 2" xfId="10998" xr:uid="{00000000-0005-0000-0000-0000051F0000}"/>
    <cellStyle name="Normal 5 3 3 2 3 3" xfId="7352" xr:uid="{00000000-0005-0000-0000-0000061F0000}"/>
    <cellStyle name="Normal 5 3 3 2 4" xfId="2491" xr:uid="{00000000-0005-0000-0000-0000071F0000}"/>
    <cellStyle name="Normal 5 3 3 2 4 2" xfId="7849" xr:uid="{00000000-0005-0000-0000-0000081F0000}"/>
    <cellStyle name="Normal 5 3 3 2 5" xfId="3605" xr:uid="{00000000-0005-0000-0000-0000091F0000}"/>
    <cellStyle name="Normal 5 3 3 2 5 2" xfId="8897" xr:uid="{00000000-0005-0000-0000-00000A1F0000}"/>
    <cellStyle name="Normal 5 3 3 2 6" xfId="5065" xr:uid="{00000000-0005-0000-0000-00000B1F0000}"/>
    <cellStyle name="Normal 5 3 3 2 6 2" xfId="10353" xr:uid="{00000000-0005-0000-0000-00000C1F0000}"/>
    <cellStyle name="Normal 5 3 3 2 7" xfId="6707" xr:uid="{00000000-0005-0000-0000-00000D1F0000}"/>
    <cellStyle name="Normal 5 3 3 3" xfId="1250" xr:uid="{00000000-0005-0000-0000-00000E1F0000}"/>
    <cellStyle name="Normal 5 3 3 3 2" xfId="1251" xr:uid="{00000000-0005-0000-0000-00000F1F0000}"/>
    <cellStyle name="Normal 5 3 3 3 2 2" xfId="2996" xr:uid="{00000000-0005-0000-0000-0000101F0000}"/>
    <cellStyle name="Normal 5 3 3 3 2 2 2" xfId="8349" xr:uid="{00000000-0005-0000-0000-0000111F0000}"/>
    <cellStyle name="Normal 5 3 3 3 2 3" xfId="4106" xr:uid="{00000000-0005-0000-0000-0000121F0000}"/>
    <cellStyle name="Normal 5 3 3 3 2 3 2" xfId="9397" xr:uid="{00000000-0005-0000-0000-0000131F0000}"/>
    <cellStyle name="Normal 5 3 3 3 2 4" xfId="5068" xr:uid="{00000000-0005-0000-0000-0000141F0000}"/>
    <cellStyle name="Normal 5 3 3 3 2 4 2" xfId="10356" xr:uid="{00000000-0005-0000-0000-0000151F0000}"/>
    <cellStyle name="Normal 5 3 3 3 2 5" xfId="6710" xr:uid="{00000000-0005-0000-0000-0000161F0000}"/>
    <cellStyle name="Normal 5 3 3 3 3" xfId="1940" xr:uid="{00000000-0005-0000-0000-0000171F0000}"/>
    <cellStyle name="Normal 5 3 3 3 3 2" xfId="5711" xr:uid="{00000000-0005-0000-0000-0000181F0000}"/>
    <cellStyle name="Normal 5 3 3 3 3 2 2" xfId="10999" xr:uid="{00000000-0005-0000-0000-0000191F0000}"/>
    <cellStyle name="Normal 5 3 3 3 3 3" xfId="7353" xr:uid="{00000000-0005-0000-0000-00001A1F0000}"/>
    <cellStyle name="Normal 5 3 3 3 4" xfId="2492" xr:uid="{00000000-0005-0000-0000-00001B1F0000}"/>
    <cellStyle name="Normal 5 3 3 3 4 2" xfId="7850" xr:uid="{00000000-0005-0000-0000-00001C1F0000}"/>
    <cellStyle name="Normal 5 3 3 3 5" xfId="3606" xr:uid="{00000000-0005-0000-0000-00001D1F0000}"/>
    <cellStyle name="Normal 5 3 3 3 5 2" xfId="8898" xr:uid="{00000000-0005-0000-0000-00001E1F0000}"/>
    <cellStyle name="Normal 5 3 3 3 6" xfId="5067" xr:uid="{00000000-0005-0000-0000-00001F1F0000}"/>
    <cellStyle name="Normal 5 3 3 3 6 2" xfId="10355" xr:uid="{00000000-0005-0000-0000-0000201F0000}"/>
    <cellStyle name="Normal 5 3 3 3 7" xfId="6709" xr:uid="{00000000-0005-0000-0000-0000211F0000}"/>
    <cellStyle name="Normal 5 3 3 4" xfId="1252" xr:uid="{00000000-0005-0000-0000-0000221F0000}"/>
    <cellStyle name="Normal 5 3 3 4 2" xfId="2994" xr:uid="{00000000-0005-0000-0000-0000231F0000}"/>
    <cellStyle name="Normal 5 3 3 4 2 2" xfId="8347" xr:uid="{00000000-0005-0000-0000-0000241F0000}"/>
    <cellStyle name="Normal 5 3 3 4 3" xfId="4104" xr:uid="{00000000-0005-0000-0000-0000251F0000}"/>
    <cellStyle name="Normal 5 3 3 4 3 2" xfId="9395" xr:uid="{00000000-0005-0000-0000-0000261F0000}"/>
    <cellStyle name="Normal 5 3 3 4 4" xfId="5069" xr:uid="{00000000-0005-0000-0000-0000271F0000}"/>
    <cellStyle name="Normal 5 3 3 4 4 2" xfId="10357" xr:uid="{00000000-0005-0000-0000-0000281F0000}"/>
    <cellStyle name="Normal 5 3 3 4 5" xfId="6711" xr:uid="{00000000-0005-0000-0000-0000291F0000}"/>
    <cellStyle name="Normal 5 3 3 5" xfId="1938" xr:uid="{00000000-0005-0000-0000-00002A1F0000}"/>
    <cellStyle name="Normal 5 3 3 5 2" xfId="5709" xr:uid="{00000000-0005-0000-0000-00002B1F0000}"/>
    <cellStyle name="Normal 5 3 3 5 2 2" xfId="10997" xr:uid="{00000000-0005-0000-0000-00002C1F0000}"/>
    <cellStyle name="Normal 5 3 3 5 3" xfId="7351" xr:uid="{00000000-0005-0000-0000-00002D1F0000}"/>
    <cellStyle name="Normal 5 3 3 6" xfId="2490" xr:uid="{00000000-0005-0000-0000-00002E1F0000}"/>
    <cellStyle name="Normal 5 3 3 6 2" xfId="7848" xr:uid="{00000000-0005-0000-0000-00002F1F0000}"/>
    <cellStyle name="Normal 5 3 3 7" xfId="3604" xr:uid="{00000000-0005-0000-0000-0000301F0000}"/>
    <cellStyle name="Normal 5 3 3 7 2" xfId="8896" xr:uid="{00000000-0005-0000-0000-0000311F0000}"/>
    <cellStyle name="Normal 5 3 3 8" xfId="5064" xr:uid="{00000000-0005-0000-0000-0000321F0000}"/>
    <cellStyle name="Normal 5 3 3 8 2" xfId="10352" xr:uid="{00000000-0005-0000-0000-0000331F0000}"/>
    <cellStyle name="Normal 5 3 3 9" xfId="6706" xr:uid="{00000000-0005-0000-0000-0000341F0000}"/>
    <cellStyle name="Normal 5 3 4" xfId="1253" xr:uid="{00000000-0005-0000-0000-0000351F0000}"/>
    <cellStyle name="Normal 5 3 4 2" xfId="1254" xr:uid="{00000000-0005-0000-0000-0000361F0000}"/>
    <cellStyle name="Normal 5 3 4 2 2" xfId="2997" xr:uid="{00000000-0005-0000-0000-0000371F0000}"/>
    <cellStyle name="Normal 5 3 4 2 2 2" xfId="8350" xr:uid="{00000000-0005-0000-0000-0000381F0000}"/>
    <cellStyle name="Normal 5 3 4 2 3" xfId="4107" xr:uid="{00000000-0005-0000-0000-0000391F0000}"/>
    <cellStyle name="Normal 5 3 4 2 3 2" xfId="9398" xr:uid="{00000000-0005-0000-0000-00003A1F0000}"/>
    <cellStyle name="Normal 5 3 4 2 4" xfId="5071" xr:uid="{00000000-0005-0000-0000-00003B1F0000}"/>
    <cellStyle name="Normal 5 3 4 2 4 2" xfId="10359" xr:uid="{00000000-0005-0000-0000-00003C1F0000}"/>
    <cellStyle name="Normal 5 3 4 2 5" xfId="6713" xr:uid="{00000000-0005-0000-0000-00003D1F0000}"/>
    <cellStyle name="Normal 5 3 4 3" xfId="1941" xr:uid="{00000000-0005-0000-0000-00003E1F0000}"/>
    <cellStyle name="Normal 5 3 4 3 2" xfId="5712" xr:uid="{00000000-0005-0000-0000-00003F1F0000}"/>
    <cellStyle name="Normal 5 3 4 3 2 2" xfId="11000" xr:uid="{00000000-0005-0000-0000-0000401F0000}"/>
    <cellStyle name="Normal 5 3 4 3 3" xfId="7354" xr:uid="{00000000-0005-0000-0000-0000411F0000}"/>
    <cellStyle name="Normal 5 3 4 4" xfId="2493" xr:uid="{00000000-0005-0000-0000-0000421F0000}"/>
    <cellStyle name="Normal 5 3 4 4 2" xfId="7851" xr:uid="{00000000-0005-0000-0000-0000431F0000}"/>
    <cellStyle name="Normal 5 3 4 5" xfId="3607" xr:uid="{00000000-0005-0000-0000-0000441F0000}"/>
    <cellStyle name="Normal 5 3 4 5 2" xfId="8899" xr:uid="{00000000-0005-0000-0000-0000451F0000}"/>
    <cellStyle name="Normal 5 3 4 6" xfId="5070" xr:uid="{00000000-0005-0000-0000-0000461F0000}"/>
    <cellStyle name="Normal 5 3 4 6 2" xfId="10358" xr:uid="{00000000-0005-0000-0000-0000471F0000}"/>
    <cellStyle name="Normal 5 3 4 7" xfId="6712" xr:uid="{00000000-0005-0000-0000-0000481F0000}"/>
    <cellStyle name="Normal 5 3 5" xfId="1255" xr:uid="{00000000-0005-0000-0000-0000491F0000}"/>
    <cellStyle name="Normal 5 3 5 2" xfId="1256" xr:uid="{00000000-0005-0000-0000-00004A1F0000}"/>
    <cellStyle name="Normal 5 3 5 2 2" xfId="2998" xr:uid="{00000000-0005-0000-0000-00004B1F0000}"/>
    <cellStyle name="Normal 5 3 5 2 2 2" xfId="8351" xr:uid="{00000000-0005-0000-0000-00004C1F0000}"/>
    <cellStyle name="Normal 5 3 5 2 3" xfId="4108" xr:uid="{00000000-0005-0000-0000-00004D1F0000}"/>
    <cellStyle name="Normal 5 3 5 2 3 2" xfId="9399" xr:uid="{00000000-0005-0000-0000-00004E1F0000}"/>
    <cellStyle name="Normal 5 3 5 2 4" xfId="5073" xr:uid="{00000000-0005-0000-0000-00004F1F0000}"/>
    <cellStyle name="Normal 5 3 5 2 4 2" xfId="10361" xr:uid="{00000000-0005-0000-0000-0000501F0000}"/>
    <cellStyle name="Normal 5 3 5 2 5" xfId="6715" xr:uid="{00000000-0005-0000-0000-0000511F0000}"/>
    <cellStyle name="Normal 5 3 5 3" xfId="1942" xr:uid="{00000000-0005-0000-0000-0000521F0000}"/>
    <cellStyle name="Normal 5 3 5 3 2" xfId="5713" xr:uid="{00000000-0005-0000-0000-0000531F0000}"/>
    <cellStyle name="Normal 5 3 5 3 2 2" xfId="11001" xr:uid="{00000000-0005-0000-0000-0000541F0000}"/>
    <cellStyle name="Normal 5 3 5 3 3" xfId="7355" xr:uid="{00000000-0005-0000-0000-0000551F0000}"/>
    <cellStyle name="Normal 5 3 5 4" xfId="2494" xr:uid="{00000000-0005-0000-0000-0000561F0000}"/>
    <cellStyle name="Normal 5 3 5 4 2" xfId="7852" xr:uid="{00000000-0005-0000-0000-0000571F0000}"/>
    <cellStyle name="Normal 5 3 5 5" xfId="3608" xr:uid="{00000000-0005-0000-0000-0000581F0000}"/>
    <cellStyle name="Normal 5 3 5 5 2" xfId="8900" xr:uid="{00000000-0005-0000-0000-0000591F0000}"/>
    <cellStyle name="Normal 5 3 5 6" xfId="5072" xr:uid="{00000000-0005-0000-0000-00005A1F0000}"/>
    <cellStyle name="Normal 5 3 5 6 2" xfId="10360" xr:uid="{00000000-0005-0000-0000-00005B1F0000}"/>
    <cellStyle name="Normal 5 3 5 7" xfId="6714" xr:uid="{00000000-0005-0000-0000-00005C1F0000}"/>
    <cellStyle name="Normal 5 3 6" xfId="1257" xr:uid="{00000000-0005-0000-0000-00005D1F0000}"/>
    <cellStyle name="Normal 5 3 6 2" xfId="2987" xr:uid="{00000000-0005-0000-0000-00005E1F0000}"/>
    <cellStyle name="Normal 5 3 6 2 2" xfId="8340" xr:uid="{00000000-0005-0000-0000-00005F1F0000}"/>
    <cellStyle name="Normal 5 3 6 3" xfId="4097" xr:uid="{00000000-0005-0000-0000-0000601F0000}"/>
    <cellStyle name="Normal 5 3 6 3 2" xfId="9388" xr:uid="{00000000-0005-0000-0000-0000611F0000}"/>
    <cellStyle name="Normal 5 3 6 4" xfId="5074" xr:uid="{00000000-0005-0000-0000-0000621F0000}"/>
    <cellStyle name="Normal 5 3 6 4 2" xfId="10362" xr:uid="{00000000-0005-0000-0000-0000631F0000}"/>
    <cellStyle name="Normal 5 3 6 5" xfId="6716" xr:uid="{00000000-0005-0000-0000-0000641F0000}"/>
    <cellStyle name="Normal 5 3 7" xfId="1931" xr:uid="{00000000-0005-0000-0000-0000651F0000}"/>
    <cellStyle name="Normal 5 3 7 2" xfId="5702" xr:uid="{00000000-0005-0000-0000-0000661F0000}"/>
    <cellStyle name="Normal 5 3 7 2 2" xfId="10990" xr:uid="{00000000-0005-0000-0000-0000671F0000}"/>
    <cellStyle name="Normal 5 3 7 3" xfId="7344" xr:uid="{00000000-0005-0000-0000-0000681F0000}"/>
    <cellStyle name="Normal 5 3 8" xfId="2483" xr:uid="{00000000-0005-0000-0000-0000691F0000}"/>
    <cellStyle name="Normal 5 3 8 2" xfId="5882" xr:uid="{00000000-0005-0000-0000-00006A1F0000}"/>
    <cellStyle name="Normal 5 3 8 3" xfId="7841" xr:uid="{00000000-0005-0000-0000-00006B1F0000}"/>
    <cellStyle name="Normal 5 3 9" xfId="3199" xr:uid="{00000000-0005-0000-0000-00006C1F0000}"/>
    <cellStyle name="Normal 5 4" xfId="1258" xr:uid="{00000000-0005-0000-0000-00006D1F0000}"/>
    <cellStyle name="Normal 5 4 10" xfId="5075" xr:uid="{00000000-0005-0000-0000-00006E1F0000}"/>
    <cellStyle name="Normal 5 4 10 2" xfId="10363" xr:uid="{00000000-0005-0000-0000-00006F1F0000}"/>
    <cellStyle name="Normal 5 4 11" xfId="6717" xr:uid="{00000000-0005-0000-0000-0000701F0000}"/>
    <cellStyle name="Normal 5 4 2" xfId="1259" xr:uid="{00000000-0005-0000-0000-0000711F0000}"/>
    <cellStyle name="Normal 5 4 2 10" xfId="6718" xr:uid="{00000000-0005-0000-0000-0000721F0000}"/>
    <cellStyle name="Normal 5 4 2 2" xfId="1260" xr:uid="{00000000-0005-0000-0000-0000731F0000}"/>
    <cellStyle name="Normal 5 4 2 2 2" xfId="1261" xr:uid="{00000000-0005-0000-0000-0000741F0000}"/>
    <cellStyle name="Normal 5 4 2 2 2 2" xfId="1262" xr:uid="{00000000-0005-0000-0000-0000751F0000}"/>
    <cellStyle name="Normal 5 4 2 2 2 2 2" xfId="3002" xr:uid="{00000000-0005-0000-0000-0000761F0000}"/>
    <cellStyle name="Normal 5 4 2 2 2 2 2 2" xfId="8355" xr:uid="{00000000-0005-0000-0000-0000771F0000}"/>
    <cellStyle name="Normal 5 4 2 2 2 2 3" xfId="4112" xr:uid="{00000000-0005-0000-0000-0000781F0000}"/>
    <cellStyle name="Normal 5 4 2 2 2 2 3 2" xfId="9403" xr:uid="{00000000-0005-0000-0000-0000791F0000}"/>
    <cellStyle name="Normal 5 4 2 2 2 2 4" xfId="5079" xr:uid="{00000000-0005-0000-0000-00007A1F0000}"/>
    <cellStyle name="Normal 5 4 2 2 2 2 4 2" xfId="10367" xr:uid="{00000000-0005-0000-0000-00007B1F0000}"/>
    <cellStyle name="Normal 5 4 2 2 2 2 5" xfId="6721" xr:uid="{00000000-0005-0000-0000-00007C1F0000}"/>
    <cellStyle name="Normal 5 4 2 2 2 3" xfId="1946" xr:uid="{00000000-0005-0000-0000-00007D1F0000}"/>
    <cellStyle name="Normal 5 4 2 2 2 3 2" xfId="5717" xr:uid="{00000000-0005-0000-0000-00007E1F0000}"/>
    <cellStyle name="Normal 5 4 2 2 2 3 2 2" xfId="11005" xr:uid="{00000000-0005-0000-0000-00007F1F0000}"/>
    <cellStyle name="Normal 5 4 2 2 2 3 3" xfId="7359" xr:uid="{00000000-0005-0000-0000-0000801F0000}"/>
    <cellStyle name="Normal 5 4 2 2 2 4" xfId="2498" xr:uid="{00000000-0005-0000-0000-0000811F0000}"/>
    <cellStyle name="Normal 5 4 2 2 2 4 2" xfId="7856" xr:uid="{00000000-0005-0000-0000-0000821F0000}"/>
    <cellStyle name="Normal 5 4 2 2 2 5" xfId="3612" xr:uid="{00000000-0005-0000-0000-0000831F0000}"/>
    <cellStyle name="Normal 5 4 2 2 2 5 2" xfId="8904" xr:uid="{00000000-0005-0000-0000-0000841F0000}"/>
    <cellStyle name="Normal 5 4 2 2 2 6" xfId="5078" xr:uid="{00000000-0005-0000-0000-0000851F0000}"/>
    <cellStyle name="Normal 5 4 2 2 2 6 2" xfId="10366" xr:uid="{00000000-0005-0000-0000-0000861F0000}"/>
    <cellStyle name="Normal 5 4 2 2 2 7" xfId="6720" xr:uid="{00000000-0005-0000-0000-0000871F0000}"/>
    <cellStyle name="Normal 5 4 2 2 3" xfId="1263" xr:uid="{00000000-0005-0000-0000-0000881F0000}"/>
    <cellStyle name="Normal 5 4 2 2 3 2" xfId="1264" xr:uid="{00000000-0005-0000-0000-0000891F0000}"/>
    <cellStyle name="Normal 5 4 2 2 3 2 2" xfId="3003" xr:uid="{00000000-0005-0000-0000-00008A1F0000}"/>
    <cellStyle name="Normal 5 4 2 2 3 2 2 2" xfId="8356" xr:uid="{00000000-0005-0000-0000-00008B1F0000}"/>
    <cellStyle name="Normal 5 4 2 2 3 2 3" xfId="4113" xr:uid="{00000000-0005-0000-0000-00008C1F0000}"/>
    <cellStyle name="Normal 5 4 2 2 3 2 3 2" xfId="9404" xr:uid="{00000000-0005-0000-0000-00008D1F0000}"/>
    <cellStyle name="Normal 5 4 2 2 3 2 4" xfId="5081" xr:uid="{00000000-0005-0000-0000-00008E1F0000}"/>
    <cellStyle name="Normal 5 4 2 2 3 2 4 2" xfId="10369" xr:uid="{00000000-0005-0000-0000-00008F1F0000}"/>
    <cellStyle name="Normal 5 4 2 2 3 2 5" xfId="6723" xr:uid="{00000000-0005-0000-0000-0000901F0000}"/>
    <cellStyle name="Normal 5 4 2 2 3 3" xfId="1947" xr:uid="{00000000-0005-0000-0000-0000911F0000}"/>
    <cellStyle name="Normal 5 4 2 2 3 3 2" xfId="5718" xr:uid="{00000000-0005-0000-0000-0000921F0000}"/>
    <cellStyle name="Normal 5 4 2 2 3 3 2 2" xfId="11006" xr:uid="{00000000-0005-0000-0000-0000931F0000}"/>
    <cellStyle name="Normal 5 4 2 2 3 3 3" xfId="7360" xr:uid="{00000000-0005-0000-0000-0000941F0000}"/>
    <cellStyle name="Normal 5 4 2 2 3 4" xfId="2499" xr:uid="{00000000-0005-0000-0000-0000951F0000}"/>
    <cellStyle name="Normal 5 4 2 2 3 4 2" xfId="7857" xr:uid="{00000000-0005-0000-0000-0000961F0000}"/>
    <cellStyle name="Normal 5 4 2 2 3 5" xfId="3613" xr:uid="{00000000-0005-0000-0000-0000971F0000}"/>
    <cellStyle name="Normal 5 4 2 2 3 5 2" xfId="8905" xr:uid="{00000000-0005-0000-0000-0000981F0000}"/>
    <cellStyle name="Normal 5 4 2 2 3 6" xfId="5080" xr:uid="{00000000-0005-0000-0000-0000991F0000}"/>
    <cellStyle name="Normal 5 4 2 2 3 6 2" xfId="10368" xr:uid="{00000000-0005-0000-0000-00009A1F0000}"/>
    <cellStyle name="Normal 5 4 2 2 3 7" xfId="6722" xr:uid="{00000000-0005-0000-0000-00009B1F0000}"/>
    <cellStyle name="Normal 5 4 2 2 4" xfId="1265" xr:uid="{00000000-0005-0000-0000-00009C1F0000}"/>
    <cellStyle name="Normal 5 4 2 2 4 2" xfId="3001" xr:uid="{00000000-0005-0000-0000-00009D1F0000}"/>
    <cellStyle name="Normal 5 4 2 2 4 2 2" xfId="8354" xr:uid="{00000000-0005-0000-0000-00009E1F0000}"/>
    <cellStyle name="Normal 5 4 2 2 4 3" xfId="4111" xr:uid="{00000000-0005-0000-0000-00009F1F0000}"/>
    <cellStyle name="Normal 5 4 2 2 4 3 2" xfId="9402" xr:uid="{00000000-0005-0000-0000-0000A01F0000}"/>
    <cellStyle name="Normal 5 4 2 2 4 4" xfId="5082" xr:uid="{00000000-0005-0000-0000-0000A11F0000}"/>
    <cellStyle name="Normal 5 4 2 2 4 4 2" xfId="10370" xr:uid="{00000000-0005-0000-0000-0000A21F0000}"/>
    <cellStyle name="Normal 5 4 2 2 4 5" xfId="6724" xr:uid="{00000000-0005-0000-0000-0000A31F0000}"/>
    <cellStyle name="Normal 5 4 2 2 5" xfId="1945" xr:uid="{00000000-0005-0000-0000-0000A41F0000}"/>
    <cellStyle name="Normal 5 4 2 2 5 2" xfId="5716" xr:uid="{00000000-0005-0000-0000-0000A51F0000}"/>
    <cellStyle name="Normal 5 4 2 2 5 2 2" xfId="11004" xr:uid="{00000000-0005-0000-0000-0000A61F0000}"/>
    <cellStyle name="Normal 5 4 2 2 5 3" xfId="7358" xr:uid="{00000000-0005-0000-0000-0000A71F0000}"/>
    <cellStyle name="Normal 5 4 2 2 6" xfId="2497" xr:uid="{00000000-0005-0000-0000-0000A81F0000}"/>
    <cellStyle name="Normal 5 4 2 2 6 2" xfId="7855" xr:uid="{00000000-0005-0000-0000-0000A91F0000}"/>
    <cellStyle name="Normal 5 4 2 2 7" xfId="3611" xr:uid="{00000000-0005-0000-0000-0000AA1F0000}"/>
    <cellStyle name="Normal 5 4 2 2 7 2" xfId="8903" xr:uid="{00000000-0005-0000-0000-0000AB1F0000}"/>
    <cellStyle name="Normal 5 4 2 2 8" xfId="5077" xr:uid="{00000000-0005-0000-0000-0000AC1F0000}"/>
    <cellStyle name="Normal 5 4 2 2 8 2" xfId="10365" xr:uid="{00000000-0005-0000-0000-0000AD1F0000}"/>
    <cellStyle name="Normal 5 4 2 2 9" xfId="6719" xr:uid="{00000000-0005-0000-0000-0000AE1F0000}"/>
    <cellStyle name="Normal 5 4 2 3" xfId="1266" xr:uid="{00000000-0005-0000-0000-0000AF1F0000}"/>
    <cellStyle name="Normal 5 4 2 3 2" xfId="1267" xr:uid="{00000000-0005-0000-0000-0000B01F0000}"/>
    <cellStyle name="Normal 5 4 2 3 2 2" xfId="3004" xr:uid="{00000000-0005-0000-0000-0000B11F0000}"/>
    <cellStyle name="Normal 5 4 2 3 2 2 2" xfId="8357" xr:uid="{00000000-0005-0000-0000-0000B21F0000}"/>
    <cellStyle name="Normal 5 4 2 3 2 3" xfId="4114" xr:uid="{00000000-0005-0000-0000-0000B31F0000}"/>
    <cellStyle name="Normal 5 4 2 3 2 3 2" xfId="9405" xr:uid="{00000000-0005-0000-0000-0000B41F0000}"/>
    <cellStyle name="Normal 5 4 2 3 2 4" xfId="5084" xr:uid="{00000000-0005-0000-0000-0000B51F0000}"/>
    <cellStyle name="Normal 5 4 2 3 2 4 2" xfId="10372" xr:uid="{00000000-0005-0000-0000-0000B61F0000}"/>
    <cellStyle name="Normal 5 4 2 3 2 5" xfId="6726" xr:uid="{00000000-0005-0000-0000-0000B71F0000}"/>
    <cellStyle name="Normal 5 4 2 3 3" xfId="1948" xr:uid="{00000000-0005-0000-0000-0000B81F0000}"/>
    <cellStyle name="Normal 5 4 2 3 3 2" xfId="5719" xr:uid="{00000000-0005-0000-0000-0000B91F0000}"/>
    <cellStyle name="Normal 5 4 2 3 3 2 2" xfId="11007" xr:uid="{00000000-0005-0000-0000-0000BA1F0000}"/>
    <cellStyle name="Normal 5 4 2 3 3 3" xfId="7361" xr:uid="{00000000-0005-0000-0000-0000BB1F0000}"/>
    <cellStyle name="Normal 5 4 2 3 4" xfId="2500" xr:uid="{00000000-0005-0000-0000-0000BC1F0000}"/>
    <cellStyle name="Normal 5 4 2 3 4 2" xfId="7858" xr:uid="{00000000-0005-0000-0000-0000BD1F0000}"/>
    <cellStyle name="Normal 5 4 2 3 5" xfId="3614" xr:uid="{00000000-0005-0000-0000-0000BE1F0000}"/>
    <cellStyle name="Normal 5 4 2 3 5 2" xfId="8906" xr:uid="{00000000-0005-0000-0000-0000BF1F0000}"/>
    <cellStyle name="Normal 5 4 2 3 6" xfId="5083" xr:uid="{00000000-0005-0000-0000-0000C01F0000}"/>
    <cellStyle name="Normal 5 4 2 3 6 2" xfId="10371" xr:uid="{00000000-0005-0000-0000-0000C11F0000}"/>
    <cellStyle name="Normal 5 4 2 3 7" xfId="6725" xr:uid="{00000000-0005-0000-0000-0000C21F0000}"/>
    <cellStyle name="Normal 5 4 2 4" xfId="1268" xr:uid="{00000000-0005-0000-0000-0000C31F0000}"/>
    <cellStyle name="Normal 5 4 2 4 2" xfId="1269" xr:uid="{00000000-0005-0000-0000-0000C41F0000}"/>
    <cellStyle name="Normal 5 4 2 4 2 2" xfId="3005" xr:uid="{00000000-0005-0000-0000-0000C51F0000}"/>
    <cellStyle name="Normal 5 4 2 4 2 2 2" xfId="8358" xr:uid="{00000000-0005-0000-0000-0000C61F0000}"/>
    <cellStyle name="Normal 5 4 2 4 2 3" xfId="4115" xr:uid="{00000000-0005-0000-0000-0000C71F0000}"/>
    <cellStyle name="Normal 5 4 2 4 2 3 2" xfId="9406" xr:uid="{00000000-0005-0000-0000-0000C81F0000}"/>
    <cellStyle name="Normal 5 4 2 4 2 4" xfId="5086" xr:uid="{00000000-0005-0000-0000-0000C91F0000}"/>
    <cellStyle name="Normal 5 4 2 4 2 4 2" xfId="10374" xr:uid="{00000000-0005-0000-0000-0000CA1F0000}"/>
    <cellStyle name="Normal 5 4 2 4 2 5" xfId="6728" xr:uid="{00000000-0005-0000-0000-0000CB1F0000}"/>
    <cellStyle name="Normal 5 4 2 4 3" xfId="1949" xr:uid="{00000000-0005-0000-0000-0000CC1F0000}"/>
    <cellStyle name="Normal 5 4 2 4 3 2" xfId="5720" xr:uid="{00000000-0005-0000-0000-0000CD1F0000}"/>
    <cellStyle name="Normal 5 4 2 4 3 2 2" xfId="11008" xr:uid="{00000000-0005-0000-0000-0000CE1F0000}"/>
    <cellStyle name="Normal 5 4 2 4 3 3" xfId="7362" xr:uid="{00000000-0005-0000-0000-0000CF1F0000}"/>
    <cellStyle name="Normal 5 4 2 4 4" xfId="2501" xr:uid="{00000000-0005-0000-0000-0000D01F0000}"/>
    <cellStyle name="Normal 5 4 2 4 4 2" xfId="7859" xr:uid="{00000000-0005-0000-0000-0000D11F0000}"/>
    <cellStyle name="Normal 5 4 2 4 5" xfId="3615" xr:uid="{00000000-0005-0000-0000-0000D21F0000}"/>
    <cellStyle name="Normal 5 4 2 4 5 2" xfId="8907" xr:uid="{00000000-0005-0000-0000-0000D31F0000}"/>
    <cellStyle name="Normal 5 4 2 4 6" xfId="5085" xr:uid="{00000000-0005-0000-0000-0000D41F0000}"/>
    <cellStyle name="Normal 5 4 2 4 6 2" xfId="10373" xr:uid="{00000000-0005-0000-0000-0000D51F0000}"/>
    <cellStyle name="Normal 5 4 2 4 7" xfId="6727" xr:uid="{00000000-0005-0000-0000-0000D61F0000}"/>
    <cellStyle name="Normal 5 4 2 5" xfId="1270" xr:uid="{00000000-0005-0000-0000-0000D71F0000}"/>
    <cellStyle name="Normal 5 4 2 5 2" xfId="3000" xr:uid="{00000000-0005-0000-0000-0000D81F0000}"/>
    <cellStyle name="Normal 5 4 2 5 2 2" xfId="8353" xr:uid="{00000000-0005-0000-0000-0000D91F0000}"/>
    <cellStyle name="Normal 5 4 2 5 3" xfId="4110" xr:uid="{00000000-0005-0000-0000-0000DA1F0000}"/>
    <cellStyle name="Normal 5 4 2 5 3 2" xfId="9401" xr:uid="{00000000-0005-0000-0000-0000DB1F0000}"/>
    <cellStyle name="Normal 5 4 2 5 4" xfId="5087" xr:uid="{00000000-0005-0000-0000-0000DC1F0000}"/>
    <cellStyle name="Normal 5 4 2 5 4 2" xfId="10375" xr:uid="{00000000-0005-0000-0000-0000DD1F0000}"/>
    <cellStyle name="Normal 5 4 2 5 5" xfId="6729" xr:uid="{00000000-0005-0000-0000-0000DE1F0000}"/>
    <cellStyle name="Normal 5 4 2 6" xfId="1944" xr:uid="{00000000-0005-0000-0000-0000DF1F0000}"/>
    <cellStyle name="Normal 5 4 2 6 2" xfId="5715" xr:uid="{00000000-0005-0000-0000-0000E01F0000}"/>
    <cellStyle name="Normal 5 4 2 6 2 2" xfId="11003" xr:uid="{00000000-0005-0000-0000-0000E11F0000}"/>
    <cellStyle name="Normal 5 4 2 6 3" xfId="7357" xr:uid="{00000000-0005-0000-0000-0000E21F0000}"/>
    <cellStyle name="Normal 5 4 2 7" xfId="2496" xr:uid="{00000000-0005-0000-0000-0000E31F0000}"/>
    <cellStyle name="Normal 5 4 2 7 2" xfId="7854" xr:uid="{00000000-0005-0000-0000-0000E41F0000}"/>
    <cellStyle name="Normal 5 4 2 8" xfId="3610" xr:uid="{00000000-0005-0000-0000-0000E51F0000}"/>
    <cellStyle name="Normal 5 4 2 8 2" xfId="8902" xr:uid="{00000000-0005-0000-0000-0000E61F0000}"/>
    <cellStyle name="Normal 5 4 2 9" xfId="5076" xr:uid="{00000000-0005-0000-0000-0000E71F0000}"/>
    <cellStyle name="Normal 5 4 2 9 2" xfId="10364" xr:uid="{00000000-0005-0000-0000-0000E81F0000}"/>
    <cellStyle name="Normal 5 4 3" xfId="1271" xr:uid="{00000000-0005-0000-0000-0000E91F0000}"/>
    <cellStyle name="Normal 5 4 3 2" xfId="1272" xr:uid="{00000000-0005-0000-0000-0000EA1F0000}"/>
    <cellStyle name="Normal 5 4 3 2 2" xfId="1273" xr:uid="{00000000-0005-0000-0000-0000EB1F0000}"/>
    <cellStyle name="Normal 5 4 3 2 2 2" xfId="3007" xr:uid="{00000000-0005-0000-0000-0000EC1F0000}"/>
    <cellStyle name="Normal 5 4 3 2 2 2 2" xfId="8360" xr:uid="{00000000-0005-0000-0000-0000ED1F0000}"/>
    <cellStyle name="Normal 5 4 3 2 2 3" xfId="4117" xr:uid="{00000000-0005-0000-0000-0000EE1F0000}"/>
    <cellStyle name="Normal 5 4 3 2 2 3 2" xfId="9408" xr:uid="{00000000-0005-0000-0000-0000EF1F0000}"/>
    <cellStyle name="Normal 5 4 3 2 2 4" xfId="5090" xr:uid="{00000000-0005-0000-0000-0000F01F0000}"/>
    <cellStyle name="Normal 5 4 3 2 2 4 2" xfId="10378" xr:uid="{00000000-0005-0000-0000-0000F11F0000}"/>
    <cellStyle name="Normal 5 4 3 2 2 5" xfId="6732" xr:uid="{00000000-0005-0000-0000-0000F21F0000}"/>
    <cellStyle name="Normal 5 4 3 2 3" xfId="1951" xr:uid="{00000000-0005-0000-0000-0000F31F0000}"/>
    <cellStyle name="Normal 5 4 3 2 3 2" xfId="5722" xr:uid="{00000000-0005-0000-0000-0000F41F0000}"/>
    <cellStyle name="Normal 5 4 3 2 3 2 2" xfId="11010" xr:uid="{00000000-0005-0000-0000-0000F51F0000}"/>
    <cellStyle name="Normal 5 4 3 2 3 3" xfId="7364" xr:uid="{00000000-0005-0000-0000-0000F61F0000}"/>
    <cellStyle name="Normal 5 4 3 2 4" xfId="2503" xr:uid="{00000000-0005-0000-0000-0000F71F0000}"/>
    <cellStyle name="Normal 5 4 3 2 4 2" xfId="7861" xr:uid="{00000000-0005-0000-0000-0000F81F0000}"/>
    <cellStyle name="Normal 5 4 3 2 5" xfId="3617" xr:uid="{00000000-0005-0000-0000-0000F91F0000}"/>
    <cellStyle name="Normal 5 4 3 2 5 2" xfId="8909" xr:uid="{00000000-0005-0000-0000-0000FA1F0000}"/>
    <cellStyle name="Normal 5 4 3 2 6" xfId="5089" xr:uid="{00000000-0005-0000-0000-0000FB1F0000}"/>
    <cellStyle name="Normal 5 4 3 2 6 2" xfId="10377" xr:uid="{00000000-0005-0000-0000-0000FC1F0000}"/>
    <cellStyle name="Normal 5 4 3 2 7" xfId="6731" xr:uid="{00000000-0005-0000-0000-0000FD1F0000}"/>
    <cellStyle name="Normal 5 4 3 3" xfId="1274" xr:uid="{00000000-0005-0000-0000-0000FE1F0000}"/>
    <cellStyle name="Normal 5 4 3 3 2" xfId="1275" xr:uid="{00000000-0005-0000-0000-0000FF1F0000}"/>
    <cellStyle name="Normal 5 4 3 3 2 2" xfId="3008" xr:uid="{00000000-0005-0000-0000-000000200000}"/>
    <cellStyle name="Normal 5 4 3 3 2 2 2" xfId="8361" xr:uid="{00000000-0005-0000-0000-000001200000}"/>
    <cellStyle name="Normal 5 4 3 3 2 3" xfId="4118" xr:uid="{00000000-0005-0000-0000-000002200000}"/>
    <cellStyle name="Normal 5 4 3 3 2 3 2" xfId="9409" xr:uid="{00000000-0005-0000-0000-000003200000}"/>
    <cellStyle name="Normal 5 4 3 3 2 4" xfId="5092" xr:uid="{00000000-0005-0000-0000-000004200000}"/>
    <cellStyle name="Normal 5 4 3 3 2 4 2" xfId="10380" xr:uid="{00000000-0005-0000-0000-000005200000}"/>
    <cellStyle name="Normal 5 4 3 3 2 5" xfId="6734" xr:uid="{00000000-0005-0000-0000-000006200000}"/>
    <cellStyle name="Normal 5 4 3 3 3" xfId="1952" xr:uid="{00000000-0005-0000-0000-000007200000}"/>
    <cellStyle name="Normal 5 4 3 3 3 2" xfId="5723" xr:uid="{00000000-0005-0000-0000-000008200000}"/>
    <cellStyle name="Normal 5 4 3 3 3 2 2" xfId="11011" xr:uid="{00000000-0005-0000-0000-000009200000}"/>
    <cellStyle name="Normal 5 4 3 3 3 3" xfId="7365" xr:uid="{00000000-0005-0000-0000-00000A200000}"/>
    <cellStyle name="Normal 5 4 3 3 4" xfId="2504" xr:uid="{00000000-0005-0000-0000-00000B200000}"/>
    <cellStyle name="Normal 5 4 3 3 4 2" xfId="7862" xr:uid="{00000000-0005-0000-0000-00000C200000}"/>
    <cellStyle name="Normal 5 4 3 3 5" xfId="3618" xr:uid="{00000000-0005-0000-0000-00000D200000}"/>
    <cellStyle name="Normal 5 4 3 3 5 2" xfId="8910" xr:uid="{00000000-0005-0000-0000-00000E200000}"/>
    <cellStyle name="Normal 5 4 3 3 6" xfId="5091" xr:uid="{00000000-0005-0000-0000-00000F200000}"/>
    <cellStyle name="Normal 5 4 3 3 6 2" xfId="10379" xr:uid="{00000000-0005-0000-0000-000010200000}"/>
    <cellStyle name="Normal 5 4 3 3 7" xfId="6733" xr:uid="{00000000-0005-0000-0000-000011200000}"/>
    <cellStyle name="Normal 5 4 3 4" xfId="1276" xr:uid="{00000000-0005-0000-0000-000012200000}"/>
    <cellStyle name="Normal 5 4 3 4 2" xfId="3006" xr:uid="{00000000-0005-0000-0000-000013200000}"/>
    <cellStyle name="Normal 5 4 3 4 2 2" xfId="8359" xr:uid="{00000000-0005-0000-0000-000014200000}"/>
    <cellStyle name="Normal 5 4 3 4 3" xfId="4116" xr:uid="{00000000-0005-0000-0000-000015200000}"/>
    <cellStyle name="Normal 5 4 3 4 3 2" xfId="9407" xr:uid="{00000000-0005-0000-0000-000016200000}"/>
    <cellStyle name="Normal 5 4 3 4 4" xfId="5093" xr:uid="{00000000-0005-0000-0000-000017200000}"/>
    <cellStyle name="Normal 5 4 3 4 4 2" xfId="10381" xr:uid="{00000000-0005-0000-0000-000018200000}"/>
    <cellStyle name="Normal 5 4 3 4 5" xfId="6735" xr:uid="{00000000-0005-0000-0000-000019200000}"/>
    <cellStyle name="Normal 5 4 3 5" xfId="1950" xr:uid="{00000000-0005-0000-0000-00001A200000}"/>
    <cellStyle name="Normal 5 4 3 5 2" xfId="5721" xr:uid="{00000000-0005-0000-0000-00001B200000}"/>
    <cellStyle name="Normal 5 4 3 5 2 2" xfId="11009" xr:uid="{00000000-0005-0000-0000-00001C200000}"/>
    <cellStyle name="Normal 5 4 3 5 3" xfId="7363" xr:uid="{00000000-0005-0000-0000-00001D200000}"/>
    <cellStyle name="Normal 5 4 3 6" xfId="2502" xr:uid="{00000000-0005-0000-0000-00001E200000}"/>
    <cellStyle name="Normal 5 4 3 6 2" xfId="7860" xr:uid="{00000000-0005-0000-0000-00001F200000}"/>
    <cellStyle name="Normal 5 4 3 7" xfId="3616" xr:uid="{00000000-0005-0000-0000-000020200000}"/>
    <cellStyle name="Normal 5 4 3 7 2" xfId="8908" xr:uid="{00000000-0005-0000-0000-000021200000}"/>
    <cellStyle name="Normal 5 4 3 8" xfId="5088" xr:uid="{00000000-0005-0000-0000-000022200000}"/>
    <cellStyle name="Normal 5 4 3 8 2" xfId="10376" xr:uid="{00000000-0005-0000-0000-000023200000}"/>
    <cellStyle name="Normal 5 4 3 9" xfId="6730" xr:uid="{00000000-0005-0000-0000-000024200000}"/>
    <cellStyle name="Normal 5 4 4" xfId="1277" xr:uid="{00000000-0005-0000-0000-000025200000}"/>
    <cellStyle name="Normal 5 4 4 2" xfId="1278" xr:uid="{00000000-0005-0000-0000-000026200000}"/>
    <cellStyle name="Normal 5 4 4 2 2" xfId="3009" xr:uid="{00000000-0005-0000-0000-000027200000}"/>
    <cellStyle name="Normal 5 4 4 2 2 2" xfId="8362" xr:uid="{00000000-0005-0000-0000-000028200000}"/>
    <cellStyle name="Normal 5 4 4 2 3" xfId="4119" xr:uid="{00000000-0005-0000-0000-000029200000}"/>
    <cellStyle name="Normal 5 4 4 2 3 2" xfId="9410" xr:uid="{00000000-0005-0000-0000-00002A200000}"/>
    <cellStyle name="Normal 5 4 4 2 4" xfId="5095" xr:uid="{00000000-0005-0000-0000-00002B200000}"/>
    <cellStyle name="Normal 5 4 4 2 4 2" xfId="10383" xr:uid="{00000000-0005-0000-0000-00002C200000}"/>
    <cellStyle name="Normal 5 4 4 2 5" xfId="6737" xr:uid="{00000000-0005-0000-0000-00002D200000}"/>
    <cellStyle name="Normal 5 4 4 3" xfId="1953" xr:uid="{00000000-0005-0000-0000-00002E200000}"/>
    <cellStyle name="Normal 5 4 4 3 2" xfId="5724" xr:uid="{00000000-0005-0000-0000-00002F200000}"/>
    <cellStyle name="Normal 5 4 4 3 2 2" xfId="11012" xr:uid="{00000000-0005-0000-0000-000030200000}"/>
    <cellStyle name="Normal 5 4 4 3 3" xfId="7366" xr:uid="{00000000-0005-0000-0000-000031200000}"/>
    <cellStyle name="Normal 5 4 4 4" xfId="2505" xr:uid="{00000000-0005-0000-0000-000032200000}"/>
    <cellStyle name="Normal 5 4 4 4 2" xfId="7863" xr:uid="{00000000-0005-0000-0000-000033200000}"/>
    <cellStyle name="Normal 5 4 4 5" xfId="3619" xr:uid="{00000000-0005-0000-0000-000034200000}"/>
    <cellStyle name="Normal 5 4 4 5 2" xfId="8911" xr:uid="{00000000-0005-0000-0000-000035200000}"/>
    <cellStyle name="Normal 5 4 4 6" xfId="5094" xr:uid="{00000000-0005-0000-0000-000036200000}"/>
    <cellStyle name="Normal 5 4 4 6 2" xfId="10382" xr:uid="{00000000-0005-0000-0000-000037200000}"/>
    <cellStyle name="Normal 5 4 4 7" xfId="6736" xr:uid="{00000000-0005-0000-0000-000038200000}"/>
    <cellStyle name="Normal 5 4 5" xfId="1279" xr:uid="{00000000-0005-0000-0000-000039200000}"/>
    <cellStyle name="Normal 5 4 5 2" xfId="1280" xr:uid="{00000000-0005-0000-0000-00003A200000}"/>
    <cellStyle name="Normal 5 4 5 2 2" xfId="3010" xr:uid="{00000000-0005-0000-0000-00003B200000}"/>
    <cellStyle name="Normal 5 4 5 2 2 2" xfId="8363" xr:uid="{00000000-0005-0000-0000-00003C200000}"/>
    <cellStyle name="Normal 5 4 5 2 3" xfId="4120" xr:uid="{00000000-0005-0000-0000-00003D200000}"/>
    <cellStyle name="Normal 5 4 5 2 3 2" xfId="9411" xr:uid="{00000000-0005-0000-0000-00003E200000}"/>
    <cellStyle name="Normal 5 4 5 2 4" xfId="5097" xr:uid="{00000000-0005-0000-0000-00003F200000}"/>
    <cellStyle name="Normal 5 4 5 2 4 2" xfId="10385" xr:uid="{00000000-0005-0000-0000-000040200000}"/>
    <cellStyle name="Normal 5 4 5 2 5" xfId="6739" xr:uid="{00000000-0005-0000-0000-000041200000}"/>
    <cellStyle name="Normal 5 4 5 3" xfId="1954" xr:uid="{00000000-0005-0000-0000-000042200000}"/>
    <cellStyle name="Normal 5 4 5 3 2" xfId="5725" xr:uid="{00000000-0005-0000-0000-000043200000}"/>
    <cellStyle name="Normal 5 4 5 3 2 2" xfId="11013" xr:uid="{00000000-0005-0000-0000-000044200000}"/>
    <cellStyle name="Normal 5 4 5 3 3" xfId="7367" xr:uid="{00000000-0005-0000-0000-000045200000}"/>
    <cellStyle name="Normal 5 4 5 4" xfId="2506" xr:uid="{00000000-0005-0000-0000-000046200000}"/>
    <cellStyle name="Normal 5 4 5 4 2" xfId="7864" xr:uid="{00000000-0005-0000-0000-000047200000}"/>
    <cellStyle name="Normal 5 4 5 5" xfId="3620" xr:uid="{00000000-0005-0000-0000-000048200000}"/>
    <cellStyle name="Normal 5 4 5 5 2" xfId="8912" xr:uid="{00000000-0005-0000-0000-000049200000}"/>
    <cellStyle name="Normal 5 4 5 6" xfId="5096" xr:uid="{00000000-0005-0000-0000-00004A200000}"/>
    <cellStyle name="Normal 5 4 5 6 2" xfId="10384" xr:uid="{00000000-0005-0000-0000-00004B200000}"/>
    <cellStyle name="Normal 5 4 5 7" xfId="6738" xr:uid="{00000000-0005-0000-0000-00004C200000}"/>
    <cellStyle name="Normal 5 4 6" xfId="1281" xr:uid="{00000000-0005-0000-0000-00004D200000}"/>
    <cellStyle name="Normal 5 4 6 2" xfId="2999" xr:uid="{00000000-0005-0000-0000-00004E200000}"/>
    <cellStyle name="Normal 5 4 6 2 2" xfId="8352" xr:uid="{00000000-0005-0000-0000-00004F200000}"/>
    <cellStyle name="Normal 5 4 6 3" xfId="4109" xr:uid="{00000000-0005-0000-0000-000050200000}"/>
    <cellStyle name="Normal 5 4 6 3 2" xfId="9400" xr:uid="{00000000-0005-0000-0000-000051200000}"/>
    <cellStyle name="Normal 5 4 6 4" xfId="5098" xr:uid="{00000000-0005-0000-0000-000052200000}"/>
    <cellStyle name="Normal 5 4 6 4 2" xfId="10386" xr:uid="{00000000-0005-0000-0000-000053200000}"/>
    <cellStyle name="Normal 5 4 6 5" xfId="6740" xr:uid="{00000000-0005-0000-0000-000054200000}"/>
    <cellStyle name="Normal 5 4 7" xfId="1943" xr:uid="{00000000-0005-0000-0000-000055200000}"/>
    <cellStyle name="Normal 5 4 7 2" xfId="5714" xr:uid="{00000000-0005-0000-0000-000056200000}"/>
    <cellStyle name="Normal 5 4 7 2 2" xfId="11002" xr:uid="{00000000-0005-0000-0000-000057200000}"/>
    <cellStyle name="Normal 5 4 7 3" xfId="7356" xr:uid="{00000000-0005-0000-0000-000058200000}"/>
    <cellStyle name="Normal 5 4 8" xfId="2495" xr:uid="{00000000-0005-0000-0000-000059200000}"/>
    <cellStyle name="Normal 5 4 8 2" xfId="7853" xr:uid="{00000000-0005-0000-0000-00005A200000}"/>
    <cellStyle name="Normal 5 4 9" xfId="3609" xr:uid="{00000000-0005-0000-0000-00005B200000}"/>
    <cellStyle name="Normal 5 4 9 2" xfId="8901" xr:uid="{00000000-0005-0000-0000-00005C200000}"/>
    <cellStyle name="Normal 5 5" xfId="1282" xr:uid="{00000000-0005-0000-0000-00005D200000}"/>
    <cellStyle name="Normal 5 5 10" xfId="6741" xr:uid="{00000000-0005-0000-0000-00005E200000}"/>
    <cellStyle name="Normal 5 5 2" xfId="1283" xr:uid="{00000000-0005-0000-0000-00005F200000}"/>
    <cellStyle name="Normal 5 5 2 2" xfId="1284" xr:uid="{00000000-0005-0000-0000-000060200000}"/>
    <cellStyle name="Normal 5 5 2 2 2" xfId="1285" xr:uid="{00000000-0005-0000-0000-000061200000}"/>
    <cellStyle name="Normal 5 5 2 2 2 2" xfId="3013" xr:uid="{00000000-0005-0000-0000-000062200000}"/>
    <cellStyle name="Normal 5 5 2 2 2 2 2" xfId="8366" xr:uid="{00000000-0005-0000-0000-000063200000}"/>
    <cellStyle name="Normal 5 5 2 2 2 3" xfId="4123" xr:uid="{00000000-0005-0000-0000-000064200000}"/>
    <cellStyle name="Normal 5 5 2 2 2 3 2" xfId="9414" xr:uid="{00000000-0005-0000-0000-000065200000}"/>
    <cellStyle name="Normal 5 5 2 2 2 4" xfId="5102" xr:uid="{00000000-0005-0000-0000-000066200000}"/>
    <cellStyle name="Normal 5 5 2 2 2 4 2" xfId="10390" xr:uid="{00000000-0005-0000-0000-000067200000}"/>
    <cellStyle name="Normal 5 5 2 2 2 5" xfId="6744" xr:uid="{00000000-0005-0000-0000-000068200000}"/>
    <cellStyle name="Normal 5 5 2 2 3" xfId="1957" xr:uid="{00000000-0005-0000-0000-000069200000}"/>
    <cellStyle name="Normal 5 5 2 2 3 2" xfId="5728" xr:uid="{00000000-0005-0000-0000-00006A200000}"/>
    <cellStyle name="Normal 5 5 2 2 3 2 2" xfId="11016" xr:uid="{00000000-0005-0000-0000-00006B200000}"/>
    <cellStyle name="Normal 5 5 2 2 3 3" xfId="7370" xr:uid="{00000000-0005-0000-0000-00006C200000}"/>
    <cellStyle name="Normal 5 5 2 2 4" xfId="2509" xr:uid="{00000000-0005-0000-0000-00006D200000}"/>
    <cellStyle name="Normal 5 5 2 2 4 2" xfId="7867" xr:uid="{00000000-0005-0000-0000-00006E200000}"/>
    <cellStyle name="Normal 5 5 2 2 5" xfId="3623" xr:uid="{00000000-0005-0000-0000-00006F200000}"/>
    <cellStyle name="Normal 5 5 2 2 5 2" xfId="8915" xr:uid="{00000000-0005-0000-0000-000070200000}"/>
    <cellStyle name="Normal 5 5 2 2 6" xfId="5101" xr:uid="{00000000-0005-0000-0000-000071200000}"/>
    <cellStyle name="Normal 5 5 2 2 6 2" xfId="10389" xr:uid="{00000000-0005-0000-0000-000072200000}"/>
    <cellStyle name="Normal 5 5 2 2 7" xfId="6743" xr:uid="{00000000-0005-0000-0000-000073200000}"/>
    <cellStyle name="Normal 5 5 2 3" xfId="1286" xr:uid="{00000000-0005-0000-0000-000074200000}"/>
    <cellStyle name="Normal 5 5 2 3 2" xfId="1287" xr:uid="{00000000-0005-0000-0000-000075200000}"/>
    <cellStyle name="Normal 5 5 2 3 2 2" xfId="3014" xr:uid="{00000000-0005-0000-0000-000076200000}"/>
    <cellStyle name="Normal 5 5 2 3 2 2 2" xfId="8367" xr:uid="{00000000-0005-0000-0000-000077200000}"/>
    <cellStyle name="Normal 5 5 2 3 2 3" xfId="4124" xr:uid="{00000000-0005-0000-0000-000078200000}"/>
    <cellStyle name="Normal 5 5 2 3 2 3 2" xfId="9415" xr:uid="{00000000-0005-0000-0000-000079200000}"/>
    <cellStyle name="Normal 5 5 2 3 2 4" xfId="5104" xr:uid="{00000000-0005-0000-0000-00007A200000}"/>
    <cellStyle name="Normal 5 5 2 3 2 4 2" xfId="10392" xr:uid="{00000000-0005-0000-0000-00007B200000}"/>
    <cellStyle name="Normal 5 5 2 3 2 5" xfId="6746" xr:uid="{00000000-0005-0000-0000-00007C200000}"/>
    <cellStyle name="Normal 5 5 2 3 3" xfId="1958" xr:uid="{00000000-0005-0000-0000-00007D200000}"/>
    <cellStyle name="Normal 5 5 2 3 3 2" xfId="5729" xr:uid="{00000000-0005-0000-0000-00007E200000}"/>
    <cellStyle name="Normal 5 5 2 3 3 2 2" xfId="11017" xr:uid="{00000000-0005-0000-0000-00007F200000}"/>
    <cellStyle name="Normal 5 5 2 3 3 3" xfId="7371" xr:uid="{00000000-0005-0000-0000-000080200000}"/>
    <cellStyle name="Normal 5 5 2 3 4" xfId="2510" xr:uid="{00000000-0005-0000-0000-000081200000}"/>
    <cellStyle name="Normal 5 5 2 3 4 2" xfId="7868" xr:uid="{00000000-0005-0000-0000-000082200000}"/>
    <cellStyle name="Normal 5 5 2 3 5" xfId="3624" xr:uid="{00000000-0005-0000-0000-000083200000}"/>
    <cellStyle name="Normal 5 5 2 3 5 2" xfId="8916" xr:uid="{00000000-0005-0000-0000-000084200000}"/>
    <cellStyle name="Normal 5 5 2 3 6" xfId="5103" xr:uid="{00000000-0005-0000-0000-000085200000}"/>
    <cellStyle name="Normal 5 5 2 3 6 2" xfId="10391" xr:uid="{00000000-0005-0000-0000-000086200000}"/>
    <cellStyle name="Normal 5 5 2 3 7" xfId="6745" xr:uid="{00000000-0005-0000-0000-000087200000}"/>
    <cellStyle name="Normal 5 5 2 4" xfId="1288" xr:uid="{00000000-0005-0000-0000-000088200000}"/>
    <cellStyle name="Normal 5 5 2 4 2" xfId="3012" xr:uid="{00000000-0005-0000-0000-000089200000}"/>
    <cellStyle name="Normal 5 5 2 4 2 2" xfId="8365" xr:uid="{00000000-0005-0000-0000-00008A200000}"/>
    <cellStyle name="Normal 5 5 2 4 3" xfId="4122" xr:uid="{00000000-0005-0000-0000-00008B200000}"/>
    <cellStyle name="Normal 5 5 2 4 3 2" xfId="9413" xr:uid="{00000000-0005-0000-0000-00008C200000}"/>
    <cellStyle name="Normal 5 5 2 4 4" xfId="5105" xr:uid="{00000000-0005-0000-0000-00008D200000}"/>
    <cellStyle name="Normal 5 5 2 4 4 2" xfId="10393" xr:uid="{00000000-0005-0000-0000-00008E200000}"/>
    <cellStyle name="Normal 5 5 2 4 5" xfId="6747" xr:uid="{00000000-0005-0000-0000-00008F200000}"/>
    <cellStyle name="Normal 5 5 2 5" xfId="1956" xr:uid="{00000000-0005-0000-0000-000090200000}"/>
    <cellStyle name="Normal 5 5 2 5 2" xfId="5727" xr:uid="{00000000-0005-0000-0000-000091200000}"/>
    <cellStyle name="Normal 5 5 2 5 2 2" xfId="11015" xr:uid="{00000000-0005-0000-0000-000092200000}"/>
    <cellStyle name="Normal 5 5 2 5 3" xfId="7369" xr:uid="{00000000-0005-0000-0000-000093200000}"/>
    <cellStyle name="Normal 5 5 2 6" xfId="2508" xr:uid="{00000000-0005-0000-0000-000094200000}"/>
    <cellStyle name="Normal 5 5 2 6 2" xfId="7866" xr:uid="{00000000-0005-0000-0000-000095200000}"/>
    <cellStyle name="Normal 5 5 2 7" xfId="3622" xr:uid="{00000000-0005-0000-0000-000096200000}"/>
    <cellStyle name="Normal 5 5 2 7 2" xfId="8914" xr:uid="{00000000-0005-0000-0000-000097200000}"/>
    <cellStyle name="Normal 5 5 2 8" xfId="5100" xr:uid="{00000000-0005-0000-0000-000098200000}"/>
    <cellStyle name="Normal 5 5 2 8 2" xfId="10388" xr:uid="{00000000-0005-0000-0000-000099200000}"/>
    <cellStyle name="Normal 5 5 2 9" xfId="6742" xr:uid="{00000000-0005-0000-0000-00009A200000}"/>
    <cellStyle name="Normal 5 5 3" xfId="1289" xr:uid="{00000000-0005-0000-0000-00009B200000}"/>
    <cellStyle name="Normal 5 5 3 2" xfId="1290" xr:uid="{00000000-0005-0000-0000-00009C200000}"/>
    <cellStyle name="Normal 5 5 3 2 2" xfId="3015" xr:uid="{00000000-0005-0000-0000-00009D200000}"/>
    <cellStyle name="Normal 5 5 3 2 2 2" xfId="8368" xr:uid="{00000000-0005-0000-0000-00009E200000}"/>
    <cellStyle name="Normal 5 5 3 2 3" xfId="4125" xr:uid="{00000000-0005-0000-0000-00009F200000}"/>
    <cellStyle name="Normal 5 5 3 2 3 2" xfId="9416" xr:uid="{00000000-0005-0000-0000-0000A0200000}"/>
    <cellStyle name="Normal 5 5 3 2 4" xfId="5107" xr:uid="{00000000-0005-0000-0000-0000A1200000}"/>
    <cellStyle name="Normal 5 5 3 2 4 2" xfId="10395" xr:uid="{00000000-0005-0000-0000-0000A2200000}"/>
    <cellStyle name="Normal 5 5 3 2 5" xfId="6749" xr:uid="{00000000-0005-0000-0000-0000A3200000}"/>
    <cellStyle name="Normal 5 5 3 3" xfId="1959" xr:uid="{00000000-0005-0000-0000-0000A4200000}"/>
    <cellStyle name="Normal 5 5 3 3 2" xfId="5730" xr:uid="{00000000-0005-0000-0000-0000A5200000}"/>
    <cellStyle name="Normal 5 5 3 3 2 2" xfId="11018" xr:uid="{00000000-0005-0000-0000-0000A6200000}"/>
    <cellStyle name="Normal 5 5 3 3 3" xfId="7372" xr:uid="{00000000-0005-0000-0000-0000A7200000}"/>
    <cellStyle name="Normal 5 5 3 4" xfId="2511" xr:uid="{00000000-0005-0000-0000-0000A8200000}"/>
    <cellStyle name="Normal 5 5 3 4 2" xfId="7869" xr:uid="{00000000-0005-0000-0000-0000A9200000}"/>
    <cellStyle name="Normal 5 5 3 5" xfId="3625" xr:uid="{00000000-0005-0000-0000-0000AA200000}"/>
    <cellStyle name="Normal 5 5 3 5 2" xfId="8917" xr:uid="{00000000-0005-0000-0000-0000AB200000}"/>
    <cellStyle name="Normal 5 5 3 6" xfId="5106" xr:uid="{00000000-0005-0000-0000-0000AC200000}"/>
    <cellStyle name="Normal 5 5 3 6 2" xfId="10394" xr:uid="{00000000-0005-0000-0000-0000AD200000}"/>
    <cellStyle name="Normal 5 5 3 7" xfId="6748" xr:uid="{00000000-0005-0000-0000-0000AE200000}"/>
    <cellStyle name="Normal 5 5 4" xfId="1291" xr:uid="{00000000-0005-0000-0000-0000AF200000}"/>
    <cellStyle name="Normal 5 5 4 2" xfId="1292" xr:uid="{00000000-0005-0000-0000-0000B0200000}"/>
    <cellStyle name="Normal 5 5 4 2 2" xfId="3016" xr:uid="{00000000-0005-0000-0000-0000B1200000}"/>
    <cellStyle name="Normal 5 5 4 2 2 2" xfId="8369" xr:uid="{00000000-0005-0000-0000-0000B2200000}"/>
    <cellStyle name="Normal 5 5 4 2 3" xfId="4126" xr:uid="{00000000-0005-0000-0000-0000B3200000}"/>
    <cellStyle name="Normal 5 5 4 2 3 2" xfId="9417" xr:uid="{00000000-0005-0000-0000-0000B4200000}"/>
    <cellStyle name="Normal 5 5 4 2 4" xfId="5109" xr:uid="{00000000-0005-0000-0000-0000B5200000}"/>
    <cellStyle name="Normal 5 5 4 2 4 2" xfId="10397" xr:uid="{00000000-0005-0000-0000-0000B6200000}"/>
    <cellStyle name="Normal 5 5 4 2 5" xfId="6751" xr:uid="{00000000-0005-0000-0000-0000B7200000}"/>
    <cellStyle name="Normal 5 5 4 3" xfId="1960" xr:uid="{00000000-0005-0000-0000-0000B8200000}"/>
    <cellStyle name="Normal 5 5 4 3 2" xfId="5731" xr:uid="{00000000-0005-0000-0000-0000B9200000}"/>
    <cellStyle name="Normal 5 5 4 3 2 2" xfId="11019" xr:uid="{00000000-0005-0000-0000-0000BA200000}"/>
    <cellStyle name="Normal 5 5 4 3 3" xfId="7373" xr:uid="{00000000-0005-0000-0000-0000BB200000}"/>
    <cellStyle name="Normal 5 5 4 4" xfId="2512" xr:uid="{00000000-0005-0000-0000-0000BC200000}"/>
    <cellStyle name="Normal 5 5 4 4 2" xfId="7870" xr:uid="{00000000-0005-0000-0000-0000BD200000}"/>
    <cellStyle name="Normal 5 5 4 5" xfId="3626" xr:uid="{00000000-0005-0000-0000-0000BE200000}"/>
    <cellStyle name="Normal 5 5 4 5 2" xfId="8918" xr:uid="{00000000-0005-0000-0000-0000BF200000}"/>
    <cellStyle name="Normal 5 5 4 6" xfId="5108" xr:uid="{00000000-0005-0000-0000-0000C0200000}"/>
    <cellStyle name="Normal 5 5 4 6 2" xfId="10396" xr:uid="{00000000-0005-0000-0000-0000C1200000}"/>
    <cellStyle name="Normal 5 5 4 7" xfId="6750" xr:uid="{00000000-0005-0000-0000-0000C2200000}"/>
    <cellStyle name="Normal 5 5 5" xfId="1293" xr:uid="{00000000-0005-0000-0000-0000C3200000}"/>
    <cellStyle name="Normal 5 5 5 2" xfId="3011" xr:uid="{00000000-0005-0000-0000-0000C4200000}"/>
    <cellStyle name="Normal 5 5 5 2 2" xfId="8364" xr:uid="{00000000-0005-0000-0000-0000C5200000}"/>
    <cellStyle name="Normal 5 5 5 3" xfId="4121" xr:uid="{00000000-0005-0000-0000-0000C6200000}"/>
    <cellStyle name="Normal 5 5 5 3 2" xfId="9412" xr:uid="{00000000-0005-0000-0000-0000C7200000}"/>
    <cellStyle name="Normal 5 5 5 4" xfId="5110" xr:uid="{00000000-0005-0000-0000-0000C8200000}"/>
    <cellStyle name="Normal 5 5 5 4 2" xfId="10398" xr:uid="{00000000-0005-0000-0000-0000C9200000}"/>
    <cellStyle name="Normal 5 5 5 5" xfId="6752" xr:uid="{00000000-0005-0000-0000-0000CA200000}"/>
    <cellStyle name="Normal 5 5 6" xfId="1955" xr:uid="{00000000-0005-0000-0000-0000CB200000}"/>
    <cellStyle name="Normal 5 5 6 2" xfId="5726" xr:uid="{00000000-0005-0000-0000-0000CC200000}"/>
    <cellStyle name="Normal 5 5 6 2 2" xfId="11014" xr:uid="{00000000-0005-0000-0000-0000CD200000}"/>
    <cellStyle name="Normal 5 5 6 3" xfId="7368" xr:uid="{00000000-0005-0000-0000-0000CE200000}"/>
    <cellStyle name="Normal 5 5 7" xfId="2507" xr:uid="{00000000-0005-0000-0000-0000CF200000}"/>
    <cellStyle name="Normal 5 5 7 2" xfId="7865" xr:uid="{00000000-0005-0000-0000-0000D0200000}"/>
    <cellStyle name="Normal 5 5 8" xfId="3621" xr:uid="{00000000-0005-0000-0000-0000D1200000}"/>
    <cellStyle name="Normal 5 5 8 2" xfId="8913" xr:uid="{00000000-0005-0000-0000-0000D2200000}"/>
    <cellStyle name="Normal 5 5 9" xfId="5099" xr:uid="{00000000-0005-0000-0000-0000D3200000}"/>
    <cellStyle name="Normal 5 5 9 2" xfId="10387" xr:uid="{00000000-0005-0000-0000-0000D4200000}"/>
    <cellStyle name="Normal 5 6" xfId="1294" xr:uid="{00000000-0005-0000-0000-0000D5200000}"/>
    <cellStyle name="Normal 5 6 2" xfId="1295" xr:uid="{00000000-0005-0000-0000-0000D6200000}"/>
    <cellStyle name="Normal 5 6 2 2" xfId="1296" xr:uid="{00000000-0005-0000-0000-0000D7200000}"/>
    <cellStyle name="Normal 5 6 2 2 2" xfId="3018" xr:uid="{00000000-0005-0000-0000-0000D8200000}"/>
    <cellStyle name="Normal 5 6 2 2 2 2" xfId="8371" xr:uid="{00000000-0005-0000-0000-0000D9200000}"/>
    <cellStyle name="Normal 5 6 2 2 3" xfId="4128" xr:uid="{00000000-0005-0000-0000-0000DA200000}"/>
    <cellStyle name="Normal 5 6 2 2 3 2" xfId="9419" xr:uid="{00000000-0005-0000-0000-0000DB200000}"/>
    <cellStyle name="Normal 5 6 2 2 4" xfId="5113" xr:uid="{00000000-0005-0000-0000-0000DC200000}"/>
    <cellStyle name="Normal 5 6 2 2 4 2" xfId="10401" xr:uid="{00000000-0005-0000-0000-0000DD200000}"/>
    <cellStyle name="Normal 5 6 2 2 5" xfId="6755" xr:uid="{00000000-0005-0000-0000-0000DE200000}"/>
    <cellStyle name="Normal 5 6 2 3" xfId="1962" xr:uid="{00000000-0005-0000-0000-0000DF200000}"/>
    <cellStyle name="Normal 5 6 2 3 2" xfId="5733" xr:uid="{00000000-0005-0000-0000-0000E0200000}"/>
    <cellStyle name="Normal 5 6 2 3 2 2" xfId="11021" xr:uid="{00000000-0005-0000-0000-0000E1200000}"/>
    <cellStyle name="Normal 5 6 2 3 3" xfId="7375" xr:uid="{00000000-0005-0000-0000-0000E2200000}"/>
    <cellStyle name="Normal 5 6 2 4" xfId="2514" xr:uid="{00000000-0005-0000-0000-0000E3200000}"/>
    <cellStyle name="Normal 5 6 2 4 2" xfId="7872" xr:uid="{00000000-0005-0000-0000-0000E4200000}"/>
    <cellStyle name="Normal 5 6 2 5" xfId="3628" xr:uid="{00000000-0005-0000-0000-0000E5200000}"/>
    <cellStyle name="Normal 5 6 2 5 2" xfId="8920" xr:uid="{00000000-0005-0000-0000-0000E6200000}"/>
    <cellStyle name="Normal 5 6 2 6" xfId="5112" xr:uid="{00000000-0005-0000-0000-0000E7200000}"/>
    <cellStyle name="Normal 5 6 2 6 2" xfId="10400" xr:uid="{00000000-0005-0000-0000-0000E8200000}"/>
    <cellStyle name="Normal 5 6 2 7" xfId="6754" xr:uid="{00000000-0005-0000-0000-0000E9200000}"/>
    <cellStyle name="Normal 5 6 3" xfId="1297" xr:uid="{00000000-0005-0000-0000-0000EA200000}"/>
    <cellStyle name="Normal 5 6 3 2" xfId="1298" xr:uid="{00000000-0005-0000-0000-0000EB200000}"/>
    <cellStyle name="Normal 5 6 3 2 2" xfId="3019" xr:uid="{00000000-0005-0000-0000-0000EC200000}"/>
    <cellStyle name="Normal 5 6 3 2 2 2" xfId="8372" xr:uid="{00000000-0005-0000-0000-0000ED200000}"/>
    <cellStyle name="Normal 5 6 3 2 3" xfId="4129" xr:uid="{00000000-0005-0000-0000-0000EE200000}"/>
    <cellStyle name="Normal 5 6 3 2 3 2" xfId="9420" xr:uid="{00000000-0005-0000-0000-0000EF200000}"/>
    <cellStyle name="Normal 5 6 3 2 4" xfId="5115" xr:uid="{00000000-0005-0000-0000-0000F0200000}"/>
    <cellStyle name="Normal 5 6 3 2 4 2" xfId="10403" xr:uid="{00000000-0005-0000-0000-0000F1200000}"/>
    <cellStyle name="Normal 5 6 3 2 5" xfId="6757" xr:uid="{00000000-0005-0000-0000-0000F2200000}"/>
    <cellStyle name="Normal 5 6 3 3" xfId="1963" xr:uid="{00000000-0005-0000-0000-0000F3200000}"/>
    <cellStyle name="Normal 5 6 3 3 2" xfId="5734" xr:uid="{00000000-0005-0000-0000-0000F4200000}"/>
    <cellStyle name="Normal 5 6 3 3 2 2" xfId="11022" xr:uid="{00000000-0005-0000-0000-0000F5200000}"/>
    <cellStyle name="Normal 5 6 3 3 3" xfId="7376" xr:uid="{00000000-0005-0000-0000-0000F6200000}"/>
    <cellStyle name="Normal 5 6 3 4" xfId="2515" xr:uid="{00000000-0005-0000-0000-0000F7200000}"/>
    <cellStyle name="Normal 5 6 3 4 2" xfId="7873" xr:uid="{00000000-0005-0000-0000-0000F8200000}"/>
    <cellStyle name="Normal 5 6 3 5" xfId="3629" xr:uid="{00000000-0005-0000-0000-0000F9200000}"/>
    <cellStyle name="Normal 5 6 3 5 2" xfId="8921" xr:uid="{00000000-0005-0000-0000-0000FA200000}"/>
    <cellStyle name="Normal 5 6 3 6" xfId="5114" xr:uid="{00000000-0005-0000-0000-0000FB200000}"/>
    <cellStyle name="Normal 5 6 3 6 2" xfId="10402" xr:uid="{00000000-0005-0000-0000-0000FC200000}"/>
    <cellStyle name="Normal 5 6 3 7" xfId="6756" xr:uid="{00000000-0005-0000-0000-0000FD200000}"/>
    <cellStyle name="Normal 5 6 4" xfId="1299" xr:uid="{00000000-0005-0000-0000-0000FE200000}"/>
    <cellStyle name="Normal 5 6 4 2" xfId="3017" xr:uid="{00000000-0005-0000-0000-0000FF200000}"/>
    <cellStyle name="Normal 5 6 4 2 2" xfId="8370" xr:uid="{00000000-0005-0000-0000-000000210000}"/>
    <cellStyle name="Normal 5 6 4 3" xfId="4127" xr:uid="{00000000-0005-0000-0000-000001210000}"/>
    <cellStyle name="Normal 5 6 4 3 2" xfId="9418" xr:uid="{00000000-0005-0000-0000-000002210000}"/>
    <cellStyle name="Normal 5 6 4 4" xfId="5116" xr:uid="{00000000-0005-0000-0000-000003210000}"/>
    <cellStyle name="Normal 5 6 4 4 2" xfId="10404" xr:uid="{00000000-0005-0000-0000-000004210000}"/>
    <cellStyle name="Normal 5 6 4 5" xfId="6758" xr:uid="{00000000-0005-0000-0000-000005210000}"/>
    <cellStyle name="Normal 5 6 5" xfId="1961" xr:uid="{00000000-0005-0000-0000-000006210000}"/>
    <cellStyle name="Normal 5 6 5 2" xfId="5732" xr:uid="{00000000-0005-0000-0000-000007210000}"/>
    <cellStyle name="Normal 5 6 5 2 2" xfId="11020" xr:uid="{00000000-0005-0000-0000-000008210000}"/>
    <cellStyle name="Normal 5 6 5 3" xfId="7374" xr:uid="{00000000-0005-0000-0000-000009210000}"/>
    <cellStyle name="Normal 5 6 6" xfId="2513" xr:uid="{00000000-0005-0000-0000-00000A210000}"/>
    <cellStyle name="Normal 5 6 6 2" xfId="7871" xr:uid="{00000000-0005-0000-0000-00000B210000}"/>
    <cellStyle name="Normal 5 6 7" xfId="3627" xr:uid="{00000000-0005-0000-0000-00000C210000}"/>
    <cellStyle name="Normal 5 6 7 2" xfId="8919" xr:uid="{00000000-0005-0000-0000-00000D210000}"/>
    <cellStyle name="Normal 5 6 8" xfId="5111" xr:uid="{00000000-0005-0000-0000-00000E210000}"/>
    <cellStyle name="Normal 5 6 8 2" xfId="10399" xr:uid="{00000000-0005-0000-0000-00000F210000}"/>
    <cellStyle name="Normal 5 6 9" xfId="6753" xr:uid="{00000000-0005-0000-0000-000010210000}"/>
    <cellStyle name="Normal 5 7" xfId="1300" xr:uid="{00000000-0005-0000-0000-000011210000}"/>
    <cellStyle name="Normal 5 7 2" xfId="1301" xr:uid="{00000000-0005-0000-0000-000012210000}"/>
    <cellStyle name="Normal 5 7 2 2" xfId="3020" xr:uid="{00000000-0005-0000-0000-000013210000}"/>
    <cellStyle name="Normal 5 7 2 2 2" xfId="8373" xr:uid="{00000000-0005-0000-0000-000014210000}"/>
    <cellStyle name="Normal 5 7 2 3" xfId="4130" xr:uid="{00000000-0005-0000-0000-000015210000}"/>
    <cellStyle name="Normal 5 7 2 3 2" xfId="9421" xr:uid="{00000000-0005-0000-0000-000016210000}"/>
    <cellStyle name="Normal 5 7 2 4" xfId="5118" xr:uid="{00000000-0005-0000-0000-000017210000}"/>
    <cellStyle name="Normal 5 7 2 4 2" xfId="10406" xr:uid="{00000000-0005-0000-0000-000018210000}"/>
    <cellStyle name="Normal 5 7 2 5" xfId="6760" xr:uid="{00000000-0005-0000-0000-000019210000}"/>
    <cellStyle name="Normal 5 7 3" xfId="1964" xr:uid="{00000000-0005-0000-0000-00001A210000}"/>
    <cellStyle name="Normal 5 7 3 2" xfId="5735" xr:uid="{00000000-0005-0000-0000-00001B210000}"/>
    <cellStyle name="Normal 5 7 3 2 2" xfId="11023" xr:uid="{00000000-0005-0000-0000-00001C210000}"/>
    <cellStyle name="Normal 5 7 3 3" xfId="7377" xr:uid="{00000000-0005-0000-0000-00001D210000}"/>
    <cellStyle name="Normal 5 7 4" xfId="2516" xr:uid="{00000000-0005-0000-0000-00001E210000}"/>
    <cellStyle name="Normal 5 7 4 2" xfId="7874" xr:uid="{00000000-0005-0000-0000-00001F210000}"/>
    <cellStyle name="Normal 5 7 5" xfId="3630" xr:uid="{00000000-0005-0000-0000-000020210000}"/>
    <cellStyle name="Normal 5 7 5 2" xfId="8922" xr:uid="{00000000-0005-0000-0000-000021210000}"/>
    <cellStyle name="Normal 5 7 6" xfId="5117" xr:uid="{00000000-0005-0000-0000-000022210000}"/>
    <cellStyle name="Normal 5 7 6 2" xfId="10405" xr:uid="{00000000-0005-0000-0000-000023210000}"/>
    <cellStyle name="Normal 5 7 7" xfId="6759" xr:uid="{00000000-0005-0000-0000-000024210000}"/>
    <cellStyle name="Normal 5 8" xfId="1302" xr:uid="{00000000-0005-0000-0000-000025210000}"/>
    <cellStyle name="Normal 5 8 2" xfId="1303" xr:uid="{00000000-0005-0000-0000-000026210000}"/>
    <cellStyle name="Normal 5 8 2 2" xfId="3021" xr:uid="{00000000-0005-0000-0000-000027210000}"/>
    <cellStyle name="Normal 5 8 2 2 2" xfId="8374" xr:uid="{00000000-0005-0000-0000-000028210000}"/>
    <cellStyle name="Normal 5 8 2 3" xfId="4131" xr:uid="{00000000-0005-0000-0000-000029210000}"/>
    <cellStyle name="Normal 5 8 2 3 2" xfId="9422" xr:uid="{00000000-0005-0000-0000-00002A210000}"/>
    <cellStyle name="Normal 5 8 2 4" xfId="5120" xr:uid="{00000000-0005-0000-0000-00002B210000}"/>
    <cellStyle name="Normal 5 8 2 4 2" xfId="10408" xr:uid="{00000000-0005-0000-0000-00002C210000}"/>
    <cellStyle name="Normal 5 8 2 5" xfId="6762" xr:uid="{00000000-0005-0000-0000-00002D210000}"/>
    <cellStyle name="Normal 5 8 3" xfId="1965" xr:uid="{00000000-0005-0000-0000-00002E210000}"/>
    <cellStyle name="Normal 5 8 3 2" xfId="5736" xr:uid="{00000000-0005-0000-0000-00002F210000}"/>
    <cellStyle name="Normal 5 8 3 2 2" xfId="11024" xr:uid="{00000000-0005-0000-0000-000030210000}"/>
    <cellStyle name="Normal 5 8 3 3" xfId="7378" xr:uid="{00000000-0005-0000-0000-000031210000}"/>
    <cellStyle name="Normal 5 8 4" xfId="2517" xr:uid="{00000000-0005-0000-0000-000032210000}"/>
    <cellStyle name="Normal 5 8 4 2" xfId="7875" xr:uid="{00000000-0005-0000-0000-000033210000}"/>
    <cellStyle name="Normal 5 8 5" xfId="3631" xr:uid="{00000000-0005-0000-0000-000034210000}"/>
    <cellStyle name="Normal 5 8 5 2" xfId="8923" xr:uid="{00000000-0005-0000-0000-000035210000}"/>
    <cellStyle name="Normal 5 8 6" xfId="5119" xr:uid="{00000000-0005-0000-0000-000036210000}"/>
    <cellStyle name="Normal 5 8 6 2" xfId="10407" xr:uid="{00000000-0005-0000-0000-000037210000}"/>
    <cellStyle name="Normal 5 8 7" xfId="6761" xr:uid="{00000000-0005-0000-0000-000038210000}"/>
    <cellStyle name="Normal 5 9" xfId="1304" xr:uid="{00000000-0005-0000-0000-000039210000}"/>
    <cellStyle name="Normal 5 9 2" xfId="2104" xr:uid="{00000000-0005-0000-0000-00003A210000}"/>
    <cellStyle name="Normal 5 9 3" xfId="2962" xr:uid="{00000000-0005-0000-0000-00003B210000}"/>
    <cellStyle name="Normal 5 9 3 2" xfId="8315" xr:uid="{00000000-0005-0000-0000-00003C210000}"/>
    <cellStyle name="Normal 5 9 4" xfId="4072" xr:uid="{00000000-0005-0000-0000-00003D210000}"/>
    <cellStyle name="Normal 5 9 4 2" xfId="9363" xr:uid="{00000000-0005-0000-0000-00003E210000}"/>
    <cellStyle name="Normal 5 9 5" xfId="5121" xr:uid="{00000000-0005-0000-0000-00003F210000}"/>
    <cellStyle name="Normal 5 9 5 2" xfId="10409" xr:uid="{00000000-0005-0000-0000-000040210000}"/>
    <cellStyle name="Normal 5 9 6" xfId="6763" xr:uid="{00000000-0005-0000-0000-000041210000}"/>
    <cellStyle name="Normal 6" xfId="500" xr:uid="{00000000-0005-0000-0000-000042210000}"/>
    <cellStyle name="Normal 6 10" xfId="2518" xr:uid="{00000000-0005-0000-0000-000043210000}"/>
    <cellStyle name="Normal 6 10 2" xfId="7876" xr:uid="{00000000-0005-0000-0000-000044210000}"/>
    <cellStyle name="Normal 6 11" xfId="3632" xr:uid="{00000000-0005-0000-0000-000045210000}"/>
    <cellStyle name="Normal 6 11 2" xfId="8924" xr:uid="{00000000-0005-0000-0000-000046210000}"/>
    <cellStyle name="Normal 6 12" xfId="4364" xr:uid="{00000000-0005-0000-0000-000047210000}"/>
    <cellStyle name="Normal 6 12 2" xfId="9652" xr:uid="{00000000-0005-0000-0000-000048210000}"/>
    <cellStyle name="Normal 6 13" xfId="6006" xr:uid="{00000000-0005-0000-0000-000049210000}"/>
    <cellStyle name="Normal 6 2" xfId="1305" xr:uid="{00000000-0005-0000-0000-00004A210000}"/>
    <cellStyle name="Normal 6 2 10" xfId="3633" xr:uid="{00000000-0005-0000-0000-00004B210000}"/>
    <cellStyle name="Normal 6 2 10 2" xfId="8925" xr:uid="{00000000-0005-0000-0000-00004C210000}"/>
    <cellStyle name="Normal 6 2 11" xfId="5122" xr:uid="{00000000-0005-0000-0000-00004D210000}"/>
    <cellStyle name="Normal 6 2 11 2" xfId="10410" xr:uid="{00000000-0005-0000-0000-00004E210000}"/>
    <cellStyle name="Normal 6 2 12" xfId="6764" xr:uid="{00000000-0005-0000-0000-00004F210000}"/>
    <cellStyle name="Normal 6 2 2" xfId="1306" xr:uid="{00000000-0005-0000-0000-000050210000}"/>
    <cellStyle name="Normal 6 2 2 10" xfId="6765" xr:uid="{00000000-0005-0000-0000-000051210000}"/>
    <cellStyle name="Normal 6 2 2 2" xfId="1307" xr:uid="{00000000-0005-0000-0000-000052210000}"/>
    <cellStyle name="Normal 6 2 2 2 2" xfId="1308" xr:uid="{00000000-0005-0000-0000-000053210000}"/>
    <cellStyle name="Normal 6 2 2 2 2 2" xfId="1309" xr:uid="{00000000-0005-0000-0000-000054210000}"/>
    <cellStyle name="Normal 6 2 2 2 2 2 2" xfId="3026" xr:uid="{00000000-0005-0000-0000-000055210000}"/>
    <cellStyle name="Normal 6 2 2 2 2 2 2 2" xfId="8379" xr:uid="{00000000-0005-0000-0000-000056210000}"/>
    <cellStyle name="Normal 6 2 2 2 2 2 3" xfId="4136" xr:uid="{00000000-0005-0000-0000-000057210000}"/>
    <cellStyle name="Normal 6 2 2 2 2 2 3 2" xfId="9427" xr:uid="{00000000-0005-0000-0000-000058210000}"/>
    <cellStyle name="Normal 6 2 2 2 2 2 4" xfId="5126" xr:uid="{00000000-0005-0000-0000-000059210000}"/>
    <cellStyle name="Normal 6 2 2 2 2 2 4 2" xfId="10414" xr:uid="{00000000-0005-0000-0000-00005A210000}"/>
    <cellStyle name="Normal 6 2 2 2 2 2 5" xfId="6768" xr:uid="{00000000-0005-0000-0000-00005B210000}"/>
    <cellStyle name="Normal 6 2 2 2 2 3" xfId="1970" xr:uid="{00000000-0005-0000-0000-00005C210000}"/>
    <cellStyle name="Normal 6 2 2 2 2 3 2" xfId="5741" xr:uid="{00000000-0005-0000-0000-00005D210000}"/>
    <cellStyle name="Normal 6 2 2 2 2 3 2 2" xfId="11029" xr:uid="{00000000-0005-0000-0000-00005E210000}"/>
    <cellStyle name="Normal 6 2 2 2 2 3 3" xfId="7383" xr:uid="{00000000-0005-0000-0000-00005F210000}"/>
    <cellStyle name="Normal 6 2 2 2 2 4" xfId="2522" xr:uid="{00000000-0005-0000-0000-000060210000}"/>
    <cellStyle name="Normal 6 2 2 2 2 4 2" xfId="7880" xr:uid="{00000000-0005-0000-0000-000061210000}"/>
    <cellStyle name="Normal 6 2 2 2 2 5" xfId="3636" xr:uid="{00000000-0005-0000-0000-000062210000}"/>
    <cellStyle name="Normal 6 2 2 2 2 5 2" xfId="8928" xr:uid="{00000000-0005-0000-0000-000063210000}"/>
    <cellStyle name="Normal 6 2 2 2 2 6" xfId="5125" xr:uid="{00000000-0005-0000-0000-000064210000}"/>
    <cellStyle name="Normal 6 2 2 2 2 6 2" xfId="10413" xr:uid="{00000000-0005-0000-0000-000065210000}"/>
    <cellStyle name="Normal 6 2 2 2 2 7" xfId="6767" xr:uid="{00000000-0005-0000-0000-000066210000}"/>
    <cellStyle name="Normal 6 2 2 2 3" xfId="1310" xr:uid="{00000000-0005-0000-0000-000067210000}"/>
    <cellStyle name="Normal 6 2 2 2 3 2" xfId="1311" xr:uid="{00000000-0005-0000-0000-000068210000}"/>
    <cellStyle name="Normal 6 2 2 2 3 2 2" xfId="3027" xr:uid="{00000000-0005-0000-0000-000069210000}"/>
    <cellStyle name="Normal 6 2 2 2 3 2 2 2" xfId="8380" xr:uid="{00000000-0005-0000-0000-00006A210000}"/>
    <cellStyle name="Normal 6 2 2 2 3 2 3" xfId="4137" xr:uid="{00000000-0005-0000-0000-00006B210000}"/>
    <cellStyle name="Normal 6 2 2 2 3 2 3 2" xfId="9428" xr:uid="{00000000-0005-0000-0000-00006C210000}"/>
    <cellStyle name="Normal 6 2 2 2 3 2 4" xfId="5128" xr:uid="{00000000-0005-0000-0000-00006D210000}"/>
    <cellStyle name="Normal 6 2 2 2 3 2 4 2" xfId="10416" xr:uid="{00000000-0005-0000-0000-00006E210000}"/>
    <cellStyle name="Normal 6 2 2 2 3 2 5" xfId="6770" xr:uid="{00000000-0005-0000-0000-00006F210000}"/>
    <cellStyle name="Normal 6 2 2 2 3 3" xfId="1971" xr:uid="{00000000-0005-0000-0000-000070210000}"/>
    <cellStyle name="Normal 6 2 2 2 3 3 2" xfId="5742" xr:uid="{00000000-0005-0000-0000-000071210000}"/>
    <cellStyle name="Normal 6 2 2 2 3 3 2 2" xfId="11030" xr:uid="{00000000-0005-0000-0000-000072210000}"/>
    <cellStyle name="Normal 6 2 2 2 3 3 3" xfId="7384" xr:uid="{00000000-0005-0000-0000-000073210000}"/>
    <cellStyle name="Normal 6 2 2 2 3 4" xfId="2523" xr:uid="{00000000-0005-0000-0000-000074210000}"/>
    <cellStyle name="Normal 6 2 2 2 3 4 2" xfId="7881" xr:uid="{00000000-0005-0000-0000-000075210000}"/>
    <cellStyle name="Normal 6 2 2 2 3 5" xfId="3637" xr:uid="{00000000-0005-0000-0000-000076210000}"/>
    <cellStyle name="Normal 6 2 2 2 3 5 2" xfId="8929" xr:uid="{00000000-0005-0000-0000-000077210000}"/>
    <cellStyle name="Normal 6 2 2 2 3 6" xfId="5127" xr:uid="{00000000-0005-0000-0000-000078210000}"/>
    <cellStyle name="Normal 6 2 2 2 3 6 2" xfId="10415" xr:uid="{00000000-0005-0000-0000-000079210000}"/>
    <cellStyle name="Normal 6 2 2 2 3 7" xfId="6769" xr:uid="{00000000-0005-0000-0000-00007A210000}"/>
    <cellStyle name="Normal 6 2 2 2 4" xfId="1312" xr:uid="{00000000-0005-0000-0000-00007B210000}"/>
    <cellStyle name="Normal 6 2 2 2 4 2" xfId="3025" xr:uid="{00000000-0005-0000-0000-00007C210000}"/>
    <cellStyle name="Normal 6 2 2 2 4 2 2" xfId="8378" xr:uid="{00000000-0005-0000-0000-00007D210000}"/>
    <cellStyle name="Normal 6 2 2 2 4 3" xfId="4135" xr:uid="{00000000-0005-0000-0000-00007E210000}"/>
    <cellStyle name="Normal 6 2 2 2 4 3 2" xfId="9426" xr:uid="{00000000-0005-0000-0000-00007F210000}"/>
    <cellStyle name="Normal 6 2 2 2 4 4" xfId="5129" xr:uid="{00000000-0005-0000-0000-000080210000}"/>
    <cellStyle name="Normal 6 2 2 2 4 4 2" xfId="10417" xr:uid="{00000000-0005-0000-0000-000081210000}"/>
    <cellStyle name="Normal 6 2 2 2 4 5" xfId="6771" xr:uid="{00000000-0005-0000-0000-000082210000}"/>
    <cellStyle name="Normal 6 2 2 2 5" xfId="1969" xr:uid="{00000000-0005-0000-0000-000083210000}"/>
    <cellStyle name="Normal 6 2 2 2 5 2" xfId="5740" xr:uid="{00000000-0005-0000-0000-000084210000}"/>
    <cellStyle name="Normal 6 2 2 2 5 2 2" xfId="11028" xr:uid="{00000000-0005-0000-0000-000085210000}"/>
    <cellStyle name="Normal 6 2 2 2 5 3" xfId="7382" xr:uid="{00000000-0005-0000-0000-000086210000}"/>
    <cellStyle name="Normal 6 2 2 2 6" xfId="2521" xr:uid="{00000000-0005-0000-0000-000087210000}"/>
    <cellStyle name="Normal 6 2 2 2 6 2" xfId="7879" xr:uid="{00000000-0005-0000-0000-000088210000}"/>
    <cellStyle name="Normal 6 2 2 2 7" xfId="3635" xr:uid="{00000000-0005-0000-0000-000089210000}"/>
    <cellStyle name="Normal 6 2 2 2 7 2" xfId="8927" xr:uid="{00000000-0005-0000-0000-00008A210000}"/>
    <cellStyle name="Normal 6 2 2 2 8" xfId="5124" xr:uid="{00000000-0005-0000-0000-00008B210000}"/>
    <cellStyle name="Normal 6 2 2 2 8 2" xfId="10412" xr:uid="{00000000-0005-0000-0000-00008C210000}"/>
    <cellStyle name="Normal 6 2 2 2 9" xfId="6766" xr:uid="{00000000-0005-0000-0000-00008D210000}"/>
    <cellStyle name="Normal 6 2 2 3" xfId="1313" xr:uid="{00000000-0005-0000-0000-00008E210000}"/>
    <cellStyle name="Normal 6 2 2 3 2" xfId="1314" xr:uid="{00000000-0005-0000-0000-00008F210000}"/>
    <cellStyle name="Normal 6 2 2 3 2 2" xfId="3028" xr:uid="{00000000-0005-0000-0000-000090210000}"/>
    <cellStyle name="Normal 6 2 2 3 2 2 2" xfId="8381" xr:uid="{00000000-0005-0000-0000-000091210000}"/>
    <cellStyle name="Normal 6 2 2 3 2 3" xfId="4138" xr:uid="{00000000-0005-0000-0000-000092210000}"/>
    <cellStyle name="Normal 6 2 2 3 2 3 2" xfId="9429" xr:uid="{00000000-0005-0000-0000-000093210000}"/>
    <cellStyle name="Normal 6 2 2 3 2 4" xfId="5131" xr:uid="{00000000-0005-0000-0000-000094210000}"/>
    <cellStyle name="Normal 6 2 2 3 2 4 2" xfId="10419" xr:uid="{00000000-0005-0000-0000-000095210000}"/>
    <cellStyle name="Normal 6 2 2 3 2 5" xfId="6773" xr:uid="{00000000-0005-0000-0000-000096210000}"/>
    <cellStyle name="Normal 6 2 2 3 3" xfId="1972" xr:uid="{00000000-0005-0000-0000-000097210000}"/>
    <cellStyle name="Normal 6 2 2 3 3 2" xfId="5743" xr:uid="{00000000-0005-0000-0000-000098210000}"/>
    <cellStyle name="Normal 6 2 2 3 3 2 2" xfId="11031" xr:uid="{00000000-0005-0000-0000-000099210000}"/>
    <cellStyle name="Normal 6 2 2 3 3 3" xfId="7385" xr:uid="{00000000-0005-0000-0000-00009A210000}"/>
    <cellStyle name="Normal 6 2 2 3 4" xfId="2524" xr:uid="{00000000-0005-0000-0000-00009B210000}"/>
    <cellStyle name="Normal 6 2 2 3 4 2" xfId="7882" xr:uid="{00000000-0005-0000-0000-00009C210000}"/>
    <cellStyle name="Normal 6 2 2 3 5" xfId="3638" xr:uid="{00000000-0005-0000-0000-00009D210000}"/>
    <cellStyle name="Normal 6 2 2 3 5 2" xfId="8930" xr:uid="{00000000-0005-0000-0000-00009E210000}"/>
    <cellStyle name="Normal 6 2 2 3 6" xfId="5130" xr:uid="{00000000-0005-0000-0000-00009F210000}"/>
    <cellStyle name="Normal 6 2 2 3 6 2" xfId="10418" xr:uid="{00000000-0005-0000-0000-0000A0210000}"/>
    <cellStyle name="Normal 6 2 2 3 7" xfId="6772" xr:uid="{00000000-0005-0000-0000-0000A1210000}"/>
    <cellStyle name="Normal 6 2 2 4" xfId="1315" xr:uid="{00000000-0005-0000-0000-0000A2210000}"/>
    <cellStyle name="Normal 6 2 2 4 2" xfId="1316" xr:uid="{00000000-0005-0000-0000-0000A3210000}"/>
    <cellStyle name="Normal 6 2 2 4 2 2" xfId="3029" xr:uid="{00000000-0005-0000-0000-0000A4210000}"/>
    <cellStyle name="Normal 6 2 2 4 2 2 2" xfId="8382" xr:uid="{00000000-0005-0000-0000-0000A5210000}"/>
    <cellStyle name="Normal 6 2 2 4 2 3" xfId="4139" xr:uid="{00000000-0005-0000-0000-0000A6210000}"/>
    <cellStyle name="Normal 6 2 2 4 2 3 2" xfId="9430" xr:uid="{00000000-0005-0000-0000-0000A7210000}"/>
    <cellStyle name="Normal 6 2 2 4 2 4" xfId="5133" xr:uid="{00000000-0005-0000-0000-0000A8210000}"/>
    <cellStyle name="Normal 6 2 2 4 2 4 2" xfId="10421" xr:uid="{00000000-0005-0000-0000-0000A9210000}"/>
    <cellStyle name="Normal 6 2 2 4 2 5" xfId="6775" xr:uid="{00000000-0005-0000-0000-0000AA210000}"/>
    <cellStyle name="Normal 6 2 2 4 3" xfId="1973" xr:uid="{00000000-0005-0000-0000-0000AB210000}"/>
    <cellStyle name="Normal 6 2 2 4 3 2" xfId="5744" xr:uid="{00000000-0005-0000-0000-0000AC210000}"/>
    <cellStyle name="Normal 6 2 2 4 3 2 2" xfId="11032" xr:uid="{00000000-0005-0000-0000-0000AD210000}"/>
    <cellStyle name="Normal 6 2 2 4 3 3" xfId="7386" xr:uid="{00000000-0005-0000-0000-0000AE210000}"/>
    <cellStyle name="Normal 6 2 2 4 4" xfId="2525" xr:uid="{00000000-0005-0000-0000-0000AF210000}"/>
    <cellStyle name="Normal 6 2 2 4 4 2" xfId="7883" xr:uid="{00000000-0005-0000-0000-0000B0210000}"/>
    <cellStyle name="Normal 6 2 2 4 5" xfId="3639" xr:uid="{00000000-0005-0000-0000-0000B1210000}"/>
    <cellStyle name="Normal 6 2 2 4 5 2" xfId="8931" xr:uid="{00000000-0005-0000-0000-0000B2210000}"/>
    <cellStyle name="Normal 6 2 2 4 6" xfId="5132" xr:uid="{00000000-0005-0000-0000-0000B3210000}"/>
    <cellStyle name="Normal 6 2 2 4 6 2" xfId="10420" xr:uid="{00000000-0005-0000-0000-0000B4210000}"/>
    <cellStyle name="Normal 6 2 2 4 7" xfId="6774" xr:uid="{00000000-0005-0000-0000-0000B5210000}"/>
    <cellStyle name="Normal 6 2 2 5" xfId="1317" xr:uid="{00000000-0005-0000-0000-0000B6210000}"/>
    <cellStyle name="Normal 6 2 2 5 2" xfId="3024" xr:uid="{00000000-0005-0000-0000-0000B7210000}"/>
    <cellStyle name="Normal 6 2 2 5 2 2" xfId="8377" xr:uid="{00000000-0005-0000-0000-0000B8210000}"/>
    <cellStyle name="Normal 6 2 2 5 3" xfId="4134" xr:uid="{00000000-0005-0000-0000-0000B9210000}"/>
    <cellStyle name="Normal 6 2 2 5 3 2" xfId="9425" xr:uid="{00000000-0005-0000-0000-0000BA210000}"/>
    <cellStyle name="Normal 6 2 2 5 4" xfId="5134" xr:uid="{00000000-0005-0000-0000-0000BB210000}"/>
    <cellStyle name="Normal 6 2 2 5 4 2" xfId="10422" xr:uid="{00000000-0005-0000-0000-0000BC210000}"/>
    <cellStyle name="Normal 6 2 2 5 5" xfId="6776" xr:uid="{00000000-0005-0000-0000-0000BD210000}"/>
    <cellStyle name="Normal 6 2 2 6" xfId="1968" xr:uid="{00000000-0005-0000-0000-0000BE210000}"/>
    <cellStyle name="Normal 6 2 2 6 2" xfId="5739" xr:uid="{00000000-0005-0000-0000-0000BF210000}"/>
    <cellStyle name="Normal 6 2 2 6 2 2" xfId="11027" xr:uid="{00000000-0005-0000-0000-0000C0210000}"/>
    <cellStyle name="Normal 6 2 2 6 3" xfId="7381" xr:uid="{00000000-0005-0000-0000-0000C1210000}"/>
    <cellStyle name="Normal 6 2 2 7" xfId="2520" xr:uid="{00000000-0005-0000-0000-0000C2210000}"/>
    <cellStyle name="Normal 6 2 2 7 2" xfId="7878" xr:uid="{00000000-0005-0000-0000-0000C3210000}"/>
    <cellStyle name="Normal 6 2 2 8" xfId="3634" xr:uid="{00000000-0005-0000-0000-0000C4210000}"/>
    <cellStyle name="Normal 6 2 2 8 2" xfId="8926" xr:uid="{00000000-0005-0000-0000-0000C5210000}"/>
    <cellStyle name="Normal 6 2 2 9" xfId="5123" xr:uid="{00000000-0005-0000-0000-0000C6210000}"/>
    <cellStyle name="Normal 6 2 2 9 2" xfId="10411" xr:uid="{00000000-0005-0000-0000-0000C7210000}"/>
    <cellStyle name="Normal 6 2 3" xfId="1318" xr:uid="{00000000-0005-0000-0000-0000C8210000}"/>
    <cellStyle name="Normal 6 2 3 2" xfId="1319" xr:uid="{00000000-0005-0000-0000-0000C9210000}"/>
    <cellStyle name="Normal 6 2 3 2 2" xfId="1320" xr:uid="{00000000-0005-0000-0000-0000CA210000}"/>
    <cellStyle name="Normal 6 2 3 2 2 2" xfId="3031" xr:uid="{00000000-0005-0000-0000-0000CB210000}"/>
    <cellStyle name="Normal 6 2 3 2 2 2 2" xfId="8384" xr:uid="{00000000-0005-0000-0000-0000CC210000}"/>
    <cellStyle name="Normal 6 2 3 2 2 3" xfId="4141" xr:uid="{00000000-0005-0000-0000-0000CD210000}"/>
    <cellStyle name="Normal 6 2 3 2 2 3 2" xfId="9432" xr:uid="{00000000-0005-0000-0000-0000CE210000}"/>
    <cellStyle name="Normal 6 2 3 2 2 4" xfId="5137" xr:uid="{00000000-0005-0000-0000-0000CF210000}"/>
    <cellStyle name="Normal 6 2 3 2 2 4 2" xfId="10425" xr:uid="{00000000-0005-0000-0000-0000D0210000}"/>
    <cellStyle name="Normal 6 2 3 2 2 5" xfId="6779" xr:uid="{00000000-0005-0000-0000-0000D1210000}"/>
    <cellStyle name="Normal 6 2 3 2 3" xfId="1975" xr:uid="{00000000-0005-0000-0000-0000D2210000}"/>
    <cellStyle name="Normal 6 2 3 2 3 2" xfId="5746" xr:uid="{00000000-0005-0000-0000-0000D3210000}"/>
    <cellStyle name="Normal 6 2 3 2 3 2 2" xfId="11034" xr:uid="{00000000-0005-0000-0000-0000D4210000}"/>
    <cellStyle name="Normal 6 2 3 2 3 3" xfId="7388" xr:uid="{00000000-0005-0000-0000-0000D5210000}"/>
    <cellStyle name="Normal 6 2 3 2 4" xfId="2527" xr:uid="{00000000-0005-0000-0000-0000D6210000}"/>
    <cellStyle name="Normal 6 2 3 2 4 2" xfId="7885" xr:uid="{00000000-0005-0000-0000-0000D7210000}"/>
    <cellStyle name="Normal 6 2 3 2 5" xfId="3641" xr:uid="{00000000-0005-0000-0000-0000D8210000}"/>
    <cellStyle name="Normal 6 2 3 2 5 2" xfId="8933" xr:uid="{00000000-0005-0000-0000-0000D9210000}"/>
    <cellStyle name="Normal 6 2 3 2 6" xfId="5136" xr:uid="{00000000-0005-0000-0000-0000DA210000}"/>
    <cellStyle name="Normal 6 2 3 2 6 2" xfId="10424" xr:uid="{00000000-0005-0000-0000-0000DB210000}"/>
    <cellStyle name="Normal 6 2 3 2 7" xfId="6778" xr:uid="{00000000-0005-0000-0000-0000DC210000}"/>
    <cellStyle name="Normal 6 2 3 3" xfId="1321" xr:uid="{00000000-0005-0000-0000-0000DD210000}"/>
    <cellStyle name="Normal 6 2 3 3 2" xfId="1322" xr:uid="{00000000-0005-0000-0000-0000DE210000}"/>
    <cellStyle name="Normal 6 2 3 3 2 2" xfId="3032" xr:uid="{00000000-0005-0000-0000-0000DF210000}"/>
    <cellStyle name="Normal 6 2 3 3 2 2 2" xfId="8385" xr:uid="{00000000-0005-0000-0000-0000E0210000}"/>
    <cellStyle name="Normal 6 2 3 3 2 3" xfId="4142" xr:uid="{00000000-0005-0000-0000-0000E1210000}"/>
    <cellStyle name="Normal 6 2 3 3 2 3 2" xfId="9433" xr:uid="{00000000-0005-0000-0000-0000E2210000}"/>
    <cellStyle name="Normal 6 2 3 3 2 4" xfId="5139" xr:uid="{00000000-0005-0000-0000-0000E3210000}"/>
    <cellStyle name="Normal 6 2 3 3 2 4 2" xfId="10427" xr:uid="{00000000-0005-0000-0000-0000E4210000}"/>
    <cellStyle name="Normal 6 2 3 3 2 5" xfId="6781" xr:uid="{00000000-0005-0000-0000-0000E5210000}"/>
    <cellStyle name="Normal 6 2 3 3 3" xfId="1976" xr:uid="{00000000-0005-0000-0000-0000E6210000}"/>
    <cellStyle name="Normal 6 2 3 3 3 2" xfId="5747" xr:uid="{00000000-0005-0000-0000-0000E7210000}"/>
    <cellStyle name="Normal 6 2 3 3 3 2 2" xfId="11035" xr:uid="{00000000-0005-0000-0000-0000E8210000}"/>
    <cellStyle name="Normal 6 2 3 3 3 3" xfId="7389" xr:uid="{00000000-0005-0000-0000-0000E9210000}"/>
    <cellStyle name="Normal 6 2 3 3 4" xfId="2528" xr:uid="{00000000-0005-0000-0000-0000EA210000}"/>
    <cellStyle name="Normal 6 2 3 3 4 2" xfId="7886" xr:uid="{00000000-0005-0000-0000-0000EB210000}"/>
    <cellStyle name="Normal 6 2 3 3 5" xfId="3642" xr:uid="{00000000-0005-0000-0000-0000EC210000}"/>
    <cellStyle name="Normal 6 2 3 3 5 2" xfId="8934" xr:uid="{00000000-0005-0000-0000-0000ED210000}"/>
    <cellStyle name="Normal 6 2 3 3 6" xfId="5138" xr:uid="{00000000-0005-0000-0000-0000EE210000}"/>
    <cellStyle name="Normal 6 2 3 3 6 2" xfId="10426" xr:uid="{00000000-0005-0000-0000-0000EF210000}"/>
    <cellStyle name="Normal 6 2 3 3 7" xfId="6780" xr:uid="{00000000-0005-0000-0000-0000F0210000}"/>
    <cellStyle name="Normal 6 2 3 4" xfId="1323" xr:uid="{00000000-0005-0000-0000-0000F1210000}"/>
    <cellStyle name="Normal 6 2 3 4 2" xfId="3030" xr:uid="{00000000-0005-0000-0000-0000F2210000}"/>
    <cellStyle name="Normal 6 2 3 4 2 2" xfId="8383" xr:uid="{00000000-0005-0000-0000-0000F3210000}"/>
    <cellStyle name="Normal 6 2 3 4 3" xfId="4140" xr:uid="{00000000-0005-0000-0000-0000F4210000}"/>
    <cellStyle name="Normal 6 2 3 4 3 2" xfId="9431" xr:uid="{00000000-0005-0000-0000-0000F5210000}"/>
    <cellStyle name="Normal 6 2 3 4 4" xfId="5140" xr:uid="{00000000-0005-0000-0000-0000F6210000}"/>
    <cellStyle name="Normal 6 2 3 4 4 2" xfId="10428" xr:uid="{00000000-0005-0000-0000-0000F7210000}"/>
    <cellStyle name="Normal 6 2 3 4 5" xfId="6782" xr:uid="{00000000-0005-0000-0000-0000F8210000}"/>
    <cellStyle name="Normal 6 2 3 5" xfId="1974" xr:uid="{00000000-0005-0000-0000-0000F9210000}"/>
    <cellStyle name="Normal 6 2 3 5 2" xfId="5745" xr:uid="{00000000-0005-0000-0000-0000FA210000}"/>
    <cellStyle name="Normal 6 2 3 5 2 2" xfId="11033" xr:uid="{00000000-0005-0000-0000-0000FB210000}"/>
    <cellStyle name="Normal 6 2 3 5 3" xfId="7387" xr:uid="{00000000-0005-0000-0000-0000FC210000}"/>
    <cellStyle name="Normal 6 2 3 6" xfId="2526" xr:uid="{00000000-0005-0000-0000-0000FD210000}"/>
    <cellStyle name="Normal 6 2 3 6 2" xfId="7884" xr:uid="{00000000-0005-0000-0000-0000FE210000}"/>
    <cellStyle name="Normal 6 2 3 7" xfId="3640" xr:uid="{00000000-0005-0000-0000-0000FF210000}"/>
    <cellStyle name="Normal 6 2 3 7 2" xfId="8932" xr:uid="{00000000-0005-0000-0000-000000220000}"/>
    <cellStyle name="Normal 6 2 3 8" xfId="5135" xr:uid="{00000000-0005-0000-0000-000001220000}"/>
    <cellStyle name="Normal 6 2 3 8 2" xfId="10423" xr:uid="{00000000-0005-0000-0000-000002220000}"/>
    <cellStyle name="Normal 6 2 3 9" xfId="6777" xr:uid="{00000000-0005-0000-0000-000003220000}"/>
    <cellStyle name="Normal 6 2 4" xfId="1324" xr:uid="{00000000-0005-0000-0000-000004220000}"/>
    <cellStyle name="Normal 6 2 4 2" xfId="1325" xr:uid="{00000000-0005-0000-0000-000005220000}"/>
    <cellStyle name="Normal 6 2 4 2 2" xfId="3033" xr:uid="{00000000-0005-0000-0000-000006220000}"/>
    <cellStyle name="Normal 6 2 4 2 2 2" xfId="8386" xr:uid="{00000000-0005-0000-0000-000007220000}"/>
    <cellStyle name="Normal 6 2 4 2 3" xfId="4143" xr:uid="{00000000-0005-0000-0000-000008220000}"/>
    <cellStyle name="Normal 6 2 4 2 3 2" xfId="9434" xr:uid="{00000000-0005-0000-0000-000009220000}"/>
    <cellStyle name="Normal 6 2 4 2 4" xfId="5142" xr:uid="{00000000-0005-0000-0000-00000A220000}"/>
    <cellStyle name="Normal 6 2 4 2 4 2" xfId="10430" xr:uid="{00000000-0005-0000-0000-00000B220000}"/>
    <cellStyle name="Normal 6 2 4 2 5" xfId="6784" xr:uid="{00000000-0005-0000-0000-00000C220000}"/>
    <cellStyle name="Normal 6 2 4 3" xfId="1977" xr:uid="{00000000-0005-0000-0000-00000D220000}"/>
    <cellStyle name="Normal 6 2 4 3 2" xfId="5748" xr:uid="{00000000-0005-0000-0000-00000E220000}"/>
    <cellStyle name="Normal 6 2 4 3 2 2" xfId="11036" xr:uid="{00000000-0005-0000-0000-00000F220000}"/>
    <cellStyle name="Normal 6 2 4 3 3" xfId="7390" xr:uid="{00000000-0005-0000-0000-000010220000}"/>
    <cellStyle name="Normal 6 2 4 4" xfId="2529" xr:uid="{00000000-0005-0000-0000-000011220000}"/>
    <cellStyle name="Normal 6 2 4 4 2" xfId="7887" xr:uid="{00000000-0005-0000-0000-000012220000}"/>
    <cellStyle name="Normal 6 2 4 5" xfId="3643" xr:uid="{00000000-0005-0000-0000-000013220000}"/>
    <cellStyle name="Normal 6 2 4 5 2" xfId="8935" xr:uid="{00000000-0005-0000-0000-000014220000}"/>
    <cellStyle name="Normal 6 2 4 6" xfId="5141" xr:uid="{00000000-0005-0000-0000-000015220000}"/>
    <cellStyle name="Normal 6 2 4 6 2" xfId="10429" xr:uid="{00000000-0005-0000-0000-000016220000}"/>
    <cellStyle name="Normal 6 2 4 7" xfId="6783" xr:uid="{00000000-0005-0000-0000-000017220000}"/>
    <cellStyle name="Normal 6 2 5" xfId="1326" xr:uid="{00000000-0005-0000-0000-000018220000}"/>
    <cellStyle name="Normal 6 2 5 2" xfId="1327" xr:uid="{00000000-0005-0000-0000-000019220000}"/>
    <cellStyle name="Normal 6 2 5 2 2" xfId="3034" xr:uid="{00000000-0005-0000-0000-00001A220000}"/>
    <cellStyle name="Normal 6 2 5 2 2 2" xfId="8387" xr:uid="{00000000-0005-0000-0000-00001B220000}"/>
    <cellStyle name="Normal 6 2 5 2 3" xfId="4144" xr:uid="{00000000-0005-0000-0000-00001C220000}"/>
    <cellStyle name="Normal 6 2 5 2 3 2" xfId="9435" xr:uid="{00000000-0005-0000-0000-00001D220000}"/>
    <cellStyle name="Normal 6 2 5 2 4" xfId="5144" xr:uid="{00000000-0005-0000-0000-00001E220000}"/>
    <cellStyle name="Normal 6 2 5 2 4 2" xfId="10432" xr:uid="{00000000-0005-0000-0000-00001F220000}"/>
    <cellStyle name="Normal 6 2 5 2 5" xfId="6786" xr:uid="{00000000-0005-0000-0000-000020220000}"/>
    <cellStyle name="Normal 6 2 5 3" xfId="1978" xr:uid="{00000000-0005-0000-0000-000021220000}"/>
    <cellStyle name="Normal 6 2 5 3 2" xfId="5749" xr:uid="{00000000-0005-0000-0000-000022220000}"/>
    <cellStyle name="Normal 6 2 5 3 2 2" xfId="11037" xr:uid="{00000000-0005-0000-0000-000023220000}"/>
    <cellStyle name="Normal 6 2 5 3 3" xfId="7391" xr:uid="{00000000-0005-0000-0000-000024220000}"/>
    <cellStyle name="Normal 6 2 5 4" xfId="2530" xr:uid="{00000000-0005-0000-0000-000025220000}"/>
    <cellStyle name="Normal 6 2 5 4 2" xfId="7888" xr:uid="{00000000-0005-0000-0000-000026220000}"/>
    <cellStyle name="Normal 6 2 5 5" xfId="3644" xr:uid="{00000000-0005-0000-0000-000027220000}"/>
    <cellStyle name="Normal 6 2 5 5 2" xfId="8936" xr:uid="{00000000-0005-0000-0000-000028220000}"/>
    <cellStyle name="Normal 6 2 5 6" xfId="5143" xr:uid="{00000000-0005-0000-0000-000029220000}"/>
    <cellStyle name="Normal 6 2 5 6 2" xfId="10431" xr:uid="{00000000-0005-0000-0000-00002A220000}"/>
    <cellStyle name="Normal 6 2 5 7" xfId="6785" xr:uid="{00000000-0005-0000-0000-00002B220000}"/>
    <cellStyle name="Normal 6 2 6" xfId="1328" xr:uid="{00000000-0005-0000-0000-00002C220000}"/>
    <cellStyle name="Normal 6 2 6 2" xfId="3023" xr:uid="{00000000-0005-0000-0000-00002D220000}"/>
    <cellStyle name="Normal 6 2 6 2 2" xfId="8376" xr:uid="{00000000-0005-0000-0000-00002E220000}"/>
    <cellStyle name="Normal 6 2 6 3" xfId="4133" xr:uid="{00000000-0005-0000-0000-00002F220000}"/>
    <cellStyle name="Normal 6 2 6 3 2" xfId="9424" xr:uid="{00000000-0005-0000-0000-000030220000}"/>
    <cellStyle name="Normal 6 2 6 4" xfId="5145" xr:uid="{00000000-0005-0000-0000-000031220000}"/>
    <cellStyle name="Normal 6 2 6 4 2" xfId="10433" xr:uid="{00000000-0005-0000-0000-000032220000}"/>
    <cellStyle name="Normal 6 2 6 5" xfId="6787" xr:uid="{00000000-0005-0000-0000-000033220000}"/>
    <cellStyle name="Normal 6 2 7" xfId="1967" xr:uid="{00000000-0005-0000-0000-000034220000}"/>
    <cellStyle name="Normal 6 2 7 2" xfId="5738" xr:uid="{00000000-0005-0000-0000-000035220000}"/>
    <cellStyle name="Normal 6 2 7 2 2" xfId="11026" xr:uid="{00000000-0005-0000-0000-000036220000}"/>
    <cellStyle name="Normal 6 2 7 3" xfId="7380" xr:uid="{00000000-0005-0000-0000-000037220000}"/>
    <cellStyle name="Normal 6 2 8" xfId="2519" xr:uid="{00000000-0005-0000-0000-000038220000}"/>
    <cellStyle name="Normal 6 2 8 2" xfId="5883" xr:uid="{00000000-0005-0000-0000-000039220000}"/>
    <cellStyle name="Normal 6 2 8 3" xfId="7877" xr:uid="{00000000-0005-0000-0000-00003A220000}"/>
    <cellStyle name="Normal 6 2 9" xfId="3200" xr:uid="{00000000-0005-0000-0000-00003B220000}"/>
    <cellStyle name="Normal 6 3" xfId="1329" xr:uid="{00000000-0005-0000-0000-00003C220000}"/>
    <cellStyle name="Normal 6 3 10" xfId="5146" xr:uid="{00000000-0005-0000-0000-00003D220000}"/>
    <cellStyle name="Normal 6 3 10 2" xfId="10434" xr:uid="{00000000-0005-0000-0000-00003E220000}"/>
    <cellStyle name="Normal 6 3 11" xfId="6788" xr:uid="{00000000-0005-0000-0000-00003F220000}"/>
    <cellStyle name="Normal 6 3 2" xfId="1330" xr:uid="{00000000-0005-0000-0000-000040220000}"/>
    <cellStyle name="Normal 6 3 2 10" xfId="6789" xr:uid="{00000000-0005-0000-0000-000041220000}"/>
    <cellStyle name="Normal 6 3 2 2" xfId="1331" xr:uid="{00000000-0005-0000-0000-000042220000}"/>
    <cellStyle name="Normal 6 3 2 2 2" xfId="1332" xr:uid="{00000000-0005-0000-0000-000043220000}"/>
    <cellStyle name="Normal 6 3 2 2 2 2" xfId="1333" xr:uid="{00000000-0005-0000-0000-000044220000}"/>
    <cellStyle name="Normal 6 3 2 2 2 2 2" xfId="3038" xr:uid="{00000000-0005-0000-0000-000045220000}"/>
    <cellStyle name="Normal 6 3 2 2 2 2 2 2" xfId="8391" xr:uid="{00000000-0005-0000-0000-000046220000}"/>
    <cellStyle name="Normal 6 3 2 2 2 2 3" xfId="4148" xr:uid="{00000000-0005-0000-0000-000047220000}"/>
    <cellStyle name="Normal 6 3 2 2 2 2 3 2" xfId="9439" xr:uid="{00000000-0005-0000-0000-000048220000}"/>
    <cellStyle name="Normal 6 3 2 2 2 2 4" xfId="5150" xr:uid="{00000000-0005-0000-0000-000049220000}"/>
    <cellStyle name="Normal 6 3 2 2 2 2 4 2" xfId="10438" xr:uid="{00000000-0005-0000-0000-00004A220000}"/>
    <cellStyle name="Normal 6 3 2 2 2 2 5" xfId="6792" xr:uid="{00000000-0005-0000-0000-00004B220000}"/>
    <cellStyle name="Normal 6 3 2 2 2 3" xfId="1982" xr:uid="{00000000-0005-0000-0000-00004C220000}"/>
    <cellStyle name="Normal 6 3 2 2 2 3 2" xfId="5753" xr:uid="{00000000-0005-0000-0000-00004D220000}"/>
    <cellStyle name="Normal 6 3 2 2 2 3 2 2" xfId="11041" xr:uid="{00000000-0005-0000-0000-00004E220000}"/>
    <cellStyle name="Normal 6 3 2 2 2 3 3" xfId="7395" xr:uid="{00000000-0005-0000-0000-00004F220000}"/>
    <cellStyle name="Normal 6 3 2 2 2 4" xfId="2534" xr:uid="{00000000-0005-0000-0000-000050220000}"/>
    <cellStyle name="Normal 6 3 2 2 2 4 2" xfId="7892" xr:uid="{00000000-0005-0000-0000-000051220000}"/>
    <cellStyle name="Normal 6 3 2 2 2 5" xfId="3648" xr:uid="{00000000-0005-0000-0000-000052220000}"/>
    <cellStyle name="Normal 6 3 2 2 2 5 2" xfId="8940" xr:uid="{00000000-0005-0000-0000-000053220000}"/>
    <cellStyle name="Normal 6 3 2 2 2 6" xfId="5149" xr:uid="{00000000-0005-0000-0000-000054220000}"/>
    <cellStyle name="Normal 6 3 2 2 2 6 2" xfId="10437" xr:uid="{00000000-0005-0000-0000-000055220000}"/>
    <cellStyle name="Normal 6 3 2 2 2 7" xfId="6791" xr:uid="{00000000-0005-0000-0000-000056220000}"/>
    <cellStyle name="Normal 6 3 2 2 3" xfId="1334" xr:uid="{00000000-0005-0000-0000-000057220000}"/>
    <cellStyle name="Normal 6 3 2 2 3 2" xfId="1335" xr:uid="{00000000-0005-0000-0000-000058220000}"/>
    <cellStyle name="Normal 6 3 2 2 3 2 2" xfId="3039" xr:uid="{00000000-0005-0000-0000-000059220000}"/>
    <cellStyle name="Normal 6 3 2 2 3 2 2 2" xfId="8392" xr:uid="{00000000-0005-0000-0000-00005A220000}"/>
    <cellStyle name="Normal 6 3 2 2 3 2 3" xfId="4149" xr:uid="{00000000-0005-0000-0000-00005B220000}"/>
    <cellStyle name="Normal 6 3 2 2 3 2 3 2" xfId="9440" xr:uid="{00000000-0005-0000-0000-00005C220000}"/>
    <cellStyle name="Normal 6 3 2 2 3 2 4" xfId="5152" xr:uid="{00000000-0005-0000-0000-00005D220000}"/>
    <cellStyle name="Normal 6 3 2 2 3 2 4 2" xfId="10440" xr:uid="{00000000-0005-0000-0000-00005E220000}"/>
    <cellStyle name="Normal 6 3 2 2 3 2 5" xfId="6794" xr:uid="{00000000-0005-0000-0000-00005F220000}"/>
    <cellStyle name="Normal 6 3 2 2 3 3" xfId="1983" xr:uid="{00000000-0005-0000-0000-000060220000}"/>
    <cellStyle name="Normal 6 3 2 2 3 3 2" xfId="5754" xr:uid="{00000000-0005-0000-0000-000061220000}"/>
    <cellStyle name="Normal 6 3 2 2 3 3 2 2" xfId="11042" xr:uid="{00000000-0005-0000-0000-000062220000}"/>
    <cellStyle name="Normal 6 3 2 2 3 3 3" xfId="7396" xr:uid="{00000000-0005-0000-0000-000063220000}"/>
    <cellStyle name="Normal 6 3 2 2 3 4" xfId="2535" xr:uid="{00000000-0005-0000-0000-000064220000}"/>
    <cellStyle name="Normal 6 3 2 2 3 4 2" xfId="7893" xr:uid="{00000000-0005-0000-0000-000065220000}"/>
    <cellStyle name="Normal 6 3 2 2 3 5" xfId="3649" xr:uid="{00000000-0005-0000-0000-000066220000}"/>
    <cellStyle name="Normal 6 3 2 2 3 5 2" xfId="8941" xr:uid="{00000000-0005-0000-0000-000067220000}"/>
    <cellStyle name="Normal 6 3 2 2 3 6" xfId="5151" xr:uid="{00000000-0005-0000-0000-000068220000}"/>
    <cellStyle name="Normal 6 3 2 2 3 6 2" xfId="10439" xr:uid="{00000000-0005-0000-0000-000069220000}"/>
    <cellStyle name="Normal 6 3 2 2 3 7" xfId="6793" xr:uid="{00000000-0005-0000-0000-00006A220000}"/>
    <cellStyle name="Normal 6 3 2 2 4" xfId="1336" xr:uid="{00000000-0005-0000-0000-00006B220000}"/>
    <cellStyle name="Normal 6 3 2 2 4 2" xfId="3037" xr:uid="{00000000-0005-0000-0000-00006C220000}"/>
    <cellStyle name="Normal 6 3 2 2 4 2 2" xfId="8390" xr:uid="{00000000-0005-0000-0000-00006D220000}"/>
    <cellStyle name="Normal 6 3 2 2 4 3" xfId="4147" xr:uid="{00000000-0005-0000-0000-00006E220000}"/>
    <cellStyle name="Normal 6 3 2 2 4 3 2" xfId="9438" xr:uid="{00000000-0005-0000-0000-00006F220000}"/>
    <cellStyle name="Normal 6 3 2 2 4 4" xfId="5153" xr:uid="{00000000-0005-0000-0000-000070220000}"/>
    <cellStyle name="Normal 6 3 2 2 4 4 2" xfId="10441" xr:uid="{00000000-0005-0000-0000-000071220000}"/>
    <cellStyle name="Normal 6 3 2 2 4 5" xfId="6795" xr:uid="{00000000-0005-0000-0000-000072220000}"/>
    <cellStyle name="Normal 6 3 2 2 5" xfId="1981" xr:uid="{00000000-0005-0000-0000-000073220000}"/>
    <cellStyle name="Normal 6 3 2 2 5 2" xfId="5752" xr:uid="{00000000-0005-0000-0000-000074220000}"/>
    <cellStyle name="Normal 6 3 2 2 5 2 2" xfId="11040" xr:uid="{00000000-0005-0000-0000-000075220000}"/>
    <cellStyle name="Normal 6 3 2 2 5 3" xfId="7394" xr:uid="{00000000-0005-0000-0000-000076220000}"/>
    <cellStyle name="Normal 6 3 2 2 6" xfId="2533" xr:uid="{00000000-0005-0000-0000-000077220000}"/>
    <cellStyle name="Normal 6 3 2 2 6 2" xfId="7891" xr:uid="{00000000-0005-0000-0000-000078220000}"/>
    <cellStyle name="Normal 6 3 2 2 7" xfId="3647" xr:uid="{00000000-0005-0000-0000-000079220000}"/>
    <cellStyle name="Normal 6 3 2 2 7 2" xfId="8939" xr:uid="{00000000-0005-0000-0000-00007A220000}"/>
    <cellStyle name="Normal 6 3 2 2 8" xfId="5148" xr:uid="{00000000-0005-0000-0000-00007B220000}"/>
    <cellStyle name="Normal 6 3 2 2 8 2" xfId="10436" xr:uid="{00000000-0005-0000-0000-00007C220000}"/>
    <cellStyle name="Normal 6 3 2 2 9" xfId="6790" xr:uid="{00000000-0005-0000-0000-00007D220000}"/>
    <cellStyle name="Normal 6 3 2 3" xfId="1337" xr:uid="{00000000-0005-0000-0000-00007E220000}"/>
    <cellStyle name="Normal 6 3 2 3 2" xfId="1338" xr:uid="{00000000-0005-0000-0000-00007F220000}"/>
    <cellStyle name="Normal 6 3 2 3 2 2" xfId="3040" xr:uid="{00000000-0005-0000-0000-000080220000}"/>
    <cellStyle name="Normal 6 3 2 3 2 2 2" xfId="8393" xr:uid="{00000000-0005-0000-0000-000081220000}"/>
    <cellStyle name="Normal 6 3 2 3 2 3" xfId="4150" xr:uid="{00000000-0005-0000-0000-000082220000}"/>
    <cellStyle name="Normal 6 3 2 3 2 3 2" xfId="9441" xr:uid="{00000000-0005-0000-0000-000083220000}"/>
    <cellStyle name="Normal 6 3 2 3 2 4" xfId="5155" xr:uid="{00000000-0005-0000-0000-000084220000}"/>
    <cellStyle name="Normal 6 3 2 3 2 4 2" xfId="10443" xr:uid="{00000000-0005-0000-0000-000085220000}"/>
    <cellStyle name="Normal 6 3 2 3 2 5" xfId="6797" xr:uid="{00000000-0005-0000-0000-000086220000}"/>
    <cellStyle name="Normal 6 3 2 3 3" xfId="1984" xr:uid="{00000000-0005-0000-0000-000087220000}"/>
    <cellStyle name="Normal 6 3 2 3 3 2" xfId="5755" xr:uid="{00000000-0005-0000-0000-000088220000}"/>
    <cellStyle name="Normal 6 3 2 3 3 2 2" xfId="11043" xr:uid="{00000000-0005-0000-0000-000089220000}"/>
    <cellStyle name="Normal 6 3 2 3 3 3" xfId="7397" xr:uid="{00000000-0005-0000-0000-00008A220000}"/>
    <cellStyle name="Normal 6 3 2 3 4" xfId="2536" xr:uid="{00000000-0005-0000-0000-00008B220000}"/>
    <cellStyle name="Normal 6 3 2 3 4 2" xfId="7894" xr:uid="{00000000-0005-0000-0000-00008C220000}"/>
    <cellStyle name="Normal 6 3 2 3 5" xfId="3650" xr:uid="{00000000-0005-0000-0000-00008D220000}"/>
    <cellStyle name="Normal 6 3 2 3 5 2" xfId="8942" xr:uid="{00000000-0005-0000-0000-00008E220000}"/>
    <cellStyle name="Normal 6 3 2 3 6" xfId="5154" xr:uid="{00000000-0005-0000-0000-00008F220000}"/>
    <cellStyle name="Normal 6 3 2 3 6 2" xfId="10442" xr:uid="{00000000-0005-0000-0000-000090220000}"/>
    <cellStyle name="Normal 6 3 2 3 7" xfId="6796" xr:uid="{00000000-0005-0000-0000-000091220000}"/>
    <cellStyle name="Normal 6 3 2 4" xfId="1339" xr:uid="{00000000-0005-0000-0000-000092220000}"/>
    <cellStyle name="Normal 6 3 2 4 2" xfId="1340" xr:uid="{00000000-0005-0000-0000-000093220000}"/>
    <cellStyle name="Normal 6 3 2 4 2 2" xfId="3041" xr:uid="{00000000-0005-0000-0000-000094220000}"/>
    <cellStyle name="Normal 6 3 2 4 2 2 2" xfId="8394" xr:uid="{00000000-0005-0000-0000-000095220000}"/>
    <cellStyle name="Normal 6 3 2 4 2 3" xfId="4151" xr:uid="{00000000-0005-0000-0000-000096220000}"/>
    <cellStyle name="Normal 6 3 2 4 2 3 2" xfId="9442" xr:uid="{00000000-0005-0000-0000-000097220000}"/>
    <cellStyle name="Normal 6 3 2 4 2 4" xfId="5157" xr:uid="{00000000-0005-0000-0000-000098220000}"/>
    <cellStyle name="Normal 6 3 2 4 2 4 2" xfId="10445" xr:uid="{00000000-0005-0000-0000-000099220000}"/>
    <cellStyle name="Normal 6 3 2 4 2 5" xfId="6799" xr:uid="{00000000-0005-0000-0000-00009A220000}"/>
    <cellStyle name="Normal 6 3 2 4 3" xfId="1985" xr:uid="{00000000-0005-0000-0000-00009B220000}"/>
    <cellStyle name="Normal 6 3 2 4 3 2" xfId="5756" xr:uid="{00000000-0005-0000-0000-00009C220000}"/>
    <cellStyle name="Normal 6 3 2 4 3 2 2" xfId="11044" xr:uid="{00000000-0005-0000-0000-00009D220000}"/>
    <cellStyle name="Normal 6 3 2 4 3 3" xfId="7398" xr:uid="{00000000-0005-0000-0000-00009E220000}"/>
    <cellStyle name="Normal 6 3 2 4 4" xfId="2537" xr:uid="{00000000-0005-0000-0000-00009F220000}"/>
    <cellStyle name="Normal 6 3 2 4 4 2" xfId="7895" xr:uid="{00000000-0005-0000-0000-0000A0220000}"/>
    <cellStyle name="Normal 6 3 2 4 5" xfId="3651" xr:uid="{00000000-0005-0000-0000-0000A1220000}"/>
    <cellStyle name="Normal 6 3 2 4 5 2" xfId="8943" xr:uid="{00000000-0005-0000-0000-0000A2220000}"/>
    <cellStyle name="Normal 6 3 2 4 6" xfId="5156" xr:uid="{00000000-0005-0000-0000-0000A3220000}"/>
    <cellStyle name="Normal 6 3 2 4 6 2" xfId="10444" xr:uid="{00000000-0005-0000-0000-0000A4220000}"/>
    <cellStyle name="Normal 6 3 2 4 7" xfId="6798" xr:uid="{00000000-0005-0000-0000-0000A5220000}"/>
    <cellStyle name="Normal 6 3 2 5" xfId="1341" xr:uid="{00000000-0005-0000-0000-0000A6220000}"/>
    <cellStyle name="Normal 6 3 2 5 2" xfId="3036" xr:uid="{00000000-0005-0000-0000-0000A7220000}"/>
    <cellStyle name="Normal 6 3 2 5 2 2" xfId="8389" xr:uid="{00000000-0005-0000-0000-0000A8220000}"/>
    <cellStyle name="Normal 6 3 2 5 3" xfId="4146" xr:uid="{00000000-0005-0000-0000-0000A9220000}"/>
    <cellStyle name="Normal 6 3 2 5 3 2" xfId="9437" xr:uid="{00000000-0005-0000-0000-0000AA220000}"/>
    <cellStyle name="Normal 6 3 2 5 4" xfId="5158" xr:uid="{00000000-0005-0000-0000-0000AB220000}"/>
    <cellStyle name="Normal 6 3 2 5 4 2" xfId="10446" xr:uid="{00000000-0005-0000-0000-0000AC220000}"/>
    <cellStyle name="Normal 6 3 2 5 5" xfId="6800" xr:uid="{00000000-0005-0000-0000-0000AD220000}"/>
    <cellStyle name="Normal 6 3 2 6" xfId="1980" xr:uid="{00000000-0005-0000-0000-0000AE220000}"/>
    <cellStyle name="Normal 6 3 2 6 2" xfId="5751" xr:uid="{00000000-0005-0000-0000-0000AF220000}"/>
    <cellStyle name="Normal 6 3 2 6 2 2" xfId="11039" xr:uid="{00000000-0005-0000-0000-0000B0220000}"/>
    <cellStyle name="Normal 6 3 2 6 3" xfId="7393" xr:uid="{00000000-0005-0000-0000-0000B1220000}"/>
    <cellStyle name="Normal 6 3 2 7" xfId="2532" xr:uid="{00000000-0005-0000-0000-0000B2220000}"/>
    <cellStyle name="Normal 6 3 2 7 2" xfId="7890" xr:uid="{00000000-0005-0000-0000-0000B3220000}"/>
    <cellStyle name="Normal 6 3 2 8" xfId="3646" xr:uid="{00000000-0005-0000-0000-0000B4220000}"/>
    <cellStyle name="Normal 6 3 2 8 2" xfId="8938" xr:uid="{00000000-0005-0000-0000-0000B5220000}"/>
    <cellStyle name="Normal 6 3 2 9" xfId="5147" xr:uid="{00000000-0005-0000-0000-0000B6220000}"/>
    <cellStyle name="Normal 6 3 2 9 2" xfId="10435" xr:uid="{00000000-0005-0000-0000-0000B7220000}"/>
    <cellStyle name="Normal 6 3 3" xfId="1342" xr:uid="{00000000-0005-0000-0000-0000B8220000}"/>
    <cellStyle name="Normal 6 3 3 2" xfId="1343" xr:uid="{00000000-0005-0000-0000-0000B9220000}"/>
    <cellStyle name="Normal 6 3 3 2 2" xfId="1344" xr:uid="{00000000-0005-0000-0000-0000BA220000}"/>
    <cellStyle name="Normal 6 3 3 2 2 2" xfId="3043" xr:uid="{00000000-0005-0000-0000-0000BB220000}"/>
    <cellStyle name="Normal 6 3 3 2 2 2 2" xfId="8396" xr:uid="{00000000-0005-0000-0000-0000BC220000}"/>
    <cellStyle name="Normal 6 3 3 2 2 3" xfId="4153" xr:uid="{00000000-0005-0000-0000-0000BD220000}"/>
    <cellStyle name="Normal 6 3 3 2 2 3 2" xfId="9444" xr:uid="{00000000-0005-0000-0000-0000BE220000}"/>
    <cellStyle name="Normal 6 3 3 2 2 4" xfId="5161" xr:uid="{00000000-0005-0000-0000-0000BF220000}"/>
    <cellStyle name="Normal 6 3 3 2 2 4 2" xfId="10449" xr:uid="{00000000-0005-0000-0000-0000C0220000}"/>
    <cellStyle name="Normal 6 3 3 2 2 5" xfId="6803" xr:uid="{00000000-0005-0000-0000-0000C1220000}"/>
    <cellStyle name="Normal 6 3 3 2 3" xfId="1987" xr:uid="{00000000-0005-0000-0000-0000C2220000}"/>
    <cellStyle name="Normal 6 3 3 2 3 2" xfId="5758" xr:uid="{00000000-0005-0000-0000-0000C3220000}"/>
    <cellStyle name="Normal 6 3 3 2 3 2 2" xfId="11046" xr:uid="{00000000-0005-0000-0000-0000C4220000}"/>
    <cellStyle name="Normal 6 3 3 2 3 3" xfId="7400" xr:uid="{00000000-0005-0000-0000-0000C5220000}"/>
    <cellStyle name="Normal 6 3 3 2 4" xfId="2539" xr:uid="{00000000-0005-0000-0000-0000C6220000}"/>
    <cellStyle name="Normal 6 3 3 2 4 2" xfId="7897" xr:uid="{00000000-0005-0000-0000-0000C7220000}"/>
    <cellStyle name="Normal 6 3 3 2 5" xfId="3653" xr:uid="{00000000-0005-0000-0000-0000C8220000}"/>
    <cellStyle name="Normal 6 3 3 2 5 2" xfId="8945" xr:uid="{00000000-0005-0000-0000-0000C9220000}"/>
    <cellStyle name="Normal 6 3 3 2 6" xfId="5160" xr:uid="{00000000-0005-0000-0000-0000CA220000}"/>
    <cellStyle name="Normal 6 3 3 2 6 2" xfId="10448" xr:uid="{00000000-0005-0000-0000-0000CB220000}"/>
    <cellStyle name="Normal 6 3 3 2 7" xfId="6802" xr:uid="{00000000-0005-0000-0000-0000CC220000}"/>
    <cellStyle name="Normal 6 3 3 3" xfId="1345" xr:uid="{00000000-0005-0000-0000-0000CD220000}"/>
    <cellStyle name="Normal 6 3 3 3 2" xfId="1346" xr:uid="{00000000-0005-0000-0000-0000CE220000}"/>
    <cellStyle name="Normal 6 3 3 3 2 2" xfId="3044" xr:uid="{00000000-0005-0000-0000-0000CF220000}"/>
    <cellStyle name="Normal 6 3 3 3 2 2 2" xfId="8397" xr:uid="{00000000-0005-0000-0000-0000D0220000}"/>
    <cellStyle name="Normal 6 3 3 3 2 3" xfId="4154" xr:uid="{00000000-0005-0000-0000-0000D1220000}"/>
    <cellStyle name="Normal 6 3 3 3 2 3 2" xfId="9445" xr:uid="{00000000-0005-0000-0000-0000D2220000}"/>
    <cellStyle name="Normal 6 3 3 3 2 4" xfId="5163" xr:uid="{00000000-0005-0000-0000-0000D3220000}"/>
    <cellStyle name="Normal 6 3 3 3 2 4 2" xfId="10451" xr:uid="{00000000-0005-0000-0000-0000D4220000}"/>
    <cellStyle name="Normal 6 3 3 3 2 5" xfId="6805" xr:uid="{00000000-0005-0000-0000-0000D5220000}"/>
    <cellStyle name="Normal 6 3 3 3 3" xfId="1988" xr:uid="{00000000-0005-0000-0000-0000D6220000}"/>
    <cellStyle name="Normal 6 3 3 3 3 2" xfId="5759" xr:uid="{00000000-0005-0000-0000-0000D7220000}"/>
    <cellStyle name="Normal 6 3 3 3 3 2 2" xfId="11047" xr:uid="{00000000-0005-0000-0000-0000D8220000}"/>
    <cellStyle name="Normal 6 3 3 3 3 3" xfId="7401" xr:uid="{00000000-0005-0000-0000-0000D9220000}"/>
    <cellStyle name="Normal 6 3 3 3 4" xfId="2540" xr:uid="{00000000-0005-0000-0000-0000DA220000}"/>
    <cellStyle name="Normal 6 3 3 3 4 2" xfId="7898" xr:uid="{00000000-0005-0000-0000-0000DB220000}"/>
    <cellStyle name="Normal 6 3 3 3 5" xfId="3654" xr:uid="{00000000-0005-0000-0000-0000DC220000}"/>
    <cellStyle name="Normal 6 3 3 3 5 2" xfId="8946" xr:uid="{00000000-0005-0000-0000-0000DD220000}"/>
    <cellStyle name="Normal 6 3 3 3 6" xfId="5162" xr:uid="{00000000-0005-0000-0000-0000DE220000}"/>
    <cellStyle name="Normal 6 3 3 3 6 2" xfId="10450" xr:uid="{00000000-0005-0000-0000-0000DF220000}"/>
    <cellStyle name="Normal 6 3 3 3 7" xfId="6804" xr:uid="{00000000-0005-0000-0000-0000E0220000}"/>
    <cellStyle name="Normal 6 3 3 4" xfId="1347" xr:uid="{00000000-0005-0000-0000-0000E1220000}"/>
    <cellStyle name="Normal 6 3 3 4 2" xfId="3042" xr:uid="{00000000-0005-0000-0000-0000E2220000}"/>
    <cellStyle name="Normal 6 3 3 4 2 2" xfId="8395" xr:uid="{00000000-0005-0000-0000-0000E3220000}"/>
    <cellStyle name="Normal 6 3 3 4 3" xfId="4152" xr:uid="{00000000-0005-0000-0000-0000E4220000}"/>
    <cellStyle name="Normal 6 3 3 4 3 2" xfId="9443" xr:uid="{00000000-0005-0000-0000-0000E5220000}"/>
    <cellStyle name="Normal 6 3 3 4 4" xfId="5164" xr:uid="{00000000-0005-0000-0000-0000E6220000}"/>
    <cellStyle name="Normal 6 3 3 4 4 2" xfId="10452" xr:uid="{00000000-0005-0000-0000-0000E7220000}"/>
    <cellStyle name="Normal 6 3 3 4 5" xfId="6806" xr:uid="{00000000-0005-0000-0000-0000E8220000}"/>
    <cellStyle name="Normal 6 3 3 5" xfId="1986" xr:uid="{00000000-0005-0000-0000-0000E9220000}"/>
    <cellStyle name="Normal 6 3 3 5 2" xfId="5757" xr:uid="{00000000-0005-0000-0000-0000EA220000}"/>
    <cellStyle name="Normal 6 3 3 5 2 2" xfId="11045" xr:uid="{00000000-0005-0000-0000-0000EB220000}"/>
    <cellStyle name="Normal 6 3 3 5 3" xfId="7399" xr:uid="{00000000-0005-0000-0000-0000EC220000}"/>
    <cellStyle name="Normal 6 3 3 6" xfId="2538" xr:uid="{00000000-0005-0000-0000-0000ED220000}"/>
    <cellStyle name="Normal 6 3 3 6 2" xfId="7896" xr:uid="{00000000-0005-0000-0000-0000EE220000}"/>
    <cellStyle name="Normal 6 3 3 7" xfId="3652" xr:uid="{00000000-0005-0000-0000-0000EF220000}"/>
    <cellStyle name="Normal 6 3 3 7 2" xfId="8944" xr:uid="{00000000-0005-0000-0000-0000F0220000}"/>
    <cellStyle name="Normal 6 3 3 8" xfId="5159" xr:uid="{00000000-0005-0000-0000-0000F1220000}"/>
    <cellStyle name="Normal 6 3 3 8 2" xfId="10447" xr:uid="{00000000-0005-0000-0000-0000F2220000}"/>
    <cellStyle name="Normal 6 3 3 9" xfId="6801" xr:uid="{00000000-0005-0000-0000-0000F3220000}"/>
    <cellStyle name="Normal 6 3 4" xfId="1348" xr:uid="{00000000-0005-0000-0000-0000F4220000}"/>
    <cellStyle name="Normal 6 3 4 2" xfId="1349" xr:uid="{00000000-0005-0000-0000-0000F5220000}"/>
    <cellStyle name="Normal 6 3 4 2 2" xfId="3045" xr:uid="{00000000-0005-0000-0000-0000F6220000}"/>
    <cellStyle name="Normal 6 3 4 2 2 2" xfId="8398" xr:uid="{00000000-0005-0000-0000-0000F7220000}"/>
    <cellStyle name="Normal 6 3 4 2 3" xfId="4155" xr:uid="{00000000-0005-0000-0000-0000F8220000}"/>
    <cellStyle name="Normal 6 3 4 2 3 2" xfId="9446" xr:uid="{00000000-0005-0000-0000-0000F9220000}"/>
    <cellStyle name="Normal 6 3 4 2 4" xfId="5166" xr:uid="{00000000-0005-0000-0000-0000FA220000}"/>
    <cellStyle name="Normal 6 3 4 2 4 2" xfId="10454" xr:uid="{00000000-0005-0000-0000-0000FB220000}"/>
    <cellStyle name="Normal 6 3 4 2 5" xfId="6808" xr:uid="{00000000-0005-0000-0000-0000FC220000}"/>
    <cellStyle name="Normal 6 3 4 3" xfId="1989" xr:uid="{00000000-0005-0000-0000-0000FD220000}"/>
    <cellStyle name="Normal 6 3 4 3 2" xfId="5760" xr:uid="{00000000-0005-0000-0000-0000FE220000}"/>
    <cellStyle name="Normal 6 3 4 3 2 2" xfId="11048" xr:uid="{00000000-0005-0000-0000-0000FF220000}"/>
    <cellStyle name="Normal 6 3 4 3 3" xfId="7402" xr:uid="{00000000-0005-0000-0000-000000230000}"/>
    <cellStyle name="Normal 6 3 4 4" xfId="2541" xr:uid="{00000000-0005-0000-0000-000001230000}"/>
    <cellStyle name="Normal 6 3 4 4 2" xfId="7899" xr:uid="{00000000-0005-0000-0000-000002230000}"/>
    <cellStyle name="Normal 6 3 4 5" xfId="3655" xr:uid="{00000000-0005-0000-0000-000003230000}"/>
    <cellStyle name="Normal 6 3 4 5 2" xfId="8947" xr:uid="{00000000-0005-0000-0000-000004230000}"/>
    <cellStyle name="Normal 6 3 4 6" xfId="5165" xr:uid="{00000000-0005-0000-0000-000005230000}"/>
    <cellStyle name="Normal 6 3 4 6 2" xfId="10453" xr:uid="{00000000-0005-0000-0000-000006230000}"/>
    <cellStyle name="Normal 6 3 4 7" xfId="6807" xr:uid="{00000000-0005-0000-0000-000007230000}"/>
    <cellStyle name="Normal 6 3 5" xfId="1350" xr:uid="{00000000-0005-0000-0000-000008230000}"/>
    <cellStyle name="Normal 6 3 5 2" xfId="1351" xr:uid="{00000000-0005-0000-0000-000009230000}"/>
    <cellStyle name="Normal 6 3 5 2 2" xfId="3046" xr:uid="{00000000-0005-0000-0000-00000A230000}"/>
    <cellStyle name="Normal 6 3 5 2 2 2" xfId="8399" xr:uid="{00000000-0005-0000-0000-00000B230000}"/>
    <cellStyle name="Normal 6 3 5 2 3" xfId="4156" xr:uid="{00000000-0005-0000-0000-00000C230000}"/>
    <cellStyle name="Normal 6 3 5 2 3 2" xfId="9447" xr:uid="{00000000-0005-0000-0000-00000D230000}"/>
    <cellStyle name="Normal 6 3 5 2 4" xfId="5168" xr:uid="{00000000-0005-0000-0000-00000E230000}"/>
    <cellStyle name="Normal 6 3 5 2 4 2" xfId="10456" xr:uid="{00000000-0005-0000-0000-00000F230000}"/>
    <cellStyle name="Normal 6 3 5 2 5" xfId="6810" xr:uid="{00000000-0005-0000-0000-000010230000}"/>
    <cellStyle name="Normal 6 3 5 3" xfId="1990" xr:uid="{00000000-0005-0000-0000-000011230000}"/>
    <cellStyle name="Normal 6 3 5 3 2" xfId="5761" xr:uid="{00000000-0005-0000-0000-000012230000}"/>
    <cellStyle name="Normal 6 3 5 3 2 2" xfId="11049" xr:uid="{00000000-0005-0000-0000-000013230000}"/>
    <cellStyle name="Normal 6 3 5 3 3" xfId="7403" xr:uid="{00000000-0005-0000-0000-000014230000}"/>
    <cellStyle name="Normal 6 3 5 4" xfId="2542" xr:uid="{00000000-0005-0000-0000-000015230000}"/>
    <cellStyle name="Normal 6 3 5 4 2" xfId="7900" xr:uid="{00000000-0005-0000-0000-000016230000}"/>
    <cellStyle name="Normal 6 3 5 5" xfId="3656" xr:uid="{00000000-0005-0000-0000-000017230000}"/>
    <cellStyle name="Normal 6 3 5 5 2" xfId="8948" xr:uid="{00000000-0005-0000-0000-000018230000}"/>
    <cellStyle name="Normal 6 3 5 6" xfId="5167" xr:uid="{00000000-0005-0000-0000-000019230000}"/>
    <cellStyle name="Normal 6 3 5 6 2" xfId="10455" xr:uid="{00000000-0005-0000-0000-00001A230000}"/>
    <cellStyle name="Normal 6 3 5 7" xfId="6809" xr:uid="{00000000-0005-0000-0000-00001B230000}"/>
    <cellStyle name="Normal 6 3 6" xfId="1352" xr:uid="{00000000-0005-0000-0000-00001C230000}"/>
    <cellStyle name="Normal 6 3 6 2" xfId="3035" xr:uid="{00000000-0005-0000-0000-00001D230000}"/>
    <cellStyle name="Normal 6 3 6 2 2" xfId="8388" xr:uid="{00000000-0005-0000-0000-00001E230000}"/>
    <cellStyle name="Normal 6 3 6 3" xfId="4145" xr:uid="{00000000-0005-0000-0000-00001F230000}"/>
    <cellStyle name="Normal 6 3 6 3 2" xfId="9436" xr:uid="{00000000-0005-0000-0000-000020230000}"/>
    <cellStyle name="Normal 6 3 6 4" xfId="5169" xr:uid="{00000000-0005-0000-0000-000021230000}"/>
    <cellStyle name="Normal 6 3 6 4 2" xfId="10457" xr:uid="{00000000-0005-0000-0000-000022230000}"/>
    <cellStyle name="Normal 6 3 6 5" xfId="6811" xr:uid="{00000000-0005-0000-0000-000023230000}"/>
    <cellStyle name="Normal 6 3 7" xfId="1979" xr:uid="{00000000-0005-0000-0000-000024230000}"/>
    <cellStyle name="Normal 6 3 7 2" xfId="5750" xr:uid="{00000000-0005-0000-0000-000025230000}"/>
    <cellStyle name="Normal 6 3 7 2 2" xfId="11038" xr:uid="{00000000-0005-0000-0000-000026230000}"/>
    <cellStyle name="Normal 6 3 7 3" xfId="7392" xr:uid="{00000000-0005-0000-0000-000027230000}"/>
    <cellStyle name="Normal 6 3 8" xfId="2531" xr:uid="{00000000-0005-0000-0000-000028230000}"/>
    <cellStyle name="Normal 6 3 8 2" xfId="7889" xr:uid="{00000000-0005-0000-0000-000029230000}"/>
    <cellStyle name="Normal 6 3 9" xfId="3645" xr:uid="{00000000-0005-0000-0000-00002A230000}"/>
    <cellStyle name="Normal 6 3 9 2" xfId="8937" xr:uid="{00000000-0005-0000-0000-00002B230000}"/>
    <cellStyle name="Normal 6 4" xfId="1353" xr:uid="{00000000-0005-0000-0000-00002C230000}"/>
    <cellStyle name="Normal 6 4 10" xfId="6812" xr:uid="{00000000-0005-0000-0000-00002D230000}"/>
    <cellStyle name="Normal 6 4 2" xfId="1354" xr:uid="{00000000-0005-0000-0000-00002E230000}"/>
    <cellStyle name="Normal 6 4 2 2" xfId="1355" xr:uid="{00000000-0005-0000-0000-00002F230000}"/>
    <cellStyle name="Normal 6 4 2 2 2" xfId="1356" xr:uid="{00000000-0005-0000-0000-000030230000}"/>
    <cellStyle name="Normal 6 4 2 2 2 2" xfId="3049" xr:uid="{00000000-0005-0000-0000-000031230000}"/>
    <cellStyle name="Normal 6 4 2 2 2 2 2" xfId="8402" xr:uid="{00000000-0005-0000-0000-000032230000}"/>
    <cellStyle name="Normal 6 4 2 2 2 3" xfId="4159" xr:uid="{00000000-0005-0000-0000-000033230000}"/>
    <cellStyle name="Normal 6 4 2 2 2 3 2" xfId="9450" xr:uid="{00000000-0005-0000-0000-000034230000}"/>
    <cellStyle name="Normal 6 4 2 2 2 4" xfId="5173" xr:uid="{00000000-0005-0000-0000-000035230000}"/>
    <cellStyle name="Normal 6 4 2 2 2 4 2" xfId="10461" xr:uid="{00000000-0005-0000-0000-000036230000}"/>
    <cellStyle name="Normal 6 4 2 2 2 5" xfId="6815" xr:uid="{00000000-0005-0000-0000-000037230000}"/>
    <cellStyle name="Normal 6 4 2 2 3" xfId="1993" xr:uid="{00000000-0005-0000-0000-000038230000}"/>
    <cellStyle name="Normal 6 4 2 2 3 2" xfId="5764" xr:uid="{00000000-0005-0000-0000-000039230000}"/>
    <cellStyle name="Normal 6 4 2 2 3 2 2" xfId="11052" xr:uid="{00000000-0005-0000-0000-00003A230000}"/>
    <cellStyle name="Normal 6 4 2 2 3 3" xfId="7406" xr:uid="{00000000-0005-0000-0000-00003B230000}"/>
    <cellStyle name="Normal 6 4 2 2 4" xfId="2545" xr:uid="{00000000-0005-0000-0000-00003C230000}"/>
    <cellStyle name="Normal 6 4 2 2 4 2" xfId="7903" xr:uid="{00000000-0005-0000-0000-00003D230000}"/>
    <cellStyle name="Normal 6 4 2 2 5" xfId="3659" xr:uid="{00000000-0005-0000-0000-00003E230000}"/>
    <cellStyle name="Normal 6 4 2 2 5 2" xfId="8951" xr:uid="{00000000-0005-0000-0000-00003F230000}"/>
    <cellStyle name="Normal 6 4 2 2 6" xfId="5172" xr:uid="{00000000-0005-0000-0000-000040230000}"/>
    <cellStyle name="Normal 6 4 2 2 6 2" xfId="10460" xr:uid="{00000000-0005-0000-0000-000041230000}"/>
    <cellStyle name="Normal 6 4 2 2 7" xfId="6814" xr:uid="{00000000-0005-0000-0000-000042230000}"/>
    <cellStyle name="Normal 6 4 2 3" xfId="1357" xr:uid="{00000000-0005-0000-0000-000043230000}"/>
    <cellStyle name="Normal 6 4 2 3 2" xfId="1358" xr:uid="{00000000-0005-0000-0000-000044230000}"/>
    <cellStyle name="Normal 6 4 2 3 2 2" xfId="3050" xr:uid="{00000000-0005-0000-0000-000045230000}"/>
    <cellStyle name="Normal 6 4 2 3 2 2 2" xfId="8403" xr:uid="{00000000-0005-0000-0000-000046230000}"/>
    <cellStyle name="Normal 6 4 2 3 2 3" xfId="4160" xr:uid="{00000000-0005-0000-0000-000047230000}"/>
    <cellStyle name="Normal 6 4 2 3 2 3 2" xfId="9451" xr:uid="{00000000-0005-0000-0000-000048230000}"/>
    <cellStyle name="Normal 6 4 2 3 2 4" xfId="5175" xr:uid="{00000000-0005-0000-0000-000049230000}"/>
    <cellStyle name="Normal 6 4 2 3 2 4 2" xfId="10463" xr:uid="{00000000-0005-0000-0000-00004A230000}"/>
    <cellStyle name="Normal 6 4 2 3 2 5" xfId="6817" xr:uid="{00000000-0005-0000-0000-00004B230000}"/>
    <cellStyle name="Normal 6 4 2 3 3" xfId="1994" xr:uid="{00000000-0005-0000-0000-00004C230000}"/>
    <cellStyle name="Normal 6 4 2 3 3 2" xfId="5765" xr:uid="{00000000-0005-0000-0000-00004D230000}"/>
    <cellStyle name="Normal 6 4 2 3 3 2 2" xfId="11053" xr:uid="{00000000-0005-0000-0000-00004E230000}"/>
    <cellStyle name="Normal 6 4 2 3 3 3" xfId="7407" xr:uid="{00000000-0005-0000-0000-00004F230000}"/>
    <cellStyle name="Normal 6 4 2 3 4" xfId="2546" xr:uid="{00000000-0005-0000-0000-000050230000}"/>
    <cellStyle name="Normal 6 4 2 3 4 2" xfId="7904" xr:uid="{00000000-0005-0000-0000-000051230000}"/>
    <cellStyle name="Normal 6 4 2 3 5" xfId="3660" xr:uid="{00000000-0005-0000-0000-000052230000}"/>
    <cellStyle name="Normal 6 4 2 3 5 2" xfId="8952" xr:uid="{00000000-0005-0000-0000-000053230000}"/>
    <cellStyle name="Normal 6 4 2 3 6" xfId="5174" xr:uid="{00000000-0005-0000-0000-000054230000}"/>
    <cellStyle name="Normal 6 4 2 3 6 2" xfId="10462" xr:uid="{00000000-0005-0000-0000-000055230000}"/>
    <cellStyle name="Normal 6 4 2 3 7" xfId="6816" xr:uid="{00000000-0005-0000-0000-000056230000}"/>
    <cellStyle name="Normal 6 4 2 4" xfId="1359" xr:uid="{00000000-0005-0000-0000-000057230000}"/>
    <cellStyle name="Normal 6 4 2 4 2" xfId="3048" xr:uid="{00000000-0005-0000-0000-000058230000}"/>
    <cellStyle name="Normal 6 4 2 4 2 2" xfId="8401" xr:uid="{00000000-0005-0000-0000-000059230000}"/>
    <cellStyle name="Normal 6 4 2 4 3" xfId="4158" xr:uid="{00000000-0005-0000-0000-00005A230000}"/>
    <cellStyle name="Normal 6 4 2 4 3 2" xfId="9449" xr:uid="{00000000-0005-0000-0000-00005B230000}"/>
    <cellStyle name="Normal 6 4 2 4 4" xfId="5176" xr:uid="{00000000-0005-0000-0000-00005C230000}"/>
    <cellStyle name="Normal 6 4 2 4 4 2" xfId="10464" xr:uid="{00000000-0005-0000-0000-00005D230000}"/>
    <cellStyle name="Normal 6 4 2 4 5" xfId="6818" xr:uid="{00000000-0005-0000-0000-00005E230000}"/>
    <cellStyle name="Normal 6 4 2 5" xfId="1992" xr:uid="{00000000-0005-0000-0000-00005F230000}"/>
    <cellStyle name="Normal 6 4 2 5 2" xfId="5763" xr:uid="{00000000-0005-0000-0000-000060230000}"/>
    <cellStyle name="Normal 6 4 2 5 2 2" xfId="11051" xr:uid="{00000000-0005-0000-0000-000061230000}"/>
    <cellStyle name="Normal 6 4 2 5 3" xfId="7405" xr:uid="{00000000-0005-0000-0000-000062230000}"/>
    <cellStyle name="Normal 6 4 2 6" xfId="2544" xr:uid="{00000000-0005-0000-0000-000063230000}"/>
    <cellStyle name="Normal 6 4 2 6 2" xfId="7902" xr:uid="{00000000-0005-0000-0000-000064230000}"/>
    <cellStyle name="Normal 6 4 2 7" xfId="3658" xr:uid="{00000000-0005-0000-0000-000065230000}"/>
    <cellStyle name="Normal 6 4 2 7 2" xfId="8950" xr:uid="{00000000-0005-0000-0000-000066230000}"/>
    <cellStyle name="Normal 6 4 2 8" xfId="5171" xr:uid="{00000000-0005-0000-0000-000067230000}"/>
    <cellStyle name="Normal 6 4 2 8 2" xfId="10459" xr:uid="{00000000-0005-0000-0000-000068230000}"/>
    <cellStyle name="Normal 6 4 2 9" xfId="6813" xr:uid="{00000000-0005-0000-0000-000069230000}"/>
    <cellStyle name="Normal 6 4 3" xfId="1360" xr:uid="{00000000-0005-0000-0000-00006A230000}"/>
    <cellStyle name="Normal 6 4 3 2" xfId="1361" xr:uid="{00000000-0005-0000-0000-00006B230000}"/>
    <cellStyle name="Normal 6 4 3 2 2" xfId="3051" xr:uid="{00000000-0005-0000-0000-00006C230000}"/>
    <cellStyle name="Normal 6 4 3 2 2 2" xfId="8404" xr:uid="{00000000-0005-0000-0000-00006D230000}"/>
    <cellStyle name="Normal 6 4 3 2 3" xfId="4161" xr:uid="{00000000-0005-0000-0000-00006E230000}"/>
    <cellStyle name="Normal 6 4 3 2 3 2" xfId="9452" xr:uid="{00000000-0005-0000-0000-00006F230000}"/>
    <cellStyle name="Normal 6 4 3 2 4" xfId="5178" xr:uid="{00000000-0005-0000-0000-000070230000}"/>
    <cellStyle name="Normal 6 4 3 2 4 2" xfId="10466" xr:uid="{00000000-0005-0000-0000-000071230000}"/>
    <cellStyle name="Normal 6 4 3 2 5" xfId="6820" xr:uid="{00000000-0005-0000-0000-000072230000}"/>
    <cellStyle name="Normal 6 4 3 3" xfId="1995" xr:uid="{00000000-0005-0000-0000-000073230000}"/>
    <cellStyle name="Normal 6 4 3 3 2" xfId="5766" xr:uid="{00000000-0005-0000-0000-000074230000}"/>
    <cellStyle name="Normal 6 4 3 3 2 2" xfId="11054" xr:uid="{00000000-0005-0000-0000-000075230000}"/>
    <cellStyle name="Normal 6 4 3 3 3" xfId="7408" xr:uid="{00000000-0005-0000-0000-000076230000}"/>
    <cellStyle name="Normal 6 4 3 4" xfId="2547" xr:uid="{00000000-0005-0000-0000-000077230000}"/>
    <cellStyle name="Normal 6 4 3 4 2" xfId="7905" xr:uid="{00000000-0005-0000-0000-000078230000}"/>
    <cellStyle name="Normal 6 4 3 5" xfId="3661" xr:uid="{00000000-0005-0000-0000-000079230000}"/>
    <cellStyle name="Normal 6 4 3 5 2" xfId="8953" xr:uid="{00000000-0005-0000-0000-00007A230000}"/>
    <cellStyle name="Normal 6 4 3 6" xfId="5177" xr:uid="{00000000-0005-0000-0000-00007B230000}"/>
    <cellStyle name="Normal 6 4 3 6 2" xfId="10465" xr:uid="{00000000-0005-0000-0000-00007C230000}"/>
    <cellStyle name="Normal 6 4 3 7" xfId="6819" xr:uid="{00000000-0005-0000-0000-00007D230000}"/>
    <cellStyle name="Normal 6 4 4" xfId="1362" xr:uid="{00000000-0005-0000-0000-00007E230000}"/>
    <cellStyle name="Normal 6 4 4 2" xfId="1363" xr:uid="{00000000-0005-0000-0000-00007F230000}"/>
    <cellStyle name="Normal 6 4 4 2 2" xfId="3052" xr:uid="{00000000-0005-0000-0000-000080230000}"/>
    <cellStyle name="Normal 6 4 4 2 2 2" xfId="8405" xr:uid="{00000000-0005-0000-0000-000081230000}"/>
    <cellStyle name="Normal 6 4 4 2 3" xfId="4162" xr:uid="{00000000-0005-0000-0000-000082230000}"/>
    <cellStyle name="Normal 6 4 4 2 3 2" xfId="9453" xr:uid="{00000000-0005-0000-0000-000083230000}"/>
    <cellStyle name="Normal 6 4 4 2 4" xfId="5180" xr:uid="{00000000-0005-0000-0000-000084230000}"/>
    <cellStyle name="Normal 6 4 4 2 4 2" xfId="10468" xr:uid="{00000000-0005-0000-0000-000085230000}"/>
    <cellStyle name="Normal 6 4 4 2 5" xfId="6822" xr:uid="{00000000-0005-0000-0000-000086230000}"/>
    <cellStyle name="Normal 6 4 4 3" xfId="1996" xr:uid="{00000000-0005-0000-0000-000087230000}"/>
    <cellStyle name="Normal 6 4 4 3 2" xfId="5767" xr:uid="{00000000-0005-0000-0000-000088230000}"/>
    <cellStyle name="Normal 6 4 4 3 2 2" xfId="11055" xr:uid="{00000000-0005-0000-0000-000089230000}"/>
    <cellStyle name="Normal 6 4 4 3 3" xfId="7409" xr:uid="{00000000-0005-0000-0000-00008A230000}"/>
    <cellStyle name="Normal 6 4 4 4" xfId="2548" xr:uid="{00000000-0005-0000-0000-00008B230000}"/>
    <cellStyle name="Normal 6 4 4 4 2" xfId="7906" xr:uid="{00000000-0005-0000-0000-00008C230000}"/>
    <cellStyle name="Normal 6 4 4 5" xfId="3662" xr:uid="{00000000-0005-0000-0000-00008D230000}"/>
    <cellStyle name="Normal 6 4 4 5 2" xfId="8954" xr:uid="{00000000-0005-0000-0000-00008E230000}"/>
    <cellStyle name="Normal 6 4 4 6" xfId="5179" xr:uid="{00000000-0005-0000-0000-00008F230000}"/>
    <cellStyle name="Normal 6 4 4 6 2" xfId="10467" xr:uid="{00000000-0005-0000-0000-000090230000}"/>
    <cellStyle name="Normal 6 4 4 7" xfId="6821" xr:uid="{00000000-0005-0000-0000-000091230000}"/>
    <cellStyle name="Normal 6 4 5" xfId="1364" xr:uid="{00000000-0005-0000-0000-000092230000}"/>
    <cellStyle name="Normal 6 4 5 2" xfId="3047" xr:uid="{00000000-0005-0000-0000-000093230000}"/>
    <cellStyle name="Normal 6 4 5 2 2" xfId="8400" xr:uid="{00000000-0005-0000-0000-000094230000}"/>
    <cellStyle name="Normal 6 4 5 3" xfId="4157" xr:uid="{00000000-0005-0000-0000-000095230000}"/>
    <cellStyle name="Normal 6 4 5 3 2" xfId="9448" xr:uid="{00000000-0005-0000-0000-000096230000}"/>
    <cellStyle name="Normal 6 4 5 4" xfId="5181" xr:uid="{00000000-0005-0000-0000-000097230000}"/>
    <cellStyle name="Normal 6 4 5 4 2" xfId="10469" xr:uid="{00000000-0005-0000-0000-000098230000}"/>
    <cellStyle name="Normal 6 4 5 5" xfId="6823" xr:uid="{00000000-0005-0000-0000-000099230000}"/>
    <cellStyle name="Normal 6 4 6" xfId="1991" xr:uid="{00000000-0005-0000-0000-00009A230000}"/>
    <cellStyle name="Normal 6 4 6 2" xfId="5762" xr:uid="{00000000-0005-0000-0000-00009B230000}"/>
    <cellStyle name="Normal 6 4 6 2 2" xfId="11050" xr:uid="{00000000-0005-0000-0000-00009C230000}"/>
    <cellStyle name="Normal 6 4 6 3" xfId="7404" xr:uid="{00000000-0005-0000-0000-00009D230000}"/>
    <cellStyle name="Normal 6 4 7" xfId="2543" xr:uid="{00000000-0005-0000-0000-00009E230000}"/>
    <cellStyle name="Normal 6 4 7 2" xfId="7901" xr:uid="{00000000-0005-0000-0000-00009F230000}"/>
    <cellStyle name="Normal 6 4 8" xfId="3657" xr:uid="{00000000-0005-0000-0000-0000A0230000}"/>
    <cellStyle name="Normal 6 4 8 2" xfId="8949" xr:uid="{00000000-0005-0000-0000-0000A1230000}"/>
    <cellStyle name="Normal 6 4 9" xfId="5170" xr:uid="{00000000-0005-0000-0000-0000A2230000}"/>
    <cellStyle name="Normal 6 4 9 2" xfId="10458" xr:uid="{00000000-0005-0000-0000-0000A3230000}"/>
    <cellStyle name="Normal 6 5" xfId="1365" xr:uid="{00000000-0005-0000-0000-0000A4230000}"/>
    <cellStyle name="Normal 6 5 2" xfId="1366" xr:uid="{00000000-0005-0000-0000-0000A5230000}"/>
    <cellStyle name="Normal 6 5 2 2" xfId="1367" xr:uid="{00000000-0005-0000-0000-0000A6230000}"/>
    <cellStyle name="Normal 6 5 2 2 2" xfId="3054" xr:uid="{00000000-0005-0000-0000-0000A7230000}"/>
    <cellStyle name="Normal 6 5 2 2 2 2" xfId="8407" xr:uid="{00000000-0005-0000-0000-0000A8230000}"/>
    <cellStyle name="Normal 6 5 2 2 3" xfId="4164" xr:uid="{00000000-0005-0000-0000-0000A9230000}"/>
    <cellStyle name="Normal 6 5 2 2 3 2" xfId="9455" xr:uid="{00000000-0005-0000-0000-0000AA230000}"/>
    <cellStyle name="Normal 6 5 2 2 4" xfId="5184" xr:uid="{00000000-0005-0000-0000-0000AB230000}"/>
    <cellStyle name="Normal 6 5 2 2 4 2" xfId="10472" xr:uid="{00000000-0005-0000-0000-0000AC230000}"/>
    <cellStyle name="Normal 6 5 2 2 5" xfId="6826" xr:uid="{00000000-0005-0000-0000-0000AD230000}"/>
    <cellStyle name="Normal 6 5 2 3" xfId="1998" xr:uid="{00000000-0005-0000-0000-0000AE230000}"/>
    <cellStyle name="Normal 6 5 2 3 2" xfId="5769" xr:uid="{00000000-0005-0000-0000-0000AF230000}"/>
    <cellStyle name="Normal 6 5 2 3 2 2" xfId="11057" xr:uid="{00000000-0005-0000-0000-0000B0230000}"/>
    <cellStyle name="Normal 6 5 2 3 3" xfId="7411" xr:uid="{00000000-0005-0000-0000-0000B1230000}"/>
    <cellStyle name="Normal 6 5 2 4" xfId="2550" xr:uid="{00000000-0005-0000-0000-0000B2230000}"/>
    <cellStyle name="Normal 6 5 2 4 2" xfId="7908" xr:uid="{00000000-0005-0000-0000-0000B3230000}"/>
    <cellStyle name="Normal 6 5 2 5" xfId="3664" xr:uid="{00000000-0005-0000-0000-0000B4230000}"/>
    <cellStyle name="Normal 6 5 2 5 2" xfId="8956" xr:uid="{00000000-0005-0000-0000-0000B5230000}"/>
    <cellStyle name="Normal 6 5 2 6" xfId="5183" xr:uid="{00000000-0005-0000-0000-0000B6230000}"/>
    <cellStyle name="Normal 6 5 2 6 2" xfId="10471" xr:uid="{00000000-0005-0000-0000-0000B7230000}"/>
    <cellStyle name="Normal 6 5 2 7" xfId="6825" xr:uid="{00000000-0005-0000-0000-0000B8230000}"/>
    <cellStyle name="Normal 6 5 3" xfId="1368" xr:uid="{00000000-0005-0000-0000-0000B9230000}"/>
    <cellStyle name="Normal 6 5 3 2" xfId="1369" xr:uid="{00000000-0005-0000-0000-0000BA230000}"/>
    <cellStyle name="Normal 6 5 3 2 2" xfId="3055" xr:uid="{00000000-0005-0000-0000-0000BB230000}"/>
    <cellStyle name="Normal 6 5 3 2 2 2" xfId="8408" xr:uid="{00000000-0005-0000-0000-0000BC230000}"/>
    <cellStyle name="Normal 6 5 3 2 3" xfId="4165" xr:uid="{00000000-0005-0000-0000-0000BD230000}"/>
    <cellStyle name="Normal 6 5 3 2 3 2" xfId="9456" xr:uid="{00000000-0005-0000-0000-0000BE230000}"/>
    <cellStyle name="Normal 6 5 3 2 4" xfId="5186" xr:uid="{00000000-0005-0000-0000-0000BF230000}"/>
    <cellStyle name="Normal 6 5 3 2 4 2" xfId="10474" xr:uid="{00000000-0005-0000-0000-0000C0230000}"/>
    <cellStyle name="Normal 6 5 3 2 5" xfId="6828" xr:uid="{00000000-0005-0000-0000-0000C1230000}"/>
    <cellStyle name="Normal 6 5 3 3" xfId="1999" xr:uid="{00000000-0005-0000-0000-0000C2230000}"/>
    <cellStyle name="Normal 6 5 3 3 2" xfId="5770" xr:uid="{00000000-0005-0000-0000-0000C3230000}"/>
    <cellStyle name="Normal 6 5 3 3 2 2" xfId="11058" xr:uid="{00000000-0005-0000-0000-0000C4230000}"/>
    <cellStyle name="Normal 6 5 3 3 3" xfId="7412" xr:uid="{00000000-0005-0000-0000-0000C5230000}"/>
    <cellStyle name="Normal 6 5 3 4" xfId="2551" xr:uid="{00000000-0005-0000-0000-0000C6230000}"/>
    <cellStyle name="Normal 6 5 3 4 2" xfId="7909" xr:uid="{00000000-0005-0000-0000-0000C7230000}"/>
    <cellStyle name="Normal 6 5 3 5" xfId="3665" xr:uid="{00000000-0005-0000-0000-0000C8230000}"/>
    <cellStyle name="Normal 6 5 3 5 2" xfId="8957" xr:uid="{00000000-0005-0000-0000-0000C9230000}"/>
    <cellStyle name="Normal 6 5 3 6" xfId="5185" xr:uid="{00000000-0005-0000-0000-0000CA230000}"/>
    <cellStyle name="Normal 6 5 3 6 2" xfId="10473" xr:uid="{00000000-0005-0000-0000-0000CB230000}"/>
    <cellStyle name="Normal 6 5 3 7" xfId="6827" xr:uid="{00000000-0005-0000-0000-0000CC230000}"/>
    <cellStyle name="Normal 6 5 4" xfId="1370" xr:uid="{00000000-0005-0000-0000-0000CD230000}"/>
    <cellStyle name="Normal 6 5 4 2" xfId="3053" xr:uid="{00000000-0005-0000-0000-0000CE230000}"/>
    <cellStyle name="Normal 6 5 4 2 2" xfId="8406" xr:uid="{00000000-0005-0000-0000-0000CF230000}"/>
    <cellStyle name="Normal 6 5 4 3" xfId="4163" xr:uid="{00000000-0005-0000-0000-0000D0230000}"/>
    <cellStyle name="Normal 6 5 4 3 2" xfId="9454" xr:uid="{00000000-0005-0000-0000-0000D1230000}"/>
    <cellStyle name="Normal 6 5 4 4" xfId="5187" xr:uid="{00000000-0005-0000-0000-0000D2230000}"/>
    <cellStyle name="Normal 6 5 4 4 2" xfId="10475" xr:uid="{00000000-0005-0000-0000-0000D3230000}"/>
    <cellStyle name="Normal 6 5 4 5" xfId="6829" xr:uid="{00000000-0005-0000-0000-0000D4230000}"/>
    <cellStyle name="Normal 6 5 5" xfId="1997" xr:uid="{00000000-0005-0000-0000-0000D5230000}"/>
    <cellStyle name="Normal 6 5 5 2" xfId="5768" xr:uid="{00000000-0005-0000-0000-0000D6230000}"/>
    <cellStyle name="Normal 6 5 5 2 2" xfId="11056" xr:uid="{00000000-0005-0000-0000-0000D7230000}"/>
    <cellStyle name="Normal 6 5 5 3" xfId="7410" xr:uid="{00000000-0005-0000-0000-0000D8230000}"/>
    <cellStyle name="Normal 6 5 6" xfId="2549" xr:uid="{00000000-0005-0000-0000-0000D9230000}"/>
    <cellStyle name="Normal 6 5 6 2" xfId="7907" xr:uid="{00000000-0005-0000-0000-0000DA230000}"/>
    <cellStyle name="Normal 6 5 7" xfId="3663" xr:uid="{00000000-0005-0000-0000-0000DB230000}"/>
    <cellStyle name="Normal 6 5 7 2" xfId="8955" xr:uid="{00000000-0005-0000-0000-0000DC230000}"/>
    <cellStyle name="Normal 6 5 8" xfId="5182" xr:uid="{00000000-0005-0000-0000-0000DD230000}"/>
    <cellStyle name="Normal 6 5 8 2" xfId="10470" xr:uid="{00000000-0005-0000-0000-0000DE230000}"/>
    <cellStyle name="Normal 6 5 9" xfId="6824" xr:uid="{00000000-0005-0000-0000-0000DF230000}"/>
    <cellStyle name="Normal 6 6" xfId="1371" xr:uid="{00000000-0005-0000-0000-0000E0230000}"/>
    <cellStyle name="Normal 6 6 2" xfId="1372" xr:uid="{00000000-0005-0000-0000-0000E1230000}"/>
    <cellStyle name="Normal 6 6 2 2" xfId="3056" xr:uid="{00000000-0005-0000-0000-0000E2230000}"/>
    <cellStyle name="Normal 6 6 2 2 2" xfId="8409" xr:uid="{00000000-0005-0000-0000-0000E3230000}"/>
    <cellStyle name="Normal 6 6 2 3" xfId="4166" xr:uid="{00000000-0005-0000-0000-0000E4230000}"/>
    <cellStyle name="Normal 6 6 2 3 2" xfId="9457" xr:uid="{00000000-0005-0000-0000-0000E5230000}"/>
    <cellStyle name="Normal 6 6 2 4" xfId="5189" xr:uid="{00000000-0005-0000-0000-0000E6230000}"/>
    <cellStyle name="Normal 6 6 2 4 2" xfId="10477" xr:uid="{00000000-0005-0000-0000-0000E7230000}"/>
    <cellStyle name="Normal 6 6 2 5" xfId="6831" xr:uid="{00000000-0005-0000-0000-0000E8230000}"/>
    <cellStyle name="Normal 6 6 3" xfId="2000" xr:uid="{00000000-0005-0000-0000-0000E9230000}"/>
    <cellStyle name="Normal 6 6 3 2" xfId="5771" xr:uid="{00000000-0005-0000-0000-0000EA230000}"/>
    <cellStyle name="Normal 6 6 3 2 2" xfId="11059" xr:uid="{00000000-0005-0000-0000-0000EB230000}"/>
    <cellStyle name="Normal 6 6 3 3" xfId="7413" xr:uid="{00000000-0005-0000-0000-0000EC230000}"/>
    <cellStyle name="Normal 6 6 4" xfId="2552" xr:uid="{00000000-0005-0000-0000-0000ED230000}"/>
    <cellStyle name="Normal 6 6 4 2" xfId="7910" xr:uid="{00000000-0005-0000-0000-0000EE230000}"/>
    <cellStyle name="Normal 6 6 5" xfId="3666" xr:uid="{00000000-0005-0000-0000-0000EF230000}"/>
    <cellStyle name="Normal 6 6 5 2" xfId="8958" xr:uid="{00000000-0005-0000-0000-0000F0230000}"/>
    <cellStyle name="Normal 6 6 6" xfId="5188" xr:uid="{00000000-0005-0000-0000-0000F1230000}"/>
    <cellStyle name="Normal 6 6 6 2" xfId="10476" xr:uid="{00000000-0005-0000-0000-0000F2230000}"/>
    <cellStyle name="Normal 6 6 7" xfId="6830" xr:uid="{00000000-0005-0000-0000-0000F3230000}"/>
    <cellStyle name="Normal 6 7" xfId="1373" xr:uid="{00000000-0005-0000-0000-0000F4230000}"/>
    <cellStyle name="Normal 6 7 2" xfId="1374" xr:uid="{00000000-0005-0000-0000-0000F5230000}"/>
    <cellStyle name="Normal 6 7 2 2" xfId="3057" xr:uid="{00000000-0005-0000-0000-0000F6230000}"/>
    <cellStyle name="Normal 6 7 2 2 2" xfId="8410" xr:uid="{00000000-0005-0000-0000-0000F7230000}"/>
    <cellStyle name="Normal 6 7 2 3" xfId="4167" xr:uid="{00000000-0005-0000-0000-0000F8230000}"/>
    <cellStyle name="Normal 6 7 2 3 2" xfId="9458" xr:uid="{00000000-0005-0000-0000-0000F9230000}"/>
    <cellStyle name="Normal 6 7 2 4" xfId="5191" xr:uid="{00000000-0005-0000-0000-0000FA230000}"/>
    <cellStyle name="Normal 6 7 2 4 2" xfId="10479" xr:uid="{00000000-0005-0000-0000-0000FB230000}"/>
    <cellStyle name="Normal 6 7 2 5" xfId="6833" xr:uid="{00000000-0005-0000-0000-0000FC230000}"/>
    <cellStyle name="Normal 6 7 3" xfId="2001" xr:uid="{00000000-0005-0000-0000-0000FD230000}"/>
    <cellStyle name="Normal 6 7 3 2" xfId="5772" xr:uid="{00000000-0005-0000-0000-0000FE230000}"/>
    <cellStyle name="Normal 6 7 3 2 2" xfId="11060" xr:uid="{00000000-0005-0000-0000-0000FF230000}"/>
    <cellStyle name="Normal 6 7 3 3" xfId="7414" xr:uid="{00000000-0005-0000-0000-000000240000}"/>
    <cellStyle name="Normal 6 7 4" xfId="2553" xr:uid="{00000000-0005-0000-0000-000001240000}"/>
    <cellStyle name="Normal 6 7 4 2" xfId="7911" xr:uid="{00000000-0005-0000-0000-000002240000}"/>
    <cellStyle name="Normal 6 7 5" xfId="3667" xr:uid="{00000000-0005-0000-0000-000003240000}"/>
    <cellStyle name="Normal 6 7 5 2" xfId="8959" xr:uid="{00000000-0005-0000-0000-000004240000}"/>
    <cellStyle name="Normal 6 7 6" xfId="5190" xr:uid="{00000000-0005-0000-0000-000005240000}"/>
    <cellStyle name="Normal 6 7 6 2" xfId="10478" xr:uid="{00000000-0005-0000-0000-000006240000}"/>
    <cellStyle name="Normal 6 7 7" xfId="6832" xr:uid="{00000000-0005-0000-0000-000007240000}"/>
    <cellStyle name="Normal 6 8" xfId="1375" xr:uid="{00000000-0005-0000-0000-000008240000}"/>
    <cellStyle name="Normal 6 8 2" xfId="2106" xr:uid="{00000000-0005-0000-0000-000009240000}"/>
    <cellStyle name="Normal 6 8 3" xfId="3022" xr:uid="{00000000-0005-0000-0000-00000A240000}"/>
    <cellStyle name="Normal 6 8 3 2" xfId="8375" xr:uid="{00000000-0005-0000-0000-00000B240000}"/>
    <cellStyle name="Normal 6 8 4" xfId="4132" xr:uid="{00000000-0005-0000-0000-00000C240000}"/>
    <cellStyle name="Normal 6 8 4 2" xfId="9423" xr:uid="{00000000-0005-0000-0000-00000D240000}"/>
    <cellStyle name="Normal 6 8 5" xfId="5192" xr:uid="{00000000-0005-0000-0000-00000E240000}"/>
    <cellStyle name="Normal 6 8 5 2" xfId="10480" xr:uid="{00000000-0005-0000-0000-00000F240000}"/>
    <cellStyle name="Normal 6 8 6" xfId="6834" xr:uid="{00000000-0005-0000-0000-000010240000}"/>
    <cellStyle name="Normal 6 9" xfId="1966" xr:uid="{00000000-0005-0000-0000-000011240000}"/>
    <cellStyle name="Normal 6 9 2" xfId="5737" xr:uid="{00000000-0005-0000-0000-000012240000}"/>
    <cellStyle name="Normal 6 9 2 2" xfId="11025" xr:uid="{00000000-0005-0000-0000-000013240000}"/>
    <cellStyle name="Normal 6 9 3" xfId="7379" xr:uid="{00000000-0005-0000-0000-000014240000}"/>
    <cellStyle name="Normal 7" xfId="1376" xr:uid="{00000000-0005-0000-0000-000015240000}"/>
    <cellStyle name="Normal 7 10" xfId="2002" xr:uid="{00000000-0005-0000-0000-000016240000}"/>
    <cellStyle name="Normal 7 10 2" xfId="5773" xr:uid="{00000000-0005-0000-0000-000017240000}"/>
    <cellStyle name="Normal 7 10 2 2" xfId="11061" xr:uid="{00000000-0005-0000-0000-000018240000}"/>
    <cellStyle name="Normal 7 10 3" xfId="7415" xr:uid="{00000000-0005-0000-0000-000019240000}"/>
    <cellStyle name="Normal 7 11" xfId="2554" xr:uid="{00000000-0005-0000-0000-00001A240000}"/>
    <cellStyle name="Normal 7 11 2" xfId="5884" xr:uid="{00000000-0005-0000-0000-00001B240000}"/>
    <cellStyle name="Normal 7 11 3" xfId="7912" xr:uid="{00000000-0005-0000-0000-00001C240000}"/>
    <cellStyle name="Normal 7 12" xfId="3201" xr:uid="{00000000-0005-0000-0000-00001D240000}"/>
    <cellStyle name="Normal 7 13" xfId="3668" xr:uid="{00000000-0005-0000-0000-00001E240000}"/>
    <cellStyle name="Normal 7 13 2" xfId="8960" xr:uid="{00000000-0005-0000-0000-00001F240000}"/>
    <cellStyle name="Normal 7 14" xfId="5193" xr:uid="{00000000-0005-0000-0000-000020240000}"/>
    <cellStyle name="Normal 7 14 2" xfId="10481" xr:uid="{00000000-0005-0000-0000-000021240000}"/>
    <cellStyle name="Normal 7 15" xfId="6835" xr:uid="{00000000-0005-0000-0000-000022240000}"/>
    <cellStyle name="Normal 7 2" xfId="1377" xr:uid="{00000000-0005-0000-0000-000023240000}"/>
    <cellStyle name="Normal 7 2 10" xfId="5194" xr:uid="{00000000-0005-0000-0000-000024240000}"/>
    <cellStyle name="Normal 7 2 10 2" xfId="10482" xr:uid="{00000000-0005-0000-0000-000025240000}"/>
    <cellStyle name="Normal 7 2 11" xfId="6836" xr:uid="{00000000-0005-0000-0000-000026240000}"/>
    <cellStyle name="Normal 7 2 2" xfId="1378" xr:uid="{00000000-0005-0000-0000-000027240000}"/>
    <cellStyle name="Normal 7 2 2 10" xfId="6837" xr:uid="{00000000-0005-0000-0000-000028240000}"/>
    <cellStyle name="Normal 7 2 2 2" xfId="1379" xr:uid="{00000000-0005-0000-0000-000029240000}"/>
    <cellStyle name="Normal 7 2 2 2 2" xfId="1380" xr:uid="{00000000-0005-0000-0000-00002A240000}"/>
    <cellStyle name="Normal 7 2 2 2 2 2" xfId="1381" xr:uid="{00000000-0005-0000-0000-00002B240000}"/>
    <cellStyle name="Normal 7 2 2 2 2 2 2" xfId="3062" xr:uid="{00000000-0005-0000-0000-00002C240000}"/>
    <cellStyle name="Normal 7 2 2 2 2 2 2 2" xfId="8415" xr:uid="{00000000-0005-0000-0000-00002D240000}"/>
    <cellStyle name="Normal 7 2 2 2 2 2 3" xfId="4172" xr:uid="{00000000-0005-0000-0000-00002E240000}"/>
    <cellStyle name="Normal 7 2 2 2 2 2 3 2" xfId="9463" xr:uid="{00000000-0005-0000-0000-00002F240000}"/>
    <cellStyle name="Normal 7 2 2 2 2 2 4" xfId="5198" xr:uid="{00000000-0005-0000-0000-000030240000}"/>
    <cellStyle name="Normal 7 2 2 2 2 2 4 2" xfId="10486" xr:uid="{00000000-0005-0000-0000-000031240000}"/>
    <cellStyle name="Normal 7 2 2 2 2 2 5" xfId="6840" xr:uid="{00000000-0005-0000-0000-000032240000}"/>
    <cellStyle name="Normal 7 2 2 2 2 3" xfId="2006" xr:uid="{00000000-0005-0000-0000-000033240000}"/>
    <cellStyle name="Normal 7 2 2 2 2 3 2" xfId="5777" xr:uid="{00000000-0005-0000-0000-000034240000}"/>
    <cellStyle name="Normal 7 2 2 2 2 3 2 2" xfId="11065" xr:uid="{00000000-0005-0000-0000-000035240000}"/>
    <cellStyle name="Normal 7 2 2 2 2 3 3" xfId="7419" xr:uid="{00000000-0005-0000-0000-000036240000}"/>
    <cellStyle name="Normal 7 2 2 2 2 4" xfId="2558" xr:uid="{00000000-0005-0000-0000-000037240000}"/>
    <cellStyle name="Normal 7 2 2 2 2 4 2" xfId="7916" xr:uid="{00000000-0005-0000-0000-000038240000}"/>
    <cellStyle name="Normal 7 2 2 2 2 5" xfId="3672" xr:uid="{00000000-0005-0000-0000-000039240000}"/>
    <cellStyle name="Normal 7 2 2 2 2 5 2" xfId="8964" xr:uid="{00000000-0005-0000-0000-00003A240000}"/>
    <cellStyle name="Normal 7 2 2 2 2 6" xfId="5197" xr:uid="{00000000-0005-0000-0000-00003B240000}"/>
    <cellStyle name="Normal 7 2 2 2 2 6 2" xfId="10485" xr:uid="{00000000-0005-0000-0000-00003C240000}"/>
    <cellStyle name="Normal 7 2 2 2 2 7" xfId="6839" xr:uid="{00000000-0005-0000-0000-00003D240000}"/>
    <cellStyle name="Normal 7 2 2 2 3" xfId="1382" xr:uid="{00000000-0005-0000-0000-00003E240000}"/>
    <cellStyle name="Normal 7 2 2 2 3 2" xfId="1383" xr:uid="{00000000-0005-0000-0000-00003F240000}"/>
    <cellStyle name="Normal 7 2 2 2 3 2 2" xfId="3063" xr:uid="{00000000-0005-0000-0000-000040240000}"/>
    <cellStyle name="Normal 7 2 2 2 3 2 2 2" xfId="8416" xr:uid="{00000000-0005-0000-0000-000041240000}"/>
    <cellStyle name="Normal 7 2 2 2 3 2 3" xfId="4173" xr:uid="{00000000-0005-0000-0000-000042240000}"/>
    <cellStyle name="Normal 7 2 2 2 3 2 3 2" xfId="9464" xr:uid="{00000000-0005-0000-0000-000043240000}"/>
    <cellStyle name="Normal 7 2 2 2 3 2 4" xfId="5200" xr:uid="{00000000-0005-0000-0000-000044240000}"/>
    <cellStyle name="Normal 7 2 2 2 3 2 4 2" xfId="10488" xr:uid="{00000000-0005-0000-0000-000045240000}"/>
    <cellStyle name="Normal 7 2 2 2 3 2 5" xfId="6842" xr:uid="{00000000-0005-0000-0000-000046240000}"/>
    <cellStyle name="Normal 7 2 2 2 3 3" xfId="2007" xr:uid="{00000000-0005-0000-0000-000047240000}"/>
    <cellStyle name="Normal 7 2 2 2 3 3 2" xfId="5778" xr:uid="{00000000-0005-0000-0000-000048240000}"/>
    <cellStyle name="Normal 7 2 2 2 3 3 2 2" xfId="11066" xr:uid="{00000000-0005-0000-0000-000049240000}"/>
    <cellStyle name="Normal 7 2 2 2 3 3 3" xfId="7420" xr:uid="{00000000-0005-0000-0000-00004A240000}"/>
    <cellStyle name="Normal 7 2 2 2 3 4" xfId="2559" xr:uid="{00000000-0005-0000-0000-00004B240000}"/>
    <cellStyle name="Normal 7 2 2 2 3 4 2" xfId="7917" xr:uid="{00000000-0005-0000-0000-00004C240000}"/>
    <cellStyle name="Normal 7 2 2 2 3 5" xfId="3673" xr:uid="{00000000-0005-0000-0000-00004D240000}"/>
    <cellStyle name="Normal 7 2 2 2 3 5 2" xfId="8965" xr:uid="{00000000-0005-0000-0000-00004E240000}"/>
    <cellStyle name="Normal 7 2 2 2 3 6" xfId="5199" xr:uid="{00000000-0005-0000-0000-00004F240000}"/>
    <cellStyle name="Normal 7 2 2 2 3 6 2" xfId="10487" xr:uid="{00000000-0005-0000-0000-000050240000}"/>
    <cellStyle name="Normal 7 2 2 2 3 7" xfId="6841" xr:uid="{00000000-0005-0000-0000-000051240000}"/>
    <cellStyle name="Normal 7 2 2 2 4" xfId="1384" xr:uid="{00000000-0005-0000-0000-000052240000}"/>
    <cellStyle name="Normal 7 2 2 2 4 2" xfId="3061" xr:uid="{00000000-0005-0000-0000-000053240000}"/>
    <cellStyle name="Normal 7 2 2 2 4 2 2" xfId="8414" xr:uid="{00000000-0005-0000-0000-000054240000}"/>
    <cellStyle name="Normal 7 2 2 2 4 3" xfId="4171" xr:uid="{00000000-0005-0000-0000-000055240000}"/>
    <cellStyle name="Normal 7 2 2 2 4 3 2" xfId="9462" xr:uid="{00000000-0005-0000-0000-000056240000}"/>
    <cellStyle name="Normal 7 2 2 2 4 4" xfId="5201" xr:uid="{00000000-0005-0000-0000-000057240000}"/>
    <cellStyle name="Normal 7 2 2 2 4 4 2" xfId="10489" xr:uid="{00000000-0005-0000-0000-000058240000}"/>
    <cellStyle name="Normal 7 2 2 2 4 5" xfId="6843" xr:uid="{00000000-0005-0000-0000-000059240000}"/>
    <cellStyle name="Normal 7 2 2 2 5" xfId="2005" xr:uid="{00000000-0005-0000-0000-00005A240000}"/>
    <cellStyle name="Normal 7 2 2 2 5 2" xfId="5776" xr:uid="{00000000-0005-0000-0000-00005B240000}"/>
    <cellStyle name="Normal 7 2 2 2 5 2 2" xfId="11064" xr:uid="{00000000-0005-0000-0000-00005C240000}"/>
    <cellStyle name="Normal 7 2 2 2 5 3" xfId="7418" xr:uid="{00000000-0005-0000-0000-00005D240000}"/>
    <cellStyle name="Normal 7 2 2 2 6" xfId="2557" xr:uid="{00000000-0005-0000-0000-00005E240000}"/>
    <cellStyle name="Normal 7 2 2 2 6 2" xfId="7915" xr:uid="{00000000-0005-0000-0000-00005F240000}"/>
    <cellStyle name="Normal 7 2 2 2 7" xfId="3671" xr:uid="{00000000-0005-0000-0000-000060240000}"/>
    <cellStyle name="Normal 7 2 2 2 7 2" xfId="8963" xr:uid="{00000000-0005-0000-0000-000061240000}"/>
    <cellStyle name="Normal 7 2 2 2 8" xfId="5196" xr:uid="{00000000-0005-0000-0000-000062240000}"/>
    <cellStyle name="Normal 7 2 2 2 8 2" xfId="10484" xr:uid="{00000000-0005-0000-0000-000063240000}"/>
    <cellStyle name="Normal 7 2 2 2 9" xfId="6838" xr:uid="{00000000-0005-0000-0000-000064240000}"/>
    <cellStyle name="Normal 7 2 2 3" xfId="1385" xr:uid="{00000000-0005-0000-0000-000065240000}"/>
    <cellStyle name="Normal 7 2 2 3 2" xfId="1386" xr:uid="{00000000-0005-0000-0000-000066240000}"/>
    <cellStyle name="Normal 7 2 2 3 2 2" xfId="3064" xr:uid="{00000000-0005-0000-0000-000067240000}"/>
    <cellStyle name="Normal 7 2 2 3 2 2 2" xfId="8417" xr:uid="{00000000-0005-0000-0000-000068240000}"/>
    <cellStyle name="Normal 7 2 2 3 2 3" xfId="4174" xr:uid="{00000000-0005-0000-0000-000069240000}"/>
    <cellStyle name="Normal 7 2 2 3 2 3 2" xfId="9465" xr:uid="{00000000-0005-0000-0000-00006A240000}"/>
    <cellStyle name="Normal 7 2 2 3 2 4" xfId="5203" xr:uid="{00000000-0005-0000-0000-00006B240000}"/>
    <cellStyle name="Normal 7 2 2 3 2 4 2" xfId="10491" xr:uid="{00000000-0005-0000-0000-00006C240000}"/>
    <cellStyle name="Normal 7 2 2 3 2 5" xfId="6845" xr:uid="{00000000-0005-0000-0000-00006D240000}"/>
    <cellStyle name="Normal 7 2 2 3 3" xfId="2008" xr:uid="{00000000-0005-0000-0000-00006E240000}"/>
    <cellStyle name="Normal 7 2 2 3 3 2" xfId="5779" xr:uid="{00000000-0005-0000-0000-00006F240000}"/>
    <cellStyle name="Normal 7 2 2 3 3 2 2" xfId="11067" xr:uid="{00000000-0005-0000-0000-000070240000}"/>
    <cellStyle name="Normal 7 2 2 3 3 3" xfId="7421" xr:uid="{00000000-0005-0000-0000-000071240000}"/>
    <cellStyle name="Normal 7 2 2 3 4" xfId="2560" xr:uid="{00000000-0005-0000-0000-000072240000}"/>
    <cellStyle name="Normal 7 2 2 3 4 2" xfId="7918" xr:uid="{00000000-0005-0000-0000-000073240000}"/>
    <cellStyle name="Normal 7 2 2 3 5" xfId="3674" xr:uid="{00000000-0005-0000-0000-000074240000}"/>
    <cellStyle name="Normal 7 2 2 3 5 2" xfId="8966" xr:uid="{00000000-0005-0000-0000-000075240000}"/>
    <cellStyle name="Normal 7 2 2 3 6" xfId="5202" xr:uid="{00000000-0005-0000-0000-000076240000}"/>
    <cellStyle name="Normal 7 2 2 3 6 2" xfId="10490" xr:uid="{00000000-0005-0000-0000-000077240000}"/>
    <cellStyle name="Normal 7 2 2 3 7" xfId="6844" xr:uid="{00000000-0005-0000-0000-000078240000}"/>
    <cellStyle name="Normal 7 2 2 4" xfId="1387" xr:uid="{00000000-0005-0000-0000-000079240000}"/>
    <cellStyle name="Normal 7 2 2 4 2" xfId="1388" xr:uid="{00000000-0005-0000-0000-00007A240000}"/>
    <cellStyle name="Normal 7 2 2 4 2 2" xfId="3065" xr:uid="{00000000-0005-0000-0000-00007B240000}"/>
    <cellStyle name="Normal 7 2 2 4 2 2 2" xfId="8418" xr:uid="{00000000-0005-0000-0000-00007C240000}"/>
    <cellStyle name="Normal 7 2 2 4 2 3" xfId="4175" xr:uid="{00000000-0005-0000-0000-00007D240000}"/>
    <cellStyle name="Normal 7 2 2 4 2 3 2" xfId="9466" xr:uid="{00000000-0005-0000-0000-00007E240000}"/>
    <cellStyle name="Normal 7 2 2 4 2 4" xfId="5205" xr:uid="{00000000-0005-0000-0000-00007F240000}"/>
    <cellStyle name="Normal 7 2 2 4 2 4 2" xfId="10493" xr:uid="{00000000-0005-0000-0000-000080240000}"/>
    <cellStyle name="Normal 7 2 2 4 2 5" xfId="6847" xr:uid="{00000000-0005-0000-0000-000081240000}"/>
    <cellStyle name="Normal 7 2 2 4 3" xfId="2009" xr:uid="{00000000-0005-0000-0000-000082240000}"/>
    <cellStyle name="Normal 7 2 2 4 3 2" xfId="5780" xr:uid="{00000000-0005-0000-0000-000083240000}"/>
    <cellStyle name="Normal 7 2 2 4 3 2 2" xfId="11068" xr:uid="{00000000-0005-0000-0000-000084240000}"/>
    <cellStyle name="Normal 7 2 2 4 3 3" xfId="7422" xr:uid="{00000000-0005-0000-0000-000085240000}"/>
    <cellStyle name="Normal 7 2 2 4 4" xfId="2561" xr:uid="{00000000-0005-0000-0000-000086240000}"/>
    <cellStyle name="Normal 7 2 2 4 4 2" xfId="7919" xr:uid="{00000000-0005-0000-0000-000087240000}"/>
    <cellStyle name="Normal 7 2 2 4 5" xfId="3675" xr:uid="{00000000-0005-0000-0000-000088240000}"/>
    <cellStyle name="Normal 7 2 2 4 5 2" xfId="8967" xr:uid="{00000000-0005-0000-0000-000089240000}"/>
    <cellStyle name="Normal 7 2 2 4 6" xfId="5204" xr:uid="{00000000-0005-0000-0000-00008A240000}"/>
    <cellStyle name="Normal 7 2 2 4 6 2" xfId="10492" xr:uid="{00000000-0005-0000-0000-00008B240000}"/>
    <cellStyle name="Normal 7 2 2 4 7" xfId="6846" xr:uid="{00000000-0005-0000-0000-00008C240000}"/>
    <cellStyle name="Normal 7 2 2 5" xfId="1389" xr:uid="{00000000-0005-0000-0000-00008D240000}"/>
    <cellStyle name="Normal 7 2 2 5 2" xfId="3060" xr:uid="{00000000-0005-0000-0000-00008E240000}"/>
    <cellStyle name="Normal 7 2 2 5 2 2" xfId="8413" xr:uid="{00000000-0005-0000-0000-00008F240000}"/>
    <cellStyle name="Normal 7 2 2 5 3" xfId="4170" xr:uid="{00000000-0005-0000-0000-000090240000}"/>
    <cellStyle name="Normal 7 2 2 5 3 2" xfId="9461" xr:uid="{00000000-0005-0000-0000-000091240000}"/>
    <cellStyle name="Normal 7 2 2 5 4" xfId="5206" xr:uid="{00000000-0005-0000-0000-000092240000}"/>
    <cellStyle name="Normal 7 2 2 5 4 2" xfId="10494" xr:uid="{00000000-0005-0000-0000-000093240000}"/>
    <cellStyle name="Normal 7 2 2 5 5" xfId="6848" xr:uid="{00000000-0005-0000-0000-000094240000}"/>
    <cellStyle name="Normal 7 2 2 6" xfId="2004" xr:uid="{00000000-0005-0000-0000-000095240000}"/>
    <cellStyle name="Normal 7 2 2 6 2" xfId="5775" xr:uid="{00000000-0005-0000-0000-000096240000}"/>
    <cellStyle name="Normal 7 2 2 6 2 2" xfId="11063" xr:uid="{00000000-0005-0000-0000-000097240000}"/>
    <cellStyle name="Normal 7 2 2 6 3" xfId="7417" xr:uid="{00000000-0005-0000-0000-000098240000}"/>
    <cellStyle name="Normal 7 2 2 7" xfId="2556" xr:uid="{00000000-0005-0000-0000-000099240000}"/>
    <cellStyle name="Normal 7 2 2 7 2" xfId="7914" xr:uid="{00000000-0005-0000-0000-00009A240000}"/>
    <cellStyle name="Normal 7 2 2 8" xfId="3670" xr:uid="{00000000-0005-0000-0000-00009B240000}"/>
    <cellStyle name="Normal 7 2 2 8 2" xfId="8962" xr:uid="{00000000-0005-0000-0000-00009C240000}"/>
    <cellStyle name="Normal 7 2 2 9" xfId="5195" xr:uid="{00000000-0005-0000-0000-00009D240000}"/>
    <cellStyle name="Normal 7 2 2 9 2" xfId="10483" xr:uid="{00000000-0005-0000-0000-00009E240000}"/>
    <cellStyle name="Normal 7 2 3" xfId="1390" xr:uid="{00000000-0005-0000-0000-00009F240000}"/>
    <cellStyle name="Normal 7 2 3 2" xfId="1391" xr:uid="{00000000-0005-0000-0000-0000A0240000}"/>
    <cellStyle name="Normal 7 2 3 2 2" xfId="1392" xr:uid="{00000000-0005-0000-0000-0000A1240000}"/>
    <cellStyle name="Normal 7 2 3 2 2 2" xfId="3067" xr:uid="{00000000-0005-0000-0000-0000A2240000}"/>
    <cellStyle name="Normal 7 2 3 2 2 2 2" xfId="8420" xr:uid="{00000000-0005-0000-0000-0000A3240000}"/>
    <cellStyle name="Normal 7 2 3 2 2 3" xfId="4177" xr:uid="{00000000-0005-0000-0000-0000A4240000}"/>
    <cellStyle name="Normal 7 2 3 2 2 3 2" xfId="9468" xr:uid="{00000000-0005-0000-0000-0000A5240000}"/>
    <cellStyle name="Normal 7 2 3 2 2 4" xfId="5209" xr:uid="{00000000-0005-0000-0000-0000A6240000}"/>
    <cellStyle name="Normal 7 2 3 2 2 4 2" xfId="10497" xr:uid="{00000000-0005-0000-0000-0000A7240000}"/>
    <cellStyle name="Normal 7 2 3 2 2 5" xfId="6851" xr:uid="{00000000-0005-0000-0000-0000A8240000}"/>
    <cellStyle name="Normal 7 2 3 2 3" xfId="2011" xr:uid="{00000000-0005-0000-0000-0000A9240000}"/>
    <cellStyle name="Normal 7 2 3 2 3 2" xfId="5782" xr:uid="{00000000-0005-0000-0000-0000AA240000}"/>
    <cellStyle name="Normal 7 2 3 2 3 2 2" xfId="11070" xr:uid="{00000000-0005-0000-0000-0000AB240000}"/>
    <cellStyle name="Normal 7 2 3 2 3 3" xfId="7424" xr:uid="{00000000-0005-0000-0000-0000AC240000}"/>
    <cellStyle name="Normal 7 2 3 2 4" xfId="2563" xr:uid="{00000000-0005-0000-0000-0000AD240000}"/>
    <cellStyle name="Normal 7 2 3 2 4 2" xfId="7921" xr:uid="{00000000-0005-0000-0000-0000AE240000}"/>
    <cellStyle name="Normal 7 2 3 2 5" xfId="3677" xr:uid="{00000000-0005-0000-0000-0000AF240000}"/>
    <cellStyle name="Normal 7 2 3 2 5 2" xfId="8969" xr:uid="{00000000-0005-0000-0000-0000B0240000}"/>
    <cellStyle name="Normal 7 2 3 2 6" xfId="5208" xr:uid="{00000000-0005-0000-0000-0000B1240000}"/>
    <cellStyle name="Normal 7 2 3 2 6 2" xfId="10496" xr:uid="{00000000-0005-0000-0000-0000B2240000}"/>
    <cellStyle name="Normal 7 2 3 2 7" xfId="6850" xr:uid="{00000000-0005-0000-0000-0000B3240000}"/>
    <cellStyle name="Normal 7 2 3 3" xfId="1393" xr:uid="{00000000-0005-0000-0000-0000B4240000}"/>
    <cellStyle name="Normal 7 2 3 3 2" xfId="1394" xr:uid="{00000000-0005-0000-0000-0000B5240000}"/>
    <cellStyle name="Normal 7 2 3 3 2 2" xfId="3068" xr:uid="{00000000-0005-0000-0000-0000B6240000}"/>
    <cellStyle name="Normal 7 2 3 3 2 2 2" xfId="8421" xr:uid="{00000000-0005-0000-0000-0000B7240000}"/>
    <cellStyle name="Normal 7 2 3 3 2 3" xfId="4178" xr:uid="{00000000-0005-0000-0000-0000B8240000}"/>
    <cellStyle name="Normal 7 2 3 3 2 3 2" xfId="9469" xr:uid="{00000000-0005-0000-0000-0000B9240000}"/>
    <cellStyle name="Normal 7 2 3 3 2 4" xfId="5211" xr:uid="{00000000-0005-0000-0000-0000BA240000}"/>
    <cellStyle name="Normal 7 2 3 3 2 4 2" xfId="10499" xr:uid="{00000000-0005-0000-0000-0000BB240000}"/>
    <cellStyle name="Normal 7 2 3 3 2 5" xfId="6853" xr:uid="{00000000-0005-0000-0000-0000BC240000}"/>
    <cellStyle name="Normal 7 2 3 3 3" xfId="2012" xr:uid="{00000000-0005-0000-0000-0000BD240000}"/>
    <cellStyle name="Normal 7 2 3 3 3 2" xfId="5783" xr:uid="{00000000-0005-0000-0000-0000BE240000}"/>
    <cellStyle name="Normal 7 2 3 3 3 2 2" xfId="11071" xr:uid="{00000000-0005-0000-0000-0000BF240000}"/>
    <cellStyle name="Normal 7 2 3 3 3 3" xfId="7425" xr:uid="{00000000-0005-0000-0000-0000C0240000}"/>
    <cellStyle name="Normal 7 2 3 3 4" xfId="2564" xr:uid="{00000000-0005-0000-0000-0000C1240000}"/>
    <cellStyle name="Normal 7 2 3 3 4 2" xfId="7922" xr:uid="{00000000-0005-0000-0000-0000C2240000}"/>
    <cellStyle name="Normal 7 2 3 3 5" xfId="3678" xr:uid="{00000000-0005-0000-0000-0000C3240000}"/>
    <cellStyle name="Normal 7 2 3 3 5 2" xfId="8970" xr:uid="{00000000-0005-0000-0000-0000C4240000}"/>
    <cellStyle name="Normal 7 2 3 3 6" xfId="5210" xr:uid="{00000000-0005-0000-0000-0000C5240000}"/>
    <cellStyle name="Normal 7 2 3 3 6 2" xfId="10498" xr:uid="{00000000-0005-0000-0000-0000C6240000}"/>
    <cellStyle name="Normal 7 2 3 3 7" xfId="6852" xr:uid="{00000000-0005-0000-0000-0000C7240000}"/>
    <cellStyle name="Normal 7 2 3 4" xfId="1395" xr:uid="{00000000-0005-0000-0000-0000C8240000}"/>
    <cellStyle name="Normal 7 2 3 4 2" xfId="3066" xr:uid="{00000000-0005-0000-0000-0000C9240000}"/>
    <cellStyle name="Normal 7 2 3 4 2 2" xfId="8419" xr:uid="{00000000-0005-0000-0000-0000CA240000}"/>
    <cellStyle name="Normal 7 2 3 4 3" xfId="4176" xr:uid="{00000000-0005-0000-0000-0000CB240000}"/>
    <cellStyle name="Normal 7 2 3 4 3 2" xfId="9467" xr:uid="{00000000-0005-0000-0000-0000CC240000}"/>
    <cellStyle name="Normal 7 2 3 4 4" xfId="5212" xr:uid="{00000000-0005-0000-0000-0000CD240000}"/>
    <cellStyle name="Normal 7 2 3 4 4 2" xfId="10500" xr:uid="{00000000-0005-0000-0000-0000CE240000}"/>
    <cellStyle name="Normal 7 2 3 4 5" xfId="6854" xr:uid="{00000000-0005-0000-0000-0000CF240000}"/>
    <cellStyle name="Normal 7 2 3 5" xfId="2010" xr:uid="{00000000-0005-0000-0000-0000D0240000}"/>
    <cellStyle name="Normal 7 2 3 5 2" xfId="5781" xr:uid="{00000000-0005-0000-0000-0000D1240000}"/>
    <cellStyle name="Normal 7 2 3 5 2 2" xfId="11069" xr:uid="{00000000-0005-0000-0000-0000D2240000}"/>
    <cellStyle name="Normal 7 2 3 5 3" xfId="7423" xr:uid="{00000000-0005-0000-0000-0000D3240000}"/>
    <cellStyle name="Normal 7 2 3 6" xfId="2562" xr:uid="{00000000-0005-0000-0000-0000D4240000}"/>
    <cellStyle name="Normal 7 2 3 6 2" xfId="7920" xr:uid="{00000000-0005-0000-0000-0000D5240000}"/>
    <cellStyle name="Normal 7 2 3 7" xfId="3676" xr:uid="{00000000-0005-0000-0000-0000D6240000}"/>
    <cellStyle name="Normal 7 2 3 7 2" xfId="8968" xr:uid="{00000000-0005-0000-0000-0000D7240000}"/>
    <cellStyle name="Normal 7 2 3 8" xfId="5207" xr:uid="{00000000-0005-0000-0000-0000D8240000}"/>
    <cellStyle name="Normal 7 2 3 8 2" xfId="10495" xr:uid="{00000000-0005-0000-0000-0000D9240000}"/>
    <cellStyle name="Normal 7 2 3 9" xfId="6849" xr:uid="{00000000-0005-0000-0000-0000DA240000}"/>
    <cellStyle name="Normal 7 2 4" xfId="1396" xr:uid="{00000000-0005-0000-0000-0000DB240000}"/>
    <cellStyle name="Normal 7 2 4 2" xfId="1397" xr:uid="{00000000-0005-0000-0000-0000DC240000}"/>
    <cellStyle name="Normal 7 2 4 2 2" xfId="3069" xr:uid="{00000000-0005-0000-0000-0000DD240000}"/>
    <cellStyle name="Normal 7 2 4 2 2 2" xfId="8422" xr:uid="{00000000-0005-0000-0000-0000DE240000}"/>
    <cellStyle name="Normal 7 2 4 2 3" xfId="4179" xr:uid="{00000000-0005-0000-0000-0000DF240000}"/>
    <cellStyle name="Normal 7 2 4 2 3 2" xfId="9470" xr:uid="{00000000-0005-0000-0000-0000E0240000}"/>
    <cellStyle name="Normal 7 2 4 2 4" xfId="5214" xr:uid="{00000000-0005-0000-0000-0000E1240000}"/>
    <cellStyle name="Normal 7 2 4 2 4 2" xfId="10502" xr:uid="{00000000-0005-0000-0000-0000E2240000}"/>
    <cellStyle name="Normal 7 2 4 2 5" xfId="6856" xr:uid="{00000000-0005-0000-0000-0000E3240000}"/>
    <cellStyle name="Normal 7 2 4 3" xfId="2013" xr:uid="{00000000-0005-0000-0000-0000E4240000}"/>
    <cellStyle name="Normal 7 2 4 3 2" xfId="5784" xr:uid="{00000000-0005-0000-0000-0000E5240000}"/>
    <cellStyle name="Normal 7 2 4 3 2 2" xfId="11072" xr:uid="{00000000-0005-0000-0000-0000E6240000}"/>
    <cellStyle name="Normal 7 2 4 3 3" xfId="7426" xr:uid="{00000000-0005-0000-0000-0000E7240000}"/>
    <cellStyle name="Normal 7 2 4 4" xfId="2565" xr:uid="{00000000-0005-0000-0000-0000E8240000}"/>
    <cellStyle name="Normal 7 2 4 4 2" xfId="7923" xr:uid="{00000000-0005-0000-0000-0000E9240000}"/>
    <cellStyle name="Normal 7 2 4 5" xfId="3679" xr:uid="{00000000-0005-0000-0000-0000EA240000}"/>
    <cellStyle name="Normal 7 2 4 5 2" xfId="8971" xr:uid="{00000000-0005-0000-0000-0000EB240000}"/>
    <cellStyle name="Normal 7 2 4 6" xfId="5213" xr:uid="{00000000-0005-0000-0000-0000EC240000}"/>
    <cellStyle name="Normal 7 2 4 6 2" xfId="10501" xr:uid="{00000000-0005-0000-0000-0000ED240000}"/>
    <cellStyle name="Normal 7 2 4 7" xfId="6855" xr:uid="{00000000-0005-0000-0000-0000EE240000}"/>
    <cellStyle name="Normal 7 2 5" xfId="1398" xr:uid="{00000000-0005-0000-0000-0000EF240000}"/>
    <cellStyle name="Normal 7 2 5 2" xfId="1399" xr:uid="{00000000-0005-0000-0000-0000F0240000}"/>
    <cellStyle name="Normal 7 2 5 2 2" xfId="3070" xr:uid="{00000000-0005-0000-0000-0000F1240000}"/>
    <cellStyle name="Normal 7 2 5 2 2 2" xfId="8423" xr:uid="{00000000-0005-0000-0000-0000F2240000}"/>
    <cellStyle name="Normal 7 2 5 2 3" xfId="4180" xr:uid="{00000000-0005-0000-0000-0000F3240000}"/>
    <cellStyle name="Normal 7 2 5 2 3 2" xfId="9471" xr:uid="{00000000-0005-0000-0000-0000F4240000}"/>
    <cellStyle name="Normal 7 2 5 2 4" xfId="5216" xr:uid="{00000000-0005-0000-0000-0000F5240000}"/>
    <cellStyle name="Normal 7 2 5 2 4 2" xfId="10504" xr:uid="{00000000-0005-0000-0000-0000F6240000}"/>
    <cellStyle name="Normal 7 2 5 2 5" xfId="6858" xr:uid="{00000000-0005-0000-0000-0000F7240000}"/>
    <cellStyle name="Normal 7 2 5 3" xfId="2014" xr:uid="{00000000-0005-0000-0000-0000F8240000}"/>
    <cellStyle name="Normal 7 2 5 3 2" xfId="5785" xr:uid="{00000000-0005-0000-0000-0000F9240000}"/>
    <cellStyle name="Normal 7 2 5 3 2 2" xfId="11073" xr:uid="{00000000-0005-0000-0000-0000FA240000}"/>
    <cellStyle name="Normal 7 2 5 3 3" xfId="7427" xr:uid="{00000000-0005-0000-0000-0000FB240000}"/>
    <cellStyle name="Normal 7 2 5 4" xfId="2566" xr:uid="{00000000-0005-0000-0000-0000FC240000}"/>
    <cellStyle name="Normal 7 2 5 4 2" xfId="7924" xr:uid="{00000000-0005-0000-0000-0000FD240000}"/>
    <cellStyle name="Normal 7 2 5 5" xfId="3680" xr:uid="{00000000-0005-0000-0000-0000FE240000}"/>
    <cellStyle name="Normal 7 2 5 5 2" xfId="8972" xr:uid="{00000000-0005-0000-0000-0000FF240000}"/>
    <cellStyle name="Normal 7 2 5 6" xfId="5215" xr:uid="{00000000-0005-0000-0000-000000250000}"/>
    <cellStyle name="Normal 7 2 5 6 2" xfId="10503" xr:uid="{00000000-0005-0000-0000-000001250000}"/>
    <cellStyle name="Normal 7 2 5 7" xfId="6857" xr:uid="{00000000-0005-0000-0000-000002250000}"/>
    <cellStyle name="Normal 7 2 6" xfId="1400" xr:uid="{00000000-0005-0000-0000-000003250000}"/>
    <cellStyle name="Normal 7 2 6 2" xfId="3059" xr:uid="{00000000-0005-0000-0000-000004250000}"/>
    <cellStyle name="Normal 7 2 6 2 2" xfId="8412" xr:uid="{00000000-0005-0000-0000-000005250000}"/>
    <cellStyle name="Normal 7 2 6 3" xfId="4169" xr:uid="{00000000-0005-0000-0000-000006250000}"/>
    <cellStyle name="Normal 7 2 6 3 2" xfId="9460" xr:uid="{00000000-0005-0000-0000-000007250000}"/>
    <cellStyle name="Normal 7 2 6 4" xfId="5217" xr:uid="{00000000-0005-0000-0000-000008250000}"/>
    <cellStyle name="Normal 7 2 6 4 2" xfId="10505" xr:uid="{00000000-0005-0000-0000-000009250000}"/>
    <cellStyle name="Normal 7 2 6 5" xfId="6859" xr:uid="{00000000-0005-0000-0000-00000A250000}"/>
    <cellStyle name="Normal 7 2 7" xfId="2003" xr:uid="{00000000-0005-0000-0000-00000B250000}"/>
    <cellStyle name="Normal 7 2 7 2" xfId="5774" xr:uid="{00000000-0005-0000-0000-00000C250000}"/>
    <cellStyle name="Normal 7 2 7 2 2" xfId="11062" xr:uid="{00000000-0005-0000-0000-00000D250000}"/>
    <cellStyle name="Normal 7 2 7 3" xfId="7416" xr:uid="{00000000-0005-0000-0000-00000E250000}"/>
    <cellStyle name="Normal 7 2 8" xfId="2555" xr:uid="{00000000-0005-0000-0000-00000F250000}"/>
    <cellStyle name="Normal 7 2 8 2" xfId="7913" xr:uid="{00000000-0005-0000-0000-000010250000}"/>
    <cellStyle name="Normal 7 2 9" xfId="3669" xr:uid="{00000000-0005-0000-0000-000011250000}"/>
    <cellStyle name="Normal 7 2 9 2" xfId="8961" xr:uid="{00000000-0005-0000-0000-000012250000}"/>
    <cellStyle name="Normal 7 3" xfId="1401" xr:uid="{00000000-0005-0000-0000-000013250000}"/>
    <cellStyle name="Normal 7 3 10" xfId="5218" xr:uid="{00000000-0005-0000-0000-000014250000}"/>
    <cellStyle name="Normal 7 3 10 2" xfId="10506" xr:uid="{00000000-0005-0000-0000-000015250000}"/>
    <cellStyle name="Normal 7 3 11" xfId="6860" xr:uid="{00000000-0005-0000-0000-000016250000}"/>
    <cellStyle name="Normal 7 3 2" xfId="1402" xr:uid="{00000000-0005-0000-0000-000017250000}"/>
    <cellStyle name="Normal 7 3 2 10" xfId="6861" xr:uid="{00000000-0005-0000-0000-000018250000}"/>
    <cellStyle name="Normal 7 3 2 2" xfId="1403" xr:uid="{00000000-0005-0000-0000-000019250000}"/>
    <cellStyle name="Normal 7 3 2 2 2" xfId="1404" xr:uid="{00000000-0005-0000-0000-00001A250000}"/>
    <cellStyle name="Normal 7 3 2 2 2 2" xfId="1405" xr:uid="{00000000-0005-0000-0000-00001B250000}"/>
    <cellStyle name="Normal 7 3 2 2 2 2 2" xfId="3074" xr:uid="{00000000-0005-0000-0000-00001C250000}"/>
    <cellStyle name="Normal 7 3 2 2 2 2 2 2" xfId="8427" xr:uid="{00000000-0005-0000-0000-00001D250000}"/>
    <cellStyle name="Normal 7 3 2 2 2 2 3" xfId="4184" xr:uid="{00000000-0005-0000-0000-00001E250000}"/>
    <cellStyle name="Normal 7 3 2 2 2 2 3 2" xfId="9475" xr:uid="{00000000-0005-0000-0000-00001F250000}"/>
    <cellStyle name="Normal 7 3 2 2 2 2 4" xfId="5222" xr:uid="{00000000-0005-0000-0000-000020250000}"/>
    <cellStyle name="Normal 7 3 2 2 2 2 4 2" xfId="10510" xr:uid="{00000000-0005-0000-0000-000021250000}"/>
    <cellStyle name="Normal 7 3 2 2 2 2 5" xfId="6864" xr:uid="{00000000-0005-0000-0000-000022250000}"/>
    <cellStyle name="Normal 7 3 2 2 2 3" xfId="2018" xr:uid="{00000000-0005-0000-0000-000023250000}"/>
    <cellStyle name="Normal 7 3 2 2 2 3 2" xfId="5789" xr:uid="{00000000-0005-0000-0000-000024250000}"/>
    <cellStyle name="Normal 7 3 2 2 2 3 2 2" xfId="11077" xr:uid="{00000000-0005-0000-0000-000025250000}"/>
    <cellStyle name="Normal 7 3 2 2 2 3 3" xfId="7431" xr:uid="{00000000-0005-0000-0000-000026250000}"/>
    <cellStyle name="Normal 7 3 2 2 2 4" xfId="2570" xr:uid="{00000000-0005-0000-0000-000027250000}"/>
    <cellStyle name="Normal 7 3 2 2 2 4 2" xfId="7928" xr:uid="{00000000-0005-0000-0000-000028250000}"/>
    <cellStyle name="Normal 7 3 2 2 2 5" xfId="3684" xr:uid="{00000000-0005-0000-0000-000029250000}"/>
    <cellStyle name="Normal 7 3 2 2 2 5 2" xfId="8976" xr:uid="{00000000-0005-0000-0000-00002A250000}"/>
    <cellStyle name="Normal 7 3 2 2 2 6" xfId="5221" xr:uid="{00000000-0005-0000-0000-00002B250000}"/>
    <cellStyle name="Normal 7 3 2 2 2 6 2" xfId="10509" xr:uid="{00000000-0005-0000-0000-00002C250000}"/>
    <cellStyle name="Normal 7 3 2 2 2 7" xfId="6863" xr:uid="{00000000-0005-0000-0000-00002D250000}"/>
    <cellStyle name="Normal 7 3 2 2 3" xfId="1406" xr:uid="{00000000-0005-0000-0000-00002E250000}"/>
    <cellStyle name="Normal 7 3 2 2 3 2" xfId="1407" xr:uid="{00000000-0005-0000-0000-00002F250000}"/>
    <cellStyle name="Normal 7 3 2 2 3 2 2" xfId="3075" xr:uid="{00000000-0005-0000-0000-000030250000}"/>
    <cellStyle name="Normal 7 3 2 2 3 2 2 2" xfId="8428" xr:uid="{00000000-0005-0000-0000-000031250000}"/>
    <cellStyle name="Normal 7 3 2 2 3 2 3" xfId="4185" xr:uid="{00000000-0005-0000-0000-000032250000}"/>
    <cellStyle name="Normal 7 3 2 2 3 2 3 2" xfId="9476" xr:uid="{00000000-0005-0000-0000-000033250000}"/>
    <cellStyle name="Normal 7 3 2 2 3 2 4" xfId="5224" xr:uid="{00000000-0005-0000-0000-000034250000}"/>
    <cellStyle name="Normal 7 3 2 2 3 2 4 2" xfId="10512" xr:uid="{00000000-0005-0000-0000-000035250000}"/>
    <cellStyle name="Normal 7 3 2 2 3 2 5" xfId="6866" xr:uid="{00000000-0005-0000-0000-000036250000}"/>
    <cellStyle name="Normal 7 3 2 2 3 3" xfId="2019" xr:uid="{00000000-0005-0000-0000-000037250000}"/>
    <cellStyle name="Normal 7 3 2 2 3 3 2" xfId="5790" xr:uid="{00000000-0005-0000-0000-000038250000}"/>
    <cellStyle name="Normal 7 3 2 2 3 3 2 2" xfId="11078" xr:uid="{00000000-0005-0000-0000-000039250000}"/>
    <cellStyle name="Normal 7 3 2 2 3 3 3" xfId="7432" xr:uid="{00000000-0005-0000-0000-00003A250000}"/>
    <cellStyle name="Normal 7 3 2 2 3 4" xfId="2571" xr:uid="{00000000-0005-0000-0000-00003B250000}"/>
    <cellStyle name="Normal 7 3 2 2 3 4 2" xfId="7929" xr:uid="{00000000-0005-0000-0000-00003C250000}"/>
    <cellStyle name="Normal 7 3 2 2 3 5" xfId="3685" xr:uid="{00000000-0005-0000-0000-00003D250000}"/>
    <cellStyle name="Normal 7 3 2 2 3 5 2" xfId="8977" xr:uid="{00000000-0005-0000-0000-00003E250000}"/>
    <cellStyle name="Normal 7 3 2 2 3 6" xfId="5223" xr:uid="{00000000-0005-0000-0000-00003F250000}"/>
    <cellStyle name="Normal 7 3 2 2 3 6 2" xfId="10511" xr:uid="{00000000-0005-0000-0000-000040250000}"/>
    <cellStyle name="Normal 7 3 2 2 3 7" xfId="6865" xr:uid="{00000000-0005-0000-0000-000041250000}"/>
    <cellStyle name="Normal 7 3 2 2 4" xfId="1408" xr:uid="{00000000-0005-0000-0000-000042250000}"/>
    <cellStyle name="Normal 7 3 2 2 4 2" xfId="3073" xr:uid="{00000000-0005-0000-0000-000043250000}"/>
    <cellStyle name="Normal 7 3 2 2 4 2 2" xfId="8426" xr:uid="{00000000-0005-0000-0000-000044250000}"/>
    <cellStyle name="Normal 7 3 2 2 4 3" xfId="4183" xr:uid="{00000000-0005-0000-0000-000045250000}"/>
    <cellStyle name="Normal 7 3 2 2 4 3 2" xfId="9474" xr:uid="{00000000-0005-0000-0000-000046250000}"/>
    <cellStyle name="Normal 7 3 2 2 4 4" xfId="5225" xr:uid="{00000000-0005-0000-0000-000047250000}"/>
    <cellStyle name="Normal 7 3 2 2 4 4 2" xfId="10513" xr:uid="{00000000-0005-0000-0000-000048250000}"/>
    <cellStyle name="Normal 7 3 2 2 4 5" xfId="6867" xr:uid="{00000000-0005-0000-0000-000049250000}"/>
    <cellStyle name="Normal 7 3 2 2 5" xfId="2017" xr:uid="{00000000-0005-0000-0000-00004A250000}"/>
    <cellStyle name="Normal 7 3 2 2 5 2" xfId="5788" xr:uid="{00000000-0005-0000-0000-00004B250000}"/>
    <cellStyle name="Normal 7 3 2 2 5 2 2" xfId="11076" xr:uid="{00000000-0005-0000-0000-00004C250000}"/>
    <cellStyle name="Normal 7 3 2 2 5 3" xfId="7430" xr:uid="{00000000-0005-0000-0000-00004D250000}"/>
    <cellStyle name="Normal 7 3 2 2 6" xfId="2569" xr:uid="{00000000-0005-0000-0000-00004E250000}"/>
    <cellStyle name="Normal 7 3 2 2 6 2" xfId="7927" xr:uid="{00000000-0005-0000-0000-00004F250000}"/>
    <cellStyle name="Normal 7 3 2 2 7" xfId="3683" xr:uid="{00000000-0005-0000-0000-000050250000}"/>
    <cellStyle name="Normal 7 3 2 2 7 2" xfId="8975" xr:uid="{00000000-0005-0000-0000-000051250000}"/>
    <cellStyle name="Normal 7 3 2 2 8" xfId="5220" xr:uid="{00000000-0005-0000-0000-000052250000}"/>
    <cellStyle name="Normal 7 3 2 2 8 2" xfId="10508" xr:uid="{00000000-0005-0000-0000-000053250000}"/>
    <cellStyle name="Normal 7 3 2 2 9" xfId="6862" xr:uid="{00000000-0005-0000-0000-000054250000}"/>
    <cellStyle name="Normal 7 3 2 3" xfId="1409" xr:uid="{00000000-0005-0000-0000-000055250000}"/>
    <cellStyle name="Normal 7 3 2 3 2" xfId="1410" xr:uid="{00000000-0005-0000-0000-000056250000}"/>
    <cellStyle name="Normal 7 3 2 3 2 2" xfId="3076" xr:uid="{00000000-0005-0000-0000-000057250000}"/>
    <cellStyle name="Normal 7 3 2 3 2 2 2" xfId="8429" xr:uid="{00000000-0005-0000-0000-000058250000}"/>
    <cellStyle name="Normal 7 3 2 3 2 3" xfId="4186" xr:uid="{00000000-0005-0000-0000-000059250000}"/>
    <cellStyle name="Normal 7 3 2 3 2 3 2" xfId="9477" xr:uid="{00000000-0005-0000-0000-00005A250000}"/>
    <cellStyle name="Normal 7 3 2 3 2 4" xfId="5227" xr:uid="{00000000-0005-0000-0000-00005B250000}"/>
    <cellStyle name="Normal 7 3 2 3 2 4 2" xfId="10515" xr:uid="{00000000-0005-0000-0000-00005C250000}"/>
    <cellStyle name="Normal 7 3 2 3 2 5" xfId="6869" xr:uid="{00000000-0005-0000-0000-00005D250000}"/>
    <cellStyle name="Normal 7 3 2 3 3" xfId="2020" xr:uid="{00000000-0005-0000-0000-00005E250000}"/>
    <cellStyle name="Normal 7 3 2 3 3 2" xfId="5791" xr:uid="{00000000-0005-0000-0000-00005F250000}"/>
    <cellStyle name="Normal 7 3 2 3 3 2 2" xfId="11079" xr:uid="{00000000-0005-0000-0000-000060250000}"/>
    <cellStyle name="Normal 7 3 2 3 3 3" xfId="7433" xr:uid="{00000000-0005-0000-0000-000061250000}"/>
    <cellStyle name="Normal 7 3 2 3 4" xfId="2572" xr:uid="{00000000-0005-0000-0000-000062250000}"/>
    <cellStyle name="Normal 7 3 2 3 4 2" xfId="7930" xr:uid="{00000000-0005-0000-0000-000063250000}"/>
    <cellStyle name="Normal 7 3 2 3 5" xfId="3686" xr:uid="{00000000-0005-0000-0000-000064250000}"/>
    <cellStyle name="Normal 7 3 2 3 5 2" xfId="8978" xr:uid="{00000000-0005-0000-0000-000065250000}"/>
    <cellStyle name="Normal 7 3 2 3 6" xfId="5226" xr:uid="{00000000-0005-0000-0000-000066250000}"/>
    <cellStyle name="Normal 7 3 2 3 6 2" xfId="10514" xr:uid="{00000000-0005-0000-0000-000067250000}"/>
    <cellStyle name="Normal 7 3 2 3 7" xfId="6868" xr:uid="{00000000-0005-0000-0000-000068250000}"/>
    <cellStyle name="Normal 7 3 2 4" xfId="1411" xr:uid="{00000000-0005-0000-0000-000069250000}"/>
    <cellStyle name="Normal 7 3 2 4 2" xfId="1412" xr:uid="{00000000-0005-0000-0000-00006A250000}"/>
    <cellStyle name="Normal 7 3 2 4 2 2" xfId="3077" xr:uid="{00000000-0005-0000-0000-00006B250000}"/>
    <cellStyle name="Normal 7 3 2 4 2 2 2" xfId="8430" xr:uid="{00000000-0005-0000-0000-00006C250000}"/>
    <cellStyle name="Normal 7 3 2 4 2 3" xfId="4187" xr:uid="{00000000-0005-0000-0000-00006D250000}"/>
    <cellStyle name="Normal 7 3 2 4 2 3 2" xfId="9478" xr:uid="{00000000-0005-0000-0000-00006E250000}"/>
    <cellStyle name="Normal 7 3 2 4 2 4" xfId="5229" xr:uid="{00000000-0005-0000-0000-00006F250000}"/>
    <cellStyle name="Normal 7 3 2 4 2 4 2" xfId="10517" xr:uid="{00000000-0005-0000-0000-000070250000}"/>
    <cellStyle name="Normal 7 3 2 4 2 5" xfId="6871" xr:uid="{00000000-0005-0000-0000-000071250000}"/>
    <cellStyle name="Normal 7 3 2 4 3" xfId="2021" xr:uid="{00000000-0005-0000-0000-000072250000}"/>
    <cellStyle name="Normal 7 3 2 4 3 2" xfId="5792" xr:uid="{00000000-0005-0000-0000-000073250000}"/>
    <cellStyle name="Normal 7 3 2 4 3 2 2" xfId="11080" xr:uid="{00000000-0005-0000-0000-000074250000}"/>
    <cellStyle name="Normal 7 3 2 4 3 3" xfId="7434" xr:uid="{00000000-0005-0000-0000-000075250000}"/>
    <cellStyle name="Normal 7 3 2 4 4" xfId="2573" xr:uid="{00000000-0005-0000-0000-000076250000}"/>
    <cellStyle name="Normal 7 3 2 4 4 2" xfId="7931" xr:uid="{00000000-0005-0000-0000-000077250000}"/>
    <cellStyle name="Normal 7 3 2 4 5" xfId="3687" xr:uid="{00000000-0005-0000-0000-000078250000}"/>
    <cellStyle name="Normal 7 3 2 4 5 2" xfId="8979" xr:uid="{00000000-0005-0000-0000-000079250000}"/>
    <cellStyle name="Normal 7 3 2 4 6" xfId="5228" xr:uid="{00000000-0005-0000-0000-00007A250000}"/>
    <cellStyle name="Normal 7 3 2 4 6 2" xfId="10516" xr:uid="{00000000-0005-0000-0000-00007B250000}"/>
    <cellStyle name="Normal 7 3 2 4 7" xfId="6870" xr:uid="{00000000-0005-0000-0000-00007C250000}"/>
    <cellStyle name="Normal 7 3 2 5" xfId="1413" xr:uid="{00000000-0005-0000-0000-00007D250000}"/>
    <cellStyle name="Normal 7 3 2 5 2" xfId="3072" xr:uid="{00000000-0005-0000-0000-00007E250000}"/>
    <cellStyle name="Normal 7 3 2 5 2 2" xfId="8425" xr:uid="{00000000-0005-0000-0000-00007F250000}"/>
    <cellStyle name="Normal 7 3 2 5 3" xfId="4182" xr:uid="{00000000-0005-0000-0000-000080250000}"/>
    <cellStyle name="Normal 7 3 2 5 3 2" xfId="9473" xr:uid="{00000000-0005-0000-0000-000081250000}"/>
    <cellStyle name="Normal 7 3 2 5 4" xfId="5230" xr:uid="{00000000-0005-0000-0000-000082250000}"/>
    <cellStyle name="Normal 7 3 2 5 4 2" xfId="10518" xr:uid="{00000000-0005-0000-0000-000083250000}"/>
    <cellStyle name="Normal 7 3 2 5 5" xfId="6872" xr:uid="{00000000-0005-0000-0000-000084250000}"/>
    <cellStyle name="Normal 7 3 2 6" xfId="2016" xr:uid="{00000000-0005-0000-0000-000085250000}"/>
    <cellStyle name="Normal 7 3 2 6 2" xfId="5787" xr:uid="{00000000-0005-0000-0000-000086250000}"/>
    <cellStyle name="Normal 7 3 2 6 2 2" xfId="11075" xr:uid="{00000000-0005-0000-0000-000087250000}"/>
    <cellStyle name="Normal 7 3 2 6 3" xfId="7429" xr:uid="{00000000-0005-0000-0000-000088250000}"/>
    <cellStyle name="Normal 7 3 2 7" xfId="2568" xr:uid="{00000000-0005-0000-0000-000089250000}"/>
    <cellStyle name="Normal 7 3 2 7 2" xfId="7926" xr:uid="{00000000-0005-0000-0000-00008A250000}"/>
    <cellStyle name="Normal 7 3 2 8" xfId="3682" xr:uid="{00000000-0005-0000-0000-00008B250000}"/>
    <cellStyle name="Normal 7 3 2 8 2" xfId="8974" xr:uid="{00000000-0005-0000-0000-00008C250000}"/>
    <cellStyle name="Normal 7 3 2 9" xfId="5219" xr:uid="{00000000-0005-0000-0000-00008D250000}"/>
    <cellStyle name="Normal 7 3 2 9 2" xfId="10507" xr:uid="{00000000-0005-0000-0000-00008E250000}"/>
    <cellStyle name="Normal 7 3 3" xfId="1414" xr:uid="{00000000-0005-0000-0000-00008F250000}"/>
    <cellStyle name="Normal 7 3 3 2" xfId="1415" xr:uid="{00000000-0005-0000-0000-000090250000}"/>
    <cellStyle name="Normal 7 3 3 2 2" xfId="1416" xr:uid="{00000000-0005-0000-0000-000091250000}"/>
    <cellStyle name="Normal 7 3 3 2 2 2" xfId="3079" xr:uid="{00000000-0005-0000-0000-000092250000}"/>
    <cellStyle name="Normal 7 3 3 2 2 2 2" xfId="8432" xr:uid="{00000000-0005-0000-0000-000093250000}"/>
    <cellStyle name="Normal 7 3 3 2 2 3" xfId="4189" xr:uid="{00000000-0005-0000-0000-000094250000}"/>
    <cellStyle name="Normal 7 3 3 2 2 3 2" xfId="9480" xr:uid="{00000000-0005-0000-0000-000095250000}"/>
    <cellStyle name="Normal 7 3 3 2 2 4" xfId="5233" xr:uid="{00000000-0005-0000-0000-000096250000}"/>
    <cellStyle name="Normal 7 3 3 2 2 4 2" xfId="10521" xr:uid="{00000000-0005-0000-0000-000097250000}"/>
    <cellStyle name="Normal 7 3 3 2 2 5" xfId="6875" xr:uid="{00000000-0005-0000-0000-000098250000}"/>
    <cellStyle name="Normal 7 3 3 2 3" xfId="2023" xr:uid="{00000000-0005-0000-0000-000099250000}"/>
    <cellStyle name="Normal 7 3 3 2 3 2" xfId="5794" xr:uid="{00000000-0005-0000-0000-00009A250000}"/>
    <cellStyle name="Normal 7 3 3 2 3 2 2" xfId="11082" xr:uid="{00000000-0005-0000-0000-00009B250000}"/>
    <cellStyle name="Normal 7 3 3 2 3 3" xfId="7436" xr:uid="{00000000-0005-0000-0000-00009C250000}"/>
    <cellStyle name="Normal 7 3 3 2 4" xfId="2575" xr:uid="{00000000-0005-0000-0000-00009D250000}"/>
    <cellStyle name="Normal 7 3 3 2 4 2" xfId="7933" xr:uid="{00000000-0005-0000-0000-00009E250000}"/>
    <cellStyle name="Normal 7 3 3 2 5" xfId="3689" xr:uid="{00000000-0005-0000-0000-00009F250000}"/>
    <cellStyle name="Normal 7 3 3 2 5 2" xfId="8981" xr:uid="{00000000-0005-0000-0000-0000A0250000}"/>
    <cellStyle name="Normal 7 3 3 2 6" xfId="5232" xr:uid="{00000000-0005-0000-0000-0000A1250000}"/>
    <cellStyle name="Normal 7 3 3 2 6 2" xfId="10520" xr:uid="{00000000-0005-0000-0000-0000A2250000}"/>
    <cellStyle name="Normal 7 3 3 2 7" xfId="6874" xr:uid="{00000000-0005-0000-0000-0000A3250000}"/>
    <cellStyle name="Normal 7 3 3 3" xfId="1417" xr:uid="{00000000-0005-0000-0000-0000A4250000}"/>
    <cellStyle name="Normal 7 3 3 3 2" xfId="1418" xr:uid="{00000000-0005-0000-0000-0000A5250000}"/>
    <cellStyle name="Normal 7 3 3 3 2 2" xfId="3080" xr:uid="{00000000-0005-0000-0000-0000A6250000}"/>
    <cellStyle name="Normal 7 3 3 3 2 2 2" xfId="8433" xr:uid="{00000000-0005-0000-0000-0000A7250000}"/>
    <cellStyle name="Normal 7 3 3 3 2 3" xfId="4190" xr:uid="{00000000-0005-0000-0000-0000A8250000}"/>
    <cellStyle name="Normal 7 3 3 3 2 3 2" xfId="9481" xr:uid="{00000000-0005-0000-0000-0000A9250000}"/>
    <cellStyle name="Normal 7 3 3 3 2 4" xfId="5235" xr:uid="{00000000-0005-0000-0000-0000AA250000}"/>
    <cellStyle name="Normal 7 3 3 3 2 4 2" xfId="10523" xr:uid="{00000000-0005-0000-0000-0000AB250000}"/>
    <cellStyle name="Normal 7 3 3 3 2 5" xfId="6877" xr:uid="{00000000-0005-0000-0000-0000AC250000}"/>
    <cellStyle name="Normal 7 3 3 3 3" xfId="2024" xr:uid="{00000000-0005-0000-0000-0000AD250000}"/>
    <cellStyle name="Normal 7 3 3 3 3 2" xfId="5795" xr:uid="{00000000-0005-0000-0000-0000AE250000}"/>
    <cellStyle name="Normal 7 3 3 3 3 2 2" xfId="11083" xr:uid="{00000000-0005-0000-0000-0000AF250000}"/>
    <cellStyle name="Normal 7 3 3 3 3 3" xfId="7437" xr:uid="{00000000-0005-0000-0000-0000B0250000}"/>
    <cellStyle name="Normal 7 3 3 3 4" xfId="2576" xr:uid="{00000000-0005-0000-0000-0000B1250000}"/>
    <cellStyle name="Normal 7 3 3 3 4 2" xfId="7934" xr:uid="{00000000-0005-0000-0000-0000B2250000}"/>
    <cellStyle name="Normal 7 3 3 3 5" xfId="3690" xr:uid="{00000000-0005-0000-0000-0000B3250000}"/>
    <cellStyle name="Normal 7 3 3 3 5 2" xfId="8982" xr:uid="{00000000-0005-0000-0000-0000B4250000}"/>
    <cellStyle name="Normal 7 3 3 3 6" xfId="5234" xr:uid="{00000000-0005-0000-0000-0000B5250000}"/>
    <cellStyle name="Normal 7 3 3 3 6 2" xfId="10522" xr:uid="{00000000-0005-0000-0000-0000B6250000}"/>
    <cellStyle name="Normal 7 3 3 3 7" xfId="6876" xr:uid="{00000000-0005-0000-0000-0000B7250000}"/>
    <cellStyle name="Normal 7 3 3 4" xfId="1419" xr:uid="{00000000-0005-0000-0000-0000B8250000}"/>
    <cellStyle name="Normal 7 3 3 4 2" xfId="3078" xr:uid="{00000000-0005-0000-0000-0000B9250000}"/>
    <cellStyle name="Normal 7 3 3 4 2 2" xfId="8431" xr:uid="{00000000-0005-0000-0000-0000BA250000}"/>
    <cellStyle name="Normal 7 3 3 4 3" xfId="4188" xr:uid="{00000000-0005-0000-0000-0000BB250000}"/>
    <cellStyle name="Normal 7 3 3 4 3 2" xfId="9479" xr:uid="{00000000-0005-0000-0000-0000BC250000}"/>
    <cellStyle name="Normal 7 3 3 4 4" xfId="5236" xr:uid="{00000000-0005-0000-0000-0000BD250000}"/>
    <cellStyle name="Normal 7 3 3 4 4 2" xfId="10524" xr:uid="{00000000-0005-0000-0000-0000BE250000}"/>
    <cellStyle name="Normal 7 3 3 4 5" xfId="6878" xr:uid="{00000000-0005-0000-0000-0000BF250000}"/>
    <cellStyle name="Normal 7 3 3 5" xfId="2022" xr:uid="{00000000-0005-0000-0000-0000C0250000}"/>
    <cellStyle name="Normal 7 3 3 5 2" xfId="5793" xr:uid="{00000000-0005-0000-0000-0000C1250000}"/>
    <cellStyle name="Normal 7 3 3 5 2 2" xfId="11081" xr:uid="{00000000-0005-0000-0000-0000C2250000}"/>
    <cellStyle name="Normal 7 3 3 5 3" xfId="7435" xr:uid="{00000000-0005-0000-0000-0000C3250000}"/>
    <cellStyle name="Normal 7 3 3 6" xfId="2574" xr:uid="{00000000-0005-0000-0000-0000C4250000}"/>
    <cellStyle name="Normal 7 3 3 6 2" xfId="7932" xr:uid="{00000000-0005-0000-0000-0000C5250000}"/>
    <cellStyle name="Normal 7 3 3 7" xfId="3688" xr:uid="{00000000-0005-0000-0000-0000C6250000}"/>
    <cellStyle name="Normal 7 3 3 7 2" xfId="8980" xr:uid="{00000000-0005-0000-0000-0000C7250000}"/>
    <cellStyle name="Normal 7 3 3 8" xfId="5231" xr:uid="{00000000-0005-0000-0000-0000C8250000}"/>
    <cellStyle name="Normal 7 3 3 8 2" xfId="10519" xr:uid="{00000000-0005-0000-0000-0000C9250000}"/>
    <cellStyle name="Normal 7 3 3 9" xfId="6873" xr:uid="{00000000-0005-0000-0000-0000CA250000}"/>
    <cellStyle name="Normal 7 3 4" xfId="1420" xr:uid="{00000000-0005-0000-0000-0000CB250000}"/>
    <cellStyle name="Normal 7 3 4 2" xfId="1421" xr:uid="{00000000-0005-0000-0000-0000CC250000}"/>
    <cellStyle name="Normal 7 3 4 2 2" xfId="3081" xr:uid="{00000000-0005-0000-0000-0000CD250000}"/>
    <cellStyle name="Normal 7 3 4 2 2 2" xfId="8434" xr:uid="{00000000-0005-0000-0000-0000CE250000}"/>
    <cellStyle name="Normal 7 3 4 2 3" xfId="4191" xr:uid="{00000000-0005-0000-0000-0000CF250000}"/>
    <cellStyle name="Normal 7 3 4 2 3 2" xfId="9482" xr:uid="{00000000-0005-0000-0000-0000D0250000}"/>
    <cellStyle name="Normal 7 3 4 2 4" xfId="5238" xr:uid="{00000000-0005-0000-0000-0000D1250000}"/>
    <cellStyle name="Normal 7 3 4 2 4 2" xfId="10526" xr:uid="{00000000-0005-0000-0000-0000D2250000}"/>
    <cellStyle name="Normal 7 3 4 2 5" xfId="6880" xr:uid="{00000000-0005-0000-0000-0000D3250000}"/>
    <cellStyle name="Normal 7 3 4 3" xfId="2025" xr:uid="{00000000-0005-0000-0000-0000D4250000}"/>
    <cellStyle name="Normal 7 3 4 3 2" xfId="5796" xr:uid="{00000000-0005-0000-0000-0000D5250000}"/>
    <cellStyle name="Normal 7 3 4 3 2 2" xfId="11084" xr:uid="{00000000-0005-0000-0000-0000D6250000}"/>
    <cellStyle name="Normal 7 3 4 3 3" xfId="7438" xr:uid="{00000000-0005-0000-0000-0000D7250000}"/>
    <cellStyle name="Normal 7 3 4 4" xfId="2577" xr:uid="{00000000-0005-0000-0000-0000D8250000}"/>
    <cellStyle name="Normal 7 3 4 4 2" xfId="7935" xr:uid="{00000000-0005-0000-0000-0000D9250000}"/>
    <cellStyle name="Normal 7 3 4 5" xfId="3691" xr:uid="{00000000-0005-0000-0000-0000DA250000}"/>
    <cellStyle name="Normal 7 3 4 5 2" xfId="8983" xr:uid="{00000000-0005-0000-0000-0000DB250000}"/>
    <cellStyle name="Normal 7 3 4 6" xfId="5237" xr:uid="{00000000-0005-0000-0000-0000DC250000}"/>
    <cellStyle name="Normal 7 3 4 6 2" xfId="10525" xr:uid="{00000000-0005-0000-0000-0000DD250000}"/>
    <cellStyle name="Normal 7 3 4 7" xfId="6879" xr:uid="{00000000-0005-0000-0000-0000DE250000}"/>
    <cellStyle name="Normal 7 3 5" xfId="1422" xr:uid="{00000000-0005-0000-0000-0000DF250000}"/>
    <cellStyle name="Normal 7 3 5 2" xfId="1423" xr:uid="{00000000-0005-0000-0000-0000E0250000}"/>
    <cellStyle name="Normal 7 3 5 2 2" xfId="3082" xr:uid="{00000000-0005-0000-0000-0000E1250000}"/>
    <cellStyle name="Normal 7 3 5 2 2 2" xfId="8435" xr:uid="{00000000-0005-0000-0000-0000E2250000}"/>
    <cellStyle name="Normal 7 3 5 2 3" xfId="4192" xr:uid="{00000000-0005-0000-0000-0000E3250000}"/>
    <cellStyle name="Normal 7 3 5 2 3 2" xfId="9483" xr:uid="{00000000-0005-0000-0000-0000E4250000}"/>
    <cellStyle name="Normal 7 3 5 2 4" xfId="5240" xr:uid="{00000000-0005-0000-0000-0000E5250000}"/>
    <cellStyle name="Normal 7 3 5 2 4 2" xfId="10528" xr:uid="{00000000-0005-0000-0000-0000E6250000}"/>
    <cellStyle name="Normal 7 3 5 2 5" xfId="6882" xr:uid="{00000000-0005-0000-0000-0000E7250000}"/>
    <cellStyle name="Normal 7 3 5 3" xfId="2026" xr:uid="{00000000-0005-0000-0000-0000E8250000}"/>
    <cellStyle name="Normal 7 3 5 3 2" xfId="5797" xr:uid="{00000000-0005-0000-0000-0000E9250000}"/>
    <cellStyle name="Normal 7 3 5 3 2 2" xfId="11085" xr:uid="{00000000-0005-0000-0000-0000EA250000}"/>
    <cellStyle name="Normal 7 3 5 3 3" xfId="7439" xr:uid="{00000000-0005-0000-0000-0000EB250000}"/>
    <cellStyle name="Normal 7 3 5 4" xfId="2578" xr:uid="{00000000-0005-0000-0000-0000EC250000}"/>
    <cellStyle name="Normal 7 3 5 4 2" xfId="7936" xr:uid="{00000000-0005-0000-0000-0000ED250000}"/>
    <cellStyle name="Normal 7 3 5 5" xfId="3692" xr:uid="{00000000-0005-0000-0000-0000EE250000}"/>
    <cellStyle name="Normal 7 3 5 5 2" xfId="8984" xr:uid="{00000000-0005-0000-0000-0000EF250000}"/>
    <cellStyle name="Normal 7 3 5 6" xfId="5239" xr:uid="{00000000-0005-0000-0000-0000F0250000}"/>
    <cellStyle name="Normal 7 3 5 6 2" xfId="10527" xr:uid="{00000000-0005-0000-0000-0000F1250000}"/>
    <cellStyle name="Normal 7 3 5 7" xfId="6881" xr:uid="{00000000-0005-0000-0000-0000F2250000}"/>
    <cellStyle name="Normal 7 3 6" xfId="1424" xr:uid="{00000000-0005-0000-0000-0000F3250000}"/>
    <cellStyle name="Normal 7 3 6 2" xfId="3071" xr:uid="{00000000-0005-0000-0000-0000F4250000}"/>
    <cellStyle name="Normal 7 3 6 2 2" xfId="8424" xr:uid="{00000000-0005-0000-0000-0000F5250000}"/>
    <cellStyle name="Normal 7 3 6 3" xfId="4181" xr:uid="{00000000-0005-0000-0000-0000F6250000}"/>
    <cellStyle name="Normal 7 3 6 3 2" xfId="9472" xr:uid="{00000000-0005-0000-0000-0000F7250000}"/>
    <cellStyle name="Normal 7 3 6 4" xfId="5241" xr:uid="{00000000-0005-0000-0000-0000F8250000}"/>
    <cellStyle name="Normal 7 3 6 4 2" xfId="10529" xr:uid="{00000000-0005-0000-0000-0000F9250000}"/>
    <cellStyle name="Normal 7 3 6 5" xfId="6883" xr:uid="{00000000-0005-0000-0000-0000FA250000}"/>
    <cellStyle name="Normal 7 3 7" xfId="2015" xr:uid="{00000000-0005-0000-0000-0000FB250000}"/>
    <cellStyle name="Normal 7 3 7 2" xfId="5786" xr:uid="{00000000-0005-0000-0000-0000FC250000}"/>
    <cellStyle name="Normal 7 3 7 2 2" xfId="11074" xr:uid="{00000000-0005-0000-0000-0000FD250000}"/>
    <cellStyle name="Normal 7 3 7 3" xfId="7428" xr:uid="{00000000-0005-0000-0000-0000FE250000}"/>
    <cellStyle name="Normal 7 3 8" xfId="2567" xr:uid="{00000000-0005-0000-0000-0000FF250000}"/>
    <cellStyle name="Normal 7 3 8 2" xfId="7925" xr:uid="{00000000-0005-0000-0000-000000260000}"/>
    <cellStyle name="Normal 7 3 9" xfId="3681" xr:uid="{00000000-0005-0000-0000-000001260000}"/>
    <cellStyle name="Normal 7 3 9 2" xfId="8973" xr:uid="{00000000-0005-0000-0000-000002260000}"/>
    <cellStyle name="Normal 7 4" xfId="1425" xr:uid="{00000000-0005-0000-0000-000003260000}"/>
    <cellStyle name="Normal 7 4 10" xfId="6884" xr:uid="{00000000-0005-0000-0000-000004260000}"/>
    <cellStyle name="Normal 7 4 2" xfId="1426" xr:uid="{00000000-0005-0000-0000-000005260000}"/>
    <cellStyle name="Normal 7 4 2 2" xfId="1427" xr:uid="{00000000-0005-0000-0000-000006260000}"/>
    <cellStyle name="Normal 7 4 2 2 2" xfId="1428" xr:uid="{00000000-0005-0000-0000-000007260000}"/>
    <cellStyle name="Normal 7 4 2 2 2 2" xfId="3085" xr:uid="{00000000-0005-0000-0000-000008260000}"/>
    <cellStyle name="Normal 7 4 2 2 2 2 2" xfId="8438" xr:uid="{00000000-0005-0000-0000-000009260000}"/>
    <cellStyle name="Normal 7 4 2 2 2 3" xfId="4195" xr:uid="{00000000-0005-0000-0000-00000A260000}"/>
    <cellStyle name="Normal 7 4 2 2 2 3 2" xfId="9486" xr:uid="{00000000-0005-0000-0000-00000B260000}"/>
    <cellStyle name="Normal 7 4 2 2 2 4" xfId="5245" xr:uid="{00000000-0005-0000-0000-00000C260000}"/>
    <cellStyle name="Normal 7 4 2 2 2 4 2" xfId="10533" xr:uid="{00000000-0005-0000-0000-00000D260000}"/>
    <cellStyle name="Normal 7 4 2 2 2 5" xfId="6887" xr:uid="{00000000-0005-0000-0000-00000E260000}"/>
    <cellStyle name="Normal 7 4 2 2 3" xfId="2029" xr:uid="{00000000-0005-0000-0000-00000F260000}"/>
    <cellStyle name="Normal 7 4 2 2 3 2" xfId="5800" xr:uid="{00000000-0005-0000-0000-000010260000}"/>
    <cellStyle name="Normal 7 4 2 2 3 2 2" xfId="11088" xr:uid="{00000000-0005-0000-0000-000011260000}"/>
    <cellStyle name="Normal 7 4 2 2 3 3" xfId="7442" xr:uid="{00000000-0005-0000-0000-000012260000}"/>
    <cellStyle name="Normal 7 4 2 2 4" xfId="2581" xr:uid="{00000000-0005-0000-0000-000013260000}"/>
    <cellStyle name="Normal 7 4 2 2 4 2" xfId="7939" xr:uid="{00000000-0005-0000-0000-000014260000}"/>
    <cellStyle name="Normal 7 4 2 2 5" xfId="3695" xr:uid="{00000000-0005-0000-0000-000015260000}"/>
    <cellStyle name="Normal 7 4 2 2 5 2" xfId="8987" xr:uid="{00000000-0005-0000-0000-000016260000}"/>
    <cellStyle name="Normal 7 4 2 2 6" xfId="5244" xr:uid="{00000000-0005-0000-0000-000017260000}"/>
    <cellStyle name="Normal 7 4 2 2 6 2" xfId="10532" xr:uid="{00000000-0005-0000-0000-000018260000}"/>
    <cellStyle name="Normal 7 4 2 2 7" xfId="6886" xr:uid="{00000000-0005-0000-0000-000019260000}"/>
    <cellStyle name="Normal 7 4 2 3" xfId="1429" xr:uid="{00000000-0005-0000-0000-00001A260000}"/>
    <cellStyle name="Normal 7 4 2 3 2" xfId="1430" xr:uid="{00000000-0005-0000-0000-00001B260000}"/>
    <cellStyle name="Normal 7 4 2 3 2 2" xfId="3086" xr:uid="{00000000-0005-0000-0000-00001C260000}"/>
    <cellStyle name="Normal 7 4 2 3 2 2 2" xfId="8439" xr:uid="{00000000-0005-0000-0000-00001D260000}"/>
    <cellStyle name="Normal 7 4 2 3 2 3" xfId="4196" xr:uid="{00000000-0005-0000-0000-00001E260000}"/>
    <cellStyle name="Normal 7 4 2 3 2 3 2" xfId="9487" xr:uid="{00000000-0005-0000-0000-00001F260000}"/>
    <cellStyle name="Normal 7 4 2 3 2 4" xfId="5247" xr:uid="{00000000-0005-0000-0000-000020260000}"/>
    <cellStyle name="Normal 7 4 2 3 2 4 2" xfId="10535" xr:uid="{00000000-0005-0000-0000-000021260000}"/>
    <cellStyle name="Normal 7 4 2 3 2 5" xfId="6889" xr:uid="{00000000-0005-0000-0000-000022260000}"/>
    <cellStyle name="Normal 7 4 2 3 3" xfId="2030" xr:uid="{00000000-0005-0000-0000-000023260000}"/>
    <cellStyle name="Normal 7 4 2 3 3 2" xfId="5801" xr:uid="{00000000-0005-0000-0000-000024260000}"/>
    <cellStyle name="Normal 7 4 2 3 3 2 2" xfId="11089" xr:uid="{00000000-0005-0000-0000-000025260000}"/>
    <cellStyle name="Normal 7 4 2 3 3 3" xfId="7443" xr:uid="{00000000-0005-0000-0000-000026260000}"/>
    <cellStyle name="Normal 7 4 2 3 4" xfId="2582" xr:uid="{00000000-0005-0000-0000-000027260000}"/>
    <cellStyle name="Normal 7 4 2 3 4 2" xfId="7940" xr:uid="{00000000-0005-0000-0000-000028260000}"/>
    <cellStyle name="Normal 7 4 2 3 5" xfId="3696" xr:uid="{00000000-0005-0000-0000-000029260000}"/>
    <cellStyle name="Normal 7 4 2 3 5 2" xfId="8988" xr:uid="{00000000-0005-0000-0000-00002A260000}"/>
    <cellStyle name="Normal 7 4 2 3 6" xfId="5246" xr:uid="{00000000-0005-0000-0000-00002B260000}"/>
    <cellStyle name="Normal 7 4 2 3 6 2" xfId="10534" xr:uid="{00000000-0005-0000-0000-00002C260000}"/>
    <cellStyle name="Normal 7 4 2 3 7" xfId="6888" xr:uid="{00000000-0005-0000-0000-00002D260000}"/>
    <cellStyle name="Normal 7 4 2 4" xfId="1431" xr:uid="{00000000-0005-0000-0000-00002E260000}"/>
    <cellStyle name="Normal 7 4 2 4 2" xfId="3084" xr:uid="{00000000-0005-0000-0000-00002F260000}"/>
    <cellStyle name="Normal 7 4 2 4 2 2" xfId="8437" xr:uid="{00000000-0005-0000-0000-000030260000}"/>
    <cellStyle name="Normal 7 4 2 4 3" xfId="4194" xr:uid="{00000000-0005-0000-0000-000031260000}"/>
    <cellStyle name="Normal 7 4 2 4 3 2" xfId="9485" xr:uid="{00000000-0005-0000-0000-000032260000}"/>
    <cellStyle name="Normal 7 4 2 4 4" xfId="5248" xr:uid="{00000000-0005-0000-0000-000033260000}"/>
    <cellStyle name="Normal 7 4 2 4 4 2" xfId="10536" xr:uid="{00000000-0005-0000-0000-000034260000}"/>
    <cellStyle name="Normal 7 4 2 4 5" xfId="6890" xr:uid="{00000000-0005-0000-0000-000035260000}"/>
    <cellStyle name="Normal 7 4 2 5" xfId="2028" xr:uid="{00000000-0005-0000-0000-000036260000}"/>
    <cellStyle name="Normal 7 4 2 5 2" xfId="5799" xr:uid="{00000000-0005-0000-0000-000037260000}"/>
    <cellStyle name="Normal 7 4 2 5 2 2" xfId="11087" xr:uid="{00000000-0005-0000-0000-000038260000}"/>
    <cellStyle name="Normal 7 4 2 5 3" xfId="7441" xr:uid="{00000000-0005-0000-0000-000039260000}"/>
    <cellStyle name="Normal 7 4 2 6" xfId="2580" xr:uid="{00000000-0005-0000-0000-00003A260000}"/>
    <cellStyle name="Normal 7 4 2 6 2" xfId="7938" xr:uid="{00000000-0005-0000-0000-00003B260000}"/>
    <cellStyle name="Normal 7 4 2 7" xfId="3694" xr:uid="{00000000-0005-0000-0000-00003C260000}"/>
    <cellStyle name="Normal 7 4 2 7 2" xfId="8986" xr:uid="{00000000-0005-0000-0000-00003D260000}"/>
    <cellStyle name="Normal 7 4 2 8" xfId="5243" xr:uid="{00000000-0005-0000-0000-00003E260000}"/>
    <cellStyle name="Normal 7 4 2 8 2" xfId="10531" xr:uid="{00000000-0005-0000-0000-00003F260000}"/>
    <cellStyle name="Normal 7 4 2 9" xfId="6885" xr:uid="{00000000-0005-0000-0000-000040260000}"/>
    <cellStyle name="Normal 7 4 3" xfId="1432" xr:uid="{00000000-0005-0000-0000-000041260000}"/>
    <cellStyle name="Normal 7 4 3 2" xfId="1433" xr:uid="{00000000-0005-0000-0000-000042260000}"/>
    <cellStyle name="Normal 7 4 3 2 2" xfId="3087" xr:uid="{00000000-0005-0000-0000-000043260000}"/>
    <cellStyle name="Normal 7 4 3 2 2 2" xfId="8440" xr:uid="{00000000-0005-0000-0000-000044260000}"/>
    <cellStyle name="Normal 7 4 3 2 3" xfId="4197" xr:uid="{00000000-0005-0000-0000-000045260000}"/>
    <cellStyle name="Normal 7 4 3 2 3 2" xfId="9488" xr:uid="{00000000-0005-0000-0000-000046260000}"/>
    <cellStyle name="Normal 7 4 3 2 4" xfId="5250" xr:uid="{00000000-0005-0000-0000-000047260000}"/>
    <cellStyle name="Normal 7 4 3 2 4 2" xfId="10538" xr:uid="{00000000-0005-0000-0000-000048260000}"/>
    <cellStyle name="Normal 7 4 3 2 5" xfId="6892" xr:uid="{00000000-0005-0000-0000-000049260000}"/>
    <cellStyle name="Normal 7 4 3 3" xfId="2031" xr:uid="{00000000-0005-0000-0000-00004A260000}"/>
    <cellStyle name="Normal 7 4 3 3 2" xfId="5802" xr:uid="{00000000-0005-0000-0000-00004B260000}"/>
    <cellStyle name="Normal 7 4 3 3 2 2" xfId="11090" xr:uid="{00000000-0005-0000-0000-00004C260000}"/>
    <cellStyle name="Normal 7 4 3 3 3" xfId="7444" xr:uid="{00000000-0005-0000-0000-00004D260000}"/>
    <cellStyle name="Normal 7 4 3 4" xfId="2583" xr:uid="{00000000-0005-0000-0000-00004E260000}"/>
    <cellStyle name="Normal 7 4 3 4 2" xfId="7941" xr:uid="{00000000-0005-0000-0000-00004F260000}"/>
    <cellStyle name="Normal 7 4 3 5" xfId="3697" xr:uid="{00000000-0005-0000-0000-000050260000}"/>
    <cellStyle name="Normal 7 4 3 5 2" xfId="8989" xr:uid="{00000000-0005-0000-0000-000051260000}"/>
    <cellStyle name="Normal 7 4 3 6" xfId="5249" xr:uid="{00000000-0005-0000-0000-000052260000}"/>
    <cellStyle name="Normal 7 4 3 6 2" xfId="10537" xr:uid="{00000000-0005-0000-0000-000053260000}"/>
    <cellStyle name="Normal 7 4 3 7" xfId="6891" xr:uid="{00000000-0005-0000-0000-000054260000}"/>
    <cellStyle name="Normal 7 4 4" xfId="1434" xr:uid="{00000000-0005-0000-0000-000055260000}"/>
    <cellStyle name="Normal 7 4 4 2" xfId="1435" xr:uid="{00000000-0005-0000-0000-000056260000}"/>
    <cellStyle name="Normal 7 4 4 2 2" xfId="3088" xr:uid="{00000000-0005-0000-0000-000057260000}"/>
    <cellStyle name="Normal 7 4 4 2 2 2" xfId="8441" xr:uid="{00000000-0005-0000-0000-000058260000}"/>
    <cellStyle name="Normal 7 4 4 2 3" xfId="4198" xr:uid="{00000000-0005-0000-0000-000059260000}"/>
    <cellStyle name="Normal 7 4 4 2 3 2" xfId="9489" xr:uid="{00000000-0005-0000-0000-00005A260000}"/>
    <cellStyle name="Normal 7 4 4 2 4" xfId="5252" xr:uid="{00000000-0005-0000-0000-00005B260000}"/>
    <cellStyle name="Normal 7 4 4 2 4 2" xfId="10540" xr:uid="{00000000-0005-0000-0000-00005C260000}"/>
    <cellStyle name="Normal 7 4 4 2 5" xfId="6894" xr:uid="{00000000-0005-0000-0000-00005D260000}"/>
    <cellStyle name="Normal 7 4 4 3" xfId="2032" xr:uid="{00000000-0005-0000-0000-00005E260000}"/>
    <cellStyle name="Normal 7 4 4 3 2" xfId="5803" xr:uid="{00000000-0005-0000-0000-00005F260000}"/>
    <cellStyle name="Normal 7 4 4 3 2 2" xfId="11091" xr:uid="{00000000-0005-0000-0000-000060260000}"/>
    <cellStyle name="Normal 7 4 4 3 3" xfId="7445" xr:uid="{00000000-0005-0000-0000-000061260000}"/>
    <cellStyle name="Normal 7 4 4 4" xfId="2584" xr:uid="{00000000-0005-0000-0000-000062260000}"/>
    <cellStyle name="Normal 7 4 4 4 2" xfId="7942" xr:uid="{00000000-0005-0000-0000-000063260000}"/>
    <cellStyle name="Normal 7 4 4 5" xfId="3698" xr:uid="{00000000-0005-0000-0000-000064260000}"/>
    <cellStyle name="Normal 7 4 4 5 2" xfId="8990" xr:uid="{00000000-0005-0000-0000-000065260000}"/>
    <cellStyle name="Normal 7 4 4 6" xfId="5251" xr:uid="{00000000-0005-0000-0000-000066260000}"/>
    <cellStyle name="Normal 7 4 4 6 2" xfId="10539" xr:uid="{00000000-0005-0000-0000-000067260000}"/>
    <cellStyle name="Normal 7 4 4 7" xfId="6893" xr:uid="{00000000-0005-0000-0000-000068260000}"/>
    <cellStyle name="Normal 7 4 5" xfId="1436" xr:uid="{00000000-0005-0000-0000-000069260000}"/>
    <cellStyle name="Normal 7 4 5 2" xfId="3083" xr:uid="{00000000-0005-0000-0000-00006A260000}"/>
    <cellStyle name="Normal 7 4 5 2 2" xfId="8436" xr:uid="{00000000-0005-0000-0000-00006B260000}"/>
    <cellStyle name="Normal 7 4 5 3" xfId="4193" xr:uid="{00000000-0005-0000-0000-00006C260000}"/>
    <cellStyle name="Normal 7 4 5 3 2" xfId="9484" xr:uid="{00000000-0005-0000-0000-00006D260000}"/>
    <cellStyle name="Normal 7 4 5 4" xfId="5253" xr:uid="{00000000-0005-0000-0000-00006E260000}"/>
    <cellStyle name="Normal 7 4 5 4 2" xfId="10541" xr:uid="{00000000-0005-0000-0000-00006F260000}"/>
    <cellStyle name="Normal 7 4 5 5" xfId="6895" xr:uid="{00000000-0005-0000-0000-000070260000}"/>
    <cellStyle name="Normal 7 4 6" xfId="2027" xr:uid="{00000000-0005-0000-0000-000071260000}"/>
    <cellStyle name="Normal 7 4 6 2" xfId="5798" xr:uid="{00000000-0005-0000-0000-000072260000}"/>
    <cellStyle name="Normal 7 4 6 2 2" xfId="11086" xr:uid="{00000000-0005-0000-0000-000073260000}"/>
    <cellStyle name="Normal 7 4 6 3" xfId="7440" xr:uid="{00000000-0005-0000-0000-000074260000}"/>
    <cellStyle name="Normal 7 4 7" xfId="2579" xr:uid="{00000000-0005-0000-0000-000075260000}"/>
    <cellStyle name="Normal 7 4 7 2" xfId="7937" xr:uid="{00000000-0005-0000-0000-000076260000}"/>
    <cellStyle name="Normal 7 4 8" xfId="3693" xr:uid="{00000000-0005-0000-0000-000077260000}"/>
    <cellStyle name="Normal 7 4 8 2" xfId="8985" xr:uid="{00000000-0005-0000-0000-000078260000}"/>
    <cellStyle name="Normal 7 4 9" xfId="5242" xr:uid="{00000000-0005-0000-0000-000079260000}"/>
    <cellStyle name="Normal 7 4 9 2" xfId="10530" xr:uid="{00000000-0005-0000-0000-00007A260000}"/>
    <cellStyle name="Normal 7 5" xfId="1437" xr:uid="{00000000-0005-0000-0000-00007B260000}"/>
    <cellStyle name="Normal 7 5 2" xfId="1438" xr:uid="{00000000-0005-0000-0000-00007C260000}"/>
    <cellStyle name="Normal 7 5 2 2" xfId="1439" xr:uid="{00000000-0005-0000-0000-00007D260000}"/>
    <cellStyle name="Normal 7 5 2 2 2" xfId="3090" xr:uid="{00000000-0005-0000-0000-00007E260000}"/>
    <cellStyle name="Normal 7 5 2 2 2 2" xfId="8443" xr:uid="{00000000-0005-0000-0000-00007F260000}"/>
    <cellStyle name="Normal 7 5 2 2 3" xfId="4200" xr:uid="{00000000-0005-0000-0000-000080260000}"/>
    <cellStyle name="Normal 7 5 2 2 3 2" xfId="9491" xr:uid="{00000000-0005-0000-0000-000081260000}"/>
    <cellStyle name="Normal 7 5 2 2 4" xfId="5256" xr:uid="{00000000-0005-0000-0000-000082260000}"/>
    <cellStyle name="Normal 7 5 2 2 4 2" xfId="10544" xr:uid="{00000000-0005-0000-0000-000083260000}"/>
    <cellStyle name="Normal 7 5 2 2 5" xfId="6898" xr:uid="{00000000-0005-0000-0000-000084260000}"/>
    <cellStyle name="Normal 7 5 2 3" xfId="2034" xr:uid="{00000000-0005-0000-0000-000085260000}"/>
    <cellStyle name="Normal 7 5 2 3 2" xfId="5805" xr:uid="{00000000-0005-0000-0000-000086260000}"/>
    <cellStyle name="Normal 7 5 2 3 2 2" xfId="11093" xr:uid="{00000000-0005-0000-0000-000087260000}"/>
    <cellStyle name="Normal 7 5 2 3 3" xfId="7447" xr:uid="{00000000-0005-0000-0000-000088260000}"/>
    <cellStyle name="Normal 7 5 2 4" xfId="2586" xr:uid="{00000000-0005-0000-0000-000089260000}"/>
    <cellStyle name="Normal 7 5 2 4 2" xfId="7944" xr:uid="{00000000-0005-0000-0000-00008A260000}"/>
    <cellStyle name="Normal 7 5 2 5" xfId="3700" xr:uid="{00000000-0005-0000-0000-00008B260000}"/>
    <cellStyle name="Normal 7 5 2 5 2" xfId="8992" xr:uid="{00000000-0005-0000-0000-00008C260000}"/>
    <cellStyle name="Normal 7 5 2 6" xfId="5255" xr:uid="{00000000-0005-0000-0000-00008D260000}"/>
    <cellStyle name="Normal 7 5 2 6 2" xfId="10543" xr:uid="{00000000-0005-0000-0000-00008E260000}"/>
    <cellStyle name="Normal 7 5 2 7" xfId="6897" xr:uid="{00000000-0005-0000-0000-00008F260000}"/>
    <cellStyle name="Normal 7 5 3" xfId="1440" xr:uid="{00000000-0005-0000-0000-000090260000}"/>
    <cellStyle name="Normal 7 5 3 2" xfId="1441" xr:uid="{00000000-0005-0000-0000-000091260000}"/>
    <cellStyle name="Normal 7 5 3 2 2" xfId="3091" xr:uid="{00000000-0005-0000-0000-000092260000}"/>
    <cellStyle name="Normal 7 5 3 2 2 2" xfId="8444" xr:uid="{00000000-0005-0000-0000-000093260000}"/>
    <cellStyle name="Normal 7 5 3 2 3" xfId="4201" xr:uid="{00000000-0005-0000-0000-000094260000}"/>
    <cellStyle name="Normal 7 5 3 2 3 2" xfId="9492" xr:uid="{00000000-0005-0000-0000-000095260000}"/>
    <cellStyle name="Normal 7 5 3 2 4" xfId="5258" xr:uid="{00000000-0005-0000-0000-000096260000}"/>
    <cellStyle name="Normal 7 5 3 2 4 2" xfId="10546" xr:uid="{00000000-0005-0000-0000-000097260000}"/>
    <cellStyle name="Normal 7 5 3 2 5" xfId="6900" xr:uid="{00000000-0005-0000-0000-000098260000}"/>
    <cellStyle name="Normal 7 5 3 3" xfId="2035" xr:uid="{00000000-0005-0000-0000-000099260000}"/>
    <cellStyle name="Normal 7 5 3 3 2" xfId="5806" xr:uid="{00000000-0005-0000-0000-00009A260000}"/>
    <cellStyle name="Normal 7 5 3 3 2 2" xfId="11094" xr:uid="{00000000-0005-0000-0000-00009B260000}"/>
    <cellStyle name="Normal 7 5 3 3 3" xfId="7448" xr:uid="{00000000-0005-0000-0000-00009C260000}"/>
    <cellStyle name="Normal 7 5 3 4" xfId="2587" xr:uid="{00000000-0005-0000-0000-00009D260000}"/>
    <cellStyle name="Normal 7 5 3 4 2" xfId="7945" xr:uid="{00000000-0005-0000-0000-00009E260000}"/>
    <cellStyle name="Normal 7 5 3 5" xfId="3701" xr:uid="{00000000-0005-0000-0000-00009F260000}"/>
    <cellStyle name="Normal 7 5 3 5 2" xfId="8993" xr:uid="{00000000-0005-0000-0000-0000A0260000}"/>
    <cellStyle name="Normal 7 5 3 6" xfId="5257" xr:uid="{00000000-0005-0000-0000-0000A1260000}"/>
    <cellStyle name="Normal 7 5 3 6 2" xfId="10545" xr:uid="{00000000-0005-0000-0000-0000A2260000}"/>
    <cellStyle name="Normal 7 5 3 7" xfId="6899" xr:uid="{00000000-0005-0000-0000-0000A3260000}"/>
    <cellStyle name="Normal 7 5 4" xfId="1442" xr:uid="{00000000-0005-0000-0000-0000A4260000}"/>
    <cellStyle name="Normal 7 5 4 2" xfId="3089" xr:uid="{00000000-0005-0000-0000-0000A5260000}"/>
    <cellStyle name="Normal 7 5 4 2 2" xfId="8442" xr:uid="{00000000-0005-0000-0000-0000A6260000}"/>
    <cellStyle name="Normal 7 5 4 3" xfId="4199" xr:uid="{00000000-0005-0000-0000-0000A7260000}"/>
    <cellStyle name="Normal 7 5 4 3 2" xfId="9490" xr:uid="{00000000-0005-0000-0000-0000A8260000}"/>
    <cellStyle name="Normal 7 5 4 4" xfId="5259" xr:uid="{00000000-0005-0000-0000-0000A9260000}"/>
    <cellStyle name="Normal 7 5 4 4 2" xfId="10547" xr:uid="{00000000-0005-0000-0000-0000AA260000}"/>
    <cellStyle name="Normal 7 5 4 5" xfId="6901" xr:uid="{00000000-0005-0000-0000-0000AB260000}"/>
    <cellStyle name="Normal 7 5 5" xfId="2033" xr:uid="{00000000-0005-0000-0000-0000AC260000}"/>
    <cellStyle name="Normal 7 5 5 2" xfId="5804" xr:uid="{00000000-0005-0000-0000-0000AD260000}"/>
    <cellStyle name="Normal 7 5 5 2 2" xfId="11092" xr:uid="{00000000-0005-0000-0000-0000AE260000}"/>
    <cellStyle name="Normal 7 5 5 3" xfId="7446" xr:uid="{00000000-0005-0000-0000-0000AF260000}"/>
    <cellStyle name="Normal 7 5 6" xfId="2585" xr:uid="{00000000-0005-0000-0000-0000B0260000}"/>
    <cellStyle name="Normal 7 5 6 2" xfId="7943" xr:uid="{00000000-0005-0000-0000-0000B1260000}"/>
    <cellStyle name="Normal 7 5 7" xfId="3699" xr:uid="{00000000-0005-0000-0000-0000B2260000}"/>
    <cellStyle name="Normal 7 5 7 2" xfId="8991" xr:uid="{00000000-0005-0000-0000-0000B3260000}"/>
    <cellStyle name="Normal 7 5 8" xfId="5254" xr:uid="{00000000-0005-0000-0000-0000B4260000}"/>
    <cellStyle name="Normal 7 5 8 2" xfId="10542" xr:uid="{00000000-0005-0000-0000-0000B5260000}"/>
    <cellStyle name="Normal 7 5 9" xfId="6896" xr:uid="{00000000-0005-0000-0000-0000B6260000}"/>
    <cellStyle name="Normal 7 6" xfId="1443" xr:uid="{00000000-0005-0000-0000-0000B7260000}"/>
    <cellStyle name="Normal 7 6 2" xfId="1444" xr:uid="{00000000-0005-0000-0000-0000B8260000}"/>
    <cellStyle name="Normal 7 6 2 2" xfId="3092" xr:uid="{00000000-0005-0000-0000-0000B9260000}"/>
    <cellStyle name="Normal 7 6 2 2 2" xfId="8445" xr:uid="{00000000-0005-0000-0000-0000BA260000}"/>
    <cellStyle name="Normal 7 6 2 3" xfId="4202" xr:uid="{00000000-0005-0000-0000-0000BB260000}"/>
    <cellStyle name="Normal 7 6 2 3 2" xfId="9493" xr:uid="{00000000-0005-0000-0000-0000BC260000}"/>
    <cellStyle name="Normal 7 6 2 4" xfId="5261" xr:uid="{00000000-0005-0000-0000-0000BD260000}"/>
    <cellStyle name="Normal 7 6 2 4 2" xfId="10549" xr:uid="{00000000-0005-0000-0000-0000BE260000}"/>
    <cellStyle name="Normal 7 6 2 5" xfId="6903" xr:uid="{00000000-0005-0000-0000-0000BF260000}"/>
    <cellStyle name="Normal 7 6 3" xfId="2036" xr:uid="{00000000-0005-0000-0000-0000C0260000}"/>
    <cellStyle name="Normal 7 6 3 2" xfId="5807" xr:uid="{00000000-0005-0000-0000-0000C1260000}"/>
    <cellStyle name="Normal 7 6 3 2 2" xfId="11095" xr:uid="{00000000-0005-0000-0000-0000C2260000}"/>
    <cellStyle name="Normal 7 6 3 3" xfId="7449" xr:uid="{00000000-0005-0000-0000-0000C3260000}"/>
    <cellStyle name="Normal 7 6 4" xfId="2588" xr:uid="{00000000-0005-0000-0000-0000C4260000}"/>
    <cellStyle name="Normal 7 6 4 2" xfId="7946" xr:uid="{00000000-0005-0000-0000-0000C5260000}"/>
    <cellStyle name="Normal 7 6 5" xfId="3702" xr:uid="{00000000-0005-0000-0000-0000C6260000}"/>
    <cellStyle name="Normal 7 6 5 2" xfId="8994" xr:uid="{00000000-0005-0000-0000-0000C7260000}"/>
    <cellStyle name="Normal 7 6 6" xfId="5260" xr:uid="{00000000-0005-0000-0000-0000C8260000}"/>
    <cellStyle name="Normal 7 6 6 2" xfId="10548" xr:uid="{00000000-0005-0000-0000-0000C9260000}"/>
    <cellStyle name="Normal 7 6 7" xfId="6902" xr:uid="{00000000-0005-0000-0000-0000CA260000}"/>
    <cellStyle name="Normal 7 7" xfId="1445" xr:uid="{00000000-0005-0000-0000-0000CB260000}"/>
    <cellStyle name="Normal 7 7 2" xfId="1446" xr:uid="{00000000-0005-0000-0000-0000CC260000}"/>
    <cellStyle name="Normal 7 7 2 2" xfId="3093" xr:uid="{00000000-0005-0000-0000-0000CD260000}"/>
    <cellStyle name="Normal 7 7 2 2 2" xfId="8446" xr:uid="{00000000-0005-0000-0000-0000CE260000}"/>
    <cellStyle name="Normal 7 7 2 3" xfId="4203" xr:uid="{00000000-0005-0000-0000-0000CF260000}"/>
    <cellStyle name="Normal 7 7 2 3 2" xfId="9494" xr:uid="{00000000-0005-0000-0000-0000D0260000}"/>
    <cellStyle name="Normal 7 7 2 4" xfId="5263" xr:uid="{00000000-0005-0000-0000-0000D1260000}"/>
    <cellStyle name="Normal 7 7 2 4 2" xfId="10551" xr:uid="{00000000-0005-0000-0000-0000D2260000}"/>
    <cellStyle name="Normal 7 7 2 5" xfId="6905" xr:uid="{00000000-0005-0000-0000-0000D3260000}"/>
    <cellStyle name="Normal 7 7 3" xfId="2037" xr:uid="{00000000-0005-0000-0000-0000D4260000}"/>
    <cellStyle name="Normal 7 7 3 2" xfId="5808" xr:uid="{00000000-0005-0000-0000-0000D5260000}"/>
    <cellStyle name="Normal 7 7 3 2 2" xfId="11096" xr:uid="{00000000-0005-0000-0000-0000D6260000}"/>
    <cellStyle name="Normal 7 7 3 3" xfId="7450" xr:uid="{00000000-0005-0000-0000-0000D7260000}"/>
    <cellStyle name="Normal 7 7 4" xfId="2589" xr:uid="{00000000-0005-0000-0000-0000D8260000}"/>
    <cellStyle name="Normal 7 7 4 2" xfId="7947" xr:uid="{00000000-0005-0000-0000-0000D9260000}"/>
    <cellStyle name="Normal 7 7 5" xfId="3703" xr:uid="{00000000-0005-0000-0000-0000DA260000}"/>
    <cellStyle name="Normal 7 7 5 2" xfId="8995" xr:uid="{00000000-0005-0000-0000-0000DB260000}"/>
    <cellStyle name="Normal 7 7 6" xfId="5262" xr:uid="{00000000-0005-0000-0000-0000DC260000}"/>
    <cellStyle name="Normal 7 7 6 2" xfId="10550" xr:uid="{00000000-0005-0000-0000-0000DD260000}"/>
    <cellStyle name="Normal 7 7 7" xfId="6904" xr:uid="{00000000-0005-0000-0000-0000DE260000}"/>
    <cellStyle name="Normal 7 8" xfId="1447" xr:uid="{00000000-0005-0000-0000-0000DF260000}"/>
    <cellStyle name="Normal 7 8 2" xfId="1448" xr:uid="{00000000-0005-0000-0000-0000E0260000}"/>
    <cellStyle name="Normal 7 8 2 2" xfId="3094" xr:uid="{00000000-0005-0000-0000-0000E1260000}"/>
    <cellStyle name="Normal 7 8 2 2 2" xfId="8447" xr:uid="{00000000-0005-0000-0000-0000E2260000}"/>
    <cellStyle name="Normal 7 8 2 3" xfId="4204" xr:uid="{00000000-0005-0000-0000-0000E3260000}"/>
    <cellStyle name="Normal 7 8 2 3 2" xfId="9495" xr:uid="{00000000-0005-0000-0000-0000E4260000}"/>
    <cellStyle name="Normal 7 8 2 4" xfId="5265" xr:uid="{00000000-0005-0000-0000-0000E5260000}"/>
    <cellStyle name="Normal 7 8 2 4 2" xfId="10553" xr:uid="{00000000-0005-0000-0000-0000E6260000}"/>
    <cellStyle name="Normal 7 8 2 5" xfId="6907" xr:uid="{00000000-0005-0000-0000-0000E7260000}"/>
    <cellStyle name="Normal 7 8 3" xfId="2038" xr:uid="{00000000-0005-0000-0000-0000E8260000}"/>
    <cellStyle name="Normal 7 8 3 2" xfId="5809" xr:uid="{00000000-0005-0000-0000-0000E9260000}"/>
    <cellStyle name="Normal 7 8 3 2 2" xfId="11097" xr:uid="{00000000-0005-0000-0000-0000EA260000}"/>
    <cellStyle name="Normal 7 8 3 3" xfId="7451" xr:uid="{00000000-0005-0000-0000-0000EB260000}"/>
    <cellStyle name="Normal 7 8 4" xfId="2590" xr:uid="{00000000-0005-0000-0000-0000EC260000}"/>
    <cellStyle name="Normal 7 8 4 2" xfId="7948" xr:uid="{00000000-0005-0000-0000-0000ED260000}"/>
    <cellStyle name="Normal 7 8 5" xfId="3704" xr:uid="{00000000-0005-0000-0000-0000EE260000}"/>
    <cellStyle name="Normal 7 8 5 2" xfId="8996" xr:uid="{00000000-0005-0000-0000-0000EF260000}"/>
    <cellStyle name="Normal 7 8 6" xfId="5264" xr:uid="{00000000-0005-0000-0000-0000F0260000}"/>
    <cellStyle name="Normal 7 8 6 2" xfId="10552" xr:uid="{00000000-0005-0000-0000-0000F1260000}"/>
    <cellStyle name="Normal 7 8 7" xfId="6906" xr:uid="{00000000-0005-0000-0000-0000F2260000}"/>
    <cellStyle name="Normal 7 9" xfId="1449" xr:uid="{00000000-0005-0000-0000-0000F3260000}"/>
    <cellStyle name="Normal 7 9 2" xfId="2109" xr:uid="{00000000-0005-0000-0000-0000F4260000}"/>
    <cellStyle name="Normal 7 9 3" xfId="3058" xr:uid="{00000000-0005-0000-0000-0000F5260000}"/>
    <cellStyle name="Normal 7 9 3 2" xfId="8411" xr:uid="{00000000-0005-0000-0000-0000F6260000}"/>
    <cellStyle name="Normal 7 9 4" xfId="4168" xr:uid="{00000000-0005-0000-0000-0000F7260000}"/>
    <cellStyle name="Normal 7 9 4 2" xfId="9459" xr:uid="{00000000-0005-0000-0000-0000F8260000}"/>
    <cellStyle name="Normal 7 9 5" xfId="5266" xr:uid="{00000000-0005-0000-0000-0000F9260000}"/>
    <cellStyle name="Normal 7 9 5 2" xfId="10554" xr:uid="{00000000-0005-0000-0000-0000FA260000}"/>
    <cellStyle name="Normal 7 9 6" xfId="6908" xr:uid="{00000000-0005-0000-0000-0000FB260000}"/>
    <cellStyle name="Normal 8" xfId="1450" xr:uid="{00000000-0005-0000-0000-0000FC260000}"/>
    <cellStyle name="Normal 8 10" xfId="2591" xr:uid="{00000000-0005-0000-0000-0000FD260000}"/>
    <cellStyle name="Normal 8 10 2" xfId="5885" xr:uid="{00000000-0005-0000-0000-0000FE260000}"/>
    <cellStyle name="Normal 8 10 2 2" xfId="11159" xr:uid="{00000000-0005-0000-0000-0000FF260000}"/>
    <cellStyle name="Normal 8 10 3" xfId="7949" xr:uid="{00000000-0005-0000-0000-000000270000}"/>
    <cellStyle name="Normal 8 11" xfId="3202" xr:uid="{00000000-0005-0000-0000-000001270000}"/>
    <cellStyle name="Normal 8 11 2" xfId="8511" xr:uid="{00000000-0005-0000-0000-000002270000}"/>
    <cellStyle name="Normal 8 12" xfId="3231" xr:uid="{00000000-0005-0000-0000-000003270000}"/>
    <cellStyle name="Normal 8 12 2" xfId="8528" xr:uid="{00000000-0005-0000-0000-000004270000}"/>
    <cellStyle name="Normal 8 13" xfId="3249" xr:uid="{00000000-0005-0000-0000-000005270000}"/>
    <cellStyle name="Normal 8 13 2" xfId="8545" xr:uid="{00000000-0005-0000-0000-000006270000}"/>
    <cellStyle name="Normal 8 14" xfId="3705" xr:uid="{00000000-0005-0000-0000-000007270000}"/>
    <cellStyle name="Normal 8 14 2" xfId="8997" xr:uid="{00000000-0005-0000-0000-000008270000}"/>
    <cellStyle name="Normal 8 15" xfId="5267" xr:uid="{00000000-0005-0000-0000-000009270000}"/>
    <cellStyle name="Normal 8 15 2" xfId="10555" xr:uid="{00000000-0005-0000-0000-00000A270000}"/>
    <cellStyle name="Normal 8 16" xfId="6909" xr:uid="{00000000-0005-0000-0000-00000B270000}"/>
    <cellStyle name="Normal 8 2" xfId="1451" xr:uid="{00000000-0005-0000-0000-00000C270000}"/>
    <cellStyle name="Normal 8 2 10" xfId="5268" xr:uid="{00000000-0005-0000-0000-00000D270000}"/>
    <cellStyle name="Normal 8 2 10 2" xfId="10556" xr:uid="{00000000-0005-0000-0000-00000E270000}"/>
    <cellStyle name="Normal 8 2 11" xfId="6910" xr:uid="{00000000-0005-0000-0000-00000F270000}"/>
    <cellStyle name="Normal 8 2 2" xfId="1452" xr:uid="{00000000-0005-0000-0000-000010270000}"/>
    <cellStyle name="Normal 8 2 2 10" xfId="6911" xr:uid="{00000000-0005-0000-0000-000011270000}"/>
    <cellStyle name="Normal 8 2 2 2" xfId="1453" xr:uid="{00000000-0005-0000-0000-000012270000}"/>
    <cellStyle name="Normal 8 2 2 2 2" xfId="1454" xr:uid="{00000000-0005-0000-0000-000013270000}"/>
    <cellStyle name="Normal 8 2 2 2 2 2" xfId="1455" xr:uid="{00000000-0005-0000-0000-000014270000}"/>
    <cellStyle name="Normal 8 2 2 2 2 2 2" xfId="3099" xr:uid="{00000000-0005-0000-0000-000015270000}"/>
    <cellStyle name="Normal 8 2 2 2 2 2 2 2" xfId="8452" xr:uid="{00000000-0005-0000-0000-000016270000}"/>
    <cellStyle name="Normal 8 2 2 2 2 2 3" xfId="4209" xr:uid="{00000000-0005-0000-0000-000017270000}"/>
    <cellStyle name="Normal 8 2 2 2 2 2 3 2" xfId="9500" xr:uid="{00000000-0005-0000-0000-000018270000}"/>
    <cellStyle name="Normal 8 2 2 2 2 2 4" xfId="5272" xr:uid="{00000000-0005-0000-0000-000019270000}"/>
    <cellStyle name="Normal 8 2 2 2 2 2 4 2" xfId="10560" xr:uid="{00000000-0005-0000-0000-00001A270000}"/>
    <cellStyle name="Normal 8 2 2 2 2 2 5" xfId="6914" xr:uid="{00000000-0005-0000-0000-00001B270000}"/>
    <cellStyle name="Normal 8 2 2 2 2 3" xfId="2043" xr:uid="{00000000-0005-0000-0000-00001C270000}"/>
    <cellStyle name="Normal 8 2 2 2 2 3 2" xfId="5814" xr:uid="{00000000-0005-0000-0000-00001D270000}"/>
    <cellStyle name="Normal 8 2 2 2 2 3 2 2" xfId="11102" xr:uid="{00000000-0005-0000-0000-00001E270000}"/>
    <cellStyle name="Normal 8 2 2 2 2 3 3" xfId="7456" xr:uid="{00000000-0005-0000-0000-00001F270000}"/>
    <cellStyle name="Normal 8 2 2 2 2 4" xfId="2595" xr:uid="{00000000-0005-0000-0000-000020270000}"/>
    <cellStyle name="Normal 8 2 2 2 2 4 2" xfId="7953" xr:uid="{00000000-0005-0000-0000-000021270000}"/>
    <cellStyle name="Normal 8 2 2 2 2 5" xfId="3709" xr:uid="{00000000-0005-0000-0000-000022270000}"/>
    <cellStyle name="Normal 8 2 2 2 2 5 2" xfId="9001" xr:uid="{00000000-0005-0000-0000-000023270000}"/>
    <cellStyle name="Normal 8 2 2 2 2 6" xfId="5271" xr:uid="{00000000-0005-0000-0000-000024270000}"/>
    <cellStyle name="Normal 8 2 2 2 2 6 2" xfId="10559" xr:uid="{00000000-0005-0000-0000-000025270000}"/>
    <cellStyle name="Normal 8 2 2 2 2 7" xfId="6913" xr:uid="{00000000-0005-0000-0000-000026270000}"/>
    <cellStyle name="Normal 8 2 2 2 3" xfId="1456" xr:uid="{00000000-0005-0000-0000-000027270000}"/>
    <cellStyle name="Normal 8 2 2 2 3 2" xfId="1457" xr:uid="{00000000-0005-0000-0000-000028270000}"/>
    <cellStyle name="Normal 8 2 2 2 3 2 2" xfId="3100" xr:uid="{00000000-0005-0000-0000-000029270000}"/>
    <cellStyle name="Normal 8 2 2 2 3 2 2 2" xfId="8453" xr:uid="{00000000-0005-0000-0000-00002A270000}"/>
    <cellStyle name="Normal 8 2 2 2 3 2 3" xfId="4210" xr:uid="{00000000-0005-0000-0000-00002B270000}"/>
    <cellStyle name="Normal 8 2 2 2 3 2 3 2" xfId="9501" xr:uid="{00000000-0005-0000-0000-00002C270000}"/>
    <cellStyle name="Normal 8 2 2 2 3 2 4" xfId="5274" xr:uid="{00000000-0005-0000-0000-00002D270000}"/>
    <cellStyle name="Normal 8 2 2 2 3 2 4 2" xfId="10562" xr:uid="{00000000-0005-0000-0000-00002E270000}"/>
    <cellStyle name="Normal 8 2 2 2 3 2 5" xfId="6916" xr:uid="{00000000-0005-0000-0000-00002F270000}"/>
    <cellStyle name="Normal 8 2 2 2 3 3" xfId="2044" xr:uid="{00000000-0005-0000-0000-000030270000}"/>
    <cellStyle name="Normal 8 2 2 2 3 3 2" xfId="5815" xr:uid="{00000000-0005-0000-0000-000031270000}"/>
    <cellStyle name="Normal 8 2 2 2 3 3 2 2" xfId="11103" xr:uid="{00000000-0005-0000-0000-000032270000}"/>
    <cellStyle name="Normal 8 2 2 2 3 3 3" xfId="7457" xr:uid="{00000000-0005-0000-0000-000033270000}"/>
    <cellStyle name="Normal 8 2 2 2 3 4" xfId="2596" xr:uid="{00000000-0005-0000-0000-000034270000}"/>
    <cellStyle name="Normal 8 2 2 2 3 4 2" xfId="7954" xr:uid="{00000000-0005-0000-0000-000035270000}"/>
    <cellStyle name="Normal 8 2 2 2 3 5" xfId="3710" xr:uid="{00000000-0005-0000-0000-000036270000}"/>
    <cellStyle name="Normal 8 2 2 2 3 5 2" xfId="9002" xr:uid="{00000000-0005-0000-0000-000037270000}"/>
    <cellStyle name="Normal 8 2 2 2 3 6" xfId="5273" xr:uid="{00000000-0005-0000-0000-000038270000}"/>
    <cellStyle name="Normal 8 2 2 2 3 6 2" xfId="10561" xr:uid="{00000000-0005-0000-0000-000039270000}"/>
    <cellStyle name="Normal 8 2 2 2 3 7" xfId="6915" xr:uid="{00000000-0005-0000-0000-00003A270000}"/>
    <cellStyle name="Normal 8 2 2 2 4" xfId="1458" xr:uid="{00000000-0005-0000-0000-00003B270000}"/>
    <cellStyle name="Normal 8 2 2 2 4 2" xfId="3098" xr:uid="{00000000-0005-0000-0000-00003C270000}"/>
    <cellStyle name="Normal 8 2 2 2 4 2 2" xfId="8451" xr:uid="{00000000-0005-0000-0000-00003D270000}"/>
    <cellStyle name="Normal 8 2 2 2 4 3" xfId="4208" xr:uid="{00000000-0005-0000-0000-00003E270000}"/>
    <cellStyle name="Normal 8 2 2 2 4 3 2" xfId="9499" xr:uid="{00000000-0005-0000-0000-00003F270000}"/>
    <cellStyle name="Normal 8 2 2 2 4 4" xfId="5275" xr:uid="{00000000-0005-0000-0000-000040270000}"/>
    <cellStyle name="Normal 8 2 2 2 4 4 2" xfId="10563" xr:uid="{00000000-0005-0000-0000-000041270000}"/>
    <cellStyle name="Normal 8 2 2 2 4 5" xfId="6917" xr:uid="{00000000-0005-0000-0000-000042270000}"/>
    <cellStyle name="Normal 8 2 2 2 5" xfId="2042" xr:uid="{00000000-0005-0000-0000-000043270000}"/>
    <cellStyle name="Normal 8 2 2 2 5 2" xfId="5813" xr:uid="{00000000-0005-0000-0000-000044270000}"/>
    <cellStyle name="Normal 8 2 2 2 5 2 2" xfId="11101" xr:uid="{00000000-0005-0000-0000-000045270000}"/>
    <cellStyle name="Normal 8 2 2 2 5 3" xfId="7455" xr:uid="{00000000-0005-0000-0000-000046270000}"/>
    <cellStyle name="Normal 8 2 2 2 6" xfId="2594" xr:uid="{00000000-0005-0000-0000-000047270000}"/>
    <cellStyle name="Normal 8 2 2 2 6 2" xfId="7952" xr:uid="{00000000-0005-0000-0000-000048270000}"/>
    <cellStyle name="Normal 8 2 2 2 7" xfId="3708" xr:uid="{00000000-0005-0000-0000-000049270000}"/>
    <cellStyle name="Normal 8 2 2 2 7 2" xfId="9000" xr:uid="{00000000-0005-0000-0000-00004A270000}"/>
    <cellStyle name="Normal 8 2 2 2 8" xfId="5270" xr:uid="{00000000-0005-0000-0000-00004B270000}"/>
    <cellStyle name="Normal 8 2 2 2 8 2" xfId="10558" xr:uid="{00000000-0005-0000-0000-00004C270000}"/>
    <cellStyle name="Normal 8 2 2 2 9" xfId="6912" xr:uid="{00000000-0005-0000-0000-00004D270000}"/>
    <cellStyle name="Normal 8 2 2 3" xfId="1459" xr:uid="{00000000-0005-0000-0000-00004E270000}"/>
    <cellStyle name="Normal 8 2 2 3 2" xfId="1460" xr:uid="{00000000-0005-0000-0000-00004F270000}"/>
    <cellStyle name="Normal 8 2 2 3 2 2" xfId="3101" xr:uid="{00000000-0005-0000-0000-000050270000}"/>
    <cellStyle name="Normal 8 2 2 3 2 2 2" xfId="8454" xr:uid="{00000000-0005-0000-0000-000051270000}"/>
    <cellStyle name="Normal 8 2 2 3 2 3" xfId="4211" xr:uid="{00000000-0005-0000-0000-000052270000}"/>
    <cellStyle name="Normal 8 2 2 3 2 3 2" xfId="9502" xr:uid="{00000000-0005-0000-0000-000053270000}"/>
    <cellStyle name="Normal 8 2 2 3 2 4" xfId="5277" xr:uid="{00000000-0005-0000-0000-000054270000}"/>
    <cellStyle name="Normal 8 2 2 3 2 4 2" xfId="10565" xr:uid="{00000000-0005-0000-0000-000055270000}"/>
    <cellStyle name="Normal 8 2 2 3 2 5" xfId="6919" xr:uid="{00000000-0005-0000-0000-000056270000}"/>
    <cellStyle name="Normal 8 2 2 3 3" xfId="2045" xr:uid="{00000000-0005-0000-0000-000057270000}"/>
    <cellStyle name="Normal 8 2 2 3 3 2" xfId="5816" xr:uid="{00000000-0005-0000-0000-000058270000}"/>
    <cellStyle name="Normal 8 2 2 3 3 2 2" xfId="11104" xr:uid="{00000000-0005-0000-0000-000059270000}"/>
    <cellStyle name="Normal 8 2 2 3 3 3" xfId="7458" xr:uid="{00000000-0005-0000-0000-00005A270000}"/>
    <cellStyle name="Normal 8 2 2 3 4" xfId="2597" xr:uid="{00000000-0005-0000-0000-00005B270000}"/>
    <cellStyle name="Normal 8 2 2 3 4 2" xfId="7955" xr:uid="{00000000-0005-0000-0000-00005C270000}"/>
    <cellStyle name="Normal 8 2 2 3 5" xfId="3711" xr:uid="{00000000-0005-0000-0000-00005D270000}"/>
    <cellStyle name="Normal 8 2 2 3 5 2" xfId="9003" xr:uid="{00000000-0005-0000-0000-00005E270000}"/>
    <cellStyle name="Normal 8 2 2 3 6" xfId="5276" xr:uid="{00000000-0005-0000-0000-00005F270000}"/>
    <cellStyle name="Normal 8 2 2 3 6 2" xfId="10564" xr:uid="{00000000-0005-0000-0000-000060270000}"/>
    <cellStyle name="Normal 8 2 2 3 7" xfId="6918" xr:uid="{00000000-0005-0000-0000-000061270000}"/>
    <cellStyle name="Normal 8 2 2 4" xfId="1461" xr:uid="{00000000-0005-0000-0000-000062270000}"/>
    <cellStyle name="Normal 8 2 2 4 2" xfId="1462" xr:uid="{00000000-0005-0000-0000-000063270000}"/>
    <cellStyle name="Normal 8 2 2 4 2 2" xfId="3102" xr:uid="{00000000-0005-0000-0000-000064270000}"/>
    <cellStyle name="Normal 8 2 2 4 2 2 2" xfId="8455" xr:uid="{00000000-0005-0000-0000-000065270000}"/>
    <cellStyle name="Normal 8 2 2 4 2 3" xfId="4212" xr:uid="{00000000-0005-0000-0000-000066270000}"/>
    <cellStyle name="Normal 8 2 2 4 2 3 2" xfId="9503" xr:uid="{00000000-0005-0000-0000-000067270000}"/>
    <cellStyle name="Normal 8 2 2 4 2 4" xfId="5279" xr:uid="{00000000-0005-0000-0000-000068270000}"/>
    <cellStyle name="Normal 8 2 2 4 2 4 2" xfId="10567" xr:uid="{00000000-0005-0000-0000-000069270000}"/>
    <cellStyle name="Normal 8 2 2 4 2 5" xfId="6921" xr:uid="{00000000-0005-0000-0000-00006A270000}"/>
    <cellStyle name="Normal 8 2 2 4 3" xfId="2046" xr:uid="{00000000-0005-0000-0000-00006B270000}"/>
    <cellStyle name="Normal 8 2 2 4 3 2" xfId="5817" xr:uid="{00000000-0005-0000-0000-00006C270000}"/>
    <cellStyle name="Normal 8 2 2 4 3 2 2" xfId="11105" xr:uid="{00000000-0005-0000-0000-00006D270000}"/>
    <cellStyle name="Normal 8 2 2 4 3 3" xfId="7459" xr:uid="{00000000-0005-0000-0000-00006E270000}"/>
    <cellStyle name="Normal 8 2 2 4 4" xfId="2598" xr:uid="{00000000-0005-0000-0000-00006F270000}"/>
    <cellStyle name="Normal 8 2 2 4 4 2" xfId="7956" xr:uid="{00000000-0005-0000-0000-000070270000}"/>
    <cellStyle name="Normal 8 2 2 4 5" xfId="3712" xr:uid="{00000000-0005-0000-0000-000071270000}"/>
    <cellStyle name="Normal 8 2 2 4 5 2" xfId="9004" xr:uid="{00000000-0005-0000-0000-000072270000}"/>
    <cellStyle name="Normal 8 2 2 4 6" xfId="5278" xr:uid="{00000000-0005-0000-0000-000073270000}"/>
    <cellStyle name="Normal 8 2 2 4 6 2" xfId="10566" xr:uid="{00000000-0005-0000-0000-000074270000}"/>
    <cellStyle name="Normal 8 2 2 4 7" xfId="6920" xr:uid="{00000000-0005-0000-0000-000075270000}"/>
    <cellStyle name="Normal 8 2 2 5" xfId="1463" xr:uid="{00000000-0005-0000-0000-000076270000}"/>
    <cellStyle name="Normal 8 2 2 5 2" xfId="3097" xr:uid="{00000000-0005-0000-0000-000077270000}"/>
    <cellStyle name="Normal 8 2 2 5 2 2" xfId="8450" xr:uid="{00000000-0005-0000-0000-000078270000}"/>
    <cellStyle name="Normal 8 2 2 5 3" xfId="4207" xr:uid="{00000000-0005-0000-0000-000079270000}"/>
    <cellStyle name="Normal 8 2 2 5 3 2" xfId="9498" xr:uid="{00000000-0005-0000-0000-00007A270000}"/>
    <cellStyle name="Normal 8 2 2 5 4" xfId="5280" xr:uid="{00000000-0005-0000-0000-00007B270000}"/>
    <cellStyle name="Normal 8 2 2 5 4 2" xfId="10568" xr:uid="{00000000-0005-0000-0000-00007C270000}"/>
    <cellStyle name="Normal 8 2 2 5 5" xfId="6922" xr:uid="{00000000-0005-0000-0000-00007D270000}"/>
    <cellStyle name="Normal 8 2 2 6" xfId="2041" xr:uid="{00000000-0005-0000-0000-00007E270000}"/>
    <cellStyle name="Normal 8 2 2 6 2" xfId="5812" xr:uid="{00000000-0005-0000-0000-00007F270000}"/>
    <cellStyle name="Normal 8 2 2 6 2 2" xfId="11100" xr:uid="{00000000-0005-0000-0000-000080270000}"/>
    <cellStyle name="Normal 8 2 2 6 3" xfId="7454" xr:uid="{00000000-0005-0000-0000-000081270000}"/>
    <cellStyle name="Normal 8 2 2 7" xfId="2593" xr:uid="{00000000-0005-0000-0000-000082270000}"/>
    <cellStyle name="Normal 8 2 2 7 2" xfId="7951" xr:uid="{00000000-0005-0000-0000-000083270000}"/>
    <cellStyle name="Normal 8 2 2 8" xfId="3707" xr:uid="{00000000-0005-0000-0000-000084270000}"/>
    <cellStyle name="Normal 8 2 2 8 2" xfId="8999" xr:uid="{00000000-0005-0000-0000-000085270000}"/>
    <cellStyle name="Normal 8 2 2 9" xfId="5269" xr:uid="{00000000-0005-0000-0000-000086270000}"/>
    <cellStyle name="Normal 8 2 2 9 2" xfId="10557" xr:uid="{00000000-0005-0000-0000-000087270000}"/>
    <cellStyle name="Normal 8 2 3" xfId="1464" xr:uid="{00000000-0005-0000-0000-000088270000}"/>
    <cellStyle name="Normal 8 2 3 2" xfId="1465" xr:uid="{00000000-0005-0000-0000-000089270000}"/>
    <cellStyle name="Normal 8 2 3 2 2" xfId="1466" xr:uid="{00000000-0005-0000-0000-00008A270000}"/>
    <cellStyle name="Normal 8 2 3 2 2 2" xfId="3104" xr:uid="{00000000-0005-0000-0000-00008B270000}"/>
    <cellStyle name="Normal 8 2 3 2 2 2 2" xfId="8457" xr:uid="{00000000-0005-0000-0000-00008C270000}"/>
    <cellStyle name="Normal 8 2 3 2 2 3" xfId="4214" xr:uid="{00000000-0005-0000-0000-00008D270000}"/>
    <cellStyle name="Normal 8 2 3 2 2 3 2" xfId="9505" xr:uid="{00000000-0005-0000-0000-00008E270000}"/>
    <cellStyle name="Normal 8 2 3 2 2 4" xfId="5283" xr:uid="{00000000-0005-0000-0000-00008F270000}"/>
    <cellStyle name="Normal 8 2 3 2 2 4 2" xfId="10571" xr:uid="{00000000-0005-0000-0000-000090270000}"/>
    <cellStyle name="Normal 8 2 3 2 2 5" xfId="6925" xr:uid="{00000000-0005-0000-0000-000091270000}"/>
    <cellStyle name="Normal 8 2 3 2 3" xfId="2048" xr:uid="{00000000-0005-0000-0000-000092270000}"/>
    <cellStyle name="Normal 8 2 3 2 3 2" xfId="5819" xr:uid="{00000000-0005-0000-0000-000093270000}"/>
    <cellStyle name="Normal 8 2 3 2 3 2 2" xfId="11107" xr:uid="{00000000-0005-0000-0000-000094270000}"/>
    <cellStyle name="Normal 8 2 3 2 3 3" xfId="7461" xr:uid="{00000000-0005-0000-0000-000095270000}"/>
    <cellStyle name="Normal 8 2 3 2 4" xfId="2600" xr:uid="{00000000-0005-0000-0000-000096270000}"/>
    <cellStyle name="Normal 8 2 3 2 4 2" xfId="7958" xr:uid="{00000000-0005-0000-0000-000097270000}"/>
    <cellStyle name="Normal 8 2 3 2 5" xfId="3714" xr:uid="{00000000-0005-0000-0000-000098270000}"/>
    <cellStyle name="Normal 8 2 3 2 5 2" xfId="9006" xr:uid="{00000000-0005-0000-0000-000099270000}"/>
    <cellStyle name="Normal 8 2 3 2 6" xfId="5282" xr:uid="{00000000-0005-0000-0000-00009A270000}"/>
    <cellStyle name="Normal 8 2 3 2 6 2" xfId="10570" xr:uid="{00000000-0005-0000-0000-00009B270000}"/>
    <cellStyle name="Normal 8 2 3 2 7" xfId="6924" xr:uid="{00000000-0005-0000-0000-00009C270000}"/>
    <cellStyle name="Normal 8 2 3 3" xfId="1467" xr:uid="{00000000-0005-0000-0000-00009D270000}"/>
    <cellStyle name="Normal 8 2 3 3 2" xfId="1468" xr:uid="{00000000-0005-0000-0000-00009E270000}"/>
    <cellStyle name="Normal 8 2 3 3 2 2" xfId="3105" xr:uid="{00000000-0005-0000-0000-00009F270000}"/>
    <cellStyle name="Normal 8 2 3 3 2 2 2" xfId="8458" xr:uid="{00000000-0005-0000-0000-0000A0270000}"/>
    <cellStyle name="Normal 8 2 3 3 2 3" xfId="4215" xr:uid="{00000000-0005-0000-0000-0000A1270000}"/>
    <cellStyle name="Normal 8 2 3 3 2 3 2" xfId="9506" xr:uid="{00000000-0005-0000-0000-0000A2270000}"/>
    <cellStyle name="Normal 8 2 3 3 2 4" xfId="5285" xr:uid="{00000000-0005-0000-0000-0000A3270000}"/>
    <cellStyle name="Normal 8 2 3 3 2 4 2" xfId="10573" xr:uid="{00000000-0005-0000-0000-0000A4270000}"/>
    <cellStyle name="Normal 8 2 3 3 2 5" xfId="6927" xr:uid="{00000000-0005-0000-0000-0000A5270000}"/>
    <cellStyle name="Normal 8 2 3 3 3" xfId="2049" xr:uid="{00000000-0005-0000-0000-0000A6270000}"/>
    <cellStyle name="Normal 8 2 3 3 3 2" xfId="5820" xr:uid="{00000000-0005-0000-0000-0000A7270000}"/>
    <cellStyle name="Normal 8 2 3 3 3 2 2" xfId="11108" xr:uid="{00000000-0005-0000-0000-0000A8270000}"/>
    <cellStyle name="Normal 8 2 3 3 3 3" xfId="7462" xr:uid="{00000000-0005-0000-0000-0000A9270000}"/>
    <cellStyle name="Normal 8 2 3 3 4" xfId="2601" xr:uid="{00000000-0005-0000-0000-0000AA270000}"/>
    <cellStyle name="Normal 8 2 3 3 4 2" xfId="7959" xr:uid="{00000000-0005-0000-0000-0000AB270000}"/>
    <cellStyle name="Normal 8 2 3 3 5" xfId="3715" xr:uid="{00000000-0005-0000-0000-0000AC270000}"/>
    <cellStyle name="Normal 8 2 3 3 5 2" xfId="9007" xr:uid="{00000000-0005-0000-0000-0000AD270000}"/>
    <cellStyle name="Normal 8 2 3 3 6" xfId="5284" xr:uid="{00000000-0005-0000-0000-0000AE270000}"/>
    <cellStyle name="Normal 8 2 3 3 6 2" xfId="10572" xr:uid="{00000000-0005-0000-0000-0000AF270000}"/>
    <cellStyle name="Normal 8 2 3 3 7" xfId="6926" xr:uid="{00000000-0005-0000-0000-0000B0270000}"/>
    <cellStyle name="Normal 8 2 3 4" xfId="1469" xr:uid="{00000000-0005-0000-0000-0000B1270000}"/>
    <cellStyle name="Normal 8 2 3 4 2" xfId="3103" xr:uid="{00000000-0005-0000-0000-0000B2270000}"/>
    <cellStyle name="Normal 8 2 3 4 2 2" xfId="8456" xr:uid="{00000000-0005-0000-0000-0000B3270000}"/>
    <cellStyle name="Normal 8 2 3 4 3" xfId="4213" xr:uid="{00000000-0005-0000-0000-0000B4270000}"/>
    <cellStyle name="Normal 8 2 3 4 3 2" xfId="9504" xr:uid="{00000000-0005-0000-0000-0000B5270000}"/>
    <cellStyle name="Normal 8 2 3 4 4" xfId="5286" xr:uid="{00000000-0005-0000-0000-0000B6270000}"/>
    <cellStyle name="Normal 8 2 3 4 4 2" xfId="10574" xr:uid="{00000000-0005-0000-0000-0000B7270000}"/>
    <cellStyle name="Normal 8 2 3 4 5" xfId="6928" xr:uid="{00000000-0005-0000-0000-0000B8270000}"/>
    <cellStyle name="Normal 8 2 3 5" xfId="2047" xr:uid="{00000000-0005-0000-0000-0000B9270000}"/>
    <cellStyle name="Normal 8 2 3 5 2" xfId="5818" xr:uid="{00000000-0005-0000-0000-0000BA270000}"/>
    <cellStyle name="Normal 8 2 3 5 2 2" xfId="11106" xr:uid="{00000000-0005-0000-0000-0000BB270000}"/>
    <cellStyle name="Normal 8 2 3 5 3" xfId="7460" xr:uid="{00000000-0005-0000-0000-0000BC270000}"/>
    <cellStyle name="Normal 8 2 3 6" xfId="2599" xr:uid="{00000000-0005-0000-0000-0000BD270000}"/>
    <cellStyle name="Normal 8 2 3 6 2" xfId="7957" xr:uid="{00000000-0005-0000-0000-0000BE270000}"/>
    <cellStyle name="Normal 8 2 3 7" xfId="3713" xr:uid="{00000000-0005-0000-0000-0000BF270000}"/>
    <cellStyle name="Normal 8 2 3 7 2" xfId="9005" xr:uid="{00000000-0005-0000-0000-0000C0270000}"/>
    <cellStyle name="Normal 8 2 3 8" xfId="5281" xr:uid="{00000000-0005-0000-0000-0000C1270000}"/>
    <cellStyle name="Normal 8 2 3 8 2" xfId="10569" xr:uid="{00000000-0005-0000-0000-0000C2270000}"/>
    <cellStyle name="Normal 8 2 3 9" xfId="6923" xr:uid="{00000000-0005-0000-0000-0000C3270000}"/>
    <cellStyle name="Normal 8 2 4" xfId="1470" xr:uid="{00000000-0005-0000-0000-0000C4270000}"/>
    <cellStyle name="Normal 8 2 4 2" xfId="1471" xr:uid="{00000000-0005-0000-0000-0000C5270000}"/>
    <cellStyle name="Normal 8 2 4 2 2" xfId="3106" xr:uid="{00000000-0005-0000-0000-0000C6270000}"/>
    <cellStyle name="Normal 8 2 4 2 2 2" xfId="8459" xr:uid="{00000000-0005-0000-0000-0000C7270000}"/>
    <cellStyle name="Normal 8 2 4 2 3" xfId="4216" xr:uid="{00000000-0005-0000-0000-0000C8270000}"/>
    <cellStyle name="Normal 8 2 4 2 3 2" xfId="9507" xr:uid="{00000000-0005-0000-0000-0000C9270000}"/>
    <cellStyle name="Normal 8 2 4 2 4" xfId="5288" xr:uid="{00000000-0005-0000-0000-0000CA270000}"/>
    <cellStyle name="Normal 8 2 4 2 4 2" xfId="10576" xr:uid="{00000000-0005-0000-0000-0000CB270000}"/>
    <cellStyle name="Normal 8 2 4 2 5" xfId="6930" xr:uid="{00000000-0005-0000-0000-0000CC270000}"/>
    <cellStyle name="Normal 8 2 4 3" xfId="2050" xr:uid="{00000000-0005-0000-0000-0000CD270000}"/>
    <cellStyle name="Normal 8 2 4 3 2" xfId="5821" xr:uid="{00000000-0005-0000-0000-0000CE270000}"/>
    <cellStyle name="Normal 8 2 4 3 2 2" xfId="11109" xr:uid="{00000000-0005-0000-0000-0000CF270000}"/>
    <cellStyle name="Normal 8 2 4 3 3" xfId="7463" xr:uid="{00000000-0005-0000-0000-0000D0270000}"/>
    <cellStyle name="Normal 8 2 4 4" xfId="2602" xr:uid="{00000000-0005-0000-0000-0000D1270000}"/>
    <cellStyle name="Normal 8 2 4 4 2" xfId="7960" xr:uid="{00000000-0005-0000-0000-0000D2270000}"/>
    <cellStyle name="Normal 8 2 4 5" xfId="3716" xr:uid="{00000000-0005-0000-0000-0000D3270000}"/>
    <cellStyle name="Normal 8 2 4 5 2" xfId="9008" xr:uid="{00000000-0005-0000-0000-0000D4270000}"/>
    <cellStyle name="Normal 8 2 4 6" xfId="5287" xr:uid="{00000000-0005-0000-0000-0000D5270000}"/>
    <cellStyle name="Normal 8 2 4 6 2" xfId="10575" xr:uid="{00000000-0005-0000-0000-0000D6270000}"/>
    <cellStyle name="Normal 8 2 4 7" xfId="6929" xr:uid="{00000000-0005-0000-0000-0000D7270000}"/>
    <cellStyle name="Normal 8 2 5" xfId="1472" xr:uid="{00000000-0005-0000-0000-0000D8270000}"/>
    <cellStyle name="Normal 8 2 5 2" xfId="1473" xr:uid="{00000000-0005-0000-0000-0000D9270000}"/>
    <cellStyle name="Normal 8 2 5 2 2" xfId="3107" xr:uid="{00000000-0005-0000-0000-0000DA270000}"/>
    <cellStyle name="Normal 8 2 5 2 2 2" xfId="8460" xr:uid="{00000000-0005-0000-0000-0000DB270000}"/>
    <cellStyle name="Normal 8 2 5 2 3" xfId="4217" xr:uid="{00000000-0005-0000-0000-0000DC270000}"/>
    <cellStyle name="Normal 8 2 5 2 3 2" xfId="9508" xr:uid="{00000000-0005-0000-0000-0000DD270000}"/>
    <cellStyle name="Normal 8 2 5 2 4" xfId="5290" xr:uid="{00000000-0005-0000-0000-0000DE270000}"/>
    <cellStyle name="Normal 8 2 5 2 4 2" xfId="10578" xr:uid="{00000000-0005-0000-0000-0000DF270000}"/>
    <cellStyle name="Normal 8 2 5 2 5" xfId="6932" xr:uid="{00000000-0005-0000-0000-0000E0270000}"/>
    <cellStyle name="Normal 8 2 5 3" xfId="2051" xr:uid="{00000000-0005-0000-0000-0000E1270000}"/>
    <cellStyle name="Normal 8 2 5 3 2" xfId="5822" xr:uid="{00000000-0005-0000-0000-0000E2270000}"/>
    <cellStyle name="Normal 8 2 5 3 2 2" xfId="11110" xr:uid="{00000000-0005-0000-0000-0000E3270000}"/>
    <cellStyle name="Normal 8 2 5 3 3" xfId="7464" xr:uid="{00000000-0005-0000-0000-0000E4270000}"/>
    <cellStyle name="Normal 8 2 5 4" xfId="2603" xr:uid="{00000000-0005-0000-0000-0000E5270000}"/>
    <cellStyle name="Normal 8 2 5 4 2" xfId="7961" xr:uid="{00000000-0005-0000-0000-0000E6270000}"/>
    <cellStyle name="Normal 8 2 5 5" xfId="3717" xr:uid="{00000000-0005-0000-0000-0000E7270000}"/>
    <cellStyle name="Normal 8 2 5 5 2" xfId="9009" xr:uid="{00000000-0005-0000-0000-0000E8270000}"/>
    <cellStyle name="Normal 8 2 5 6" xfId="5289" xr:uid="{00000000-0005-0000-0000-0000E9270000}"/>
    <cellStyle name="Normal 8 2 5 6 2" xfId="10577" xr:uid="{00000000-0005-0000-0000-0000EA270000}"/>
    <cellStyle name="Normal 8 2 5 7" xfId="6931" xr:uid="{00000000-0005-0000-0000-0000EB270000}"/>
    <cellStyle name="Normal 8 2 6" xfId="1474" xr:uid="{00000000-0005-0000-0000-0000EC270000}"/>
    <cellStyle name="Normal 8 2 6 2" xfId="3096" xr:uid="{00000000-0005-0000-0000-0000ED270000}"/>
    <cellStyle name="Normal 8 2 6 2 2" xfId="8449" xr:uid="{00000000-0005-0000-0000-0000EE270000}"/>
    <cellStyle name="Normal 8 2 6 3" xfId="4206" xr:uid="{00000000-0005-0000-0000-0000EF270000}"/>
    <cellStyle name="Normal 8 2 6 3 2" xfId="9497" xr:uid="{00000000-0005-0000-0000-0000F0270000}"/>
    <cellStyle name="Normal 8 2 6 4" xfId="5291" xr:uid="{00000000-0005-0000-0000-0000F1270000}"/>
    <cellStyle name="Normal 8 2 6 4 2" xfId="10579" xr:uid="{00000000-0005-0000-0000-0000F2270000}"/>
    <cellStyle name="Normal 8 2 6 5" xfId="6933" xr:uid="{00000000-0005-0000-0000-0000F3270000}"/>
    <cellStyle name="Normal 8 2 7" xfId="2040" xr:uid="{00000000-0005-0000-0000-0000F4270000}"/>
    <cellStyle name="Normal 8 2 7 2" xfId="5811" xr:uid="{00000000-0005-0000-0000-0000F5270000}"/>
    <cellStyle name="Normal 8 2 7 2 2" xfId="11099" xr:uid="{00000000-0005-0000-0000-0000F6270000}"/>
    <cellStyle name="Normal 8 2 7 3" xfId="7453" xr:uid="{00000000-0005-0000-0000-0000F7270000}"/>
    <cellStyle name="Normal 8 2 8" xfId="2592" xr:uid="{00000000-0005-0000-0000-0000F8270000}"/>
    <cellStyle name="Normal 8 2 8 2" xfId="7950" xr:uid="{00000000-0005-0000-0000-0000F9270000}"/>
    <cellStyle name="Normal 8 2 9" xfId="3706" xr:uid="{00000000-0005-0000-0000-0000FA270000}"/>
    <cellStyle name="Normal 8 2 9 2" xfId="8998" xr:uid="{00000000-0005-0000-0000-0000FB270000}"/>
    <cellStyle name="Normal 8 3" xfId="1475" xr:uid="{00000000-0005-0000-0000-0000FC270000}"/>
    <cellStyle name="Normal 8 3 10" xfId="5292" xr:uid="{00000000-0005-0000-0000-0000FD270000}"/>
    <cellStyle name="Normal 8 3 10 2" xfId="10580" xr:uid="{00000000-0005-0000-0000-0000FE270000}"/>
    <cellStyle name="Normal 8 3 11" xfId="6934" xr:uid="{00000000-0005-0000-0000-0000FF270000}"/>
    <cellStyle name="Normal 8 3 2" xfId="1476" xr:uid="{00000000-0005-0000-0000-000000280000}"/>
    <cellStyle name="Normal 8 3 2 10" xfId="6935" xr:uid="{00000000-0005-0000-0000-000001280000}"/>
    <cellStyle name="Normal 8 3 2 2" xfId="1477" xr:uid="{00000000-0005-0000-0000-000002280000}"/>
    <cellStyle name="Normal 8 3 2 2 2" xfId="1478" xr:uid="{00000000-0005-0000-0000-000003280000}"/>
    <cellStyle name="Normal 8 3 2 2 2 2" xfId="1479" xr:uid="{00000000-0005-0000-0000-000004280000}"/>
    <cellStyle name="Normal 8 3 2 2 2 2 2" xfId="3111" xr:uid="{00000000-0005-0000-0000-000005280000}"/>
    <cellStyle name="Normal 8 3 2 2 2 2 2 2" xfId="8464" xr:uid="{00000000-0005-0000-0000-000006280000}"/>
    <cellStyle name="Normal 8 3 2 2 2 2 3" xfId="4221" xr:uid="{00000000-0005-0000-0000-000007280000}"/>
    <cellStyle name="Normal 8 3 2 2 2 2 3 2" xfId="9512" xr:uid="{00000000-0005-0000-0000-000008280000}"/>
    <cellStyle name="Normal 8 3 2 2 2 2 4" xfId="5296" xr:uid="{00000000-0005-0000-0000-000009280000}"/>
    <cellStyle name="Normal 8 3 2 2 2 2 4 2" xfId="10584" xr:uid="{00000000-0005-0000-0000-00000A280000}"/>
    <cellStyle name="Normal 8 3 2 2 2 2 5" xfId="6938" xr:uid="{00000000-0005-0000-0000-00000B280000}"/>
    <cellStyle name="Normal 8 3 2 2 2 3" xfId="2055" xr:uid="{00000000-0005-0000-0000-00000C280000}"/>
    <cellStyle name="Normal 8 3 2 2 2 3 2" xfId="5826" xr:uid="{00000000-0005-0000-0000-00000D280000}"/>
    <cellStyle name="Normal 8 3 2 2 2 3 2 2" xfId="11114" xr:uid="{00000000-0005-0000-0000-00000E280000}"/>
    <cellStyle name="Normal 8 3 2 2 2 3 3" xfId="7468" xr:uid="{00000000-0005-0000-0000-00000F280000}"/>
    <cellStyle name="Normal 8 3 2 2 2 4" xfId="2607" xr:uid="{00000000-0005-0000-0000-000010280000}"/>
    <cellStyle name="Normal 8 3 2 2 2 4 2" xfId="7965" xr:uid="{00000000-0005-0000-0000-000011280000}"/>
    <cellStyle name="Normal 8 3 2 2 2 5" xfId="3721" xr:uid="{00000000-0005-0000-0000-000012280000}"/>
    <cellStyle name="Normal 8 3 2 2 2 5 2" xfId="9013" xr:uid="{00000000-0005-0000-0000-000013280000}"/>
    <cellStyle name="Normal 8 3 2 2 2 6" xfId="5295" xr:uid="{00000000-0005-0000-0000-000014280000}"/>
    <cellStyle name="Normal 8 3 2 2 2 6 2" xfId="10583" xr:uid="{00000000-0005-0000-0000-000015280000}"/>
    <cellStyle name="Normal 8 3 2 2 2 7" xfId="6937" xr:uid="{00000000-0005-0000-0000-000016280000}"/>
    <cellStyle name="Normal 8 3 2 2 3" xfId="1480" xr:uid="{00000000-0005-0000-0000-000017280000}"/>
    <cellStyle name="Normal 8 3 2 2 3 2" xfId="1481" xr:uid="{00000000-0005-0000-0000-000018280000}"/>
    <cellStyle name="Normal 8 3 2 2 3 2 2" xfId="3112" xr:uid="{00000000-0005-0000-0000-000019280000}"/>
    <cellStyle name="Normal 8 3 2 2 3 2 2 2" xfId="8465" xr:uid="{00000000-0005-0000-0000-00001A280000}"/>
    <cellStyle name="Normal 8 3 2 2 3 2 3" xfId="4222" xr:uid="{00000000-0005-0000-0000-00001B280000}"/>
    <cellStyle name="Normal 8 3 2 2 3 2 3 2" xfId="9513" xr:uid="{00000000-0005-0000-0000-00001C280000}"/>
    <cellStyle name="Normal 8 3 2 2 3 2 4" xfId="5298" xr:uid="{00000000-0005-0000-0000-00001D280000}"/>
    <cellStyle name="Normal 8 3 2 2 3 2 4 2" xfId="10586" xr:uid="{00000000-0005-0000-0000-00001E280000}"/>
    <cellStyle name="Normal 8 3 2 2 3 2 5" xfId="6940" xr:uid="{00000000-0005-0000-0000-00001F280000}"/>
    <cellStyle name="Normal 8 3 2 2 3 3" xfId="2056" xr:uid="{00000000-0005-0000-0000-000020280000}"/>
    <cellStyle name="Normal 8 3 2 2 3 3 2" xfId="5827" xr:uid="{00000000-0005-0000-0000-000021280000}"/>
    <cellStyle name="Normal 8 3 2 2 3 3 2 2" xfId="11115" xr:uid="{00000000-0005-0000-0000-000022280000}"/>
    <cellStyle name="Normal 8 3 2 2 3 3 3" xfId="7469" xr:uid="{00000000-0005-0000-0000-000023280000}"/>
    <cellStyle name="Normal 8 3 2 2 3 4" xfId="2608" xr:uid="{00000000-0005-0000-0000-000024280000}"/>
    <cellStyle name="Normal 8 3 2 2 3 4 2" xfId="7966" xr:uid="{00000000-0005-0000-0000-000025280000}"/>
    <cellStyle name="Normal 8 3 2 2 3 5" xfId="3722" xr:uid="{00000000-0005-0000-0000-000026280000}"/>
    <cellStyle name="Normal 8 3 2 2 3 5 2" xfId="9014" xr:uid="{00000000-0005-0000-0000-000027280000}"/>
    <cellStyle name="Normal 8 3 2 2 3 6" xfId="5297" xr:uid="{00000000-0005-0000-0000-000028280000}"/>
    <cellStyle name="Normal 8 3 2 2 3 6 2" xfId="10585" xr:uid="{00000000-0005-0000-0000-000029280000}"/>
    <cellStyle name="Normal 8 3 2 2 3 7" xfId="6939" xr:uid="{00000000-0005-0000-0000-00002A280000}"/>
    <cellStyle name="Normal 8 3 2 2 4" xfId="1482" xr:uid="{00000000-0005-0000-0000-00002B280000}"/>
    <cellStyle name="Normal 8 3 2 2 4 2" xfId="3110" xr:uid="{00000000-0005-0000-0000-00002C280000}"/>
    <cellStyle name="Normal 8 3 2 2 4 2 2" xfId="8463" xr:uid="{00000000-0005-0000-0000-00002D280000}"/>
    <cellStyle name="Normal 8 3 2 2 4 3" xfId="4220" xr:uid="{00000000-0005-0000-0000-00002E280000}"/>
    <cellStyle name="Normal 8 3 2 2 4 3 2" xfId="9511" xr:uid="{00000000-0005-0000-0000-00002F280000}"/>
    <cellStyle name="Normal 8 3 2 2 4 4" xfId="5299" xr:uid="{00000000-0005-0000-0000-000030280000}"/>
    <cellStyle name="Normal 8 3 2 2 4 4 2" xfId="10587" xr:uid="{00000000-0005-0000-0000-000031280000}"/>
    <cellStyle name="Normal 8 3 2 2 4 5" xfId="6941" xr:uid="{00000000-0005-0000-0000-000032280000}"/>
    <cellStyle name="Normal 8 3 2 2 5" xfId="2054" xr:uid="{00000000-0005-0000-0000-000033280000}"/>
    <cellStyle name="Normal 8 3 2 2 5 2" xfId="5825" xr:uid="{00000000-0005-0000-0000-000034280000}"/>
    <cellStyle name="Normal 8 3 2 2 5 2 2" xfId="11113" xr:uid="{00000000-0005-0000-0000-000035280000}"/>
    <cellStyle name="Normal 8 3 2 2 5 3" xfId="7467" xr:uid="{00000000-0005-0000-0000-000036280000}"/>
    <cellStyle name="Normal 8 3 2 2 6" xfId="2606" xr:uid="{00000000-0005-0000-0000-000037280000}"/>
    <cellStyle name="Normal 8 3 2 2 6 2" xfId="7964" xr:uid="{00000000-0005-0000-0000-000038280000}"/>
    <cellStyle name="Normal 8 3 2 2 7" xfId="3720" xr:uid="{00000000-0005-0000-0000-000039280000}"/>
    <cellStyle name="Normal 8 3 2 2 7 2" xfId="9012" xr:uid="{00000000-0005-0000-0000-00003A280000}"/>
    <cellStyle name="Normal 8 3 2 2 8" xfId="5294" xr:uid="{00000000-0005-0000-0000-00003B280000}"/>
    <cellStyle name="Normal 8 3 2 2 8 2" xfId="10582" xr:uid="{00000000-0005-0000-0000-00003C280000}"/>
    <cellStyle name="Normal 8 3 2 2 9" xfId="6936" xr:uid="{00000000-0005-0000-0000-00003D280000}"/>
    <cellStyle name="Normal 8 3 2 3" xfId="1483" xr:uid="{00000000-0005-0000-0000-00003E280000}"/>
    <cellStyle name="Normal 8 3 2 3 2" xfId="1484" xr:uid="{00000000-0005-0000-0000-00003F280000}"/>
    <cellStyle name="Normal 8 3 2 3 2 2" xfId="3113" xr:uid="{00000000-0005-0000-0000-000040280000}"/>
    <cellStyle name="Normal 8 3 2 3 2 2 2" xfId="8466" xr:uid="{00000000-0005-0000-0000-000041280000}"/>
    <cellStyle name="Normal 8 3 2 3 2 3" xfId="4223" xr:uid="{00000000-0005-0000-0000-000042280000}"/>
    <cellStyle name="Normal 8 3 2 3 2 3 2" xfId="9514" xr:uid="{00000000-0005-0000-0000-000043280000}"/>
    <cellStyle name="Normal 8 3 2 3 2 4" xfId="5301" xr:uid="{00000000-0005-0000-0000-000044280000}"/>
    <cellStyle name="Normal 8 3 2 3 2 4 2" xfId="10589" xr:uid="{00000000-0005-0000-0000-000045280000}"/>
    <cellStyle name="Normal 8 3 2 3 2 5" xfId="6943" xr:uid="{00000000-0005-0000-0000-000046280000}"/>
    <cellStyle name="Normal 8 3 2 3 3" xfId="2057" xr:uid="{00000000-0005-0000-0000-000047280000}"/>
    <cellStyle name="Normal 8 3 2 3 3 2" xfId="5828" xr:uid="{00000000-0005-0000-0000-000048280000}"/>
    <cellStyle name="Normal 8 3 2 3 3 2 2" xfId="11116" xr:uid="{00000000-0005-0000-0000-000049280000}"/>
    <cellStyle name="Normal 8 3 2 3 3 3" xfId="7470" xr:uid="{00000000-0005-0000-0000-00004A280000}"/>
    <cellStyle name="Normal 8 3 2 3 4" xfId="2609" xr:uid="{00000000-0005-0000-0000-00004B280000}"/>
    <cellStyle name="Normal 8 3 2 3 4 2" xfId="7967" xr:uid="{00000000-0005-0000-0000-00004C280000}"/>
    <cellStyle name="Normal 8 3 2 3 5" xfId="3723" xr:uid="{00000000-0005-0000-0000-00004D280000}"/>
    <cellStyle name="Normal 8 3 2 3 5 2" xfId="9015" xr:uid="{00000000-0005-0000-0000-00004E280000}"/>
    <cellStyle name="Normal 8 3 2 3 6" xfId="5300" xr:uid="{00000000-0005-0000-0000-00004F280000}"/>
    <cellStyle name="Normal 8 3 2 3 6 2" xfId="10588" xr:uid="{00000000-0005-0000-0000-000050280000}"/>
    <cellStyle name="Normal 8 3 2 3 7" xfId="6942" xr:uid="{00000000-0005-0000-0000-000051280000}"/>
    <cellStyle name="Normal 8 3 2 4" xfId="1485" xr:uid="{00000000-0005-0000-0000-000052280000}"/>
    <cellStyle name="Normal 8 3 2 4 2" xfId="1486" xr:uid="{00000000-0005-0000-0000-000053280000}"/>
    <cellStyle name="Normal 8 3 2 4 2 2" xfId="3114" xr:uid="{00000000-0005-0000-0000-000054280000}"/>
    <cellStyle name="Normal 8 3 2 4 2 2 2" xfId="8467" xr:uid="{00000000-0005-0000-0000-000055280000}"/>
    <cellStyle name="Normal 8 3 2 4 2 3" xfId="4224" xr:uid="{00000000-0005-0000-0000-000056280000}"/>
    <cellStyle name="Normal 8 3 2 4 2 3 2" xfId="9515" xr:uid="{00000000-0005-0000-0000-000057280000}"/>
    <cellStyle name="Normal 8 3 2 4 2 4" xfId="5303" xr:uid="{00000000-0005-0000-0000-000058280000}"/>
    <cellStyle name="Normal 8 3 2 4 2 4 2" xfId="10591" xr:uid="{00000000-0005-0000-0000-000059280000}"/>
    <cellStyle name="Normal 8 3 2 4 2 5" xfId="6945" xr:uid="{00000000-0005-0000-0000-00005A280000}"/>
    <cellStyle name="Normal 8 3 2 4 3" xfId="2058" xr:uid="{00000000-0005-0000-0000-00005B280000}"/>
    <cellStyle name="Normal 8 3 2 4 3 2" xfId="5829" xr:uid="{00000000-0005-0000-0000-00005C280000}"/>
    <cellStyle name="Normal 8 3 2 4 3 2 2" xfId="11117" xr:uid="{00000000-0005-0000-0000-00005D280000}"/>
    <cellStyle name="Normal 8 3 2 4 3 3" xfId="7471" xr:uid="{00000000-0005-0000-0000-00005E280000}"/>
    <cellStyle name="Normal 8 3 2 4 4" xfId="2610" xr:uid="{00000000-0005-0000-0000-00005F280000}"/>
    <cellStyle name="Normal 8 3 2 4 4 2" xfId="7968" xr:uid="{00000000-0005-0000-0000-000060280000}"/>
    <cellStyle name="Normal 8 3 2 4 5" xfId="3724" xr:uid="{00000000-0005-0000-0000-000061280000}"/>
    <cellStyle name="Normal 8 3 2 4 5 2" xfId="9016" xr:uid="{00000000-0005-0000-0000-000062280000}"/>
    <cellStyle name="Normal 8 3 2 4 6" xfId="5302" xr:uid="{00000000-0005-0000-0000-000063280000}"/>
    <cellStyle name="Normal 8 3 2 4 6 2" xfId="10590" xr:uid="{00000000-0005-0000-0000-000064280000}"/>
    <cellStyle name="Normal 8 3 2 4 7" xfId="6944" xr:uid="{00000000-0005-0000-0000-000065280000}"/>
    <cellStyle name="Normal 8 3 2 5" xfId="1487" xr:uid="{00000000-0005-0000-0000-000066280000}"/>
    <cellStyle name="Normal 8 3 2 5 2" xfId="3109" xr:uid="{00000000-0005-0000-0000-000067280000}"/>
    <cellStyle name="Normal 8 3 2 5 2 2" xfId="8462" xr:uid="{00000000-0005-0000-0000-000068280000}"/>
    <cellStyle name="Normal 8 3 2 5 3" xfId="4219" xr:uid="{00000000-0005-0000-0000-000069280000}"/>
    <cellStyle name="Normal 8 3 2 5 3 2" xfId="9510" xr:uid="{00000000-0005-0000-0000-00006A280000}"/>
    <cellStyle name="Normal 8 3 2 5 4" xfId="5304" xr:uid="{00000000-0005-0000-0000-00006B280000}"/>
    <cellStyle name="Normal 8 3 2 5 4 2" xfId="10592" xr:uid="{00000000-0005-0000-0000-00006C280000}"/>
    <cellStyle name="Normal 8 3 2 5 5" xfId="6946" xr:uid="{00000000-0005-0000-0000-00006D280000}"/>
    <cellStyle name="Normal 8 3 2 6" xfId="2053" xr:uid="{00000000-0005-0000-0000-00006E280000}"/>
    <cellStyle name="Normal 8 3 2 6 2" xfId="5824" xr:uid="{00000000-0005-0000-0000-00006F280000}"/>
    <cellStyle name="Normal 8 3 2 6 2 2" xfId="11112" xr:uid="{00000000-0005-0000-0000-000070280000}"/>
    <cellStyle name="Normal 8 3 2 6 3" xfId="7466" xr:uid="{00000000-0005-0000-0000-000071280000}"/>
    <cellStyle name="Normal 8 3 2 7" xfId="2605" xr:uid="{00000000-0005-0000-0000-000072280000}"/>
    <cellStyle name="Normal 8 3 2 7 2" xfId="7963" xr:uid="{00000000-0005-0000-0000-000073280000}"/>
    <cellStyle name="Normal 8 3 2 8" xfId="3719" xr:uid="{00000000-0005-0000-0000-000074280000}"/>
    <cellStyle name="Normal 8 3 2 8 2" xfId="9011" xr:uid="{00000000-0005-0000-0000-000075280000}"/>
    <cellStyle name="Normal 8 3 2 9" xfId="5293" xr:uid="{00000000-0005-0000-0000-000076280000}"/>
    <cellStyle name="Normal 8 3 2 9 2" xfId="10581" xr:uid="{00000000-0005-0000-0000-000077280000}"/>
    <cellStyle name="Normal 8 3 3" xfId="1488" xr:uid="{00000000-0005-0000-0000-000078280000}"/>
    <cellStyle name="Normal 8 3 3 2" xfId="1489" xr:uid="{00000000-0005-0000-0000-000079280000}"/>
    <cellStyle name="Normal 8 3 3 2 2" xfId="1490" xr:uid="{00000000-0005-0000-0000-00007A280000}"/>
    <cellStyle name="Normal 8 3 3 2 2 2" xfId="3116" xr:uid="{00000000-0005-0000-0000-00007B280000}"/>
    <cellStyle name="Normal 8 3 3 2 2 2 2" xfId="8469" xr:uid="{00000000-0005-0000-0000-00007C280000}"/>
    <cellStyle name="Normal 8 3 3 2 2 3" xfId="4226" xr:uid="{00000000-0005-0000-0000-00007D280000}"/>
    <cellStyle name="Normal 8 3 3 2 2 3 2" xfId="9517" xr:uid="{00000000-0005-0000-0000-00007E280000}"/>
    <cellStyle name="Normal 8 3 3 2 2 4" xfId="5307" xr:uid="{00000000-0005-0000-0000-00007F280000}"/>
    <cellStyle name="Normal 8 3 3 2 2 4 2" xfId="10595" xr:uid="{00000000-0005-0000-0000-000080280000}"/>
    <cellStyle name="Normal 8 3 3 2 2 5" xfId="6949" xr:uid="{00000000-0005-0000-0000-000081280000}"/>
    <cellStyle name="Normal 8 3 3 2 3" xfId="2060" xr:uid="{00000000-0005-0000-0000-000082280000}"/>
    <cellStyle name="Normal 8 3 3 2 3 2" xfId="5831" xr:uid="{00000000-0005-0000-0000-000083280000}"/>
    <cellStyle name="Normal 8 3 3 2 3 2 2" xfId="11119" xr:uid="{00000000-0005-0000-0000-000084280000}"/>
    <cellStyle name="Normal 8 3 3 2 3 3" xfId="7473" xr:uid="{00000000-0005-0000-0000-000085280000}"/>
    <cellStyle name="Normal 8 3 3 2 4" xfId="2612" xr:uid="{00000000-0005-0000-0000-000086280000}"/>
    <cellStyle name="Normal 8 3 3 2 4 2" xfId="7970" xr:uid="{00000000-0005-0000-0000-000087280000}"/>
    <cellStyle name="Normal 8 3 3 2 5" xfId="3726" xr:uid="{00000000-0005-0000-0000-000088280000}"/>
    <cellStyle name="Normal 8 3 3 2 5 2" xfId="9018" xr:uid="{00000000-0005-0000-0000-000089280000}"/>
    <cellStyle name="Normal 8 3 3 2 6" xfId="5306" xr:uid="{00000000-0005-0000-0000-00008A280000}"/>
    <cellStyle name="Normal 8 3 3 2 6 2" xfId="10594" xr:uid="{00000000-0005-0000-0000-00008B280000}"/>
    <cellStyle name="Normal 8 3 3 2 7" xfId="6948" xr:uid="{00000000-0005-0000-0000-00008C280000}"/>
    <cellStyle name="Normal 8 3 3 3" xfId="1491" xr:uid="{00000000-0005-0000-0000-00008D280000}"/>
    <cellStyle name="Normal 8 3 3 3 2" xfId="1492" xr:uid="{00000000-0005-0000-0000-00008E280000}"/>
    <cellStyle name="Normal 8 3 3 3 2 2" xfId="3117" xr:uid="{00000000-0005-0000-0000-00008F280000}"/>
    <cellStyle name="Normal 8 3 3 3 2 2 2" xfId="8470" xr:uid="{00000000-0005-0000-0000-000090280000}"/>
    <cellStyle name="Normal 8 3 3 3 2 3" xfId="4227" xr:uid="{00000000-0005-0000-0000-000091280000}"/>
    <cellStyle name="Normal 8 3 3 3 2 3 2" xfId="9518" xr:uid="{00000000-0005-0000-0000-000092280000}"/>
    <cellStyle name="Normal 8 3 3 3 2 4" xfId="5309" xr:uid="{00000000-0005-0000-0000-000093280000}"/>
    <cellStyle name="Normal 8 3 3 3 2 4 2" xfId="10597" xr:uid="{00000000-0005-0000-0000-000094280000}"/>
    <cellStyle name="Normal 8 3 3 3 2 5" xfId="6951" xr:uid="{00000000-0005-0000-0000-000095280000}"/>
    <cellStyle name="Normal 8 3 3 3 3" xfId="2061" xr:uid="{00000000-0005-0000-0000-000096280000}"/>
    <cellStyle name="Normal 8 3 3 3 3 2" xfId="5832" xr:uid="{00000000-0005-0000-0000-000097280000}"/>
    <cellStyle name="Normal 8 3 3 3 3 2 2" xfId="11120" xr:uid="{00000000-0005-0000-0000-000098280000}"/>
    <cellStyle name="Normal 8 3 3 3 3 3" xfId="7474" xr:uid="{00000000-0005-0000-0000-000099280000}"/>
    <cellStyle name="Normal 8 3 3 3 4" xfId="2613" xr:uid="{00000000-0005-0000-0000-00009A280000}"/>
    <cellStyle name="Normal 8 3 3 3 4 2" xfId="7971" xr:uid="{00000000-0005-0000-0000-00009B280000}"/>
    <cellStyle name="Normal 8 3 3 3 5" xfId="3727" xr:uid="{00000000-0005-0000-0000-00009C280000}"/>
    <cellStyle name="Normal 8 3 3 3 5 2" xfId="9019" xr:uid="{00000000-0005-0000-0000-00009D280000}"/>
    <cellStyle name="Normal 8 3 3 3 6" xfId="5308" xr:uid="{00000000-0005-0000-0000-00009E280000}"/>
    <cellStyle name="Normal 8 3 3 3 6 2" xfId="10596" xr:uid="{00000000-0005-0000-0000-00009F280000}"/>
    <cellStyle name="Normal 8 3 3 3 7" xfId="6950" xr:uid="{00000000-0005-0000-0000-0000A0280000}"/>
    <cellStyle name="Normal 8 3 3 4" xfId="1493" xr:uid="{00000000-0005-0000-0000-0000A1280000}"/>
    <cellStyle name="Normal 8 3 3 4 2" xfId="3115" xr:uid="{00000000-0005-0000-0000-0000A2280000}"/>
    <cellStyle name="Normal 8 3 3 4 2 2" xfId="8468" xr:uid="{00000000-0005-0000-0000-0000A3280000}"/>
    <cellStyle name="Normal 8 3 3 4 3" xfId="4225" xr:uid="{00000000-0005-0000-0000-0000A4280000}"/>
    <cellStyle name="Normal 8 3 3 4 3 2" xfId="9516" xr:uid="{00000000-0005-0000-0000-0000A5280000}"/>
    <cellStyle name="Normal 8 3 3 4 4" xfId="5310" xr:uid="{00000000-0005-0000-0000-0000A6280000}"/>
    <cellStyle name="Normal 8 3 3 4 4 2" xfId="10598" xr:uid="{00000000-0005-0000-0000-0000A7280000}"/>
    <cellStyle name="Normal 8 3 3 4 5" xfId="6952" xr:uid="{00000000-0005-0000-0000-0000A8280000}"/>
    <cellStyle name="Normal 8 3 3 5" xfId="2059" xr:uid="{00000000-0005-0000-0000-0000A9280000}"/>
    <cellStyle name="Normal 8 3 3 5 2" xfId="5830" xr:uid="{00000000-0005-0000-0000-0000AA280000}"/>
    <cellStyle name="Normal 8 3 3 5 2 2" xfId="11118" xr:uid="{00000000-0005-0000-0000-0000AB280000}"/>
    <cellStyle name="Normal 8 3 3 5 3" xfId="7472" xr:uid="{00000000-0005-0000-0000-0000AC280000}"/>
    <cellStyle name="Normal 8 3 3 6" xfId="2611" xr:uid="{00000000-0005-0000-0000-0000AD280000}"/>
    <cellStyle name="Normal 8 3 3 6 2" xfId="7969" xr:uid="{00000000-0005-0000-0000-0000AE280000}"/>
    <cellStyle name="Normal 8 3 3 7" xfId="3725" xr:uid="{00000000-0005-0000-0000-0000AF280000}"/>
    <cellStyle name="Normal 8 3 3 7 2" xfId="9017" xr:uid="{00000000-0005-0000-0000-0000B0280000}"/>
    <cellStyle name="Normal 8 3 3 8" xfId="5305" xr:uid="{00000000-0005-0000-0000-0000B1280000}"/>
    <cellStyle name="Normal 8 3 3 8 2" xfId="10593" xr:uid="{00000000-0005-0000-0000-0000B2280000}"/>
    <cellStyle name="Normal 8 3 3 9" xfId="6947" xr:uid="{00000000-0005-0000-0000-0000B3280000}"/>
    <cellStyle name="Normal 8 3 4" xfId="1494" xr:uid="{00000000-0005-0000-0000-0000B4280000}"/>
    <cellStyle name="Normal 8 3 4 2" xfId="1495" xr:uid="{00000000-0005-0000-0000-0000B5280000}"/>
    <cellStyle name="Normal 8 3 4 2 2" xfId="3118" xr:uid="{00000000-0005-0000-0000-0000B6280000}"/>
    <cellStyle name="Normal 8 3 4 2 2 2" xfId="8471" xr:uid="{00000000-0005-0000-0000-0000B7280000}"/>
    <cellStyle name="Normal 8 3 4 2 3" xfId="4228" xr:uid="{00000000-0005-0000-0000-0000B8280000}"/>
    <cellStyle name="Normal 8 3 4 2 3 2" xfId="9519" xr:uid="{00000000-0005-0000-0000-0000B9280000}"/>
    <cellStyle name="Normal 8 3 4 2 4" xfId="5312" xr:uid="{00000000-0005-0000-0000-0000BA280000}"/>
    <cellStyle name="Normal 8 3 4 2 4 2" xfId="10600" xr:uid="{00000000-0005-0000-0000-0000BB280000}"/>
    <cellStyle name="Normal 8 3 4 2 5" xfId="6954" xr:uid="{00000000-0005-0000-0000-0000BC280000}"/>
    <cellStyle name="Normal 8 3 4 3" xfId="2062" xr:uid="{00000000-0005-0000-0000-0000BD280000}"/>
    <cellStyle name="Normal 8 3 4 3 2" xfId="5833" xr:uid="{00000000-0005-0000-0000-0000BE280000}"/>
    <cellStyle name="Normal 8 3 4 3 2 2" xfId="11121" xr:uid="{00000000-0005-0000-0000-0000BF280000}"/>
    <cellStyle name="Normal 8 3 4 3 3" xfId="7475" xr:uid="{00000000-0005-0000-0000-0000C0280000}"/>
    <cellStyle name="Normal 8 3 4 4" xfId="2614" xr:uid="{00000000-0005-0000-0000-0000C1280000}"/>
    <cellStyle name="Normal 8 3 4 4 2" xfId="7972" xr:uid="{00000000-0005-0000-0000-0000C2280000}"/>
    <cellStyle name="Normal 8 3 4 5" xfId="3728" xr:uid="{00000000-0005-0000-0000-0000C3280000}"/>
    <cellStyle name="Normal 8 3 4 5 2" xfId="9020" xr:uid="{00000000-0005-0000-0000-0000C4280000}"/>
    <cellStyle name="Normal 8 3 4 6" xfId="5311" xr:uid="{00000000-0005-0000-0000-0000C5280000}"/>
    <cellStyle name="Normal 8 3 4 6 2" xfId="10599" xr:uid="{00000000-0005-0000-0000-0000C6280000}"/>
    <cellStyle name="Normal 8 3 4 7" xfId="6953" xr:uid="{00000000-0005-0000-0000-0000C7280000}"/>
    <cellStyle name="Normal 8 3 5" xfId="1496" xr:uid="{00000000-0005-0000-0000-0000C8280000}"/>
    <cellStyle name="Normal 8 3 5 2" xfId="1497" xr:uid="{00000000-0005-0000-0000-0000C9280000}"/>
    <cellStyle name="Normal 8 3 5 2 2" xfId="3119" xr:uid="{00000000-0005-0000-0000-0000CA280000}"/>
    <cellStyle name="Normal 8 3 5 2 2 2" xfId="8472" xr:uid="{00000000-0005-0000-0000-0000CB280000}"/>
    <cellStyle name="Normal 8 3 5 2 3" xfId="4229" xr:uid="{00000000-0005-0000-0000-0000CC280000}"/>
    <cellStyle name="Normal 8 3 5 2 3 2" xfId="9520" xr:uid="{00000000-0005-0000-0000-0000CD280000}"/>
    <cellStyle name="Normal 8 3 5 2 4" xfId="5314" xr:uid="{00000000-0005-0000-0000-0000CE280000}"/>
    <cellStyle name="Normal 8 3 5 2 4 2" xfId="10602" xr:uid="{00000000-0005-0000-0000-0000CF280000}"/>
    <cellStyle name="Normal 8 3 5 2 5" xfId="6956" xr:uid="{00000000-0005-0000-0000-0000D0280000}"/>
    <cellStyle name="Normal 8 3 5 3" xfId="2063" xr:uid="{00000000-0005-0000-0000-0000D1280000}"/>
    <cellStyle name="Normal 8 3 5 3 2" xfId="5834" xr:uid="{00000000-0005-0000-0000-0000D2280000}"/>
    <cellStyle name="Normal 8 3 5 3 2 2" xfId="11122" xr:uid="{00000000-0005-0000-0000-0000D3280000}"/>
    <cellStyle name="Normal 8 3 5 3 3" xfId="7476" xr:uid="{00000000-0005-0000-0000-0000D4280000}"/>
    <cellStyle name="Normal 8 3 5 4" xfId="2615" xr:uid="{00000000-0005-0000-0000-0000D5280000}"/>
    <cellStyle name="Normal 8 3 5 4 2" xfId="7973" xr:uid="{00000000-0005-0000-0000-0000D6280000}"/>
    <cellStyle name="Normal 8 3 5 5" xfId="3729" xr:uid="{00000000-0005-0000-0000-0000D7280000}"/>
    <cellStyle name="Normal 8 3 5 5 2" xfId="9021" xr:uid="{00000000-0005-0000-0000-0000D8280000}"/>
    <cellStyle name="Normal 8 3 5 6" xfId="5313" xr:uid="{00000000-0005-0000-0000-0000D9280000}"/>
    <cellStyle name="Normal 8 3 5 6 2" xfId="10601" xr:uid="{00000000-0005-0000-0000-0000DA280000}"/>
    <cellStyle name="Normal 8 3 5 7" xfId="6955" xr:uid="{00000000-0005-0000-0000-0000DB280000}"/>
    <cellStyle name="Normal 8 3 6" xfId="1498" xr:uid="{00000000-0005-0000-0000-0000DC280000}"/>
    <cellStyle name="Normal 8 3 6 2" xfId="3108" xr:uid="{00000000-0005-0000-0000-0000DD280000}"/>
    <cellStyle name="Normal 8 3 6 2 2" xfId="8461" xr:uid="{00000000-0005-0000-0000-0000DE280000}"/>
    <cellStyle name="Normal 8 3 6 3" xfId="4218" xr:uid="{00000000-0005-0000-0000-0000DF280000}"/>
    <cellStyle name="Normal 8 3 6 3 2" xfId="9509" xr:uid="{00000000-0005-0000-0000-0000E0280000}"/>
    <cellStyle name="Normal 8 3 6 4" xfId="5315" xr:uid="{00000000-0005-0000-0000-0000E1280000}"/>
    <cellStyle name="Normal 8 3 6 4 2" xfId="10603" xr:uid="{00000000-0005-0000-0000-0000E2280000}"/>
    <cellStyle name="Normal 8 3 6 5" xfId="6957" xr:uid="{00000000-0005-0000-0000-0000E3280000}"/>
    <cellStyle name="Normal 8 3 7" xfId="2052" xr:uid="{00000000-0005-0000-0000-0000E4280000}"/>
    <cellStyle name="Normal 8 3 7 2" xfId="5823" xr:uid="{00000000-0005-0000-0000-0000E5280000}"/>
    <cellStyle name="Normal 8 3 7 2 2" xfId="11111" xr:uid="{00000000-0005-0000-0000-0000E6280000}"/>
    <cellStyle name="Normal 8 3 7 3" xfId="7465" xr:uid="{00000000-0005-0000-0000-0000E7280000}"/>
    <cellStyle name="Normal 8 3 8" xfId="2604" xr:uid="{00000000-0005-0000-0000-0000E8280000}"/>
    <cellStyle name="Normal 8 3 8 2" xfId="7962" xr:uid="{00000000-0005-0000-0000-0000E9280000}"/>
    <cellStyle name="Normal 8 3 9" xfId="3718" xr:uid="{00000000-0005-0000-0000-0000EA280000}"/>
    <cellStyle name="Normal 8 3 9 2" xfId="9010" xr:uid="{00000000-0005-0000-0000-0000EB280000}"/>
    <cellStyle name="Normal 8 4" xfId="1499" xr:uid="{00000000-0005-0000-0000-0000EC280000}"/>
    <cellStyle name="Normal 8 4 10" xfId="6958" xr:uid="{00000000-0005-0000-0000-0000ED280000}"/>
    <cellStyle name="Normal 8 4 2" xfId="1500" xr:uid="{00000000-0005-0000-0000-0000EE280000}"/>
    <cellStyle name="Normal 8 4 2 2" xfId="1501" xr:uid="{00000000-0005-0000-0000-0000EF280000}"/>
    <cellStyle name="Normal 8 4 2 2 2" xfId="1502" xr:uid="{00000000-0005-0000-0000-0000F0280000}"/>
    <cellStyle name="Normal 8 4 2 2 2 2" xfId="3122" xr:uid="{00000000-0005-0000-0000-0000F1280000}"/>
    <cellStyle name="Normal 8 4 2 2 2 2 2" xfId="8475" xr:uid="{00000000-0005-0000-0000-0000F2280000}"/>
    <cellStyle name="Normal 8 4 2 2 2 3" xfId="4232" xr:uid="{00000000-0005-0000-0000-0000F3280000}"/>
    <cellStyle name="Normal 8 4 2 2 2 3 2" xfId="9523" xr:uid="{00000000-0005-0000-0000-0000F4280000}"/>
    <cellStyle name="Normal 8 4 2 2 2 4" xfId="5319" xr:uid="{00000000-0005-0000-0000-0000F5280000}"/>
    <cellStyle name="Normal 8 4 2 2 2 4 2" xfId="10607" xr:uid="{00000000-0005-0000-0000-0000F6280000}"/>
    <cellStyle name="Normal 8 4 2 2 2 5" xfId="6961" xr:uid="{00000000-0005-0000-0000-0000F7280000}"/>
    <cellStyle name="Normal 8 4 2 2 3" xfId="2066" xr:uid="{00000000-0005-0000-0000-0000F8280000}"/>
    <cellStyle name="Normal 8 4 2 2 3 2" xfId="5837" xr:uid="{00000000-0005-0000-0000-0000F9280000}"/>
    <cellStyle name="Normal 8 4 2 2 3 2 2" xfId="11125" xr:uid="{00000000-0005-0000-0000-0000FA280000}"/>
    <cellStyle name="Normal 8 4 2 2 3 3" xfId="7479" xr:uid="{00000000-0005-0000-0000-0000FB280000}"/>
    <cellStyle name="Normal 8 4 2 2 4" xfId="2618" xr:uid="{00000000-0005-0000-0000-0000FC280000}"/>
    <cellStyle name="Normal 8 4 2 2 4 2" xfId="7976" xr:uid="{00000000-0005-0000-0000-0000FD280000}"/>
    <cellStyle name="Normal 8 4 2 2 5" xfId="3732" xr:uid="{00000000-0005-0000-0000-0000FE280000}"/>
    <cellStyle name="Normal 8 4 2 2 5 2" xfId="9024" xr:uid="{00000000-0005-0000-0000-0000FF280000}"/>
    <cellStyle name="Normal 8 4 2 2 6" xfId="5318" xr:uid="{00000000-0005-0000-0000-000000290000}"/>
    <cellStyle name="Normal 8 4 2 2 6 2" xfId="10606" xr:uid="{00000000-0005-0000-0000-000001290000}"/>
    <cellStyle name="Normal 8 4 2 2 7" xfId="6960" xr:uid="{00000000-0005-0000-0000-000002290000}"/>
    <cellStyle name="Normal 8 4 2 3" xfId="1503" xr:uid="{00000000-0005-0000-0000-000003290000}"/>
    <cellStyle name="Normal 8 4 2 3 2" xfId="1504" xr:uid="{00000000-0005-0000-0000-000004290000}"/>
    <cellStyle name="Normal 8 4 2 3 2 2" xfId="3123" xr:uid="{00000000-0005-0000-0000-000005290000}"/>
    <cellStyle name="Normal 8 4 2 3 2 2 2" xfId="8476" xr:uid="{00000000-0005-0000-0000-000006290000}"/>
    <cellStyle name="Normal 8 4 2 3 2 3" xfId="4233" xr:uid="{00000000-0005-0000-0000-000007290000}"/>
    <cellStyle name="Normal 8 4 2 3 2 3 2" xfId="9524" xr:uid="{00000000-0005-0000-0000-000008290000}"/>
    <cellStyle name="Normal 8 4 2 3 2 4" xfId="5321" xr:uid="{00000000-0005-0000-0000-000009290000}"/>
    <cellStyle name="Normal 8 4 2 3 2 4 2" xfId="10609" xr:uid="{00000000-0005-0000-0000-00000A290000}"/>
    <cellStyle name="Normal 8 4 2 3 2 5" xfId="6963" xr:uid="{00000000-0005-0000-0000-00000B290000}"/>
    <cellStyle name="Normal 8 4 2 3 3" xfId="2067" xr:uid="{00000000-0005-0000-0000-00000C290000}"/>
    <cellStyle name="Normal 8 4 2 3 3 2" xfId="5838" xr:uid="{00000000-0005-0000-0000-00000D290000}"/>
    <cellStyle name="Normal 8 4 2 3 3 2 2" xfId="11126" xr:uid="{00000000-0005-0000-0000-00000E290000}"/>
    <cellStyle name="Normal 8 4 2 3 3 3" xfId="7480" xr:uid="{00000000-0005-0000-0000-00000F290000}"/>
    <cellStyle name="Normal 8 4 2 3 4" xfId="2619" xr:uid="{00000000-0005-0000-0000-000010290000}"/>
    <cellStyle name="Normal 8 4 2 3 4 2" xfId="7977" xr:uid="{00000000-0005-0000-0000-000011290000}"/>
    <cellStyle name="Normal 8 4 2 3 5" xfId="3733" xr:uid="{00000000-0005-0000-0000-000012290000}"/>
    <cellStyle name="Normal 8 4 2 3 5 2" xfId="9025" xr:uid="{00000000-0005-0000-0000-000013290000}"/>
    <cellStyle name="Normal 8 4 2 3 6" xfId="5320" xr:uid="{00000000-0005-0000-0000-000014290000}"/>
    <cellStyle name="Normal 8 4 2 3 6 2" xfId="10608" xr:uid="{00000000-0005-0000-0000-000015290000}"/>
    <cellStyle name="Normal 8 4 2 3 7" xfId="6962" xr:uid="{00000000-0005-0000-0000-000016290000}"/>
    <cellStyle name="Normal 8 4 2 4" xfId="1505" xr:uid="{00000000-0005-0000-0000-000017290000}"/>
    <cellStyle name="Normal 8 4 2 4 2" xfId="3121" xr:uid="{00000000-0005-0000-0000-000018290000}"/>
    <cellStyle name="Normal 8 4 2 4 2 2" xfId="8474" xr:uid="{00000000-0005-0000-0000-000019290000}"/>
    <cellStyle name="Normal 8 4 2 4 3" xfId="4231" xr:uid="{00000000-0005-0000-0000-00001A290000}"/>
    <cellStyle name="Normal 8 4 2 4 3 2" xfId="9522" xr:uid="{00000000-0005-0000-0000-00001B290000}"/>
    <cellStyle name="Normal 8 4 2 4 4" xfId="5322" xr:uid="{00000000-0005-0000-0000-00001C290000}"/>
    <cellStyle name="Normal 8 4 2 4 4 2" xfId="10610" xr:uid="{00000000-0005-0000-0000-00001D290000}"/>
    <cellStyle name="Normal 8 4 2 4 5" xfId="6964" xr:uid="{00000000-0005-0000-0000-00001E290000}"/>
    <cellStyle name="Normal 8 4 2 5" xfId="2065" xr:uid="{00000000-0005-0000-0000-00001F290000}"/>
    <cellStyle name="Normal 8 4 2 5 2" xfId="5836" xr:uid="{00000000-0005-0000-0000-000020290000}"/>
    <cellStyle name="Normal 8 4 2 5 2 2" xfId="11124" xr:uid="{00000000-0005-0000-0000-000021290000}"/>
    <cellStyle name="Normal 8 4 2 5 3" xfId="7478" xr:uid="{00000000-0005-0000-0000-000022290000}"/>
    <cellStyle name="Normal 8 4 2 6" xfId="2617" xr:uid="{00000000-0005-0000-0000-000023290000}"/>
    <cellStyle name="Normal 8 4 2 6 2" xfId="7975" xr:uid="{00000000-0005-0000-0000-000024290000}"/>
    <cellStyle name="Normal 8 4 2 7" xfId="3731" xr:uid="{00000000-0005-0000-0000-000025290000}"/>
    <cellStyle name="Normal 8 4 2 7 2" xfId="9023" xr:uid="{00000000-0005-0000-0000-000026290000}"/>
    <cellStyle name="Normal 8 4 2 8" xfId="5317" xr:uid="{00000000-0005-0000-0000-000027290000}"/>
    <cellStyle name="Normal 8 4 2 8 2" xfId="10605" xr:uid="{00000000-0005-0000-0000-000028290000}"/>
    <cellStyle name="Normal 8 4 2 9" xfId="6959" xr:uid="{00000000-0005-0000-0000-000029290000}"/>
    <cellStyle name="Normal 8 4 3" xfId="1506" xr:uid="{00000000-0005-0000-0000-00002A290000}"/>
    <cellStyle name="Normal 8 4 3 2" xfId="1507" xr:uid="{00000000-0005-0000-0000-00002B290000}"/>
    <cellStyle name="Normal 8 4 3 2 2" xfId="3124" xr:uid="{00000000-0005-0000-0000-00002C290000}"/>
    <cellStyle name="Normal 8 4 3 2 2 2" xfId="8477" xr:uid="{00000000-0005-0000-0000-00002D290000}"/>
    <cellStyle name="Normal 8 4 3 2 3" xfId="4234" xr:uid="{00000000-0005-0000-0000-00002E290000}"/>
    <cellStyle name="Normal 8 4 3 2 3 2" xfId="9525" xr:uid="{00000000-0005-0000-0000-00002F290000}"/>
    <cellStyle name="Normal 8 4 3 2 4" xfId="5324" xr:uid="{00000000-0005-0000-0000-000030290000}"/>
    <cellStyle name="Normal 8 4 3 2 4 2" xfId="10612" xr:uid="{00000000-0005-0000-0000-000031290000}"/>
    <cellStyle name="Normal 8 4 3 2 5" xfId="6966" xr:uid="{00000000-0005-0000-0000-000032290000}"/>
    <cellStyle name="Normal 8 4 3 3" xfId="2068" xr:uid="{00000000-0005-0000-0000-000033290000}"/>
    <cellStyle name="Normal 8 4 3 3 2" xfId="5839" xr:uid="{00000000-0005-0000-0000-000034290000}"/>
    <cellStyle name="Normal 8 4 3 3 2 2" xfId="11127" xr:uid="{00000000-0005-0000-0000-000035290000}"/>
    <cellStyle name="Normal 8 4 3 3 3" xfId="7481" xr:uid="{00000000-0005-0000-0000-000036290000}"/>
    <cellStyle name="Normal 8 4 3 4" xfId="2620" xr:uid="{00000000-0005-0000-0000-000037290000}"/>
    <cellStyle name="Normal 8 4 3 4 2" xfId="7978" xr:uid="{00000000-0005-0000-0000-000038290000}"/>
    <cellStyle name="Normal 8 4 3 5" xfId="3734" xr:uid="{00000000-0005-0000-0000-000039290000}"/>
    <cellStyle name="Normal 8 4 3 5 2" xfId="9026" xr:uid="{00000000-0005-0000-0000-00003A290000}"/>
    <cellStyle name="Normal 8 4 3 6" xfId="5323" xr:uid="{00000000-0005-0000-0000-00003B290000}"/>
    <cellStyle name="Normal 8 4 3 6 2" xfId="10611" xr:uid="{00000000-0005-0000-0000-00003C290000}"/>
    <cellStyle name="Normal 8 4 3 7" xfId="6965" xr:uid="{00000000-0005-0000-0000-00003D290000}"/>
    <cellStyle name="Normal 8 4 4" xfId="1508" xr:uid="{00000000-0005-0000-0000-00003E290000}"/>
    <cellStyle name="Normal 8 4 4 2" xfId="1509" xr:uid="{00000000-0005-0000-0000-00003F290000}"/>
    <cellStyle name="Normal 8 4 4 2 2" xfId="3125" xr:uid="{00000000-0005-0000-0000-000040290000}"/>
    <cellStyle name="Normal 8 4 4 2 2 2" xfId="8478" xr:uid="{00000000-0005-0000-0000-000041290000}"/>
    <cellStyle name="Normal 8 4 4 2 3" xfId="4235" xr:uid="{00000000-0005-0000-0000-000042290000}"/>
    <cellStyle name="Normal 8 4 4 2 3 2" xfId="9526" xr:uid="{00000000-0005-0000-0000-000043290000}"/>
    <cellStyle name="Normal 8 4 4 2 4" xfId="5326" xr:uid="{00000000-0005-0000-0000-000044290000}"/>
    <cellStyle name="Normal 8 4 4 2 4 2" xfId="10614" xr:uid="{00000000-0005-0000-0000-000045290000}"/>
    <cellStyle name="Normal 8 4 4 2 5" xfId="6968" xr:uid="{00000000-0005-0000-0000-000046290000}"/>
    <cellStyle name="Normal 8 4 4 3" xfId="2069" xr:uid="{00000000-0005-0000-0000-000047290000}"/>
    <cellStyle name="Normal 8 4 4 3 2" xfId="5840" xr:uid="{00000000-0005-0000-0000-000048290000}"/>
    <cellStyle name="Normal 8 4 4 3 2 2" xfId="11128" xr:uid="{00000000-0005-0000-0000-000049290000}"/>
    <cellStyle name="Normal 8 4 4 3 3" xfId="7482" xr:uid="{00000000-0005-0000-0000-00004A290000}"/>
    <cellStyle name="Normal 8 4 4 4" xfId="2621" xr:uid="{00000000-0005-0000-0000-00004B290000}"/>
    <cellStyle name="Normal 8 4 4 4 2" xfId="7979" xr:uid="{00000000-0005-0000-0000-00004C290000}"/>
    <cellStyle name="Normal 8 4 4 5" xfId="3735" xr:uid="{00000000-0005-0000-0000-00004D290000}"/>
    <cellStyle name="Normal 8 4 4 5 2" xfId="9027" xr:uid="{00000000-0005-0000-0000-00004E290000}"/>
    <cellStyle name="Normal 8 4 4 6" xfId="5325" xr:uid="{00000000-0005-0000-0000-00004F290000}"/>
    <cellStyle name="Normal 8 4 4 6 2" xfId="10613" xr:uid="{00000000-0005-0000-0000-000050290000}"/>
    <cellStyle name="Normal 8 4 4 7" xfId="6967" xr:uid="{00000000-0005-0000-0000-000051290000}"/>
    <cellStyle name="Normal 8 4 5" xfId="1510" xr:uid="{00000000-0005-0000-0000-000052290000}"/>
    <cellStyle name="Normal 8 4 5 2" xfId="3120" xr:uid="{00000000-0005-0000-0000-000053290000}"/>
    <cellStyle name="Normal 8 4 5 2 2" xfId="8473" xr:uid="{00000000-0005-0000-0000-000054290000}"/>
    <cellStyle name="Normal 8 4 5 3" xfId="4230" xr:uid="{00000000-0005-0000-0000-000055290000}"/>
    <cellStyle name="Normal 8 4 5 3 2" xfId="9521" xr:uid="{00000000-0005-0000-0000-000056290000}"/>
    <cellStyle name="Normal 8 4 5 4" xfId="5327" xr:uid="{00000000-0005-0000-0000-000057290000}"/>
    <cellStyle name="Normal 8 4 5 4 2" xfId="10615" xr:uid="{00000000-0005-0000-0000-000058290000}"/>
    <cellStyle name="Normal 8 4 5 5" xfId="6969" xr:uid="{00000000-0005-0000-0000-000059290000}"/>
    <cellStyle name="Normal 8 4 6" xfId="2064" xr:uid="{00000000-0005-0000-0000-00005A290000}"/>
    <cellStyle name="Normal 8 4 6 2" xfId="5835" xr:uid="{00000000-0005-0000-0000-00005B290000}"/>
    <cellStyle name="Normal 8 4 6 2 2" xfId="11123" xr:uid="{00000000-0005-0000-0000-00005C290000}"/>
    <cellStyle name="Normal 8 4 6 3" xfId="7477" xr:uid="{00000000-0005-0000-0000-00005D290000}"/>
    <cellStyle name="Normal 8 4 7" xfId="2616" xr:uid="{00000000-0005-0000-0000-00005E290000}"/>
    <cellStyle name="Normal 8 4 7 2" xfId="7974" xr:uid="{00000000-0005-0000-0000-00005F290000}"/>
    <cellStyle name="Normal 8 4 8" xfId="3730" xr:uid="{00000000-0005-0000-0000-000060290000}"/>
    <cellStyle name="Normal 8 4 8 2" xfId="9022" xr:uid="{00000000-0005-0000-0000-000061290000}"/>
    <cellStyle name="Normal 8 4 9" xfId="5316" xr:uid="{00000000-0005-0000-0000-000062290000}"/>
    <cellStyle name="Normal 8 4 9 2" xfId="10604" xr:uid="{00000000-0005-0000-0000-000063290000}"/>
    <cellStyle name="Normal 8 5" xfId="1511" xr:uid="{00000000-0005-0000-0000-000064290000}"/>
    <cellStyle name="Normal 8 5 2" xfId="1512" xr:uid="{00000000-0005-0000-0000-000065290000}"/>
    <cellStyle name="Normal 8 5 2 2" xfId="1513" xr:uid="{00000000-0005-0000-0000-000066290000}"/>
    <cellStyle name="Normal 8 5 2 2 2" xfId="3127" xr:uid="{00000000-0005-0000-0000-000067290000}"/>
    <cellStyle name="Normal 8 5 2 2 2 2" xfId="8480" xr:uid="{00000000-0005-0000-0000-000068290000}"/>
    <cellStyle name="Normal 8 5 2 2 3" xfId="4237" xr:uid="{00000000-0005-0000-0000-000069290000}"/>
    <cellStyle name="Normal 8 5 2 2 3 2" xfId="9528" xr:uid="{00000000-0005-0000-0000-00006A290000}"/>
    <cellStyle name="Normal 8 5 2 2 4" xfId="5330" xr:uid="{00000000-0005-0000-0000-00006B290000}"/>
    <cellStyle name="Normal 8 5 2 2 4 2" xfId="10618" xr:uid="{00000000-0005-0000-0000-00006C290000}"/>
    <cellStyle name="Normal 8 5 2 2 5" xfId="6972" xr:uid="{00000000-0005-0000-0000-00006D290000}"/>
    <cellStyle name="Normal 8 5 2 3" xfId="2071" xr:uid="{00000000-0005-0000-0000-00006E290000}"/>
    <cellStyle name="Normal 8 5 2 3 2" xfId="5842" xr:uid="{00000000-0005-0000-0000-00006F290000}"/>
    <cellStyle name="Normal 8 5 2 3 2 2" xfId="11130" xr:uid="{00000000-0005-0000-0000-000070290000}"/>
    <cellStyle name="Normal 8 5 2 3 3" xfId="7484" xr:uid="{00000000-0005-0000-0000-000071290000}"/>
    <cellStyle name="Normal 8 5 2 4" xfId="2623" xr:uid="{00000000-0005-0000-0000-000072290000}"/>
    <cellStyle name="Normal 8 5 2 4 2" xfId="7981" xr:uid="{00000000-0005-0000-0000-000073290000}"/>
    <cellStyle name="Normal 8 5 2 5" xfId="3737" xr:uid="{00000000-0005-0000-0000-000074290000}"/>
    <cellStyle name="Normal 8 5 2 5 2" xfId="9029" xr:uid="{00000000-0005-0000-0000-000075290000}"/>
    <cellStyle name="Normal 8 5 2 6" xfId="5329" xr:uid="{00000000-0005-0000-0000-000076290000}"/>
    <cellStyle name="Normal 8 5 2 6 2" xfId="10617" xr:uid="{00000000-0005-0000-0000-000077290000}"/>
    <cellStyle name="Normal 8 5 2 7" xfId="6971" xr:uid="{00000000-0005-0000-0000-000078290000}"/>
    <cellStyle name="Normal 8 5 3" xfId="1514" xr:uid="{00000000-0005-0000-0000-000079290000}"/>
    <cellStyle name="Normal 8 5 3 2" xfId="1515" xr:uid="{00000000-0005-0000-0000-00007A290000}"/>
    <cellStyle name="Normal 8 5 3 2 2" xfId="3128" xr:uid="{00000000-0005-0000-0000-00007B290000}"/>
    <cellStyle name="Normal 8 5 3 2 2 2" xfId="8481" xr:uid="{00000000-0005-0000-0000-00007C290000}"/>
    <cellStyle name="Normal 8 5 3 2 3" xfId="4238" xr:uid="{00000000-0005-0000-0000-00007D290000}"/>
    <cellStyle name="Normal 8 5 3 2 3 2" xfId="9529" xr:uid="{00000000-0005-0000-0000-00007E290000}"/>
    <cellStyle name="Normal 8 5 3 2 4" xfId="5332" xr:uid="{00000000-0005-0000-0000-00007F290000}"/>
    <cellStyle name="Normal 8 5 3 2 4 2" xfId="10620" xr:uid="{00000000-0005-0000-0000-000080290000}"/>
    <cellStyle name="Normal 8 5 3 2 5" xfId="6974" xr:uid="{00000000-0005-0000-0000-000081290000}"/>
    <cellStyle name="Normal 8 5 3 3" xfId="2072" xr:uid="{00000000-0005-0000-0000-000082290000}"/>
    <cellStyle name="Normal 8 5 3 3 2" xfId="5843" xr:uid="{00000000-0005-0000-0000-000083290000}"/>
    <cellStyle name="Normal 8 5 3 3 2 2" xfId="11131" xr:uid="{00000000-0005-0000-0000-000084290000}"/>
    <cellStyle name="Normal 8 5 3 3 3" xfId="7485" xr:uid="{00000000-0005-0000-0000-000085290000}"/>
    <cellStyle name="Normal 8 5 3 4" xfId="2624" xr:uid="{00000000-0005-0000-0000-000086290000}"/>
    <cellStyle name="Normal 8 5 3 4 2" xfId="7982" xr:uid="{00000000-0005-0000-0000-000087290000}"/>
    <cellStyle name="Normal 8 5 3 5" xfId="3738" xr:uid="{00000000-0005-0000-0000-000088290000}"/>
    <cellStyle name="Normal 8 5 3 5 2" xfId="9030" xr:uid="{00000000-0005-0000-0000-000089290000}"/>
    <cellStyle name="Normal 8 5 3 6" xfId="5331" xr:uid="{00000000-0005-0000-0000-00008A290000}"/>
    <cellStyle name="Normal 8 5 3 6 2" xfId="10619" xr:uid="{00000000-0005-0000-0000-00008B290000}"/>
    <cellStyle name="Normal 8 5 3 7" xfId="6973" xr:uid="{00000000-0005-0000-0000-00008C290000}"/>
    <cellStyle name="Normal 8 5 4" xfId="1516" xr:uid="{00000000-0005-0000-0000-00008D290000}"/>
    <cellStyle name="Normal 8 5 4 2" xfId="3126" xr:uid="{00000000-0005-0000-0000-00008E290000}"/>
    <cellStyle name="Normal 8 5 4 2 2" xfId="8479" xr:uid="{00000000-0005-0000-0000-00008F290000}"/>
    <cellStyle name="Normal 8 5 4 3" xfId="4236" xr:uid="{00000000-0005-0000-0000-000090290000}"/>
    <cellStyle name="Normal 8 5 4 3 2" xfId="9527" xr:uid="{00000000-0005-0000-0000-000091290000}"/>
    <cellStyle name="Normal 8 5 4 4" xfId="5333" xr:uid="{00000000-0005-0000-0000-000092290000}"/>
    <cellStyle name="Normal 8 5 4 4 2" xfId="10621" xr:uid="{00000000-0005-0000-0000-000093290000}"/>
    <cellStyle name="Normal 8 5 4 5" xfId="6975" xr:uid="{00000000-0005-0000-0000-000094290000}"/>
    <cellStyle name="Normal 8 5 5" xfId="2070" xr:uid="{00000000-0005-0000-0000-000095290000}"/>
    <cellStyle name="Normal 8 5 5 2" xfId="5841" xr:uid="{00000000-0005-0000-0000-000096290000}"/>
    <cellStyle name="Normal 8 5 5 2 2" xfId="11129" xr:uid="{00000000-0005-0000-0000-000097290000}"/>
    <cellStyle name="Normal 8 5 5 3" xfId="7483" xr:uid="{00000000-0005-0000-0000-000098290000}"/>
    <cellStyle name="Normal 8 5 6" xfId="2622" xr:uid="{00000000-0005-0000-0000-000099290000}"/>
    <cellStyle name="Normal 8 5 6 2" xfId="7980" xr:uid="{00000000-0005-0000-0000-00009A290000}"/>
    <cellStyle name="Normal 8 5 7" xfId="3736" xr:uid="{00000000-0005-0000-0000-00009B290000}"/>
    <cellStyle name="Normal 8 5 7 2" xfId="9028" xr:uid="{00000000-0005-0000-0000-00009C290000}"/>
    <cellStyle name="Normal 8 5 8" xfId="5328" xr:uid="{00000000-0005-0000-0000-00009D290000}"/>
    <cellStyle name="Normal 8 5 8 2" xfId="10616" xr:uid="{00000000-0005-0000-0000-00009E290000}"/>
    <cellStyle name="Normal 8 5 9" xfId="6970" xr:uid="{00000000-0005-0000-0000-00009F290000}"/>
    <cellStyle name="Normal 8 6" xfId="1517" xr:uid="{00000000-0005-0000-0000-0000A0290000}"/>
    <cellStyle name="Normal 8 6 2" xfId="1518" xr:uid="{00000000-0005-0000-0000-0000A1290000}"/>
    <cellStyle name="Normal 8 6 2 2" xfId="3129" xr:uid="{00000000-0005-0000-0000-0000A2290000}"/>
    <cellStyle name="Normal 8 6 2 2 2" xfId="8482" xr:uid="{00000000-0005-0000-0000-0000A3290000}"/>
    <cellStyle name="Normal 8 6 2 3" xfId="4239" xr:uid="{00000000-0005-0000-0000-0000A4290000}"/>
    <cellStyle name="Normal 8 6 2 3 2" xfId="9530" xr:uid="{00000000-0005-0000-0000-0000A5290000}"/>
    <cellStyle name="Normal 8 6 2 4" xfId="5335" xr:uid="{00000000-0005-0000-0000-0000A6290000}"/>
    <cellStyle name="Normal 8 6 2 4 2" xfId="10623" xr:uid="{00000000-0005-0000-0000-0000A7290000}"/>
    <cellStyle name="Normal 8 6 2 5" xfId="6977" xr:uid="{00000000-0005-0000-0000-0000A8290000}"/>
    <cellStyle name="Normal 8 6 3" xfId="2073" xr:uid="{00000000-0005-0000-0000-0000A9290000}"/>
    <cellStyle name="Normal 8 6 3 2" xfId="5844" xr:uid="{00000000-0005-0000-0000-0000AA290000}"/>
    <cellStyle name="Normal 8 6 3 2 2" xfId="11132" xr:uid="{00000000-0005-0000-0000-0000AB290000}"/>
    <cellStyle name="Normal 8 6 3 3" xfId="7486" xr:uid="{00000000-0005-0000-0000-0000AC290000}"/>
    <cellStyle name="Normal 8 6 4" xfId="2625" xr:uid="{00000000-0005-0000-0000-0000AD290000}"/>
    <cellStyle name="Normal 8 6 4 2" xfId="7983" xr:uid="{00000000-0005-0000-0000-0000AE290000}"/>
    <cellStyle name="Normal 8 6 5" xfId="3739" xr:uid="{00000000-0005-0000-0000-0000AF290000}"/>
    <cellStyle name="Normal 8 6 5 2" xfId="9031" xr:uid="{00000000-0005-0000-0000-0000B0290000}"/>
    <cellStyle name="Normal 8 6 6" xfId="5334" xr:uid="{00000000-0005-0000-0000-0000B1290000}"/>
    <cellStyle name="Normal 8 6 6 2" xfId="10622" xr:uid="{00000000-0005-0000-0000-0000B2290000}"/>
    <cellStyle name="Normal 8 6 7" xfId="6976" xr:uid="{00000000-0005-0000-0000-0000B3290000}"/>
    <cellStyle name="Normal 8 7" xfId="1519" xr:uid="{00000000-0005-0000-0000-0000B4290000}"/>
    <cellStyle name="Normal 8 7 2" xfId="1520" xr:uid="{00000000-0005-0000-0000-0000B5290000}"/>
    <cellStyle name="Normal 8 7 2 2" xfId="3130" xr:uid="{00000000-0005-0000-0000-0000B6290000}"/>
    <cellStyle name="Normal 8 7 2 2 2" xfId="8483" xr:uid="{00000000-0005-0000-0000-0000B7290000}"/>
    <cellStyle name="Normal 8 7 2 3" xfId="4240" xr:uid="{00000000-0005-0000-0000-0000B8290000}"/>
    <cellStyle name="Normal 8 7 2 3 2" xfId="9531" xr:uid="{00000000-0005-0000-0000-0000B9290000}"/>
    <cellStyle name="Normal 8 7 2 4" xfId="5337" xr:uid="{00000000-0005-0000-0000-0000BA290000}"/>
    <cellStyle name="Normal 8 7 2 4 2" xfId="10625" xr:uid="{00000000-0005-0000-0000-0000BB290000}"/>
    <cellStyle name="Normal 8 7 2 5" xfId="6979" xr:uid="{00000000-0005-0000-0000-0000BC290000}"/>
    <cellStyle name="Normal 8 7 3" xfId="2074" xr:uid="{00000000-0005-0000-0000-0000BD290000}"/>
    <cellStyle name="Normal 8 7 3 2" xfId="5845" xr:uid="{00000000-0005-0000-0000-0000BE290000}"/>
    <cellStyle name="Normal 8 7 3 2 2" xfId="11133" xr:uid="{00000000-0005-0000-0000-0000BF290000}"/>
    <cellStyle name="Normal 8 7 3 3" xfId="7487" xr:uid="{00000000-0005-0000-0000-0000C0290000}"/>
    <cellStyle name="Normal 8 7 4" xfId="2626" xr:uid="{00000000-0005-0000-0000-0000C1290000}"/>
    <cellStyle name="Normal 8 7 4 2" xfId="7984" xr:uid="{00000000-0005-0000-0000-0000C2290000}"/>
    <cellStyle name="Normal 8 7 5" xfId="3740" xr:uid="{00000000-0005-0000-0000-0000C3290000}"/>
    <cellStyle name="Normal 8 7 5 2" xfId="9032" xr:uid="{00000000-0005-0000-0000-0000C4290000}"/>
    <cellStyle name="Normal 8 7 6" xfId="5336" xr:uid="{00000000-0005-0000-0000-0000C5290000}"/>
    <cellStyle name="Normal 8 7 6 2" xfId="10624" xr:uid="{00000000-0005-0000-0000-0000C6290000}"/>
    <cellStyle name="Normal 8 7 7" xfId="6978" xr:uid="{00000000-0005-0000-0000-0000C7290000}"/>
    <cellStyle name="Normal 8 8" xfId="1521" xr:uid="{00000000-0005-0000-0000-0000C8290000}"/>
    <cellStyle name="Normal 8 8 2" xfId="3095" xr:uid="{00000000-0005-0000-0000-0000C9290000}"/>
    <cellStyle name="Normal 8 8 2 2" xfId="8448" xr:uid="{00000000-0005-0000-0000-0000CA290000}"/>
    <cellStyle name="Normal 8 8 3" xfId="4205" xr:uid="{00000000-0005-0000-0000-0000CB290000}"/>
    <cellStyle name="Normal 8 8 3 2" xfId="9496" xr:uid="{00000000-0005-0000-0000-0000CC290000}"/>
    <cellStyle name="Normal 8 8 4" xfId="5338" xr:uid="{00000000-0005-0000-0000-0000CD290000}"/>
    <cellStyle name="Normal 8 8 4 2" xfId="10626" xr:uid="{00000000-0005-0000-0000-0000CE290000}"/>
    <cellStyle name="Normal 8 8 5" xfId="6980" xr:uid="{00000000-0005-0000-0000-0000CF290000}"/>
    <cellStyle name="Normal 8 9" xfId="2039" xr:uid="{00000000-0005-0000-0000-0000D0290000}"/>
    <cellStyle name="Normal 8 9 2" xfId="5810" xr:uid="{00000000-0005-0000-0000-0000D1290000}"/>
    <cellStyle name="Normal 8 9 2 2" xfId="11098" xr:uid="{00000000-0005-0000-0000-0000D2290000}"/>
    <cellStyle name="Normal 8 9 3" xfId="7452" xr:uid="{00000000-0005-0000-0000-0000D3290000}"/>
    <cellStyle name="Normal 9" xfId="1522" xr:uid="{00000000-0005-0000-0000-0000D4290000}"/>
    <cellStyle name="Normal 9 10" xfId="3226" xr:uid="{00000000-0005-0000-0000-0000D5290000}"/>
    <cellStyle name="Normal 9 10 2" xfId="8523" xr:uid="{00000000-0005-0000-0000-0000D6290000}"/>
    <cellStyle name="Normal 9 11" xfId="3244" xr:uid="{00000000-0005-0000-0000-0000D7290000}"/>
    <cellStyle name="Normal 9 11 2" xfId="8540" xr:uid="{00000000-0005-0000-0000-0000D8290000}"/>
    <cellStyle name="Normal 9 12" xfId="3741" xr:uid="{00000000-0005-0000-0000-0000D9290000}"/>
    <cellStyle name="Normal 9 12 2" xfId="9033" xr:uid="{00000000-0005-0000-0000-0000DA290000}"/>
    <cellStyle name="Normal 9 13" xfId="5339" xr:uid="{00000000-0005-0000-0000-0000DB290000}"/>
    <cellStyle name="Normal 9 13 2" xfId="10627" xr:uid="{00000000-0005-0000-0000-0000DC290000}"/>
    <cellStyle name="Normal 9 14" xfId="6981" xr:uid="{00000000-0005-0000-0000-0000DD290000}"/>
    <cellStyle name="Normal 9 2" xfId="1523" xr:uid="{00000000-0005-0000-0000-0000DE290000}"/>
    <cellStyle name="Normal 9 2 10" xfId="6982" xr:uid="{00000000-0005-0000-0000-0000DF290000}"/>
    <cellStyle name="Normal 9 2 2" xfId="1524" xr:uid="{00000000-0005-0000-0000-0000E0290000}"/>
    <cellStyle name="Normal 9 2 2 2" xfId="1525" xr:uid="{00000000-0005-0000-0000-0000E1290000}"/>
    <cellStyle name="Normal 9 2 2 2 2" xfId="1526" xr:uid="{00000000-0005-0000-0000-0000E2290000}"/>
    <cellStyle name="Normal 9 2 2 2 2 2" xfId="3134" xr:uid="{00000000-0005-0000-0000-0000E3290000}"/>
    <cellStyle name="Normal 9 2 2 2 2 2 2" xfId="8487" xr:uid="{00000000-0005-0000-0000-0000E4290000}"/>
    <cellStyle name="Normal 9 2 2 2 2 3" xfId="4244" xr:uid="{00000000-0005-0000-0000-0000E5290000}"/>
    <cellStyle name="Normal 9 2 2 2 2 3 2" xfId="9535" xr:uid="{00000000-0005-0000-0000-0000E6290000}"/>
    <cellStyle name="Normal 9 2 2 2 2 4" xfId="5343" xr:uid="{00000000-0005-0000-0000-0000E7290000}"/>
    <cellStyle name="Normal 9 2 2 2 2 4 2" xfId="10631" xr:uid="{00000000-0005-0000-0000-0000E8290000}"/>
    <cellStyle name="Normal 9 2 2 2 2 5" xfId="6985" xr:uid="{00000000-0005-0000-0000-0000E9290000}"/>
    <cellStyle name="Normal 9 2 2 2 3" xfId="2078" xr:uid="{00000000-0005-0000-0000-0000EA290000}"/>
    <cellStyle name="Normal 9 2 2 2 3 2" xfId="5849" xr:uid="{00000000-0005-0000-0000-0000EB290000}"/>
    <cellStyle name="Normal 9 2 2 2 3 2 2" xfId="11137" xr:uid="{00000000-0005-0000-0000-0000EC290000}"/>
    <cellStyle name="Normal 9 2 2 2 3 3" xfId="7491" xr:uid="{00000000-0005-0000-0000-0000ED290000}"/>
    <cellStyle name="Normal 9 2 2 2 4" xfId="2630" xr:uid="{00000000-0005-0000-0000-0000EE290000}"/>
    <cellStyle name="Normal 9 2 2 2 4 2" xfId="7988" xr:uid="{00000000-0005-0000-0000-0000EF290000}"/>
    <cellStyle name="Normal 9 2 2 2 5" xfId="3744" xr:uid="{00000000-0005-0000-0000-0000F0290000}"/>
    <cellStyle name="Normal 9 2 2 2 5 2" xfId="9036" xr:uid="{00000000-0005-0000-0000-0000F1290000}"/>
    <cellStyle name="Normal 9 2 2 2 6" xfId="5342" xr:uid="{00000000-0005-0000-0000-0000F2290000}"/>
    <cellStyle name="Normal 9 2 2 2 6 2" xfId="10630" xr:uid="{00000000-0005-0000-0000-0000F3290000}"/>
    <cellStyle name="Normal 9 2 2 2 7" xfId="6984" xr:uid="{00000000-0005-0000-0000-0000F4290000}"/>
    <cellStyle name="Normal 9 2 2 3" xfId="1527" xr:uid="{00000000-0005-0000-0000-0000F5290000}"/>
    <cellStyle name="Normal 9 2 2 3 2" xfId="1528" xr:uid="{00000000-0005-0000-0000-0000F6290000}"/>
    <cellStyle name="Normal 9 2 2 3 2 2" xfId="3135" xr:uid="{00000000-0005-0000-0000-0000F7290000}"/>
    <cellStyle name="Normal 9 2 2 3 2 2 2" xfId="8488" xr:uid="{00000000-0005-0000-0000-0000F8290000}"/>
    <cellStyle name="Normal 9 2 2 3 2 3" xfId="4245" xr:uid="{00000000-0005-0000-0000-0000F9290000}"/>
    <cellStyle name="Normal 9 2 2 3 2 3 2" xfId="9536" xr:uid="{00000000-0005-0000-0000-0000FA290000}"/>
    <cellStyle name="Normal 9 2 2 3 2 4" xfId="5345" xr:uid="{00000000-0005-0000-0000-0000FB290000}"/>
    <cellStyle name="Normal 9 2 2 3 2 4 2" xfId="10633" xr:uid="{00000000-0005-0000-0000-0000FC290000}"/>
    <cellStyle name="Normal 9 2 2 3 2 5" xfId="6987" xr:uid="{00000000-0005-0000-0000-0000FD290000}"/>
    <cellStyle name="Normal 9 2 2 3 3" xfId="2079" xr:uid="{00000000-0005-0000-0000-0000FE290000}"/>
    <cellStyle name="Normal 9 2 2 3 3 2" xfId="5850" xr:uid="{00000000-0005-0000-0000-0000FF290000}"/>
    <cellStyle name="Normal 9 2 2 3 3 2 2" xfId="11138" xr:uid="{00000000-0005-0000-0000-0000002A0000}"/>
    <cellStyle name="Normal 9 2 2 3 3 3" xfId="7492" xr:uid="{00000000-0005-0000-0000-0000012A0000}"/>
    <cellStyle name="Normal 9 2 2 3 4" xfId="2631" xr:uid="{00000000-0005-0000-0000-0000022A0000}"/>
    <cellStyle name="Normal 9 2 2 3 4 2" xfId="7989" xr:uid="{00000000-0005-0000-0000-0000032A0000}"/>
    <cellStyle name="Normal 9 2 2 3 5" xfId="3745" xr:uid="{00000000-0005-0000-0000-0000042A0000}"/>
    <cellStyle name="Normal 9 2 2 3 5 2" xfId="9037" xr:uid="{00000000-0005-0000-0000-0000052A0000}"/>
    <cellStyle name="Normal 9 2 2 3 6" xfId="5344" xr:uid="{00000000-0005-0000-0000-0000062A0000}"/>
    <cellStyle name="Normal 9 2 2 3 6 2" xfId="10632" xr:uid="{00000000-0005-0000-0000-0000072A0000}"/>
    <cellStyle name="Normal 9 2 2 3 7" xfId="6986" xr:uid="{00000000-0005-0000-0000-0000082A0000}"/>
    <cellStyle name="Normal 9 2 2 4" xfId="1529" xr:uid="{00000000-0005-0000-0000-0000092A0000}"/>
    <cellStyle name="Normal 9 2 2 4 2" xfId="3133" xr:uid="{00000000-0005-0000-0000-00000A2A0000}"/>
    <cellStyle name="Normal 9 2 2 4 2 2" xfId="8486" xr:uid="{00000000-0005-0000-0000-00000B2A0000}"/>
    <cellStyle name="Normal 9 2 2 4 3" xfId="4243" xr:uid="{00000000-0005-0000-0000-00000C2A0000}"/>
    <cellStyle name="Normal 9 2 2 4 3 2" xfId="9534" xr:uid="{00000000-0005-0000-0000-00000D2A0000}"/>
    <cellStyle name="Normal 9 2 2 4 4" xfId="5346" xr:uid="{00000000-0005-0000-0000-00000E2A0000}"/>
    <cellStyle name="Normal 9 2 2 4 4 2" xfId="10634" xr:uid="{00000000-0005-0000-0000-00000F2A0000}"/>
    <cellStyle name="Normal 9 2 2 4 5" xfId="6988" xr:uid="{00000000-0005-0000-0000-0000102A0000}"/>
    <cellStyle name="Normal 9 2 2 5" xfId="2077" xr:uid="{00000000-0005-0000-0000-0000112A0000}"/>
    <cellStyle name="Normal 9 2 2 5 2" xfId="5848" xr:uid="{00000000-0005-0000-0000-0000122A0000}"/>
    <cellStyle name="Normal 9 2 2 5 2 2" xfId="11136" xr:uid="{00000000-0005-0000-0000-0000132A0000}"/>
    <cellStyle name="Normal 9 2 2 5 3" xfId="7490" xr:uid="{00000000-0005-0000-0000-0000142A0000}"/>
    <cellStyle name="Normal 9 2 2 6" xfId="2629" xr:uid="{00000000-0005-0000-0000-0000152A0000}"/>
    <cellStyle name="Normal 9 2 2 6 2" xfId="7987" xr:uid="{00000000-0005-0000-0000-0000162A0000}"/>
    <cellStyle name="Normal 9 2 2 7" xfId="3743" xr:uid="{00000000-0005-0000-0000-0000172A0000}"/>
    <cellStyle name="Normal 9 2 2 7 2" xfId="9035" xr:uid="{00000000-0005-0000-0000-0000182A0000}"/>
    <cellStyle name="Normal 9 2 2 8" xfId="5341" xr:uid="{00000000-0005-0000-0000-0000192A0000}"/>
    <cellStyle name="Normal 9 2 2 8 2" xfId="10629" xr:uid="{00000000-0005-0000-0000-00001A2A0000}"/>
    <cellStyle name="Normal 9 2 2 9" xfId="6983" xr:uid="{00000000-0005-0000-0000-00001B2A0000}"/>
    <cellStyle name="Normal 9 2 3" xfId="1530" xr:uid="{00000000-0005-0000-0000-00001C2A0000}"/>
    <cellStyle name="Normal 9 2 3 2" xfId="1531" xr:uid="{00000000-0005-0000-0000-00001D2A0000}"/>
    <cellStyle name="Normal 9 2 3 2 2" xfId="3136" xr:uid="{00000000-0005-0000-0000-00001E2A0000}"/>
    <cellStyle name="Normal 9 2 3 2 2 2" xfId="8489" xr:uid="{00000000-0005-0000-0000-00001F2A0000}"/>
    <cellStyle name="Normal 9 2 3 2 3" xfId="4246" xr:uid="{00000000-0005-0000-0000-0000202A0000}"/>
    <cellStyle name="Normal 9 2 3 2 3 2" xfId="9537" xr:uid="{00000000-0005-0000-0000-0000212A0000}"/>
    <cellStyle name="Normal 9 2 3 2 4" xfId="5348" xr:uid="{00000000-0005-0000-0000-0000222A0000}"/>
    <cellStyle name="Normal 9 2 3 2 4 2" xfId="10636" xr:uid="{00000000-0005-0000-0000-0000232A0000}"/>
    <cellStyle name="Normal 9 2 3 2 5" xfId="6990" xr:uid="{00000000-0005-0000-0000-0000242A0000}"/>
    <cellStyle name="Normal 9 2 3 3" xfId="2080" xr:uid="{00000000-0005-0000-0000-0000252A0000}"/>
    <cellStyle name="Normal 9 2 3 3 2" xfId="5851" xr:uid="{00000000-0005-0000-0000-0000262A0000}"/>
    <cellStyle name="Normal 9 2 3 3 2 2" xfId="11139" xr:uid="{00000000-0005-0000-0000-0000272A0000}"/>
    <cellStyle name="Normal 9 2 3 3 3" xfId="7493" xr:uid="{00000000-0005-0000-0000-0000282A0000}"/>
    <cellStyle name="Normal 9 2 3 4" xfId="2632" xr:uid="{00000000-0005-0000-0000-0000292A0000}"/>
    <cellStyle name="Normal 9 2 3 4 2" xfId="7990" xr:uid="{00000000-0005-0000-0000-00002A2A0000}"/>
    <cellStyle name="Normal 9 2 3 5" xfId="3746" xr:uid="{00000000-0005-0000-0000-00002B2A0000}"/>
    <cellStyle name="Normal 9 2 3 5 2" xfId="9038" xr:uid="{00000000-0005-0000-0000-00002C2A0000}"/>
    <cellStyle name="Normal 9 2 3 6" xfId="5347" xr:uid="{00000000-0005-0000-0000-00002D2A0000}"/>
    <cellStyle name="Normal 9 2 3 6 2" xfId="10635" xr:uid="{00000000-0005-0000-0000-00002E2A0000}"/>
    <cellStyle name="Normal 9 2 3 7" xfId="6989" xr:uid="{00000000-0005-0000-0000-00002F2A0000}"/>
    <cellStyle name="Normal 9 2 4" xfId="1532" xr:uid="{00000000-0005-0000-0000-0000302A0000}"/>
    <cellStyle name="Normal 9 2 4 2" xfId="1533" xr:uid="{00000000-0005-0000-0000-0000312A0000}"/>
    <cellStyle name="Normal 9 2 4 2 2" xfId="3137" xr:uid="{00000000-0005-0000-0000-0000322A0000}"/>
    <cellStyle name="Normal 9 2 4 2 2 2" xfId="8490" xr:uid="{00000000-0005-0000-0000-0000332A0000}"/>
    <cellStyle name="Normal 9 2 4 2 3" xfId="4247" xr:uid="{00000000-0005-0000-0000-0000342A0000}"/>
    <cellStyle name="Normal 9 2 4 2 3 2" xfId="9538" xr:uid="{00000000-0005-0000-0000-0000352A0000}"/>
    <cellStyle name="Normal 9 2 4 2 4" xfId="5350" xr:uid="{00000000-0005-0000-0000-0000362A0000}"/>
    <cellStyle name="Normal 9 2 4 2 4 2" xfId="10638" xr:uid="{00000000-0005-0000-0000-0000372A0000}"/>
    <cellStyle name="Normal 9 2 4 2 5" xfId="6992" xr:uid="{00000000-0005-0000-0000-0000382A0000}"/>
    <cellStyle name="Normal 9 2 4 3" xfId="2081" xr:uid="{00000000-0005-0000-0000-0000392A0000}"/>
    <cellStyle name="Normal 9 2 4 3 2" xfId="5852" xr:uid="{00000000-0005-0000-0000-00003A2A0000}"/>
    <cellStyle name="Normal 9 2 4 3 2 2" xfId="11140" xr:uid="{00000000-0005-0000-0000-00003B2A0000}"/>
    <cellStyle name="Normal 9 2 4 3 3" xfId="7494" xr:uid="{00000000-0005-0000-0000-00003C2A0000}"/>
    <cellStyle name="Normal 9 2 4 4" xfId="2633" xr:uid="{00000000-0005-0000-0000-00003D2A0000}"/>
    <cellStyle name="Normal 9 2 4 4 2" xfId="7991" xr:uid="{00000000-0005-0000-0000-00003E2A0000}"/>
    <cellStyle name="Normal 9 2 4 5" xfId="3747" xr:uid="{00000000-0005-0000-0000-00003F2A0000}"/>
    <cellStyle name="Normal 9 2 4 5 2" xfId="9039" xr:uid="{00000000-0005-0000-0000-0000402A0000}"/>
    <cellStyle name="Normal 9 2 4 6" xfId="5349" xr:uid="{00000000-0005-0000-0000-0000412A0000}"/>
    <cellStyle name="Normal 9 2 4 6 2" xfId="10637" xr:uid="{00000000-0005-0000-0000-0000422A0000}"/>
    <cellStyle name="Normal 9 2 4 7" xfId="6991" xr:uid="{00000000-0005-0000-0000-0000432A0000}"/>
    <cellStyle name="Normal 9 2 5" xfId="1534" xr:uid="{00000000-0005-0000-0000-0000442A0000}"/>
    <cellStyle name="Normal 9 2 5 2" xfId="3132" xr:uid="{00000000-0005-0000-0000-0000452A0000}"/>
    <cellStyle name="Normal 9 2 5 2 2" xfId="8485" xr:uid="{00000000-0005-0000-0000-0000462A0000}"/>
    <cellStyle name="Normal 9 2 5 3" xfId="4242" xr:uid="{00000000-0005-0000-0000-0000472A0000}"/>
    <cellStyle name="Normal 9 2 5 3 2" xfId="9533" xr:uid="{00000000-0005-0000-0000-0000482A0000}"/>
    <cellStyle name="Normal 9 2 5 4" xfId="5351" xr:uid="{00000000-0005-0000-0000-0000492A0000}"/>
    <cellStyle name="Normal 9 2 5 4 2" xfId="10639" xr:uid="{00000000-0005-0000-0000-00004A2A0000}"/>
    <cellStyle name="Normal 9 2 5 5" xfId="6993" xr:uid="{00000000-0005-0000-0000-00004B2A0000}"/>
    <cellStyle name="Normal 9 2 6" xfId="2076" xr:uid="{00000000-0005-0000-0000-00004C2A0000}"/>
    <cellStyle name="Normal 9 2 6 2" xfId="5847" xr:uid="{00000000-0005-0000-0000-00004D2A0000}"/>
    <cellStyle name="Normal 9 2 6 2 2" xfId="11135" xr:uid="{00000000-0005-0000-0000-00004E2A0000}"/>
    <cellStyle name="Normal 9 2 6 3" xfId="7489" xr:uid="{00000000-0005-0000-0000-00004F2A0000}"/>
    <cellStyle name="Normal 9 2 7" xfId="2628" xr:uid="{00000000-0005-0000-0000-0000502A0000}"/>
    <cellStyle name="Normal 9 2 7 2" xfId="7986" xr:uid="{00000000-0005-0000-0000-0000512A0000}"/>
    <cellStyle name="Normal 9 2 8" xfId="3742" xr:uid="{00000000-0005-0000-0000-0000522A0000}"/>
    <cellStyle name="Normal 9 2 8 2" xfId="9034" xr:uid="{00000000-0005-0000-0000-0000532A0000}"/>
    <cellStyle name="Normal 9 2 9" xfId="5340" xr:uid="{00000000-0005-0000-0000-0000542A0000}"/>
    <cellStyle name="Normal 9 2 9 2" xfId="10628" xr:uid="{00000000-0005-0000-0000-0000552A0000}"/>
    <cellStyle name="Normal 9 3" xfId="1535" xr:uid="{00000000-0005-0000-0000-0000562A0000}"/>
    <cellStyle name="Normal 9 3 2" xfId="1536" xr:uid="{00000000-0005-0000-0000-0000572A0000}"/>
    <cellStyle name="Normal 9 3 2 2" xfId="1537" xr:uid="{00000000-0005-0000-0000-0000582A0000}"/>
    <cellStyle name="Normal 9 3 2 2 2" xfId="3139" xr:uid="{00000000-0005-0000-0000-0000592A0000}"/>
    <cellStyle name="Normal 9 3 2 2 2 2" xfId="8492" xr:uid="{00000000-0005-0000-0000-00005A2A0000}"/>
    <cellStyle name="Normal 9 3 2 2 3" xfId="4249" xr:uid="{00000000-0005-0000-0000-00005B2A0000}"/>
    <cellStyle name="Normal 9 3 2 2 3 2" xfId="9540" xr:uid="{00000000-0005-0000-0000-00005C2A0000}"/>
    <cellStyle name="Normal 9 3 2 2 4" xfId="5354" xr:uid="{00000000-0005-0000-0000-00005D2A0000}"/>
    <cellStyle name="Normal 9 3 2 2 4 2" xfId="10642" xr:uid="{00000000-0005-0000-0000-00005E2A0000}"/>
    <cellStyle name="Normal 9 3 2 2 5" xfId="6996" xr:uid="{00000000-0005-0000-0000-00005F2A0000}"/>
    <cellStyle name="Normal 9 3 2 3" xfId="2083" xr:uid="{00000000-0005-0000-0000-0000602A0000}"/>
    <cellStyle name="Normal 9 3 2 3 2" xfId="5854" xr:uid="{00000000-0005-0000-0000-0000612A0000}"/>
    <cellStyle name="Normal 9 3 2 3 2 2" xfId="11142" xr:uid="{00000000-0005-0000-0000-0000622A0000}"/>
    <cellStyle name="Normal 9 3 2 3 3" xfId="7496" xr:uid="{00000000-0005-0000-0000-0000632A0000}"/>
    <cellStyle name="Normal 9 3 2 4" xfId="2635" xr:uid="{00000000-0005-0000-0000-0000642A0000}"/>
    <cellStyle name="Normal 9 3 2 4 2" xfId="7993" xr:uid="{00000000-0005-0000-0000-0000652A0000}"/>
    <cellStyle name="Normal 9 3 2 5" xfId="3749" xr:uid="{00000000-0005-0000-0000-0000662A0000}"/>
    <cellStyle name="Normal 9 3 2 5 2" xfId="9041" xr:uid="{00000000-0005-0000-0000-0000672A0000}"/>
    <cellStyle name="Normal 9 3 2 6" xfId="5353" xr:uid="{00000000-0005-0000-0000-0000682A0000}"/>
    <cellStyle name="Normal 9 3 2 6 2" xfId="10641" xr:uid="{00000000-0005-0000-0000-0000692A0000}"/>
    <cellStyle name="Normal 9 3 2 7" xfId="6995" xr:uid="{00000000-0005-0000-0000-00006A2A0000}"/>
    <cellStyle name="Normal 9 3 3" xfId="1538" xr:uid="{00000000-0005-0000-0000-00006B2A0000}"/>
    <cellStyle name="Normal 9 3 3 2" xfId="1539" xr:uid="{00000000-0005-0000-0000-00006C2A0000}"/>
    <cellStyle name="Normal 9 3 3 2 2" xfId="3140" xr:uid="{00000000-0005-0000-0000-00006D2A0000}"/>
    <cellStyle name="Normal 9 3 3 2 2 2" xfId="8493" xr:uid="{00000000-0005-0000-0000-00006E2A0000}"/>
    <cellStyle name="Normal 9 3 3 2 3" xfId="4250" xr:uid="{00000000-0005-0000-0000-00006F2A0000}"/>
    <cellStyle name="Normal 9 3 3 2 3 2" xfId="9541" xr:uid="{00000000-0005-0000-0000-0000702A0000}"/>
    <cellStyle name="Normal 9 3 3 2 4" xfId="5356" xr:uid="{00000000-0005-0000-0000-0000712A0000}"/>
    <cellStyle name="Normal 9 3 3 2 4 2" xfId="10644" xr:uid="{00000000-0005-0000-0000-0000722A0000}"/>
    <cellStyle name="Normal 9 3 3 2 5" xfId="6998" xr:uid="{00000000-0005-0000-0000-0000732A0000}"/>
    <cellStyle name="Normal 9 3 3 3" xfId="2084" xr:uid="{00000000-0005-0000-0000-0000742A0000}"/>
    <cellStyle name="Normal 9 3 3 3 2" xfId="5855" xr:uid="{00000000-0005-0000-0000-0000752A0000}"/>
    <cellStyle name="Normal 9 3 3 3 2 2" xfId="11143" xr:uid="{00000000-0005-0000-0000-0000762A0000}"/>
    <cellStyle name="Normal 9 3 3 3 3" xfId="7497" xr:uid="{00000000-0005-0000-0000-0000772A0000}"/>
    <cellStyle name="Normal 9 3 3 4" xfId="2636" xr:uid="{00000000-0005-0000-0000-0000782A0000}"/>
    <cellStyle name="Normal 9 3 3 4 2" xfId="7994" xr:uid="{00000000-0005-0000-0000-0000792A0000}"/>
    <cellStyle name="Normal 9 3 3 5" xfId="3750" xr:uid="{00000000-0005-0000-0000-00007A2A0000}"/>
    <cellStyle name="Normal 9 3 3 5 2" xfId="9042" xr:uid="{00000000-0005-0000-0000-00007B2A0000}"/>
    <cellStyle name="Normal 9 3 3 6" xfId="5355" xr:uid="{00000000-0005-0000-0000-00007C2A0000}"/>
    <cellStyle name="Normal 9 3 3 6 2" xfId="10643" xr:uid="{00000000-0005-0000-0000-00007D2A0000}"/>
    <cellStyle name="Normal 9 3 3 7" xfId="6997" xr:uid="{00000000-0005-0000-0000-00007E2A0000}"/>
    <cellStyle name="Normal 9 3 4" xfId="1540" xr:uid="{00000000-0005-0000-0000-00007F2A0000}"/>
    <cellStyle name="Normal 9 3 4 2" xfId="3138" xr:uid="{00000000-0005-0000-0000-0000802A0000}"/>
    <cellStyle name="Normal 9 3 4 2 2" xfId="8491" xr:uid="{00000000-0005-0000-0000-0000812A0000}"/>
    <cellStyle name="Normal 9 3 4 3" xfId="4248" xr:uid="{00000000-0005-0000-0000-0000822A0000}"/>
    <cellStyle name="Normal 9 3 4 3 2" xfId="9539" xr:uid="{00000000-0005-0000-0000-0000832A0000}"/>
    <cellStyle name="Normal 9 3 4 4" xfId="5357" xr:uid="{00000000-0005-0000-0000-0000842A0000}"/>
    <cellStyle name="Normal 9 3 4 4 2" xfId="10645" xr:uid="{00000000-0005-0000-0000-0000852A0000}"/>
    <cellStyle name="Normal 9 3 4 5" xfId="6999" xr:uid="{00000000-0005-0000-0000-0000862A0000}"/>
    <cellStyle name="Normal 9 3 5" xfId="2082" xr:uid="{00000000-0005-0000-0000-0000872A0000}"/>
    <cellStyle name="Normal 9 3 5 2" xfId="5853" xr:uid="{00000000-0005-0000-0000-0000882A0000}"/>
    <cellStyle name="Normal 9 3 5 2 2" xfId="11141" xr:uid="{00000000-0005-0000-0000-0000892A0000}"/>
    <cellStyle name="Normal 9 3 5 3" xfId="7495" xr:uid="{00000000-0005-0000-0000-00008A2A0000}"/>
    <cellStyle name="Normal 9 3 6" xfId="2634" xr:uid="{00000000-0005-0000-0000-00008B2A0000}"/>
    <cellStyle name="Normal 9 3 6 2" xfId="7992" xr:uid="{00000000-0005-0000-0000-00008C2A0000}"/>
    <cellStyle name="Normal 9 3 7" xfId="3748" xr:uid="{00000000-0005-0000-0000-00008D2A0000}"/>
    <cellStyle name="Normal 9 3 7 2" xfId="9040" xr:uid="{00000000-0005-0000-0000-00008E2A0000}"/>
    <cellStyle name="Normal 9 3 8" xfId="5352" xr:uid="{00000000-0005-0000-0000-00008F2A0000}"/>
    <cellStyle name="Normal 9 3 8 2" xfId="10640" xr:uid="{00000000-0005-0000-0000-0000902A0000}"/>
    <cellStyle name="Normal 9 3 9" xfId="6994" xr:uid="{00000000-0005-0000-0000-0000912A0000}"/>
    <cellStyle name="Normal 9 4" xfId="1541" xr:uid="{00000000-0005-0000-0000-0000922A0000}"/>
    <cellStyle name="Normal 9 4 2" xfId="1542" xr:uid="{00000000-0005-0000-0000-0000932A0000}"/>
    <cellStyle name="Normal 9 4 2 2" xfId="3141" xr:uid="{00000000-0005-0000-0000-0000942A0000}"/>
    <cellStyle name="Normal 9 4 2 2 2" xfId="8494" xr:uid="{00000000-0005-0000-0000-0000952A0000}"/>
    <cellStyle name="Normal 9 4 2 3" xfId="4251" xr:uid="{00000000-0005-0000-0000-0000962A0000}"/>
    <cellStyle name="Normal 9 4 2 3 2" xfId="9542" xr:uid="{00000000-0005-0000-0000-0000972A0000}"/>
    <cellStyle name="Normal 9 4 2 4" xfId="5359" xr:uid="{00000000-0005-0000-0000-0000982A0000}"/>
    <cellStyle name="Normal 9 4 2 4 2" xfId="10647" xr:uid="{00000000-0005-0000-0000-0000992A0000}"/>
    <cellStyle name="Normal 9 4 2 5" xfId="7001" xr:uid="{00000000-0005-0000-0000-00009A2A0000}"/>
    <cellStyle name="Normal 9 4 3" xfId="2085" xr:uid="{00000000-0005-0000-0000-00009B2A0000}"/>
    <cellStyle name="Normal 9 4 3 2" xfId="5856" xr:uid="{00000000-0005-0000-0000-00009C2A0000}"/>
    <cellStyle name="Normal 9 4 3 2 2" xfId="11144" xr:uid="{00000000-0005-0000-0000-00009D2A0000}"/>
    <cellStyle name="Normal 9 4 3 3" xfId="7498" xr:uid="{00000000-0005-0000-0000-00009E2A0000}"/>
    <cellStyle name="Normal 9 4 4" xfId="2637" xr:uid="{00000000-0005-0000-0000-00009F2A0000}"/>
    <cellStyle name="Normal 9 4 4 2" xfId="7995" xr:uid="{00000000-0005-0000-0000-0000A02A0000}"/>
    <cellStyle name="Normal 9 4 5" xfId="3751" xr:uid="{00000000-0005-0000-0000-0000A12A0000}"/>
    <cellStyle name="Normal 9 4 5 2" xfId="9043" xr:uid="{00000000-0005-0000-0000-0000A22A0000}"/>
    <cellStyle name="Normal 9 4 6" xfId="5358" xr:uid="{00000000-0005-0000-0000-0000A32A0000}"/>
    <cellStyle name="Normal 9 4 6 2" xfId="10646" xr:uid="{00000000-0005-0000-0000-0000A42A0000}"/>
    <cellStyle name="Normal 9 4 7" xfId="7000" xr:uid="{00000000-0005-0000-0000-0000A52A0000}"/>
    <cellStyle name="Normal 9 5" xfId="1543" xr:uid="{00000000-0005-0000-0000-0000A62A0000}"/>
    <cellStyle name="Normal 9 5 2" xfId="1544" xr:uid="{00000000-0005-0000-0000-0000A72A0000}"/>
    <cellStyle name="Normal 9 5 2 2" xfId="3142" xr:uid="{00000000-0005-0000-0000-0000A82A0000}"/>
    <cellStyle name="Normal 9 5 2 2 2" xfId="8495" xr:uid="{00000000-0005-0000-0000-0000A92A0000}"/>
    <cellStyle name="Normal 9 5 2 3" xfId="4252" xr:uid="{00000000-0005-0000-0000-0000AA2A0000}"/>
    <cellStyle name="Normal 9 5 2 3 2" xfId="9543" xr:uid="{00000000-0005-0000-0000-0000AB2A0000}"/>
    <cellStyle name="Normal 9 5 2 4" xfId="5361" xr:uid="{00000000-0005-0000-0000-0000AC2A0000}"/>
    <cellStyle name="Normal 9 5 2 4 2" xfId="10649" xr:uid="{00000000-0005-0000-0000-0000AD2A0000}"/>
    <cellStyle name="Normal 9 5 2 5" xfId="7003" xr:uid="{00000000-0005-0000-0000-0000AE2A0000}"/>
    <cellStyle name="Normal 9 5 3" xfId="2086" xr:uid="{00000000-0005-0000-0000-0000AF2A0000}"/>
    <cellStyle name="Normal 9 5 3 2" xfId="5857" xr:uid="{00000000-0005-0000-0000-0000B02A0000}"/>
    <cellStyle name="Normal 9 5 3 2 2" xfId="11145" xr:uid="{00000000-0005-0000-0000-0000B12A0000}"/>
    <cellStyle name="Normal 9 5 3 3" xfId="7499" xr:uid="{00000000-0005-0000-0000-0000B22A0000}"/>
    <cellStyle name="Normal 9 5 4" xfId="2638" xr:uid="{00000000-0005-0000-0000-0000B32A0000}"/>
    <cellStyle name="Normal 9 5 4 2" xfId="7996" xr:uid="{00000000-0005-0000-0000-0000B42A0000}"/>
    <cellStyle name="Normal 9 5 5" xfId="3752" xr:uid="{00000000-0005-0000-0000-0000B52A0000}"/>
    <cellStyle name="Normal 9 5 5 2" xfId="9044" xr:uid="{00000000-0005-0000-0000-0000B62A0000}"/>
    <cellStyle name="Normal 9 5 6" xfId="5360" xr:uid="{00000000-0005-0000-0000-0000B72A0000}"/>
    <cellStyle name="Normal 9 5 6 2" xfId="10648" xr:uid="{00000000-0005-0000-0000-0000B82A0000}"/>
    <cellStyle name="Normal 9 5 7" xfId="7002" xr:uid="{00000000-0005-0000-0000-0000B92A0000}"/>
    <cellStyle name="Normal 9 6" xfId="1545" xr:uid="{00000000-0005-0000-0000-0000BA2A0000}"/>
    <cellStyle name="Normal 9 6 2" xfId="3131" xr:uid="{00000000-0005-0000-0000-0000BB2A0000}"/>
    <cellStyle name="Normal 9 6 2 2" xfId="8484" xr:uid="{00000000-0005-0000-0000-0000BC2A0000}"/>
    <cellStyle name="Normal 9 6 3" xfId="4241" xr:uid="{00000000-0005-0000-0000-0000BD2A0000}"/>
    <cellStyle name="Normal 9 6 3 2" xfId="9532" xr:uid="{00000000-0005-0000-0000-0000BE2A0000}"/>
    <cellStyle name="Normal 9 6 4" xfId="5362" xr:uid="{00000000-0005-0000-0000-0000BF2A0000}"/>
    <cellStyle name="Normal 9 6 4 2" xfId="10650" xr:uid="{00000000-0005-0000-0000-0000C02A0000}"/>
    <cellStyle name="Normal 9 6 5" xfId="7004" xr:uid="{00000000-0005-0000-0000-0000C12A0000}"/>
    <cellStyle name="Normal 9 7" xfId="2075" xr:uid="{00000000-0005-0000-0000-0000C22A0000}"/>
    <cellStyle name="Normal 9 7 2" xfId="5846" xr:uid="{00000000-0005-0000-0000-0000C32A0000}"/>
    <cellStyle name="Normal 9 7 2 2" xfId="11134" xr:uid="{00000000-0005-0000-0000-0000C42A0000}"/>
    <cellStyle name="Normal 9 7 3" xfId="7488" xr:uid="{00000000-0005-0000-0000-0000C52A0000}"/>
    <cellStyle name="Normal 9 8" xfId="2627" xr:uid="{00000000-0005-0000-0000-0000C62A0000}"/>
    <cellStyle name="Normal 9 8 2" xfId="5869" xr:uid="{00000000-0005-0000-0000-0000C72A0000}"/>
    <cellStyle name="Normal 9 8 2 2" xfId="11154" xr:uid="{00000000-0005-0000-0000-0000C82A0000}"/>
    <cellStyle name="Normal 9 8 3" xfId="7985" xr:uid="{00000000-0005-0000-0000-0000C92A0000}"/>
    <cellStyle name="Normal 9 9" xfId="3162" xr:uid="{00000000-0005-0000-0000-0000CA2A0000}"/>
    <cellStyle name="Normal 9 9 2" xfId="8506" xr:uid="{00000000-0005-0000-0000-0000CB2A0000}"/>
    <cellStyle name="Normal Cells" xfId="449" xr:uid="{00000000-0005-0000-0000-0000CC2A0000}"/>
    <cellStyle name="Normal_sbcestimate" xfId="501" xr:uid="{00000000-0005-0000-0000-0000CD2A0000}"/>
    <cellStyle name="Note 2" xfId="76" xr:uid="{00000000-0005-0000-0000-0000CE2A0000}"/>
    <cellStyle name="Number" xfId="20" xr:uid="{00000000-0005-0000-0000-0000CF2A0000}"/>
    <cellStyle name="Numbers" xfId="450" xr:uid="{00000000-0005-0000-0000-0000D02A0000}"/>
    <cellStyle name="Numbers - Bold" xfId="451" xr:uid="{00000000-0005-0000-0000-0000D12A0000}"/>
    <cellStyle name="Numbers - Bold - Italic" xfId="452" xr:uid="{00000000-0005-0000-0000-0000D22A0000}"/>
    <cellStyle name="Numbers - Bold_Blend" xfId="453" xr:uid="{00000000-0005-0000-0000-0000D32A0000}"/>
    <cellStyle name="Numbers - Large" xfId="454" xr:uid="{00000000-0005-0000-0000-0000D42A0000}"/>
    <cellStyle name="Numbers Bold" xfId="1546" xr:uid="{00000000-0005-0000-0000-0000D52A0000}"/>
    <cellStyle name="Numbers Bold (0)" xfId="1547" xr:uid="{00000000-0005-0000-0000-0000D62A0000}"/>
    <cellStyle name="Numbers Bold (no point)" xfId="1548" xr:uid="{00000000-0005-0000-0000-0000D72A0000}"/>
    <cellStyle name="Numbers Light" xfId="1549" xr:uid="{00000000-0005-0000-0000-0000D82A0000}"/>
    <cellStyle name="Numbers_Comps" xfId="455" xr:uid="{00000000-0005-0000-0000-0000D92A0000}"/>
    <cellStyle name="OSW_ColumnLabels" xfId="456" xr:uid="{00000000-0005-0000-0000-0000DA2A0000}"/>
    <cellStyle name="Output 2" xfId="77" xr:uid="{00000000-0005-0000-0000-0000DB2A0000}"/>
    <cellStyle name="Output 2 2" xfId="2652" xr:uid="{00000000-0005-0000-0000-0000DC2A0000}"/>
    <cellStyle name="Page" xfId="457" xr:uid="{00000000-0005-0000-0000-0000DD2A0000}"/>
    <cellStyle name="Page Head" xfId="1550" xr:uid="{00000000-0005-0000-0000-0000DE2A0000}"/>
    <cellStyle name="Page header" xfId="458" xr:uid="{00000000-0005-0000-0000-0000DF2A0000}"/>
    <cellStyle name="Page header 2" xfId="2133" xr:uid="{00000000-0005-0000-0000-0000E02A0000}"/>
    <cellStyle name="Percent" xfId="2" builtinId="5"/>
    <cellStyle name="Percent 0.0" xfId="1551" xr:uid="{00000000-0005-0000-0000-0000E22A0000}"/>
    <cellStyle name="Percent 10" xfId="1552" xr:uid="{00000000-0005-0000-0000-0000E32A0000}"/>
    <cellStyle name="Percent 11" xfId="1553" xr:uid="{00000000-0005-0000-0000-0000E42A0000}"/>
    <cellStyle name="Percent 12" xfId="1554" xr:uid="{00000000-0005-0000-0000-0000E52A0000}"/>
    <cellStyle name="Percent 13" xfId="1555" xr:uid="{00000000-0005-0000-0000-0000E62A0000}"/>
    <cellStyle name="Percent 13 2" xfId="1556" xr:uid="{00000000-0005-0000-0000-0000E72A0000}"/>
    <cellStyle name="Percent 13 2 2" xfId="3150" xr:uid="{00000000-0005-0000-0000-0000E82A0000}"/>
    <cellStyle name="Percent 13 2 2 2" xfId="8503" xr:uid="{00000000-0005-0000-0000-0000E92A0000}"/>
    <cellStyle name="Percent 13 2 3" xfId="4260" xr:uid="{00000000-0005-0000-0000-0000EA2A0000}"/>
    <cellStyle name="Percent 13 2 3 2" xfId="9551" xr:uid="{00000000-0005-0000-0000-0000EB2A0000}"/>
    <cellStyle name="Percent 13 2 4" xfId="5364" xr:uid="{00000000-0005-0000-0000-0000EC2A0000}"/>
    <cellStyle name="Percent 13 2 4 2" xfId="10652" xr:uid="{00000000-0005-0000-0000-0000ED2A0000}"/>
    <cellStyle name="Percent 13 2 5" xfId="7006" xr:uid="{00000000-0005-0000-0000-0000EE2A0000}"/>
    <cellStyle name="Percent 13 3" xfId="2648" xr:uid="{00000000-0005-0000-0000-0000EF2A0000}"/>
    <cellStyle name="Percent 13 3 2" xfId="8004" xr:uid="{00000000-0005-0000-0000-0000F02A0000}"/>
    <cellStyle name="Percent 13 4" xfId="3761" xr:uid="{00000000-0005-0000-0000-0000F12A0000}"/>
    <cellStyle name="Percent 13 4 2" xfId="9052" xr:uid="{00000000-0005-0000-0000-0000F22A0000}"/>
    <cellStyle name="Percent 13 5" xfId="5363" xr:uid="{00000000-0005-0000-0000-0000F32A0000}"/>
    <cellStyle name="Percent 13 5 2" xfId="10651" xr:uid="{00000000-0005-0000-0000-0000F42A0000}"/>
    <cellStyle name="Percent 13 6" xfId="7005" xr:uid="{00000000-0005-0000-0000-0000F52A0000}"/>
    <cellStyle name="Percent 14" xfId="1557" xr:uid="{00000000-0005-0000-0000-0000F62A0000}"/>
    <cellStyle name="Percent 14 2" xfId="1558" xr:uid="{00000000-0005-0000-0000-0000F72A0000}"/>
    <cellStyle name="Percent 15" xfId="504" xr:uid="{00000000-0005-0000-0000-0000F82A0000}"/>
    <cellStyle name="Percent 15 2" xfId="1559" xr:uid="{00000000-0005-0000-0000-0000F92A0000}"/>
    <cellStyle name="Percent 15 2 2" xfId="5365" xr:uid="{00000000-0005-0000-0000-0000FA2A0000}"/>
    <cellStyle name="Percent 15 2 2 2" xfId="10653" xr:uid="{00000000-0005-0000-0000-0000FB2A0000}"/>
    <cellStyle name="Percent 15 2 3" xfId="7007" xr:uid="{00000000-0005-0000-0000-0000FC2A0000}"/>
    <cellStyle name="Percent 15 3" xfId="4366" xr:uid="{00000000-0005-0000-0000-0000FD2A0000}"/>
    <cellStyle name="Percent 15 3 2" xfId="9654" xr:uid="{00000000-0005-0000-0000-0000FE2A0000}"/>
    <cellStyle name="Percent 15 4" xfId="6008" xr:uid="{00000000-0005-0000-0000-0000FF2A0000}"/>
    <cellStyle name="Percent 16" xfId="1560" xr:uid="{00000000-0005-0000-0000-0000002B0000}"/>
    <cellStyle name="Percent 16 2" xfId="1561" xr:uid="{00000000-0005-0000-0000-0000012B0000}"/>
    <cellStyle name="Percent 16 2 2" xfId="5367" xr:uid="{00000000-0005-0000-0000-0000022B0000}"/>
    <cellStyle name="Percent 16 2 2 2" xfId="10655" xr:uid="{00000000-0005-0000-0000-0000032B0000}"/>
    <cellStyle name="Percent 16 2 3" xfId="7009" xr:uid="{00000000-0005-0000-0000-0000042B0000}"/>
    <cellStyle name="Percent 16 3" xfId="5366" xr:uid="{00000000-0005-0000-0000-0000052B0000}"/>
    <cellStyle name="Percent 16 3 2" xfId="10654" xr:uid="{00000000-0005-0000-0000-0000062B0000}"/>
    <cellStyle name="Percent 16 4" xfId="7008" xr:uid="{00000000-0005-0000-0000-0000072B0000}"/>
    <cellStyle name="Percent 17" xfId="2116" xr:uid="{00000000-0005-0000-0000-0000082B0000}"/>
    <cellStyle name="Percent 17 2" xfId="5863" xr:uid="{00000000-0005-0000-0000-0000092B0000}"/>
    <cellStyle name="Percent 17 2 2" xfId="11151" xr:uid="{00000000-0005-0000-0000-00000A2B0000}"/>
    <cellStyle name="Percent 17 3" xfId="7505" xr:uid="{00000000-0005-0000-0000-00000B2B0000}"/>
    <cellStyle name="Percent 18" xfId="2121" xr:uid="{00000000-0005-0000-0000-00000C2B0000}"/>
    <cellStyle name="Percent 18 2" xfId="5892" xr:uid="{00000000-0005-0000-0000-00000D2B0000}"/>
    <cellStyle name="Percent 19" xfId="3218" xr:uid="{00000000-0005-0000-0000-00000E2B0000}"/>
    <cellStyle name="Percent 2" xfId="5" xr:uid="{00000000-0005-0000-0000-00000F2B0000}"/>
    <cellStyle name="Percent 2 2" xfId="1562" xr:uid="{00000000-0005-0000-0000-0000102B0000}"/>
    <cellStyle name="Percent 2 2 2" xfId="3204" xr:uid="{00000000-0005-0000-0000-0000112B0000}"/>
    <cellStyle name="Percent 2 3" xfId="1563" xr:uid="{00000000-0005-0000-0000-0000122B0000}"/>
    <cellStyle name="Percent 2 3 2" xfId="3205" xr:uid="{00000000-0005-0000-0000-0000132B0000}"/>
    <cellStyle name="Percent 2 3 2 2" xfId="5887" xr:uid="{00000000-0005-0000-0000-0000142B0000}"/>
    <cellStyle name="Percent 2 3 2 2 2" xfId="11161" xr:uid="{00000000-0005-0000-0000-0000152B0000}"/>
    <cellStyle name="Percent 2 3 2 3" xfId="8513" xr:uid="{00000000-0005-0000-0000-0000162B0000}"/>
    <cellStyle name="Percent 2 3 3" xfId="3233" xr:uid="{00000000-0005-0000-0000-0000172B0000}"/>
    <cellStyle name="Percent 2 3 3 2" xfId="8530" xr:uid="{00000000-0005-0000-0000-0000182B0000}"/>
    <cellStyle name="Percent 2 3 4" xfId="3251" xr:uid="{00000000-0005-0000-0000-0000192B0000}"/>
    <cellStyle name="Percent 2 3 4 2" xfId="8547" xr:uid="{00000000-0005-0000-0000-00001A2B0000}"/>
    <cellStyle name="Percent 2 4" xfId="2124" xr:uid="{00000000-0005-0000-0000-00001B2B0000}"/>
    <cellStyle name="Percent 2 4 2" xfId="3203" xr:uid="{00000000-0005-0000-0000-00001C2B0000}"/>
    <cellStyle name="Percent 2 4 2 2" xfId="8512" xr:uid="{00000000-0005-0000-0000-00001D2B0000}"/>
    <cellStyle name="Percent 2 4 3" xfId="3232" xr:uid="{00000000-0005-0000-0000-00001E2B0000}"/>
    <cellStyle name="Percent 2 4 3 2" xfId="8529" xr:uid="{00000000-0005-0000-0000-00001F2B0000}"/>
    <cellStyle name="Percent 2 4 4" xfId="3250" xr:uid="{00000000-0005-0000-0000-0000202B0000}"/>
    <cellStyle name="Percent 2 4 4 2" xfId="8546" xr:uid="{00000000-0005-0000-0000-0000212B0000}"/>
    <cellStyle name="Percent 2 4 5" xfId="5886" xr:uid="{00000000-0005-0000-0000-0000222B0000}"/>
    <cellStyle name="Percent 2 4 5 2" xfId="11160" xr:uid="{00000000-0005-0000-0000-0000232B0000}"/>
    <cellStyle name="Percent 2 5" xfId="3157" xr:uid="{00000000-0005-0000-0000-0000242B0000}"/>
    <cellStyle name="Percent 20" xfId="3238" xr:uid="{00000000-0005-0000-0000-0000252B0000}"/>
    <cellStyle name="Percent 21" xfId="3256" xr:uid="{00000000-0005-0000-0000-0000262B0000}"/>
    <cellStyle name="Percent 22" xfId="3261" xr:uid="{00000000-0005-0000-0000-0000272B0000}"/>
    <cellStyle name="Percent 23" xfId="4264" xr:uid="{00000000-0005-0000-0000-0000282B0000}"/>
    <cellStyle name="Percent 24" xfId="5900" xr:uid="{00000000-0005-0000-0000-0000292B0000}"/>
    <cellStyle name="Percent 25" xfId="5907" xr:uid="{00000000-0005-0000-0000-00002A2B0000}"/>
    <cellStyle name="Percent 26" xfId="6001" xr:uid="{00000000-0005-0000-0000-00002B2B0000}"/>
    <cellStyle name="Percent 3" xfId="21" xr:uid="{00000000-0005-0000-0000-00002C2B0000}"/>
    <cellStyle name="Percent 3 2" xfId="2087" xr:uid="{00000000-0005-0000-0000-00002D2B0000}"/>
    <cellStyle name="Percent 3 2 2" xfId="3206" xr:uid="{00000000-0005-0000-0000-00002E2B0000}"/>
    <cellStyle name="Percent 3 3" xfId="3159" xr:uid="{00000000-0005-0000-0000-00002F2B0000}"/>
    <cellStyle name="Percent 4" xfId="78" xr:uid="{00000000-0005-0000-0000-0000302B0000}"/>
    <cellStyle name="Percent 4 2" xfId="1564" xr:uid="{00000000-0005-0000-0000-0000312B0000}"/>
    <cellStyle name="Percent 4 2 2" xfId="3208" xr:uid="{00000000-0005-0000-0000-0000322B0000}"/>
    <cellStyle name="Percent 4 3" xfId="3209" xr:uid="{00000000-0005-0000-0000-0000332B0000}"/>
    <cellStyle name="Percent 4 3 2" xfId="3234" xr:uid="{00000000-0005-0000-0000-0000342B0000}"/>
    <cellStyle name="Percent 4 3 2 2" xfId="8531" xr:uid="{00000000-0005-0000-0000-0000352B0000}"/>
    <cellStyle name="Percent 4 3 3" xfId="3252" xr:uid="{00000000-0005-0000-0000-0000362B0000}"/>
    <cellStyle name="Percent 4 3 3 2" xfId="8548" xr:uid="{00000000-0005-0000-0000-0000372B0000}"/>
    <cellStyle name="Percent 4 3 4" xfId="5888" xr:uid="{00000000-0005-0000-0000-0000382B0000}"/>
    <cellStyle name="Percent 4 3 4 2" xfId="11162" xr:uid="{00000000-0005-0000-0000-0000392B0000}"/>
    <cellStyle name="Percent 4 3 5" xfId="8514" xr:uid="{00000000-0005-0000-0000-00003A2B0000}"/>
    <cellStyle name="Percent 4 4" xfId="3207" xr:uid="{00000000-0005-0000-0000-00003B2B0000}"/>
    <cellStyle name="Percent 5" xfId="499" xr:uid="{00000000-0005-0000-0000-00003C2B0000}"/>
    <cellStyle name="Percent 5 2" xfId="2089" xr:uid="{00000000-0005-0000-0000-00003D2B0000}"/>
    <cellStyle name="Percent 5 3" xfId="3160" xr:uid="{00000000-0005-0000-0000-00003E2B0000}"/>
    <cellStyle name="Percent 5 4" xfId="4363" xr:uid="{00000000-0005-0000-0000-00003F2B0000}"/>
    <cellStyle name="Percent 5 4 2" xfId="9651" xr:uid="{00000000-0005-0000-0000-0000402B0000}"/>
    <cellStyle name="Percent 5 5" xfId="6005" xr:uid="{00000000-0005-0000-0000-0000412B0000}"/>
    <cellStyle name="Percent 6" xfId="503" xr:uid="{00000000-0005-0000-0000-0000422B0000}"/>
    <cellStyle name="Percent 6 2" xfId="2091" xr:uid="{00000000-0005-0000-0000-0000432B0000}"/>
    <cellStyle name="Percent 6 3" xfId="3210" xr:uid="{00000000-0005-0000-0000-0000442B0000}"/>
    <cellStyle name="Percent 7" xfId="1565" xr:uid="{00000000-0005-0000-0000-0000452B0000}"/>
    <cellStyle name="Percent 7 2" xfId="3211" xr:uid="{00000000-0005-0000-0000-0000462B0000}"/>
    <cellStyle name="Percent 8" xfId="1566" xr:uid="{00000000-0005-0000-0000-0000472B0000}"/>
    <cellStyle name="Percent 9" xfId="1567" xr:uid="{00000000-0005-0000-0000-0000482B0000}"/>
    <cellStyle name="percent1" xfId="1568" xr:uid="{00000000-0005-0000-0000-0000492B0000}"/>
    <cellStyle name="percent2" xfId="1569" xr:uid="{00000000-0005-0000-0000-00004A2B0000}"/>
    <cellStyle name="Percentage" xfId="459" xr:uid="{00000000-0005-0000-0000-00004B2B0000}"/>
    <cellStyle name="PlainDollar" xfId="22" xr:uid="{00000000-0005-0000-0000-00004C2B0000}"/>
    <cellStyle name="Price" xfId="460" xr:uid="{00000000-0005-0000-0000-00004D2B0000}"/>
    <cellStyle name="Price 2" xfId="2134" xr:uid="{00000000-0005-0000-0000-00004E2B0000}"/>
    <cellStyle name="prot" xfId="461" xr:uid="{00000000-0005-0000-0000-00004F2B0000}"/>
    <cellStyle name="Punto" xfId="462" xr:uid="{00000000-0005-0000-0000-0000502B0000}"/>
    <cellStyle name="r" xfId="463" xr:uid="{00000000-0005-0000-0000-0000512B0000}"/>
    <cellStyle name="Reuters Cells" xfId="464" xr:uid="{00000000-0005-0000-0000-0000522B0000}"/>
    <cellStyle name="s" xfId="465" xr:uid="{00000000-0005-0000-0000-0000532B0000}"/>
    <cellStyle name="ShadedCells_Database" xfId="466" xr:uid="{00000000-0005-0000-0000-0000542B0000}"/>
    <cellStyle name="Sheet Title" xfId="467" xr:uid="{00000000-0005-0000-0000-0000552B0000}"/>
    <cellStyle name="ShOut" xfId="468" xr:uid="{00000000-0005-0000-0000-0000562B0000}"/>
    <cellStyle name="SSComma0" xfId="23" xr:uid="{00000000-0005-0000-0000-0000572B0000}"/>
    <cellStyle name="SSComma0 2" xfId="24" xr:uid="{00000000-0005-0000-0000-0000582B0000}"/>
    <cellStyle name="SSComma2" xfId="25" xr:uid="{00000000-0005-0000-0000-0000592B0000}"/>
    <cellStyle name="SSComma2 2" xfId="26" xr:uid="{00000000-0005-0000-0000-00005A2B0000}"/>
    <cellStyle name="SSDecs3" xfId="27" xr:uid="{00000000-0005-0000-0000-00005B2B0000}"/>
    <cellStyle name="SSDecs3 2" xfId="1570" xr:uid="{00000000-0005-0000-0000-00005C2B0000}"/>
    <cellStyle name="SSDflt" xfId="28" xr:uid="{00000000-0005-0000-0000-00005D2B0000}"/>
    <cellStyle name="SSDflt 2" xfId="1571" xr:uid="{00000000-0005-0000-0000-00005E2B0000}"/>
    <cellStyle name="SSDfltPct" xfId="29" xr:uid="{00000000-0005-0000-0000-00005F2B0000}"/>
    <cellStyle name="SSDfltPct 2" xfId="30" xr:uid="{00000000-0005-0000-0000-0000602B0000}"/>
    <cellStyle name="SSDfltPct0" xfId="31" xr:uid="{00000000-0005-0000-0000-0000612B0000}"/>
    <cellStyle name="SSDfltPct0 2" xfId="32" xr:uid="{00000000-0005-0000-0000-0000622B0000}"/>
    <cellStyle name="SSFixed2" xfId="33" xr:uid="{00000000-0005-0000-0000-0000632B0000}"/>
    <cellStyle name="SSFixed2 2" xfId="34" xr:uid="{00000000-0005-0000-0000-0000642B0000}"/>
    <cellStyle name="Style 1" xfId="469" xr:uid="{00000000-0005-0000-0000-0000652B0000}"/>
    <cellStyle name="Style 2" xfId="470" xr:uid="{00000000-0005-0000-0000-0000662B0000}"/>
    <cellStyle name="Style 3" xfId="471" xr:uid="{00000000-0005-0000-0000-0000672B0000}"/>
    <cellStyle name="Style D green" xfId="472" xr:uid="{00000000-0005-0000-0000-0000682B0000}"/>
    <cellStyle name="Style D green 2" xfId="2135" xr:uid="{00000000-0005-0000-0000-0000692B0000}"/>
    <cellStyle name="Style E" xfId="473" xr:uid="{00000000-0005-0000-0000-00006A2B0000}"/>
    <cellStyle name="Style E 2" xfId="2136" xr:uid="{00000000-0005-0000-0000-00006B2B0000}"/>
    <cellStyle name="Style H" xfId="474" xr:uid="{00000000-0005-0000-0000-00006C2B0000}"/>
    <cellStyle name="Style H 2" xfId="2137" xr:uid="{00000000-0005-0000-0000-00006D2B0000}"/>
    <cellStyle name="style1" xfId="1572" xr:uid="{00000000-0005-0000-0000-00006E2B0000}"/>
    <cellStyle name="style10" xfId="1573" xr:uid="{00000000-0005-0000-0000-00006F2B0000}"/>
    <cellStyle name="style2" xfId="1574" xr:uid="{00000000-0005-0000-0000-0000702B0000}"/>
    <cellStyle name="style21" xfId="1575" xr:uid="{00000000-0005-0000-0000-0000712B0000}"/>
    <cellStyle name="style3" xfId="1576" xr:uid="{00000000-0005-0000-0000-0000722B0000}"/>
    <cellStyle name="style4" xfId="1577" xr:uid="{00000000-0005-0000-0000-0000732B0000}"/>
    <cellStyle name="style5" xfId="1578" xr:uid="{00000000-0005-0000-0000-0000742B0000}"/>
    <cellStyle name="style6" xfId="1579" xr:uid="{00000000-0005-0000-0000-0000752B0000}"/>
    <cellStyle name="style6 2" xfId="2138" xr:uid="{00000000-0005-0000-0000-0000762B0000}"/>
    <cellStyle name="style7" xfId="1580" xr:uid="{00000000-0005-0000-0000-0000772B0000}"/>
    <cellStyle name="style8" xfId="1581" xr:uid="{00000000-0005-0000-0000-0000782B0000}"/>
    <cellStyle name="style9" xfId="1582" xr:uid="{00000000-0005-0000-0000-0000792B0000}"/>
    <cellStyle name="Sub total" xfId="475" xr:uid="{00000000-0005-0000-0000-00007A2B0000}"/>
    <cellStyle name="Sub total 2" xfId="2139" xr:uid="{00000000-0005-0000-0000-00007B2B0000}"/>
    <cellStyle name="subtotals" xfId="1583" xr:uid="{00000000-0005-0000-0000-00007C2B0000}"/>
    <cellStyle name="Sum" xfId="476" xr:uid="{00000000-0005-0000-0000-00007D2B0000}"/>
    <cellStyle name="Swiss" xfId="477" xr:uid="{00000000-0005-0000-0000-00007E2B0000}"/>
    <cellStyle name="t" xfId="478" xr:uid="{00000000-0005-0000-0000-00007F2B0000}"/>
    <cellStyle name="Table end" xfId="479" xr:uid="{00000000-0005-0000-0000-0000802B0000}"/>
    <cellStyle name="Table end 2" xfId="2140" xr:uid="{00000000-0005-0000-0000-0000812B0000}"/>
    <cellStyle name="Table head" xfId="480" xr:uid="{00000000-0005-0000-0000-0000822B0000}"/>
    <cellStyle name="Table head 2" xfId="2141" xr:uid="{00000000-0005-0000-0000-0000832B0000}"/>
    <cellStyle name="table text bold" xfId="481" xr:uid="{00000000-0005-0000-0000-0000842B0000}"/>
    <cellStyle name="table text bold 2" xfId="2142" xr:uid="{00000000-0005-0000-0000-0000852B0000}"/>
    <cellStyle name="table text bold green" xfId="482" xr:uid="{00000000-0005-0000-0000-0000862B0000}"/>
    <cellStyle name="table text bold green 2" xfId="2143" xr:uid="{00000000-0005-0000-0000-0000872B0000}"/>
    <cellStyle name="table text bold_wplmod" xfId="1584" xr:uid="{00000000-0005-0000-0000-0000882B0000}"/>
    <cellStyle name="table text light" xfId="483" xr:uid="{00000000-0005-0000-0000-0000892B0000}"/>
    <cellStyle name="table text light 2" xfId="2144" xr:uid="{00000000-0005-0000-0000-00008A2B0000}"/>
    <cellStyle name="Table Title" xfId="484" xr:uid="{00000000-0005-0000-0000-00008B2B0000}"/>
    <cellStyle name="Table Units" xfId="485" xr:uid="{00000000-0005-0000-0000-00008C2B0000}"/>
    <cellStyle name="Text Bold" xfId="1585" xr:uid="{00000000-0005-0000-0000-00008D2B0000}"/>
    <cellStyle name="Text Light" xfId="1586" xr:uid="{00000000-0005-0000-0000-00008E2B0000}"/>
    <cellStyle name="Thick Rule" xfId="1587" xr:uid="{00000000-0005-0000-0000-00008F2B0000}"/>
    <cellStyle name="Thin Rule" xfId="1588" xr:uid="{00000000-0005-0000-0000-0000902B0000}"/>
    <cellStyle name="Time" xfId="486" xr:uid="{00000000-0005-0000-0000-0000912B0000}"/>
    <cellStyle name="Title - PROJECT" xfId="487" xr:uid="{00000000-0005-0000-0000-0000922B0000}"/>
    <cellStyle name="Title - Underline" xfId="488" xr:uid="{00000000-0005-0000-0000-0000932B0000}"/>
    <cellStyle name="Title 2" xfId="79" xr:uid="{00000000-0005-0000-0000-0000942B0000}"/>
    <cellStyle name="Title 3" xfId="2122" xr:uid="{00000000-0005-0000-0000-0000952B0000}"/>
    <cellStyle name="Title 4" xfId="3262" xr:uid="{00000000-0005-0000-0000-0000962B0000}"/>
    <cellStyle name="Title1" xfId="489" xr:uid="{00000000-0005-0000-0000-0000972B0000}"/>
    <cellStyle name="Title2" xfId="490" xr:uid="{00000000-0005-0000-0000-0000982B0000}"/>
    <cellStyle name="Titles - Col. Headings" xfId="491" xr:uid="{00000000-0005-0000-0000-0000992B0000}"/>
    <cellStyle name="Titles - Other" xfId="492" xr:uid="{00000000-0005-0000-0000-00009A2B0000}"/>
    <cellStyle name="Total 2" xfId="35" xr:uid="{00000000-0005-0000-0000-00009B2B0000}"/>
    <cellStyle name="UnderLine" xfId="36" xr:uid="{00000000-0005-0000-0000-00009C2B0000}"/>
    <cellStyle name="UnitValuation" xfId="1589" xr:uid="{00000000-0005-0000-0000-00009D2B0000}"/>
    <cellStyle name="unm" xfId="493" xr:uid="{00000000-0005-0000-0000-00009E2B0000}"/>
    <cellStyle name="Warning Text 2" xfId="80" xr:uid="{00000000-0005-0000-0000-00009F2B0000}"/>
    <cellStyle name="Year" xfId="494" xr:uid="{00000000-0005-0000-0000-0000A02B0000}"/>
    <cellStyle name="Year 2" xfId="2145" xr:uid="{00000000-0005-0000-0000-0000A12B0000}"/>
    <cellStyle name="Years" xfId="495" xr:uid="{00000000-0005-0000-0000-0000A22B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E76AA"/>
      <rgbColor rgb="00CFD6E6"/>
      <rgbColor rgb="009EADCC"/>
      <rgbColor rgb="00EFF1F6"/>
      <rgbColor rgb="00BFC8DD"/>
      <rgbColor rgb="008E9FC4"/>
      <rgbColor rgb="00DFE4EE"/>
      <rgbColor rgb="00AEBAD5"/>
      <rgbColor rgb="00000000"/>
      <rgbColor rgb="00AAAAAA"/>
      <rgbColor rgb="00444444"/>
      <rgbColor rgb="00CCCCCC"/>
      <rgbColor rgb="00888888"/>
      <rgbColor rgb="00666666"/>
      <rgbColor rgb="00EEEEEE"/>
      <rgbColor rgb="0022222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4F5FA"/>
      <color rgb="FF0E03ED"/>
      <color rgb="FFFF6600"/>
      <color rgb="FFFF99CC"/>
      <color rgb="FF5E76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19051</xdr:colOff>
      <xdr:row>3</xdr:row>
      <xdr:rowOff>114301</xdr:rowOff>
    </xdr:from>
    <xdr:to>
      <xdr:col>1</xdr:col>
      <xdr:colOff>1466850</xdr:colOff>
      <xdr:row>12</xdr:row>
      <xdr:rowOff>104775</xdr:rowOff>
    </xdr:to>
    <xdr:pic>
      <xdr:nvPicPr>
        <xdr:cNvPr id="2" name="Picture 1" descr="BREAKING: Goldman Sachs Looking Into Their Own 'Fiat Digital Tok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1" y="600076"/>
          <a:ext cx="1447799" cy="14477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93</xdr:col>
      <xdr:colOff>0</xdr:colOff>
      <xdr:row>473</xdr:row>
      <xdr:rowOff>0</xdr:rowOff>
    </xdr:from>
    <xdr:to>
      <xdr:col>103</xdr:col>
      <xdr:colOff>94876</xdr:colOff>
      <xdr:row>490</xdr:row>
      <xdr:rowOff>63326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36611719" y="50567545"/>
          <a:ext cx="7068536" cy="2810267"/>
        </a:xfrm>
        <a:prstGeom prst="rect">
          <a:avLst/>
        </a:prstGeom>
      </xdr:spPr>
    </xdr:pic>
    <xdr:clientData/>
  </xdr:twoCellAnchor>
  <xdr:twoCellAnchor editAs="oneCell">
    <xdr:from>
      <xdr:col>93</xdr:col>
      <xdr:colOff>0</xdr:colOff>
      <xdr:row>473</xdr:row>
      <xdr:rowOff>0</xdr:rowOff>
    </xdr:from>
    <xdr:to>
      <xdr:col>103</xdr:col>
      <xdr:colOff>94876</xdr:colOff>
      <xdr:row>490</xdr:row>
      <xdr:rowOff>63326</xdr:rowOff>
    </xdr:to>
    <xdr:pic>
      <xdr:nvPicPr>
        <xdr:cNvPr id="2" name="Picture 1">
          <a:extLst>
            <a:ext uri="{FF2B5EF4-FFF2-40B4-BE49-F238E27FC236}">
              <a16:creationId xmlns:a16="http://schemas.microsoft.com/office/drawing/2014/main" id="{5A39F026-DC82-4A9E-A4D7-BAF444B46B4A}"/>
            </a:ext>
          </a:extLst>
        </xdr:cNvPr>
        <xdr:cNvPicPr>
          <a:picLocks noChangeAspect="1"/>
        </xdr:cNvPicPr>
      </xdr:nvPicPr>
      <xdr:blipFill>
        <a:blip xmlns:r="http://schemas.openxmlformats.org/officeDocument/2006/relationships" r:embed="rId1"/>
        <a:stretch>
          <a:fillRect/>
        </a:stretch>
      </xdr:blipFill>
      <xdr:spPr>
        <a:xfrm>
          <a:off x="43929300" y="56835675"/>
          <a:ext cx="7048126" cy="2816051"/>
        </a:xfrm>
        <a:prstGeom prst="rect">
          <a:avLst/>
        </a:prstGeom>
      </xdr:spPr>
    </xdr:pic>
    <xdr:clientData/>
  </xdr:twoCellAnchor>
</xdr:wsDr>
</file>

<file path=xl/theme/theme1.xml><?xml version="1.0" encoding="utf-8"?>
<a:theme xmlns:a="http://schemas.openxmlformats.org/drawingml/2006/main" name="GIR Product">
  <a:themeElements>
    <a:clrScheme name="Equity">
      <a:dk1>
        <a:sysClr val="windowText" lastClr="000000"/>
      </a:dk1>
      <a:lt1>
        <a:sysClr val="window" lastClr="FFFFFF"/>
      </a:lt1>
      <a:dk2>
        <a:srgbClr val="AEBAD5"/>
      </a:dk2>
      <a:lt2>
        <a:srgbClr val="DFE4EE"/>
      </a:lt2>
      <a:accent1>
        <a:srgbClr val="5E76AA"/>
      </a:accent1>
      <a:accent2>
        <a:srgbClr val="CFD6E6"/>
      </a:accent2>
      <a:accent3>
        <a:srgbClr val="9EADCC"/>
      </a:accent3>
      <a:accent4>
        <a:srgbClr val="EFF1F6"/>
      </a:accent4>
      <a:accent5>
        <a:srgbClr val="BFC8DD"/>
      </a:accent5>
      <a:accent6>
        <a:srgbClr val="8E9FC4"/>
      </a:accent6>
      <a:hlink>
        <a:srgbClr val="0000FF"/>
      </a:hlink>
      <a:folHlink>
        <a:srgbClr val="800080"/>
      </a:folHlink>
    </a:clrScheme>
    <a:fontScheme name="GIR Product">
      <a:majorFont>
        <a:latin typeface="Univers LT Std 65 Bold"/>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Jpan" typeface="MS Gothic"/>
      </a:majorFont>
      <a:minorFont>
        <a:latin typeface="Univers LT Std 55"/>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GIR Product">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AEA8B8C-9DFE-42ED-BB46-1A65127B878F}">
  <we:reference id="49825c50-e8d8-4c4a-9a2c-e6f24181e018"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1.bin"/><Relationship Id="rId1" Type="http://schemas.openxmlformats.org/officeDocument/2006/relationships/hyperlink" Target="mailto:julian.braganza@gs.com" TargetMode="Externa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4" Type="http://schemas.openxmlformats.org/officeDocument/2006/relationships/customProperty" Target="../customProperty5.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7.bin"/><Relationship Id="rId7" Type="http://schemas.openxmlformats.org/officeDocument/2006/relationships/comments" Target="../comments2.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customProperty" Target="../customProperty8.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9.bin"/><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AC53D-73CE-4DD1-9068-6C5335894ACE}">
  <dimension ref="A1:B1"/>
  <sheetViews>
    <sheetView workbookViewId="0"/>
  </sheetViews>
  <sheetFormatPr defaultRowHeight="12.75"/>
  <sheetData>
    <row r="1" spans="1:2">
      <c r="B1" t="s">
        <v>260</v>
      </c>
    </row>
  </sheetData>
  <pageMargins left="0.7" right="0.7" top="0.75" bottom="0.75" header="0.3" footer="0.3"/>
  <customProperties>
    <customPr name="Qube.Worksheet.Visibility" r:id="rId1"/>
  </customPropertie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4:J29"/>
  <sheetViews>
    <sheetView showGridLines="0" tabSelected="1" zoomScaleNormal="100" workbookViewId="0"/>
  </sheetViews>
  <sheetFormatPr defaultColWidth="9" defaultRowHeight="12.75"/>
  <cols>
    <col min="1" max="1" width="9" style="5"/>
    <col min="2" max="2" width="36.625" style="5" customWidth="1"/>
    <col min="3" max="16384" width="9" style="5"/>
  </cols>
  <sheetData>
    <row r="4" spans="2:2" s="1" customFormat="1"/>
    <row r="5" spans="2:2" s="1" customFormat="1"/>
    <row r="6" spans="2:2" s="1" customFormat="1"/>
    <row r="7" spans="2:2" s="1" customFormat="1"/>
    <row r="8" spans="2:2" s="1" customFormat="1"/>
    <row r="9" spans="2:2" s="1" customFormat="1"/>
    <row r="10" spans="2:2" s="1" customFormat="1"/>
    <row r="11" spans="2:2" s="1" customFormat="1"/>
    <row r="12" spans="2:2" s="1" customFormat="1"/>
    <row r="13" spans="2:2" s="1" customFormat="1"/>
    <row r="14" spans="2:2" s="1" customFormat="1"/>
    <row r="15" spans="2:2" s="1" customFormat="1" ht="20.25">
      <c r="B15" s="2" t="s">
        <v>343</v>
      </c>
    </row>
    <row r="16" spans="2:2" s="1" customFormat="1"/>
    <row r="17" spans="2:10" s="4" customFormat="1" ht="15">
      <c r="B17" s="3" t="s">
        <v>598</v>
      </c>
    </row>
    <row r="19" spans="2:10">
      <c r="J19" s="6"/>
    </row>
    <row r="20" spans="2:10">
      <c r="B20" s="7" t="s">
        <v>594</v>
      </c>
    </row>
    <row r="21" spans="2:10">
      <c r="B21" s="5" t="s">
        <v>595</v>
      </c>
    </row>
    <row r="22" spans="2:10">
      <c r="B22" s="8" t="s">
        <v>596</v>
      </c>
    </row>
    <row r="23" spans="2:10">
      <c r="B23" s="412" t="s">
        <v>597</v>
      </c>
    </row>
    <row r="26" spans="2:10">
      <c r="B26" s="7"/>
    </row>
    <row r="28" spans="2:10">
      <c r="B28" s="8"/>
    </row>
    <row r="29" spans="2:10">
      <c r="B29" s="9"/>
    </row>
  </sheetData>
  <hyperlinks>
    <hyperlink ref="B23" r:id="rId1" xr:uid="{C22E401F-A049-4224-A1E3-72EB5ACD166B}"/>
  </hyperlinks>
  <pageMargins left="0.7" right="0.7" top="0.75" bottom="0.75" header="0.3" footer="0.3"/>
  <pageSetup paperSize="9" orientation="portrait" horizontalDpi="300" verticalDpi="300" r:id="rId2"/>
  <customProperties>
    <customPr name="Qube.Worksheet.Visibility" r:id="rId3"/>
  </customPropertie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K87"/>
  <sheetViews>
    <sheetView showGridLines="0" zoomScale="115" zoomScaleNormal="115" workbookViewId="0">
      <pane ySplit="11" topLeftCell="A12" activePane="bottomLeft" state="frozen"/>
      <selection activeCell="M7" sqref="M7"/>
      <selection pane="bottomLeft" activeCell="A12" sqref="A12"/>
    </sheetView>
  </sheetViews>
  <sheetFormatPr defaultColWidth="10.75" defaultRowHeight="12.75" outlineLevelRow="1" outlineLevelCol="1"/>
  <cols>
    <col min="1" max="1" width="2.75" style="10" customWidth="1"/>
    <col min="2" max="2" width="29.625" style="23" customWidth="1"/>
    <col min="3" max="5" width="10.125" style="23" customWidth="1"/>
    <col min="6" max="6" width="10.125" style="23" customWidth="1" outlineLevel="1"/>
    <col min="7" max="10" width="10.125" style="23" customWidth="1"/>
    <col min="11" max="13" width="9.875" style="23" customWidth="1"/>
    <col min="14" max="16384" width="10.75" style="23"/>
  </cols>
  <sheetData>
    <row r="1" spans="1:10" hidden="1" outlineLevel="1">
      <c r="C1" s="23" t="s">
        <v>539</v>
      </c>
    </row>
    <row r="2" spans="1:10" hidden="1" outlineLevel="1">
      <c r="A2" s="10" t="s">
        <v>76</v>
      </c>
      <c r="B2" s="143" t="s">
        <v>20</v>
      </c>
      <c r="C2" s="144" t="s">
        <v>320</v>
      </c>
      <c r="D2" s="145"/>
      <c r="E2" s="145" t="s">
        <v>21</v>
      </c>
      <c r="F2" s="145"/>
      <c r="G2" s="146">
        <v>46415</v>
      </c>
      <c r="J2" s="84"/>
    </row>
    <row r="3" spans="1:10" hidden="1" outlineLevel="1">
      <c r="B3" s="147" t="s">
        <v>22</v>
      </c>
      <c r="C3" s="148" t="s">
        <v>647</v>
      </c>
      <c r="D3" s="149"/>
      <c r="E3" s="149" t="s">
        <v>9</v>
      </c>
      <c r="F3" s="149"/>
      <c r="G3" s="406" t="s">
        <v>605</v>
      </c>
    </row>
    <row r="4" spans="1:10" hidden="1" outlineLevel="1">
      <c r="A4" s="10" t="s">
        <v>77</v>
      </c>
      <c r="B4" s="147" t="s">
        <v>10</v>
      </c>
      <c r="C4" s="148" t="s">
        <v>588</v>
      </c>
      <c r="D4" s="149"/>
      <c r="E4" s="149" t="s">
        <v>11</v>
      </c>
      <c r="F4" s="149"/>
      <c r="G4" s="150">
        <v>2.5000000000000001E-2</v>
      </c>
    </row>
    <row r="5" spans="1:10" hidden="1" outlineLevel="1">
      <c r="A5" s="10" t="s">
        <v>78</v>
      </c>
      <c r="B5" s="147" t="s">
        <v>1</v>
      </c>
      <c r="C5" s="407">
        <v>31.91</v>
      </c>
      <c r="D5" s="149"/>
      <c r="E5" s="149" t="s">
        <v>2</v>
      </c>
      <c r="F5" s="149"/>
      <c r="G5" s="150">
        <v>3.5000000000000003E-2</v>
      </c>
      <c r="H5" s="57"/>
      <c r="J5" s="151"/>
    </row>
    <row r="6" spans="1:10" hidden="1" outlineLevel="1">
      <c r="A6" s="10" t="s">
        <v>79</v>
      </c>
      <c r="B6" s="147" t="s">
        <v>19</v>
      </c>
      <c r="C6" s="544">
        <v>3720.3052082691302</v>
      </c>
      <c r="D6" s="149"/>
      <c r="E6" s="149" t="s">
        <v>12</v>
      </c>
      <c r="F6" s="149"/>
      <c r="G6" s="150">
        <v>0.06</v>
      </c>
      <c r="H6" s="57"/>
      <c r="J6" s="152"/>
    </row>
    <row r="7" spans="1:10" hidden="1" outlineLevel="1">
      <c r="A7" s="10" t="s">
        <v>80</v>
      </c>
      <c r="B7" s="147" t="s">
        <v>75</v>
      </c>
      <c r="C7" s="153" t="s">
        <v>74</v>
      </c>
      <c r="D7" s="149"/>
      <c r="E7" s="149" t="s">
        <v>13</v>
      </c>
      <c r="F7" s="149"/>
      <c r="G7" s="154">
        <v>1</v>
      </c>
    </row>
    <row r="8" spans="1:10" hidden="1" outlineLevel="1">
      <c r="B8" s="147" t="s">
        <v>14</v>
      </c>
      <c r="C8" s="155">
        <v>46050</v>
      </c>
      <c r="D8" s="149"/>
      <c r="E8" s="149" t="s">
        <v>454</v>
      </c>
      <c r="F8" s="149"/>
      <c r="G8" s="545">
        <v>9.5000000000000001E-2</v>
      </c>
    </row>
    <row r="9" spans="1:10" hidden="1" outlineLevel="1">
      <c r="B9" s="147" t="s">
        <v>15</v>
      </c>
      <c r="C9" s="155">
        <v>45838</v>
      </c>
      <c r="D9" s="149"/>
      <c r="E9" s="149" t="s">
        <v>650</v>
      </c>
      <c r="F9" s="149"/>
      <c r="G9" s="156">
        <v>38.451607845371157</v>
      </c>
      <c r="J9" s="22"/>
    </row>
    <row r="10" spans="1:10" hidden="1" outlineLevel="1">
      <c r="B10" s="157" t="s">
        <v>16</v>
      </c>
      <c r="C10" s="158">
        <v>46203</v>
      </c>
      <c r="D10" s="159"/>
      <c r="E10" s="159" t="s">
        <v>651</v>
      </c>
      <c r="F10" s="160"/>
      <c r="G10" s="161">
        <v>37</v>
      </c>
      <c r="J10" s="22"/>
    </row>
    <row r="11" spans="1:10" hidden="1" outlineLevel="1">
      <c r="C11" s="82"/>
      <c r="G11" s="162"/>
    </row>
    <row r="12" spans="1:10" s="28" customFormat="1" collapsed="1">
      <c r="A12" s="10"/>
      <c r="B12" s="11" t="s">
        <v>52</v>
      </c>
      <c r="C12" s="163"/>
      <c r="D12" s="163"/>
      <c r="E12" s="163"/>
      <c r="F12" s="163"/>
      <c r="G12" s="163"/>
      <c r="H12" s="163"/>
      <c r="I12" s="163"/>
      <c r="J12" s="163"/>
    </row>
    <row r="13" spans="1:10" s="28" customFormat="1" ht="13.5" thickBot="1">
      <c r="A13" s="10"/>
      <c r="B13" s="40"/>
      <c r="C13" s="102"/>
      <c r="D13" s="165"/>
      <c r="E13" s="139"/>
      <c r="F13" s="139"/>
      <c r="G13" s="165"/>
      <c r="H13" s="139"/>
      <c r="I13" s="139"/>
      <c r="J13" s="165"/>
    </row>
    <row r="14" spans="1:10" s="28" customFormat="1" ht="27.75" customHeight="1" thickBot="1">
      <c r="A14" s="371"/>
      <c r="B14" s="372"/>
      <c r="C14" s="373" t="s">
        <v>568</v>
      </c>
      <c r="D14" s="404" t="s">
        <v>599</v>
      </c>
      <c r="E14" s="404" t="s">
        <v>599</v>
      </c>
      <c r="F14" s="404" t="s">
        <v>599</v>
      </c>
      <c r="G14" s="404" t="s">
        <v>599</v>
      </c>
      <c r="H14" s="405" t="s">
        <v>599</v>
      </c>
    </row>
    <row r="15" spans="1:10" s="28" customFormat="1">
      <c r="A15" s="10"/>
      <c r="B15" s="374" t="s">
        <v>600</v>
      </c>
      <c r="C15" s="375" t="s">
        <v>640</v>
      </c>
      <c r="D15" s="376" t="s">
        <v>602</v>
      </c>
      <c r="E15" s="377" t="s">
        <v>603</v>
      </c>
      <c r="F15" s="377" t="s">
        <v>604</v>
      </c>
      <c r="G15" s="377" t="s">
        <v>592</v>
      </c>
      <c r="H15" s="428" t="s">
        <v>649</v>
      </c>
    </row>
    <row r="16" spans="1:10" s="28" customFormat="1">
      <c r="A16" s="10"/>
      <c r="B16" s="397"/>
      <c r="C16" s="398"/>
      <c r="D16" s="399"/>
      <c r="E16" s="399"/>
      <c r="F16" s="399"/>
      <c r="G16" s="399"/>
      <c r="H16" s="546"/>
    </row>
    <row r="17" spans="1:8" hidden="1">
      <c r="A17" s="386"/>
      <c r="B17" s="400" t="s">
        <v>274</v>
      </c>
      <c r="C17" s="388"/>
      <c r="D17" s="389"/>
      <c r="E17" s="389"/>
      <c r="F17" s="389"/>
      <c r="G17" s="389"/>
      <c r="H17" s="547"/>
    </row>
    <row r="18" spans="1:8" hidden="1">
      <c r="A18" s="386" t="s">
        <v>476</v>
      </c>
      <c r="B18" s="392" t="s">
        <v>279</v>
      </c>
      <c r="C18" s="395">
        <f>INDEX(Model!$1:$1048576,MATCH(Summary!$A18,Model!$A:$A,0),MATCH(Summary!C$15,Model!$1:$1,0))</f>
        <v>611.11699999999996</v>
      </c>
      <c r="D18" s="396">
        <f>INDEX(Model!$1:$1048576,MATCH(Summary!$A18,Model!$A:$A,0),MATCH(Summary!D$15,Model!$1:$1,0))</f>
        <v>315.60509999999994</v>
      </c>
      <c r="E18" s="396">
        <f>INDEX(Model!$1:$1048576,MATCH(Summary!$A18,Model!$A:$A,0),MATCH(Summary!E$15,Model!$1:$1,0))</f>
        <v>325.56889999999999</v>
      </c>
      <c r="F18" s="396">
        <f>INDEX(Model!$1:$1048576,MATCH(Summary!$A18,Model!$A:$A,0),MATCH(Summary!F$15,Model!$1:$1,0))</f>
        <v>641.17399999999998</v>
      </c>
      <c r="G18" s="396">
        <f>INDEX(Model!$1:$1048576,MATCH(Summary!$A18,Model!$A:$A,0),MATCH(Summary!G$15,Model!$1:$1,0))</f>
        <v>676.73455656249996</v>
      </c>
      <c r="H18" s="548">
        <f>INDEX(Model!$1:$1048576,MATCH(Summary!$A18,Model!$A:$A,0),MATCH(Summary!H$15,Model!$1:$1,0))</f>
        <v>715.76596005328111</v>
      </c>
    </row>
    <row r="19" spans="1:8" s="51" customFormat="1" hidden="1">
      <c r="A19" s="386" t="s">
        <v>477</v>
      </c>
      <c r="B19" s="392" t="s">
        <v>280</v>
      </c>
      <c r="C19" s="395">
        <f>INDEX(Model!$1:$1048576,MATCH(Summary!$A19,Model!$A:$A,0),MATCH(Summary!C$15,Model!$1:$1,0))</f>
        <v>-380.11500000000001</v>
      </c>
      <c r="D19" s="396">
        <f>INDEX(Model!$1:$1048576,MATCH(Summary!$A19,Model!$A:$A,0),MATCH(Summary!D$15,Model!$1:$1,0))</f>
        <v>-198.14445000000001</v>
      </c>
      <c r="E19" s="396">
        <f>INDEX(Model!$1:$1048576,MATCH(Summary!$A19,Model!$A:$A,0),MATCH(Summary!E$15,Model!$1:$1,0))</f>
        <v>-198.10521</v>
      </c>
      <c r="F19" s="396">
        <f>INDEX(Model!$1:$1048576,MATCH(Summary!$A19,Model!$A:$A,0),MATCH(Summary!F$15,Model!$1:$1,0))</f>
        <v>-396.24966000000001</v>
      </c>
      <c r="G19" s="396">
        <f>INDEX(Model!$1:$1048576,MATCH(Summary!$A19,Model!$A:$A,0),MATCH(Summary!G$15,Model!$1:$1,0))</f>
        <v>-418.0435875</v>
      </c>
      <c r="H19" s="548">
        <f>INDEX(Model!$1:$1048576,MATCH(Summary!$A19,Model!$A:$A,0),MATCH(Summary!H$15,Model!$1:$1,0))</f>
        <v>-430.584895125</v>
      </c>
    </row>
    <row r="20" spans="1:8" s="51" customFormat="1" hidden="1">
      <c r="A20" s="386" t="s">
        <v>478</v>
      </c>
      <c r="B20" s="393" t="s">
        <v>281</v>
      </c>
      <c r="C20" s="395">
        <f>INDEX(Model!$1:$1048576,MATCH(Summary!$A20,Model!$A:$A,0),MATCH(Summary!C$15,Model!$1:$1,0))</f>
        <v>231.00199999999995</v>
      </c>
      <c r="D20" s="396">
        <f>INDEX(Model!$1:$1048576,MATCH(Summary!$A20,Model!$A:$A,0),MATCH(Summary!D$15,Model!$1:$1,0))</f>
        <v>117.46064999999993</v>
      </c>
      <c r="E20" s="396">
        <f>INDEX(Model!$1:$1048576,MATCH(Summary!$A20,Model!$A:$A,0),MATCH(Summary!E$15,Model!$1:$1,0))</f>
        <v>127.46368999999999</v>
      </c>
      <c r="F20" s="396">
        <f>INDEX(Model!$1:$1048576,MATCH(Summary!$A20,Model!$A:$A,0),MATCH(Summary!F$15,Model!$1:$1,0))</f>
        <v>244.92433999999992</v>
      </c>
      <c r="G20" s="396">
        <f>INDEX(Model!$1:$1048576,MATCH(Summary!$A20,Model!$A:$A,0),MATCH(Summary!G$15,Model!$1:$1,0))</f>
        <v>258.69096906249996</v>
      </c>
      <c r="H20" s="548">
        <f>INDEX(Model!$1:$1048576,MATCH(Summary!$A20,Model!$A:$A,0),MATCH(Summary!H$15,Model!$1:$1,0))</f>
        <v>285.1810649282811</v>
      </c>
    </row>
    <row r="21" spans="1:8" s="51" customFormat="1" hidden="1">
      <c r="A21" s="386" t="s">
        <v>569</v>
      </c>
      <c r="B21" s="393" t="s">
        <v>348</v>
      </c>
      <c r="C21" s="425">
        <f>INDEX(Model!$1:$1048576,MATCH(Summary!$A21,Model!$A:$A,0),MATCH(Summary!C$15,Model!$1:$1,0))</f>
        <v>-8.6449999999999534</v>
      </c>
      <c r="D21" s="396">
        <f>INDEX(Model!$1:$1048576,MATCH(Summary!$A21,Model!$A:$A,0),MATCH(Summary!D$15,Model!$1:$1,0))</f>
        <v>-4</v>
      </c>
      <c r="E21" s="396">
        <f>INDEX(Model!$1:$1048576,MATCH(Summary!$A21,Model!$A:$A,0),MATCH(Summary!E$15,Model!$1:$1,0))</f>
        <v>-4</v>
      </c>
      <c r="F21" s="396">
        <f>INDEX(Model!$1:$1048576,MATCH(Summary!$A21,Model!$A:$A,0),MATCH(Summary!F$15,Model!$1:$1,0))</f>
        <v>-8</v>
      </c>
      <c r="G21" s="396">
        <f>INDEX(Model!$1:$1048576,MATCH(Summary!$A21,Model!$A:$A,0),MATCH(Summary!G$15,Model!$1:$1,0))</f>
        <v>-8</v>
      </c>
      <c r="H21" s="548">
        <f>INDEX(Model!$1:$1048576,MATCH(Summary!$A21,Model!$A:$A,0),MATCH(Summary!H$15,Model!$1:$1,0))</f>
        <v>-8</v>
      </c>
    </row>
    <row r="22" spans="1:8" s="51" customFormat="1" hidden="1">
      <c r="A22" s="386" t="s">
        <v>570</v>
      </c>
      <c r="B22" s="393" t="s">
        <v>176</v>
      </c>
      <c r="C22" s="395">
        <f>INDEX(Model!$1:$1048576,MATCH(Summary!$A22,Model!$A:$A,0),MATCH(Summary!C$15,Model!$1:$1,0))</f>
        <v>222.357</v>
      </c>
      <c r="D22" s="396">
        <f>INDEX(Model!$1:$1048576,MATCH(Summary!$A22,Model!$A:$A,0),MATCH(Summary!D$15,Model!$1:$1,0))</f>
        <v>113.46064999999993</v>
      </c>
      <c r="E22" s="396">
        <f>INDEX(Model!$1:$1048576,MATCH(Summary!$A22,Model!$A:$A,0),MATCH(Summary!E$15,Model!$1:$1,0))</f>
        <v>123.46368999999999</v>
      </c>
      <c r="F22" s="396">
        <f>INDEX(Model!$1:$1048576,MATCH(Summary!$A22,Model!$A:$A,0),MATCH(Summary!F$15,Model!$1:$1,0))</f>
        <v>236.92433999999992</v>
      </c>
      <c r="G22" s="396">
        <f>INDEX(Model!$1:$1048576,MATCH(Summary!$A22,Model!$A:$A,0),MATCH(Summary!G$15,Model!$1:$1,0))</f>
        <v>250.69096906249996</v>
      </c>
      <c r="H22" s="548">
        <f>INDEX(Model!$1:$1048576,MATCH(Summary!$A22,Model!$A:$A,0),MATCH(Summary!H$15,Model!$1:$1,0))</f>
        <v>277.1810649282811</v>
      </c>
    </row>
    <row r="23" spans="1:8" s="51" customFormat="1" hidden="1">
      <c r="A23" s="386" t="s">
        <v>571</v>
      </c>
      <c r="B23" s="393" t="s">
        <v>469</v>
      </c>
      <c r="C23" s="395">
        <f>INDEX(Model!$1:$1048576,MATCH(Summary!$A23,Model!$A:$A,0),MATCH(Summary!C$15,Model!$1:$1,0))</f>
        <v>-86.772999999999996</v>
      </c>
      <c r="D23" s="396">
        <f>INDEX(Model!$1:$1048576,MATCH(Summary!$A23,Model!$A:$A,0),MATCH(Summary!D$15,Model!$1:$1,0))</f>
        <v>-42.547743749999974</v>
      </c>
      <c r="E23" s="396">
        <f>INDEX(Model!$1:$1048576,MATCH(Summary!$A23,Model!$A:$A,0),MATCH(Summary!E$15,Model!$1:$1,0))</f>
        <v>-46.298883749999995</v>
      </c>
      <c r="F23" s="396">
        <f>INDEX(Model!$1:$1048576,MATCH(Summary!$A23,Model!$A:$A,0),MATCH(Summary!F$15,Model!$1:$1,0))</f>
        <v>-88.846627499999968</v>
      </c>
      <c r="G23" s="396">
        <f>INDEX(Model!$1:$1048576,MATCH(Summary!$A23,Model!$A:$A,0),MATCH(Summary!G$15,Model!$1:$1,0))</f>
        <v>-94.009113398437478</v>
      </c>
      <c r="H23" s="548">
        <f>INDEX(Model!$1:$1048576,MATCH(Summary!$A23,Model!$A:$A,0),MATCH(Summary!H$15,Model!$1:$1,0))</f>
        <v>-103.94289934810543</v>
      </c>
    </row>
    <row r="24" spans="1:8" s="51" customFormat="1" hidden="1">
      <c r="A24" s="386" t="s">
        <v>470</v>
      </c>
      <c r="B24" s="393" t="s">
        <v>282</v>
      </c>
      <c r="C24" s="395">
        <f>INDEX(Model!$1:$1048576,MATCH(Summary!$A24,Model!$A:$A,0),MATCH(Summary!C$15,Model!$1:$1,0))</f>
        <v>135.584</v>
      </c>
      <c r="D24" s="396">
        <f>INDEX(Model!$1:$1048576,MATCH(Summary!$A24,Model!$A:$A,0),MATCH(Summary!D$15,Model!$1:$1,0))</f>
        <v>70.912906249999963</v>
      </c>
      <c r="E24" s="396">
        <f>INDEX(Model!$1:$1048576,MATCH(Summary!$A24,Model!$A:$A,0),MATCH(Summary!E$15,Model!$1:$1,0))</f>
        <v>77.164806249999998</v>
      </c>
      <c r="F24" s="396">
        <f>INDEX(Model!$1:$1048576,MATCH(Summary!$A24,Model!$A:$A,0),MATCH(Summary!F$15,Model!$1:$1,0))</f>
        <v>148.07771249999996</v>
      </c>
      <c r="G24" s="396">
        <f>INDEX(Model!$1:$1048576,MATCH(Summary!$A24,Model!$A:$A,0),MATCH(Summary!G$15,Model!$1:$1,0))</f>
        <v>156.68185566406248</v>
      </c>
      <c r="H24" s="548">
        <f>INDEX(Model!$1:$1048576,MATCH(Summary!$A24,Model!$A:$A,0),MATCH(Summary!H$15,Model!$1:$1,0))</f>
        <v>173.23816558017569</v>
      </c>
    </row>
    <row r="25" spans="1:8" s="51" customFormat="1" hidden="1">
      <c r="A25" s="386"/>
      <c r="B25" s="387"/>
      <c r="C25" s="390"/>
      <c r="D25" s="391"/>
      <c r="E25" s="391"/>
      <c r="F25" s="391"/>
      <c r="G25" s="391"/>
      <c r="H25" s="429"/>
    </row>
    <row r="26" spans="1:8" s="51" customFormat="1" hidden="1">
      <c r="A26" s="386"/>
      <c r="B26" s="400" t="s">
        <v>275</v>
      </c>
      <c r="C26" s="390"/>
      <c r="D26" s="391"/>
      <c r="E26" s="391"/>
      <c r="F26" s="391"/>
      <c r="G26" s="391"/>
      <c r="H26" s="429"/>
    </row>
    <row r="27" spans="1:8" s="51" customFormat="1" hidden="1">
      <c r="A27" s="386" t="s">
        <v>479</v>
      </c>
      <c r="B27" s="392" t="s">
        <v>279</v>
      </c>
      <c r="C27" s="395">
        <f>INDEX(Model!$1:$1048576,MATCH(Summary!$A27,Model!$A:$A,0),MATCH(Summary!C$15,Model!$1:$1,0))</f>
        <v>220.53200000000001</v>
      </c>
      <c r="D27" s="396">
        <f>INDEX(Model!$1:$1048576,MATCH(Summary!$A27,Model!$A:$A,0),MATCH(Summary!D$15,Model!$1:$1,0))</f>
        <v>113.92234193548389</v>
      </c>
      <c r="E27" s="396">
        <f>INDEX(Model!$1:$1048576,MATCH(Summary!$A27,Model!$A:$A,0),MATCH(Summary!E$15,Model!$1:$1,0))</f>
        <v>121.47120000000002</v>
      </c>
      <c r="F27" s="396">
        <f>INDEX(Model!$1:$1048576,MATCH(Summary!$A27,Model!$A:$A,0),MATCH(Summary!F$15,Model!$1:$1,0))</f>
        <v>235.39354193548391</v>
      </c>
      <c r="G27" s="396">
        <f>INDEX(Model!$1:$1048576,MATCH(Summary!$A27,Model!$A:$A,0),MATCH(Summary!G$15,Model!$1:$1,0))</f>
        <v>246.45348057419363</v>
      </c>
      <c r="H27" s="548">
        <f>INDEX(Model!$1:$1048576,MATCH(Summary!$A27,Model!$A:$A,0),MATCH(Summary!H$15,Model!$1:$1,0))</f>
        <v>258.07747608347751</v>
      </c>
    </row>
    <row r="28" spans="1:8" s="51" customFormat="1" hidden="1">
      <c r="A28" s="386" t="s">
        <v>480</v>
      </c>
      <c r="B28" s="392" t="s">
        <v>280</v>
      </c>
      <c r="C28" s="395">
        <f>INDEX(Model!$1:$1048576,MATCH(Summary!$A28,Model!$A:$A,0),MATCH(Summary!C$15,Model!$1:$1,0))</f>
        <v>-122.958</v>
      </c>
      <c r="D28" s="396">
        <f>INDEX(Model!$1:$1048576,MATCH(Summary!$A28,Model!$A:$A,0),MATCH(Summary!D$15,Model!$1:$1,0))</f>
        <v>-66.715950000000007</v>
      </c>
      <c r="E28" s="396">
        <f>INDEX(Model!$1:$1048576,MATCH(Summary!$A28,Model!$A:$A,0),MATCH(Summary!E$15,Model!$1:$1,0))</f>
        <v>-62.389949999999999</v>
      </c>
      <c r="F28" s="396">
        <f>INDEX(Model!$1:$1048576,MATCH(Summary!$A28,Model!$A:$A,0),MATCH(Summary!F$15,Model!$1:$1,0))</f>
        <v>-129.10590000000002</v>
      </c>
      <c r="G28" s="396">
        <f>INDEX(Model!$1:$1048576,MATCH(Summary!$A28,Model!$A:$A,0),MATCH(Summary!G$15,Model!$1:$1,0))</f>
        <v>-132.97907700000002</v>
      </c>
      <c r="H28" s="548">
        <f>INDEX(Model!$1:$1048576,MATCH(Summary!$A28,Model!$A:$A,0),MATCH(Summary!H$15,Model!$1:$1,0))</f>
        <v>-136.96844931000004</v>
      </c>
    </row>
    <row r="29" spans="1:8" s="51" customFormat="1" hidden="1">
      <c r="A29" s="386" t="s">
        <v>481</v>
      </c>
      <c r="B29" s="392" t="s">
        <v>281</v>
      </c>
      <c r="C29" s="395">
        <f>INDEX(Model!$1:$1048576,MATCH(Summary!$A29,Model!$A:$A,0),MATCH(Summary!C$15,Model!$1:$1,0))</f>
        <v>97.574000000000012</v>
      </c>
      <c r="D29" s="396">
        <f>INDEX(Model!$1:$1048576,MATCH(Summary!$A29,Model!$A:$A,0),MATCH(Summary!D$15,Model!$1:$1,0))</f>
        <v>47.206391935483879</v>
      </c>
      <c r="E29" s="396">
        <f>INDEX(Model!$1:$1048576,MATCH(Summary!$A29,Model!$A:$A,0),MATCH(Summary!E$15,Model!$1:$1,0))</f>
        <v>59.081250000000026</v>
      </c>
      <c r="F29" s="396">
        <f>INDEX(Model!$1:$1048576,MATCH(Summary!$A29,Model!$A:$A,0),MATCH(Summary!F$15,Model!$1:$1,0))</f>
        <v>106.2876419354839</v>
      </c>
      <c r="G29" s="396">
        <f>INDEX(Model!$1:$1048576,MATCH(Summary!$A29,Model!$A:$A,0),MATCH(Summary!G$15,Model!$1:$1,0))</f>
        <v>113.4744035741936</v>
      </c>
      <c r="H29" s="548">
        <f>INDEX(Model!$1:$1048576,MATCH(Summary!$A29,Model!$A:$A,0),MATCH(Summary!H$15,Model!$1:$1,0))</f>
        <v>121.10902677347747</v>
      </c>
    </row>
    <row r="30" spans="1:8" hidden="1">
      <c r="A30" s="386" t="s">
        <v>572</v>
      </c>
      <c r="B30" s="392" t="s">
        <v>575</v>
      </c>
      <c r="C30" s="425">
        <f>INDEX(Model!$1:$1048576,MATCH(Summary!$A30,Model!$A:$A,0),MATCH(Summary!C$15,Model!$1:$1,0))</f>
        <v>-0.31100000000000705</v>
      </c>
      <c r="D30" s="396">
        <f>INDEX(Model!$1:$1048576,MATCH(Summary!$A30,Model!$A:$A,0),MATCH(Summary!D$15,Model!$1:$1,0))</f>
        <v>-0.1</v>
      </c>
      <c r="E30" s="396">
        <f>INDEX(Model!$1:$1048576,MATCH(Summary!$A30,Model!$A:$A,0),MATCH(Summary!E$15,Model!$1:$1,0))</f>
        <v>-0.1</v>
      </c>
      <c r="F30" s="396">
        <f>INDEX(Model!$1:$1048576,MATCH(Summary!$A30,Model!$A:$A,0),MATCH(Summary!F$15,Model!$1:$1,0))</f>
        <v>-0.2</v>
      </c>
      <c r="G30" s="396">
        <f>INDEX(Model!$1:$1048576,MATCH(Summary!$A30,Model!$A:$A,0),MATCH(Summary!G$15,Model!$1:$1,0))</f>
        <v>-0.2</v>
      </c>
      <c r="H30" s="548">
        <f>INDEX(Model!$1:$1048576,MATCH(Summary!$A30,Model!$A:$A,0),MATCH(Summary!H$15,Model!$1:$1,0))</f>
        <v>-0.2</v>
      </c>
    </row>
    <row r="31" spans="1:8" hidden="1">
      <c r="A31" s="386" t="s">
        <v>573</v>
      </c>
      <c r="B31" s="392" t="s">
        <v>284</v>
      </c>
      <c r="C31" s="395">
        <f>INDEX(Model!$1:$1048576,MATCH(Summary!$A31,Model!$A:$A,0),MATCH(Summary!C$15,Model!$1:$1,0))</f>
        <v>97.263000000000005</v>
      </c>
      <c r="D31" s="396">
        <f>INDEX(Model!$1:$1048576,MATCH(Summary!$A31,Model!$A:$A,0),MATCH(Summary!D$15,Model!$1:$1,0))</f>
        <v>47.106391935483877</v>
      </c>
      <c r="E31" s="396">
        <f>INDEX(Model!$1:$1048576,MATCH(Summary!$A31,Model!$A:$A,0),MATCH(Summary!E$15,Model!$1:$1,0))</f>
        <v>58.981250000000024</v>
      </c>
      <c r="F31" s="396">
        <f>INDEX(Model!$1:$1048576,MATCH(Summary!$A31,Model!$A:$A,0),MATCH(Summary!F$15,Model!$1:$1,0))</f>
        <v>106.0876419354839</v>
      </c>
      <c r="G31" s="396">
        <f>INDEX(Model!$1:$1048576,MATCH(Summary!$A31,Model!$A:$A,0),MATCH(Summary!G$15,Model!$1:$1,0))</f>
        <v>113.2744035741936</v>
      </c>
      <c r="H31" s="548">
        <f>INDEX(Model!$1:$1048576,MATCH(Summary!$A31,Model!$A:$A,0),MATCH(Summary!H$15,Model!$1:$1,0))</f>
        <v>120.90902677347748</v>
      </c>
    </row>
    <row r="32" spans="1:8" hidden="1">
      <c r="A32" s="386" t="s">
        <v>574</v>
      </c>
      <c r="B32" s="402" t="s">
        <v>469</v>
      </c>
      <c r="C32" s="395">
        <f>INDEX(Model!$1:$1048576,MATCH(Summary!$A32,Model!$A:$A,0),MATCH(Summary!C$15,Model!$1:$1,0))</f>
        <v>-25.294000000000011</v>
      </c>
      <c r="D32" s="396">
        <f>INDEX(Model!$1:$1048576,MATCH(Summary!$A32,Model!$A:$A,0),MATCH(Summary!D$15,Model!$1:$1,0))</f>
        <v>-13.204853235967324</v>
      </c>
      <c r="E32" s="396">
        <f>INDEX(Model!$1:$1048576,MATCH(Summary!$A32,Model!$A:$A,0),MATCH(Summary!E$15,Model!$1:$1,0))</f>
        <v>-16.533610788756281</v>
      </c>
      <c r="F32" s="396">
        <f>INDEX(Model!$1:$1048576,MATCH(Summary!$A32,Model!$A:$A,0),MATCH(Summary!F$15,Model!$1:$1,0))</f>
        <v>-29.738464024723605</v>
      </c>
      <c r="G32" s="396">
        <f>INDEX(Model!$1:$1048576,MATCH(Summary!$A32,Model!$A:$A,0),MATCH(Summary!G$15,Model!$1:$1,0))</f>
        <v>-31.753055437519883</v>
      </c>
      <c r="H32" s="548">
        <f>INDEX(Model!$1:$1048576,MATCH(Summary!$A32,Model!$A:$A,0),MATCH(Summary!H$15,Model!$1:$1,0))</f>
        <v>-33.893191302659545</v>
      </c>
    </row>
    <row r="33" spans="1:8" hidden="1">
      <c r="A33" s="386" t="s">
        <v>471</v>
      </c>
      <c r="B33" s="392" t="s">
        <v>350</v>
      </c>
      <c r="C33" s="395">
        <f>INDEX(Model!$1:$1048576,MATCH(Summary!$A33,Model!$A:$A,0),MATCH(Summary!C$15,Model!$1:$1,0))</f>
        <v>71.968999999999994</v>
      </c>
      <c r="D33" s="396">
        <f>INDEX(Model!$1:$1048576,MATCH(Summary!$A33,Model!$A:$A,0),MATCH(Summary!D$15,Model!$1:$1,0))</f>
        <v>33.90153869951655</v>
      </c>
      <c r="E33" s="396">
        <f>INDEX(Model!$1:$1048576,MATCH(Summary!$A33,Model!$A:$A,0),MATCH(Summary!E$15,Model!$1:$1,0))</f>
        <v>42.44763921124374</v>
      </c>
      <c r="F33" s="396">
        <f>INDEX(Model!$1:$1048576,MATCH(Summary!$A33,Model!$A:$A,0),MATCH(Summary!F$15,Model!$1:$1,0))</f>
        <v>76.349177910760289</v>
      </c>
      <c r="G33" s="396">
        <f>INDEX(Model!$1:$1048576,MATCH(Summary!$A33,Model!$A:$A,0),MATCH(Summary!G$15,Model!$1:$1,0))</f>
        <v>81.521348136673708</v>
      </c>
      <c r="H33" s="548">
        <f>INDEX(Model!$1:$1048576,MATCH(Summary!$A33,Model!$A:$A,0),MATCH(Summary!H$15,Model!$1:$1,0))</f>
        <v>87.015835470817933</v>
      </c>
    </row>
    <row r="34" spans="1:8" hidden="1">
      <c r="A34" s="386"/>
      <c r="B34" s="387"/>
      <c r="C34" s="395"/>
      <c r="D34" s="396"/>
      <c r="E34" s="396"/>
      <c r="F34" s="396"/>
      <c r="G34" s="396"/>
      <c r="H34" s="548"/>
    </row>
    <row r="35" spans="1:8" hidden="1">
      <c r="A35" s="386"/>
      <c r="B35" s="400" t="s">
        <v>277</v>
      </c>
      <c r="C35" s="395"/>
      <c r="D35" s="396"/>
      <c r="E35" s="396"/>
      <c r="F35" s="396"/>
      <c r="G35" s="396"/>
      <c r="H35" s="548"/>
    </row>
    <row r="36" spans="1:8" hidden="1">
      <c r="A36" s="386" t="s">
        <v>484</v>
      </c>
      <c r="B36" s="392" t="s">
        <v>279</v>
      </c>
      <c r="C36" s="395">
        <f>INDEX(Model!$1:$1048576,MATCH(Summary!$A36,Model!$A:$A,0),MATCH(Summary!C$15,Model!$1:$1,0))</f>
        <v>97.870999999999995</v>
      </c>
      <c r="D36" s="396">
        <f>INDEX(Model!$1:$1048576,MATCH(Summary!$A36,Model!$A:$A,0),MATCH(Summary!D$15,Model!$1:$1,0))</f>
        <v>47.69742358078603</v>
      </c>
      <c r="E36" s="396">
        <f>INDEX(Model!$1:$1048576,MATCH(Summary!$A36,Model!$A:$A,0),MATCH(Summary!E$15,Model!$1:$1,0))</f>
        <v>51.221000000000011</v>
      </c>
      <c r="F36" s="396">
        <f>INDEX(Model!$1:$1048576,MATCH(Summary!$A36,Model!$A:$A,0),MATCH(Summary!F$15,Model!$1:$1,0))</f>
        <v>98.91842358078604</v>
      </c>
      <c r="G36" s="396">
        <f>INDEX(Model!$1:$1048576,MATCH(Summary!$A36,Model!$A:$A,0),MATCH(Summary!G$15,Model!$1:$1,0))</f>
        <v>103.71846318340613</v>
      </c>
      <c r="H36" s="548">
        <f>INDEX(Model!$1:$1048576,MATCH(Summary!$A36,Model!$A:$A,0),MATCH(Summary!H$15,Model!$1:$1,0))</f>
        <v>108.76330480575984</v>
      </c>
    </row>
    <row r="37" spans="1:8" hidden="1">
      <c r="A37" s="386" t="s">
        <v>485</v>
      </c>
      <c r="B37" s="392" t="s">
        <v>280</v>
      </c>
      <c r="C37" s="395">
        <f>INDEX(Model!$1:$1048576,MATCH(Summary!$A37,Model!$A:$A,0),MATCH(Summary!C$15,Model!$1:$1,0))</f>
        <v>-64.176000000000002</v>
      </c>
      <c r="D37" s="396">
        <f>INDEX(Model!$1:$1048576,MATCH(Summary!$A37,Model!$A:$A,0),MATCH(Summary!D$15,Model!$1:$1,0))</f>
        <v>-32.392500000000005</v>
      </c>
      <c r="E37" s="396">
        <f>INDEX(Model!$1:$1048576,MATCH(Summary!$A37,Model!$A:$A,0),MATCH(Summary!E$15,Model!$1:$1,0))</f>
        <v>-34.325780000000002</v>
      </c>
      <c r="F37" s="396">
        <f>INDEX(Model!$1:$1048576,MATCH(Summary!$A37,Model!$A:$A,0),MATCH(Summary!F$15,Model!$1:$1,0))</f>
        <v>-66.718280000000007</v>
      </c>
      <c r="G37" s="396">
        <f>INDEX(Model!$1:$1048576,MATCH(Summary!$A37,Model!$A:$A,0),MATCH(Summary!G$15,Model!$1:$1,0))</f>
        <v>-68.719828400000011</v>
      </c>
      <c r="H37" s="548">
        <f>INDEX(Model!$1:$1048576,MATCH(Summary!$A37,Model!$A:$A,0),MATCH(Summary!H$15,Model!$1:$1,0))</f>
        <v>-70.427867718000016</v>
      </c>
    </row>
    <row r="38" spans="1:8" hidden="1">
      <c r="A38" s="386" t="s">
        <v>486</v>
      </c>
      <c r="B38" s="392" t="s">
        <v>281</v>
      </c>
      <c r="C38" s="395">
        <f>INDEX(Model!$1:$1048576,MATCH(Summary!$A38,Model!$A:$A,0),MATCH(Summary!C$15,Model!$1:$1,0))</f>
        <v>32.371000000000002</v>
      </c>
      <c r="D38" s="396">
        <f>INDEX(Model!$1:$1048576,MATCH(Summary!$A38,Model!$A:$A,0),MATCH(Summary!D$15,Model!$1:$1,0))</f>
        <v>15.304923580786024</v>
      </c>
      <c r="E38" s="396">
        <f>INDEX(Model!$1:$1048576,MATCH(Summary!$A38,Model!$A:$A,0),MATCH(Summary!E$15,Model!$1:$1,0))</f>
        <v>16.895220000000009</v>
      </c>
      <c r="F38" s="396">
        <f>INDEX(Model!$1:$1048576,MATCH(Summary!$A38,Model!$A:$A,0),MATCH(Summary!F$15,Model!$1:$1,0))</f>
        <v>32.200143580786033</v>
      </c>
      <c r="G38" s="396">
        <f>INDEX(Model!$1:$1048576,MATCH(Summary!$A38,Model!$A:$A,0),MATCH(Summary!G$15,Model!$1:$1,0))</f>
        <v>34.998634783406118</v>
      </c>
      <c r="H38" s="548">
        <f>INDEX(Model!$1:$1048576,MATCH(Summary!$A38,Model!$A:$A,0),MATCH(Summary!H$15,Model!$1:$1,0))</f>
        <v>38.335437087759821</v>
      </c>
    </row>
    <row r="39" spans="1:8" hidden="1">
      <c r="A39" s="386" t="s">
        <v>576</v>
      </c>
      <c r="B39" s="392" t="s">
        <v>36</v>
      </c>
      <c r="C39" s="425">
        <f>INDEX(Model!$1:$1048576,MATCH(Summary!$A39,Model!$A:$A,0),MATCH(Summary!C$15,Model!$1:$1,0))</f>
        <v>-1.4650000000000034</v>
      </c>
      <c r="D39" s="396">
        <f>INDEX(Model!$1:$1048576,MATCH(Summary!$A39,Model!$A:$A,0),MATCH(Summary!D$15,Model!$1:$1,0))</f>
        <v>-1.6</v>
      </c>
      <c r="E39" s="396">
        <f>INDEX(Model!$1:$1048576,MATCH(Summary!$A39,Model!$A:$A,0),MATCH(Summary!E$15,Model!$1:$1,0))</f>
        <v>-1.6</v>
      </c>
      <c r="F39" s="396">
        <f>INDEX(Model!$1:$1048576,MATCH(Summary!$A39,Model!$A:$A,0),MATCH(Summary!F$15,Model!$1:$1,0))</f>
        <v>-3.2</v>
      </c>
      <c r="G39" s="396">
        <f>INDEX(Model!$1:$1048576,MATCH(Summary!$A39,Model!$A:$A,0),MATCH(Summary!G$15,Model!$1:$1,0))</f>
        <v>-3.2</v>
      </c>
      <c r="H39" s="548">
        <f>INDEX(Model!$1:$1048576,MATCH(Summary!$A39,Model!$A:$A,0),MATCH(Summary!H$15,Model!$1:$1,0))</f>
        <v>-3.2</v>
      </c>
    </row>
    <row r="40" spans="1:8" hidden="1">
      <c r="A40" s="386" t="s">
        <v>577</v>
      </c>
      <c r="B40" s="392" t="s">
        <v>176</v>
      </c>
      <c r="C40" s="395">
        <f>INDEX(Model!$1:$1048576,MATCH(Summary!$A40,Model!$A:$A,0),MATCH(Summary!C$15,Model!$1:$1,0))</f>
        <v>30.905999999999999</v>
      </c>
      <c r="D40" s="396">
        <f>INDEX(Model!$1:$1048576,MATCH(Summary!$A40,Model!$A:$A,0),MATCH(Summary!D$15,Model!$1:$1,0))</f>
        <v>13.704923580786025</v>
      </c>
      <c r="E40" s="396">
        <f>INDEX(Model!$1:$1048576,MATCH(Summary!$A40,Model!$A:$A,0),MATCH(Summary!E$15,Model!$1:$1,0))</f>
        <v>15.295220000000009</v>
      </c>
      <c r="F40" s="396">
        <f>INDEX(Model!$1:$1048576,MATCH(Summary!$A40,Model!$A:$A,0),MATCH(Summary!F$15,Model!$1:$1,0))</f>
        <v>29.000143580786034</v>
      </c>
      <c r="G40" s="396">
        <f>INDEX(Model!$1:$1048576,MATCH(Summary!$A40,Model!$A:$A,0),MATCH(Summary!G$15,Model!$1:$1,0))</f>
        <v>31.798634783406115</v>
      </c>
      <c r="H40" s="548">
        <f>INDEX(Model!$1:$1048576,MATCH(Summary!$A40,Model!$A:$A,0),MATCH(Summary!H$15,Model!$1:$1,0))</f>
        <v>35.135437087759819</v>
      </c>
    </row>
    <row r="41" spans="1:8" hidden="1">
      <c r="A41" s="386" t="s">
        <v>578</v>
      </c>
      <c r="B41" s="392" t="s">
        <v>469</v>
      </c>
      <c r="C41" s="395">
        <f>INDEX(Model!$1:$1048576,MATCH(Summary!$A41,Model!$A:$A,0),MATCH(Summary!C$15,Model!$1:$1,0))</f>
        <v>-7.6950000000000003</v>
      </c>
      <c r="D41" s="396">
        <f>INDEX(Model!$1:$1048576,MATCH(Summary!$A41,Model!$A:$A,0),MATCH(Summary!D$15,Model!$1:$1,0))</f>
        <v>-3.5616432281006691</v>
      </c>
      <c r="E41" s="396">
        <f>INDEX(Model!$1:$1048576,MATCH(Summary!$A41,Model!$A:$A,0),MATCH(Summary!E$15,Model!$1:$1,0))</f>
        <v>-3.9749303536200791</v>
      </c>
      <c r="F41" s="396">
        <f>INDEX(Model!$1:$1048576,MATCH(Summary!$A41,Model!$A:$A,0),MATCH(Summary!F$15,Model!$1:$1,0))</f>
        <v>-7.5365735817207486</v>
      </c>
      <c r="G41" s="396">
        <f>INDEX(Model!$1:$1048576,MATCH(Summary!$A41,Model!$A:$A,0),MATCH(Summary!G$15,Model!$1:$1,0))</f>
        <v>-8.2638470453017447</v>
      </c>
      <c r="H41" s="548">
        <f>INDEX(Model!$1:$1048576,MATCH(Summary!$A41,Model!$A:$A,0),MATCH(Summary!H$15,Model!$1:$1,0))</f>
        <v>-9.1310170999727411</v>
      </c>
    </row>
    <row r="42" spans="1:8" hidden="1">
      <c r="A42" s="386" t="s">
        <v>472</v>
      </c>
      <c r="B42" s="392" t="s">
        <v>282</v>
      </c>
      <c r="C42" s="395">
        <f>INDEX(Model!$1:$1048576,MATCH(Summary!$A42,Model!$A:$A,0),MATCH(Summary!C$15,Model!$1:$1,0))</f>
        <v>23.210999999999999</v>
      </c>
      <c r="D42" s="396">
        <f>INDEX(Model!$1:$1048576,MATCH(Summary!$A42,Model!$A:$A,0),MATCH(Summary!D$15,Model!$1:$1,0))</f>
        <v>10.143280352685355</v>
      </c>
      <c r="E42" s="396">
        <f>INDEX(Model!$1:$1048576,MATCH(Summary!$A42,Model!$A:$A,0),MATCH(Summary!E$15,Model!$1:$1,0))</f>
        <v>11.32028964637993</v>
      </c>
      <c r="F42" s="396">
        <f>INDEX(Model!$1:$1048576,MATCH(Summary!$A42,Model!$A:$A,0),MATCH(Summary!F$15,Model!$1:$1,0))</f>
        <v>21.463569999065285</v>
      </c>
      <c r="G42" s="396">
        <f>INDEX(Model!$1:$1048576,MATCH(Summary!$A42,Model!$A:$A,0),MATCH(Summary!G$15,Model!$1:$1,0))</f>
        <v>23.534787738104374</v>
      </c>
      <c r="H42" s="548">
        <f>INDEX(Model!$1:$1048576,MATCH(Summary!$A42,Model!$A:$A,0),MATCH(Summary!H$15,Model!$1:$1,0))</f>
        <v>26.004419987787077</v>
      </c>
    </row>
    <row r="43" spans="1:8" hidden="1">
      <c r="A43" s="386"/>
      <c r="B43" s="380"/>
      <c r="C43" s="401"/>
      <c r="D43" s="403"/>
      <c r="E43" s="403"/>
      <c r="F43" s="403"/>
      <c r="G43" s="403"/>
      <c r="H43" s="549"/>
    </row>
    <row r="44" spans="1:8" hidden="1">
      <c r="A44" s="386"/>
      <c r="B44" s="400" t="s">
        <v>276</v>
      </c>
      <c r="C44" s="378"/>
      <c r="D44" s="379"/>
      <c r="E44" s="379"/>
      <c r="F44" s="379"/>
      <c r="G44" s="379"/>
      <c r="H44" s="550"/>
    </row>
    <row r="45" spans="1:8" hidden="1">
      <c r="A45" s="386" t="s">
        <v>482</v>
      </c>
      <c r="B45" s="392" t="s">
        <v>283</v>
      </c>
      <c r="C45" s="395">
        <f>INDEX(Model!$1:$1048576,MATCH(Summary!$A45,Model!$A:$A,0),MATCH(Summary!C$15,Model!$1:$1,0))</f>
        <v>105.82899999999999</v>
      </c>
      <c r="D45" s="396">
        <f>INDEX(Model!$1:$1048576,MATCH(Summary!$A45,Model!$A:$A,0),MATCH(Summary!D$15,Model!$1:$1,0))</f>
        <v>55.220000000000006</v>
      </c>
      <c r="E45" s="396">
        <f>INDEX(Model!$1:$1048576,MATCH(Summary!$A45,Model!$A:$A,0),MATCH(Summary!E$15,Model!$1:$1,0))</f>
        <v>61.191899999999997</v>
      </c>
      <c r="F45" s="396">
        <f>INDEX(Model!$1:$1048576,MATCH(Summary!$A45,Model!$A:$A,0),MATCH(Summary!F$15,Model!$1:$1,0))</f>
        <v>116.4119</v>
      </c>
      <c r="G45" s="396">
        <f>INDEX(Model!$1:$1048576,MATCH(Summary!$A45,Model!$A:$A,0),MATCH(Summary!G$15,Model!$1:$1,0))</f>
        <v>122.78469500000001</v>
      </c>
      <c r="H45" s="548">
        <f>INDEX(Model!$1:$1048576,MATCH(Summary!$A45,Model!$A:$A,0),MATCH(Summary!H$15,Model!$1:$1,0))</f>
        <v>128.92392975000001</v>
      </c>
    </row>
    <row r="46" spans="1:8" hidden="1">
      <c r="A46" s="386" t="s">
        <v>584</v>
      </c>
      <c r="B46" s="392" t="s">
        <v>280</v>
      </c>
      <c r="C46" s="395">
        <f>INDEX(Model!$1:$1048576,MATCH(Summary!$A46,Model!$A:$A,0),MATCH(Summary!C$15,Model!$1:$1,0))</f>
        <v>-57.387999999999998</v>
      </c>
      <c r="D46" s="396">
        <f>INDEX(Model!$1:$1048576,MATCH(Summary!$A46,Model!$A:$A,0),MATCH(Summary!D$15,Model!$1:$1,0))</f>
        <v>-31.047560000000004</v>
      </c>
      <c r="E46" s="396">
        <f>INDEX(Model!$1:$1048576,MATCH(Summary!$A46,Model!$A:$A,0),MATCH(Summary!E$15,Model!$1:$1,0))</f>
        <v>-31.50536</v>
      </c>
      <c r="F46" s="396">
        <f>INDEX(Model!$1:$1048576,MATCH(Summary!$A46,Model!$A:$A,0),MATCH(Summary!F$15,Model!$1:$1,0))</f>
        <v>-62.55292</v>
      </c>
      <c r="G46" s="396">
        <f>INDEX(Model!$1:$1048576,MATCH(Summary!$A46,Model!$A:$A,0),MATCH(Summary!G$15,Model!$1:$1,0))</f>
        <v>-65.680566000000013</v>
      </c>
      <c r="H46" s="548">
        <f>INDEX(Model!$1:$1048576,MATCH(Summary!$A46,Model!$A:$A,0),MATCH(Summary!H$15,Model!$1:$1,0))</f>
        <v>-68.964594300000016</v>
      </c>
    </row>
    <row r="47" spans="1:8" hidden="1">
      <c r="A47" s="386" t="s">
        <v>483</v>
      </c>
      <c r="B47" s="392" t="s">
        <v>281</v>
      </c>
      <c r="C47" s="395">
        <f>INDEX(Model!$1:$1048576,MATCH(Summary!$A47,Model!$A:$A,0),MATCH(Summary!C$15,Model!$1:$1,0))</f>
        <v>48.440999999999995</v>
      </c>
      <c r="D47" s="396">
        <f>INDEX(Model!$1:$1048576,MATCH(Summary!$A47,Model!$A:$A,0),MATCH(Summary!D$15,Model!$1:$1,0))</f>
        <v>24.172440000000002</v>
      </c>
      <c r="E47" s="396">
        <f>INDEX(Model!$1:$1048576,MATCH(Summary!$A47,Model!$A:$A,0),MATCH(Summary!E$15,Model!$1:$1,0))</f>
        <v>29.686539999999997</v>
      </c>
      <c r="F47" s="396">
        <f>INDEX(Model!$1:$1048576,MATCH(Summary!$A47,Model!$A:$A,0),MATCH(Summary!F$15,Model!$1:$1,0))</f>
        <v>53.858980000000003</v>
      </c>
      <c r="G47" s="396">
        <f>INDEX(Model!$1:$1048576,MATCH(Summary!$A47,Model!$A:$A,0),MATCH(Summary!G$15,Model!$1:$1,0))</f>
        <v>57.104129</v>
      </c>
      <c r="H47" s="548">
        <f>INDEX(Model!$1:$1048576,MATCH(Summary!$A47,Model!$A:$A,0),MATCH(Summary!H$15,Model!$1:$1,0))</f>
        <v>59.959335450000005</v>
      </c>
    </row>
    <row r="48" spans="1:8" hidden="1">
      <c r="A48" s="386"/>
      <c r="B48" s="392" t="s">
        <v>575</v>
      </c>
      <c r="C48" s="425">
        <f>C49-C47</f>
        <v>-1.4109999999999943</v>
      </c>
      <c r="D48" s="396">
        <f t="shared" ref="D48" si="0">D49-D47</f>
        <v>-0.71899999999999409</v>
      </c>
      <c r="E48" s="396">
        <f t="shared" ref="E48" si="1">E49-E47</f>
        <v>-0.71899999999999409</v>
      </c>
      <c r="F48" s="396">
        <f t="shared" ref="F48" si="2">F49-F47</f>
        <v>-1.4379999999999882</v>
      </c>
      <c r="G48" s="396">
        <f t="shared" ref="G48:H48" si="3">G49-G47</f>
        <v>-1.4379999999999882</v>
      </c>
      <c r="H48" s="548">
        <f t="shared" si="3"/>
        <v>-1.4379999999999882</v>
      </c>
    </row>
    <row r="49" spans="1:11" hidden="1">
      <c r="A49" s="386" t="s">
        <v>579</v>
      </c>
      <c r="B49" s="392" t="s">
        <v>284</v>
      </c>
      <c r="C49" s="395">
        <f>INDEX(Model!$1:$1048576,MATCH(Summary!$A49,Model!$A:$A,0),MATCH(Summary!C$15,Model!$1:$1,0))</f>
        <v>47.03</v>
      </c>
      <c r="D49" s="396">
        <f>INDEX(Model!$1:$1048576,MATCH(Summary!$A49,Model!$A:$A,0),MATCH(Summary!D$15,Model!$1:$1,0))</f>
        <v>23.453440000000008</v>
      </c>
      <c r="E49" s="396">
        <f>INDEX(Model!$1:$1048576,MATCH(Summary!$A49,Model!$A:$A,0),MATCH(Summary!E$15,Model!$1:$1,0))</f>
        <v>28.967540000000003</v>
      </c>
      <c r="F49" s="396">
        <f>INDEX(Model!$1:$1048576,MATCH(Summary!$A49,Model!$A:$A,0),MATCH(Summary!F$15,Model!$1:$1,0))</f>
        <v>52.420980000000014</v>
      </c>
      <c r="G49" s="396">
        <f>INDEX(Model!$1:$1048576,MATCH(Summary!$A49,Model!$A:$A,0),MATCH(Summary!G$15,Model!$1:$1,0))</f>
        <v>55.666129000000012</v>
      </c>
      <c r="H49" s="548">
        <f>INDEX(Model!$1:$1048576,MATCH(Summary!$A49,Model!$A:$A,0),MATCH(Summary!H$15,Model!$1:$1,0))</f>
        <v>58.521335450000016</v>
      </c>
    </row>
    <row r="50" spans="1:11" hidden="1">
      <c r="A50" s="386" t="s">
        <v>580</v>
      </c>
      <c r="B50" s="392" t="s">
        <v>469</v>
      </c>
      <c r="C50" s="395">
        <f>INDEX(Model!$1:$1048576,MATCH(Summary!$A50,Model!$A:$A,0),MATCH(Summary!C$15,Model!$1:$1,0))</f>
        <v>-27.901</v>
      </c>
      <c r="D50" s="396">
        <f>INDEX(Model!$1:$1048576,MATCH(Summary!$A50,Model!$A:$A,0),MATCH(Summary!D$15,Model!$1:$1,0))</f>
        <v>-13.913699620087675</v>
      </c>
      <c r="E50" s="396">
        <f>INDEX(Model!$1:$1048576,MATCH(Summary!$A50,Model!$A:$A,0),MATCH(Summary!E$15,Model!$1:$1,0))</f>
        <v>-17.184926829193262</v>
      </c>
      <c r="F50" s="396">
        <f>INDEX(Model!$1:$1048576,MATCH(Summary!$A50,Model!$A:$A,0),MATCH(Summary!F$15,Model!$1:$1,0))</f>
        <v>-31.098626449280935</v>
      </c>
      <c r="G50" s="396">
        <f>INDEX(Model!$1:$1048576,MATCH(Summary!$A50,Model!$A:$A,0),MATCH(Summary!G$15,Model!$1:$1,0))</f>
        <v>-33.023803668845652</v>
      </c>
      <c r="H50" s="548">
        <f>INDEX(Model!$1:$1048576,MATCH(Summary!$A50,Model!$A:$A,0),MATCH(Summary!H$15,Model!$1:$1,0))</f>
        <v>-34.717648362785511</v>
      </c>
    </row>
    <row r="51" spans="1:11" hidden="1">
      <c r="A51" s="386" t="s">
        <v>581</v>
      </c>
      <c r="B51" s="392" t="s">
        <v>282</v>
      </c>
      <c r="C51" s="395">
        <f>INDEX(Model!$1:$1048576,MATCH(Summary!$A51,Model!$A:$A,0),MATCH(Summary!C$15,Model!$1:$1,0))</f>
        <v>19.129000000000001</v>
      </c>
      <c r="D51" s="396">
        <f>INDEX(Model!$1:$1048576,MATCH(Summary!$A51,Model!$A:$A,0),MATCH(Summary!D$15,Model!$1:$1,0))</f>
        <v>9.5397403799123328</v>
      </c>
      <c r="E51" s="396">
        <f>INDEX(Model!$1:$1048576,MATCH(Summary!$A51,Model!$A:$A,0),MATCH(Summary!E$15,Model!$1:$1,0))</f>
        <v>11.782613170806741</v>
      </c>
      <c r="F51" s="396">
        <f>INDEX(Model!$1:$1048576,MATCH(Summary!$A51,Model!$A:$A,0),MATCH(Summary!F$15,Model!$1:$1,0))</f>
        <v>21.322353550719072</v>
      </c>
      <c r="G51" s="396">
        <f>INDEX(Model!$1:$1048576,MATCH(Summary!$A51,Model!$A:$A,0),MATCH(Summary!G$15,Model!$1:$1,0))</f>
        <v>22.64232533115436</v>
      </c>
      <c r="H51" s="548">
        <f>INDEX(Model!$1:$1048576,MATCH(Summary!$A51,Model!$A:$A,0),MATCH(Summary!H$15,Model!$1:$1,0))</f>
        <v>23.803687087214502</v>
      </c>
    </row>
    <row r="52" spans="1:11" hidden="1">
      <c r="A52" s="386"/>
      <c r="B52" s="392"/>
      <c r="C52" s="395"/>
      <c r="D52" s="396"/>
      <c r="E52" s="396"/>
      <c r="F52" s="396"/>
      <c r="G52" s="396"/>
      <c r="H52" s="548"/>
    </row>
    <row r="53" spans="1:11" hidden="1">
      <c r="A53" s="386"/>
      <c r="B53" s="400" t="s">
        <v>457</v>
      </c>
      <c r="C53" s="395"/>
      <c r="D53" s="396"/>
      <c r="E53" s="396"/>
      <c r="F53" s="396"/>
      <c r="G53" s="396"/>
      <c r="H53" s="548"/>
    </row>
    <row r="54" spans="1:11" hidden="1">
      <c r="A54" s="386" t="s">
        <v>536</v>
      </c>
      <c r="B54" s="392" t="s">
        <v>220</v>
      </c>
      <c r="C54" s="395">
        <f>INDEX(Model!$1:$1048576,MATCH(Summary!$A54,Model!$A:$A,0),MATCH(Summary!C$15,Model!$1:$1,0))</f>
        <v>465.90499999999997</v>
      </c>
      <c r="D54" s="396">
        <f>INDEX(Model!$1:$1048576,MATCH(Summary!$A54,Model!$A:$A,0),MATCH(Summary!D$15,Model!$1:$1,0))</f>
        <v>237.38007999999999</v>
      </c>
      <c r="E54" s="396">
        <f>INDEX(Model!$1:$1048576,MATCH(Summary!$A54,Model!$A:$A,0),MATCH(Summary!E$15,Model!$1:$1,0))</f>
        <v>269.10500999999994</v>
      </c>
      <c r="F54" s="396">
        <f>INDEX(Model!$1:$1048576,MATCH(Summary!$A54,Model!$A:$A,0),MATCH(Summary!F$15,Model!$1:$1,0))</f>
        <v>506.4850899999999</v>
      </c>
      <c r="G54" s="396">
        <f>INDEX(Model!$1:$1048576,MATCH(Summary!$A54,Model!$A:$A,0),MATCH(Summary!G$15,Model!$1:$1,0))</f>
        <v>524.37069279999992</v>
      </c>
      <c r="H54" s="548">
        <f>INDEX(Model!$1:$1048576,MATCH(Summary!$A54,Model!$A:$A,0),MATCH(Summary!H$15,Model!$1:$1,0))</f>
        <v>542.5468284079999</v>
      </c>
    </row>
    <row r="55" spans="1:11" hidden="1">
      <c r="A55" s="386" t="s">
        <v>537</v>
      </c>
      <c r="B55" s="392" t="s">
        <v>462</v>
      </c>
      <c r="C55" s="395">
        <f>INDEX(Model!$1:$1048576,MATCH(Summary!$A55,Model!$A:$A,0),MATCH(Summary!C$15,Model!$1:$1,0))</f>
        <v>-356.34399999999999</v>
      </c>
      <c r="D55" s="396">
        <f>INDEX(Model!$1:$1048576,MATCH(Summary!$A55,Model!$A:$A,0),MATCH(Summary!D$15,Model!$1:$1,0))</f>
        <v>-193.39152000000001</v>
      </c>
      <c r="E55" s="396">
        <f>INDEX(Model!$1:$1048576,MATCH(Summary!$A55,Model!$A:$A,0),MATCH(Summary!E$15,Model!$1:$1,0))</f>
        <v>-189.18319</v>
      </c>
      <c r="F55" s="396">
        <f>INDEX(Model!$1:$1048576,MATCH(Summary!$A55,Model!$A:$A,0),MATCH(Summary!F$15,Model!$1:$1,0))</f>
        <v>-382.57470999999998</v>
      </c>
      <c r="G55" s="396">
        <f>INDEX(Model!$1:$1048576,MATCH(Summary!$A55,Model!$A:$A,0),MATCH(Summary!G$15,Model!$1:$1,0))</f>
        <v>-394.05195130000004</v>
      </c>
      <c r="H55" s="548">
        <f>INDEX(Model!$1:$1048576,MATCH(Summary!$A55,Model!$A:$A,0),MATCH(Summary!H$15,Model!$1:$1,0))</f>
        <v>-405.87350983900001</v>
      </c>
    </row>
    <row r="56" spans="1:11" hidden="1">
      <c r="A56" s="386" t="s">
        <v>538</v>
      </c>
      <c r="B56" s="392" t="s">
        <v>463</v>
      </c>
      <c r="C56" s="395">
        <f>INDEX(Model!$1:$1048576,MATCH(Summary!$A56,Model!$A:$A,0),MATCH(Summary!C$15,Model!$1:$1,0))</f>
        <v>109.56099999999998</v>
      </c>
      <c r="D56" s="396">
        <f>INDEX(Model!$1:$1048576,MATCH(Summary!$A56,Model!$A:$A,0),MATCH(Summary!D$15,Model!$1:$1,0))</f>
        <v>43.988559999999978</v>
      </c>
      <c r="E56" s="396">
        <f>INDEX(Model!$1:$1048576,MATCH(Summary!$A56,Model!$A:$A,0),MATCH(Summary!E$15,Model!$1:$1,0))</f>
        <v>79.92181999999994</v>
      </c>
      <c r="F56" s="396">
        <f>INDEX(Model!$1:$1048576,MATCH(Summary!$A56,Model!$A:$A,0),MATCH(Summary!F$15,Model!$1:$1,0))</f>
        <v>123.91037999999992</v>
      </c>
      <c r="G56" s="396">
        <f>INDEX(Model!$1:$1048576,MATCH(Summary!$A56,Model!$A:$A,0),MATCH(Summary!G$15,Model!$1:$1,0))</f>
        <v>130.3187414999999</v>
      </c>
      <c r="H56" s="548">
        <f>INDEX(Model!$1:$1048576,MATCH(Summary!$A56,Model!$A:$A,0),MATCH(Summary!H$15,Model!$1:$1,0))</f>
        <v>136.67331856899992</v>
      </c>
    </row>
    <row r="57" spans="1:11" hidden="1">
      <c r="A57" s="386"/>
      <c r="B57" s="392" t="s">
        <v>585</v>
      </c>
      <c r="C57" s="425">
        <f>C58-C56</f>
        <v>0</v>
      </c>
      <c r="D57" s="396">
        <f t="shared" ref="D57" si="4">D58-D56</f>
        <v>0</v>
      </c>
      <c r="E57" s="396">
        <f t="shared" ref="E57" si="5">E58-E56</f>
        <v>0</v>
      </c>
      <c r="F57" s="396">
        <f t="shared" ref="F57" si="6">F58-F56</f>
        <v>-6.4882320017011637</v>
      </c>
      <c r="G57" s="396">
        <f t="shared" ref="G57:H57" si="7">G58-G56</f>
        <v>-6.8237885237840601</v>
      </c>
      <c r="H57" s="548">
        <f t="shared" si="7"/>
        <v>-7.1565287695678705</v>
      </c>
    </row>
    <row r="58" spans="1:11" hidden="1">
      <c r="A58" s="386" t="s">
        <v>582</v>
      </c>
      <c r="B58" s="392" t="s">
        <v>176</v>
      </c>
      <c r="C58" s="395">
        <f>INDEX(Model!$1:$1048576,MATCH(Summary!$A58,Model!$A:$A,0),MATCH(Summary!C$15,Model!$1:$1,0))</f>
        <v>109.56100000000001</v>
      </c>
      <c r="D58" s="396">
        <f>INDEX(Model!$1:$1048576,MATCH(Summary!$A58,Model!$A:$A,0),MATCH(Summary!D$15,Model!$1:$1,0))</f>
        <v>43.988559999999978</v>
      </c>
      <c r="E58" s="396">
        <f>INDEX(Model!$1:$1048576,MATCH(Summary!$A58,Model!$A:$A,0),MATCH(Summary!E$15,Model!$1:$1,0))</f>
        <v>79.92181999999994</v>
      </c>
      <c r="F58" s="396">
        <f>INDEX(Model!$1:$1048576,MATCH(Summary!$A58,Model!$A:$A,0),MATCH(Summary!F$15,Model!$1:$1,0))</f>
        <v>117.42214799829875</v>
      </c>
      <c r="G58" s="396">
        <f>INDEX(Model!$1:$1048576,MATCH(Summary!$A58,Model!$A:$A,0),MATCH(Summary!G$15,Model!$1:$1,0))</f>
        <v>123.49495297621584</v>
      </c>
      <c r="H58" s="548">
        <f>INDEX(Model!$1:$1048576,MATCH(Summary!$A58,Model!$A:$A,0),MATCH(Summary!H$15,Model!$1:$1,0))</f>
        <v>129.51678979943205</v>
      </c>
    </row>
    <row r="59" spans="1:11" hidden="1">
      <c r="A59" s="386"/>
      <c r="B59" s="392"/>
      <c r="C59" s="395"/>
      <c r="D59" s="396"/>
      <c r="E59" s="396"/>
      <c r="F59" s="396"/>
      <c r="G59" s="396"/>
      <c r="H59" s="548"/>
    </row>
    <row r="60" spans="1:11">
      <c r="A60" s="386"/>
      <c r="B60" s="400" t="s">
        <v>583</v>
      </c>
      <c r="C60" s="378"/>
      <c r="D60" s="379"/>
      <c r="E60" s="379"/>
      <c r="F60" s="379"/>
      <c r="G60" s="379"/>
      <c r="H60" s="550"/>
    </row>
    <row r="61" spans="1:11">
      <c r="A61" s="386" t="s">
        <v>527</v>
      </c>
      <c r="B61" s="392" t="s">
        <v>487</v>
      </c>
      <c r="C61" s="395">
        <f>INDEX(Model!$1:$1048576,MATCH(Summary!$A61,Model!$A:$A,0),MATCH(Summary!C$15,Model!$1:$1,0))</f>
        <v>1501.2539999999999</v>
      </c>
      <c r="D61" s="396">
        <f>INDEX(Model!$1:$1048576,MATCH(Summary!$A61,Model!$A:$A,0),MATCH(Summary!D$15,Model!$1:$1,0))</f>
        <v>769.82494551626985</v>
      </c>
      <c r="E61" s="396">
        <f>INDEX(Model!$1:$1048576,MATCH(Summary!$A61,Model!$A:$A,0),MATCH(Summary!E$15,Model!$1:$1,0))</f>
        <v>828.55800999999997</v>
      </c>
      <c r="F61" s="396">
        <f>INDEX(Model!$1:$1048576,MATCH(Summary!$A61,Model!$A:$A,0),MATCH(Summary!F$15,Model!$1:$1,0))</f>
        <v>1598.3829555162697</v>
      </c>
      <c r="G61" s="396">
        <f>INDEX(Model!$1:$1048576,MATCH(Summary!$A61,Model!$A:$A,0),MATCH(Summary!G$15,Model!$1:$1,0))</f>
        <v>1674.0618881200999</v>
      </c>
      <c r="H61" s="548">
        <f>INDEX(Model!$1:$1048576,MATCH(Summary!$A61,Model!$A:$A,0),MATCH(Summary!H$15,Model!$1:$1,0))</f>
        <v>1754.0774991005183</v>
      </c>
      <c r="K61" s="51"/>
    </row>
    <row r="62" spans="1:11">
      <c r="A62" s="386" t="s">
        <v>528</v>
      </c>
      <c r="B62" s="392" t="s">
        <v>488</v>
      </c>
      <c r="C62" s="395">
        <f>INDEX(Model!$1:$1048576,MATCH(Summary!$A62,Model!$A:$A,0),MATCH(Summary!C$15,Model!$1:$1,0))</f>
        <v>-980.98099999999999</v>
      </c>
      <c r="D62" s="396">
        <f>INDEX(Model!$1:$1048576,MATCH(Summary!$A62,Model!$A:$A,0),MATCH(Summary!D$15,Model!$1:$1,0))</f>
        <v>-521.69198000000006</v>
      </c>
      <c r="E62" s="396">
        <f>INDEX(Model!$1:$1048576,MATCH(Summary!$A62,Model!$A:$A,0),MATCH(Summary!E$15,Model!$1:$1,0))</f>
        <v>-515.50949000000003</v>
      </c>
      <c r="F62" s="396">
        <f>INDEX(Model!$1:$1048576,MATCH(Summary!$A62,Model!$A:$A,0),MATCH(Summary!F$15,Model!$1:$1,0))</f>
        <v>-1037.20147</v>
      </c>
      <c r="G62" s="396">
        <f>INDEX(Model!$1:$1048576,MATCH(Summary!$A62,Model!$A:$A,0),MATCH(Summary!G$15,Model!$1:$1,0))</f>
        <v>-1079.4750102</v>
      </c>
      <c r="H62" s="548">
        <f>INDEX(Model!$1:$1048576,MATCH(Summary!$A62,Model!$A:$A,0),MATCH(Summary!H$15,Model!$1:$1,0))</f>
        <v>-1112.8193162920002</v>
      </c>
      <c r="K62" s="51"/>
    </row>
    <row r="63" spans="1:11" s="28" customFormat="1">
      <c r="A63" s="394" t="s">
        <v>535</v>
      </c>
      <c r="B63" s="387" t="s">
        <v>362</v>
      </c>
      <c r="C63" s="401">
        <f>INDEX(Model!$1:$1048576,MATCH(Summary!$A63,Model!$A:$A,0),MATCH(Summary!C$15,Model!$1:$1,0))</f>
        <v>520.27299999999991</v>
      </c>
      <c r="D63" s="403">
        <f>INDEX(Model!$1:$1048576,MATCH(Summary!$A63,Model!$A:$A,0),MATCH(Summary!D$15,Model!$1:$1,0))</f>
        <v>248.13296551626979</v>
      </c>
      <c r="E63" s="403">
        <f>INDEX(Model!$1:$1048576,MATCH(Summary!$A63,Model!$A:$A,0),MATCH(Summary!E$15,Model!$1:$1,0))</f>
        <v>313.04851999999994</v>
      </c>
      <c r="F63" s="403">
        <f>INDEX(Model!$1:$1048576,MATCH(Summary!$A63,Model!$A:$A,0),MATCH(Summary!F$15,Model!$1:$1,0))</f>
        <v>561.18148551626973</v>
      </c>
      <c r="G63" s="403">
        <f>INDEX(Model!$1:$1048576,MATCH(Summary!$A63,Model!$A:$A,0),MATCH(Summary!G$15,Model!$1:$1,0))</f>
        <v>594.58687792009971</v>
      </c>
      <c r="H63" s="549">
        <f>INDEX(Model!$1:$1048576,MATCH(Summary!$A63,Model!$A:$A,0),MATCH(Summary!H$15,Model!$1:$1,0))</f>
        <v>641.2581828085182</v>
      </c>
      <c r="K63" s="51"/>
    </row>
    <row r="64" spans="1:11">
      <c r="A64" s="386" t="s">
        <v>529</v>
      </c>
      <c r="B64" s="392" t="s">
        <v>364</v>
      </c>
      <c r="C64" s="395">
        <f>INDEX(Model!$1:$1048576,MATCH(Summary!$A64,Model!$A:$A,0),MATCH(Summary!C$15,Model!$1:$1,0))</f>
        <v>-23.710999999999999</v>
      </c>
      <c r="D64" s="396">
        <f>INDEX(Model!$1:$1048576,MATCH(Summary!$A64,Model!$A:$A,0),MATCH(Summary!D$15,Model!$1:$1,0))</f>
        <v>-14.276300000000001</v>
      </c>
      <c r="E64" s="396">
        <f>INDEX(Model!$1:$1048576,MATCH(Summary!$A64,Model!$A:$A,0),MATCH(Summary!E$15,Model!$1:$1,0))</f>
        <v>-9.2007800000000017</v>
      </c>
      <c r="F64" s="396">
        <f>INDEX(Model!$1:$1048576,MATCH(Summary!$A64,Model!$A:$A,0),MATCH(Summary!F$15,Model!$1:$1,0))</f>
        <v>-23.477080000000001</v>
      </c>
      <c r="G64" s="396">
        <f>INDEX(Model!$1:$1048576,MATCH(Summary!$A64,Model!$A:$A,0),MATCH(Summary!G$15,Model!$1:$1,0))</f>
        <v>-24.010621600000004</v>
      </c>
      <c r="H64" s="548">
        <f>INDEX(Model!$1:$1048576,MATCH(Summary!$A64,Model!$A:$A,0),MATCH(Summary!H$15,Model!$1:$1,0))</f>
        <v>-24.554834032000002</v>
      </c>
      <c r="K64" s="51"/>
    </row>
    <row r="65" spans="1:11" s="28" customFormat="1">
      <c r="A65" s="394" t="s">
        <v>530</v>
      </c>
      <c r="B65" s="387" t="s">
        <v>359</v>
      </c>
      <c r="C65" s="401">
        <f>INDEX(Model!$1:$1048576,MATCH(Summary!$A65,Model!$A:$A,0),MATCH(Summary!C$15,Model!$1:$1,0))</f>
        <v>496.5619999999999</v>
      </c>
      <c r="D65" s="403">
        <f>INDEX(Model!$1:$1048576,MATCH(Summary!$A65,Model!$A:$A,0),MATCH(Summary!D$15,Model!$1:$1,0))</f>
        <v>233.8566655162698</v>
      </c>
      <c r="E65" s="403">
        <f>INDEX(Model!$1:$1048576,MATCH(Summary!$A65,Model!$A:$A,0),MATCH(Summary!E$15,Model!$1:$1,0))</f>
        <v>303.84773999999993</v>
      </c>
      <c r="F65" s="403">
        <f>INDEX(Model!$1:$1048576,MATCH(Summary!$A65,Model!$A:$A,0),MATCH(Summary!F$15,Model!$1:$1,0))</f>
        <v>537.70440551626973</v>
      </c>
      <c r="G65" s="403">
        <f>INDEX(Model!$1:$1048576,MATCH(Summary!$A65,Model!$A:$A,0),MATCH(Summary!G$15,Model!$1:$1,0))</f>
        <v>570.57625632009967</v>
      </c>
      <c r="H65" s="549">
        <f>INDEX(Model!$1:$1048576,MATCH(Summary!$A65,Model!$A:$A,0),MATCH(Summary!H$15,Model!$1:$1,0))</f>
        <v>616.70334877651817</v>
      </c>
      <c r="K65" s="51"/>
    </row>
    <row r="66" spans="1:11">
      <c r="A66" s="386" t="s">
        <v>531</v>
      </c>
      <c r="B66" s="392" t="s">
        <v>360</v>
      </c>
      <c r="C66" s="395">
        <f>INDEX(Model!$1:$1048576,MATCH(Summary!$A66,Model!$A:$A,0),MATCH(Summary!C$15,Model!$1:$1,0))</f>
        <v>-59.484999999999872</v>
      </c>
      <c r="D66" s="396">
        <f>INDEX(Model!$1:$1048576,MATCH(Summary!$A66,Model!$A:$A,0),MATCH(Summary!D$15,Model!$1:$1,0))</f>
        <v>-32.016999999999996</v>
      </c>
      <c r="E66" s="396">
        <f>INDEX(Model!$1:$1048576,MATCH(Summary!$A66,Model!$A:$A,0),MATCH(Summary!E$15,Model!$1:$1,0))</f>
        <v>-32.016999999999996</v>
      </c>
      <c r="F66" s="396">
        <f>INDEX(Model!$1:$1048576,MATCH(Summary!$A66,Model!$A:$A,0),MATCH(Summary!F$15,Model!$1:$1,0))</f>
        <v>-64.033999999999992</v>
      </c>
      <c r="G66" s="396">
        <f>INDEX(Model!$1:$1048576,MATCH(Summary!$A66,Model!$A:$A,0),MATCH(Summary!G$15,Model!$1:$1,0))</f>
        <v>-63.033999999999992</v>
      </c>
      <c r="H66" s="548">
        <f>INDEX(Model!$1:$1048576,MATCH(Summary!$A66,Model!$A:$A,0),MATCH(Summary!H$15,Model!$1:$1,0))</f>
        <v>-63.033999999999992</v>
      </c>
      <c r="K66" s="51"/>
    </row>
    <row r="67" spans="1:11" s="28" customFormat="1">
      <c r="A67" s="394" t="s">
        <v>508</v>
      </c>
      <c r="B67" s="387" t="s">
        <v>509</v>
      </c>
      <c r="C67" s="401">
        <f>INDEX(Model!$1:$1048576,MATCH(Summary!$A67,Model!$A:$A,0),MATCH(Summary!C$15,Model!$1:$1,0))</f>
        <v>437.077</v>
      </c>
      <c r="D67" s="403">
        <f>INDEX(Model!$1:$1048576,MATCH(Summary!$A67,Model!$A:$A,0),MATCH(Summary!D$15,Model!$1:$1,0))</f>
        <v>201.8396655162698</v>
      </c>
      <c r="E67" s="403">
        <f>INDEX(Model!$1:$1048576,MATCH(Summary!$A67,Model!$A:$A,0),MATCH(Summary!E$15,Model!$1:$1,0))</f>
        <v>271.83073999999993</v>
      </c>
      <c r="F67" s="403">
        <f>INDEX(Model!$1:$1048576,MATCH(Summary!$A67,Model!$A:$A,0),MATCH(Summary!F$15,Model!$1:$1,0))</f>
        <v>473.67040551626974</v>
      </c>
      <c r="G67" s="403">
        <f>INDEX(Model!$1:$1048576,MATCH(Summary!$A67,Model!$A:$A,0),MATCH(Summary!G$15,Model!$1:$1,0))</f>
        <v>507.54225632009968</v>
      </c>
      <c r="H67" s="549">
        <f>INDEX(Model!$1:$1048576,MATCH(Summary!$A67,Model!$A:$A,0),MATCH(Summary!H$15,Model!$1:$1,0))</f>
        <v>553.66934877651829</v>
      </c>
      <c r="K67" s="51"/>
    </row>
    <row r="68" spans="1:11">
      <c r="A68" s="386" t="s">
        <v>507</v>
      </c>
      <c r="B68" s="392" t="s">
        <v>361</v>
      </c>
      <c r="C68" s="395">
        <f>INDEX(Model!$1:$1048576,MATCH(Summary!$A68,Model!$A:$A,0),MATCH(Summary!C$15,Model!$1:$1,0))</f>
        <v>-153.15200000000002</v>
      </c>
      <c r="D68" s="396">
        <f>INDEX(Model!$1:$1048576,MATCH(Summary!$A68,Model!$A:$A,0),MATCH(Summary!D$15,Model!$1:$1,0))</f>
        <v>-75.531281835856817</v>
      </c>
      <c r="E68" s="396">
        <f>INDEX(Model!$1:$1048576,MATCH(Summary!$A68,Model!$A:$A,0),MATCH(Summary!E$15,Model!$1:$1,0))</f>
        <v>-88.177241721569601</v>
      </c>
      <c r="F68" s="396">
        <f>INDEX(Model!$1:$1048576,MATCH(Summary!$A68,Model!$A:$A,0),MATCH(Summary!F$15,Model!$1:$1,0))</f>
        <v>-163.70852355742642</v>
      </c>
      <c r="G68" s="396">
        <f>INDEX(Model!$1:$1048576,MATCH(Summary!$A68,Model!$A:$A,0),MATCH(Summary!G$15,Model!$1:$1,0))</f>
        <v>-173.87360807388882</v>
      </c>
      <c r="H68" s="548">
        <f>INDEX(Model!$1:$1048576,MATCH(Summary!$A68,Model!$A:$A,0),MATCH(Summary!H$15,Model!$1:$1,0))</f>
        <v>-188.84128488309108</v>
      </c>
      <c r="K68" s="51"/>
    </row>
    <row r="69" spans="1:11" s="28" customFormat="1">
      <c r="A69" s="394" t="s">
        <v>510</v>
      </c>
      <c r="B69" s="387" t="s">
        <v>295</v>
      </c>
      <c r="C69" s="401">
        <f>INDEX(Model!$1:$1048576,MATCH(Summary!$A69,Model!$A:$A,0),MATCH(Summary!C$15,Model!$1:$1,0))</f>
        <v>283.92500000000001</v>
      </c>
      <c r="D69" s="403">
        <f>INDEX(Model!$1:$1048576,MATCH(Summary!$A69,Model!$A:$A,0),MATCH(Summary!D$15,Model!$1:$1,0))</f>
        <v>126.30838368041299</v>
      </c>
      <c r="E69" s="403">
        <f>INDEX(Model!$1:$1048576,MATCH(Summary!$A69,Model!$A:$A,0),MATCH(Summary!E$15,Model!$1:$1,0))</f>
        <v>183.65349827843033</v>
      </c>
      <c r="F69" s="403">
        <f>INDEX(Model!$1:$1048576,MATCH(Summary!$A69,Model!$A:$A,0),MATCH(Summary!F$15,Model!$1:$1,0))</f>
        <v>309.96188195884332</v>
      </c>
      <c r="G69" s="403">
        <f>INDEX(Model!$1:$1048576,MATCH(Summary!$A69,Model!$A:$A,0),MATCH(Summary!G$15,Model!$1:$1,0))</f>
        <v>333.66864824621092</v>
      </c>
      <c r="H69" s="549">
        <f>INDEX(Model!$1:$1048576,MATCH(Summary!$A69,Model!$A:$A,0),MATCH(Summary!H$15,Model!$1:$1,0))</f>
        <v>364.82806389342716</v>
      </c>
      <c r="K69" s="51"/>
    </row>
    <row r="70" spans="1:11" s="28" customFormat="1">
      <c r="A70" s="394" t="s">
        <v>470</v>
      </c>
      <c r="B70" s="430" t="s">
        <v>632</v>
      </c>
      <c r="C70" s="395">
        <f>INDEX(Model!$1:$1048576,MATCH(Summary!$A70,Model!$A:$A,0),MATCH(Summary!C$15,Model!$1:$1,0))</f>
        <v>135.584</v>
      </c>
      <c r="D70" s="396">
        <f>INDEX(Model!$1:$1048576,MATCH(Summary!$A70,Model!$A:$A,0),MATCH(Summary!D$15,Model!$1:$1,0))</f>
        <v>70.912906249999963</v>
      </c>
      <c r="E70" s="396">
        <f>INDEX(Model!$1:$1048576,MATCH(Summary!$A70,Model!$A:$A,0),MATCH(Summary!E$15,Model!$1:$1,0))</f>
        <v>77.164806249999998</v>
      </c>
      <c r="F70" s="396">
        <f>INDEX(Model!$1:$1048576,MATCH(Summary!$A70,Model!$A:$A,0),MATCH(Summary!F$15,Model!$1:$1,0))</f>
        <v>148.07771249999996</v>
      </c>
      <c r="G70" s="396">
        <f>INDEX(Model!$1:$1048576,MATCH(Summary!$A70,Model!$A:$A,0),MATCH(Summary!G$15,Model!$1:$1,0))</f>
        <v>156.68185566406248</v>
      </c>
      <c r="H70" s="548">
        <f>INDEX(Model!$1:$1048576,MATCH(Summary!$A70,Model!$A:$A,0),MATCH(Summary!H$15,Model!$1:$1,0))</f>
        <v>173.23816558017569</v>
      </c>
      <c r="K70" s="51"/>
    </row>
    <row r="71" spans="1:11" s="28" customFormat="1">
      <c r="A71" s="394" t="s">
        <v>471</v>
      </c>
      <c r="B71" s="430" t="s">
        <v>633</v>
      </c>
      <c r="C71" s="395">
        <f>INDEX(Model!$1:$1048576,MATCH(Summary!$A71,Model!$A:$A,0),MATCH(Summary!C$15,Model!$1:$1,0))</f>
        <v>71.968999999999994</v>
      </c>
      <c r="D71" s="396">
        <f>INDEX(Model!$1:$1048576,MATCH(Summary!$A71,Model!$A:$A,0),MATCH(Summary!D$15,Model!$1:$1,0))</f>
        <v>33.90153869951655</v>
      </c>
      <c r="E71" s="396">
        <f>INDEX(Model!$1:$1048576,MATCH(Summary!$A71,Model!$A:$A,0),MATCH(Summary!E$15,Model!$1:$1,0))</f>
        <v>42.44763921124374</v>
      </c>
      <c r="F71" s="396">
        <f>INDEX(Model!$1:$1048576,MATCH(Summary!$A71,Model!$A:$A,0),MATCH(Summary!F$15,Model!$1:$1,0))</f>
        <v>76.349177910760289</v>
      </c>
      <c r="G71" s="396">
        <f>INDEX(Model!$1:$1048576,MATCH(Summary!$A71,Model!$A:$A,0),MATCH(Summary!G$15,Model!$1:$1,0))</f>
        <v>81.521348136673708</v>
      </c>
      <c r="H71" s="548">
        <f>INDEX(Model!$1:$1048576,MATCH(Summary!$A71,Model!$A:$A,0),MATCH(Summary!H$15,Model!$1:$1,0))</f>
        <v>87.015835470817933</v>
      </c>
      <c r="K71" s="51"/>
    </row>
    <row r="72" spans="1:11" s="28" customFormat="1">
      <c r="A72" s="394" t="s">
        <v>581</v>
      </c>
      <c r="B72" s="430" t="s">
        <v>634</v>
      </c>
      <c r="C72" s="395">
        <f>INDEX(Model!$1:$1048576,MATCH(Summary!$A72,Model!$A:$A,0),MATCH(Summary!C$15,Model!$1:$1,0))</f>
        <v>19.129000000000001</v>
      </c>
      <c r="D72" s="396">
        <f>INDEX(Model!$1:$1048576,MATCH(Summary!$A72,Model!$A:$A,0),MATCH(Summary!D$15,Model!$1:$1,0))</f>
        <v>9.5397403799123328</v>
      </c>
      <c r="E72" s="396">
        <f>INDEX(Model!$1:$1048576,MATCH(Summary!$A72,Model!$A:$A,0),MATCH(Summary!E$15,Model!$1:$1,0))</f>
        <v>11.782613170806741</v>
      </c>
      <c r="F72" s="396">
        <f>INDEX(Model!$1:$1048576,MATCH(Summary!$A72,Model!$A:$A,0),MATCH(Summary!F$15,Model!$1:$1,0))</f>
        <v>21.322353550719072</v>
      </c>
      <c r="G72" s="396">
        <f>INDEX(Model!$1:$1048576,MATCH(Summary!$A72,Model!$A:$A,0),MATCH(Summary!G$15,Model!$1:$1,0))</f>
        <v>22.64232533115436</v>
      </c>
      <c r="H72" s="548">
        <f>INDEX(Model!$1:$1048576,MATCH(Summary!$A72,Model!$A:$A,0),MATCH(Summary!H$15,Model!$1:$1,0))</f>
        <v>23.803687087214502</v>
      </c>
      <c r="K72" s="51"/>
    </row>
    <row r="73" spans="1:11" s="28" customFormat="1">
      <c r="A73" s="394" t="s">
        <v>472</v>
      </c>
      <c r="B73" s="430" t="s">
        <v>635</v>
      </c>
      <c r="C73" s="395">
        <f>INDEX(Model!$1:$1048576,MATCH(Summary!$A73,Model!$A:$A,0),MATCH(Summary!C$15,Model!$1:$1,0))</f>
        <v>23.210999999999999</v>
      </c>
      <c r="D73" s="396">
        <f>INDEX(Model!$1:$1048576,MATCH(Summary!$A73,Model!$A:$A,0),MATCH(Summary!D$15,Model!$1:$1,0))</f>
        <v>10.143280352685355</v>
      </c>
      <c r="E73" s="396">
        <f>INDEX(Model!$1:$1048576,MATCH(Summary!$A73,Model!$A:$A,0),MATCH(Summary!E$15,Model!$1:$1,0))</f>
        <v>11.32028964637993</v>
      </c>
      <c r="F73" s="396">
        <f>INDEX(Model!$1:$1048576,MATCH(Summary!$A73,Model!$A:$A,0),MATCH(Summary!F$15,Model!$1:$1,0))</f>
        <v>21.463569999065285</v>
      </c>
      <c r="G73" s="396">
        <f>INDEX(Model!$1:$1048576,MATCH(Summary!$A73,Model!$A:$A,0),MATCH(Summary!G$15,Model!$1:$1,0))</f>
        <v>23.534787738104374</v>
      </c>
      <c r="H73" s="548">
        <f>INDEX(Model!$1:$1048576,MATCH(Summary!$A73,Model!$A:$A,0),MATCH(Summary!H$15,Model!$1:$1,0))</f>
        <v>26.004419987787077</v>
      </c>
      <c r="K73" s="51"/>
    </row>
    <row r="74" spans="1:11" s="28" customFormat="1">
      <c r="A74" s="394" t="s">
        <v>639</v>
      </c>
      <c r="B74" s="430" t="s">
        <v>636</v>
      </c>
      <c r="C74" s="395">
        <f>INDEX(Model!$1:$1048576,MATCH(Summary!$A74,Model!$A:$A,0),MATCH(Summary!C$15,Model!$1:$1,0))</f>
        <v>104.072</v>
      </c>
      <c r="D74" s="396">
        <f>INDEX(Model!$1:$1048576,MATCH(Summary!$A74,Model!$A:$A,0),MATCH(Summary!D$15,Model!$1:$1,0))</f>
        <v>41.685217998298818</v>
      </c>
      <c r="E74" s="396">
        <f>INDEX(Model!$1:$1048576,MATCH(Summary!$A74,Model!$A:$A,0),MATCH(Summary!E$15,Model!$1:$1,0))</f>
        <v>75.736929999999944</v>
      </c>
      <c r="F74" s="396">
        <f>INDEX(Model!$1:$1048576,MATCH(Summary!$A74,Model!$A:$A,0),MATCH(Summary!F$15,Model!$1:$1,0))</f>
        <v>117.42214799829875</v>
      </c>
      <c r="G74" s="396">
        <f>INDEX(Model!$1:$1048576,MATCH(Summary!$A74,Model!$A:$A,0),MATCH(Summary!G$15,Model!$1:$1,0))</f>
        <v>123.49495297621584</v>
      </c>
      <c r="H74" s="548">
        <f>INDEX(Model!$1:$1048576,MATCH(Summary!$A74,Model!$A:$A,0),MATCH(Summary!H$15,Model!$1:$1,0))</f>
        <v>129.51678979943205</v>
      </c>
      <c r="K74" s="51"/>
    </row>
    <row r="75" spans="1:11" s="28" customFormat="1">
      <c r="A75" s="394" t="s">
        <v>638</v>
      </c>
      <c r="B75" s="430" t="s">
        <v>637</v>
      </c>
      <c r="C75" s="395">
        <f>INDEX(Model!$1:$1048576,MATCH(Summary!$A75,Model!$A:$A,0),MATCH(Summary!C$15,Model!$1:$1,0))</f>
        <v>-70.040000000000006</v>
      </c>
      <c r="D75" s="396">
        <f>INDEX(Model!$1:$1048576,MATCH(Summary!$A75,Model!$A:$A,0),MATCH(Summary!D$15,Model!$1:$1,0))</f>
        <v>-39.874299999999998</v>
      </c>
      <c r="E75" s="396">
        <f>INDEX(Model!$1:$1048576,MATCH(Summary!$A75,Model!$A:$A,0),MATCH(Summary!E$15,Model!$1:$1,0))</f>
        <v>-34.798780000000001</v>
      </c>
      <c r="F75" s="396">
        <f>INDEX(Model!$1:$1048576,MATCH(Summary!$A75,Model!$A:$A,0),MATCH(Summary!F$15,Model!$1:$1,0))</f>
        <v>-74.673079999999999</v>
      </c>
      <c r="G75" s="396">
        <f>INDEX(Model!$1:$1048576,MATCH(Summary!$A75,Model!$A:$A,0),MATCH(Summary!G$15,Model!$1:$1,0))</f>
        <v>-74.206621600000005</v>
      </c>
      <c r="H75" s="548">
        <f>INDEX(Model!$1:$1048576,MATCH(Summary!$A75,Model!$A:$A,0),MATCH(Summary!H$15,Model!$1:$1,0))</f>
        <v>-74.750834032</v>
      </c>
      <c r="K75" s="51"/>
    </row>
    <row r="76" spans="1:11">
      <c r="A76" s="386" t="s">
        <v>532</v>
      </c>
      <c r="B76" s="392" t="s">
        <v>217</v>
      </c>
      <c r="C76" s="395">
        <f>INDEX(Model!$1:$1048576,MATCH(Summary!$A76,Model!$A:$A,0),MATCH(Summary!C$15,Model!$1:$1,0))</f>
        <v>-83.704999999999998</v>
      </c>
      <c r="D76" s="396">
        <f>INDEX(Model!$1:$1048576,MATCH(Summary!$A76,Model!$A:$A,0),MATCH(Summary!D$15,Model!$1:$1,0))</f>
        <v>-35.616824015688195</v>
      </c>
      <c r="E76" s="396">
        <f>INDEX(Model!$1:$1048576,MATCH(Summary!$A76,Model!$A:$A,0),MATCH(Summary!E$15,Model!$1:$1,0))</f>
        <v>-51.095936696464712</v>
      </c>
      <c r="F76" s="396">
        <f>INDEX(Model!$1:$1048576,MATCH(Summary!$A76,Model!$A:$A,0),MATCH(Summary!F$15,Model!$1:$1,0))</f>
        <v>-86.712760712152914</v>
      </c>
      <c r="G76" s="396">
        <f>INDEX(Model!$1:$1048576,MATCH(Summary!$A76,Model!$A:$A,0),MATCH(Summary!G$15,Model!$1:$1,0))</f>
        <v>-93.481235623203517</v>
      </c>
      <c r="H76" s="548">
        <f>INDEX(Model!$1:$1048576,MATCH(Summary!$A76,Model!$A:$A,0),MATCH(Summary!H$15,Model!$1:$1,0))</f>
        <v>-102.48089704711464</v>
      </c>
      <c r="K76" s="51"/>
    </row>
    <row r="77" spans="1:11" s="28" customFormat="1">
      <c r="A77" s="394" t="s">
        <v>533</v>
      </c>
      <c r="B77" s="408" t="s">
        <v>289</v>
      </c>
      <c r="C77" s="409">
        <f>INDEX(Model!$1:$1048576,MATCH(Summary!$A77,Model!$A:$A,0),MATCH(Summary!C$15,Model!$1:$1,0))</f>
        <v>200.22000000000003</v>
      </c>
      <c r="D77" s="410">
        <f>INDEX(Model!$1:$1048576,MATCH(Summary!$A77,Model!$A:$A,0),MATCH(Summary!D$15,Model!$1:$1,0))</f>
        <v>90.691559664724792</v>
      </c>
      <c r="E77" s="410">
        <f>INDEX(Model!$1:$1048576,MATCH(Summary!$A77,Model!$A:$A,0),MATCH(Summary!E$15,Model!$1:$1,0))</f>
        <v>132.55756158196562</v>
      </c>
      <c r="F77" s="410">
        <f>INDEX(Model!$1:$1048576,MATCH(Summary!$A77,Model!$A:$A,0),MATCH(Summary!F$15,Model!$1:$1,0))</f>
        <v>223.24912124669041</v>
      </c>
      <c r="G77" s="410">
        <f>INDEX(Model!$1:$1048576,MATCH(Summary!$A77,Model!$A:$A,0),MATCH(Summary!G$15,Model!$1:$1,0))</f>
        <v>240.18741262300742</v>
      </c>
      <c r="H77" s="551">
        <f>INDEX(Model!$1:$1048576,MATCH(Summary!$A77,Model!$A:$A,0),MATCH(Summary!H$15,Model!$1:$1,0))</f>
        <v>262.34716684631252</v>
      </c>
      <c r="K77" s="51"/>
    </row>
    <row r="78" spans="1:11">
      <c r="A78" s="386"/>
      <c r="B78" s="380"/>
      <c r="C78" s="378"/>
      <c r="D78" s="379"/>
      <c r="E78" s="554"/>
      <c r="F78" s="379"/>
      <c r="G78" s="379"/>
      <c r="H78" s="553"/>
      <c r="K78" s="51"/>
    </row>
    <row r="79" spans="1:11">
      <c r="A79" s="386" t="s">
        <v>113</v>
      </c>
      <c r="B79" s="392" t="s">
        <v>4</v>
      </c>
      <c r="C79" s="395">
        <f>INDEX(Model!$1:$1048576,MATCH(Summary!$A79,Model!$A:$A,0),MATCH(Summary!C$15,Model!$1:$1,0))</f>
        <v>116.587434</v>
      </c>
      <c r="D79" s="396">
        <f>INDEX(Model!$1:$1048576,MATCH(Summary!$A79,Model!$A:$A,0),MATCH(Summary!D$15,Model!$1:$1,0))</f>
        <v>116.587434</v>
      </c>
      <c r="E79" s="396">
        <f>INDEX(Model!$1:$1048576,MATCH(Summary!$A79,Model!$A:$A,0),MATCH(Summary!E$15,Model!$1:$1,0))</f>
        <v>116.587434</v>
      </c>
      <c r="F79" s="396">
        <f>INDEX(Model!$1:$1048576,MATCH(Summary!$A79,Model!$A:$A,0),MATCH(Summary!F$15,Model!$1:$1,0))</f>
        <v>116.587434</v>
      </c>
      <c r="G79" s="396">
        <f>INDEX(Model!$1:$1048576,MATCH(Summary!$A79,Model!$A:$A,0),MATCH(Summary!G$15,Model!$1:$1,0))</f>
        <v>116.587434</v>
      </c>
      <c r="H79" s="548">
        <f>INDEX(Model!$1:$1048576,MATCH(Summary!$A79,Model!$A:$A,0),MATCH(Summary!H$15,Model!$1:$1,0))</f>
        <v>116.587434</v>
      </c>
      <c r="K79" s="51"/>
    </row>
    <row r="80" spans="1:11">
      <c r="A80" s="386" t="s">
        <v>114</v>
      </c>
      <c r="B80" s="392" t="s">
        <v>5</v>
      </c>
      <c r="C80" s="395">
        <f>INDEX(Model!$1:$1048576,MATCH(Summary!$A80,Model!$A:$A,0),MATCH(Summary!C$15,Model!$1:$1,0))</f>
        <v>116.577471</v>
      </c>
      <c r="D80" s="396">
        <f>INDEX(Model!$1:$1048576,MATCH(Summary!$A80,Model!$A:$A,0),MATCH(Summary!D$15,Model!$1:$1,0))</f>
        <v>116.587434</v>
      </c>
      <c r="E80" s="396">
        <f>INDEX(Model!$1:$1048576,MATCH(Summary!$A80,Model!$A:$A,0),MATCH(Summary!E$15,Model!$1:$1,0))</f>
        <v>116.587434</v>
      </c>
      <c r="F80" s="396">
        <f>INDEX(Model!$1:$1048576,MATCH(Summary!$A80,Model!$A:$A,0),MATCH(Summary!F$15,Model!$1:$1,0))</f>
        <v>116.587434</v>
      </c>
      <c r="G80" s="396">
        <f>INDEX(Model!$1:$1048576,MATCH(Summary!$A80,Model!$A:$A,0),MATCH(Summary!G$15,Model!$1:$1,0))</f>
        <v>116.587434</v>
      </c>
      <c r="H80" s="548">
        <f>INDEX(Model!$1:$1048576,MATCH(Summary!$A80,Model!$A:$A,0),MATCH(Summary!H$15,Model!$1:$1,0))</f>
        <v>116.587434</v>
      </c>
      <c r="K80" s="51"/>
    </row>
    <row r="81" spans="1:11">
      <c r="A81" s="386" t="s">
        <v>115</v>
      </c>
      <c r="B81" s="392" t="s">
        <v>35</v>
      </c>
      <c r="C81" s="395">
        <f>INDEX(Model!$1:$1048576,MATCH(Summary!$A81,Model!$A:$A,0),MATCH(Summary!C$15,Model!$1:$1,0))</f>
        <v>117.495</v>
      </c>
      <c r="D81" s="396">
        <f>INDEX(Model!$1:$1048576,MATCH(Summary!$A81,Model!$A:$A,0),MATCH(Summary!D$15,Model!$1:$1,0))</f>
        <v>117.50504141430552</v>
      </c>
      <c r="E81" s="396">
        <f>INDEX(Model!$1:$1048576,MATCH(Summary!$A81,Model!$A:$A,0),MATCH(Summary!E$15,Model!$1:$1,0))</f>
        <v>117.50504141430552</v>
      </c>
      <c r="F81" s="396">
        <f>INDEX(Model!$1:$1048576,MATCH(Summary!$A81,Model!$A:$A,0),MATCH(Summary!F$15,Model!$1:$1,0))</f>
        <v>116.587434</v>
      </c>
      <c r="G81" s="396">
        <f>INDEX(Model!$1:$1048576,MATCH(Summary!$A81,Model!$A:$A,0),MATCH(Summary!G$15,Model!$1:$1,0))</f>
        <v>116.587434</v>
      </c>
      <c r="H81" s="548">
        <f>INDEX(Model!$1:$1048576,MATCH(Summary!$A81,Model!$A:$A,0),MATCH(Summary!H$15,Model!$1:$1,0))</f>
        <v>116.587434</v>
      </c>
      <c r="K81" s="51"/>
    </row>
    <row r="82" spans="1:11">
      <c r="A82" s="386" t="s">
        <v>172</v>
      </c>
      <c r="B82" s="392" t="s">
        <v>171</v>
      </c>
      <c r="C82" s="395">
        <f>INDEX(Model!$1:$1048576,MATCH(Summary!$A82,Model!$A:$A,0),MATCH(Summary!C$15,Model!$1:$1,0))*100</f>
        <v>170.40725137239886</v>
      </c>
      <c r="D82" s="396">
        <f>INDEX(Model!$1:$1048576,MATCH(Summary!$A82,Model!$A:$A,0),MATCH(Summary!D$15,Model!$1:$1,0))*100</f>
        <v>77.180994596614511</v>
      </c>
      <c r="E82" s="396">
        <f>INDEX(Model!$1:$1048576,MATCH(Summary!$A82,Model!$A:$A,0),MATCH(Summary!E$15,Model!$1:$1,0))*100</f>
        <v>112.81010583587398</v>
      </c>
      <c r="F82" s="396">
        <f>INDEX(Model!$1:$1048576,MATCH(Summary!$A82,Model!$A:$A,0),MATCH(Summary!F$15,Model!$1:$1,0))*100</f>
        <v>191.48643519051154</v>
      </c>
      <c r="G82" s="396">
        <f>INDEX(Model!$1:$1048576,MATCH(Summary!$A82,Model!$A:$A,0),MATCH(Summary!G$15,Model!$1:$1,0))*100</f>
        <v>206.01483743351571</v>
      </c>
      <c r="H82" s="548">
        <f>INDEX(Model!$1:$1048576,MATCH(Summary!$A82,Model!$A:$A,0),MATCH(Summary!H$15,Model!$1:$1,0))*100</f>
        <v>225.02182083046148</v>
      </c>
      <c r="K82" s="51"/>
    </row>
    <row r="83" spans="1:11">
      <c r="A83" s="386"/>
      <c r="B83" s="392"/>
      <c r="C83" s="378"/>
      <c r="D83" s="396"/>
      <c r="E83" s="396"/>
      <c r="F83" s="396"/>
      <c r="G83" s="396"/>
      <c r="H83" s="548"/>
      <c r="K83" s="51"/>
    </row>
    <row r="84" spans="1:11">
      <c r="A84" s="180" t="s">
        <v>601</v>
      </c>
      <c r="B84" s="392" t="s">
        <v>608</v>
      </c>
      <c r="C84" s="395">
        <f>INDEX(Model!$1:$1048576,MATCH(Summary!$A84,Model!$A:$A,0),MATCH(Summary!C$15,Model!$1:$1,0))*100</f>
        <v>34.655894338999261</v>
      </c>
      <c r="D84" s="396">
        <f>INDEX(Model!$1:$1048576,MATCH(Summary!$A84,Model!$A:$A,0),MATCH(Summary!D$15,Model!$1:$1,0))*100</f>
        <v>32.232388280151625</v>
      </c>
      <c r="E84" s="396">
        <f>INDEX(Model!$1:$1048576,MATCH(Summary!$A84,Model!$A:$A,0),MATCH(Summary!E$15,Model!$1:$1,0))*100</f>
        <v>37.782329809351545</v>
      </c>
      <c r="F84" s="396">
        <f>INDEX(Model!$1:$1048576,MATCH(Summary!$A84,Model!$A:$A,0),MATCH(Summary!F$15,Model!$1:$1,0))*100</f>
        <v>35.10932618366234</v>
      </c>
      <c r="G84" s="396">
        <f>INDEX(Model!$1:$1048576,MATCH(Summary!$A84,Model!$A:$A,0),MATCH(Summary!G$15,Model!$1:$1,0))*100</f>
        <v>35.517616292417685</v>
      </c>
      <c r="H84" s="548">
        <f>INDEX(Model!$1:$1048576,MATCH(Summary!$A84,Model!$A:$A,0),MATCH(Summary!H$15,Model!$1:$1,0))*100</f>
        <v>36.558144274546137</v>
      </c>
      <c r="K84" s="51"/>
    </row>
    <row r="85" spans="1:11" ht="12" customHeight="1">
      <c r="A85" s="386" t="s">
        <v>138</v>
      </c>
      <c r="B85" s="392" t="s">
        <v>134</v>
      </c>
      <c r="C85" s="395">
        <f>INDEX(Model!$1:$1048576,MATCH(Summary!$A85,Model!$A:$A,0),MATCH(Summary!C$15,Model!$1:$1,0))*100</f>
        <v>91</v>
      </c>
      <c r="D85" s="396">
        <f>INDEX(Model!$1:$1048576,MATCH(Summary!$A85,Model!$A:$A,0),MATCH(Summary!D$15,Model!$1:$1,0))*100</f>
        <v>27.225958058785025</v>
      </c>
      <c r="E85" s="396">
        <f>INDEX(Model!$1:$1048576,MATCH(Summary!$A85,Model!$A:$A,0),MATCH(Summary!E$15,Model!$1:$1,0))*100</f>
        <v>73.903689336088874</v>
      </c>
      <c r="F85" s="396">
        <f>INDEX(Model!$1:$1048576,MATCH(Summary!$A85,Model!$A:$A,0),MATCH(Summary!F$15,Model!$1:$1,0))*100</f>
        <v>101.12964739487391</v>
      </c>
      <c r="G85" s="396">
        <f>INDEX(Model!$1:$1048576,MATCH(Summary!$A85,Model!$A:$A,0),MATCH(Summary!G$15,Model!$1:$1,0))*100</f>
        <v>108.98034299584809</v>
      </c>
      <c r="H85" s="548">
        <f>INDEX(Model!$1:$1048576,MATCH(Summary!$A85,Model!$A:$A,0),MATCH(Summary!H$15,Model!$1:$1,0))*100</f>
        <v>118.55982842578649</v>
      </c>
      <c r="K85" s="51"/>
    </row>
    <row r="86" spans="1:11" ht="13.5" thickBot="1">
      <c r="A86" s="386" t="s">
        <v>60</v>
      </c>
      <c r="B86" s="414" t="s">
        <v>131</v>
      </c>
      <c r="C86" s="416">
        <f>INDEX(Model!$1:$1048576,MATCH(Summary!$A86,Model!$A:$A,0),MATCH(Summary!C$15,Model!$1:$1,0))</f>
        <v>0.5298899457596643</v>
      </c>
      <c r="D86" s="415">
        <f>INDEX(Model!$1:$1048576,MATCH(Summary!$A86,Model!$A:$A,0),MATCH(Summary!D$15,Model!$1:$1,0))</f>
        <v>0.35</v>
      </c>
      <c r="E86" s="415">
        <f>INDEX(Model!$1:$1048576,MATCH(Summary!$A86,Model!$A:$A,0),MATCH(Summary!E$15,Model!$1:$1,0))</f>
        <v>0.65</v>
      </c>
      <c r="F86" s="415">
        <f>INDEX(Model!$1:$1048576,MATCH(Summary!$A86,Model!$A:$A,0),MATCH(Summary!F$15,Model!$1:$1,0))</f>
        <v>0.52812956329913985</v>
      </c>
      <c r="G86" s="415">
        <f>INDEX(Model!$1:$1048576,MATCH(Summary!$A86,Model!$A:$A,0),MATCH(Summary!G$15,Model!$1:$1,0))</f>
        <v>0.52899268981544978</v>
      </c>
      <c r="H86" s="552">
        <f>INDEX(Model!$1:$1048576,MATCH(Summary!$A86,Model!$A:$A,0),MATCH(Summary!H$15,Model!$1:$1,0))</f>
        <v>0.52688147304217758</v>
      </c>
      <c r="K86" s="51"/>
    </row>
    <row r="87" spans="1:11" ht="13.5" hidden="1" thickBot="1">
      <c r="A87" s="386"/>
      <c r="B87" s="381" t="s">
        <v>593</v>
      </c>
      <c r="C87" s="382"/>
      <c r="D87" s="383"/>
      <c r="E87" s="384"/>
      <c r="F87" s="385"/>
      <c r="G87" s="383"/>
      <c r="H87" s="411">
        <f>C6/E77</f>
        <v>28.065582708902785</v>
      </c>
      <c r="I87" s="411">
        <f>C6/F77</f>
        <v>16.664366638909144</v>
      </c>
      <c r="J87" s="413">
        <f>F6/G77</f>
        <v>0</v>
      </c>
    </row>
  </sheetData>
  <phoneticPr fontId="25" type="noConversion"/>
  <dataValidations disablePrompts="1" count="1">
    <dataValidation type="list" allowBlank="1" showInputMessage="1" showErrorMessage="1" sqref="C7" xr:uid="{A3E46CED-FA50-4B56-BAFC-2952C4DF109F}">
      <formula1>$AH$2:$AH$4</formula1>
    </dataValidation>
  </dataValidations>
  <printOptions horizontalCentered="1" verticalCentered="1"/>
  <pageMargins left="0.75" right="0.75" top="1" bottom="1" header="0.5" footer="0.5"/>
  <pageSetup paperSize="171" scale="23" orientation="landscape" horizontalDpi="1200" verticalDpi="1200" r:id="rId1"/>
  <headerFooter alignWithMargins="0"/>
  <customProperties>
    <customPr name="Qube.Worksheet.ID" r:id="rId2"/>
    <customPr name="Qube.Worksheet.Visibility" r:id="rId3"/>
    <customPr name="QXL_SHEET_ID" r:id="rId4"/>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autoPageBreaks="0"/>
  </sheetPr>
  <dimension ref="A1:DU718"/>
  <sheetViews>
    <sheetView showGridLines="0" zoomScaleNormal="100" workbookViewId="0">
      <pane xSplit="2" ySplit="13" topLeftCell="BR463" activePane="bottomRight" state="frozen"/>
      <selection activeCell="M7" sqref="M7"/>
      <selection pane="topRight" activeCell="M7" sqref="M7"/>
      <selection pane="bottomLeft" activeCell="M7" sqref="M7"/>
      <selection pane="bottomRight" activeCell="BX506" sqref="BX506"/>
    </sheetView>
  </sheetViews>
  <sheetFormatPr defaultColWidth="9.125" defaultRowHeight="12.75" outlineLevelRow="3" outlineLevelCol="1"/>
  <cols>
    <col min="1" max="1" width="3.5" style="10" customWidth="1"/>
    <col min="2" max="2" width="35.375" style="23" customWidth="1"/>
    <col min="3" max="6" width="9.125" style="23" hidden="1" customWidth="1" outlineLevel="1"/>
    <col min="7" max="24" width="9.125" style="27" hidden="1" customWidth="1" outlineLevel="1"/>
    <col min="25" max="25" width="9.375" style="27" hidden="1" customWidth="1" outlineLevel="1"/>
    <col min="26" max="26" width="8.75" style="27" hidden="1" customWidth="1" outlineLevel="1"/>
    <col min="27" max="27" width="8.75" style="27" customWidth="1" collapsed="1"/>
    <col min="28" max="30" width="9.5" style="27" bestFit="1" customWidth="1"/>
    <col min="31" max="31" width="9.625" style="27" customWidth="1"/>
    <col min="32" max="32" width="11.125" style="27" customWidth="1"/>
    <col min="33" max="33" width="9.5" style="27" customWidth="1"/>
    <col min="34" max="34" width="11" style="27" customWidth="1"/>
    <col min="35" max="35" width="9.125" style="27" customWidth="1"/>
    <col min="36" max="36" width="11.125" style="27" customWidth="1"/>
    <col min="37" max="41" width="9.125" style="27" customWidth="1"/>
    <col min="42" max="42" width="9.125" style="313" customWidth="1"/>
    <col min="43" max="52" width="9.125" style="27" customWidth="1" outlineLevel="1"/>
    <col min="53" max="53" width="9.375" style="27" bestFit="1" customWidth="1"/>
    <col min="54" max="64" width="9.125" style="27" hidden="1" customWidth="1" outlineLevel="1"/>
    <col min="65" max="65" width="9.375" style="27" customWidth="1" collapsed="1"/>
    <col min="66" max="66" width="9.375" style="27" customWidth="1"/>
    <col min="67" max="67" width="9.5" style="27" bestFit="1" customWidth="1"/>
    <col min="68" max="68" width="10.125" style="27" bestFit="1" customWidth="1"/>
    <col min="69" max="69" width="9.375" style="27" customWidth="1"/>
    <col min="70" max="71" width="10.125" style="27" bestFit="1" customWidth="1"/>
    <col min="72" max="72" width="9.75" style="23" customWidth="1"/>
    <col min="73" max="73" width="9.75" style="492" customWidth="1"/>
    <col min="74" max="78" width="9.75" style="23" customWidth="1" outlineLevel="1"/>
    <col min="79" max="79" width="11" style="23" customWidth="1"/>
    <col min="80" max="80" width="9.125" style="23"/>
    <col min="81" max="81" width="12.5" style="23" bestFit="1" customWidth="1"/>
    <col min="82" max="82" width="11.375" style="23" bestFit="1" customWidth="1"/>
    <col min="83" max="83" width="12" style="23" bestFit="1" customWidth="1"/>
    <col min="84" max="122" width="9.125" style="23"/>
    <col min="123" max="123" width="9.75" style="23" bestFit="1" customWidth="1"/>
    <col min="124" max="124" width="9.125" style="23"/>
    <col min="126" max="16384" width="9.125" style="23"/>
  </cols>
  <sheetData>
    <row r="1" spans="1:123" s="14" customFormat="1">
      <c r="A1" s="10"/>
      <c r="B1" s="11" t="s">
        <v>48</v>
      </c>
      <c r="C1" s="12" t="s">
        <v>648</v>
      </c>
      <c r="D1" s="12" t="s">
        <v>95</v>
      </c>
      <c r="E1" s="12" t="s">
        <v>94</v>
      </c>
      <c r="F1" s="12" t="s">
        <v>93</v>
      </c>
      <c r="G1" s="12" t="s">
        <v>40</v>
      </c>
      <c r="H1" s="12" t="str">
        <f t="shared" ref="H1:P1" si="0">IF(LEFT(G1,1)="1","2H"&amp;TEXT(MID(G1,3,2),"00")&amp;"A","1H"&amp;TEXT(MID(G1,3,2)+1,"00")&amp;"A")</f>
        <v>2H08A</v>
      </c>
      <c r="I1" s="12" t="str">
        <f t="shared" si="0"/>
        <v>1H09A</v>
      </c>
      <c r="J1" s="12" t="str">
        <f t="shared" si="0"/>
        <v>2H09A</v>
      </c>
      <c r="K1" s="12" t="str">
        <f t="shared" si="0"/>
        <v>1H10A</v>
      </c>
      <c r="L1" s="12" t="str">
        <f t="shared" si="0"/>
        <v>2H10A</v>
      </c>
      <c r="M1" s="12" t="str">
        <f t="shared" si="0"/>
        <v>1H11A</v>
      </c>
      <c r="N1" s="12" t="str">
        <f t="shared" si="0"/>
        <v>2H11A</v>
      </c>
      <c r="O1" s="12" t="str">
        <f t="shared" si="0"/>
        <v>1H12A</v>
      </c>
      <c r="P1" s="12" t="str">
        <f t="shared" si="0"/>
        <v>2H12A</v>
      </c>
      <c r="Q1" s="12" t="s">
        <v>83</v>
      </c>
      <c r="R1" s="12" t="str">
        <f>IF(LEFT(Q1,1)="1","2H"&amp;TEXT(MID(Q1,3,2),"00")&amp;"A","1H"&amp;TEXT(MID(Q1,3,2)+1,"00")&amp;"A")</f>
        <v>2H13A</v>
      </c>
      <c r="S1" s="12" t="s">
        <v>85</v>
      </c>
      <c r="T1" s="12" t="str">
        <f>IF(LEFT(S1,1)="1","2H"&amp;TEXT(MID(S1,3,2),"00")&amp;"A","1H"&amp;TEXT(MID(S1,3,2)+1,"00")&amp;"E")</f>
        <v>2H14A</v>
      </c>
      <c r="U1" s="12" t="str">
        <f>IF(LEFT(T1,1)="1","2H"&amp;TEXT(MID(T1,3,2),"00")&amp;"A","1H"&amp;TEXT(MID(T1,3,2)+1,"00")&amp;"A")</f>
        <v>1H15A</v>
      </c>
      <c r="V1" s="12" t="str">
        <f>IF(LEFT(U1,1)="1","2H"&amp;TEXT(MID(U1,3,2),"00")&amp;"A","1H"&amp;TEXT(MID(U1,3,2)+1,"00")&amp;"A")</f>
        <v>2H15A</v>
      </c>
      <c r="W1" s="12" t="str">
        <f>IF(LEFT(V1,1)="1","2H"&amp;TEXT(MID(V1,3,2),"00")&amp;"E","1H"&amp;TEXT(MID(V1,3,2)+1,"00")&amp;"A")</f>
        <v>1H16A</v>
      </c>
      <c r="X1" s="12" t="str">
        <f t="shared" ref="X1:AG1" si="1">IF(LEFT(W1,1)="1","2H"&amp;TEXT(MID(W1,3,2),"00")&amp;"A","1H"&amp;TEXT(MID(W1,3,2)+1,"00")&amp;"A")</f>
        <v>2H16A</v>
      </c>
      <c r="Y1" s="12" t="str">
        <f t="shared" si="1"/>
        <v>1H17A</v>
      </c>
      <c r="Z1" s="12" t="str">
        <f t="shared" si="1"/>
        <v>2H17A</v>
      </c>
      <c r="AA1" s="12" t="str">
        <f t="shared" si="1"/>
        <v>1H18A</v>
      </c>
      <c r="AB1" s="12" t="str">
        <f t="shared" si="1"/>
        <v>2H18A</v>
      </c>
      <c r="AC1" s="12" t="str">
        <f t="shared" si="1"/>
        <v>1H19A</v>
      </c>
      <c r="AD1" s="12" t="str">
        <f t="shared" si="1"/>
        <v>2H19A</v>
      </c>
      <c r="AE1" s="12" t="str">
        <f t="shared" si="1"/>
        <v>1H20A</v>
      </c>
      <c r="AF1" s="12" t="str">
        <f t="shared" si="1"/>
        <v>2H20A</v>
      </c>
      <c r="AG1" s="12" t="str">
        <f t="shared" si="1"/>
        <v>1H21A</v>
      </c>
      <c r="AH1" s="12" t="str">
        <f>IF(LEFT(AG1,1)="1","2H"&amp;TEXT(MID(AG1,3,2),"00")&amp;"A","1H"&amp;TEXT(MID(AG1,3,2)+1,"00")&amp;"E")</f>
        <v>2H21A</v>
      </c>
      <c r="AI1" s="12" t="str">
        <f>IF(LEFT(AH1,1)="1","2H"&amp;TEXT(MID(AH1,3,2),"00")&amp;"A","1H"&amp;TEXT(MID(AH1,3,2)+1,"00")&amp;"A")</f>
        <v>1H22A</v>
      </c>
      <c r="AJ1" s="12" t="str">
        <f>IF(LEFT(AI1,1)="1","2H"&amp;TEXT(MID(AI1,3,2),"00")&amp;"A","1H"&amp;TEXT(MID(AI1,3,2)+1,"00")&amp;"E")</f>
        <v>2H22A</v>
      </c>
      <c r="AK1" s="12" t="str">
        <f>IF(LEFT(AJ1,1)="1","2H"&amp;TEXT(MID(AJ1,3,2),"00")&amp;"A","1H"&amp;TEXT(MID(AJ1,3,2)+1,"00")&amp;"A")</f>
        <v>1H23A</v>
      </c>
      <c r="AL1" s="12" t="str">
        <f>IF(LEFT(AK1,1)="1","2H"&amp;TEXT(MID(AK1,3,2),"00")&amp;"A","1H"&amp;TEXT(MID(AK1,3,2)+1,"00")&amp;"E")</f>
        <v>2H23A</v>
      </c>
      <c r="AM1" s="12" t="str">
        <f>IF(LEFT(AL1,1)="1","2H"&amp;TEXT(MID(AL1,3,2),"00")&amp;"A","1H"&amp;TEXT(MID(AL1,3,2)+1,"00")&amp;"A")</f>
        <v>1H24A</v>
      </c>
      <c r="AN1" s="12" t="str">
        <f>IF(LEFT(AM1,1)="1","2H"&amp;TEXT(MID(AM1,3,2),"00")&amp;"A","1H"&amp;TEXT(MID(AM1,3,2)+1,"00")&amp;"E")</f>
        <v>2H24A</v>
      </c>
      <c r="AO1" s="12" t="str">
        <f>IF(LEFT(AN1,1)="1","2H"&amp;TEXT(MID(AN1,3,2),"00")&amp;"A","1H"&amp;TEXT(MID(AN1,3,2)+1,"00")&amp;"A")</f>
        <v>1H25A</v>
      </c>
      <c r="AP1" s="298" t="str">
        <f>IF(LEFT(AO1,1)="1","2H"&amp;TEXT(MID(AO1,3,2),"00")&amp;"A","1H"&amp;TEXT(MID(AO1,3,2)+1,"00")&amp;"E")</f>
        <v>2H25A</v>
      </c>
      <c r="AQ1" s="12" t="str">
        <f t="shared" ref="AQ1:AZ1" si="2">IF(LEFT(AP1,1)="1","2H"&amp;TEXT(MID(AP1,3,2),"00")&amp;"E","1H"&amp;TEXT(MID(AP1,3,2)+1,"00")&amp;"E")</f>
        <v>1H26E</v>
      </c>
      <c r="AR1" s="12" t="str">
        <f t="shared" si="2"/>
        <v>2H26E</v>
      </c>
      <c r="AS1" s="12" t="str">
        <f t="shared" si="2"/>
        <v>1H27E</v>
      </c>
      <c r="AT1" s="12" t="str">
        <f t="shared" si="2"/>
        <v>2H27E</v>
      </c>
      <c r="AU1" s="12" t="str">
        <f t="shared" si="2"/>
        <v>1H28E</v>
      </c>
      <c r="AV1" s="12" t="str">
        <f t="shared" si="2"/>
        <v>2H28E</v>
      </c>
      <c r="AW1" s="12" t="str">
        <f t="shared" si="2"/>
        <v>1H29E</v>
      </c>
      <c r="AX1" s="12" t="str">
        <f t="shared" si="2"/>
        <v>2H29E</v>
      </c>
      <c r="AY1" s="12" t="str">
        <f t="shared" si="2"/>
        <v>1H30E</v>
      </c>
      <c r="AZ1" s="12" t="str">
        <f t="shared" si="2"/>
        <v>2H30E</v>
      </c>
      <c r="BA1" s="13"/>
      <c r="BB1" s="12" t="s">
        <v>117</v>
      </c>
      <c r="BC1" s="12" t="s">
        <v>116</v>
      </c>
      <c r="BD1" s="12" t="s">
        <v>61</v>
      </c>
      <c r="BE1" s="12" t="str">
        <f t="shared" ref="BE1:BS1" si="3">"FY"&amp;TEXT(MID(BD1,3,2)+1,"00")&amp;"A"</f>
        <v>FY09A</v>
      </c>
      <c r="BF1" s="12" t="str">
        <f t="shared" si="3"/>
        <v>FY10A</v>
      </c>
      <c r="BG1" s="12" t="str">
        <f t="shared" si="3"/>
        <v>FY11A</v>
      </c>
      <c r="BH1" s="12" t="str">
        <f t="shared" si="3"/>
        <v>FY12A</v>
      </c>
      <c r="BI1" s="12" t="str">
        <f t="shared" si="3"/>
        <v>FY13A</v>
      </c>
      <c r="BJ1" s="12" t="str">
        <f t="shared" si="3"/>
        <v>FY14A</v>
      </c>
      <c r="BK1" s="12" t="str">
        <f t="shared" si="3"/>
        <v>FY15A</v>
      </c>
      <c r="BL1" s="12" t="str">
        <f t="shared" si="3"/>
        <v>FY16A</v>
      </c>
      <c r="BM1" s="12" t="str">
        <f t="shared" si="3"/>
        <v>FY17A</v>
      </c>
      <c r="BN1" s="12" t="str">
        <f t="shared" si="3"/>
        <v>FY18A</v>
      </c>
      <c r="BO1" s="12" t="str">
        <f t="shared" si="3"/>
        <v>FY19A</v>
      </c>
      <c r="BP1" s="12" t="str">
        <f t="shared" si="3"/>
        <v>FY20A</v>
      </c>
      <c r="BQ1" s="12" t="str">
        <f t="shared" si="3"/>
        <v>FY21A</v>
      </c>
      <c r="BR1" s="12" t="str">
        <f t="shared" si="3"/>
        <v>FY22A</v>
      </c>
      <c r="BS1" s="12" t="str">
        <f t="shared" si="3"/>
        <v>FY23A</v>
      </c>
      <c r="BT1" s="12" t="str">
        <f>"FY"&amp;TEXT(MID(BS1,3,2)+1,"00")&amp;"A"</f>
        <v>FY24A</v>
      </c>
      <c r="BU1" s="298" t="str">
        <f>"FY"&amp;TEXT(MID(BT1,3,2)+1,"00")&amp;"A"</f>
        <v>FY25A</v>
      </c>
      <c r="BV1" s="12" t="str">
        <f>"FY"&amp;TEXT(MID(BU1,3,2)+1,"00")&amp;"E"</f>
        <v>FY26E</v>
      </c>
      <c r="BW1" s="12" t="str">
        <f>"FY"&amp;TEXT(MID(BV1,3,2)+1,"00")&amp;"E"</f>
        <v>FY27E</v>
      </c>
      <c r="BX1" s="12" t="str">
        <f t="shared" ref="BX1:BZ1" si="4">"FY"&amp;TEXT(MID(BW1,3,2)+1,"00")&amp;"E"</f>
        <v>FY28E</v>
      </c>
      <c r="BY1" s="12" t="str">
        <f t="shared" si="4"/>
        <v>FY29E</v>
      </c>
      <c r="BZ1" s="12" t="str">
        <f t="shared" si="4"/>
        <v>FY30E</v>
      </c>
      <c r="CB1" s="28"/>
      <c r="DS1" s="12" t="e">
        <f>"FY"&amp;TEXT(MID(DT1,3,2)+1,"00")&amp;"E"</f>
        <v>#VALUE!</v>
      </c>
    </row>
    <row r="2" spans="1:123" s="18" customFormat="1" outlineLevel="1">
      <c r="A2" s="10"/>
      <c r="B2" s="15" t="s">
        <v>62</v>
      </c>
      <c r="C2" s="16" t="str">
        <f t="shared" ref="C2:AH2" si="5">RIGHT(C1,1)</f>
        <v>g</v>
      </c>
      <c r="D2" s="16" t="str">
        <f t="shared" si="5"/>
        <v>A</v>
      </c>
      <c r="E2" s="16" t="str">
        <f t="shared" si="5"/>
        <v>A</v>
      </c>
      <c r="F2" s="16" t="str">
        <f t="shared" si="5"/>
        <v>A</v>
      </c>
      <c r="G2" s="16" t="str">
        <f t="shared" si="5"/>
        <v>A</v>
      </c>
      <c r="H2" s="16" t="str">
        <f t="shared" si="5"/>
        <v>A</v>
      </c>
      <c r="I2" s="16" t="str">
        <f t="shared" si="5"/>
        <v>A</v>
      </c>
      <c r="J2" s="16" t="str">
        <f t="shared" si="5"/>
        <v>A</v>
      </c>
      <c r="K2" s="16" t="str">
        <f t="shared" si="5"/>
        <v>A</v>
      </c>
      <c r="L2" s="16" t="str">
        <f t="shared" si="5"/>
        <v>A</v>
      </c>
      <c r="M2" s="16" t="str">
        <f t="shared" si="5"/>
        <v>A</v>
      </c>
      <c r="N2" s="16" t="str">
        <f t="shared" si="5"/>
        <v>A</v>
      </c>
      <c r="O2" s="16" t="str">
        <f t="shared" si="5"/>
        <v>A</v>
      </c>
      <c r="P2" s="16" t="str">
        <f t="shared" si="5"/>
        <v>A</v>
      </c>
      <c r="Q2" s="16" t="str">
        <f t="shared" si="5"/>
        <v>A</v>
      </c>
      <c r="R2" s="16" t="str">
        <f t="shared" si="5"/>
        <v>A</v>
      </c>
      <c r="S2" s="16" t="str">
        <f t="shared" si="5"/>
        <v>A</v>
      </c>
      <c r="T2" s="16" t="str">
        <f t="shared" si="5"/>
        <v>A</v>
      </c>
      <c r="U2" s="16" t="str">
        <f t="shared" si="5"/>
        <v>A</v>
      </c>
      <c r="V2" s="16" t="str">
        <f t="shared" si="5"/>
        <v>A</v>
      </c>
      <c r="W2" s="16" t="str">
        <f t="shared" si="5"/>
        <v>A</v>
      </c>
      <c r="X2" s="16" t="str">
        <f t="shared" si="5"/>
        <v>A</v>
      </c>
      <c r="Y2" s="16" t="str">
        <f t="shared" si="5"/>
        <v>A</v>
      </c>
      <c r="Z2" s="16" t="str">
        <f t="shared" si="5"/>
        <v>A</v>
      </c>
      <c r="AA2" s="16" t="str">
        <f t="shared" si="5"/>
        <v>A</v>
      </c>
      <c r="AB2" s="16" t="str">
        <f t="shared" si="5"/>
        <v>A</v>
      </c>
      <c r="AC2" s="16" t="str">
        <f t="shared" si="5"/>
        <v>A</v>
      </c>
      <c r="AD2" s="16" t="str">
        <f t="shared" si="5"/>
        <v>A</v>
      </c>
      <c r="AE2" s="16" t="str">
        <f t="shared" si="5"/>
        <v>A</v>
      </c>
      <c r="AF2" s="16" t="str">
        <f t="shared" si="5"/>
        <v>A</v>
      </c>
      <c r="AG2" s="16" t="str">
        <f t="shared" si="5"/>
        <v>A</v>
      </c>
      <c r="AH2" s="16" t="str">
        <f t="shared" si="5"/>
        <v>A</v>
      </c>
      <c r="AI2" s="16" t="s">
        <v>87</v>
      </c>
      <c r="AJ2" s="16" t="str">
        <f t="shared" ref="AJ2:AZ2" si="6">RIGHT(AJ1,1)</f>
        <v>A</v>
      </c>
      <c r="AK2" s="16" t="s">
        <v>87</v>
      </c>
      <c r="AL2" s="16" t="str">
        <f t="shared" ref="AL2:AN2" si="7">RIGHT(AL1,1)</f>
        <v>A</v>
      </c>
      <c r="AM2" s="16" t="s">
        <v>87</v>
      </c>
      <c r="AN2" s="16" t="str">
        <f t="shared" si="7"/>
        <v>A</v>
      </c>
      <c r="AO2" s="16" t="s">
        <v>87</v>
      </c>
      <c r="AP2" s="299" t="str">
        <f t="shared" ref="AP2" si="8">RIGHT(AP1,1)</f>
        <v>A</v>
      </c>
      <c r="AQ2" s="16" t="str">
        <f t="shared" si="6"/>
        <v>E</v>
      </c>
      <c r="AR2" s="16" t="str">
        <f t="shared" si="6"/>
        <v>E</v>
      </c>
      <c r="AS2" s="16" t="str">
        <f t="shared" si="6"/>
        <v>E</v>
      </c>
      <c r="AT2" s="16" t="str">
        <f t="shared" si="6"/>
        <v>E</v>
      </c>
      <c r="AU2" s="16" t="str">
        <f t="shared" si="6"/>
        <v>E</v>
      </c>
      <c r="AV2" s="16" t="str">
        <f t="shared" si="6"/>
        <v>E</v>
      </c>
      <c r="AW2" s="16" t="str">
        <f t="shared" si="6"/>
        <v>E</v>
      </c>
      <c r="AX2" s="16" t="str">
        <f t="shared" si="6"/>
        <v>E</v>
      </c>
      <c r="AY2" s="16" t="str">
        <f t="shared" si="6"/>
        <v>E</v>
      </c>
      <c r="AZ2" s="16" t="str">
        <f t="shared" si="6"/>
        <v>E</v>
      </c>
      <c r="BA2" s="17"/>
      <c r="BB2" s="16" t="str">
        <f t="shared" ref="BB2:BZ2" si="9">RIGHT(BB1,1)</f>
        <v>A</v>
      </c>
      <c r="BC2" s="16" t="str">
        <f t="shared" si="9"/>
        <v>A</v>
      </c>
      <c r="BD2" s="16" t="str">
        <f t="shared" si="9"/>
        <v>A</v>
      </c>
      <c r="BE2" s="16" t="str">
        <f t="shared" si="9"/>
        <v>A</v>
      </c>
      <c r="BF2" s="16" t="str">
        <f t="shared" si="9"/>
        <v>A</v>
      </c>
      <c r="BG2" s="16" t="str">
        <f t="shared" si="9"/>
        <v>A</v>
      </c>
      <c r="BH2" s="16" t="str">
        <f t="shared" si="9"/>
        <v>A</v>
      </c>
      <c r="BI2" s="16" t="str">
        <f t="shared" si="9"/>
        <v>A</v>
      </c>
      <c r="BJ2" s="16" t="str">
        <f t="shared" si="9"/>
        <v>A</v>
      </c>
      <c r="BK2" s="16" t="str">
        <f t="shared" si="9"/>
        <v>A</v>
      </c>
      <c r="BL2" s="16" t="str">
        <f t="shared" si="9"/>
        <v>A</v>
      </c>
      <c r="BM2" s="16" t="str">
        <f t="shared" si="9"/>
        <v>A</v>
      </c>
      <c r="BN2" s="16" t="str">
        <f t="shared" si="9"/>
        <v>A</v>
      </c>
      <c r="BO2" s="16" t="str">
        <f t="shared" si="9"/>
        <v>A</v>
      </c>
      <c r="BP2" s="16" t="str">
        <f t="shared" si="9"/>
        <v>A</v>
      </c>
      <c r="BQ2" s="16" t="str">
        <f t="shared" si="9"/>
        <v>A</v>
      </c>
      <c r="BR2" s="16" t="str">
        <f t="shared" si="9"/>
        <v>A</v>
      </c>
      <c r="BS2" s="16" t="str">
        <f t="shared" si="9"/>
        <v>A</v>
      </c>
      <c r="BT2" s="16" t="str">
        <f t="shared" si="9"/>
        <v>A</v>
      </c>
      <c r="BU2" s="299" t="str">
        <f t="shared" si="9"/>
        <v>A</v>
      </c>
      <c r="BV2" s="16" t="str">
        <f t="shared" si="9"/>
        <v>E</v>
      </c>
      <c r="BW2" s="16" t="str">
        <f t="shared" si="9"/>
        <v>E</v>
      </c>
      <c r="BX2" s="16" t="str">
        <f t="shared" si="9"/>
        <v>E</v>
      </c>
      <c r="BY2" s="16" t="str">
        <f t="shared" si="9"/>
        <v>E</v>
      </c>
      <c r="BZ2" s="16" t="str">
        <f t="shared" si="9"/>
        <v>E</v>
      </c>
      <c r="CB2" s="23"/>
      <c r="DS2" s="16" t="e">
        <f t="shared" ref="DS2" si="10">RIGHT(DS1,1)</f>
        <v>#VALUE!</v>
      </c>
    </row>
    <row r="3" spans="1:123" s="14" customFormat="1" outlineLevel="1">
      <c r="A3" s="10"/>
      <c r="B3" s="15" t="s">
        <v>49</v>
      </c>
      <c r="C3" s="16" t="e">
        <f t="shared" ref="C3:AZ3" si="11">IF(LEFT(C1,1)="1",DATE(MID(C1,3,2)+1999,12,31),DATE(MID(C1,3,2)+2000,6,30))</f>
        <v>#VALUE!</v>
      </c>
      <c r="D3" s="16">
        <f t="shared" si="11"/>
        <v>38898</v>
      </c>
      <c r="E3" s="16">
        <f t="shared" si="11"/>
        <v>39082</v>
      </c>
      <c r="F3" s="16">
        <f t="shared" si="11"/>
        <v>39263</v>
      </c>
      <c r="G3" s="16">
        <f t="shared" si="11"/>
        <v>39447</v>
      </c>
      <c r="H3" s="16">
        <f t="shared" si="11"/>
        <v>39629</v>
      </c>
      <c r="I3" s="16">
        <f t="shared" si="11"/>
        <v>39813</v>
      </c>
      <c r="J3" s="16">
        <f t="shared" si="11"/>
        <v>39994</v>
      </c>
      <c r="K3" s="16">
        <f t="shared" si="11"/>
        <v>40178</v>
      </c>
      <c r="L3" s="16">
        <f t="shared" si="11"/>
        <v>40359</v>
      </c>
      <c r="M3" s="16">
        <f t="shared" si="11"/>
        <v>40543</v>
      </c>
      <c r="N3" s="16">
        <f t="shared" si="11"/>
        <v>40724</v>
      </c>
      <c r="O3" s="16">
        <f t="shared" si="11"/>
        <v>40908</v>
      </c>
      <c r="P3" s="16">
        <f t="shared" si="11"/>
        <v>41090</v>
      </c>
      <c r="Q3" s="16">
        <f t="shared" si="11"/>
        <v>41274</v>
      </c>
      <c r="R3" s="16">
        <f t="shared" si="11"/>
        <v>41455</v>
      </c>
      <c r="S3" s="16">
        <f t="shared" si="11"/>
        <v>41639</v>
      </c>
      <c r="T3" s="16">
        <f t="shared" si="11"/>
        <v>41820</v>
      </c>
      <c r="U3" s="16">
        <f t="shared" si="11"/>
        <v>42004</v>
      </c>
      <c r="V3" s="16">
        <f t="shared" si="11"/>
        <v>42185</v>
      </c>
      <c r="W3" s="16">
        <f t="shared" si="11"/>
        <v>42369</v>
      </c>
      <c r="X3" s="16">
        <f t="shared" si="11"/>
        <v>42551</v>
      </c>
      <c r="Y3" s="16">
        <f t="shared" si="11"/>
        <v>42735</v>
      </c>
      <c r="Z3" s="16">
        <f t="shared" si="11"/>
        <v>42916</v>
      </c>
      <c r="AA3" s="16">
        <f t="shared" si="11"/>
        <v>43100</v>
      </c>
      <c r="AB3" s="16">
        <f t="shared" si="11"/>
        <v>43281</v>
      </c>
      <c r="AC3" s="16">
        <f t="shared" si="11"/>
        <v>43465</v>
      </c>
      <c r="AD3" s="16">
        <f t="shared" si="11"/>
        <v>43646</v>
      </c>
      <c r="AE3" s="16">
        <f t="shared" si="11"/>
        <v>43830</v>
      </c>
      <c r="AF3" s="16">
        <f t="shared" si="11"/>
        <v>44012</v>
      </c>
      <c r="AG3" s="16">
        <f t="shared" si="11"/>
        <v>44196</v>
      </c>
      <c r="AH3" s="16">
        <f t="shared" si="11"/>
        <v>44377</v>
      </c>
      <c r="AI3" s="16">
        <f t="shared" si="11"/>
        <v>44561</v>
      </c>
      <c r="AJ3" s="16">
        <f t="shared" si="11"/>
        <v>44742</v>
      </c>
      <c r="AK3" s="16">
        <f t="shared" si="11"/>
        <v>44926</v>
      </c>
      <c r="AL3" s="16">
        <f t="shared" si="11"/>
        <v>45107</v>
      </c>
      <c r="AM3" s="16">
        <f t="shared" si="11"/>
        <v>45291</v>
      </c>
      <c r="AN3" s="16">
        <f t="shared" si="11"/>
        <v>45473</v>
      </c>
      <c r="AO3" s="16">
        <f t="shared" si="11"/>
        <v>45657</v>
      </c>
      <c r="AP3" s="299">
        <f t="shared" si="11"/>
        <v>45838</v>
      </c>
      <c r="AQ3" s="16">
        <f t="shared" si="11"/>
        <v>46022</v>
      </c>
      <c r="AR3" s="16">
        <f t="shared" si="11"/>
        <v>46203</v>
      </c>
      <c r="AS3" s="16">
        <f t="shared" si="11"/>
        <v>46387</v>
      </c>
      <c r="AT3" s="16">
        <f t="shared" si="11"/>
        <v>46568</v>
      </c>
      <c r="AU3" s="16">
        <f t="shared" si="11"/>
        <v>46752</v>
      </c>
      <c r="AV3" s="16">
        <f t="shared" si="11"/>
        <v>46934</v>
      </c>
      <c r="AW3" s="16">
        <f t="shared" si="11"/>
        <v>47118</v>
      </c>
      <c r="AX3" s="16">
        <f t="shared" si="11"/>
        <v>47299</v>
      </c>
      <c r="AY3" s="16">
        <f t="shared" si="11"/>
        <v>47483</v>
      </c>
      <c r="AZ3" s="16">
        <f t="shared" si="11"/>
        <v>47664</v>
      </c>
      <c r="BA3" s="17"/>
      <c r="BB3" s="16">
        <f t="shared" ref="BB3:BZ3" si="12">IF(LEFT(BB1,1)="1",DATE(MID(BB1,3,2)+1999,3,12),DATE(MID(BB1,3,2)+2000,6,30))</f>
        <v>38898</v>
      </c>
      <c r="BC3" s="16">
        <f t="shared" si="12"/>
        <v>39263</v>
      </c>
      <c r="BD3" s="16">
        <f t="shared" si="12"/>
        <v>39629</v>
      </c>
      <c r="BE3" s="16">
        <f t="shared" si="12"/>
        <v>39994</v>
      </c>
      <c r="BF3" s="16">
        <f t="shared" si="12"/>
        <v>40359</v>
      </c>
      <c r="BG3" s="16">
        <f t="shared" si="12"/>
        <v>40724</v>
      </c>
      <c r="BH3" s="16">
        <f t="shared" si="12"/>
        <v>41090</v>
      </c>
      <c r="BI3" s="16">
        <f t="shared" si="12"/>
        <v>41455</v>
      </c>
      <c r="BJ3" s="16">
        <f t="shared" si="12"/>
        <v>41820</v>
      </c>
      <c r="BK3" s="16">
        <f t="shared" si="12"/>
        <v>42185</v>
      </c>
      <c r="BL3" s="16">
        <f t="shared" si="12"/>
        <v>42551</v>
      </c>
      <c r="BM3" s="16">
        <f t="shared" si="12"/>
        <v>42916</v>
      </c>
      <c r="BN3" s="16">
        <f t="shared" si="12"/>
        <v>43281</v>
      </c>
      <c r="BO3" s="16">
        <f t="shared" si="12"/>
        <v>43646</v>
      </c>
      <c r="BP3" s="16">
        <f t="shared" si="12"/>
        <v>44012</v>
      </c>
      <c r="BQ3" s="16">
        <f t="shared" si="12"/>
        <v>44377</v>
      </c>
      <c r="BR3" s="16">
        <f t="shared" si="12"/>
        <v>44742</v>
      </c>
      <c r="BS3" s="16">
        <f t="shared" si="12"/>
        <v>45107</v>
      </c>
      <c r="BT3" s="16">
        <f t="shared" si="12"/>
        <v>45473</v>
      </c>
      <c r="BU3" s="299">
        <f t="shared" si="12"/>
        <v>45838</v>
      </c>
      <c r="BV3" s="16">
        <f t="shared" si="12"/>
        <v>46203</v>
      </c>
      <c r="BW3" s="16">
        <f t="shared" si="12"/>
        <v>46568</v>
      </c>
      <c r="BX3" s="16">
        <f t="shared" si="12"/>
        <v>46934</v>
      </c>
      <c r="BY3" s="16">
        <f t="shared" si="12"/>
        <v>47299</v>
      </c>
      <c r="BZ3" s="16">
        <f t="shared" si="12"/>
        <v>47664</v>
      </c>
      <c r="CB3" s="28"/>
      <c r="DS3" s="16" t="e">
        <f t="shared" ref="DS3" si="13">IF(LEFT(DS1,1)="1",DATE(MID(DS1,3,2)+1999,3,12),DATE(MID(DS1,3,2)+2000,6,30))</f>
        <v>#VALUE!</v>
      </c>
    </row>
    <row r="4" spans="1:123" s="14" customFormat="1" outlineLevel="1">
      <c r="A4" s="10"/>
      <c r="B4" s="15" t="s">
        <v>41</v>
      </c>
      <c r="C4" s="19"/>
      <c r="D4" s="19"/>
      <c r="E4" s="19"/>
      <c r="F4" s="19"/>
      <c r="G4" s="19"/>
      <c r="H4" s="19"/>
      <c r="I4" s="19"/>
      <c r="J4" s="19"/>
      <c r="K4" s="19"/>
      <c r="L4" s="19"/>
      <c r="M4" s="19"/>
      <c r="N4" s="19"/>
      <c r="O4" s="19"/>
      <c r="P4" s="19"/>
      <c r="Q4" s="19"/>
      <c r="R4" s="19"/>
      <c r="S4" s="19"/>
      <c r="T4" s="19"/>
      <c r="U4" s="19"/>
      <c r="V4" s="19"/>
      <c r="W4" s="19"/>
      <c r="X4" s="19"/>
      <c r="Y4" s="19" t="str">
        <f t="shared" ref="Y4:AZ4" si="14">IF(AND(Y289="Ok",Y476="Ok"),"Ok","Error")</f>
        <v>Ok</v>
      </c>
      <c r="Z4" s="19" t="str">
        <f t="shared" si="14"/>
        <v>Ok</v>
      </c>
      <c r="AA4" s="19" t="str">
        <f t="shared" si="14"/>
        <v>Ok</v>
      </c>
      <c r="AB4" s="19" t="str">
        <f t="shared" si="14"/>
        <v>Ok</v>
      </c>
      <c r="AC4" s="19" t="str">
        <f t="shared" si="14"/>
        <v>Ok</v>
      </c>
      <c r="AD4" s="19" t="str">
        <f t="shared" si="14"/>
        <v>Ok</v>
      </c>
      <c r="AE4" s="19" t="str">
        <f t="shared" si="14"/>
        <v>Ok</v>
      </c>
      <c r="AF4" s="19" t="str">
        <f t="shared" si="14"/>
        <v>Ok</v>
      </c>
      <c r="AG4" s="19" t="str">
        <f t="shared" si="14"/>
        <v>Ok</v>
      </c>
      <c r="AH4" s="19" t="str">
        <f t="shared" si="14"/>
        <v>Ok</v>
      </c>
      <c r="AI4" s="19" t="str">
        <f t="shared" si="14"/>
        <v>Ok</v>
      </c>
      <c r="AJ4" s="19" t="str">
        <f t="shared" si="14"/>
        <v>Ok</v>
      </c>
      <c r="AK4" s="19" t="str">
        <f>IF(AND(AK289="Ok",AK476="Ok"),"Ok","Error")</f>
        <v>Ok</v>
      </c>
      <c r="AL4" s="19" t="str">
        <f t="shared" ref="AL4:AN4" si="15">IF(AND(AL289="Ok",AL476="Ok"),"Ok","Error")</f>
        <v>Ok</v>
      </c>
      <c r="AM4" s="19" t="str">
        <f>IF(AND(AM289="Ok",AM476="Ok"),"Ok","Error")</f>
        <v>Ok</v>
      </c>
      <c r="AN4" s="19" t="str">
        <f t="shared" si="15"/>
        <v>Ok</v>
      </c>
      <c r="AO4" s="19" t="str">
        <f>IF(AND(AO289="Ok",AO476="Ok"),"Ok","Error")</f>
        <v>Ok</v>
      </c>
      <c r="AP4" s="300" t="str">
        <f t="shared" ref="AP4" si="16">IF(AND(AP289="Ok",AP476="Ok"),"Ok","Error")</f>
        <v>Ok</v>
      </c>
      <c r="AQ4" s="19" t="str">
        <f t="shared" si="14"/>
        <v>Ok</v>
      </c>
      <c r="AR4" s="19" t="str">
        <f t="shared" si="14"/>
        <v>Ok</v>
      </c>
      <c r="AS4" s="19" t="str">
        <f t="shared" si="14"/>
        <v>Ok</v>
      </c>
      <c r="AT4" s="19" t="str">
        <f t="shared" si="14"/>
        <v>Ok</v>
      </c>
      <c r="AU4" s="19" t="str">
        <f t="shared" si="14"/>
        <v>Ok</v>
      </c>
      <c r="AV4" s="19" t="str">
        <f t="shared" si="14"/>
        <v>Ok</v>
      </c>
      <c r="AW4" s="19" t="str">
        <f t="shared" si="14"/>
        <v>Ok</v>
      </c>
      <c r="AX4" s="19" t="str">
        <f t="shared" si="14"/>
        <v>Ok</v>
      </c>
      <c r="AY4" s="19" t="str">
        <f t="shared" si="14"/>
        <v>Ok</v>
      </c>
      <c r="AZ4" s="19" t="str">
        <f t="shared" si="14"/>
        <v>Ok</v>
      </c>
      <c r="BA4" s="17"/>
      <c r="BB4" s="19"/>
      <c r="BC4" s="19"/>
      <c r="BD4" s="19"/>
      <c r="BE4" s="19"/>
      <c r="BF4" s="19"/>
      <c r="BG4" s="19"/>
      <c r="BH4" s="19"/>
      <c r="BI4" s="19"/>
      <c r="BJ4" s="19"/>
      <c r="BK4" s="19"/>
      <c r="BL4" s="19"/>
      <c r="BM4" s="19" t="str">
        <f t="shared" ref="BM4:BW4" si="17">IF(AND(BM289="Ok",BM476="Ok"),"Ok","Error")</f>
        <v>Ok</v>
      </c>
      <c r="BN4" s="19" t="str">
        <f t="shared" si="17"/>
        <v>Ok</v>
      </c>
      <c r="BO4" s="19" t="str">
        <f t="shared" si="17"/>
        <v>Ok</v>
      </c>
      <c r="BP4" s="19" t="str">
        <f t="shared" si="17"/>
        <v>Ok</v>
      </c>
      <c r="BQ4" s="19" t="str">
        <f t="shared" si="17"/>
        <v>Ok</v>
      </c>
      <c r="BR4" s="19" t="str">
        <f t="shared" si="17"/>
        <v>Ok</v>
      </c>
      <c r="BS4" s="19" t="str">
        <f t="shared" si="17"/>
        <v>Ok</v>
      </c>
      <c r="BT4" s="19" t="str">
        <f t="shared" si="17"/>
        <v>Ok</v>
      </c>
      <c r="BU4" s="300" t="str">
        <f t="shared" si="17"/>
        <v>Ok</v>
      </c>
      <c r="BV4" s="19" t="str">
        <f t="shared" si="17"/>
        <v>Ok</v>
      </c>
      <c r="BW4" s="19" t="str">
        <f t="shared" si="17"/>
        <v>Ok</v>
      </c>
      <c r="BX4" s="19" t="str">
        <f>IF(AND(BX289="Ok",BX476="Ok"),"Ok","Error")</f>
        <v>Ok</v>
      </c>
      <c r="BY4" s="19" t="str">
        <f>IF(AND(BY289="Ok",BY476="Ok"),"Ok","Error")</f>
        <v>Ok</v>
      </c>
      <c r="BZ4" s="19" t="str">
        <f t="shared" ref="BZ4" si="18">IF(AND(BZ289="Ok",BZ476="Ok"),"Ok","Error")</f>
        <v>Ok</v>
      </c>
      <c r="CB4" s="28"/>
      <c r="DS4" s="19" t="str">
        <f t="shared" ref="DS4" si="19">IF(AND(DS289="Ok",DS476="Ok"),"Ok","Error")</f>
        <v>Ok</v>
      </c>
    </row>
    <row r="5" spans="1:123" s="22" customFormat="1" outlineLevel="1">
      <c r="A5" s="10" t="s">
        <v>72</v>
      </c>
      <c r="B5" s="15" t="s">
        <v>42</v>
      </c>
      <c r="C5" s="21">
        <f>G5</f>
        <v>1.9891304347826086</v>
      </c>
      <c r="D5" s="21">
        <f>H5</f>
        <v>2.0109890109890109</v>
      </c>
      <c r="E5" s="21">
        <f t="shared" ref="E5:U5" si="20">IF(LEFT(E$1,1)="2",(E3-C3)/(E3-D3),(F3-D3)/(E3-D3))</f>
        <v>1.9836956521739131</v>
      </c>
      <c r="F5" s="21">
        <f t="shared" si="20"/>
        <v>2.0165745856353592</v>
      </c>
      <c r="G5" s="21">
        <f t="shared" si="20"/>
        <v>1.9891304347826086</v>
      </c>
      <c r="H5" s="21">
        <f t="shared" si="20"/>
        <v>2.0109890109890109</v>
      </c>
      <c r="I5" s="21">
        <f t="shared" si="20"/>
        <v>1.9836956521739131</v>
      </c>
      <c r="J5" s="21">
        <f t="shared" si="20"/>
        <v>2.0165745856353592</v>
      </c>
      <c r="K5" s="21">
        <f t="shared" si="20"/>
        <v>1.9836956521739131</v>
      </c>
      <c r="L5" s="21">
        <f t="shared" si="20"/>
        <v>2.0165745856353592</v>
      </c>
      <c r="M5" s="21">
        <f t="shared" si="20"/>
        <v>1.9836956521739131</v>
      </c>
      <c r="N5" s="21">
        <f t="shared" si="20"/>
        <v>2.0165745856353592</v>
      </c>
      <c r="O5" s="21">
        <f t="shared" si="20"/>
        <v>1.9891304347826086</v>
      </c>
      <c r="P5" s="21">
        <f t="shared" si="20"/>
        <v>2.0109890109890109</v>
      </c>
      <c r="Q5" s="21">
        <f t="shared" si="20"/>
        <v>1.9836956521739131</v>
      </c>
      <c r="R5" s="21">
        <f t="shared" si="20"/>
        <v>2.0165745856353592</v>
      </c>
      <c r="S5" s="21">
        <f t="shared" si="20"/>
        <v>1.9836956521739131</v>
      </c>
      <c r="T5" s="21">
        <f t="shared" si="20"/>
        <v>2.0165745856353592</v>
      </c>
      <c r="U5" s="21">
        <f t="shared" si="20"/>
        <v>1.9836956521739131</v>
      </c>
      <c r="V5" s="21">
        <f>IF(LEFT(V$1,1)="2",(V3-T3)/(V3-U3),(BA3-U3)/(V3-U3))</f>
        <v>2.0165745856353592</v>
      </c>
      <c r="W5" s="21">
        <f>IF(LEFT(W$1,1)="2",(W3-U3)/(W3-V3),(X3-V3)/(W3-V3))</f>
        <v>1.9891304347826086</v>
      </c>
      <c r="X5" s="21">
        <f>IF(LEFT(X$1,1)="2",(X3-V3)/(X3-W3),(#REF!-W3)/(X3-W3))</f>
        <v>2.0109890109890109</v>
      </c>
      <c r="Y5" s="21">
        <f>IF(LEFT(Y$1,1)="2",(Y3-W3)/(Y3-X3),(Z3-X3)/(Y3-X3))</f>
        <v>1.9836956521739131</v>
      </c>
      <c r="Z5" s="21">
        <f>IF(LEFT(Z$1,1)="2",(Z3-X3)/(Z3-Y3),(#REF!-Y3)/(Z3-Y3))</f>
        <v>2.0165745856353592</v>
      </c>
      <c r="AA5" s="21">
        <f>IF(LEFT(AA$1,1)="2",(AA3-Y3)/(AA3-Z3),(AB3-Z3)/(AA3-Z3))</f>
        <v>1.9836956521739131</v>
      </c>
      <c r="AB5" s="21">
        <f>IF(LEFT(AB$1,1)="2",(AB3-Z3)/(AB3-AA3),(#REF!-AA3)/(AB3-AA3))</f>
        <v>2.0165745856353592</v>
      </c>
      <c r="AC5" s="21">
        <f>IF(LEFT(AC$1,1)="2",(AC3-AA3)/(AC3-AB3),(AD3-AB3)/(AC3-AB3))</f>
        <v>1.9836956521739131</v>
      </c>
      <c r="AD5" s="21">
        <f>IF(LEFT(AD$1,1)="2",(AD3-AB3)/(AD3-AC3),(#REF!-AC3)/(AD3-AC3))</f>
        <v>2.0165745856353592</v>
      </c>
      <c r="AE5" s="21">
        <f t="shared" ref="AE5:AP5" si="21">IF(LEFT(AE$1,1)="2",(AE3-AC3)/(AE3-AD3),(AF3-AD3)/(AE3-AD3))</f>
        <v>1.9891304347826086</v>
      </c>
      <c r="AF5" s="21">
        <f t="shared" si="21"/>
        <v>2.0109890109890109</v>
      </c>
      <c r="AG5" s="21">
        <f t="shared" si="21"/>
        <v>1.9836956521739131</v>
      </c>
      <c r="AH5" s="21">
        <f t="shared" si="21"/>
        <v>2.0165745856353592</v>
      </c>
      <c r="AI5" s="21">
        <f t="shared" si="21"/>
        <v>1.9836956521739131</v>
      </c>
      <c r="AJ5" s="21">
        <f t="shared" si="21"/>
        <v>2.0165745856353592</v>
      </c>
      <c r="AK5" s="21">
        <f t="shared" si="21"/>
        <v>1.9836956521739131</v>
      </c>
      <c r="AL5" s="21">
        <f t="shared" si="21"/>
        <v>2.0165745856353592</v>
      </c>
      <c r="AM5" s="21">
        <f t="shared" si="21"/>
        <v>1.9891304347826086</v>
      </c>
      <c r="AN5" s="21">
        <f t="shared" si="21"/>
        <v>2.0109890109890109</v>
      </c>
      <c r="AO5" s="21">
        <f t="shared" si="21"/>
        <v>1.9836956521739131</v>
      </c>
      <c r="AP5" s="301">
        <f t="shared" si="21"/>
        <v>2.0165745856353592</v>
      </c>
      <c r="AQ5" s="21">
        <f>IF(LEFT(AQ$1,1)="2",(AQ3-AO3)/(AQ3-AP3),(AR3-AP3)/(AQ3-AP3))</f>
        <v>1.9836956521739131</v>
      </c>
      <c r="AR5" s="21">
        <f>IF(LEFT(AR$1,1)="2",(AR3-AP3)/(AR3-AQ3),(#REF!-AQ3)/(AR3-AQ3))</f>
        <v>2.0165745856353592</v>
      </c>
      <c r="AS5" s="21">
        <f t="shared" ref="AS5:AZ5" si="22">IF(LEFT(AS$1,1)="2",(AS3-AQ3)/(AS3-AR3),(AT3-AR3)/(AS3-AR3))</f>
        <v>1.9836956521739131</v>
      </c>
      <c r="AT5" s="21">
        <f t="shared" si="22"/>
        <v>2.0165745856353592</v>
      </c>
      <c r="AU5" s="21">
        <f t="shared" si="22"/>
        <v>1.9891304347826086</v>
      </c>
      <c r="AV5" s="21">
        <f t="shared" si="22"/>
        <v>2.0109890109890109</v>
      </c>
      <c r="AW5" s="21">
        <f t="shared" si="22"/>
        <v>1.9836956521739131</v>
      </c>
      <c r="AX5" s="21">
        <f t="shared" si="22"/>
        <v>2.0165745856353592</v>
      </c>
      <c r="AY5" s="21">
        <f t="shared" si="22"/>
        <v>1.9836956521739131</v>
      </c>
      <c r="AZ5" s="21">
        <f t="shared" si="22"/>
        <v>2.0165745856353592</v>
      </c>
      <c r="BA5" s="17"/>
      <c r="BB5" s="21">
        <v>1</v>
      </c>
      <c r="BC5" s="21">
        <v>1</v>
      </c>
      <c r="BD5" s="21">
        <v>1</v>
      </c>
      <c r="BE5" s="21">
        <v>1</v>
      </c>
      <c r="BF5" s="21">
        <v>1</v>
      </c>
      <c r="BG5" s="21">
        <v>1</v>
      </c>
      <c r="BH5" s="21">
        <v>1</v>
      </c>
      <c r="BI5" s="21">
        <v>1</v>
      </c>
      <c r="BJ5" s="21">
        <v>1</v>
      </c>
      <c r="BK5" s="21">
        <v>1</v>
      </c>
      <c r="BL5" s="21">
        <v>1</v>
      </c>
      <c r="BM5" s="21">
        <v>1</v>
      </c>
      <c r="BN5" s="21">
        <v>1</v>
      </c>
      <c r="BO5" s="21">
        <v>1</v>
      </c>
      <c r="BP5" s="21">
        <v>1</v>
      </c>
      <c r="BQ5" s="21">
        <v>1</v>
      </c>
      <c r="BR5" s="21">
        <v>1</v>
      </c>
      <c r="BS5" s="21">
        <v>1</v>
      </c>
      <c r="BT5" s="21">
        <v>1</v>
      </c>
      <c r="BU5" s="301">
        <v>1</v>
      </c>
      <c r="BV5" s="21">
        <v>1</v>
      </c>
      <c r="BW5" s="21">
        <v>1</v>
      </c>
      <c r="BX5" s="21">
        <v>1</v>
      </c>
      <c r="BY5" s="21">
        <v>1</v>
      </c>
      <c r="BZ5" s="21">
        <v>1</v>
      </c>
      <c r="DS5" s="21">
        <v>1</v>
      </c>
    </row>
    <row r="6" spans="1:123" s="22" customFormat="1">
      <c r="A6" s="10"/>
      <c r="B6" s="23"/>
      <c r="C6" s="23"/>
      <c r="D6" s="23"/>
      <c r="E6" s="23"/>
      <c r="F6" s="23"/>
      <c r="G6" s="24"/>
      <c r="H6" s="24"/>
      <c r="I6" s="24"/>
      <c r="J6" s="24"/>
      <c r="K6" s="24"/>
      <c r="L6" s="24"/>
      <c r="M6" s="24"/>
      <c r="N6" s="24"/>
      <c r="O6" s="24"/>
      <c r="P6" s="24"/>
      <c r="Q6" s="24"/>
      <c r="R6" s="24"/>
      <c r="S6" s="24"/>
      <c r="T6" s="24"/>
      <c r="U6" s="24"/>
      <c r="V6" s="25"/>
      <c r="W6" s="24"/>
      <c r="X6" s="24"/>
      <c r="Y6" s="24"/>
      <c r="Z6" s="24"/>
      <c r="AA6" s="24"/>
      <c r="AB6" s="24"/>
      <c r="AC6" s="24"/>
      <c r="AD6" s="24"/>
      <c r="AE6" s="24"/>
      <c r="AF6" s="24"/>
      <c r="AG6" s="24"/>
      <c r="AH6" s="24"/>
      <c r="AI6" s="24"/>
      <c r="AJ6" s="24"/>
      <c r="AK6" s="24"/>
      <c r="AL6" s="24"/>
      <c r="AM6" s="24"/>
      <c r="AN6" s="24"/>
      <c r="AO6" s="24"/>
      <c r="AP6" s="435"/>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U6" s="491"/>
    </row>
    <row r="7" spans="1:123" s="14" customFormat="1" hidden="1" outlineLevel="3">
      <c r="A7" s="10"/>
      <c r="B7" s="11" t="s">
        <v>43</v>
      </c>
      <c r="C7" s="11"/>
      <c r="D7" s="11"/>
      <c r="E7" s="11"/>
      <c r="F7" s="11"/>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298"/>
      <c r="AQ7" s="12"/>
      <c r="AR7" s="12"/>
      <c r="AS7" s="12"/>
      <c r="AT7" s="12"/>
      <c r="AU7" s="12"/>
      <c r="AV7" s="12"/>
      <c r="AW7" s="12"/>
      <c r="AX7" s="12"/>
      <c r="AY7" s="12"/>
      <c r="AZ7" s="12"/>
      <c r="BA7" s="13"/>
      <c r="BB7" s="12"/>
      <c r="BC7" s="12"/>
      <c r="BD7" s="12"/>
      <c r="BE7" s="12"/>
      <c r="BF7" s="12"/>
      <c r="BG7" s="12"/>
      <c r="BH7" s="12"/>
      <c r="BI7" s="12"/>
      <c r="BJ7" s="26"/>
      <c r="BK7" s="12"/>
      <c r="BL7" s="12"/>
      <c r="BM7" s="12"/>
      <c r="BN7" s="12"/>
      <c r="BO7" s="12"/>
      <c r="BP7" s="12"/>
      <c r="BQ7" s="12"/>
      <c r="BR7" s="12"/>
      <c r="BS7" s="12"/>
      <c r="BT7" s="12"/>
      <c r="BU7" s="298"/>
      <c r="BV7" s="12"/>
      <c r="BW7" s="12"/>
      <c r="BX7" s="12"/>
      <c r="BY7" s="12"/>
      <c r="BZ7" s="12"/>
      <c r="CB7" s="28"/>
      <c r="DS7" s="12"/>
    </row>
    <row r="8" spans="1:123" hidden="1" outlineLevel="3"/>
    <row r="9" spans="1:123" s="28" customFormat="1" hidden="1" outlineLevel="3">
      <c r="A9" s="10"/>
      <c r="B9" s="23" t="s">
        <v>44</v>
      </c>
      <c r="C9" s="23"/>
      <c r="D9" s="23"/>
      <c r="E9" s="23"/>
      <c r="F9" s="23"/>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436"/>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U9" s="493"/>
    </row>
    <row r="10" spans="1:123" s="31" customFormat="1" hidden="1" outlineLevel="3">
      <c r="A10" s="10"/>
      <c r="B10" s="29" t="s">
        <v>23</v>
      </c>
      <c r="C10" s="29"/>
      <c r="D10" s="29"/>
      <c r="E10" s="29"/>
      <c r="F10" s="29"/>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437"/>
      <c r="AQ10" s="30"/>
      <c r="AR10" s="30"/>
      <c r="AS10" s="30"/>
      <c r="AT10" s="30"/>
      <c r="AU10" s="30"/>
      <c r="AV10" s="30"/>
      <c r="AW10" s="30"/>
      <c r="AX10" s="30"/>
      <c r="AY10" s="30"/>
      <c r="AZ10" s="30"/>
      <c r="BA10" s="30"/>
      <c r="BB10" s="30"/>
      <c r="BC10" s="30"/>
      <c r="BD10" s="30"/>
      <c r="BE10" s="30"/>
      <c r="BF10" s="30"/>
      <c r="BG10" s="30"/>
      <c r="BH10" s="30"/>
      <c r="BI10" s="30"/>
      <c r="BJ10" s="27"/>
      <c r="BK10" s="30"/>
      <c r="BL10" s="30"/>
      <c r="BM10" s="30"/>
      <c r="BN10" s="30"/>
      <c r="BO10" s="30"/>
      <c r="BP10" s="30"/>
      <c r="BQ10" s="30"/>
      <c r="BR10" s="30"/>
      <c r="BS10" s="30"/>
      <c r="BU10" s="494"/>
      <c r="CB10" s="23"/>
    </row>
    <row r="11" spans="1:123" s="32" customFormat="1" hidden="1" outlineLevel="3">
      <c r="A11" s="10"/>
      <c r="B11" s="32" t="s">
        <v>24</v>
      </c>
      <c r="G11" s="33"/>
      <c r="H11" s="33"/>
      <c r="I11" s="33"/>
      <c r="J11" s="33"/>
      <c r="K11" s="33"/>
      <c r="L11" s="33"/>
      <c r="M11" s="33"/>
      <c r="N11" s="33"/>
      <c r="O11" s="33"/>
      <c r="P11" s="33"/>
      <c r="Q11" s="33"/>
      <c r="R11" s="33"/>
      <c r="S11" s="33"/>
      <c r="T11" s="33"/>
      <c r="U11" s="33"/>
      <c r="V11" s="34"/>
      <c r="W11" s="33"/>
      <c r="X11" s="33"/>
      <c r="Y11" s="33"/>
      <c r="Z11" s="33"/>
      <c r="AA11" s="33"/>
      <c r="AB11" s="33"/>
      <c r="AC11" s="33"/>
      <c r="AD11" s="33"/>
      <c r="AE11" s="33"/>
      <c r="AF11" s="33"/>
      <c r="AG11" s="33"/>
      <c r="AH11" s="33"/>
      <c r="AI11" s="33"/>
      <c r="AJ11" s="33"/>
      <c r="AK11" s="33"/>
      <c r="AL11" s="33"/>
      <c r="AM11" s="33"/>
      <c r="AN11" s="33"/>
      <c r="AO11" s="33"/>
      <c r="AP11" s="438"/>
      <c r="AQ11" s="33"/>
      <c r="AR11" s="33"/>
      <c r="AS11" s="33"/>
      <c r="AT11" s="33"/>
      <c r="AU11" s="33"/>
      <c r="AV11" s="33"/>
      <c r="AW11" s="33"/>
      <c r="AX11" s="33"/>
      <c r="AY11" s="33"/>
      <c r="AZ11" s="33"/>
      <c r="BA11" s="33"/>
      <c r="BB11" s="33"/>
      <c r="BC11" s="33"/>
      <c r="BD11" s="33"/>
      <c r="BE11" s="33"/>
      <c r="BF11" s="33"/>
      <c r="BG11" s="33"/>
      <c r="BH11" s="33"/>
      <c r="BI11" s="33"/>
      <c r="BJ11" s="27"/>
      <c r="BK11" s="33"/>
      <c r="BL11" s="33"/>
      <c r="BM11" s="33"/>
      <c r="BN11" s="33"/>
      <c r="BO11" s="33"/>
      <c r="BP11" s="33"/>
      <c r="BQ11" s="33"/>
      <c r="BR11" s="33"/>
      <c r="BS11" s="33"/>
      <c r="BU11" s="495"/>
      <c r="CB11" s="23"/>
    </row>
    <row r="12" spans="1:123" s="38" customFormat="1" hidden="1" outlineLevel="3">
      <c r="A12" s="10"/>
      <c r="B12" s="35" t="s">
        <v>25</v>
      </c>
      <c r="C12" s="35"/>
      <c r="D12" s="35"/>
      <c r="E12" s="35"/>
      <c r="F12" s="35"/>
      <c r="G12" s="36"/>
      <c r="H12" s="36"/>
      <c r="I12" s="36"/>
      <c r="J12" s="36"/>
      <c r="K12" s="36"/>
      <c r="L12" s="36"/>
      <c r="M12" s="36"/>
      <c r="N12" s="36"/>
      <c r="O12" s="36"/>
      <c r="P12" s="36"/>
      <c r="Q12" s="36"/>
      <c r="R12" s="36"/>
      <c r="S12" s="36"/>
      <c r="T12" s="36"/>
      <c r="U12" s="36"/>
      <c r="V12" s="36"/>
      <c r="W12" s="36"/>
      <c r="X12" s="37"/>
      <c r="Y12" s="36"/>
      <c r="Z12" s="36"/>
      <c r="AA12" s="36"/>
      <c r="AB12" s="36"/>
      <c r="AC12" s="36"/>
      <c r="AD12" s="36"/>
      <c r="AE12" s="36"/>
      <c r="AF12" s="36"/>
      <c r="AG12" s="36"/>
      <c r="AH12" s="36"/>
      <c r="AI12" s="36"/>
      <c r="AJ12" s="36"/>
      <c r="AK12" s="36"/>
      <c r="AL12" s="36"/>
      <c r="AM12" s="36"/>
      <c r="AN12" s="36"/>
      <c r="AO12" s="36"/>
      <c r="AP12" s="439"/>
      <c r="AQ12" s="36"/>
      <c r="AR12" s="36"/>
      <c r="AS12" s="36"/>
      <c r="AT12" s="36"/>
      <c r="AU12" s="36"/>
      <c r="AV12" s="36"/>
      <c r="AW12" s="36"/>
      <c r="AX12" s="36"/>
      <c r="AY12" s="36"/>
      <c r="AZ12" s="36"/>
      <c r="BA12" s="36"/>
      <c r="BB12" s="36"/>
      <c r="BC12" s="36"/>
      <c r="BD12" s="36"/>
      <c r="BE12" s="36"/>
      <c r="BF12" s="36"/>
      <c r="BG12" s="36"/>
      <c r="BH12" s="36"/>
      <c r="BI12" s="36"/>
      <c r="BJ12" s="27"/>
      <c r="BK12" s="36"/>
      <c r="BL12" s="36"/>
      <c r="BM12" s="36"/>
      <c r="BN12" s="36"/>
      <c r="BO12" s="36"/>
      <c r="BP12" s="36"/>
      <c r="BQ12" s="36"/>
      <c r="BR12" s="36"/>
      <c r="BS12" s="36"/>
      <c r="BU12" s="496"/>
      <c r="CB12" s="23"/>
    </row>
    <row r="13" spans="1:123" hidden="1" outlineLevel="3">
      <c r="X13" s="39"/>
    </row>
    <row r="14" spans="1:123" s="40" customFormat="1" collapsed="1">
      <c r="A14" s="10"/>
      <c r="B14" s="11" t="s">
        <v>86</v>
      </c>
      <c r="C14" s="11"/>
      <c r="D14" s="11"/>
      <c r="E14" s="11"/>
      <c r="F14" s="11"/>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298"/>
      <c r="AQ14" s="12"/>
      <c r="AR14" s="12"/>
      <c r="AS14" s="12"/>
      <c r="AT14" s="12"/>
      <c r="AU14" s="12"/>
      <c r="AV14" s="12"/>
      <c r="AW14" s="12"/>
      <c r="AX14" s="12"/>
      <c r="AY14" s="12"/>
      <c r="AZ14" s="12"/>
      <c r="BA14" s="13"/>
      <c r="BB14" s="12"/>
      <c r="BC14" s="12"/>
      <c r="BD14" s="12"/>
      <c r="BE14" s="12"/>
      <c r="BF14" s="12"/>
      <c r="BG14" s="12"/>
      <c r="BH14" s="12"/>
      <c r="BI14" s="12"/>
      <c r="BJ14" s="26"/>
      <c r="BK14" s="12"/>
      <c r="BL14" s="12"/>
      <c r="BM14" s="12"/>
      <c r="BN14" s="12"/>
      <c r="BO14" s="12"/>
      <c r="BP14" s="12"/>
      <c r="BQ14" s="12"/>
      <c r="BR14" s="12"/>
      <c r="BS14" s="12"/>
      <c r="BT14" s="12"/>
      <c r="BU14" s="298"/>
      <c r="BV14" s="12"/>
      <c r="BW14" s="12"/>
      <c r="BX14" s="12"/>
      <c r="BY14" s="12"/>
      <c r="BZ14" s="12"/>
      <c r="CB14" s="28"/>
      <c r="DS14" s="12"/>
    </row>
    <row r="15" spans="1:123" outlineLevel="1"/>
    <row r="16" spans="1:123" outlineLevel="1">
      <c r="B16" s="28" t="s">
        <v>33</v>
      </c>
      <c r="C16" s="28"/>
      <c r="D16" s="28"/>
      <c r="E16" s="28"/>
      <c r="F16" s="28"/>
      <c r="G16" s="558"/>
      <c r="H16" s="558"/>
      <c r="I16" s="558"/>
      <c r="J16" s="558"/>
      <c r="K16" s="431"/>
      <c r="L16" s="558"/>
      <c r="M16" s="558"/>
      <c r="N16" s="558"/>
      <c r="O16" s="558"/>
      <c r="P16" s="431"/>
      <c r="Q16" s="23"/>
      <c r="R16" s="431"/>
      <c r="S16" s="431"/>
      <c r="T16" s="431"/>
      <c r="U16" s="431"/>
      <c r="V16" s="431"/>
      <c r="W16" s="631"/>
      <c r="X16" s="631"/>
      <c r="Y16" s="631"/>
      <c r="Z16" s="631"/>
      <c r="AA16" s="631"/>
      <c r="AB16" s="631"/>
      <c r="AC16" s="631"/>
      <c r="AD16" s="631"/>
      <c r="AE16" s="631"/>
      <c r="AF16" s="631"/>
      <c r="AG16" s="631"/>
      <c r="AH16" s="631"/>
      <c r="AI16" s="631"/>
      <c r="AJ16" s="631"/>
      <c r="AK16" s="631"/>
      <c r="AL16" s="631"/>
      <c r="AM16" s="631"/>
      <c r="AN16" s="631"/>
      <c r="AO16" s="631"/>
      <c r="AP16" s="632"/>
      <c r="AQ16" s="633"/>
      <c r="AR16" s="633"/>
      <c r="AS16" s="633"/>
      <c r="AT16" s="633"/>
      <c r="AU16" s="633"/>
      <c r="AV16" s="633"/>
      <c r="AW16" s="633"/>
      <c r="AX16" s="633"/>
      <c r="AY16" s="633"/>
      <c r="AZ16" s="633"/>
      <c r="BA16" s="558"/>
      <c r="BB16" s="558"/>
      <c r="BC16" s="558"/>
      <c r="BD16" s="558"/>
      <c r="BE16" s="558"/>
      <c r="BF16" s="558"/>
      <c r="BG16" s="558"/>
      <c r="BH16" s="431"/>
      <c r="BI16" s="431"/>
      <c r="BJ16" s="431"/>
      <c r="BK16" s="431"/>
      <c r="BL16" s="431"/>
      <c r="BM16" s="431"/>
      <c r="BN16" s="431"/>
      <c r="BO16" s="431"/>
      <c r="BP16" s="431"/>
      <c r="BQ16" s="431"/>
      <c r="BR16" s="431"/>
      <c r="BS16" s="431"/>
    </row>
    <row r="17" spans="1:123" outlineLevel="1">
      <c r="A17" s="10" t="s">
        <v>53</v>
      </c>
      <c r="B17" s="23" t="s">
        <v>39</v>
      </c>
      <c r="C17" s="634"/>
      <c r="D17" s="634"/>
      <c r="E17" s="634"/>
      <c r="F17" s="634"/>
      <c r="G17" s="634"/>
      <c r="H17" s="634"/>
      <c r="I17" s="634"/>
      <c r="J17" s="634"/>
      <c r="K17" s="634"/>
      <c r="L17" s="634"/>
      <c r="M17" s="634"/>
      <c r="N17" s="634"/>
      <c r="O17" s="634"/>
      <c r="P17" s="634"/>
      <c r="Q17" s="634"/>
      <c r="R17" s="634"/>
      <c r="S17" s="634"/>
      <c r="T17" s="634"/>
      <c r="U17" s="634"/>
      <c r="V17" s="634"/>
      <c r="W17" s="634"/>
      <c r="X17" s="634"/>
      <c r="Y17" s="634">
        <v>0.3</v>
      </c>
      <c r="Z17" s="634">
        <v>0.3</v>
      </c>
      <c r="AA17" s="634">
        <v>0.3</v>
      </c>
      <c r="AB17" s="634">
        <v>0.3</v>
      </c>
      <c r="AC17" s="634">
        <v>0.3</v>
      </c>
      <c r="AD17" s="634">
        <f t="shared" ref="AD17:AP17" si="23">AC17</f>
        <v>0.3</v>
      </c>
      <c r="AE17" s="634">
        <f t="shared" si="23"/>
        <v>0.3</v>
      </c>
      <c r="AF17" s="634">
        <f t="shared" si="23"/>
        <v>0.3</v>
      </c>
      <c r="AG17" s="634">
        <f t="shared" si="23"/>
        <v>0.3</v>
      </c>
      <c r="AH17" s="634">
        <f t="shared" si="23"/>
        <v>0.3</v>
      </c>
      <c r="AI17" s="634">
        <f t="shared" si="23"/>
        <v>0.3</v>
      </c>
      <c r="AJ17" s="634">
        <f t="shared" si="23"/>
        <v>0.3</v>
      </c>
      <c r="AK17" s="634">
        <v>0.3</v>
      </c>
      <c r="AL17" s="634">
        <f t="shared" si="23"/>
        <v>0.3</v>
      </c>
      <c r="AM17" s="634">
        <v>0.3</v>
      </c>
      <c r="AN17" s="634">
        <f t="shared" si="23"/>
        <v>0.3</v>
      </c>
      <c r="AO17" s="634">
        <v>0.3</v>
      </c>
      <c r="AP17" s="635">
        <f t="shared" si="23"/>
        <v>0.3</v>
      </c>
      <c r="AQ17" s="634">
        <v>0.3</v>
      </c>
      <c r="AR17" s="634">
        <v>0.3</v>
      </c>
      <c r="AS17" s="634">
        <v>0.3</v>
      </c>
      <c r="AT17" s="634">
        <v>0.3</v>
      </c>
      <c r="AU17" s="634">
        <v>0.3</v>
      </c>
      <c r="AV17" s="634">
        <v>0.3</v>
      </c>
      <c r="AW17" s="634">
        <v>0.3</v>
      </c>
      <c r="AX17" s="634">
        <v>0.3</v>
      </c>
      <c r="AY17" s="634">
        <v>0.3</v>
      </c>
      <c r="AZ17" s="634">
        <v>0.3</v>
      </c>
      <c r="BA17" s="558"/>
      <c r="BB17" s="558"/>
      <c r="BC17" s="558"/>
      <c r="BD17" s="636"/>
      <c r="BE17" s="636"/>
      <c r="BF17" s="636"/>
      <c r="BG17" s="420"/>
      <c r="BH17" s="420"/>
      <c r="BI17" s="420"/>
      <c r="BJ17" s="420"/>
      <c r="BK17" s="420"/>
      <c r="BL17" s="420"/>
      <c r="BM17" s="420">
        <f>SUMPRODUCT(Y17:Z17,Y$5:Z$5)/SUM(Y$5:Z$5)</f>
        <v>0.3</v>
      </c>
      <c r="BN17" s="420">
        <f>SUMPRODUCT(AA17:AB17,AA$5:AB$5)/SUM(AA$5:AB$5)</f>
        <v>0.3</v>
      </c>
      <c r="BO17" s="420">
        <f>SUMPRODUCT(AC17:AD17,AC$5:AD$5)/SUM(AC$5:AD$5)</f>
        <v>0.3</v>
      </c>
      <c r="BP17" s="420">
        <f>SUMPRODUCT(AE17:AF17,AE$5:AF$5)/SUM(AE$5:AF$5)</f>
        <v>0.3</v>
      </c>
      <c r="BQ17" s="420">
        <f>SUMPRODUCT(AG17:AH17,AG$5:AH$5)/SUM(AG$5:AH$5)</f>
        <v>0.3</v>
      </c>
      <c r="BR17" s="420">
        <f>SUMPRODUCT(AI17:AJ17,AI$5:AJ$5)/SUM(AI$5:AJ$5)</f>
        <v>0.3</v>
      </c>
      <c r="BS17" s="420">
        <f>SUMPRODUCT(AK17:AL17,AK$5:AL$5)/SUM(AK$5:AL$5)</f>
        <v>0.3</v>
      </c>
      <c r="BT17" s="420">
        <f>SUMPRODUCT(AM17:AN17,AM$5:AN$5)/SUM(AM$5:AN$5)</f>
        <v>0.3</v>
      </c>
      <c r="BU17" s="447">
        <f>SUMPRODUCT(AO17:AP17,AO$5:AP$5)/SUM(AO$5:AP$5)</f>
        <v>0.3</v>
      </c>
      <c r="BV17" s="420">
        <f>SUMPRODUCT(AQ17:AR17,AQ$5:AR$5)/SUM(AQ$5:AR$5)</f>
        <v>0.3</v>
      </c>
      <c r="BW17" s="420">
        <f>SUMPRODUCT(AS17:AT17,AS$5:AT$5)/SUM(AS$5:AT$5)</f>
        <v>0.3</v>
      </c>
      <c r="BX17" s="420">
        <f>SUMPRODUCT(AU17:AV17,AU$5:AV$5)/SUM(AU$5:AV$5)</f>
        <v>0.3</v>
      </c>
      <c r="BY17" s="420">
        <f>SUMPRODUCT(AW17:AX17,AW$5:AX$5)/SUM(AW$5:AX$5)</f>
        <v>0.3</v>
      </c>
      <c r="BZ17" s="420">
        <f>SUMPRODUCT(AY17:AZ17,AY$5:AZ$5)/SUM(AY$5:AZ$5)</f>
        <v>0.3</v>
      </c>
      <c r="CB17" s="23" t="s">
        <v>609</v>
      </c>
      <c r="DS17" s="420" t="e">
        <f>SUMPRODUCT(CU17:CV17,CU$5:CV$5)/SUM(CU$5:CV$5)</f>
        <v>#DIV/0!</v>
      </c>
    </row>
    <row r="18" spans="1:123" outlineLevel="1">
      <c r="A18" s="10" t="s">
        <v>38</v>
      </c>
      <c r="B18" s="23" t="s">
        <v>63</v>
      </c>
      <c r="C18" s="431"/>
      <c r="D18" s="431"/>
      <c r="E18" s="431"/>
      <c r="F18" s="431"/>
      <c r="G18" s="431"/>
      <c r="H18" s="431"/>
      <c r="I18" s="431"/>
      <c r="J18" s="431"/>
      <c r="K18" s="431"/>
      <c r="L18" s="431"/>
      <c r="M18" s="431"/>
      <c r="N18" s="431"/>
      <c r="O18" s="431"/>
      <c r="P18" s="431"/>
      <c r="Q18" s="431"/>
      <c r="R18" s="431"/>
      <c r="S18" s="431"/>
      <c r="T18" s="431"/>
      <c r="U18" s="431"/>
      <c r="V18" s="431"/>
      <c r="W18" s="431"/>
      <c r="X18" s="431"/>
      <c r="Y18" s="431">
        <f>-Y257/Y256</f>
        <v>0.31463909738941603</v>
      </c>
      <c r="Z18" s="431">
        <f t="shared" ref="Z18:AP18" si="24">-Z257/Z256</f>
        <v>0.29934355692850839</v>
      </c>
      <c r="AA18" s="431">
        <f t="shared" si="24"/>
        <v>0.3053840132208403</v>
      </c>
      <c r="AB18" s="431">
        <f t="shared" si="24"/>
        <v>0.30869957856712821</v>
      </c>
      <c r="AC18" s="431">
        <f t="shared" si="24"/>
        <v>0.3049272024348112</v>
      </c>
      <c r="AD18" s="431">
        <f t="shared" si="24"/>
        <v>0.30650262802921069</v>
      </c>
      <c r="AE18" s="431">
        <f t="shared" si="24"/>
        <v>0.3074370934892583</v>
      </c>
      <c r="AF18" s="431">
        <f t="shared" si="24"/>
        <v>0.29971175263134892</v>
      </c>
      <c r="AG18" s="431">
        <f t="shared" si="24"/>
        <v>0.31407867968089243</v>
      </c>
      <c r="AH18" s="431">
        <f t="shared" si="24"/>
        <v>0.3032121774496061</v>
      </c>
      <c r="AI18" s="431">
        <f t="shared" si="24"/>
        <v>0.30270528760759668</v>
      </c>
      <c r="AJ18" s="431">
        <f t="shared" si="24"/>
        <v>0.3019799591462532</v>
      </c>
      <c r="AK18" s="431">
        <f t="shared" si="24"/>
        <v>0.29250318432704553</v>
      </c>
      <c r="AL18" s="431">
        <f t="shared" si="24"/>
        <v>0.28116886174084244</v>
      </c>
      <c r="AM18" s="431">
        <f t="shared" si="24"/>
        <v>0.3048825166100621</v>
      </c>
      <c r="AN18" s="431">
        <f t="shared" si="24"/>
        <v>0.27489876504139305</v>
      </c>
      <c r="AO18" s="431">
        <f t="shared" si="24"/>
        <v>0.30609460676712114</v>
      </c>
      <c r="AP18" s="449">
        <f t="shared" si="24"/>
        <v>0.28720706695443982</v>
      </c>
      <c r="AQ18" s="631">
        <v>0.30009999999999998</v>
      </c>
      <c r="AR18" s="631">
        <v>0.30009999999999998</v>
      </c>
      <c r="AS18" s="631">
        <v>0.30009999999999998</v>
      </c>
      <c r="AT18" s="631">
        <v>0.30009999999999998</v>
      </c>
      <c r="AU18" s="631">
        <v>0.30009999999999998</v>
      </c>
      <c r="AV18" s="631">
        <v>0.30009999999999998</v>
      </c>
      <c r="AW18" s="631">
        <v>0.30009999999999998</v>
      </c>
      <c r="AX18" s="631">
        <v>0.30009999999999998</v>
      </c>
      <c r="AY18" s="631">
        <v>0.30009999999999998</v>
      </c>
      <c r="AZ18" s="631">
        <v>0.30009999999999998</v>
      </c>
      <c r="BA18" s="558"/>
      <c r="BB18" s="558"/>
      <c r="BC18" s="558"/>
      <c r="BD18" s="431"/>
      <c r="BE18" s="431"/>
      <c r="BF18" s="431"/>
      <c r="BG18" s="431"/>
      <c r="BI18" s="431"/>
      <c r="BJ18" s="431"/>
      <c r="BK18" s="431"/>
      <c r="BL18" s="431"/>
      <c r="BM18" s="431">
        <f t="shared" ref="BM18:BZ18" si="25">-BM257/BM256</f>
        <v>0.30498441825240685</v>
      </c>
      <c r="BN18" s="431">
        <f t="shared" si="25"/>
        <v>0.30748671609023515</v>
      </c>
      <c r="BO18" s="431">
        <f t="shared" si="25"/>
        <v>0.30593356310910391</v>
      </c>
      <c r="BP18" s="431">
        <f t="shared" si="25"/>
        <v>0.30279657904402113</v>
      </c>
      <c r="BQ18" s="431">
        <f t="shared" si="25"/>
        <v>0.30824805610288353</v>
      </c>
      <c r="BR18" s="431">
        <f t="shared" si="25"/>
        <v>0.30228020398352295</v>
      </c>
      <c r="BS18" s="431">
        <f t="shared" si="25"/>
        <v>0.2853066968106367</v>
      </c>
      <c r="BT18" s="431">
        <f t="shared" si="25"/>
        <v>0.28751468590902651</v>
      </c>
      <c r="BU18" s="449">
        <f t="shared" si="25"/>
        <v>0.29481377124240554</v>
      </c>
      <c r="BV18" s="431">
        <f t="shared" si="25"/>
        <v>0.27975298176717944</v>
      </c>
      <c r="BW18" s="431">
        <f t="shared" si="25"/>
        <v>0.28016187950096111</v>
      </c>
      <c r="BX18" s="431">
        <f t="shared" si="25"/>
        <v>0.2809019019903336</v>
      </c>
      <c r="BY18" s="431">
        <f t="shared" si="25"/>
        <v>0.28178358818308968</v>
      </c>
      <c r="BZ18" s="431">
        <f t="shared" si="25"/>
        <v>0.28260096471570206</v>
      </c>
      <c r="CB18" s="23" t="s">
        <v>609</v>
      </c>
      <c r="DS18" s="431" t="e">
        <f t="shared" ref="DS18" si="26">-DS257/DS256</f>
        <v>#DIV/0!</v>
      </c>
    </row>
    <row r="19" spans="1:123" outlineLevel="1">
      <c r="A19" s="10" t="s">
        <v>101</v>
      </c>
      <c r="B19" s="23" t="s">
        <v>58</v>
      </c>
      <c r="C19" s="431"/>
      <c r="D19" s="431"/>
      <c r="E19" s="431"/>
      <c r="F19" s="431"/>
      <c r="G19" s="431"/>
      <c r="H19" s="431"/>
      <c r="I19" s="431"/>
      <c r="J19" s="431"/>
      <c r="K19" s="431"/>
      <c r="L19" s="431"/>
      <c r="M19" s="431"/>
      <c r="N19" s="431"/>
      <c r="O19" s="431"/>
      <c r="P19" s="431"/>
      <c r="Q19" s="431"/>
      <c r="R19" s="431"/>
      <c r="S19" s="431"/>
      <c r="T19" s="431"/>
      <c r="U19" s="431"/>
      <c r="V19" s="431"/>
      <c r="W19" s="431"/>
      <c r="X19" s="431"/>
      <c r="Y19" s="631">
        <v>1</v>
      </c>
      <c r="Z19" s="631">
        <v>1</v>
      </c>
      <c r="AA19" s="631">
        <v>1</v>
      </c>
      <c r="AB19" s="631">
        <v>1</v>
      </c>
      <c r="AC19" s="631">
        <v>1</v>
      </c>
      <c r="AD19" s="631">
        <v>1</v>
      </c>
      <c r="AE19" s="631">
        <v>1</v>
      </c>
      <c r="AF19" s="631">
        <v>1</v>
      </c>
      <c r="AG19" s="631">
        <v>1</v>
      </c>
      <c r="AH19" s="631">
        <v>1</v>
      </c>
      <c r="AI19" s="631">
        <v>1</v>
      </c>
      <c r="AJ19" s="631">
        <v>1</v>
      </c>
      <c r="AK19" s="631">
        <v>1</v>
      </c>
      <c r="AL19" s="631">
        <v>1</v>
      </c>
      <c r="AM19" s="631">
        <v>1</v>
      </c>
      <c r="AN19" s="631">
        <v>1</v>
      </c>
      <c r="AO19" s="631">
        <v>1</v>
      </c>
      <c r="AP19" s="632">
        <v>1</v>
      </c>
      <c r="AQ19" s="637">
        <v>1</v>
      </c>
      <c r="AR19" s="637">
        <v>1</v>
      </c>
      <c r="AS19" s="637">
        <v>1</v>
      </c>
      <c r="AT19" s="637">
        <v>1</v>
      </c>
      <c r="AU19" s="637">
        <v>1</v>
      </c>
      <c r="AV19" s="637">
        <v>1</v>
      </c>
      <c r="AW19" s="637">
        <v>1</v>
      </c>
      <c r="AX19" s="637">
        <v>1</v>
      </c>
      <c r="AY19" s="637">
        <v>1</v>
      </c>
      <c r="AZ19" s="637">
        <v>1</v>
      </c>
      <c r="BA19" s="558"/>
      <c r="BB19" s="558"/>
      <c r="BC19" s="558"/>
      <c r="BD19" s="636"/>
      <c r="BE19" s="636"/>
      <c r="BF19" s="636"/>
      <c r="BG19" s="420"/>
      <c r="BH19" s="420"/>
      <c r="BI19" s="420"/>
      <c r="BJ19" s="420"/>
      <c r="BK19" s="420"/>
      <c r="BL19" s="420"/>
      <c r="BM19" s="420">
        <f>SUMPRODUCT(Y19:Z19,Y$5:Z$5)/SUM(Y$5:Z$5)</f>
        <v>1</v>
      </c>
      <c r="BN19" s="420">
        <f>SUMPRODUCT(AA19:AB19,AA$5:AB$5)/SUM(AA$5:AB$5)</f>
        <v>1</v>
      </c>
      <c r="BO19" s="420">
        <f>SUMPRODUCT(AC19:AD19,AC$5:AD$5)/SUM(AC$5:AD$5)</f>
        <v>1</v>
      </c>
      <c r="BP19" s="420">
        <f>SUMPRODUCT(AE19:AF19,AE$5:AF$5)/SUM(AE$5:AF$5)</f>
        <v>1</v>
      </c>
      <c r="BQ19" s="420">
        <f>SUMPRODUCT(AG19:AH19,AG$5:AH$5)/SUM(AG$5:AH$5)</f>
        <v>1</v>
      </c>
      <c r="BR19" s="420">
        <f>SUMPRODUCT(AI19:AJ19,AI$5:AJ$5)/SUM(AI$5:AJ$5)</f>
        <v>1</v>
      </c>
      <c r="BS19" s="420">
        <f>SUMPRODUCT(AK19:AL19,AK$5:AL$5)/SUM(AK$5:AL$5)</f>
        <v>1</v>
      </c>
      <c r="BT19" s="420">
        <f>SUMPRODUCT(AM19:AN19,AM$5:AN$5)/SUM(AM$5:AN$5)</f>
        <v>1</v>
      </c>
      <c r="BU19" s="447">
        <f>SUMPRODUCT(AO19:AP19,AO$5:AP$5)/SUM(AO$5:AP$5)</f>
        <v>1</v>
      </c>
      <c r="BV19" s="420">
        <f>SUMPRODUCT(AQ19:AR19,AQ$5:AR$5)/SUM(AQ$5:AR$5)</f>
        <v>1</v>
      </c>
      <c r="BW19" s="420">
        <f>SUMPRODUCT(AS19:AT19,AS$5:AT$5)/SUM(AS$5:AT$5)</f>
        <v>1</v>
      </c>
      <c r="BX19" s="420">
        <f>SUMPRODUCT(AU19:AV19,AU$5:AV$5)/SUM(AU$5:AV$5)</f>
        <v>1</v>
      </c>
      <c r="BY19" s="420">
        <f>SUMPRODUCT(AW19:AX19,AW$5:AX$5)/SUM(AW$5:AX$5)</f>
        <v>1</v>
      </c>
      <c r="BZ19" s="420">
        <f>SUMPRODUCT(AY19:AZ19,AY$5:AZ$5)/SUM(AY$5:AZ$5)</f>
        <v>1</v>
      </c>
      <c r="CB19" s="23" t="s">
        <v>610</v>
      </c>
      <c r="DS19" s="420" t="e">
        <f>SUMPRODUCT(CU19:CV19,CU$5:CV$5)/SUM(CU$5:CV$5)</f>
        <v>#DIV/0!</v>
      </c>
    </row>
    <row r="20" spans="1:123" outlineLevel="1">
      <c r="A20" s="10" t="s">
        <v>59</v>
      </c>
      <c r="B20" s="23" t="s">
        <v>46</v>
      </c>
      <c r="C20" s="631"/>
      <c r="D20" s="631"/>
      <c r="E20" s="631"/>
      <c r="F20" s="631"/>
      <c r="G20" s="631"/>
      <c r="H20" s="631"/>
      <c r="I20" s="631"/>
      <c r="J20" s="631"/>
      <c r="K20" s="631"/>
      <c r="L20" s="631"/>
      <c r="M20" s="631"/>
      <c r="N20" s="631"/>
      <c r="O20" s="631"/>
      <c r="P20" s="631"/>
      <c r="Q20" s="631"/>
      <c r="R20" s="631"/>
      <c r="S20" s="631"/>
      <c r="T20" s="631"/>
      <c r="U20" s="631"/>
      <c r="V20" s="631"/>
      <c r="W20" s="631"/>
      <c r="X20" s="631"/>
      <c r="Y20" s="631">
        <v>0.7</v>
      </c>
      <c r="Z20" s="631">
        <v>0.7</v>
      </c>
      <c r="AA20" s="631">
        <v>0.7</v>
      </c>
      <c r="AB20" s="631">
        <v>0.7</v>
      </c>
      <c r="AC20" s="631">
        <v>0.7</v>
      </c>
      <c r="AD20" s="631">
        <v>0.7</v>
      </c>
      <c r="AE20" s="631">
        <v>0.7</v>
      </c>
      <c r="AF20" s="631">
        <v>0.7</v>
      </c>
      <c r="AG20" s="631">
        <v>0.7</v>
      </c>
      <c r="AH20" s="631">
        <v>0.7</v>
      </c>
      <c r="AI20" s="631">
        <v>0.7</v>
      </c>
      <c r="AJ20" s="631">
        <v>0.7</v>
      </c>
      <c r="AK20" s="631">
        <v>0.7</v>
      </c>
      <c r="AL20" s="631">
        <v>0.7</v>
      </c>
      <c r="AM20" s="631">
        <v>0.7</v>
      </c>
      <c r="AN20" s="631">
        <v>0.7</v>
      </c>
      <c r="AO20" s="631">
        <v>0.7</v>
      </c>
      <c r="AP20" s="632">
        <v>0.7</v>
      </c>
      <c r="AQ20" s="633">
        <v>0.7</v>
      </c>
      <c r="AR20" s="633">
        <v>0.7</v>
      </c>
      <c r="AS20" s="633">
        <v>0.7</v>
      </c>
      <c r="AT20" s="633">
        <v>0.7</v>
      </c>
      <c r="AU20" s="633">
        <v>0.7</v>
      </c>
      <c r="AV20" s="633">
        <v>0.7</v>
      </c>
      <c r="AW20" s="633">
        <v>0.7</v>
      </c>
      <c r="AX20" s="633">
        <v>0.7</v>
      </c>
      <c r="AY20" s="633">
        <v>0.7</v>
      </c>
      <c r="AZ20" s="633">
        <v>0.7</v>
      </c>
      <c r="BA20" s="633"/>
      <c r="BB20" s="633"/>
      <c r="BC20" s="633"/>
      <c r="BD20" s="636"/>
      <c r="BE20" s="636"/>
      <c r="BF20" s="636"/>
      <c r="BG20" s="420"/>
      <c r="BH20" s="420"/>
      <c r="BI20" s="420"/>
      <c r="BJ20" s="420"/>
      <c r="BK20" s="420"/>
      <c r="BL20" s="420"/>
      <c r="BM20" s="420">
        <f>SUMPRODUCT(Y20:Z20,Y$5:Z$5)/SUM(Y$5:Z$5)</f>
        <v>0.7</v>
      </c>
      <c r="BN20" s="420">
        <f>SUMPRODUCT(AA20:AB20,AA$5:AB$5)/SUM(AA$5:AB$5)</f>
        <v>0.7</v>
      </c>
      <c r="BO20" s="420">
        <f>SUMPRODUCT(AC20:AD20,AC$5:AD$5)/SUM(AC$5:AD$5)</f>
        <v>0.7</v>
      </c>
      <c r="BP20" s="420">
        <f>SUMPRODUCT(AE20:AF20,AE$5:AF$5)/SUM(AE$5:AF$5)</f>
        <v>0.7</v>
      </c>
      <c r="BQ20" s="420">
        <f>SUMPRODUCT(AG20:AH20,AG$5:AH$5)/SUM(AG$5:AH$5)</f>
        <v>0.7</v>
      </c>
      <c r="BR20" s="420">
        <f>SUMPRODUCT(AI20:AJ20,AI$5:AJ$5)/SUM(AI$5:AJ$5)</f>
        <v>0.7</v>
      </c>
      <c r="BS20" s="420">
        <f>SUMPRODUCT(AK20:AL20,AK$5:AL$5)/SUM(AK$5:AL$5)</f>
        <v>0.7</v>
      </c>
      <c r="BT20" s="420">
        <f>SUMPRODUCT(AM20:AN20,AM$5:AN$5)/SUM(AM$5:AN$5)</f>
        <v>0.7</v>
      </c>
      <c r="BU20" s="447">
        <f>SUMPRODUCT(AO20:AP20,AO$5:AP$5)/SUM(AO$5:AP$5)</f>
        <v>0.7</v>
      </c>
      <c r="BV20" s="420">
        <f>SUMPRODUCT(AQ20:AR20,AQ$5:AR$5)/SUM(AQ$5:AR$5)</f>
        <v>0.7</v>
      </c>
      <c r="BW20" s="420">
        <f>SUMPRODUCT(AS20:AT20,AS$5:AT$5)/SUM(AS$5:AT$5)</f>
        <v>0.7</v>
      </c>
      <c r="BX20" s="420">
        <f>SUMPRODUCT(AU20:AV20,AU$5:AV$5)/SUM(AU$5:AV$5)</f>
        <v>0.7</v>
      </c>
      <c r="BY20" s="420">
        <f>SUMPRODUCT(AW20:AX20,AW$5:AX$5)/SUM(AW$5:AX$5)</f>
        <v>0.7</v>
      </c>
      <c r="BZ20" s="420">
        <f>SUMPRODUCT(AY20:AZ20,AY$5:AZ$5)/SUM(AY$5:AZ$5)</f>
        <v>0.7</v>
      </c>
      <c r="CB20" s="23" t="s">
        <v>610</v>
      </c>
      <c r="DS20" s="420" t="e">
        <f>SUMPRODUCT(CU20:CV20,CU$5:CV$5)/SUM(CU$5:CV$5)</f>
        <v>#DIV/0!</v>
      </c>
    </row>
    <row r="21" spans="1:123" outlineLevel="1">
      <c r="G21" s="558"/>
      <c r="H21" s="558"/>
      <c r="I21" s="558"/>
      <c r="J21" s="558"/>
      <c r="K21" s="431"/>
      <c r="L21" s="558"/>
      <c r="M21" s="558"/>
      <c r="N21" s="558"/>
      <c r="O21" s="558"/>
      <c r="P21" s="431"/>
      <c r="Q21" s="431"/>
      <c r="R21" s="431"/>
      <c r="S21" s="431"/>
      <c r="T21" s="431"/>
      <c r="U21" s="431"/>
      <c r="V21" s="431"/>
      <c r="W21" s="631"/>
      <c r="X21" s="631"/>
      <c r="Y21" s="631"/>
      <c r="Z21" s="631"/>
      <c r="AA21" s="631"/>
      <c r="AB21" s="631"/>
      <c r="AC21" s="631"/>
      <c r="AD21" s="631"/>
      <c r="AE21" s="631"/>
      <c r="AF21" s="631"/>
      <c r="AG21" s="631"/>
      <c r="AH21" s="631"/>
      <c r="AI21" s="631"/>
      <c r="AJ21" s="631"/>
      <c r="AK21" s="631"/>
      <c r="AL21" s="631"/>
      <c r="AM21" s="631"/>
      <c r="AN21" s="631"/>
      <c r="AO21" s="631"/>
      <c r="AP21" s="632"/>
      <c r="AQ21" s="633"/>
      <c r="AR21" s="633"/>
      <c r="AS21" s="633"/>
      <c r="AT21" s="633"/>
      <c r="AU21" s="633"/>
      <c r="AV21" s="633"/>
      <c r="AW21" s="633"/>
      <c r="AX21" s="633"/>
      <c r="AY21" s="633"/>
      <c r="AZ21" s="633"/>
      <c r="BA21" s="558"/>
      <c r="BB21" s="558"/>
      <c r="BC21" s="558"/>
      <c r="BD21" s="558"/>
      <c r="BE21" s="558"/>
      <c r="BF21" s="558"/>
      <c r="BG21" s="558"/>
      <c r="BH21" s="431"/>
      <c r="BI21" s="431"/>
      <c r="BJ21" s="431"/>
      <c r="BK21" s="431"/>
      <c r="BL21" s="431"/>
      <c r="BM21" s="431"/>
      <c r="BN21" s="431"/>
      <c r="BO21" s="431"/>
      <c r="BP21" s="431"/>
      <c r="BQ21" s="431"/>
      <c r="BR21" s="431"/>
      <c r="BS21" s="431"/>
    </row>
    <row r="22" spans="1:123" outlineLevel="1">
      <c r="B22" s="28" t="s">
        <v>47</v>
      </c>
      <c r="C22" s="28"/>
      <c r="G22" s="23"/>
      <c r="H22" s="23"/>
      <c r="I22" s="23"/>
      <c r="J22" s="23"/>
      <c r="K22" s="23"/>
      <c r="L22" s="23"/>
      <c r="M22" s="23"/>
      <c r="N22" s="23"/>
      <c r="O22" s="23"/>
      <c r="P22" s="23"/>
      <c r="Q22" s="23"/>
      <c r="R22" s="23"/>
      <c r="S22" s="23"/>
      <c r="T22" s="23"/>
      <c r="U22" s="23"/>
      <c r="V22" s="23"/>
      <c r="W22" s="41"/>
      <c r="X22" s="23"/>
      <c r="Y22" s="41"/>
      <c r="Z22" s="23"/>
      <c r="AA22" s="23"/>
      <c r="AB22" s="23"/>
      <c r="AC22" s="41"/>
      <c r="AD22" s="203"/>
      <c r="AE22" s="41"/>
      <c r="AF22" s="23"/>
      <c r="AG22" s="41"/>
      <c r="AH22" s="631"/>
      <c r="AI22" s="25"/>
      <c r="AJ22" s="631"/>
      <c r="AK22" s="25"/>
      <c r="AL22" s="25"/>
      <c r="AM22" s="25"/>
      <c r="AN22" s="25"/>
      <c r="AO22" s="25"/>
      <c r="AP22" s="440"/>
      <c r="AQ22" s="25"/>
      <c r="AR22" s="70"/>
      <c r="AS22" s="25"/>
      <c r="AT22" s="70"/>
      <c r="AU22" s="25"/>
      <c r="AV22" s="70"/>
      <c r="AW22" s="25"/>
      <c r="AX22" s="70"/>
      <c r="AY22" s="25"/>
      <c r="AZ22" s="70"/>
      <c r="BA22" s="558"/>
      <c r="BB22" s="558"/>
      <c r="BC22" s="558"/>
      <c r="BD22" s="558"/>
      <c r="BE22" s="558"/>
      <c r="BF22" s="558"/>
      <c r="BG22" s="558"/>
      <c r="BH22" s="431"/>
      <c r="BI22" s="431"/>
      <c r="BJ22" s="431"/>
      <c r="BK22" s="431"/>
      <c r="BL22" s="431"/>
      <c r="BM22" s="431"/>
      <c r="BN22" s="431"/>
      <c r="BO22" s="431"/>
      <c r="BP22" s="431"/>
      <c r="BQ22" s="431"/>
      <c r="BR22" s="431"/>
      <c r="BS22" s="431"/>
    </row>
    <row r="23" spans="1:123" s="44" customFormat="1" outlineLevel="1">
      <c r="A23" s="43" t="s">
        <v>123</v>
      </c>
      <c r="B23" s="44" t="s">
        <v>125</v>
      </c>
      <c r="C23" s="45"/>
      <c r="K23" s="46"/>
      <c r="L23" s="46"/>
      <c r="M23" s="46"/>
      <c r="N23" s="46"/>
      <c r="O23" s="46"/>
      <c r="P23" s="46"/>
      <c r="Q23" s="46"/>
      <c r="R23" s="46"/>
      <c r="S23" s="46"/>
      <c r="T23" s="46"/>
      <c r="U23" s="46"/>
      <c r="V23" s="46"/>
      <c r="W23" s="46"/>
      <c r="X23" s="46"/>
      <c r="Y23" s="46">
        <f>12.5/100</f>
        <v>0.125</v>
      </c>
      <c r="Z23" s="46">
        <f>29.5/100</f>
        <v>0.29499999999999998</v>
      </c>
      <c r="AA23" s="46">
        <v>0.13500000000000001</v>
      </c>
      <c r="AB23" s="46">
        <v>0.32</v>
      </c>
      <c r="AC23" s="46">
        <v>0.13500000000000001</v>
      </c>
      <c r="AD23" s="46">
        <v>0.32500000000000001</v>
      </c>
      <c r="AE23" s="46">
        <v>0.14499999999999999</v>
      </c>
      <c r="AF23" s="46">
        <v>0.35499999999999998</v>
      </c>
      <c r="AG23" s="46">
        <v>0.16</v>
      </c>
      <c r="AH23" s="46">
        <v>0.39</v>
      </c>
      <c r="AI23" s="46">
        <v>0.17</v>
      </c>
      <c r="AJ23" s="46">
        <v>0.38</v>
      </c>
      <c r="AK23" s="48">
        <v>0.17</v>
      </c>
      <c r="AL23" s="48">
        <f>0.64-AK23</f>
        <v>0.47</v>
      </c>
      <c r="AM23" s="48">
        <v>0.2</v>
      </c>
      <c r="AN23" s="48">
        <f>0.79-AM23</f>
        <v>0.59000000000000008</v>
      </c>
      <c r="AO23" s="48">
        <v>0.25</v>
      </c>
      <c r="AP23" s="441">
        <f>0.91-AO23</f>
        <v>0.66</v>
      </c>
      <c r="AQ23" s="47">
        <f>AQ26*AQ258/AQ272</f>
        <v>0.27225958058785027</v>
      </c>
      <c r="AR23" s="47">
        <f t="shared" ref="AR23:AZ23" si="27">AR26*AR258/AR272</f>
        <v>0.73903689336088874</v>
      </c>
      <c r="AS23" s="47">
        <f t="shared" si="27"/>
        <v>0.29084184891926634</v>
      </c>
      <c r="AT23" s="47">
        <f t="shared" si="27"/>
        <v>0.79896158103921455</v>
      </c>
      <c r="AU23" s="47">
        <f t="shared" si="27"/>
        <v>0.32321747633015691</v>
      </c>
      <c r="AV23" s="47">
        <f t="shared" si="27"/>
        <v>0.8623808079277081</v>
      </c>
      <c r="AW23" s="47">
        <f t="shared" si="27"/>
        <v>0.35344912343908175</v>
      </c>
      <c r="AX23" s="47">
        <f t="shared" si="27"/>
        <v>0.92996949957676811</v>
      </c>
      <c r="AY23" s="47">
        <f t="shared" si="27"/>
        <v>0.38579025218531793</v>
      </c>
      <c r="AZ23" s="47">
        <f t="shared" si="27"/>
        <v>1.0019945998308399</v>
      </c>
      <c r="BA23" s="638"/>
      <c r="BB23" s="639"/>
      <c r="BC23" s="639"/>
      <c r="BD23" s="639"/>
      <c r="BE23" s="639"/>
      <c r="BF23" s="639"/>
      <c r="BG23" s="639"/>
      <c r="BH23" s="640"/>
      <c r="BI23" s="47"/>
      <c r="BJ23" s="47"/>
      <c r="BK23" s="47"/>
      <c r="BL23" s="47"/>
      <c r="BM23" s="47">
        <f>SUM(Y23:Z23)</f>
        <v>0.42</v>
      </c>
      <c r="BN23" s="47">
        <f>SUM(AA23:AB23)</f>
        <v>0.45500000000000002</v>
      </c>
      <c r="BO23" s="47">
        <f>SUM(AC23:AD23)</f>
        <v>0.46</v>
      </c>
      <c r="BP23" s="47">
        <f>SUM(AE23:AF23)</f>
        <v>0.5</v>
      </c>
      <c r="BQ23" s="47">
        <f>SUM(AG23:AH23)</f>
        <v>0.55000000000000004</v>
      </c>
      <c r="BR23" s="47">
        <f>SUM(AI23:AJ23)</f>
        <v>0.55000000000000004</v>
      </c>
      <c r="BS23" s="47">
        <f>SUM(AK23:AL23)</f>
        <v>0.64</v>
      </c>
      <c r="BT23" s="47">
        <f>SUM(AM23:AN23)</f>
        <v>0.79</v>
      </c>
      <c r="BU23" s="442">
        <f>SUM(AO23:AP23)</f>
        <v>0.91</v>
      </c>
      <c r="BV23" s="47">
        <f>SUM(AQ23:AR23)</f>
        <v>1.0112964739487391</v>
      </c>
      <c r="BW23" s="47">
        <f>SUM(AS23:AT23)</f>
        <v>1.0898034299584809</v>
      </c>
      <c r="BX23" s="47">
        <f>SUM(AU23:AV23)</f>
        <v>1.185598284257865</v>
      </c>
      <c r="BY23" s="47">
        <f>SUM(AW23:AX23)</f>
        <v>1.2834186230158497</v>
      </c>
      <c r="BZ23" s="47">
        <f>SUM(AY23:AZ23)</f>
        <v>1.387784852016158</v>
      </c>
      <c r="CB23" s="44" t="s">
        <v>611</v>
      </c>
      <c r="DS23" s="47">
        <f>SUM(CU23:CV23)</f>
        <v>0</v>
      </c>
    </row>
    <row r="24" spans="1:123" s="44" customFormat="1" outlineLevel="1">
      <c r="A24" s="43" t="s">
        <v>124</v>
      </c>
      <c r="B24" s="44" t="s">
        <v>126</v>
      </c>
      <c r="C24" s="48"/>
      <c r="D24" s="48"/>
      <c r="E24" s="48"/>
      <c r="F24" s="48"/>
      <c r="G24" s="48"/>
      <c r="H24" s="48"/>
      <c r="I24" s="48"/>
      <c r="J24" s="48"/>
      <c r="K24" s="48"/>
      <c r="L24" s="48"/>
      <c r="M24" s="48"/>
      <c r="N24" s="48"/>
      <c r="O24" s="48"/>
      <c r="P24" s="48"/>
      <c r="Q24" s="48"/>
      <c r="R24" s="48"/>
      <c r="S24" s="48"/>
      <c r="T24" s="48"/>
      <c r="U24" s="48"/>
      <c r="V24" s="48"/>
      <c r="W24" s="48"/>
      <c r="X24" s="48"/>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41">
        <v>0</v>
      </c>
      <c r="AQ24" s="191">
        <v>0</v>
      </c>
      <c r="AR24" s="191">
        <v>0</v>
      </c>
      <c r="AS24" s="191">
        <v>0</v>
      </c>
      <c r="AT24" s="191">
        <v>0</v>
      </c>
      <c r="AU24" s="191">
        <v>0</v>
      </c>
      <c r="AV24" s="191">
        <v>0</v>
      </c>
      <c r="AW24" s="191">
        <v>0</v>
      </c>
      <c r="AX24" s="191">
        <v>0</v>
      </c>
      <c r="AY24" s="191">
        <v>0</v>
      </c>
      <c r="AZ24" s="191">
        <v>0</v>
      </c>
      <c r="BA24" s="638"/>
      <c r="BB24" s="47"/>
      <c r="BC24" s="47"/>
      <c r="BD24" s="47"/>
      <c r="BE24" s="47"/>
      <c r="BF24" s="47"/>
      <c r="BG24" s="47"/>
      <c r="BH24" s="47"/>
      <c r="BI24" s="47"/>
      <c r="BJ24" s="47"/>
      <c r="BK24" s="47"/>
      <c r="BL24" s="47"/>
      <c r="BM24" s="47">
        <f>SUM(Y24:Z24)</f>
        <v>0</v>
      </c>
      <c r="BN24" s="47">
        <f>SUM(AA24:AB24)</f>
        <v>0</v>
      </c>
      <c r="BO24" s="47">
        <f>SUM(AC24:AD24)</f>
        <v>0</v>
      </c>
      <c r="BP24" s="47">
        <f>SUM(AE24:AF24)</f>
        <v>0</v>
      </c>
      <c r="BQ24" s="47">
        <f>SUM(AG24:AH24)</f>
        <v>0</v>
      </c>
      <c r="BR24" s="47">
        <f>SUM(AI24:AJ24)</f>
        <v>0</v>
      </c>
      <c r="BS24" s="47">
        <f t="shared" ref="BS24:BS25" si="28">SUM(AK24:AL24)</f>
        <v>0</v>
      </c>
      <c r="BT24" s="47">
        <f>SUM(AM24:AN24)</f>
        <v>0</v>
      </c>
      <c r="BU24" s="442">
        <f>SUM(AO24:AP24)</f>
        <v>0</v>
      </c>
      <c r="BV24" s="47">
        <f>SUM(AQ24:AR24)</f>
        <v>0</v>
      </c>
      <c r="BW24" s="47">
        <f>SUM(AS24:AT24)</f>
        <v>0</v>
      </c>
      <c r="BX24" s="47">
        <f>SUM(AU24:AV24)</f>
        <v>0</v>
      </c>
      <c r="BY24" s="47">
        <f>SUM(AW24:AX24)</f>
        <v>0</v>
      </c>
      <c r="BZ24" s="47">
        <f>SUM(AY24:AZ24)</f>
        <v>0</v>
      </c>
      <c r="CB24" s="44" t="s">
        <v>611</v>
      </c>
      <c r="DS24" s="47">
        <f>SUM(CU24:CV24)</f>
        <v>0</v>
      </c>
    </row>
    <row r="25" spans="1:123" s="44" customFormat="1" outlineLevel="1">
      <c r="A25" s="43" t="s">
        <v>138</v>
      </c>
      <c r="B25" s="44" t="s">
        <v>134</v>
      </c>
      <c r="C25" s="47"/>
      <c r="D25" s="47"/>
      <c r="E25" s="47"/>
      <c r="F25" s="47"/>
      <c r="G25" s="47"/>
      <c r="H25" s="47"/>
      <c r="I25" s="47"/>
      <c r="J25" s="47"/>
      <c r="K25" s="47"/>
      <c r="L25" s="47"/>
      <c r="M25" s="47"/>
      <c r="N25" s="47"/>
      <c r="O25" s="47"/>
      <c r="P25" s="47"/>
      <c r="Q25" s="47"/>
      <c r="R25" s="47"/>
      <c r="S25" s="47"/>
      <c r="T25" s="47"/>
      <c r="U25" s="47"/>
      <c r="V25" s="47"/>
      <c r="W25" s="47"/>
      <c r="X25" s="47"/>
      <c r="Y25" s="47">
        <f t="shared" ref="Y25:AZ25" si="29">Y24+Y23</f>
        <v>0.125</v>
      </c>
      <c r="Z25" s="47">
        <f t="shared" si="29"/>
        <v>0.29499999999999998</v>
      </c>
      <c r="AA25" s="47">
        <f t="shared" si="29"/>
        <v>0.13500000000000001</v>
      </c>
      <c r="AB25" s="47">
        <f t="shared" si="29"/>
        <v>0.32</v>
      </c>
      <c r="AC25" s="47">
        <f t="shared" si="29"/>
        <v>0.13500000000000001</v>
      </c>
      <c r="AD25" s="47">
        <f t="shared" si="29"/>
        <v>0.32500000000000001</v>
      </c>
      <c r="AE25" s="47">
        <f t="shared" si="29"/>
        <v>0.14499999999999999</v>
      </c>
      <c r="AF25" s="47">
        <f t="shared" si="29"/>
        <v>0.35499999999999998</v>
      </c>
      <c r="AG25" s="47">
        <f t="shared" si="29"/>
        <v>0.16</v>
      </c>
      <c r="AH25" s="47">
        <f t="shared" si="29"/>
        <v>0.39</v>
      </c>
      <c r="AI25" s="47">
        <f t="shared" si="29"/>
        <v>0.17</v>
      </c>
      <c r="AJ25" s="47">
        <f t="shared" si="29"/>
        <v>0.38</v>
      </c>
      <c r="AK25" s="47">
        <f t="shared" si="29"/>
        <v>0.17</v>
      </c>
      <c r="AL25" s="47">
        <f t="shared" si="29"/>
        <v>0.47</v>
      </c>
      <c r="AM25" s="47">
        <f t="shared" si="29"/>
        <v>0.2</v>
      </c>
      <c r="AN25" s="47">
        <f t="shared" si="29"/>
        <v>0.59000000000000008</v>
      </c>
      <c r="AO25" s="47">
        <f t="shared" si="29"/>
        <v>0.25</v>
      </c>
      <c r="AP25" s="442">
        <f t="shared" si="29"/>
        <v>0.66</v>
      </c>
      <c r="AQ25" s="47">
        <f t="shared" si="29"/>
        <v>0.27225958058785027</v>
      </c>
      <c r="AR25" s="47">
        <f t="shared" si="29"/>
        <v>0.73903689336088874</v>
      </c>
      <c r="AS25" s="47">
        <f t="shared" si="29"/>
        <v>0.29084184891926634</v>
      </c>
      <c r="AT25" s="47">
        <f t="shared" si="29"/>
        <v>0.79896158103921455</v>
      </c>
      <c r="AU25" s="47">
        <f t="shared" si="29"/>
        <v>0.32321747633015691</v>
      </c>
      <c r="AV25" s="47">
        <f t="shared" si="29"/>
        <v>0.8623808079277081</v>
      </c>
      <c r="AW25" s="47">
        <f t="shared" si="29"/>
        <v>0.35344912343908175</v>
      </c>
      <c r="AX25" s="47">
        <f t="shared" si="29"/>
        <v>0.92996949957676811</v>
      </c>
      <c r="AY25" s="47">
        <f t="shared" si="29"/>
        <v>0.38579025218531793</v>
      </c>
      <c r="AZ25" s="47">
        <f t="shared" si="29"/>
        <v>1.0019945998308399</v>
      </c>
      <c r="BA25" s="638"/>
      <c r="BB25" s="47"/>
      <c r="BC25" s="47"/>
      <c r="BD25" s="47"/>
      <c r="BE25" s="47"/>
      <c r="BF25" s="47"/>
      <c r="BG25" s="47"/>
      <c r="BH25" s="47"/>
      <c r="BI25" s="47"/>
      <c r="BJ25" s="47"/>
      <c r="BK25" s="47"/>
      <c r="BL25" s="47"/>
      <c r="BM25" s="47">
        <f>SUM(Y25:Z25)</f>
        <v>0.42</v>
      </c>
      <c r="BN25" s="47">
        <f>SUM(AA25:AB25)</f>
        <v>0.45500000000000002</v>
      </c>
      <c r="BO25" s="47">
        <f>SUM(AC25:AD25)</f>
        <v>0.46</v>
      </c>
      <c r="BP25" s="47">
        <f>SUM(AE25:AF25)</f>
        <v>0.5</v>
      </c>
      <c r="BQ25" s="47">
        <f>SUM(AG25:AH25)</f>
        <v>0.55000000000000004</v>
      </c>
      <c r="BR25" s="47">
        <f>SUM(AI25:AJ25)</f>
        <v>0.55000000000000004</v>
      </c>
      <c r="BS25" s="47">
        <f t="shared" si="28"/>
        <v>0.64</v>
      </c>
      <c r="BT25" s="47">
        <f>SUM(AM25:AN25)</f>
        <v>0.79</v>
      </c>
      <c r="BU25" s="442">
        <f>SUM(AO25:AP25)</f>
        <v>0.91</v>
      </c>
      <c r="BV25" s="47">
        <f>SUM(AQ25:AR25)</f>
        <v>1.0112964739487391</v>
      </c>
      <c r="BW25" s="47">
        <f>SUM(AS25:AT25)</f>
        <v>1.0898034299584809</v>
      </c>
      <c r="BX25" s="47">
        <f>SUM(AU25:AV25)</f>
        <v>1.185598284257865</v>
      </c>
      <c r="BY25" s="47">
        <f>SUM(AW25:AX25)</f>
        <v>1.2834186230158497</v>
      </c>
      <c r="BZ25" s="47">
        <f>SUM(AY25:AZ25)</f>
        <v>1.387784852016158</v>
      </c>
      <c r="CB25" s="23" t="s">
        <v>609</v>
      </c>
      <c r="DS25" s="47">
        <f>SUM(CU25:CV25)</f>
        <v>0</v>
      </c>
    </row>
    <row r="26" spans="1:123" outlineLevel="1">
      <c r="A26" s="10" t="s">
        <v>127</v>
      </c>
      <c r="B26" s="23" t="s">
        <v>128</v>
      </c>
      <c r="C26" s="230"/>
      <c r="D26" s="230"/>
      <c r="E26" s="230"/>
      <c r="F26" s="230"/>
      <c r="G26" s="230"/>
      <c r="H26" s="230"/>
      <c r="I26" s="230"/>
      <c r="J26" s="230"/>
      <c r="K26" s="230"/>
      <c r="L26" s="230"/>
      <c r="M26" s="230"/>
      <c r="N26" s="230"/>
      <c r="O26" s="230"/>
      <c r="P26" s="230"/>
      <c r="Q26" s="230"/>
      <c r="R26" s="230"/>
      <c r="S26" s="230"/>
      <c r="T26" s="230"/>
      <c r="U26" s="230"/>
      <c r="V26" s="230"/>
      <c r="W26" s="230"/>
      <c r="X26" s="230"/>
      <c r="Y26" s="230">
        <f t="shared" ref="Y26:AI26" si="30">Y23*Y272/Y258</f>
        <v>0.54971824631491939</v>
      </c>
      <c r="Z26" s="230">
        <f t="shared" si="30"/>
        <v>0.74143646104790761</v>
      </c>
      <c r="AA26" s="230">
        <f t="shared" si="30"/>
        <v>0.53964897633358389</v>
      </c>
      <c r="AB26" s="230">
        <f t="shared" si="30"/>
        <v>0.7413771797663109</v>
      </c>
      <c r="AC26" s="230">
        <f t="shared" si="30"/>
        <v>0.58595350473372787</v>
      </c>
      <c r="AD26" s="230">
        <f t="shared" si="30"/>
        <v>0.8011134796606193</v>
      </c>
      <c r="AE26" s="230">
        <f t="shared" si="30"/>
        <v>0.50754381705639617</v>
      </c>
      <c r="AF26" s="230">
        <f t="shared" si="30"/>
        <v>0.8171648238173933</v>
      </c>
      <c r="AG26" s="230">
        <f t="shared" si="30"/>
        <v>0.39659653280901125</v>
      </c>
      <c r="AH26" s="230">
        <f t="shared" si="30"/>
        <v>0.82218478820162655</v>
      </c>
      <c r="AI26" s="230">
        <f t="shared" si="30"/>
        <v>0.41337773717383502</v>
      </c>
      <c r="AJ26" s="230">
        <f>AJ23*AJ272/AJ258</f>
        <v>0.80914945112678005</v>
      </c>
      <c r="AK26" s="230">
        <f t="shared" ref="AK26:AM26" si="31">AK23*AK272/AK258</f>
        <v>0.3699298739765956</v>
      </c>
      <c r="AL26" s="230">
        <f>AL23*AL272/AL258</f>
        <v>0.61797903870598425</v>
      </c>
      <c r="AM26" s="230">
        <f t="shared" si="31"/>
        <v>0.30883912139255293</v>
      </c>
      <c r="AN26" s="230">
        <f>AN23*AN272/AN258</f>
        <v>0.67699825736760155</v>
      </c>
      <c r="AO26" s="230">
        <f t="shared" ref="AO26" si="32">AO23*AO272/AO258</f>
        <v>0.36733872532956924</v>
      </c>
      <c r="AP26" s="497">
        <f>AP23*AP272/AP258</f>
        <v>0.63659435809189724</v>
      </c>
      <c r="AQ26" s="641">
        <v>0.35</v>
      </c>
      <c r="AR26" s="641">
        <v>0.65</v>
      </c>
      <c r="AS26" s="641">
        <v>0.35</v>
      </c>
      <c r="AT26" s="641">
        <v>0.65</v>
      </c>
      <c r="AU26" s="641">
        <v>0.35</v>
      </c>
      <c r="AV26" s="641">
        <v>0.65</v>
      </c>
      <c r="AW26" s="641">
        <v>0.35</v>
      </c>
      <c r="AX26" s="641">
        <v>0.65</v>
      </c>
      <c r="AY26" s="641">
        <v>0.35</v>
      </c>
      <c r="AZ26" s="641">
        <v>0.65</v>
      </c>
      <c r="BA26" s="558"/>
      <c r="BB26" s="230"/>
      <c r="BC26" s="230"/>
      <c r="BD26" s="230"/>
      <c r="BE26" s="230"/>
      <c r="BF26" s="230"/>
      <c r="BG26" s="230"/>
      <c r="BH26" s="230"/>
      <c r="BI26" s="230"/>
      <c r="BJ26" s="230"/>
      <c r="BK26" s="230"/>
      <c r="BL26" s="230"/>
      <c r="BM26" s="230">
        <f>BM23/BM278</f>
        <v>0.67395055234087298</v>
      </c>
      <c r="BN26" s="230">
        <f>BN23/BN278</f>
        <v>0.66988375832759006</v>
      </c>
      <c r="BO26" s="230">
        <f>BO23/BO278</f>
        <v>0.68601725208159436</v>
      </c>
      <c r="BP26" s="230">
        <f>BP23/BP278</f>
        <v>0.69513847080072233</v>
      </c>
      <c r="BQ26" s="230">
        <f>BQ23/BQ278</f>
        <v>0.62738744257274126</v>
      </c>
      <c r="BR26" s="230">
        <f>(AI23*AI272+AJ23*AJ272)/BR258</f>
        <v>0.64542222361826029</v>
      </c>
      <c r="BS26" s="230">
        <f>(AK23*AK272+AL23*AL272)/BS258</f>
        <v>0.52833526039230039</v>
      </c>
      <c r="BT26" s="230">
        <f>(AM23*AM272+AN23*AN272)/BT258</f>
        <v>0.52586819471976154</v>
      </c>
      <c r="BU26" s="497">
        <f>(AO23*AO272+AP23*AP272)/BU258</f>
        <v>0.5298899457596643</v>
      </c>
      <c r="BV26" s="230">
        <f>(AQ23*AQ272+AR23*AR272)/BV258</f>
        <v>0.52812956329913985</v>
      </c>
      <c r="BW26" s="230">
        <f>(AS23*AS272+AT23*AT272)/BW258</f>
        <v>0.52899268981544978</v>
      </c>
      <c r="BX26" s="230">
        <f>(AU23*AU272+AV23*AV272)/BX258</f>
        <v>0.52688147304217758</v>
      </c>
      <c r="BY26" s="230">
        <f>(AW23*AW272+AX23*AX272)/BY258</f>
        <v>0.52586689611018456</v>
      </c>
      <c r="BZ26" s="230">
        <f>(AY23*AY272+AZ23*AZ272)/BZ258</f>
        <v>0.52492289211800958</v>
      </c>
      <c r="CB26" s="23" t="s">
        <v>609</v>
      </c>
      <c r="DS26" s="230" t="e">
        <f>(CU23*CU272+CV23*CV272)/DS258</f>
        <v>#DIV/0!</v>
      </c>
    </row>
    <row r="27" spans="1:123" outlineLevel="1">
      <c r="A27" s="10" t="s">
        <v>129</v>
      </c>
      <c r="B27" s="23" t="s">
        <v>130</v>
      </c>
      <c r="C27" s="230"/>
      <c r="D27" s="230"/>
      <c r="E27" s="230"/>
      <c r="F27" s="230"/>
      <c r="G27" s="230"/>
      <c r="H27" s="230"/>
      <c r="I27" s="230"/>
      <c r="J27" s="230"/>
      <c r="K27" s="230"/>
      <c r="L27" s="230"/>
      <c r="M27" s="230"/>
      <c r="N27" s="230"/>
      <c r="O27" s="230"/>
      <c r="P27" s="230"/>
      <c r="Q27" s="230"/>
      <c r="R27" s="230"/>
      <c r="S27" s="230"/>
      <c r="T27" s="230"/>
      <c r="U27" s="230"/>
      <c r="V27" s="230"/>
      <c r="W27" s="230"/>
      <c r="X27" s="230"/>
      <c r="Y27" s="230">
        <f t="shared" ref="Y27:AZ27" si="33">Y24/Y278</f>
        <v>0</v>
      </c>
      <c r="Z27" s="230">
        <f t="shared" si="33"/>
        <v>0</v>
      </c>
      <c r="AA27" s="230">
        <f t="shared" si="33"/>
        <v>0</v>
      </c>
      <c r="AB27" s="230">
        <f t="shared" si="33"/>
        <v>0</v>
      </c>
      <c r="AC27" s="230">
        <f t="shared" si="33"/>
        <v>0</v>
      </c>
      <c r="AD27" s="230">
        <f t="shared" si="33"/>
        <v>0</v>
      </c>
      <c r="AE27" s="230">
        <f t="shared" si="33"/>
        <v>0</v>
      </c>
      <c r="AF27" s="230">
        <f t="shared" si="33"/>
        <v>0</v>
      </c>
      <c r="AG27" s="230">
        <f t="shared" si="33"/>
        <v>0</v>
      </c>
      <c r="AH27" s="230">
        <f t="shared" si="33"/>
        <v>0</v>
      </c>
      <c r="AI27" s="230">
        <f t="shared" si="33"/>
        <v>0</v>
      </c>
      <c r="AJ27" s="230">
        <f t="shared" si="33"/>
        <v>0</v>
      </c>
      <c r="AK27" s="431">
        <f>AK24/AK278</f>
        <v>0</v>
      </c>
      <c r="AL27" s="431">
        <f t="shared" ref="AL27:AN27" si="34">AL24/AL278</f>
        <v>0</v>
      </c>
      <c r="AM27" s="431">
        <f>AM24/AM278</f>
        <v>0</v>
      </c>
      <c r="AN27" s="431">
        <f t="shared" si="34"/>
        <v>0</v>
      </c>
      <c r="AO27" s="431">
        <f>AO24/AO278</f>
        <v>0</v>
      </c>
      <c r="AP27" s="449">
        <f t="shared" ref="AP27" si="35">AP24/AP278</f>
        <v>0</v>
      </c>
      <c r="AQ27" s="431">
        <f t="shared" si="33"/>
        <v>0</v>
      </c>
      <c r="AR27" s="431">
        <f t="shared" si="33"/>
        <v>0</v>
      </c>
      <c r="AS27" s="431">
        <f t="shared" si="33"/>
        <v>0</v>
      </c>
      <c r="AT27" s="431">
        <f t="shared" si="33"/>
        <v>0</v>
      </c>
      <c r="AU27" s="431">
        <f t="shared" si="33"/>
        <v>0</v>
      </c>
      <c r="AV27" s="431">
        <f t="shared" si="33"/>
        <v>0</v>
      </c>
      <c r="AW27" s="431">
        <f t="shared" si="33"/>
        <v>0</v>
      </c>
      <c r="AX27" s="431">
        <f t="shared" si="33"/>
        <v>0</v>
      </c>
      <c r="AY27" s="431">
        <f t="shared" si="33"/>
        <v>0</v>
      </c>
      <c r="AZ27" s="431">
        <f t="shared" si="33"/>
        <v>0</v>
      </c>
      <c r="BA27" s="558"/>
      <c r="BB27" s="230"/>
      <c r="BC27" s="230"/>
      <c r="BD27" s="230"/>
      <c r="BE27" s="230"/>
      <c r="BF27" s="230"/>
      <c r="BG27" s="230"/>
      <c r="BH27" s="230"/>
      <c r="BI27" s="230"/>
      <c r="BJ27" s="230"/>
      <c r="BK27" s="230"/>
      <c r="BL27" s="230"/>
      <c r="BM27" s="230">
        <f t="shared" ref="BM27:BZ27" si="36">BM24/BM278</f>
        <v>0</v>
      </c>
      <c r="BN27" s="230">
        <f t="shared" si="36"/>
        <v>0</v>
      </c>
      <c r="BO27" s="230">
        <f t="shared" si="36"/>
        <v>0</v>
      </c>
      <c r="BP27" s="230">
        <f t="shared" si="36"/>
        <v>0</v>
      </c>
      <c r="BQ27" s="230">
        <f t="shared" si="36"/>
        <v>0</v>
      </c>
      <c r="BR27" s="230">
        <f t="shared" si="36"/>
        <v>0</v>
      </c>
      <c r="BS27" s="230">
        <f t="shared" si="36"/>
        <v>0</v>
      </c>
      <c r="BT27" s="431">
        <f t="shared" si="36"/>
        <v>0</v>
      </c>
      <c r="BU27" s="449">
        <f t="shared" si="36"/>
        <v>0</v>
      </c>
      <c r="BV27" s="431">
        <f t="shared" si="36"/>
        <v>0</v>
      </c>
      <c r="BW27" s="431">
        <f t="shared" si="36"/>
        <v>0</v>
      </c>
      <c r="BX27" s="431">
        <f t="shared" si="36"/>
        <v>0</v>
      </c>
      <c r="BY27" s="431">
        <f t="shared" si="36"/>
        <v>0</v>
      </c>
      <c r="BZ27" s="431">
        <f t="shared" si="36"/>
        <v>0</v>
      </c>
      <c r="CB27" s="23" t="s">
        <v>609</v>
      </c>
      <c r="DS27" s="431" t="e">
        <f t="shared" ref="DS27" si="37">DS24/DS278</f>
        <v>#DIV/0!</v>
      </c>
    </row>
    <row r="28" spans="1:123" outlineLevel="1">
      <c r="A28" s="10" t="s">
        <v>60</v>
      </c>
      <c r="B28" s="23" t="s">
        <v>131</v>
      </c>
      <c r="C28" s="230"/>
      <c r="D28" s="230"/>
      <c r="E28" s="230"/>
      <c r="F28" s="230"/>
      <c r="G28" s="230"/>
      <c r="H28" s="230"/>
      <c r="I28" s="230"/>
      <c r="J28" s="230"/>
      <c r="K28" s="230"/>
      <c r="L28" s="230"/>
      <c r="M28" s="230"/>
      <c r="N28" s="230"/>
      <c r="O28" s="230"/>
      <c r="P28" s="230"/>
      <c r="Q28" s="230"/>
      <c r="R28" s="230"/>
      <c r="S28" s="230"/>
      <c r="T28" s="230"/>
      <c r="U28" s="230"/>
      <c r="V28" s="230"/>
      <c r="W28" s="230"/>
      <c r="X28" s="230"/>
      <c r="Y28" s="230">
        <f t="shared" ref="Y28:AP28" si="38">Y25/Y278</f>
        <v>0.55335988128369495</v>
      </c>
      <c r="Z28" s="230">
        <f t="shared" si="38"/>
        <v>0.74390446010313716</v>
      </c>
      <c r="AA28" s="230">
        <f t="shared" si="38"/>
        <v>0.54259142688894801</v>
      </c>
      <c r="AB28" s="230">
        <f t="shared" si="38"/>
        <v>0.74418172581464526</v>
      </c>
      <c r="AC28" s="230">
        <f t="shared" si="38"/>
        <v>0.52635463000919824</v>
      </c>
      <c r="AD28" s="230">
        <f t="shared" si="38"/>
        <v>0.75938327911734149</v>
      </c>
      <c r="AE28" s="230">
        <f t="shared" si="38"/>
        <v>0.50704071526822558</v>
      </c>
      <c r="AF28" s="230">
        <f t="shared" si="38"/>
        <v>0.81801989460226343</v>
      </c>
      <c r="AG28" s="230">
        <f t="shared" si="38"/>
        <v>0.39599094078048458</v>
      </c>
      <c r="AH28" s="230">
        <f t="shared" si="38"/>
        <v>0.82311846541807165</v>
      </c>
      <c r="AI28" s="230">
        <f t="shared" si="38"/>
        <v>0.41521293634300444</v>
      </c>
      <c r="AJ28" s="230">
        <f t="shared" si="38"/>
        <v>0.67260472832849438</v>
      </c>
      <c r="AK28" s="431">
        <f t="shared" si="38"/>
        <v>0.35283585987397653</v>
      </c>
      <c r="AL28" s="431">
        <f t="shared" si="38"/>
        <v>0.57158387428560364</v>
      </c>
      <c r="AM28" s="431">
        <f t="shared" si="38"/>
        <v>0.30883912139255293</v>
      </c>
      <c r="AN28" s="431">
        <f t="shared" si="38"/>
        <v>0.64282394135676968</v>
      </c>
      <c r="AO28" s="431">
        <f t="shared" si="38"/>
        <v>0.36727645691024119</v>
      </c>
      <c r="AP28" s="449">
        <f t="shared" si="38"/>
        <v>0.64154987838575694</v>
      </c>
      <c r="AQ28" s="431">
        <f t="shared" ref="AQ28:AZ28" si="39">AQ26+AQ27</f>
        <v>0.35</v>
      </c>
      <c r="AR28" s="431">
        <f t="shared" si="39"/>
        <v>0.65</v>
      </c>
      <c r="AS28" s="431">
        <f t="shared" si="39"/>
        <v>0.35</v>
      </c>
      <c r="AT28" s="431">
        <f t="shared" si="39"/>
        <v>0.65</v>
      </c>
      <c r="AU28" s="431">
        <f t="shared" si="39"/>
        <v>0.35</v>
      </c>
      <c r="AV28" s="431">
        <f t="shared" si="39"/>
        <v>0.65</v>
      </c>
      <c r="AW28" s="431">
        <f t="shared" si="39"/>
        <v>0.35</v>
      </c>
      <c r="AX28" s="431">
        <f t="shared" si="39"/>
        <v>0.65</v>
      </c>
      <c r="AY28" s="431">
        <f t="shared" si="39"/>
        <v>0.35</v>
      </c>
      <c r="AZ28" s="431">
        <f t="shared" si="39"/>
        <v>0.65</v>
      </c>
      <c r="BA28" s="558"/>
      <c r="BB28" s="230"/>
      <c r="BC28" s="230"/>
      <c r="BD28" s="230"/>
      <c r="BE28" s="230"/>
      <c r="BF28" s="230"/>
      <c r="BG28" s="230"/>
      <c r="BH28" s="230"/>
      <c r="BI28" s="230"/>
      <c r="BJ28" s="230"/>
      <c r="BK28" s="230"/>
      <c r="BL28" s="230"/>
      <c r="BM28" s="230">
        <f>BM26+BM27</f>
        <v>0.67395055234087298</v>
      </c>
      <c r="BN28" s="230">
        <f t="shared" ref="BN28:BZ28" si="40">BN26+BN27</f>
        <v>0.66988375832759006</v>
      </c>
      <c r="BO28" s="230">
        <f t="shared" si="40"/>
        <v>0.68601725208159436</v>
      </c>
      <c r="BP28" s="230">
        <f t="shared" si="40"/>
        <v>0.69513847080072233</v>
      </c>
      <c r="BQ28" s="230">
        <f t="shared" si="40"/>
        <v>0.62738744257274126</v>
      </c>
      <c r="BR28" s="230">
        <f t="shared" si="40"/>
        <v>0.64542222361826029</v>
      </c>
      <c r="BS28" s="230">
        <f t="shared" si="40"/>
        <v>0.52833526039230039</v>
      </c>
      <c r="BT28" s="431">
        <f t="shared" si="40"/>
        <v>0.52586819471976154</v>
      </c>
      <c r="BU28" s="449">
        <f t="shared" si="40"/>
        <v>0.5298899457596643</v>
      </c>
      <c r="BV28" s="431">
        <f t="shared" si="40"/>
        <v>0.52812956329913985</v>
      </c>
      <c r="BW28" s="431">
        <f t="shared" si="40"/>
        <v>0.52899268981544978</v>
      </c>
      <c r="BX28" s="431">
        <f t="shared" si="40"/>
        <v>0.52688147304217758</v>
      </c>
      <c r="BY28" s="431">
        <f t="shared" si="40"/>
        <v>0.52586689611018456</v>
      </c>
      <c r="BZ28" s="431">
        <f t="shared" si="40"/>
        <v>0.52492289211800958</v>
      </c>
      <c r="CB28" s="23" t="s">
        <v>609</v>
      </c>
      <c r="DS28" s="431" t="e">
        <f t="shared" ref="DS28" si="41">DS26+DS27</f>
        <v>#DIV/0!</v>
      </c>
    </row>
    <row r="29" spans="1:123" outlineLevel="1">
      <c r="G29" s="557"/>
      <c r="H29" s="557"/>
      <c r="I29" s="557"/>
      <c r="J29" s="557"/>
      <c r="K29" s="230"/>
      <c r="L29" s="230"/>
      <c r="M29" s="230"/>
      <c r="N29" s="230"/>
      <c r="O29" s="230"/>
      <c r="P29" s="230"/>
      <c r="Q29" s="230"/>
      <c r="R29" s="230"/>
      <c r="S29" s="230"/>
      <c r="T29" s="230"/>
      <c r="U29" s="230"/>
      <c r="V29" s="230"/>
      <c r="W29" s="230"/>
      <c r="X29" s="230"/>
      <c r="Y29" s="230"/>
      <c r="Z29" s="230"/>
      <c r="AA29" s="230"/>
      <c r="AB29" s="230"/>
      <c r="AC29" s="431"/>
      <c r="AD29" s="230"/>
      <c r="AE29" s="431"/>
      <c r="AF29" s="230"/>
      <c r="AG29" s="431"/>
      <c r="AH29" s="431"/>
      <c r="AI29" s="431"/>
      <c r="AJ29" s="431"/>
      <c r="AK29" s="431"/>
      <c r="AL29" s="431"/>
      <c r="AM29" s="431"/>
      <c r="AN29" s="431"/>
      <c r="AO29" s="431"/>
      <c r="AP29" s="449"/>
      <c r="AQ29" s="431"/>
      <c r="AR29" s="431"/>
      <c r="AS29" s="431"/>
      <c r="AT29" s="431"/>
      <c r="AU29" s="431"/>
      <c r="AV29" s="431"/>
      <c r="AW29" s="431"/>
      <c r="AX29" s="431"/>
      <c r="AY29" s="431"/>
      <c r="AZ29" s="431"/>
      <c r="BA29" s="558"/>
      <c r="BB29" s="557"/>
      <c r="BC29" s="557"/>
      <c r="BD29" s="557"/>
      <c r="BE29" s="557"/>
      <c r="BF29" s="557"/>
      <c r="BG29" s="557"/>
      <c r="BH29" s="230"/>
      <c r="BI29" s="230"/>
      <c r="BJ29" s="431"/>
      <c r="BK29" s="431"/>
      <c r="BL29" s="431"/>
      <c r="BM29" s="431"/>
      <c r="BN29" s="431"/>
      <c r="BO29" s="431"/>
      <c r="BP29" s="431"/>
      <c r="BQ29" s="431"/>
      <c r="BR29" s="431"/>
      <c r="BS29" s="431"/>
    </row>
    <row r="30" spans="1:123" outlineLevel="1">
      <c r="A30" s="10" t="s">
        <v>64</v>
      </c>
      <c r="B30" s="23" t="s">
        <v>65</v>
      </c>
      <c r="C30" s="634"/>
      <c r="D30" s="634"/>
      <c r="E30" s="634"/>
      <c r="F30" s="634"/>
      <c r="G30" s="634"/>
      <c r="H30" s="634"/>
      <c r="I30" s="634"/>
      <c r="J30" s="634"/>
      <c r="K30" s="634"/>
      <c r="L30" s="634"/>
      <c r="M30" s="634"/>
      <c r="N30" s="634"/>
      <c r="O30" s="634"/>
      <c r="P30" s="634"/>
      <c r="Q30" s="634"/>
      <c r="R30" s="634"/>
      <c r="S30" s="634"/>
      <c r="T30" s="634"/>
      <c r="U30" s="634"/>
      <c r="V30" s="634"/>
      <c r="W30" s="634"/>
      <c r="X30" s="634"/>
      <c r="Y30" s="634">
        <v>1</v>
      </c>
      <c r="Z30" s="634">
        <v>1</v>
      </c>
      <c r="AA30" s="634">
        <v>1</v>
      </c>
      <c r="AB30" s="634">
        <v>1</v>
      </c>
      <c r="AC30" s="634">
        <v>1</v>
      </c>
      <c r="AD30" s="634">
        <v>1</v>
      </c>
      <c r="AE30" s="634">
        <v>1</v>
      </c>
      <c r="AF30" s="634">
        <v>1</v>
      </c>
      <c r="AG30" s="634">
        <v>1</v>
      </c>
      <c r="AH30" s="634">
        <v>1</v>
      </c>
      <c r="AI30" s="634">
        <v>1</v>
      </c>
      <c r="AJ30" s="634">
        <v>1</v>
      </c>
      <c r="AK30" s="634">
        <v>1</v>
      </c>
      <c r="AL30" s="634">
        <v>1</v>
      </c>
      <c r="AM30" s="634">
        <v>1</v>
      </c>
      <c r="AN30" s="634">
        <v>1</v>
      </c>
      <c r="AO30" s="634">
        <v>1</v>
      </c>
      <c r="AP30" s="635">
        <v>1</v>
      </c>
      <c r="AQ30" s="642">
        <v>1</v>
      </c>
      <c r="AR30" s="642">
        <v>1</v>
      </c>
      <c r="AS30" s="642">
        <v>1</v>
      </c>
      <c r="AT30" s="642">
        <v>1</v>
      </c>
      <c r="AU30" s="642">
        <v>1</v>
      </c>
      <c r="AV30" s="642">
        <v>1</v>
      </c>
      <c r="AW30" s="642">
        <v>1</v>
      </c>
      <c r="AX30" s="642">
        <v>1</v>
      </c>
      <c r="AY30" s="642">
        <v>1</v>
      </c>
      <c r="AZ30" s="642">
        <v>1</v>
      </c>
      <c r="BA30" s="23"/>
      <c r="BB30" s="420"/>
      <c r="BC30" s="420"/>
      <c r="BD30" s="420"/>
      <c r="BE30" s="420"/>
      <c r="BF30" s="420"/>
      <c r="BG30" s="420"/>
      <c r="BH30" s="420"/>
      <c r="BI30" s="420"/>
      <c r="BJ30" s="420"/>
      <c r="BK30" s="420"/>
      <c r="BL30" s="420"/>
      <c r="BM30" s="420">
        <f>Z30</f>
        <v>1</v>
      </c>
      <c r="BN30" s="420">
        <f>AB30</f>
        <v>1</v>
      </c>
      <c r="BO30" s="420">
        <f>AD30</f>
        <v>1</v>
      </c>
      <c r="BP30" s="420">
        <f>AF30</f>
        <v>1</v>
      </c>
      <c r="BQ30" s="420">
        <f>AH30</f>
        <v>1</v>
      </c>
      <c r="BR30" s="420">
        <f>AJ30</f>
        <v>1</v>
      </c>
      <c r="BS30" s="420">
        <f>AL30</f>
        <v>1</v>
      </c>
      <c r="BT30" s="420">
        <f>AN30</f>
        <v>1</v>
      </c>
      <c r="BU30" s="447">
        <f>AP30</f>
        <v>1</v>
      </c>
      <c r="BV30" s="420">
        <f>AR30</f>
        <v>1</v>
      </c>
      <c r="BW30" s="420">
        <f>AT30</f>
        <v>1</v>
      </c>
      <c r="BX30" s="420">
        <f>AV30</f>
        <v>1</v>
      </c>
      <c r="BY30" s="420">
        <f>AX30</f>
        <v>1</v>
      </c>
      <c r="BZ30" s="420">
        <f>AZ30</f>
        <v>1</v>
      </c>
      <c r="CB30" s="23" t="s">
        <v>612</v>
      </c>
      <c r="DS30" s="420">
        <f>CV30</f>
        <v>0</v>
      </c>
    </row>
    <row r="31" spans="1:123" outlineLevel="1">
      <c r="A31" s="10" t="s">
        <v>73</v>
      </c>
      <c r="B31" s="23" t="s">
        <v>30</v>
      </c>
      <c r="G31" s="631"/>
      <c r="H31" s="631"/>
      <c r="I31" s="631"/>
      <c r="J31" s="631"/>
      <c r="K31" s="631"/>
      <c r="L31" s="631"/>
      <c r="M31" s="643"/>
      <c r="N31" s="643"/>
      <c r="O31" s="643"/>
      <c r="P31" s="643"/>
      <c r="Q31" s="643"/>
      <c r="R31" s="643"/>
      <c r="S31" s="643"/>
      <c r="T31" s="643"/>
      <c r="U31" s="643"/>
      <c r="V31" s="643"/>
      <c r="W31" s="643"/>
      <c r="X31" s="643"/>
      <c r="Y31" s="643">
        <v>0</v>
      </c>
      <c r="Z31" s="643">
        <v>0</v>
      </c>
      <c r="AA31" s="643">
        <v>0</v>
      </c>
      <c r="AB31" s="643">
        <v>0</v>
      </c>
      <c r="AC31" s="643">
        <v>0</v>
      </c>
      <c r="AD31" s="643">
        <v>0</v>
      </c>
      <c r="AE31" s="643">
        <v>0</v>
      </c>
      <c r="AF31" s="643">
        <v>0</v>
      </c>
      <c r="AG31" s="643">
        <v>0</v>
      </c>
      <c r="AH31" s="643">
        <v>0</v>
      </c>
      <c r="AI31" s="643">
        <v>0</v>
      </c>
      <c r="AJ31" s="643">
        <v>0</v>
      </c>
      <c r="AK31" s="643">
        <v>0</v>
      </c>
      <c r="AL31" s="643">
        <v>0</v>
      </c>
      <c r="AM31" s="643">
        <v>0</v>
      </c>
      <c r="AN31" s="643">
        <v>0</v>
      </c>
      <c r="AO31" s="643">
        <v>0</v>
      </c>
      <c r="AP31" s="644">
        <v>0</v>
      </c>
      <c r="AQ31" s="633">
        <v>0</v>
      </c>
      <c r="AR31" s="633">
        <v>0</v>
      </c>
      <c r="AS31" s="633">
        <v>0</v>
      </c>
      <c r="AT31" s="633">
        <v>0</v>
      </c>
      <c r="AU31" s="633">
        <v>0</v>
      </c>
      <c r="AV31" s="633">
        <v>0</v>
      </c>
      <c r="AW31" s="633">
        <v>0</v>
      </c>
      <c r="AX31" s="633">
        <v>0</v>
      </c>
      <c r="AY31" s="633">
        <v>0</v>
      </c>
      <c r="AZ31" s="633">
        <v>0</v>
      </c>
      <c r="BA31" s="558"/>
      <c r="BB31" s="557"/>
      <c r="BC31" s="557"/>
      <c r="BD31" s="557"/>
      <c r="BE31" s="557"/>
      <c r="BF31" s="557"/>
      <c r="BG31" s="557"/>
      <c r="BH31" s="557"/>
      <c r="BI31" s="230"/>
      <c r="BJ31" s="230"/>
      <c r="BK31" s="230"/>
      <c r="BL31" s="230"/>
      <c r="BM31" s="230">
        <f>((Y31*Y403)+(Z31*Z403))/(Y403+Z403)</f>
        <v>0</v>
      </c>
      <c r="BN31" s="230">
        <f>((AA31*AA403)+(AB31*AB403))/(AA403+AB403)</f>
        <v>0</v>
      </c>
      <c r="BO31" s="230">
        <f>((AC31*AC403)+(AD31*AD403))/(AC403+AD403)</f>
        <v>0</v>
      </c>
      <c r="BP31" s="230">
        <f>((AE31*AE403)+(AF31*AF403))/(AE403+AF403)</f>
        <v>0</v>
      </c>
      <c r="BQ31" s="230">
        <f>((AG31*AG403)+(AH31*AH403))/(AG403+AH403)</f>
        <v>0</v>
      </c>
      <c r="BR31" s="230">
        <f>((AI31*AI403)+(AJ31*AJ403))/(AI403+AJ403)</f>
        <v>0</v>
      </c>
      <c r="BS31" s="230">
        <f>((AK31*AJ403)+(AL31*AK403))/(AJ403+AK403)</f>
        <v>0</v>
      </c>
      <c r="BT31" s="230">
        <f>((AM31*AM403)+(AN31*AN403))/(AM403+AN403)</f>
        <v>0</v>
      </c>
      <c r="BU31" s="497">
        <f>((AO31*AO403)+(AP31*AP403))/(AO403+AP403)</f>
        <v>0</v>
      </c>
      <c r="BV31" s="230">
        <f>((AQ31*AQ403)+(AR31*AR403))/(AQ403+AR403)</f>
        <v>0</v>
      </c>
      <c r="BW31" s="230">
        <f>((AS31*AS403)+(AT31*AT403))/(AS403+AT403)</f>
        <v>0</v>
      </c>
      <c r="BX31" s="230">
        <f>((AU31*AU403)+(AV31*AV403))/(AU403+AV403)</f>
        <v>0</v>
      </c>
      <c r="BY31" s="230">
        <f>((AW31*AW403)+(AX31*AX403))/(AW403+AX403)</f>
        <v>0</v>
      </c>
      <c r="BZ31" s="230">
        <f>((AY31*AY403)+(AZ31*AZ403))/(AY403+AZ403)</f>
        <v>0</v>
      </c>
      <c r="CB31" s="23" t="s">
        <v>612</v>
      </c>
      <c r="DS31" s="230" t="e">
        <f>((CU31*CU403)+(CV31*CV403))/(CU403+CV403)</f>
        <v>#DIV/0!</v>
      </c>
    </row>
    <row r="32" spans="1:123" outlineLevel="1">
      <c r="A32" s="10" t="s">
        <v>98</v>
      </c>
      <c r="B32" s="23" t="s">
        <v>187</v>
      </c>
      <c r="C32" s="50"/>
      <c r="D32" s="50"/>
      <c r="E32" s="50"/>
      <c r="F32" s="50"/>
      <c r="G32" s="50"/>
      <c r="H32" s="50"/>
      <c r="I32" s="51"/>
      <c r="J32" s="51"/>
      <c r="K32" s="51"/>
      <c r="L32" s="50"/>
      <c r="M32" s="50"/>
      <c r="N32" s="50"/>
      <c r="O32" s="50"/>
      <c r="P32" s="50"/>
      <c r="Q32" s="50"/>
      <c r="R32" s="50"/>
      <c r="S32" s="52"/>
      <c r="T32" s="51"/>
      <c r="U32" s="51"/>
      <c r="V32" s="51"/>
      <c r="W32" s="51"/>
      <c r="X32" s="51"/>
      <c r="Y32" s="51">
        <f t="shared" ref="Y32:AP32" si="42">Y465-X465</f>
        <v>141.708</v>
      </c>
      <c r="Z32" s="51">
        <f t="shared" si="42"/>
        <v>0</v>
      </c>
      <c r="AA32" s="51">
        <f t="shared" si="42"/>
        <v>0</v>
      </c>
      <c r="AB32" s="51">
        <f t="shared" si="42"/>
        <v>0</v>
      </c>
      <c r="AC32" s="51">
        <f t="shared" si="42"/>
        <v>113.27000000000001</v>
      </c>
      <c r="AD32" s="51">
        <f t="shared" si="42"/>
        <v>0.6839999999999975</v>
      </c>
      <c r="AE32" s="51">
        <f t="shared" si="42"/>
        <v>3.2849999999999966</v>
      </c>
      <c r="AF32" s="51">
        <f t="shared" si="42"/>
        <v>0</v>
      </c>
      <c r="AG32" s="51">
        <f t="shared" si="42"/>
        <v>7.5889999999999986</v>
      </c>
      <c r="AH32" s="51">
        <f t="shared" si="42"/>
        <v>0.12299999999999045</v>
      </c>
      <c r="AI32" s="51">
        <f t="shared" si="42"/>
        <v>0</v>
      </c>
      <c r="AJ32" s="51">
        <f t="shared" si="42"/>
        <v>341.86099999999999</v>
      </c>
      <c r="AK32" s="51">
        <f t="shared" si="42"/>
        <v>175.54500000000007</v>
      </c>
      <c r="AL32" s="51">
        <f t="shared" si="42"/>
        <v>161.62199999999996</v>
      </c>
      <c r="AM32" s="51">
        <f>AM465-AL465</f>
        <v>0</v>
      </c>
      <c r="AN32" s="51">
        <f t="shared" si="42"/>
        <v>195.7410000000001</v>
      </c>
      <c r="AO32" s="51">
        <f>AO465-AN465</f>
        <v>24.847999999999956</v>
      </c>
      <c r="AP32" s="443">
        <f t="shared" si="42"/>
        <v>0</v>
      </c>
      <c r="AQ32" s="51">
        <f t="shared" ref="AQ32:AZ32" si="43">AQ33*AQ35</f>
        <v>0</v>
      </c>
      <c r="AR32" s="51">
        <f t="shared" si="43"/>
        <v>0</v>
      </c>
      <c r="AS32" s="51">
        <f t="shared" si="43"/>
        <v>0</v>
      </c>
      <c r="AT32" s="51">
        <f t="shared" si="43"/>
        <v>0</v>
      </c>
      <c r="AU32" s="51">
        <f t="shared" si="43"/>
        <v>0</v>
      </c>
      <c r="AV32" s="51">
        <f t="shared" si="43"/>
        <v>0</v>
      </c>
      <c r="AW32" s="51">
        <f t="shared" si="43"/>
        <v>0</v>
      </c>
      <c r="AX32" s="51">
        <f t="shared" si="43"/>
        <v>0</v>
      </c>
      <c r="AY32" s="51">
        <f t="shared" si="43"/>
        <v>0</v>
      </c>
      <c r="AZ32" s="51">
        <f t="shared" si="43"/>
        <v>0</v>
      </c>
      <c r="BA32" s="558"/>
      <c r="BB32" s="557"/>
      <c r="BC32" s="53"/>
      <c r="BD32" s="53"/>
      <c r="BE32" s="53"/>
      <c r="BF32" s="53"/>
      <c r="BG32" s="53"/>
      <c r="BH32" s="53"/>
      <c r="BI32" s="54"/>
      <c r="BJ32" s="54"/>
      <c r="BK32" s="54"/>
      <c r="BL32" s="54"/>
      <c r="BM32" s="51">
        <f t="shared" ref="BM32:BZ32" si="44">BM465-BL465</f>
        <v>141.708</v>
      </c>
      <c r="BN32" s="51">
        <f t="shared" si="44"/>
        <v>0</v>
      </c>
      <c r="BO32" s="51">
        <f t="shared" si="44"/>
        <v>113.95400000000001</v>
      </c>
      <c r="BP32" s="51">
        <f t="shared" si="44"/>
        <v>3.2849999999999966</v>
      </c>
      <c r="BQ32" s="51">
        <f t="shared" si="44"/>
        <v>7.7119999999999891</v>
      </c>
      <c r="BR32" s="51">
        <f t="shared" si="44"/>
        <v>341.86099999999999</v>
      </c>
      <c r="BS32" s="51">
        <f t="shared" si="44"/>
        <v>337.16700000000003</v>
      </c>
      <c r="BT32" s="51">
        <f t="shared" si="44"/>
        <v>195.7410000000001</v>
      </c>
      <c r="BU32" s="443">
        <f t="shared" si="44"/>
        <v>24.847999999999956</v>
      </c>
      <c r="BV32" s="51">
        <f t="shared" si="44"/>
        <v>0</v>
      </c>
      <c r="BW32" s="51">
        <f t="shared" si="44"/>
        <v>0</v>
      </c>
      <c r="BX32" s="51">
        <f t="shared" si="44"/>
        <v>0</v>
      </c>
      <c r="BY32" s="51">
        <f t="shared" si="44"/>
        <v>0</v>
      </c>
      <c r="BZ32" s="51">
        <f t="shared" si="44"/>
        <v>0</v>
      </c>
      <c r="CB32" s="23" t="s">
        <v>609</v>
      </c>
      <c r="DS32" s="51">
        <f>DS465-DT465</f>
        <v>0</v>
      </c>
    </row>
    <row r="33" spans="1:123" outlineLevel="1">
      <c r="B33" s="23" t="s">
        <v>188</v>
      </c>
      <c r="C33" s="50"/>
      <c r="D33" s="50"/>
      <c r="E33" s="50"/>
      <c r="F33" s="50"/>
      <c r="G33" s="50"/>
      <c r="H33" s="50"/>
      <c r="I33" s="51"/>
      <c r="J33" s="51"/>
      <c r="K33" s="51"/>
      <c r="L33" s="50"/>
      <c r="M33" s="50"/>
      <c r="N33" s="50"/>
      <c r="O33" s="50"/>
      <c r="P33" s="50"/>
      <c r="Q33" s="50"/>
      <c r="R33" s="50"/>
      <c r="S33" s="52"/>
      <c r="T33" s="51"/>
      <c r="U33" s="51"/>
      <c r="V33" s="51"/>
      <c r="W33" s="51"/>
      <c r="X33" s="51"/>
      <c r="Y33" s="51">
        <f t="shared" ref="Y33:AP33" si="45">Y272-X272</f>
        <v>0</v>
      </c>
      <c r="Z33" s="51">
        <f t="shared" si="45"/>
        <v>0</v>
      </c>
      <c r="AA33" s="51">
        <f t="shared" si="45"/>
        <v>-6.0000000061677383E-6</v>
      </c>
      <c r="AB33" s="51">
        <f t="shared" si="45"/>
        <v>6.0000000061677383E-6</v>
      </c>
      <c r="AC33" s="51">
        <f t="shared" si="45"/>
        <v>9.5062220000000011</v>
      </c>
      <c r="AD33" s="51">
        <f t="shared" si="45"/>
        <v>0.15008000000000266</v>
      </c>
      <c r="AE33" s="51">
        <f t="shared" si="45"/>
        <v>0.2940929999999895</v>
      </c>
      <c r="AF33" s="51">
        <f t="shared" si="45"/>
        <v>2.1886000000009176E-2</v>
      </c>
      <c r="AG33" s="51">
        <f t="shared" si="45"/>
        <v>0.56044399999998973</v>
      </c>
      <c r="AH33" s="51">
        <f t="shared" si="45"/>
        <v>2.4306000000009931E-2</v>
      </c>
      <c r="AI33" s="51">
        <f>AI272-AH272</f>
        <v>5.5549999999996658E-2</v>
      </c>
      <c r="AJ33" s="51">
        <f t="shared" si="45"/>
        <v>17.950068999999999</v>
      </c>
      <c r="AK33" s="197">
        <f>AK272-AJ272</f>
        <v>9.1213920000000002</v>
      </c>
      <c r="AL33" s="197">
        <f t="shared" si="45"/>
        <v>6.8751019999999983</v>
      </c>
      <c r="AM33" s="197">
        <f>AM272-AL272</f>
        <v>0</v>
      </c>
      <c r="AN33" s="197">
        <f t="shared" si="45"/>
        <v>7.2727280000000007</v>
      </c>
      <c r="AO33" s="197">
        <f>AO272-AN272</f>
        <v>0.90908600000000206</v>
      </c>
      <c r="AP33" s="444">
        <f t="shared" si="45"/>
        <v>0</v>
      </c>
      <c r="AQ33" s="191">
        <v>0</v>
      </c>
      <c r="AR33" s="191">
        <v>0</v>
      </c>
      <c r="AS33" s="191">
        <v>0</v>
      </c>
      <c r="AT33" s="191">
        <v>0</v>
      </c>
      <c r="AU33" s="191">
        <v>0</v>
      </c>
      <c r="AV33" s="191">
        <v>0</v>
      </c>
      <c r="AW33" s="191">
        <v>0</v>
      </c>
      <c r="AX33" s="191">
        <v>0</v>
      </c>
      <c r="AY33" s="191">
        <v>0</v>
      </c>
      <c r="AZ33" s="191">
        <v>0</v>
      </c>
      <c r="BA33" s="558"/>
      <c r="BB33" s="557"/>
      <c r="BC33" s="53"/>
      <c r="BD33" s="53"/>
      <c r="BE33" s="53"/>
      <c r="BF33" s="53"/>
      <c r="BG33" s="53"/>
      <c r="BH33" s="53"/>
      <c r="BI33" s="54"/>
      <c r="BJ33" s="54"/>
      <c r="BK33" s="54"/>
      <c r="BL33" s="54"/>
      <c r="BM33" s="241"/>
      <c r="BN33" s="54"/>
      <c r="BO33" s="54"/>
      <c r="BP33" s="54"/>
      <c r="BQ33" s="54"/>
      <c r="BR33" s="54"/>
      <c r="BS33" s="54"/>
      <c r="BT33" s="54"/>
      <c r="BU33" s="498"/>
      <c r="CB33" s="23" t="s">
        <v>609</v>
      </c>
    </row>
    <row r="34" spans="1:123" outlineLevel="1">
      <c r="A34" s="10" t="s">
        <v>99</v>
      </c>
      <c r="B34" s="23" t="s">
        <v>32</v>
      </c>
      <c r="C34" s="645"/>
      <c r="D34" s="645"/>
      <c r="E34" s="645"/>
      <c r="F34" s="645"/>
      <c r="G34" s="645"/>
      <c r="H34" s="645"/>
      <c r="I34" s="645"/>
      <c r="J34" s="645"/>
      <c r="K34" s="645"/>
      <c r="L34" s="645"/>
      <c r="M34" s="645"/>
      <c r="N34" s="645"/>
      <c r="O34" s="645"/>
      <c r="P34" s="645"/>
      <c r="Q34" s="645"/>
      <c r="R34" s="645"/>
      <c r="S34" s="645"/>
      <c r="T34" s="645"/>
      <c r="U34" s="645"/>
      <c r="V34" s="645"/>
      <c r="W34" s="645"/>
      <c r="X34" s="645"/>
      <c r="Y34" s="645">
        <v>12.762601</v>
      </c>
      <c r="Z34" s="189">
        <f>BM34</f>
        <v>12.559559</v>
      </c>
      <c r="AA34" s="645">
        <v>12.2601</v>
      </c>
      <c r="AB34" s="189">
        <f>BN34</f>
        <v>13.130008999999999</v>
      </c>
      <c r="AC34" s="645">
        <v>12.17</v>
      </c>
      <c r="AD34" s="189">
        <f>BO34</f>
        <v>10.220000000000001</v>
      </c>
      <c r="AE34" s="190">
        <v>11.74</v>
      </c>
      <c r="AF34" s="189">
        <f>BP34</f>
        <v>14.39</v>
      </c>
      <c r="AG34" s="190">
        <v>15.85</v>
      </c>
      <c r="AH34" s="189">
        <f>BQ34</f>
        <v>21.92</v>
      </c>
      <c r="AI34" s="190">
        <v>25.22</v>
      </c>
      <c r="AJ34" s="189">
        <f>BR34</f>
        <v>17.68</v>
      </c>
      <c r="AK34" s="645">
        <v>22.53</v>
      </c>
      <c r="AL34" s="645">
        <v>29.4</v>
      </c>
      <c r="AM34" s="645">
        <v>27.75</v>
      </c>
      <c r="AN34" s="645">
        <f>BT34</f>
        <v>31.69</v>
      </c>
      <c r="AO34" s="645">
        <v>31.2</v>
      </c>
      <c r="AP34" s="445">
        <f>BU34</f>
        <v>35.479999999999997</v>
      </c>
      <c r="AQ34" s="192">
        <f>AP34*(1+Summary!$G$8)^(1/2)</f>
        <v>37.127069477673558</v>
      </c>
      <c r="AR34" s="192">
        <f>AQ34*(1+Summary!$G$8)^(1/2)</f>
        <v>38.850599999999993</v>
      </c>
      <c r="AS34" s="192">
        <f>AR34*(1+Summary!$G$8)^(1/2)</f>
        <v>40.65414107805254</v>
      </c>
      <c r="AT34" s="192">
        <f>AS34*(1+Summary!$G$8)^(1/2)</f>
        <v>42.541406999999985</v>
      </c>
      <c r="AU34" s="192">
        <f>AT34*(1+Summary!$G$8)^(1/2)</f>
        <v>44.516284480467526</v>
      </c>
      <c r="AV34" s="192">
        <f>AU34*(1+Summary!$G$8)^(1/2)</f>
        <v>46.582840664999978</v>
      </c>
      <c r="AW34" s="192">
        <f>AV34*(1+Summary!$G$8)^(1/2)</f>
        <v>48.745331506111938</v>
      </c>
      <c r="AX34" s="192">
        <f>AW34*(1+Summary!$G$8)^(1/2)</f>
        <v>51.00821052817497</v>
      </c>
      <c r="AY34" s="192">
        <f>AX34*(1+Summary!$G$8)^(1/2)</f>
        <v>53.376137999192565</v>
      </c>
      <c r="AZ34" s="192">
        <f>AY34*(1+Summary!$G$8)^(1/2)</f>
        <v>55.853990528351588</v>
      </c>
      <c r="BA34" s="558"/>
      <c r="BB34" s="231"/>
      <c r="BC34" s="231"/>
      <c r="BD34" s="231"/>
      <c r="BE34" s="231"/>
      <c r="BF34" s="231"/>
      <c r="BG34" s="231"/>
      <c r="BH34" s="231"/>
      <c r="BI34" s="231"/>
      <c r="BJ34" s="231"/>
      <c r="BK34" s="231"/>
      <c r="BL34" s="231"/>
      <c r="BM34" s="646">
        <v>12.559559</v>
      </c>
      <c r="BN34" s="646">
        <v>13.130008999999999</v>
      </c>
      <c r="BO34" s="646">
        <v>10.220000000000001</v>
      </c>
      <c r="BP34" s="646">
        <v>14.39</v>
      </c>
      <c r="BQ34" s="646">
        <v>21.92</v>
      </c>
      <c r="BR34" s="646">
        <v>17.68</v>
      </c>
      <c r="BS34" s="646">
        <v>29.4</v>
      </c>
      <c r="BT34" s="646">
        <v>31.69</v>
      </c>
      <c r="BU34" s="647">
        <v>35.479999999999997</v>
      </c>
      <c r="BV34" s="231">
        <f>AR34</f>
        <v>38.850599999999993</v>
      </c>
      <c r="BW34" s="231">
        <f>AT34</f>
        <v>42.541406999999985</v>
      </c>
      <c r="BX34" s="231">
        <f>AV34</f>
        <v>46.582840664999978</v>
      </c>
      <c r="BY34" s="231">
        <f>AX34</f>
        <v>51.00821052817497</v>
      </c>
      <c r="BZ34" s="231">
        <f>AZ34</f>
        <v>55.853990528351588</v>
      </c>
      <c r="CB34" s="23" t="s">
        <v>613</v>
      </c>
      <c r="DS34" s="231">
        <f>CV34</f>
        <v>0</v>
      </c>
    </row>
    <row r="35" spans="1:123" outlineLevel="1">
      <c r="A35" s="10" t="s">
        <v>100</v>
      </c>
      <c r="B35" s="23" t="s">
        <v>34</v>
      </c>
      <c r="C35" s="231"/>
      <c r="D35" s="231"/>
      <c r="E35" s="231"/>
      <c r="F35" s="231"/>
      <c r="G35" s="231"/>
      <c r="H35" s="231"/>
      <c r="I35" s="231"/>
      <c r="J35" s="231"/>
      <c r="K35" s="231"/>
      <c r="L35" s="231"/>
      <c r="M35" s="192"/>
      <c r="N35" s="192"/>
      <c r="O35" s="192"/>
      <c r="P35" s="192"/>
      <c r="Q35" s="192"/>
      <c r="R35" s="192"/>
      <c r="S35" s="192"/>
      <c r="T35" s="192"/>
      <c r="U35" s="192"/>
      <c r="V35" s="192"/>
      <c r="W35" s="192"/>
      <c r="X35" s="192"/>
      <c r="Y35" s="192">
        <f>Y34</f>
        <v>12.762601</v>
      </c>
      <c r="Z35" s="192">
        <f>Y35*AVERAGE(Y34:Z34)/AVERAGE(X34:Y34)</f>
        <v>12.66108</v>
      </c>
      <c r="AA35" s="192">
        <f>AA34</f>
        <v>12.2601</v>
      </c>
      <c r="AB35" s="192">
        <f t="shared" ref="AB35:AZ35" si="46">AA35*AVERAGE(AA34:AB34)/AVERAGE(Z34:AA34)</f>
        <v>12.541883647591611</v>
      </c>
      <c r="AC35" s="192">
        <f t="shared" si="46"/>
        <v>12.497377193655238</v>
      </c>
      <c r="AD35" s="192">
        <f t="shared" si="46"/>
        <v>11.059927898284178</v>
      </c>
      <c r="AE35" s="192">
        <f t="shared" si="46"/>
        <v>10.847521958299264</v>
      </c>
      <c r="AF35" s="192">
        <f t="shared" si="46"/>
        <v>12.907365608850627</v>
      </c>
      <c r="AG35" s="192">
        <f t="shared" si="46"/>
        <v>14.937571221264561</v>
      </c>
      <c r="AH35" s="192">
        <f t="shared" si="46"/>
        <v>18.657145007511986</v>
      </c>
      <c r="AI35" s="192">
        <f t="shared" si="46"/>
        <v>23.285618629973918</v>
      </c>
      <c r="AJ35" s="192">
        <f t="shared" si="46"/>
        <v>21.191197268262219</v>
      </c>
      <c r="AK35" s="192">
        <f t="shared" si="46"/>
        <v>19.86242522510079</v>
      </c>
      <c r="AL35" s="192">
        <f t="shared" si="46"/>
        <v>25.651722007945384</v>
      </c>
      <c r="AM35" s="192">
        <f t="shared" si="46"/>
        <v>28.230231325901766</v>
      </c>
      <c r="AN35" s="192">
        <f t="shared" si="46"/>
        <v>29.361416448146997</v>
      </c>
      <c r="AO35" s="192">
        <f t="shared" si="46"/>
        <v>31.065603641049204</v>
      </c>
      <c r="AP35" s="445">
        <f t="shared" si="46"/>
        <v>32.937739716730171</v>
      </c>
      <c r="AQ35" s="192">
        <f t="shared" si="46"/>
        <v>35.865518237104908</v>
      </c>
      <c r="AR35" s="192">
        <f t="shared" si="46"/>
        <v>37.530484426205248</v>
      </c>
      <c r="AS35" s="192">
        <f t="shared" si="46"/>
        <v>39.272742469629875</v>
      </c>
      <c r="AT35" s="192">
        <f t="shared" si="46"/>
        <v>41.09588044669475</v>
      </c>
      <c r="AU35" s="192">
        <f t="shared" si="46"/>
        <v>43.003653004244711</v>
      </c>
      <c r="AV35" s="192">
        <f t="shared" si="46"/>
        <v>44.999989089130736</v>
      </c>
      <c r="AW35" s="192">
        <f t="shared" si="46"/>
        <v>47.089000039647942</v>
      </c>
      <c r="AX35" s="192">
        <f t="shared" si="46"/>
        <v>49.274988052598147</v>
      </c>
      <c r="AY35" s="192">
        <f t="shared" si="46"/>
        <v>51.562455043414488</v>
      </c>
      <c r="AZ35" s="192">
        <f t="shared" si="46"/>
        <v>53.95611191759496</v>
      </c>
      <c r="BA35" s="558"/>
      <c r="BB35" s="557"/>
      <c r="BC35" s="231"/>
      <c r="BD35" s="231"/>
      <c r="BE35" s="231"/>
      <c r="BF35" s="231"/>
      <c r="BG35" s="231"/>
      <c r="BH35" s="231"/>
      <c r="BI35" s="231"/>
      <c r="BJ35" s="231"/>
      <c r="BK35" s="231"/>
      <c r="BL35" s="231"/>
      <c r="BM35" s="231"/>
      <c r="BN35" s="231" t="str">
        <f t="shared" ref="BN35:BZ35" si="47">IF(ISERROR(BN284/BN32),"-",BN284/BN32)</f>
        <v>-</v>
      </c>
      <c r="BO35" s="231">
        <f t="shared" si="47"/>
        <v>1.0210523544588166</v>
      </c>
      <c r="BP35" s="231">
        <f t="shared" si="47"/>
        <v>0</v>
      </c>
      <c r="BQ35" s="231">
        <f t="shared" si="47"/>
        <v>0.72665975103734548</v>
      </c>
      <c r="BR35" s="231">
        <f t="shared" si="47"/>
        <v>1</v>
      </c>
      <c r="BS35" s="231">
        <f t="shared" si="47"/>
        <v>0.99999999999999978</v>
      </c>
      <c r="BT35" s="231">
        <f t="shared" si="47"/>
        <v>0.99999999999999956</v>
      </c>
      <c r="BU35" s="499">
        <f t="shared" si="47"/>
        <v>1.0000000000000018</v>
      </c>
      <c r="BV35" s="231" t="str">
        <f t="shared" si="47"/>
        <v>-</v>
      </c>
      <c r="BW35" s="231" t="str">
        <f t="shared" si="47"/>
        <v>-</v>
      </c>
      <c r="BX35" s="231" t="str">
        <f t="shared" si="47"/>
        <v>-</v>
      </c>
      <c r="BY35" s="231" t="str">
        <f t="shared" si="47"/>
        <v>-</v>
      </c>
      <c r="BZ35" s="231" t="str">
        <f t="shared" si="47"/>
        <v>-</v>
      </c>
      <c r="CB35" s="23" t="s">
        <v>609</v>
      </c>
      <c r="DS35" s="231" t="str">
        <f t="shared" ref="DS35" si="48">IF(ISERROR(DS284/DS32),"-",DS284/DS32)</f>
        <v>-</v>
      </c>
    </row>
    <row r="36" spans="1:123">
      <c r="D36" s="55"/>
      <c r="E36" s="55"/>
      <c r="F36" s="55"/>
      <c r="G36" s="55"/>
      <c r="H36" s="55"/>
      <c r="I36" s="55"/>
      <c r="J36" s="55"/>
      <c r="K36" s="55"/>
      <c r="L36" s="55"/>
      <c r="M36" s="55"/>
      <c r="N36" s="55"/>
      <c r="O36" s="55"/>
      <c r="P36" s="55"/>
      <c r="Q36" s="55"/>
      <c r="R36" s="55"/>
      <c r="S36" s="55"/>
      <c r="T36" s="55"/>
      <c r="U36" s="55"/>
      <c r="V36" s="55"/>
      <c r="W36" s="55"/>
      <c r="X36" s="56"/>
      <c r="Y36" s="56"/>
      <c r="Z36" s="56"/>
      <c r="AA36" s="56"/>
      <c r="AB36" s="56"/>
      <c r="AC36" s="56"/>
      <c r="AD36" s="56"/>
      <c r="AE36" s="56"/>
      <c r="AF36" s="56"/>
      <c r="AG36" s="56"/>
      <c r="AH36" s="56"/>
      <c r="AI36" s="56"/>
      <c r="AJ36" s="56"/>
      <c r="AK36" s="56"/>
      <c r="AL36" s="56"/>
      <c r="AM36" s="56"/>
      <c r="AN36" s="56"/>
      <c r="AO36" s="56"/>
      <c r="AP36" s="446"/>
      <c r="AQ36" s="56"/>
      <c r="AR36" s="56"/>
      <c r="AS36" s="56"/>
      <c r="AT36" s="56"/>
      <c r="AU36" s="56"/>
      <c r="AV36" s="56"/>
      <c r="AW36" s="56"/>
      <c r="AX36" s="56"/>
      <c r="AY36" s="56"/>
      <c r="AZ36" s="56"/>
      <c r="BA36" s="56"/>
      <c r="BB36" s="56"/>
      <c r="BC36" s="56"/>
      <c r="BD36" s="56"/>
      <c r="BE36" s="56"/>
      <c r="BF36" s="56"/>
      <c r="BG36" s="56"/>
      <c r="BH36" s="56"/>
      <c r="BI36" s="56"/>
      <c r="BJ36" s="56"/>
      <c r="BK36" s="56"/>
      <c r="BL36" s="56"/>
      <c r="BM36" s="56"/>
      <c r="BN36" s="56"/>
      <c r="BO36" s="56"/>
      <c r="BP36" s="56"/>
      <c r="BQ36" s="56"/>
      <c r="BR36" s="56"/>
      <c r="BS36" s="56"/>
    </row>
    <row r="37" spans="1:123" s="40" customFormat="1">
      <c r="A37" s="10"/>
      <c r="B37" s="11" t="s">
        <v>214</v>
      </c>
      <c r="C37" s="11"/>
      <c r="D37" s="11"/>
      <c r="E37" s="11"/>
      <c r="F37" s="11"/>
      <c r="G37" s="12"/>
      <c r="H37" s="12"/>
      <c r="I37" s="12"/>
      <c r="J37" s="12"/>
      <c r="K37" s="12"/>
      <c r="L37" s="12"/>
      <c r="M37" s="12"/>
      <c r="N37" s="12"/>
      <c r="O37" s="12"/>
      <c r="P37" s="12"/>
      <c r="Q37" s="555"/>
      <c r="R37" s="555"/>
      <c r="S37" s="555"/>
      <c r="T37" s="555"/>
      <c r="U37" s="555"/>
      <c r="V37" s="555"/>
      <c r="W37" s="555"/>
      <c r="X37" s="12"/>
      <c r="Y37" s="12"/>
      <c r="Z37" s="12"/>
      <c r="AA37" s="12"/>
      <c r="AB37" s="12"/>
      <c r="AC37" s="12"/>
      <c r="AD37" s="12"/>
      <c r="AE37" s="12"/>
      <c r="AF37" s="12"/>
      <c r="AG37" s="12"/>
      <c r="AH37" s="12"/>
      <c r="AI37" s="12"/>
      <c r="AJ37" s="12"/>
      <c r="AK37" s="12"/>
      <c r="AL37" s="12"/>
      <c r="AM37" s="12"/>
      <c r="AN37" s="12"/>
      <c r="AO37" s="12"/>
      <c r="AP37" s="298"/>
      <c r="AQ37" s="12"/>
      <c r="AR37" s="12"/>
      <c r="AS37" s="12"/>
      <c r="AT37" s="12"/>
      <c r="AU37" s="12"/>
      <c r="AV37" s="12"/>
      <c r="AW37" s="12"/>
      <c r="AX37" s="12"/>
      <c r="AY37" s="12"/>
      <c r="AZ37" s="12"/>
      <c r="BA37" s="13"/>
      <c r="BB37" s="12"/>
      <c r="BC37" s="12"/>
      <c r="BD37" s="12"/>
      <c r="BE37" s="12"/>
      <c r="BF37" s="12"/>
      <c r="BG37" s="12"/>
      <c r="BH37" s="12"/>
      <c r="BI37" s="12"/>
      <c r="BJ37" s="26"/>
      <c r="BK37" s="12"/>
      <c r="BL37" s="12"/>
      <c r="BM37" s="12"/>
      <c r="BN37" s="12"/>
      <c r="BO37" s="12"/>
      <c r="BP37" s="12"/>
      <c r="BQ37" s="12"/>
      <c r="BR37" s="12"/>
      <c r="BS37" s="12"/>
      <c r="BT37" s="12"/>
      <c r="BU37" s="298"/>
      <c r="BV37" s="12"/>
      <c r="BW37" s="12"/>
      <c r="BX37" s="12"/>
      <c r="BY37" s="12"/>
      <c r="BZ37" s="12"/>
      <c r="CB37" s="28"/>
      <c r="CC37" s="84"/>
      <c r="CD37" s="23"/>
      <c r="CE37" s="23"/>
      <c r="CF37" s="23"/>
      <c r="CG37" s="23"/>
      <c r="CH37" s="23"/>
      <c r="DS37" s="12"/>
    </row>
    <row r="38" spans="1:123">
      <c r="A38" s="57"/>
      <c r="B38" s="58"/>
      <c r="C38" s="58"/>
      <c r="D38" s="58"/>
      <c r="E38" s="58"/>
      <c r="F38" s="58"/>
      <c r="G38" s="23"/>
      <c r="H38" s="606"/>
      <c r="I38" s="606"/>
      <c r="J38" s="606"/>
      <c r="K38" s="607"/>
      <c r="L38" s="606"/>
      <c r="M38" s="606"/>
      <c r="N38" s="606"/>
      <c r="O38" s="606"/>
      <c r="P38" s="608"/>
      <c r="Q38" s="608"/>
      <c r="R38" s="608"/>
      <c r="S38" s="608"/>
      <c r="T38" s="608"/>
      <c r="U38" s="609"/>
      <c r="V38" s="609"/>
      <c r="W38" s="609"/>
      <c r="X38" s="609"/>
      <c r="Y38" s="609"/>
      <c r="Z38" s="609"/>
      <c r="AA38" s="609"/>
      <c r="AB38" s="609"/>
      <c r="AC38" s="609"/>
      <c r="AD38" s="609"/>
      <c r="AE38" s="271"/>
      <c r="AF38" s="169"/>
      <c r="AG38" s="609"/>
      <c r="AH38" s="609"/>
      <c r="AI38" s="609"/>
      <c r="AJ38" s="609"/>
      <c r="AK38" s="609"/>
      <c r="AL38" s="609"/>
      <c r="AM38" s="609"/>
      <c r="AN38" s="609"/>
      <c r="AO38" s="609"/>
      <c r="AP38" s="611"/>
      <c r="AQ38" s="609"/>
      <c r="AR38" s="609"/>
      <c r="AS38" s="609"/>
      <c r="AT38" s="609"/>
      <c r="AU38" s="609"/>
      <c r="AV38" s="609"/>
      <c r="AW38" s="609"/>
      <c r="AX38" s="609"/>
      <c r="AY38" s="609"/>
      <c r="AZ38" s="609"/>
      <c r="BA38" s="558"/>
      <c r="BB38" s="557"/>
      <c r="BC38" s="557"/>
      <c r="BD38" s="557"/>
      <c r="BE38" s="557"/>
      <c r="BF38" s="557"/>
      <c r="BG38" s="557"/>
      <c r="BH38" s="230"/>
      <c r="BI38" s="612"/>
      <c r="BJ38" s="59"/>
      <c r="BK38" s="59"/>
      <c r="BL38" s="59"/>
      <c r="BM38" s="59"/>
      <c r="BN38" s="59"/>
      <c r="BO38" s="59"/>
      <c r="BP38" s="59"/>
      <c r="BQ38" s="59"/>
      <c r="BR38" s="59"/>
      <c r="BS38" s="59"/>
      <c r="CC38" s="84"/>
    </row>
    <row r="39" spans="1:123">
      <c r="A39" s="57"/>
      <c r="B39" s="63" t="s">
        <v>274</v>
      </c>
      <c r="C39" s="64"/>
      <c r="D39" s="64"/>
      <c r="E39" s="64"/>
      <c r="F39" s="64"/>
      <c r="G39" s="65"/>
      <c r="H39" s="648"/>
      <c r="I39" s="648"/>
      <c r="J39" s="648"/>
      <c r="K39" s="649"/>
      <c r="L39" s="648"/>
      <c r="M39" s="648"/>
      <c r="N39" s="648"/>
      <c r="O39" s="648"/>
      <c r="P39" s="650"/>
      <c r="Q39" s="650"/>
      <c r="R39" s="650"/>
      <c r="S39" s="650"/>
      <c r="T39" s="650"/>
      <c r="U39" s="651"/>
      <c r="V39" s="651"/>
      <c r="W39" s="651"/>
      <c r="X39" s="651"/>
      <c r="Y39" s="651"/>
      <c r="Z39" s="651"/>
      <c r="AA39" s="651"/>
      <c r="AB39" s="651"/>
      <c r="AC39" s="651"/>
      <c r="AD39" s="651"/>
      <c r="AE39" s="651"/>
      <c r="AF39" s="651"/>
      <c r="AG39" s="651"/>
      <c r="AH39" s="651"/>
      <c r="AI39" s="651"/>
      <c r="AJ39" s="651"/>
      <c r="AK39" s="651"/>
      <c r="AL39" s="651"/>
      <c r="AM39" s="651"/>
      <c r="AN39" s="651"/>
      <c r="AO39" s="651"/>
      <c r="AP39" s="652"/>
      <c r="AQ39" s="651"/>
      <c r="AR39" s="651"/>
      <c r="AS39" s="651"/>
      <c r="AT39" s="651"/>
      <c r="AU39" s="651"/>
      <c r="AV39" s="651"/>
      <c r="AW39" s="651"/>
      <c r="AX39" s="651"/>
      <c r="AY39" s="651"/>
      <c r="AZ39" s="651"/>
      <c r="BA39" s="558"/>
      <c r="BB39" s="653"/>
      <c r="BC39" s="653"/>
      <c r="BD39" s="653"/>
      <c r="BE39" s="653"/>
      <c r="BF39" s="653"/>
      <c r="BG39" s="653"/>
      <c r="BH39" s="654"/>
      <c r="BI39" s="655"/>
      <c r="BJ39" s="66"/>
      <c r="BK39" s="66"/>
      <c r="BL39" s="66"/>
      <c r="BM39" s="66"/>
      <c r="BN39" s="66"/>
      <c r="BO39" s="66"/>
      <c r="BP39" s="66"/>
      <c r="BQ39" s="66"/>
      <c r="BR39" s="66"/>
      <c r="BS39" s="66"/>
      <c r="BT39" s="65"/>
      <c r="BU39" s="500"/>
      <c r="BV39" s="65"/>
      <c r="BW39" s="65"/>
      <c r="BX39" s="65"/>
      <c r="BY39" s="65"/>
      <c r="BZ39" s="65"/>
      <c r="CC39" s="84"/>
      <c r="DS39" s="65"/>
    </row>
    <row r="40" spans="1:123">
      <c r="A40" s="57"/>
      <c r="B40" s="60"/>
      <c r="C40" s="58"/>
      <c r="D40" s="58"/>
      <c r="E40" s="58"/>
      <c r="F40" s="58"/>
      <c r="G40" s="23"/>
      <c r="H40" s="606"/>
      <c r="I40" s="606"/>
      <c r="J40" s="606"/>
      <c r="K40" s="607"/>
      <c r="L40" s="606"/>
      <c r="M40" s="606"/>
      <c r="N40" s="606"/>
      <c r="O40" s="606"/>
      <c r="P40" s="624"/>
      <c r="Q40" s="624"/>
      <c r="R40" s="624"/>
      <c r="S40" s="624"/>
      <c r="T40" s="624"/>
      <c r="U40" s="625"/>
      <c r="V40" s="625"/>
      <c r="W40" s="625"/>
      <c r="X40" s="625"/>
      <c r="Y40" s="625"/>
      <c r="Z40" s="625"/>
      <c r="AA40" s="625"/>
      <c r="AB40" s="625"/>
      <c r="AC40" s="625"/>
      <c r="AD40" s="625"/>
      <c r="AE40" s="625"/>
      <c r="AF40" s="625"/>
      <c r="AG40" s="625"/>
      <c r="AH40" s="625"/>
      <c r="AI40" s="625"/>
      <c r="AJ40" s="625"/>
      <c r="AK40" s="625"/>
      <c r="AL40" s="625"/>
      <c r="AM40" s="625"/>
      <c r="AN40" s="625"/>
      <c r="AO40" s="625"/>
      <c r="AP40" s="628"/>
      <c r="AQ40" s="625"/>
      <c r="AR40" s="625"/>
      <c r="AS40" s="625"/>
      <c r="AT40" s="625"/>
      <c r="AU40" s="625"/>
      <c r="AV40" s="625"/>
      <c r="AW40" s="625"/>
      <c r="AX40" s="625"/>
      <c r="AY40" s="625"/>
      <c r="AZ40" s="625"/>
      <c r="BA40" s="558"/>
      <c r="BB40" s="558"/>
      <c r="BC40" s="558"/>
      <c r="BD40" s="558"/>
      <c r="BE40" s="558"/>
      <c r="BF40" s="558"/>
      <c r="BG40" s="558"/>
      <c r="BH40" s="431"/>
      <c r="BI40" s="626"/>
      <c r="BJ40" s="83"/>
      <c r="BK40" s="83"/>
      <c r="BL40" s="83"/>
      <c r="BM40" s="83"/>
      <c r="BN40" s="83"/>
      <c r="BO40" s="83"/>
      <c r="BP40" s="83"/>
      <c r="BQ40" s="83"/>
      <c r="BR40" s="83"/>
      <c r="BS40" s="83"/>
      <c r="CC40" s="84"/>
    </row>
    <row r="41" spans="1:123" s="172" customFormat="1">
      <c r="A41" s="57" t="s">
        <v>498</v>
      </c>
      <c r="B41" s="23" t="s">
        <v>278</v>
      </c>
      <c r="C41" s="58"/>
      <c r="D41" s="58"/>
      <c r="E41" s="58"/>
      <c r="F41" s="58"/>
      <c r="G41" s="23"/>
      <c r="H41" s="606"/>
      <c r="I41" s="606"/>
      <c r="J41" s="606"/>
      <c r="K41" s="607"/>
      <c r="L41" s="606"/>
      <c r="M41" s="625"/>
      <c r="N41" s="625"/>
      <c r="O41" s="625"/>
      <c r="P41" s="625"/>
      <c r="Q41" s="625"/>
      <c r="R41" s="625"/>
      <c r="S41" s="625"/>
      <c r="T41" s="625"/>
      <c r="U41" s="625"/>
      <c r="V41" s="625"/>
      <c r="W41" s="625"/>
      <c r="X41" s="625"/>
      <c r="Y41" s="171">
        <v>115.51</v>
      </c>
      <c r="Z41" s="566">
        <f>BM41-Y41</f>
        <v>144.27800000000002</v>
      </c>
      <c r="AA41" s="171">
        <v>126.61</v>
      </c>
      <c r="AB41" s="566">
        <f>BN41-AA41</f>
        <v>156.69</v>
      </c>
      <c r="AC41" s="171">
        <v>171.6</v>
      </c>
      <c r="AD41" s="566">
        <f>BO41-AC41</f>
        <v>161.72999999999999</v>
      </c>
      <c r="AE41" s="171">
        <v>163.30000000000001</v>
      </c>
      <c r="AF41" s="566">
        <f t="shared" ref="AF41:AF46" si="49">BP41-AE41</f>
        <v>179.7</v>
      </c>
      <c r="AG41" s="171">
        <v>176.4</v>
      </c>
      <c r="AH41" s="566">
        <f t="shared" ref="AH41:AH46" si="50">BQ41-AG41</f>
        <v>204.99999999999997</v>
      </c>
      <c r="AI41" s="171">
        <v>194.3</v>
      </c>
      <c r="AJ41" s="566">
        <f t="shared" ref="AJ41:AJ46" si="51">BR41-AI41</f>
        <v>219</v>
      </c>
      <c r="AK41" s="656">
        <v>218.8</v>
      </c>
      <c r="AL41" s="656">
        <f>BS41-AK41</f>
        <v>237.39999999999998</v>
      </c>
      <c r="AM41" s="656">
        <v>234.3</v>
      </c>
      <c r="AN41" s="656">
        <f>BT41-AM41</f>
        <v>255.89999999999998</v>
      </c>
      <c r="AO41" s="656">
        <v>257.89999999999998</v>
      </c>
      <c r="AP41" s="657">
        <f t="shared" ref="AP41:AP49" si="52">BU41-AO41</f>
        <v>271.60000000000002</v>
      </c>
      <c r="AQ41" s="658">
        <f t="shared" ref="AQ41:AZ41" si="53">AQ56*AO41*(1+AQ54+AQ55)+AQ57*AO41*(1+AQ55+AQ58)</f>
        <v>270.53709999999995</v>
      </c>
      <c r="AR41" s="658">
        <f t="shared" si="53"/>
        <v>290.34039999999999</v>
      </c>
      <c r="AS41" s="658">
        <f t="shared" si="53"/>
        <v>287.03986309999993</v>
      </c>
      <c r="AT41" s="658">
        <f t="shared" si="53"/>
        <v>308.0511644</v>
      </c>
      <c r="AU41" s="658">
        <f t="shared" si="53"/>
        <v>304.54929474909994</v>
      </c>
      <c r="AV41" s="658">
        <f t="shared" si="53"/>
        <v>326.84228542840003</v>
      </c>
      <c r="AW41" s="658">
        <f t="shared" si="53"/>
        <v>323.12680172879504</v>
      </c>
      <c r="AX41" s="658">
        <f t="shared" si="53"/>
        <v>346.77966483953242</v>
      </c>
      <c r="AY41" s="658">
        <f t="shared" si="53"/>
        <v>342.83753663425159</v>
      </c>
      <c r="AZ41" s="658">
        <f t="shared" si="53"/>
        <v>367.93322439474389</v>
      </c>
      <c r="BA41" s="222"/>
      <c r="BB41" s="659"/>
      <c r="BC41" s="659"/>
      <c r="BD41" s="659"/>
      <c r="BE41" s="659"/>
      <c r="BF41" s="659"/>
      <c r="BG41" s="659"/>
      <c r="BH41" s="573"/>
      <c r="BI41" s="658"/>
      <c r="BJ41" s="658"/>
      <c r="BK41" s="658"/>
      <c r="BL41" s="660" t="s">
        <v>330</v>
      </c>
      <c r="BM41" s="171">
        <v>259.78800000000001</v>
      </c>
      <c r="BN41" s="171">
        <v>283.3</v>
      </c>
      <c r="BO41" s="171">
        <v>333.33</v>
      </c>
      <c r="BP41" s="171">
        <v>343</v>
      </c>
      <c r="BQ41" s="171">
        <v>381.4</v>
      </c>
      <c r="BR41" s="171">
        <v>413.3</v>
      </c>
      <c r="BS41" s="171">
        <v>456.2</v>
      </c>
      <c r="BT41" s="171">
        <v>490.2</v>
      </c>
      <c r="BU41" s="314">
        <v>529.5</v>
      </c>
      <c r="BV41" s="196">
        <f t="shared" ref="BV41:BV47" si="54">SUM(AQ41:AR41)</f>
        <v>560.87749999999994</v>
      </c>
      <c r="BW41" s="196">
        <f t="shared" ref="BW41:BW47" si="55">SUM(AS41:AT41)</f>
        <v>595.09102749999988</v>
      </c>
      <c r="BX41" s="196">
        <f t="shared" ref="BX41:BX47" si="56">SUM(AU41:AV41)</f>
        <v>631.39158017749992</v>
      </c>
      <c r="BY41" s="196">
        <f t="shared" ref="BY41:BY47" si="57">SUM(AW41:AX41)</f>
        <v>669.90646656832746</v>
      </c>
      <c r="BZ41" s="196">
        <f t="shared" ref="BZ41:BZ47" si="58">SUM(AY41:AZ41)</f>
        <v>710.77076102899548</v>
      </c>
      <c r="CB41" s="172" t="s">
        <v>614</v>
      </c>
      <c r="DS41" s="196">
        <f t="shared" ref="DS41:DS47" si="59">SUM(CU41:CV41)</f>
        <v>0</v>
      </c>
    </row>
    <row r="42" spans="1:123" s="172" customFormat="1">
      <c r="A42" s="57" t="s">
        <v>501</v>
      </c>
      <c r="B42" s="23" t="s">
        <v>345</v>
      </c>
      <c r="C42" s="661"/>
      <c r="D42" s="661"/>
      <c r="E42" s="661"/>
      <c r="F42" s="661"/>
      <c r="G42" s="661"/>
      <c r="H42" s="661"/>
      <c r="I42" s="661"/>
      <c r="J42" s="661"/>
      <c r="K42" s="661"/>
      <c r="L42" s="661"/>
      <c r="M42" s="661"/>
      <c r="N42" s="661"/>
      <c r="O42" s="661"/>
      <c r="P42" s="661"/>
      <c r="Q42" s="661"/>
      <c r="R42" s="661"/>
      <c r="S42" s="661"/>
      <c r="T42" s="661"/>
      <c r="U42" s="661"/>
      <c r="V42" s="661"/>
      <c r="W42" s="661"/>
      <c r="X42" s="661"/>
      <c r="Y42" s="661"/>
      <c r="Z42" s="661"/>
      <c r="AA42" s="661"/>
      <c r="AB42" s="661"/>
      <c r="AC42" s="661"/>
      <c r="AD42" s="661"/>
      <c r="AE42" s="171">
        <v>17.3</v>
      </c>
      <c r="AF42" s="566">
        <f t="shared" si="49"/>
        <v>13.599999999999998</v>
      </c>
      <c r="AG42" s="171">
        <v>17.7</v>
      </c>
      <c r="AH42" s="566">
        <f t="shared" si="50"/>
        <v>12.400000000000002</v>
      </c>
      <c r="AI42" s="171">
        <v>17.5</v>
      </c>
      <c r="AJ42" s="566">
        <f t="shared" si="51"/>
        <v>12.7</v>
      </c>
      <c r="AK42" s="656">
        <v>18</v>
      </c>
      <c r="AL42" s="656">
        <f>BS42-AK42</f>
        <v>11.3</v>
      </c>
      <c r="AM42" s="656">
        <v>19.5</v>
      </c>
      <c r="AN42" s="656">
        <f t="shared" ref="AN42:AN49" si="60">BT42-AM42</f>
        <v>9.5</v>
      </c>
      <c r="AO42" s="656">
        <v>19.8</v>
      </c>
      <c r="AP42" s="657">
        <f t="shared" si="52"/>
        <v>10</v>
      </c>
      <c r="AQ42" s="658">
        <f t="shared" ref="AQ42:AZ42" si="61">AO42*(1+AQ59)</f>
        <v>19.998000000000001</v>
      </c>
      <c r="AR42" s="658">
        <f t="shared" si="61"/>
        <v>10.1</v>
      </c>
      <c r="AS42" s="658">
        <f t="shared" si="61"/>
        <v>20.197980000000001</v>
      </c>
      <c r="AT42" s="658">
        <f t="shared" si="61"/>
        <v>10.201000000000001</v>
      </c>
      <c r="AU42" s="658">
        <f t="shared" si="61"/>
        <v>20.399959800000001</v>
      </c>
      <c r="AV42" s="658">
        <f t="shared" si="61"/>
        <v>10.30301</v>
      </c>
      <c r="AW42" s="658">
        <f t="shared" si="61"/>
        <v>20.603959398000001</v>
      </c>
      <c r="AX42" s="658">
        <f t="shared" si="61"/>
        <v>10.4060401</v>
      </c>
      <c r="AY42" s="658">
        <f t="shared" si="61"/>
        <v>20.809998991980002</v>
      </c>
      <c r="AZ42" s="658">
        <f t="shared" si="61"/>
        <v>10.510100501</v>
      </c>
      <c r="BA42" s="222"/>
      <c r="BB42" s="659"/>
      <c r="BC42" s="659"/>
      <c r="BD42" s="659"/>
      <c r="BE42" s="659"/>
      <c r="BF42" s="659"/>
      <c r="BG42" s="659"/>
      <c r="BH42" s="573"/>
      <c r="BI42" s="658"/>
      <c r="BJ42" s="658"/>
      <c r="BK42" s="658"/>
      <c r="BL42" s="660"/>
      <c r="BM42" s="362"/>
      <c r="BN42" s="362"/>
      <c r="BO42" s="362"/>
      <c r="BP42" s="171">
        <v>30.9</v>
      </c>
      <c r="BQ42" s="171">
        <v>30.1</v>
      </c>
      <c r="BR42" s="171">
        <v>30.2</v>
      </c>
      <c r="BS42" s="171">
        <v>29.3</v>
      </c>
      <c r="BT42" s="171">
        <v>29</v>
      </c>
      <c r="BU42" s="314">
        <v>29.8</v>
      </c>
      <c r="BV42" s="196">
        <f t="shared" si="54"/>
        <v>30.097999999999999</v>
      </c>
      <c r="BW42" s="196">
        <f t="shared" si="55"/>
        <v>30.398980000000002</v>
      </c>
      <c r="BX42" s="196">
        <f t="shared" si="56"/>
        <v>30.702969800000002</v>
      </c>
      <c r="BY42" s="196">
        <f t="shared" si="57"/>
        <v>31.009999497999999</v>
      </c>
      <c r="BZ42" s="196">
        <f t="shared" si="58"/>
        <v>31.320099492980003</v>
      </c>
      <c r="CB42" s="172" t="s">
        <v>614</v>
      </c>
      <c r="DS42" s="196">
        <f t="shared" si="59"/>
        <v>0</v>
      </c>
    </row>
    <row r="43" spans="1:123" s="172" customFormat="1">
      <c r="A43" s="57" t="s">
        <v>500</v>
      </c>
      <c r="B43" s="23" t="s">
        <v>346</v>
      </c>
      <c r="C43" s="661"/>
      <c r="D43" s="661"/>
      <c r="E43" s="661"/>
      <c r="F43" s="661"/>
      <c r="G43" s="661"/>
      <c r="H43" s="661"/>
      <c r="I43" s="661"/>
      <c r="J43" s="661"/>
      <c r="K43" s="661"/>
      <c r="L43" s="661"/>
      <c r="M43" s="661"/>
      <c r="N43" s="661"/>
      <c r="O43" s="661"/>
      <c r="P43" s="661"/>
      <c r="Q43" s="661"/>
      <c r="R43" s="661"/>
      <c r="S43" s="661"/>
      <c r="T43" s="661"/>
      <c r="U43" s="661"/>
      <c r="V43" s="661"/>
      <c r="W43" s="661"/>
      <c r="X43" s="661"/>
      <c r="Y43" s="661"/>
      <c r="Z43" s="661"/>
      <c r="AA43" s="661"/>
      <c r="AB43" s="661"/>
      <c r="AC43" s="661"/>
      <c r="AD43" s="661"/>
      <c r="AE43" s="171">
        <v>3</v>
      </c>
      <c r="AF43" s="566">
        <f t="shared" si="49"/>
        <v>2.2000000000000002</v>
      </c>
      <c r="AG43" s="171">
        <v>1.3</v>
      </c>
      <c r="AH43" s="566">
        <f t="shared" si="50"/>
        <v>0.90000000000000013</v>
      </c>
      <c r="AI43" s="171">
        <v>1</v>
      </c>
      <c r="AJ43" s="566">
        <f t="shared" si="51"/>
        <v>1</v>
      </c>
      <c r="AK43" s="656">
        <v>5.9</v>
      </c>
      <c r="AL43" s="656">
        <f>BS43-AK43</f>
        <v>9.6</v>
      </c>
      <c r="AM43" s="656">
        <v>14.1</v>
      </c>
      <c r="AN43" s="656">
        <f t="shared" si="60"/>
        <v>15.299999999999999</v>
      </c>
      <c r="AO43" s="656">
        <v>17.8</v>
      </c>
      <c r="AP43" s="657">
        <f t="shared" si="52"/>
        <v>14.8</v>
      </c>
      <c r="AQ43" s="662">
        <v>13</v>
      </c>
      <c r="AR43" s="662">
        <f>AQ43*0.98*1.025</f>
        <v>13.058499999999999</v>
      </c>
      <c r="AS43" s="662">
        <f>AR43*1.025</f>
        <v>13.384962499999997</v>
      </c>
      <c r="AT43" s="662">
        <f>AS43*1.025</f>
        <v>13.719586562499995</v>
      </c>
      <c r="AU43" s="662">
        <f t="shared" ref="AU43:AZ43" si="62">AT43*1.05</f>
        <v>14.405565890624995</v>
      </c>
      <c r="AV43" s="662">
        <f t="shared" si="62"/>
        <v>15.125844185156245</v>
      </c>
      <c r="AW43" s="662">
        <f t="shared" si="62"/>
        <v>15.882136394414058</v>
      </c>
      <c r="AX43" s="662">
        <f t="shared" si="62"/>
        <v>16.676243214134761</v>
      </c>
      <c r="AY43" s="662">
        <f t="shared" si="62"/>
        <v>17.5100553748415</v>
      </c>
      <c r="AZ43" s="662">
        <f t="shared" si="62"/>
        <v>18.385558143583577</v>
      </c>
      <c r="BA43" s="222"/>
      <c r="BB43" s="659"/>
      <c r="BC43" s="659"/>
      <c r="BD43" s="659"/>
      <c r="BE43" s="659"/>
      <c r="BF43" s="659"/>
      <c r="BG43" s="659"/>
      <c r="BH43" s="573"/>
      <c r="BI43" s="658"/>
      <c r="BJ43" s="658"/>
      <c r="BK43" s="658"/>
      <c r="BL43" s="660"/>
      <c r="BM43" s="362"/>
      <c r="BN43" s="362"/>
      <c r="BO43" s="362"/>
      <c r="BP43" s="171">
        <v>5.2</v>
      </c>
      <c r="BQ43" s="171">
        <v>2.2000000000000002</v>
      </c>
      <c r="BR43" s="171">
        <v>2</v>
      </c>
      <c r="BS43" s="171">
        <v>15.5</v>
      </c>
      <c r="BT43" s="171">
        <v>29.4</v>
      </c>
      <c r="BU43" s="314">
        <v>32.6</v>
      </c>
      <c r="BV43" s="196">
        <f t="shared" si="54"/>
        <v>26.058499999999999</v>
      </c>
      <c r="BW43" s="196">
        <f t="shared" si="55"/>
        <v>27.104549062499991</v>
      </c>
      <c r="BX43" s="196">
        <f t="shared" si="56"/>
        <v>29.531410075781238</v>
      </c>
      <c r="BY43" s="196">
        <f t="shared" si="57"/>
        <v>32.558379608548819</v>
      </c>
      <c r="BZ43" s="196">
        <f t="shared" si="58"/>
        <v>35.89561351842508</v>
      </c>
      <c r="CB43" s="172" t="s">
        <v>614</v>
      </c>
      <c r="DS43" s="196">
        <f t="shared" si="59"/>
        <v>0</v>
      </c>
    </row>
    <row r="44" spans="1:123" s="172" customFormat="1">
      <c r="A44" s="57" t="s">
        <v>499</v>
      </c>
      <c r="B44" s="243" t="s">
        <v>50</v>
      </c>
      <c r="C44" s="58"/>
      <c r="D44" s="58"/>
      <c r="E44" s="58"/>
      <c r="F44" s="58"/>
      <c r="G44" s="23"/>
      <c r="H44" s="606"/>
      <c r="I44" s="606"/>
      <c r="J44" s="606"/>
      <c r="K44" s="607"/>
      <c r="L44" s="606"/>
      <c r="M44" s="625"/>
      <c r="N44" s="625"/>
      <c r="O44" s="625"/>
      <c r="P44" s="625"/>
      <c r="Q44" s="625"/>
      <c r="R44" s="625"/>
      <c r="S44" s="625"/>
      <c r="T44" s="625"/>
      <c r="U44" s="625"/>
      <c r="V44" s="625"/>
      <c r="W44" s="625"/>
      <c r="X44" s="625"/>
      <c r="Y44" s="168">
        <f>Y45-Y41</f>
        <v>39.845999999999989</v>
      </c>
      <c r="Z44" s="566">
        <f>BM44-Y44</f>
        <v>37.127000000000024</v>
      </c>
      <c r="AA44" s="168">
        <f>AA45-AA41</f>
        <v>41.605000000000004</v>
      </c>
      <c r="AB44" s="566">
        <f>BN44-AA44</f>
        <v>42.023999999999958</v>
      </c>
      <c r="AC44" s="168">
        <f>AC45-AC41</f>
        <v>7.9939999999999998</v>
      </c>
      <c r="AD44" s="566">
        <f>BO44-AC44</f>
        <v>37.015000000000015</v>
      </c>
      <c r="AE44" s="168">
        <f>AE45-SUM(AE41:AE43)</f>
        <v>4.3519999999999754</v>
      </c>
      <c r="AF44" s="566">
        <f t="shared" si="49"/>
        <v>11.553000000000054</v>
      </c>
      <c r="AG44" s="168">
        <f>AG45-SUM(AG41:AG43)</f>
        <v>10.060000000000002</v>
      </c>
      <c r="AH44" s="566">
        <f t="shared" si="50"/>
        <v>5.4230000000000018</v>
      </c>
      <c r="AI44" s="168">
        <f>AI45-SUM(AI41:AI43)</f>
        <v>6.1829999999999927</v>
      </c>
      <c r="AJ44" s="566">
        <f t="shared" si="51"/>
        <v>5.52800000000002</v>
      </c>
      <c r="AK44" s="658">
        <f>AK45-SUM(AK41:AK43)</f>
        <v>6.9989999999999952</v>
      </c>
      <c r="AL44" s="658">
        <f>BS44-AK44</f>
        <v>11.707000000000022</v>
      </c>
      <c r="AM44" s="658">
        <f>AM45-SUM(AM41:AM43)</f>
        <v>6.8769999999999527</v>
      </c>
      <c r="AN44" s="658">
        <f t="shared" si="60"/>
        <v>8.1920000000000073</v>
      </c>
      <c r="AO44" s="658">
        <f>AO45-SUM(AO41:AO43)</f>
        <v>7.1469999999999914</v>
      </c>
      <c r="AP44" s="657">
        <f t="shared" si="52"/>
        <v>12.069999999999993</v>
      </c>
      <c r="AQ44" s="663">
        <f t="shared" ref="AQ44:AZ44" si="63">AP44</f>
        <v>12.069999999999993</v>
      </c>
      <c r="AR44" s="663">
        <f t="shared" si="63"/>
        <v>12.069999999999993</v>
      </c>
      <c r="AS44" s="663">
        <f t="shared" si="63"/>
        <v>12.069999999999993</v>
      </c>
      <c r="AT44" s="663">
        <f t="shared" si="63"/>
        <v>12.069999999999993</v>
      </c>
      <c r="AU44" s="663">
        <f t="shared" si="63"/>
        <v>12.069999999999993</v>
      </c>
      <c r="AV44" s="663">
        <f t="shared" si="63"/>
        <v>12.069999999999993</v>
      </c>
      <c r="AW44" s="663">
        <f t="shared" si="63"/>
        <v>12.069999999999993</v>
      </c>
      <c r="AX44" s="663">
        <f t="shared" si="63"/>
        <v>12.069999999999993</v>
      </c>
      <c r="AY44" s="663">
        <f t="shared" si="63"/>
        <v>12.069999999999993</v>
      </c>
      <c r="AZ44" s="663">
        <f t="shared" si="63"/>
        <v>12.069999999999993</v>
      </c>
      <c r="BA44" s="222"/>
      <c r="BB44" s="659"/>
      <c r="BC44" s="659"/>
      <c r="BD44" s="659"/>
      <c r="BE44" s="659"/>
      <c r="BF44" s="659"/>
      <c r="BG44" s="659"/>
      <c r="BH44" s="573"/>
      <c r="BI44" s="658"/>
      <c r="BJ44" s="658"/>
      <c r="BK44" s="658"/>
      <c r="BL44" s="664"/>
      <c r="BM44" s="168">
        <f>BM45-BM41</f>
        <v>76.973000000000013</v>
      </c>
      <c r="BN44" s="168">
        <f>BN45-BN41</f>
        <v>83.628999999999962</v>
      </c>
      <c r="BO44" s="168">
        <f>BO45-BO41</f>
        <v>45.009000000000015</v>
      </c>
      <c r="BP44" s="168">
        <f t="shared" ref="BP44:BU44" si="64">BP45-SUM(BP41:BP43)</f>
        <v>15.90500000000003</v>
      </c>
      <c r="BQ44" s="168">
        <f t="shared" si="64"/>
        <v>15.483000000000004</v>
      </c>
      <c r="BR44" s="168">
        <f t="shared" si="64"/>
        <v>11.711000000000013</v>
      </c>
      <c r="BS44" s="168">
        <f t="shared" si="64"/>
        <v>18.706000000000017</v>
      </c>
      <c r="BT44" s="168">
        <f t="shared" si="64"/>
        <v>15.06899999999996</v>
      </c>
      <c r="BU44" s="302">
        <f t="shared" si="64"/>
        <v>19.216999999999985</v>
      </c>
      <c r="BV44" s="196">
        <f t="shared" si="54"/>
        <v>24.139999999999986</v>
      </c>
      <c r="BW44" s="196">
        <f t="shared" si="55"/>
        <v>24.139999999999986</v>
      </c>
      <c r="BX44" s="196">
        <f t="shared" si="56"/>
        <v>24.139999999999986</v>
      </c>
      <c r="BY44" s="196">
        <f t="shared" si="57"/>
        <v>24.139999999999986</v>
      </c>
      <c r="BZ44" s="196">
        <f t="shared" si="58"/>
        <v>24.139999999999986</v>
      </c>
      <c r="CB44" s="172" t="s">
        <v>614</v>
      </c>
      <c r="DS44" s="196">
        <f t="shared" si="59"/>
        <v>0</v>
      </c>
    </row>
    <row r="45" spans="1:123" s="179" customFormat="1">
      <c r="A45" s="57" t="s">
        <v>476</v>
      </c>
      <c r="B45" s="170" t="s">
        <v>279</v>
      </c>
      <c r="C45" s="91"/>
      <c r="D45" s="91"/>
      <c r="E45" s="91"/>
      <c r="F45" s="91"/>
      <c r="G45" s="28"/>
      <c r="H45" s="617"/>
      <c r="I45" s="617"/>
      <c r="J45" s="617"/>
      <c r="K45" s="618"/>
      <c r="L45" s="617"/>
      <c r="M45" s="620"/>
      <c r="N45" s="620"/>
      <c r="O45" s="620"/>
      <c r="P45" s="620"/>
      <c r="Q45" s="620"/>
      <c r="R45" s="620"/>
      <c r="S45" s="620"/>
      <c r="T45" s="620"/>
      <c r="U45" s="620"/>
      <c r="V45" s="620"/>
      <c r="W45" s="620"/>
      <c r="X45" s="620"/>
      <c r="Y45" s="207">
        <v>155.35599999999999</v>
      </c>
      <c r="Z45" s="183">
        <f>BM45-Y45</f>
        <v>181.40500000000003</v>
      </c>
      <c r="AA45" s="207">
        <v>168.215</v>
      </c>
      <c r="AB45" s="183">
        <f>BN45-AA45</f>
        <v>198.71399999999997</v>
      </c>
      <c r="AC45" s="207">
        <v>179.59399999999999</v>
      </c>
      <c r="AD45" s="183">
        <f>BO45-AC45</f>
        <v>198.745</v>
      </c>
      <c r="AE45" s="207">
        <v>187.952</v>
      </c>
      <c r="AF45" s="183">
        <f t="shared" si="49"/>
        <v>207.053</v>
      </c>
      <c r="AG45" s="213">
        <v>205.46</v>
      </c>
      <c r="AH45" s="183">
        <f t="shared" si="50"/>
        <v>223.72299999999998</v>
      </c>
      <c r="AI45" s="213">
        <v>218.983</v>
      </c>
      <c r="AJ45" s="183">
        <f t="shared" si="51"/>
        <v>238.22800000000001</v>
      </c>
      <c r="AK45" s="665">
        <v>249.69900000000001</v>
      </c>
      <c r="AL45" s="665">
        <f>BS45-AK45</f>
        <v>270.00700000000001</v>
      </c>
      <c r="AM45" s="665">
        <v>274.77699999999999</v>
      </c>
      <c r="AN45" s="665">
        <f t="shared" si="60"/>
        <v>288.892</v>
      </c>
      <c r="AO45" s="665">
        <v>302.64699999999999</v>
      </c>
      <c r="AP45" s="666">
        <f t="shared" si="52"/>
        <v>308.46999999999997</v>
      </c>
      <c r="AQ45" s="667">
        <f t="shared" ref="AQ45:AT45" si="65">SUM(AQ41:AQ44)</f>
        <v>315.60509999999994</v>
      </c>
      <c r="AR45" s="667">
        <f t="shared" si="65"/>
        <v>325.56889999999999</v>
      </c>
      <c r="AS45" s="667">
        <f t="shared" si="65"/>
        <v>332.69280559999993</v>
      </c>
      <c r="AT45" s="667">
        <f t="shared" si="65"/>
        <v>344.04175096250003</v>
      </c>
      <c r="AU45" s="667">
        <f t="shared" ref="AU45:AZ45" si="66">SUM(AU41:AU44)</f>
        <v>351.4248204397249</v>
      </c>
      <c r="AV45" s="667">
        <f t="shared" si="66"/>
        <v>364.34113961355627</v>
      </c>
      <c r="AW45" s="667">
        <f t="shared" si="66"/>
        <v>371.6828975212091</v>
      </c>
      <c r="AX45" s="667">
        <f t="shared" si="66"/>
        <v>385.93194815366718</v>
      </c>
      <c r="AY45" s="667">
        <f t="shared" si="66"/>
        <v>393.22759100107311</v>
      </c>
      <c r="AZ45" s="667">
        <f t="shared" si="66"/>
        <v>408.89888303932747</v>
      </c>
      <c r="BA45" s="223"/>
      <c r="BB45" s="668"/>
      <c r="BC45" s="668"/>
      <c r="BD45" s="668"/>
      <c r="BE45" s="668"/>
      <c r="BF45" s="668"/>
      <c r="BG45" s="668"/>
      <c r="BH45" s="598"/>
      <c r="BI45" s="667"/>
      <c r="BJ45" s="667"/>
      <c r="BK45" s="667"/>
      <c r="BL45" s="660"/>
      <c r="BM45" s="207">
        <v>336.76100000000002</v>
      </c>
      <c r="BN45" s="207">
        <v>366.92899999999997</v>
      </c>
      <c r="BO45" s="207">
        <v>378.339</v>
      </c>
      <c r="BP45" s="213">
        <v>395.005</v>
      </c>
      <c r="BQ45" s="213">
        <v>429.18299999999999</v>
      </c>
      <c r="BR45" s="213">
        <v>457.21100000000001</v>
      </c>
      <c r="BS45" s="213">
        <v>519.70600000000002</v>
      </c>
      <c r="BT45" s="213">
        <v>563.66899999999998</v>
      </c>
      <c r="BU45" s="518">
        <v>611.11699999999996</v>
      </c>
      <c r="BV45" s="198">
        <f t="shared" si="54"/>
        <v>641.17399999999998</v>
      </c>
      <c r="BW45" s="198">
        <f t="shared" si="55"/>
        <v>676.73455656249996</v>
      </c>
      <c r="BX45" s="198">
        <f t="shared" si="56"/>
        <v>715.76596005328111</v>
      </c>
      <c r="BY45" s="198">
        <f t="shared" si="57"/>
        <v>757.61484567487628</v>
      </c>
      <c r="BZ45" s="198">
        <f t="shared" si="58"/>
        <v>802.12647404040058</v>
      </c>
      <c r="CB45" s="172" t="s">
        <v>614</v>
      </c>
      <c r="DS45" s="198">
        <f t="shared" si="59"/>
        <v>0</v>
      </c>
    </row>
    <row r="46" spans="1:123" s="172" customFormat="1">
      <c r="A46" s="57" t="s">
        <v>477</v>
      </c>
      <c r="B46" s="243" t="s">
        <v>280</v>
      </c>
      <c r="C46" s="58"/>
      <c r="D46" s="58"/>
      <c r="E46" s="58"/>
      <c r="F46" s="58"/>
      <c r="G46" s="23"/>
      <c r="H46" s="606"/>
      <c r="I46" s="606"/>
      <c r="J46" s="606"/>
      <c r="K46" s="607"/>
      <c r="L46" s="606"/>
      <c r="M46" s="625"/>
      <c r="N46" s="625"/>
      <c r="O46" s="625"/>
      <c r="P46" s="625"/>
      <c r="Q46" s="625"/>
      <c r="R46" s="625"/>
      <c r="S46" s="625"/>
      <c r="T46" s="625"/>
      <c r="U46" s="625"/>
      <c r="V46" s="625"/>
      <c r="W46" s="625"/>
      <c r="X46" s="625"/>
      <c r="Y46" s="171">
        <v>-117.996</v>
      </c>
      <c r="Z46" s="566">
        <f>BM46-Y46</f>
        <v>-126.37500000000001</v>
      </c>
      <c r="AA46" s="171">
        <v>-127.502</v>
      </c>
      <c r="AB46" s="566">
        <f>BN46-AA46</f>
        <v>-136.28100000000001</v>
      </c>
      <c r="AC46" s="171">
        <v>-134.61199999999999</v>
      </c>
      <c r="AD46" s="566">
        <f>BO46-AC46</f>
        <v>-138.21099999999998</v>
      </c>
      <c r="AE46" s="171">
        <v>-140.036</v>
      </c>
      <c r="AF46" s="566">
        <f t="shared" si="49"/>
        <v>-143.00900000000001</v>
      </c>
      <c r="AG46" s="171">
        <v>-139.50899999999999</v>
      </c>
      <c r="AH46" s="566">
        <f t="shared" si="50"/>
        <v>-152.85100000000003</v>
      </c>
      <c r="AI46" s="171">
        <v>-150.78399999999999</v>
      </c>
      <c r="AJ46" s="566">
        <f t="shared" si="51"/>
        <v>-152.21600000000001</v>
      </c>
      <c r="AK46" s="656">
        <v>-161.91499999999999</v>
      </c>
      <c r="AL46" s="656">
        <f t="shared" ref="AL46:AL51" si="67">BS46-AK46</f>
        <v>-175.482</v>
      </c>
      <c r="AM46" s="656">
        <v>-173.26400000000001</v>
      </c>
      <c r="AN46" s="656">
        <f t="shared" si="60"/>
        <v>-182.97499999999997</v>
      </c>
      <c r="AO46" s="656">
        <v>-188.709</v>
      </c>
      <c r="AP46" s="657">
        <f t="shared" si="52"/>
        <v>-191.40600000000001</v>
      </c>
      <c r="AQ46" s="658">
        <f t="shared" ref="AQ46:AZ46" si="68">AO46*(1+AQ60)</f>
        <v>-198.14445000000001</v>
      </c>
      <c r="AR46" s="658">
        <f t="shared" si="68"/>
        <v>-198.10521</v>
      </c>
      <c r="AS46" s="658">
        <f t="shared" si="68"/>
        <v>-210.033117</v>
      </c>
      <c r="AT46" s="658">
        <f t="shared" si="68"/>
        <v>-208.0104705</v>
      </c>
      <c r="AU46" s="658">
        <f t="shared" si="68"/>
        <v>-216.33411051000002</v>
      </c>
      <c r="AV46" s="658">
        <f t="shared" si="68"/>
        <v>-214.25078461500001</v>
      </c>
      <c r="AW46" s="658">
        <f t="shared" si="68"/>
        <v>-222.82413382530001</v>
      </c>
      <c r="AX46" s="658">
        <f t="shared" si="68"/>
        <v>-220.67830815345002</v>
      </c>
      <c r="AY46" s="658">
        <f t="shared" si="68"/>
        <v>-229.50885784005902</v>
      </c>
      <c r="AZ46" s="658">
        <f t="shared" si="68"/>
        <v>-227.29865739805354</v>
      </c>
      <c r="BA46" s="222"/>
      <c r="BB46" s="659"/>
      <c r="BC46" s="659"/>
      <c r="BD46" s="659"/>
      <c r="BE46" s="659"/>
      <c r="BF46" s="659"/>
      <c r="BG46" s="659"/>
      <c r="BH46" s="573"/>
      <c r="BI46" s="658"/>
      <c r="BJ46" s="658"/>
      <c r="BK46" s="658"/>
      <c r="BL46" s="664"/>
      <c r="BM46" s="171">
        <v>-244.37100000000001</v>
      </c>
      <c r="BN46" s="171">
        <v>-263.78300000000002</v>
      </c>
      <c r="BO46" s="171">
        <v>-272.82299999999998</v>
      </c>
      <c r="BP46" s="171">
        <v>-283.04500000000002</v>
      </c>
      <c r="BQ46" s="171">
        <v>-292.36</v>
      </c>
      <c r="BR46" s="171">
        <v>-303</v>
      </c>
      <c r="BS46" s="171">
        <v>-337.39699999999999</v>
      </c>
      <c r="BT46" s="171">
        <v>-356.23899999999998</v>
      </c>
      <c r="BU46" s="314">
        <v>-380.11500000000001</v>
      </c>
      <c r="BV46" s="196">
        <f t="shared" si="54"/>
        <v>-396.24966000000001</v>
      </c>
      <c r="BW46" s="196">
        <f t="shared" si="55"/>
        <v>-418.0435875</v>
      </c>
      <c r="BX46" s="196">
        <f t="shared" si="56"/>
        <v>-430.584895125</v>
      </c>
      <c r="BY46" s="196">
        <f t="shared" si="57"/>
        <v>-443.50244197875003</v>
      </c>
      <c r="BZ46" s="196">
        <f t="shared" si="58"/>
        <v>-456.80751523811256</v>
      </c>
      <c r="CB46" s="172" t="s">
        <v>614</v>
      </c>
      <c r="DS46" s="196">
        <f t="shared" si="59"/>
        <v>0</v>
      </c>
    </row>
    <row r="47" spans="1:123" s="179" customFormat="1">
      <c r="A47" s="57" t="s">
        <v>478</v>
      </c>
      <c r="B47" s="170" t="s">
        <v>281</v>
      </c>
      <c r="C47" s="91"/>
      <c r="D47" s="91"/>
      <c r="E47" s="91"/>
      <c r="F47" s="91"/>
      <c r="G47" s="28"/>
      <c r="H47" s="617"/>
      <c r="I47" s="617"/>
      <c r="J47" s="617"/>
      <c r="K47" s="618"/>
      <c r="L47" s="617"/>
      <c r="M47" s="620"/>
      <c r="N47" s="620"/>
      <c r="O47" s="620"/>
      <c r="P47" s="620"/>
      <c r="Q47" s="620"/>
      <c r="R47" s="620"/>
      <c r="S47" s="620"/>
      <c r="T47" s="620"/>
      <c r="U47" s="620"/>
      <c r="V47" s="620"/>
      <c r="W47" s="620"/>
      <c r="X47" s="620"/>
      <c r="Y47" s="200">
        <f>SUM(Y45:Y46)</f>
        <v>37.36</v>
      </c>
      <c r="Z47" s="183">
        <f>BM47-Y47</f>
        <v>55.030000000000015</v>
      </c>
      <c r="AA47" s="200">
        <f>SUM(AA45:AA46)</f>
        <v>40.713000000000008</v>
      </c>
      <c r="AB47" s="183">
        <f>BN47-AA47</f>
        <v>62.43299999999995</v>
      </c>
      <c r="AC47" s="200">
        <f t="shared" ref="AC47:AM47" si="69">SUM(AC45:AC46)</f>
        <v>44.981999999999999</v>
      </c>
      <c r="AD47" s="200">
        <f t="shared" si="69"/>
        <v>60.53400000000002</v>
      </c>
      <c r="AE47" s="200">
        <f t="shared" si="69"/>
        <v>47.915999999999997</v>
      </c>
      <c r="AF47" s="200">
        <f t="shared" si="69"/>
        <v>64.043999999999983</v>
      </c>
      <c r="AG47" s="200">
        <f t="shared" si="69"/>
        <v>65.951000000000022</v>
      </c>
      <c r="AH47" s="200">
        <f t="shared" si="69"/>
        <v>70.871999999999957</v>
      </c>
      <c r="AI47" s="200">
        <f t="shared" si="69"/>
        <v>68.199000000000012</v>
      </c>
      <c r="AJ47" s="200">
        <f t="shared" si="69"/>
        <v>86.012</v>
      </c>
      <c r="AK47" s="667">
        <f t="shared" si="69"/>
        <v>87.78400000000002</v>
      </c>
      <c r="AL47" s="667">
        <f t="shared" si="67"/>
        <v>94.525000000000006</v>
      </c>
      <c r="AM47" s="667">
        <f t="shared" si="69"/>
        <v>101.51299999999998</v>
      </c>
      <c r="AN47" s="667">
        <f t="shared" si="60"/>
        <v>105.91700000000003</v>
      </c>
      <c r="AO47" s="667">
        <f t="shared" ref="AO47" si="70">SUM(AO45:AO46)</f>
        <v>113.93799999999999</v>
      </c>
      <c r="AP47" s="666">
        <f t="shared" si="52"/>
        <v>117.06399999999996</v>
      </c>
      <c r="AQ47" s="667">
        <f t="shared" ref="AQ47:AZ47" si="71">AQ45+AQ46</f>
        <v>117.46064999999993</v>
      </c>
      <c r="AR47" s="667">
        <f t="shared" si="71"/>
        <v>127.46368999999999</v>
      </c>
      <c r="AS47" s="667">
        <f t="shared" si="71"/>
        <v>122.65968859999992</v>
      </c>
      <c r="AT47" s="667">
        <f t="shared" si="71"/>
        <v>136.03128046250004</v>
      </c>
      <c r="AU47" s="667">
        <f t="shared" si="71"/>
        <v>135.09070992972488</v>
      </c>
      <c r="AV47" s="667">
        <f t="shared" si="71"/>
        <v>150.09035499855625</v>
      </c>
      <c r="AW47" s="667">
        <f t="shared" si="71"/>
        <v>148.85876369590909</v>
      </c>
      <c r="AX47" s="667">
        <f t="shared" si="71"/>
        <v>165.25364000021716</v>
      </c>
      <c r="AY47" s="667">
        <f t="shared" si="71"/>
        <v>163.71873316101409</v>
      </c>
      <c r="AZ47" s="667">
        <f t="shared" si="71"/>
        <v>181.60022564127394</v>
      </c>
      <c r="BA47" s="223"/>
      <c r="BB47" s="668"/>
      <c r="BC47" s="668"/>
      <c r="BD47" s="668"/>
      <c r="BE47" s="668"/>
      <c r="BF47" s="668"/>
      <c r="BG47" s="668"/>
      <c r="BH47" s="598"/>
      <c r="BI47" s="667"/>
      <c r="BJ47" s="667"/>
      <c r="BK47" s="667"/>
      <c r="BL47" s="660"/>
      <c r="BM47" s="200">
        <f t="shared" ref="BM47:BU47" si="72">SUM(BM45:BM46)</f>
        <v>92.390000000000015</v>
      </c>
      <c r="BN47" s="200">
        <f t="shared" si="72"/>
        <v>103.14599999999996</v>
      </c>
      <c r="BO47" s="200">
        <f t="shared" si="72"/>
        <v>105.51600000000002</v>
      </c>
      <c r="BP47" s="200">
        <f t="shared" si="72"/>
        <v>111.95999999999998</v>
      </c>
      <c r="BQ47" s="200">
        <f t="shared" si="72"/>
        <v>136.82299999999998</v>
      </c>
      <c r="BR47" s="200">
        <f t="shared" si="72"/>
        <v>154.21100000000001</v>
      </c>
      <c r="BS47" s="200">
        <f t="shared" si="72"/>
        <v>182.30900000000003</v>
      </c>
      <c r="BT47" s="200">
        <f t="shared" si="72"/>
        <v>207.43</v>
      </c>
      <c r="BU47" s="463">
        <f t="shared" si="72"/>
        <v>231.00199999999995</v>
      </c>
      <c r="BV47" s="198">
        <f t="shared" si="54"/>
        <v>244.92433999999992</v>
      </c>
      <c r="BW47" s="198">
        <f t="shared" si="55"/>
        <v>258.69096906249996</v>
      </c>
      <c r="BX47" s="198">
        <f t="shared" si="56"/>
        <v>285.1810649282811</v>
      </c>
      <c r="BY47" s="198">
        <f t="shared" si="57"/>
        <v>314.11240369612625</v>
      </c>
      <c r="BZ47" s="198">
        <f t="shared" si="58"/>
        <v>345.31895880228802</v>
      </c>
      <c r="CB47" s="179" t="s">
        <v>609</v>
      </c>
      <c r="DS47" s="198">
        <f t="shared" si="59"/>
        <v>0</v>
      </c>
    </row>
    <row r="48" spans="1:123" s="179" customFormat="1">
      <c r="A48" s="57" t="s">
        <v>569</v>
      </c>
      <c r="B48" s="243" t="s">
        <v>348</v>
      </c>
      <c r="C48" s="91"/>
      <c r="D48" s="91"/>
      <c r="E48" s="91"/>
      <c r="F48" s="91"/>
      <c r="G48" s="28"/>
      <c r="H48" s="617"/>
      <c r="I48" s="617"/>
      <c r="J48" s="617"/>
      <c r="K48" s="618"/>
      <c r="L48" s="617"/>
      <c r="M48" s="620"/>
      <c r="N48" s="620"/>
      <c r="O48" s="620"/>
      <c r="P48" s="620"/>
      <c r="Q48" s="620"/>
      <c r="R48" s="620"/>
      <c r="S48" s="620"/>
      <c r="T48" s="620"/>
      <c r="U48" s="620"/>
      <c r="V48" s="620"/>
      <c r="W48" s="620"/>
      <c r="X48" s="620"/>
      <c r="Y48" s="168">
        <f t="shared" ref="Y48:AM48" si="73">Y49-Y47</f>
        <v>-1.7049999999999983</v>
      </c>
      <c r="Z48" s="168">
        <f t="shared" si="73"/>
        <v>-2.0370000000000203</v>
      </c>
      <c r="AA48" s="168">
        <f t="shared" si="73"/>
        <v>-1.9930000000000092</v>
      </c>
      <c r="AB48" s="168">
        <f t="shared" si="73"/>
        <v>-2.0689999999999458</v>
      </c>
      <c r="AC48" s="168">
        <f t="shared" si="73"/>
        <v>-2.1539999999999964</v>
      </c>
      <c r="AD48" s="168">
        <f t="shared" si="73"/>
        <v>-2.4500000000000171</v>
      </c>
      <c r="AE48" s="168">
        <f t="shared" si="73"/>
        <v>-2.9969999999999999</v>
      </c>
      <c r="AF48" s="168">
        <f t="shared" si="73"/>
        <v>-1.1989999999999839</v>
      </c>
      <c r="AG48" s="168">
        <f t="shared" si="73"/>
        <v>-1.5710000000000264</v>
      </c>
      <c r="AH48" s="168">
        <f t="shared" si="73"/>
        <v>-1.3539999999999566</v>
      </c>
      <c r="AI48" s="168">
        <f t="shared" si="73"/>
        <v>-1.1530000000000058</v>
      </c>
      <c r="AJ48" s="168">
        <f t="shared" si="73"/>
        <v>-1.3730000000000047</v>
      </c>
      <c r="AK48" s="173">
        <f t="shared" si="73"/>
        <v>-1.7730000000000246</v>
      </c>
      <c r="AL48" s="173">
        <f t="shared" si="67"/>
        <v>-2.9120000000000061</v>
      </c>
      <c r="AM48" s="173">
        <f t="shared" si="73"/>
        <v>-3.3149999999999835</v>
      </c>
      <c r="AN48" s="168">
        <f t="shared" si="60"/>
        <v>-4.0800000000000267</v>
      </c>
      <c r="AO48" s="173">
        <f t="shared" ref="AO48" si="74">AO49-AO47</f>
        <v>-4.5159999999999911</v>
      </c>
      <c r="AP48" s="302">
        <f t="shared" si="52"/>
        <v>-4.1289999999999623</v>
      </c>
      <c r="AQ48" s="662">
        <v>-4</v>
      </c>
      <c r="AR48" s="662">
        <v>-4</v>
      </c>
      <c r="AS48" s="662">
        <v>-4</v>
      </c>
      <c r="AT48" s="662">
        <v>-4</v>
      </c>
      <c r="AU48" s="662">
        <v>-4</v>
      </c>
      <c r="AV48" s="662">
        <v>-4</v>
      </c>
      <c r="AW48" s="662">
        <v>-4</v>
      </c>
      <c r="AX48" s="662">
        <v>-4</v>
      </c>
      <c r="AY48" s="662">
        <v>-4</v>
      </c>
      <c r="AZ48" s="662">
        <v>-4</v>
      </c>
      <c r="BA48" s="223"/>
      <c r="BB48" s="668"/>
      <c r="BC48" s="668"/>
      <c r="BD48" s="668"/>
      <c r="BE48" s="668"/>
      <c r="BF48" s="668"/>
      <c r="BG48" s="668"/>
      <c r="BH48" s="598"/>
      <c r="BI48" s="667"/>
      <c r="BJ48" s="667"/>
      <c r="BK48" s="667"/>
      <c r="BL48" s="660"/>
      <c r="BM48" s="168">
        <f>BM49-BM47</f>
        <v>-3.7420000000000186</v>
      </c>
      <c r="BN48" s="168">
        <f t="shared" ref="BN48:BZ48" si="75">BN49-BN47</f>
        <v>-4.061999999999955</v>
      </c>
      <c r="BO48" s="168">
        <f t="shared" si="75"/>
        <v>-4.6040000000000134</v>
      </c>
      <c r="BP48" s="168">
        <f t="shared" si="75"/>
        <v>-4.1959999999999837</v>
      </c>
      <c r="BQ48" s="168">
        <f t="shared" si="75"/>
        <v>-2.9249999999999829</v>
      </c>
      <c r="BR48" s="168">
        <f t="shared" si="75"/>
        <v>-2.5260000000000105</v>
      </c>
      <c r="BS48" s="168">
        <f t="shared" si="75"/>
        <v>-4.6850000000000307</v>
      </c>
      <c r="BT48" s="168">
        <f t="shared" si="75"/>
        <v>-7.3950000000000102</v>
      </c>
      <c r="BU48" s="302">
        <f t="shared" si="75"/>
        <v>-8.6449999999999534</v>
      </c>
      <c r="BV48" s="168">
        <f t="shared" si="75"/>
        <v>-8</v>
      </c>
      <c r="BW48" s="168">
        <f t="shared" si="75"/>
        <v>-8</v>
      </c>
      <c r="BX48" s="168">
        <f t="shared" si="75"/>
        <v>-8</v>
      </c>
      <c r="BY48" s="168">
        <f t="shared" si="75"/>
        <v>-8</v>
      </c>
      <c r="BZ48" s="168">
        <f t="shared" si="75"/>
        <v>-8</v>
      </c>
      <c r="CB48" s="179" t="s">
        <v>609</v>
      </c>
      <c r="DS48" s="168">
        <f t="shared" ref="DS48" si="76">DS49-DS47</f>
        <v>0</v>
      </c>
    </row>
    <row r="49" spans="1:123" s="179" customFormat="1">
      <c r="A49" s="57" t="s">
        <v>570</v>
      </c>
      <c r="B49" s="170" t="s">
        <v>176</v>
      </c>
      <c r="C49" s="91"/>
      <c r="D49" s="91"/>
      <c r="E49" s="91"/>
      <c r="F49" s="91"/>
      <c r="G49" s="28"/>
      <c r="H49" s="617"/>
      <c r="I49" s="617"/>
      <c r="J49" s="617"/>
      <c r="K49" s="618"/>
      <c r="L49" s="617"/>
      <c r="M49" s="620"/>
      <c r="N49" s="620"/>
      <c r="O49" s="620"/>
      <c r="P49" s="620"/>
      <c r="Q49" s="620"/>
      <c r="R49" s="620"/>
      <c r="S49" s="620"/>
      <c r="T49" s="620"/>
      <c r="U49" s="620"/>
      <c r="V49" s="620"/>
      <c r="W49" s="620"/>
      <c r="X49" s="620"/>
      <c r="Y49" s="207">
        <v>35.655000000000001</v>
      </c>
      <c r="Z49" s="183">
        <f>BM49-Y49</f>
        <v>52.992999999999995</v>
      </c>
      <c r="AA49" s="207">
        <v>38.72</v>
      </c>
      <c r="AB49" s="183">
        <f>BN49-AA49</f>
        <v>60.364000000000004</v>
      </c>
      <c r="AC49" s="207">
        <v>42.828000000000003</v>
      </c>
      <c r="AD49" s="183">
        <f>BO49-AC49</f>
        <v>58.084000000000003</v>
      </c>
      <c r="AE49" s="207">
        <v>44.918999999999997</v>
      </c>
      <c r="AF49" s="183">
        <f>BP49-AE49</f>
        <v>62.844999999999999</v>
      </c>
      <c r="AG49" s="207">
        <v>64.38</v>
      </c>
      <c r="AH49" s="183">
        <f>BQ49-AG49</f>
        <v>69.518000000000001</v>
      </c>
      <c r="AI49" s="207">
        <v>67.046000000000006</v>
      </c>
      <c r="AJ49" s="183">
        <f>BR49-AI49</f>
        <v>84.638999999999996</v>
      </c>
      <c r="AK49" s="665">
        <v>86.010999999999996</v>
      </c>
      <c r="AL49" s="665">
        <f t="shared" si="67"/>
        <v>91.613</v>
      </c>
      <c r="AM49" s="665">
        <v>98.197999999999993</v>
      </c>
      <c r="AN49" s="665">
        <f t="shared" si="60"/>
        <v>101.837</v>
      </c>
      <c r="AO49" s="665">
        <v>109.422</v>
      </c>
      <c r="AP49" s="666">
        <f t="shared" si="52"/>
        <v>112.935</v>
      </c>
      <c r="AQ49" s="667">
        <f t="shared" ref="AQ49:AZ49" si="77">SUM(AQ47:AQ48)</f>
        <v>113.46064999999993</v>
      </c>
      <c r="AR49" s="667">
        <f t="shared" si="77"/>
        <v>123.46368999999999</v>
      </c>
      <c r="AS49" s="667">
        <f t="shared" si="77"/>
        <v>118.65968859999992</v>
      </c>
      <c r="AT49" s="667">
        <f t="shared" si="77"/>
        <v>132.03128046250004</v>
      </c>
      <c r="AU49" s="667">
        <f t="shared" si="77"/>
        <v>131.09070992972488</v>
      </c>
      <c r="AV49" s="667">
        <f t="shared" si="77"/>
        <v>146.09035499855625</v>
      </c>
      <c r="AW49" s="667">
        <f t="shared" si="77"/>
        <v>144.85876369590909</v>
      </c>
      <c r="AX49" s="667">
        <f t="shared" si="77"/>
        <v>161.25364000021716</v>
      </c>
      <c r="AY49" s="667">
        <f t="shared" si="77"/>
        <v>159.71873316101409</v>
      </c>
      <c r="AZ49" s="667">
        <f t="shared" si="77"/>
        <v>177.60022564127394</v>
      </c>
      <c r="BA49" s="223"/>
      <c r="BB49" s="668"/>
      <c r="BC49" s="668"/>
      <c r="BD49" s="668"/>
      <c r="BE49" s="668"/>
      <c r="BF49" s="668"/>
      <c r="BG49" s="668"/>
      <c r="BH49" s="598"/>
      <c r="BI49" s="667"/>
      <c r="BJ49" s="667"/>
      <c r="BK49" s="667"/>
      <c r="BL49" s="660"/>
      <c r="BM49" s="207">
        <v>88.647999999999996</v>
      </c>
      <c r="BN49" s="207">
        <v>99.084000000000003</v>
      </c>
      <c r="BO49" s="207">
        <v>100.91200000000001</v>
      </c>
      <c r="BP49" s="207">
        <v>107.764</v>
      </c>
      <c r="BQ49" s="207">
        <v>133.898</v>
      </c>
      <c r="BR49" s="207">
        <v>151.685</v>
      </c>
      <c r="BS49" s="207">
        <v>177.624</v>
      </c>
      <c r="BT49" s="207">
        <v>200.035</v>
      </c>
      <c r="BU49" s="315">
        <v>222.357</v>
      </c>
      <c r="BV49" s="198">
        <f>SUM(AQ49:AR49)</f>
        <v>236.92433999999992</v>
      </c>
      <c r="BW49" s="198">
        <f>SUM(AS49:AT49)</f>
        <v>250.69096906249996</v>
      </c>
      <c r="BX49" s="198">
        <f>SUM(AU49:AV49)</f>
        <v>277.1810649282811</v>
      </c>
      <c r="BY49" s="198">
        <f>SUM(AW49:AX49)</f>
        <v>306.11240369612625</v>
      </c>
      <c r="BZ49" s="198">
        <f>SUM(AY49:AZ49)</f>
        <v>337.31895880228802</v>
      </c>
      <c r="CB49" s="172" t="s">
        <v>614</v>
      </c>
      <c r="DS49" s="198">
        <f>SUM(CU49:CV49)</f>
        <v>0</v>
      </c>
    </row>
    <row r="50" spans="1:123" s="172" customFormat="1">
      <c r="A50" s="57" t="s">
        <v>571</v>
      </c>
      <c r="B50" s="243" t="s">
        <v>285</v>
      </c>
      <c r="C50" s="58"/>
      <c r="D50" s="58"/>
      <c r="E50" s="58"/>
      <c r="F50" s="58"/>
      <c r="G50" s="23"/>
      <c r="H50" s="606"/>
      <c r="I50" s="606"/>
      <c r="J50" s="606"/>
      <c r="K50" s="607"/>
      <c r="L50" s="606"/>
      <c r="M50" s="625"/>
      <c r="N50" s="625"/>
      <c r="O50" s="625"/>
      <c r="P50" s="625"/>
      <c r="Q50" s="625"/>
      <c r="R50" s="625"/>
      <c r="S50" s="625"/>
      <c r="T50" s="625"/>
      <c r="U50" s="625"/>
      <c r="V50" s="625"/>
      <c r="W50" s="625"/>
      <c r="X50" s="625"/>
      <c r="Y50" s="168">
        <f>-(Y49-Y51)</f>
        <v>-17.266000000000002</v>
      </c>
      <c r="Z50" s="566">
        <f>BM50-Y50</f>
        <v>-24.608999999999991</v>
      </c>
      <c r="AA50" s="168">
        <f>-(AA49-AA51)</f>
        <v>-19.616</v>
      </c>
      <c r="AB50" s="566">
        <f>BN50-AA50</f>
        <v>-27.032000000000004</v>
      </c>
      <c r="AC50" s="168">
        <f t="shared" ref="AC50:AP50" si="78">-(AC49-AC51)</f>
        <v>-21.018000000000004</v>
      </c>
      <c r="AD50" s="168">
        <f t="shared" si="78"/>
        <v>-25.676000000000002</v>
      </c>
      <c r="AE50" s="168">
        <f t="shared" si="78"/>
        <v>-20.362999999999996</v>
      </c>
      <c r="AF50" s="168">
        <f t="shared" si="78"/>
        <v>-28.310999999999993</v>
      </c>
      <c r="AG50" s="168">
        <f t="shared" si="78"/>
        <v>-29.398999999999994</v>
      </c>
      <c r="AH50" s="168">
        <f t="shared" si="78"/>
        <v>-32.533000000000008</v>
      </c>
      <c r="AI50" s="168">
        <f t="shared" si="78"/>
        <v>-28.734000000000009</v>
      </c>
      <c r="AJ50" s="168">
        <f t="shared" si="78"/>
        <v>-36.801999999999992</v>
      </c>
      <c r="AK50" s="669">
        <f t="shared" si="78"/>
        <v>-36.107999999999997</v>
      </c>
      <c r="AL50" s="669">
        <f t="shared" si="78"/>
        <v>-36.764000000000003</v>
      </c>
      <c r="AM50" s="669">
        <f t="shared" si="78"/>
        <v>-39.138999999999996</v>
      </c>
      <c r="AN50" s="669">
        <f t="shared" si="78"/>
        <v>-40.734999999999999</v>
      </c>
      <c r="AO50" s="669">
        <f t="shared" si="78"/>
        <v>-43.558999999999997</v>
      </c>
      <c r="AP50" s="670">
        <f t="shared" si="78"/>
        <v>-43.213999999999999</v>
      </c>
      <c r="AQ50" s="658">
        <f>AQ61*AQ49</f>
        <v>-42.547743749999974</v>
      </c>
      <c r="AR50" s="658">
        <f t="shared" ref="AR50:AZ50" si="79">AR61*AR49</f>
        <v>-46.298883749999995</v>
      </c>
      <c r="AS50" s="658">
        <f t="shared" si="79"/>
        <v>-44.497383224999972</v>
      </c>
      <c r="AT50" s="658">
        <f t="shared" si="79"/>
        <v>-49.511730173437513</v>
      </c>
      <c r="AU50" s="658">
        <f t="shared" si="79"/>
        <v>-49.15901622364683</v>
      </c>
      <c r="AV50" s="658">
        <f t="shared" si="79"/>
        <v>-54.783883124458598</v>
      </c>
      <c r="AW50" s="658">
        <f t="shared" si="79"/>
        <v>-54.322036385965909</v>
      </c>
      <c r="AX50" s="658">
        <f t="shared" si="79"/>
        <v>-60.470115000081435</v>
      </c>
      <c r="AY50" s="658">
        <f t="shared" si="79"/>
        <v>-59.894524935380282</v>
      </c>
      <c r="AZ50" s="658">
        <f t="shared" si="79"/>
        <v>-66.600084615477726</v>
      </c>
      <c r="BA50" s="222"/>
      <c r="BB50" s="659"/>
      <c r="BC50" s="659"/>
      <c r="BD50" s="659"/>
      <c r="BE50" s="659"/>
      <c r="BF50" s="659"/>
      <c r="BG50" s="659"/>
      <c r="BH50" s="573"/>
      <c r="BI50" s="658"/>
      <c r="BJ50" s="658"/>
      <c r="BK50" s="658"/>
      <c r="BL50" s="664"/>
      <c r="BM50" s="168">
        <f t="shared" ref="BM50:BU50" si="80">-(BM49-BM51)</f>
        <v>-41.874999999999993</v>
      </c>
      <c r="BN50" s="168">
        <f t="shared" si="80"/>
        <v>-46.648000000000003</v>
      </c>
      <c r="BO50" s="168">
        <f t="shared" si="80"/>
        <v>-46.694000000000003</v>
      </c>
      <c r="BP50" s="168">
        <f t="shared" si="80"/>
        <v>-48.673999999999992</v>
      </c>
      <c r="BQ50" s="168">
        <f t="shared" si="80"/>
        <v>-61.932000000000002</v>
      </c>
      <c r="BR50" s="168">
        <f t="shared" si="80"/>
        <v>-65.536000000000001</v>
      </c>
      <c r="BS50" s="168">
        <f t="shared" si="80"/>
        <v>-72.872</v>
      </c>
      <c r="BT50" s="168">
        <f t="shared" si="80"/>
        <v>-79.873999999999995</v>
      </c>
      <c r="BU50" s="302">
        <f t="shared" si="80"/>
        <v>-86.772999999999996</v>
      </c>
      <c r="BV50" s="196">
        <f>SUM(AQ50:AR50)</f>
        <v>-88.846627499999968</v>
      </c>
      <c r="BW50" s="196">
        <f>SUM(AS50:AT50)</f>
        <v>-94.009113398437478</v>
      </c>
      <c r="BX50" s="196">
        <f>SUM(AU50:AV50)</f>
        <v>-103.94289934810543</v>
      </c>
      <c r="BY50" s="196">
        <f>SUM(AW50:AX50)</f>
        <v>-114.79215138604735</v>
      </c>
      <c r="BZ50" s="196">
        <f>SUM(AY50:AZ50)</f>
        <v>-126.494609550858</v>
      </c>
      <c r="CB50" s="179" t="s">
        <v>609</v>
      </c>
      <c r="DS50" s="196">
        <f>SUM(CU50:CV50)</f>
        <v>0</v>
      </c>
    </row>
    <row r="51" spans="1:123" s="179" customFormat="1">
      <c r="A51" s="270" t="s">
        <v>470</v>
      </c>
      <c r="B51" s="170" t="s">
        <v>282</v>
      </c>
      <c r="C51" s="91"/>
      <c r="D51" s="91"/>
      <c r="E51" s="91"/>
      <c r="F51" s="91"/>
      <c r="G51" s="28"/>
      <c r="H51" s="617"/>
      <c r="I51" s="617"/>
      <c r="J51" s="617"/>
      <c r="K51" s="618"/>
      <c r="L51" s="617"/>
      <c r="M51" s="620"/>
      <c r="N51" s="620"/>
      <c r="O51" s="620"/>
      <c r="P51" s="620"/>
      <c r="Q51" s="620"/>
      <c r="R51" s="620"/>
      <c r="S51" s="620"/>
      <c r="T51" s="620"/>
      <c r="U51" s="620"/>
      <c r="V51" s="620"/>
      <c r="W51" s="620"/>
      <c r="X51" s="620"/>
      <c r="Y51" s="207">
        <v>18.388999999999999</v>
      </c>
      <c r="Z51" s="183">
        <f>BM51-Y51</f>
        <v>28.384000000000004</v>
      </c>
      <c r="AA51" s="207">
        <v>19.103999999999999</v>
      </c>
      <c r="AB51" s="183">
        <f>BN51-AA51</f>
        <v>33.332000000000001</v>
      </c>
      <c r="AC51" s="207">
        <v>21.81</v>
      </c>
      <c r="AD51" s="183">
        <f>BO51-AC51</f>
        <v>32.408000000000001</v>
      </c>
      <c r="AE51" s="207">
        <v>24.556000000000001</v>
      </c>
      <c r="AF51" s="183">
        <f>BP51-AE51</f>
        <v>34.534000000000006</v>
      </c>
      <c r="AG51" s="207">
        <v>34.981000000000002</v>
      </c>
      <c r="AH51" s="183">
        <f>BQ51-AG51</f>
        <v>36.984999999999992</v>
      </c>
      <c r="AI51" s="207">
        <v>38.311999999999998</v>
      </c>
      <c r="AJ51" s="183">
        <f>BR51-AI51</f>
        <v>47.837000000000003</v>
      </c>
      <c r="AK51" s="665">
        <v>49.902999999999999</v>
      </c>
      <c r="AL51" s="665">
        <f t="shared" si="67"/>
        <v>54.848999999999997</v>
      </c>
      <c r="AM51" s="665">
        <v>59.058999999999997</v>
      </c>
      <c r="AN51" s="665">
        <f>BT51-AM51</f>
        <v>61.102000000000004</v>
      </c>
      <c r="AO51" s="665">
        <v>65.863</v>
      </c>
      <c r="AP51" s="666">
        <f>BU51-AO51</f>
        <v>69.721000000000004</v>
      </c>
      <c r="AQ51" s="667">
        <f t="shared" ref="AQ51:AZ51" si="81">SUM(AQ49:AQ50)</f>
        <v>70.912906249999963</v>
      </c>
      <c r="AR51" s="667">
        <f t="shared" si="81"/>
        <v>77.164806249999998</v>
      </c>
      <c r="AS51" s="667">
        <f t="shared" si="81"/>
        <v>74.16230537499996</v>
      </c>
      <c r="AT51" s="667">
        <f t="shared" si="81"/>
        <v>82.519550289062522</v>
      </c>
      <c r="AU51" s="667">
        <f t="shared" si="81"/>
        <v>81.93169370607805</v>
      </c>
      <c r="AV51" s="667">
        <f t="shared" si="81"/>
        <v>91.306471874097653</v>
      </c>
      <c r="AW51" s="667">
        <f t="shared" si="81"/>
        <v>90.536727309943188</v>
      </c>
      <c r="AX51" s="667">
        <f t="shared" si="81"/>
        <v>100.78352500013573</v>
      </c>
      <c r="AY51" s="667">
        <f t="shared" si="81"/>
        <v>99.824208225633811</v>
      </c>
      <c r="AZ51" s="667">
        <f t="shared" si="81"/>
        <v>111.00014102579621</v>
      </c>
      <c r="BA51" s="223"/>
      <c r="BB51" s="668"/>
      <c r="BC51" s="668"/>
      <c r="BD51" s="668"/>
      <c r="BE51" s="668"/>
      <c r="BF51" s="668"/>
      <c r="BG51" s="668"/>
      <c r="BH51" s="598"/>
      <c r="BI51" s="667"/>
      <c r="BJ51" s="667"/>
      <c r="BK51" s="667"/>
      <c r="BL51" s="660"/>
      <c r="BM51" s="207">
        <v>46.773000000000003</v>
      </c>
      <c r="BN51" s="207">
        <v>52.436</v>
      </c>
      <c r="BO51" s="207">
        <v>54.218000000000004</v>
      </c>
      <c r="BP51" s="207">
        <v>59.09</v>
      </c>
      <c r="BQ51" s="207">
        <v>71.965999999999994</v>
      </c>
      <c r="BR51" s="207">
        <v>86.149000000000001</v>
      </c>
      <c r="BS51" s="207">
        <v>104.752</v>
      </c>
      <c r="BT51" s="207">
        <v>120.161</v>
      </c>
      <c r="BU51" s="315">
        <v>135.584</v>
      </c>
      <c r="BV51" s="198">
        <f>SUM(AQ51:AR51)</f>
        <v>148.07771249999996</v>
      </c>
      <c r="BW51" s="198">
        <f>SUM(AS51:AT51)</f>
        <v>156.68185566406248</v>
      </c>
      <c r="BX51" s="198">
        <f>SUM(AU51:AV51)</f>
        <v>173.23816558017569</v>
      </c>
      <c r="BY51" s="198">
        <f>SUM(AW51:AX51)</f>
        <v>191.3202523100789</v>
      </c>
      <c r="BZ51" s="198">
        <f>SUM(AY51:AZ51)</f>
        <v>210.82434925143002</v>
      </c>
      <c r="CB51" s="172" t="s">
        <v>614</v>
      </c>
      <c r="DS51" s="198">
        <f>SUM(CU51:CV51)</f>
        <v>0</v>
      </c>
    </row>
    <row r="52" spans="1:123" s="179" customFormat="1">
      <c r="A52" s="270"/>
      <c r="B52" s="170"/>
      <c r="C52" s="91"/>
      <c r="D52" s="91"/>
      <c r="E52" s="91"/>
      <c r="F52" s="91"/>
      <c r="G52" s="28"/>
      <c r="H52" s="617"/>
      <c r="I52" s="617"/>
      <c r="J52" s="617"/>
      <c r="K52" s="618"/>
      <c r="L52" s="617"/>
      <c r="M52" s="620"/>
      <c r="N52" s="620"/>
      <c r="O52" s="620"/>
      <c r="P52" s="620"/>
      <c r="Q52" s="620"/>
      <c r="R52" s="620"/>
      <c r="S52" s="620"/>
      <c r="T52" s="620"/>
      <c r="U52" s="620"/>
      <c r="V52" s="620"/>
      <c r="W52" s="620"/>
      <c r="X52" s="620"/>
      <c r="Y52" s="207"/>
      <c r="Z52" s="183"/>
      <c r="AA52" s="207"/>
      <c r="AB52" s="183"/>
      <c r="AC52" s="207"/>
      <c r="AD52" s="183"/>
      <c r="AE52" s="207"/>
      <c r="AF52" s="183"/>
      <c r="AG52" s="207"/>
      <c r="AH52" s="183"/>
      <c r="AI52" s="671">
        <f>AI51/SUM(AI51:AJ51)</f>
        <v>0.44471787252318656</v>
      </c>
      <c r="AJ52" s="672"/>
      <c r="AK52" s="671">
        <f>AK51/SUM(AK51:AL51)</f>
        <v>0.47639185886665647</v>
      </c>
      <c r="AL52" s="673"/>
      <c r="AM52" s="671">
        <f>AM51/SUM(AM51:AN51)</f>
        <v>0.49149890563493975</v>
      </c>
      <c r="AN52" s="673"/>
      <c r="AO52" s="671">
        <f>AO51/SUM(AO51:AP51)</f>
        <v>0.48577265754071275</v>
      </c>
      <c r="AP52" s="674"/>
      <c r="AQ52" s="667"/>
      <c r="AR52" s="667"/>
      <c r="AS52" s="667"/>
      <c r="AT52" s="667"/>
      <c r="AU52" s="667"/>
      <c r="AV52" s="667"/>
      <c r="AW52" s="667"/>
      <c r="AX52" s="667"/>
      <c r="AY52" s="667"/>
      <c r="AZ52" s="667"/>
      <c r="BA52" s="223"/>
      <c r="BB52" s="668"/>
      <c r="BC52" s="668"/>
      <c r="BD52" s="668"/>
      <c r="BE52" s="668"/>
      <c r="BF52" s="668"/>
      <c r="BG52" s="668"/>
      <c r="BH52" s="598"/>
      <c r="BI52" s="667"/>
      <c r="BJ52" s="667"/>
      <c r="BK52" s="667"/>
      <c r="BL52" s="660"/>
      <c r="BM52" s="207"/>
      <c r="BN52" s="207"/>
      <c r="BO52" s="207"/>
      <c r="BP52" s="207"/>
      <c r="BQ52" s="207"/>
      <c r="BR52" s="207"/>
      <c r="BS52" s="207"/>
      <c r="BT52" s="198"/>
      <c r="BU52" s="501"/>
      <c r="BV52" s="198"/>
      <c r="BW52" s="198"/>
      <c r="BX52" s="198"/>
      <c r="BY52" s="198"/>
      <c r="BZ52" s="198"/>
      <c r="DS52" s="198"/>
    </row>
    <row r="53" spans="1:123" s="179" customFormat="1">
      <c r="A53" s="270"/>
      <c r="B53" s="355" t="s">
        <v>550</v>
      </c>
      <c r="C53" s="91"/>
      <c r="D53" s="91"/>
      <c r="E53" s="91"/>
      <c r="F53" s="91"/>
      <c r="G53" s="28"/>
      <c r="H53" s="617"/>
      <c r="I53" s="617"/>
      <c r="J53" s="617"/>
      <c r="K53" s="618"/>
      <c r="L53" s="617"/>
      <c r="M53" s="620"/>
      <c r="N53" s="620"/>
      <c r="O53" s="620"/>
      <c r="P53" s="620"/>
      <c r="Q53" s="620"/>
      <c r="R53" s="620"/>
      <c r="S53" s="620"/>
      <c r="T53" s="620"/>
      <c r="U53" s="620"/>
      <c r="V53" s="620"/>
      <c r="W53" s="620"/>
      <c r="X53" s="620"/>
      <c r="Y53" s="207"/>
      <c r="Z53" s="183"/>
      <c r="AA53" s="207"/>
      <c r="AB53" s="183"/>
      <c r="AC53" s="207"/>
      <c r="AD53" s="183"/>
      <c r="AE53" s="207"/>
      <c r="AF53" s="183"/>
      <c r="AG53" s="207"/>
      <c r="AH53" s="183"/>
      <c r="AI53" s="207"/>
      <c r="AJ53" s="183"/>
      <c r="AK53" s="667"/>
      <c r="AL53" s="667"/>
      <c r="AM53" s="667"/>
      <c r="AN53" s="667"/>
      <c r="AO53" s="667"/>
      <c r="AP53" s="666"/>
      <c r="AQ53" s="667"/>
      <c r="AR53" s="667"/>
      <c r="AS53" s="667"/>
      <c r="AT53" s="667"/>
      <c r="AU53" s="667"/>
      <c r="AV53" s="667"/>
      <c r="AW53" s="667"/>
      <c r="AX53" s="667"/>
      <c r="AY53" s="667"/>
      <c r="AZ53" s="667"/>
      <c r="BA53" s="223"/>
      <c r="BB53" s="668"/>
      <c r="BC53" s="668"/>
      <c r="BD53" s="668"/>
      <c r="BE53" s="668"/>
      <c r="BF53" s="668"/>
      <c r="BG53" s="668"/>
      <c r="BH53" s="598"/>
      <c r="BI53" s="667"/>
      <c r="BJ53" s="667"/>
      <c r="BK53" s="667"/>
      <c r="BL53" s="660"/>
      <c r="BM53" s="207"/>
      <c r="BN53" s="207"/>
      <c r="BO53" s="207"/>
      <c r="BP53" s="207"/>
      <c r="BQ53" s="207"/>
      <c r="BR53" s="207"/>
      <c r="BS53" s="207"/>
      <c r="BT53" s="198"/>
      <c r="BU53" s="501"/>
      <c r="BV53" s="198"/>
      <c r="BW53" s="198"/>
      <c r="BX53" s="198"/>
      <c r="BY53" s="198"/>
      <c r="BZ53" s="198"/>
      <c r="DS53" s="198"/>
    </row>
    <row r="54" spans="1:123" s="341" customFormat="1">
      <c r="A54" s="338"/>
      <c r="B54" s="339" t="s">
        <v>545</v>
      </c>
      <c r="C54" s="340"/>
      <c r="D54" s="340"/>
      <c r="E54" s="340"/>
      <c r="F54" s="340"/>
      <c r="H54" s="342"/>
      <c r="I54" s="342"/>
      <c r="J54" s="342"/>
      <c r="K54" s="343"/>
      <c r="L54" s="342"/>
      <c r="M54" s="342"/>
      <c r="N54" s="342"/>
      <c r="O54" s="342"/>
      <c r="P54" s="344"/>
      <c r="Q54" s="344"/>
      <c r="R54" s="344"/>
      <c r="S54" s="344"/>
      <c r="T54" s="344"/>
      <c r="U54" s="345"/>
      <c r="V54" s="345"/>
      <c r="W54" s="345"/>
      <c r="X54" s="345"/>
      <c r="Y54" s="357"/>
      <c r="Z54" s="358"/>
      <c r="AA54" s="357"/>
      <c r="AB54" s="358"/>
      <c r="AC54" s="675"/>
      <c r="AD54" s="675"/>
      <c r="AE54" s="675"/>
      <c r="AF54" s="675"/>
      <c r="AG54" s="675"/>
      <c r="AH54" s="675"/>
      <c r="AI54" s="675"/>
      <c r="AJ54" s="675"/>
      <c r="AK54" s="675"/>
      <c r="AL54" s="675"/>
      <c r="AM54" s="675"/>
      <c r="AN54" s="675"/>
      <c r="AO54" s="675"/>
      <c r="AP54" s="676"/>
      <c r="AQ54" s="346">
        <v>2.5000000000000001E-2</v>
      </c>
      <c r="AR54" s="346">
        <v>2.5000000000000001E-2</v>
      </c>
      <c r="AS54" s="346">
        <v>0.04</v>
      </c>
      <c r="AT54" s="346">
        <v>0.04</v>
      </c>
      <c r="AU54" s="346">
        <v>0.04</v>
      </c>
      <c r="AV54" s="346">
        <v>0.04</v>
      </c>
      <c r="AW54" s="346">
        <v>0.04</v>
      </c>
      <c r="AX54" s="346">
        <v>0.04</v>
      </c>
      <c r="AY54" s="346">
        <v>0.04</v>
      </c>
      <c r="AZ54" s="346">
        <v>0.04</v>
      </c>
      <c r="BA54" s="347"/>
      <c r="BB54" s="347"/>
      <c r="BC54" s="347"/>
      <c r="BD54" s="347"/>
      <c r="BE54" s="347"/>
      <c r="BF54" s="347"/>
      <c r="BG54" s="347"/>
      <c r="BH54" s="348"/>
      <c r="BI54" s="349"/>
      <c r="BJ54" s="350"/>
      <c r="BK54" s="350"/>
      <c r="BL54" s="350"/>
      <c r="BM54" s="359"/>
      <c r="BN54" s="360"/>
      <c r="BO54" s="361"/>
      <c r="BP54" s="361"/>
      <c r="BQ54" s="361"/>
      <c r="BR54" s="361"/>
      <c r="BS54" s="361"/>
      <c r="BT54" s="361"/>
      <c r="BU54" s="502"/>
      <c r="BV54" s="361"/>
      <c r="BW54" s="361"/>
      <c r="BX54" s="361"/>
      <c r="BY54" s="361"/>
      <c r="BZ54" s="361"/>
      <c r="DS54" s="361"/>
    </row>
    <row r="55" spans="1:123" s="341" customFormat="1">
      <c r="A55" s="338"/>
      <c r="B55" s="339" t="s">
        <v>546</v>
      </c>
      <c r="C55" s="340"/>
      <c r="D55" s="340"/>
      <c r="E55" s="340"/>
      <c r="F55" s="340"/>
      <c r="H55" s="342"/>
      <c r="I55" s="342"/>
      <c r="J55" s="342"/>
      <c r="K55" s="343"/>
      <c r="L55" s="342"/>
      <c r="M55" s="342"/>
      <c r="N55" s="342"/>
      <c r="O55" s="342"/>
      <c r="P55" s="344"/>
      <c r="Q55" s="344"/>
      <c r="R55" s="344"/>
      <c r="S55" s="344"/>
      <c r="T55" s="344"/>
      <c r="U55" s="345"/>
      <c r="V55" s="345"/>
      <c r="W55" s="345"/>
      <c r="X55" s="345"/>
      <c r="Y55" s="357"/>
      <c r="Z55" s="358"/>
      <c r="AA55" s="357"/>
      <c r="AB55" s="358"/>
      <c r="AC55" s="675"/>
      <c r="AD55" s="675"/>
      <c r="AE55" s="675"/>
      <c r="AF55" s="675"/>
      <c r="AG55" s="675"/>
      <c r="AH55" s="675"/>
      <c r="AI55" s="675"/>
      <c r="AJ55" s="675"/>
      <c r="AK55" s="675"/>
      <c r="AL55" s="675"/>
      <c r="AM55" s="675"/>
      <c r="AN55" s="675"/>
      <c r="AO55" s="675"/>
      <c r="AP55" s="676"/>
      <c r="AQ55" s="346">
        <v>0.03</v>
      </c>
      <c r="AR55" s="346">
        <v>0.05</v>
      </c>
      <c r="AS55" s="346">
        <v>0.03</v>
      </c>
      <c r="AT55" s="346">
        <v>0.03</v>
      </c>
      <c r="AU55" s="346">
        <v>0.03</v>
      </c>
      <c r="AV55" s="346">
        <v>0.03</v>
      </c>
      <c r="AW55" s="346">
        <v>0.03</v>
      </c>
      <c r="AX55" s="346">
        <v>0.03</v>
      </c>
      <c r="AY55" s="346">
        <v>0.03</v>
      </c>
      <c r="AZ55" s="346">
        <v>0.03</v>
      </c>
      <c r="BA55" s="347"/>
      <c r="BB55" s="347"/>
      <c r="BC55" s="347"/>
      <c r="BD55" s="347"/>
      <c r="BE55" s="347"/>
      <c r="BF55" s="347"/>
      <c r="BG55" s="347"/>
      <c r="BH55" s="348"/>
      <c r="BI55" s="349"/>
      <c r="BJ55" s="350"/>
      <c r="BK55" s="350"/>
      <c r="BL55" s="350"/>
      <c r="BM55" s="359"/>
      <c r="BN55" s="360"/>
      <c r="BO55" s="361"/>
      <c r="BP55" s="361"/>
      <c r="BQ55" s="361"/>
      <c r="BR55" s="361"/>
      <c r="BS55" s="361"/>
      <c r="BT55" s="361"/>
      <c r="BU55" s="502"/>
      <c r="BV55" s="361"/>
      <c r="BW55" s="361"/>
      <c r="BX55" s="361"/>
      <c r="BY55" s="361"/>
      <c r="BZ55" s="361"/>
      <c r="DS55" s="361"/>
    </row>
    <row r="56" spans="1:123" s="341" customFormat="1">
      <c r="A56" s="338"/>
      <c r="B56" s="339" t="s">
        <v>547</v>
      </c>
      <c r="C56" s="340"/>
      <c r="D56" s="340"/>
      <c r="E56" s="340"/>
      <c r="F56" s="340"/>
      <c r="H56" s="342"/>
      <c r="I56" s="342"/>
      <c r="J56" s="342"/>
      <c r="K56" s="343"/>
      <c r="L56" s="342"/>
      <c r="M56" s="342"/>
      <c r="N56" s="342"/>
      <c r="O56" s="342"/>
      <c r="P56" s="344"/>
      <c r="Q56" s="344"/>
      <c r="R56" s="344"/>
      <c r="S56" s="344"/>
      <c r="T56" s="344"/>
      <c r="U56" s="345"/>
      <c r="V56" s="345"/>
      <c r="W56" s="345"/>
      <c r="X56" s="345"/>
      <c r="Y56" s="357"/>
      <c r="Z56" s="358"/>
      <c r="AA56" s="357"/>
      <c r="AB56" s="358"/>
      <c r="AC56" s="675"/>
      <c r="AD56" s="675"/>
      <c r="AE56" s="675"/>
      <c r="AF56" s="675"/>
      <c r="AG56" s="675"/>
      <c r="AH56" s="675"/>
      <c r="AI56" s="675"/>
      <c r="AJ56" s="675"/>
      <c r="AK56" s="675"/>
      <c r="AL56" s="675"/>
      <c r="AM56" s="675"/>
      <c r="AN56" s="675"/>
      <c r="AO56" s="675"/>
      <c r="AP56" s="676"/>
      <c r="AQ56" s="346">
        <v>0.7</v>
      </c>
      <c r="AR56" s="346">
        <v>0.7</v>
      </c>
      <c r="AS56" s="346">
        <v>0.7</v>
      </c>
      <c r="AT56" s="346">
        <v>0.7</v>
      </c>
      <c r="AU56" s="346">
        <v>0.7</v>
      </c>
      <c r="AV56" s="346">
        <v>0.7</v>
      </c>
      <c r="AW56" s="346">
        <v>0.7</v>
      </c>
      <c r="AX56" s="346">
        <v>0.7</v>
      </c>
      <c r="AY56" s="346">
        <v>0.7</v>
      </c>
      <c r="AZ56" s="346">
        <v>0.7</v>
      </c>
      <c r="BA56" s="347"/>
      <c r="BB56" s="347"/>
      <c r="BC56" s="347"/>
      <c r="BD56" s="347"/>
      <c r="BE56" s="347"/>
      <c r="BF56" s="347"/>
      <c r="BG56" s="347"/>
      <c r="BH56" s="348"/>
      <c r="BI56" s="349"/>
      <c r="BJ56" s="350"/>
      <c r="BK56" s="350"/>
      <c r="BL56" s="350"/>
      <c r="BM56" s="359"/>
      <c r="BN56" s="360"/>
      <c r="BO56" s="361"/>
      <c r="BP56" s="361"/>
      <c r="BQ56" s="361"/>
      <c r="BR56" s="361"/>
      <c r="BS56" s="361"/>
      <c r="BT56" s="361"/>
      <c r="BU56" s="502"/>
      <c r="BV56" s="361"/>
      <c r="BW56" s="361"/>
      <c r="BX56" s="361"/>
      <c r="BY56" s="361"/>
      <c r="BZ56" s="361"/>
      <c r="DS56" s="361"/>
    </row>
    <row r="57" spans="1:123" s="341" customFormat="1">
      <c r="A57" s="338"/>
      <c r="B57" s="339" t="s">
        <v>548</v>
      </c>
      <c r="C57" s="340"/>
      <c r="D57" s="340"/>
      <c r="E57" s="340"/>
      <c r="F57" s="340"/>
      <c r="H57" s="342"/>
      <c r="I57" s="342"/>
      <c r="J57" s="342"/>
      <c r="K57" s="343"/>
      <c r="L57" s="342"/>
      <c r="M57" s="342"/>
      <c r="N57" s="342"/>
      <c r="O57" s="342"/>
      <c r="P57" s="344"/>
      <c r="Q57" s="344"/>
      <c r="R57" s="344"/>
      <c r="S57" s="344"/>
      <c r="T57" s="344"/>
      <c r="U57" s="345"/>
      <c r="V57" s="345"/>
      <c r="W57" s="345"/>
      <c r="X57" s="345"/>
      <c r="Y57" s="357"/>
      <c r="Z57" s="358"/>
      <c r="AA57" s="357"/>
      <c r="AB57" s="358"/>
      <c r="AC57" s="675"/>
      <c r="AD57" s="675"/>
      <c r="AE57" s="675"/>
      <c r="AF57" s="675"/>
      <c r="AG57" s="675"/>
      <c r="AH57" s="675"/>
      <c r="AI57" s="675"/>
      <c r="AJ57" s="675"/>
      <c r="AK57" s="675"/>
      <c r="AL57" s="675"/>
      <c r="AM57" s="675"/>
      <c r="AN57" s="675"/>
      <c r="AO57" s="675"/>
      <c r="AP57" s="676"/>
      <c r="AQ57" s="346">
        <f t="shared" ref="AQ57:AZ57" si="82">1-AQ56</f>
        <v>0.30000000000000004</v>
      </c>
      <c r="AR57" s="346">
        <f t="shared" si="82"/>
        <v>0.30000000000000004</v>
      </c>
      <c r="AS57" s="346">
        <f t="shared" si="82"/>
        <v>0.30000000000000004</v>
      </c>
      <c r="AT57" s="346">
        <f t="shared" si="82"/>
        <v>0.30000000000000004</v>
      </c>
      <c r="AU57" s="346">
        <f t="shared" si="82"/>
        <v>0.30000000000000004</v>
      </c>
      <c r="AV57" s="346">
        <f t="shared" si="82"/>
        <v>0.30000000000000004</v>
      </c>
      <c r="AW57" s="346">
        <f t="shared" si="82"/>
        <v>0.30000000000000004</v>
      </c>
      <c r="AX57" s="346">
        <f t="shared" si="82"/>
        <v>0.30000000000000004</v>
      </c>
      <c r="AY57" s="346">
        <f t="shared" si="82"/>
        <v>0.30000000000000004</v>
      </c>
      <c r="AZ57" s="346">
        <f t="shared" si="82"/>
        <v>0.30000000000000004</v>
      </c>
      <c r="BA57" s="347"/>
      <c r="BB57" s="347"/>
      <c r="BC57" s="347"/>
      <c r="BD57" s="347"/>
      <c r="BE57" s="347"/>
      <c r="BF57" s="347"/>
      <c r="BG57" s="347"/>
      <c r="BH57" s="348"/>
      <c r="BI57" s="349"/>
      <c r="BJ57" s="350"/>
      <c r="BK57" s="350"/>
      <c r="BL57" s="350"/>
      <c r="BM57" s="359"/>
      <c r="BN57" s="360"/>
      <c r="BO57" s="361"/>
      <c r="BP57" s="361"/>
      <c r="BQ57" s="361"/>
      <c r="BR57" s="361"/>
      <c r="BS57" s="361"/>
      <c r="BT57" s="361"/>
      <c r="BU57" s="502"/>
      <c r="BV57" s="361"/>
      <c r="BW57" s="361"/>
      <c r="BX57" s="361"/>
      <c r="BY57" s="361"/>
      <c r="BZ57" s="361"/>
      <c r="DS57" s="361"/>
    </row>
    <row r="58" spans="1:123" s="341" customFormat="1">
      <c r="A58" s="338"/>
      <c r="B58" s="339" t="s">
        <v>549</v>
      </c>
      <c r="C58" s="340"/>
      <c r="D58" s="340"/>
      <c r="E58" s="340"/>
      <c r="F58" s="340"/>
      <c r="H58" s="342"/>
      <c r="I58" s="342"/>
      <c r="J58" s="342"/>
      <c r="K58" s="343"/>
      <c r="L58" s="342"/>
      <c r="M58" s="342"/>
      <c r="N58" s="342"/>
      <c r="O58" s="342"/>
      <c r="P58" s="344"/>
      <c r="Q58" s="344"/>
      <c r="R58" s="344"/>
      <c r="S58" s="344"/>
      <c r="T58" s="344"/>
      <c r="U58" s="345"/>
      <c r="V58" s="345"/>
      <c r="W58" s="345"/>
      <c r="X58" s="345"/>
      <c r="Y58" s="357"/>
      <c r="Z58" s="358"/>
      <c r="AA58" s="357"/>
      <c r="AB58" s="358"/>
      <c r="AC58" s="675"/>
      <c r="AD58" s="675"/>
      <c r="AE58" s="675"/>
      <c r="AF58" s="675"/>
      <c r="AG58" s="675"/>
      <c r="AH58" s="675"/>
      <c r="AI58" s="675"/>
      <c r="AJ58" s="675"/>
      <c r="AK58" s="675"/>
      <c r="AL58" s="675"/>
      <c r="AM58" s="675"/>
      <c r="AN58" s="675"/>
      <c r="AO58" s="675"/>
      <c r="AP58" s="676"/>
      <c r="AQ58" s="346">
        <v>5.0000000000000001E-3</v>
      </c>
      <c r="AR58" s="346">
        <v>5.0000000000000001E-3</v>
      </c>
      <c r="AS58" s="346">
        <v>0.01</v>
      </c>
      <c r="AT58" s="346">
        <v>0.01</v>
      </c>
      <c r="AU58" s="346">
        <v>0.01</v>
      </c>
      <c r="AV58" s="346">
        <v>0.01</v>
      </c>
      <c r="AW58" s="346">
        <v>0.01</v>
      </c>
      <c r="AX58" s="346">
        <v>0.01</v>
      </c>
      <c r="AY58" s="346">
        <v>0.01</v>
      </c>
      <c r="AZ58" s="346">
        <v>0.01</v>
      </c>
      <c r="BA58" s="347"/>
      <c r="BB58" s="347"/>
      <c r="BC58" s="347"/>
      <c r="BD58" s="347"/>
      <c r="BE58" s="347"/>
      <c r="BF58" s="347"/>
      <c r="BG58" s="347"/>
      <c r="BH58" s="348"/>
      <c r="BI58" s="349"/>
      <c r="BJ58" s="350"/>
      <c r="BK58" s="350"/>
      <c r="BL58" s="350"/>
      <c r="BM58" s="359"/>
      <c r="BN58" s="360"/>
      <c r="BO58" s="361"/>
      <c r="BP58" s="361"/>
      <c r="BQ58" s="361"/>
      <c r="BR58" s="361"/>
      <c r="BS58" s="361"/>
      <c r="BT58" s="361"/>
      <c r="BU58" s="502"/>
      <c r="BV58" s="361"/>
      <c r="BW58" s="361"/>
      <c r="BX58" s="361"/>
      <c r="BY58" s="361"/>
      <c r="BZ58" s="361"/>
      <c r="DS58" s="361"/>
    </row>
    <row r="59" spans="1:123" s="179" customFormat="1">
      <c r="A59" s="270"/>
      <c r="B59" s="243" t="s">
        <v>554</v>
      </c>
      <c r="C59" s="91"/>
      <c r="D59" s="91"/>
      <c r="E59" s="91"/>
      <c r="F59" s="91"/>
      <c r="G59" s="28"/>
      <c r="H59" s="617"/>
      <c r="I59" s="617"/>
      <c r="J59" s="617"/>
      <c r="K59" s="618"/>
      <c r="L59" s="617"/>
      <c r="M59" s="620"/>
      <c r="N59" s="620"/>
      <c r="O59" s="620"/>
      <c r="P59" s="620"/>
      <c r="Q59" s="620"/>
      <c r="R59" s="620"/>
      <c r="S59" s="620"/>
      <c r="T59" s="620"/>
      <c r="U59" s="620"/>
      <c r="V59" s="620"/>
      <c r="W59" s="620"/>
      <c r="X59" s="620"/>
      <c r="Y59" s="357"/>
      <c r="Z59" s="358"/>
      <c r="AA59" s="357"/>
      <c r="AB59" s="358"/>
      <c r="AC59" s="675"/>
      <c r="AD59" s="675"/>
      <c r="AE59" s="675"/>
      <c r="AF59" s="675"/>
      <c r="AG59" s="677">
        <f t="shared" ref="AG59:AP59" si="83">AG42/AE42-1</f>
        <v>2.3121387283236983E-2</v>
      </c>
      <c r="AH59" s="677">
        <f t="shared" si="83"/>
        <v>-8.8235294117646745E-2</v>
      </c>
      <c r="AI59" s="677">
        <f t="shared" si="83"/>
        <v>-1.1299435028248594E-2</v>
      </c>
      <c r="AJ59" s="677">
        <f t="shared" si="83"/>
        <v>2.4193548387096531E-2</v>
      </c>
      <c r="AK59" s="420">
        <f t="shared" si="83"/>
        <v>2.857142857142847E-2</v>
      </c>
      <c r="AL59" s="420">
        <f t="shared" si="83"/>
        <v>-0.11023622047244086</v>
      </c>
      <c r="AM59" s="420">
        <f t="shared" si="83"/>
        <v>8.3333333333333259E-2</v>
      </c>
      <c r="AN59" s="420">
        <f t="shared" si="83"/>
        <v>-0.15929203539823011</v>
      </c>
      <c r="AO59" s="420">
        <f t="shared" si="83"/>
        <v>1.538461538461533E-2</v>
      </c>
      <c r="AP59" s="447">
        <f t="shared" si="83"/>
        <v>5.2631578947368363E-2</v>
      </c>
      <c r="AQ59" s="346">
        <v>0.01</v>
      </c>
      <c r="AR59" s="346">
        <v>0.01</v>
      </c>
      <c r="AS59" s="346">
        <v>0.01</v>
      </c>
      <c r="AT59" s="346">
        <v>0.01</v>
      </c>
      <c r="AU59" s="346">
        <v>0.01</v>
      </c>
      <c r="AV59" s="346">
        <v>0.01</v>
      </c>
      <c r="AW59" s="346">
        <v>0.01</v>
      </c>
      <c r="AX59" s="346">
        <v>0.01</v>
      </c>
      <c r="AY59" s="346">
        <v>0.01</v>
      </c>
      <c r="AZ59" s="346">
        <v>0.01</v>
      </c>
      <c r="BA59" s="223"/>
      <c r="BB59" s="668"/>
      <c r="BC59" s="668"/>
      <c r="BD59" s="668"/>
      <c r="BE59" s="668"/>
      <c r="BF59" s="668"/>
      <c r="BG59" s="668"/>
      <c r="BH59" s="598"/>
      <c r="BI59" s="667"/>
      <c r="BJ59" s="667"/>
      <c r="BK59" s="667"/>
      <c r="BL59" s="660"/>
      <c r="BM59" s="359"/>
      <c r="BN59" s="360"/>
      <c r="BO59" s="361"/>
      <c r="BP59" s="361"/>
      <c r="BQ59" s="603">
        <f>BQ42/BP42-1</f>
        <v>-2.5889967637540368E-2</v>
      </c>
      <c r="BR59" s="603">
        <f t="shared" ref="BR59:BZ59" si="84">BR42/BQ42-1</f>
        <v>3.3222591362125353E-3</v>
      </c>
      <c r="BS59" s="603">
        <f t="shared" si="84"/>
        <v>-2.9801324503311188E-2</v>
      </c>
      <c r="BT59" s="603">
        <f t="shared" si="84"/>
        <v>-1.0238907849829393E-2</v>
      </c>
      <c r="BU59" s="604">
        <f t="shared" si="84"/>
        <v>2.7586206896551779E-2</v>
      </c>
      <c r="BV59" s="603">
        <f t="shared" si="84"/>
        <v>1.0000000000000009E-2</v>
      </c>
      <c r="BW59" s="603">
        <f t="shared" si="84"/>
        <v>1.0000000000000009E-2</v>
      </c>
      <c r="BX59" s="603">
        <f t="shared" si="84"/>
        <v>1.0000000000000009E-2</v>
      </c>
      <c r="BY59" s="603">
        <f t="shared" si="84"/>
        <v>1.0000000000000009E-2</v>
      </c>
      <c r="BZ59" s="603">
        <f t="shared" si="84"/>
        <v>1.0000000000000009E-2</v>
      </c>
      <c r="CB59" s="172" t="s">
        <v>609</v>
      </c>
      <c r="DS59" s="603" t="e">
        <f>DS42/DT42-1</f>
        <v>#DIV/0!</v>
      </c>
    </row>
    <row r="60" spans="1:123" s="179" customFormat="1">
      <c r="A60" s="270"/>
      <c r="B60" s="243" t="s">
        <v>556</v>
      </c>
      <c r="C60" s="91"/>
      <c r="D60" s="91"/>
      <c r="E60" s="91"/>
      <c r="F60" s="91"/>
      <c r="G60" s="28"/>
      <c r="H60" s="617"/>
      <c r="I60" s="617"/>
      <c r="J60" s="617"/>
      <c r="K60" s="618"/>
      <c r="L60" s="617"/>
      <c r="M60" s="620"/>
      <c r="N60" s="620"/>
      <c r="O60" s="620"/>
      <c r="P60" s="620"/>
      <c r="Q60" s="620"/>
      <c r="R60" s="620"/>
      <c r="S60" s="620"/>
      <c r="T60" s="620"/>
      <c r="U60" s="620"/>
      <c r="V60" s="620"/>
      <c r="W60" s="620"/>
      <c r="X60" s="620"/>
      <c r="Y60" s="357"/>
      <c r="Z60" s="358"/>
      <c r="AA60" s="678">
        <f>AA46/Y46-1</f>
        <v>8.0562052950947427E-2</v>
      </c>
      <c r="AB60" s="678">
        <f>AB46/Z46-1</f>
        <v>7.8385756676557783E-2</v>
      </c>
      <c r="AC60" s="678">
        <f>AC46/AA46-1</f>
        <v>5.5763831155589694E-2</v>
      </c>
      <c r="AD60" s="678">
        <f>AD46/AB46-1</f>
        <v>1.4161915454098395E-2</v>
      </c>
      <c r="AE60" s="678">
        <f t="shared" ref="AE60:AP60" si="85">AE46/AC46-1</f>
        <v>4.0293584524411008E-2</v>
      </c>
      <c r="AF60" s="678">
        <f t="shared" si="85"/>
        <v>3.4715037153338235E-2</v>
      </c>
      <c r="AG60" s="678">
        <f t="shared" si="85"/>
        <v>-3.7633180039419178E-3</v>
      </c>
      <c r="AH60" s="678">
        <f t="shared" si="85"/>
        <v>6.8820843443419655E-2</v>
      </c>
      <c r="AI60" s="678">
        <f t="shared" si="85"/>
        <v>8.0819158620590859E-2</v>
      </c>
      <c r="AJ60" s="678">
        <f t="shared" si="85"/>
        <v>-4.1543725588973901E-3</v>
      </c>
      <c r="AK60" s="420">
        <f t="shared" si="85"/>
        <v>7.3820829796264809E-2</v>
      </c>
      <c r="AL60" s="420">
        <f t="shared" si="85"/>
        <v>0.15284858359173792</v>
      </c>
      <c r="AM60" s="420">
        <f t="shared" si="85"/>
        <v>7.0092332396628043E-2</v>
      </c>
      <c r="AN60" s="420">
        <f t="shared" si="85"/>
        <v>4.2699536134759963E-2</v>
      </c>
      <c r="AO60" s="420">
        <f t="shared" si="85"/>
        <v>8.9141425801089635E-2</v>
      </c>
      <c r="AP60" s="447">
        <f t="shared" si="85"/>
        <v>4.6077332968984974E-2</v>
      </c>
      <c r="AQ60" s="346">
        <v>0.05</v>
      </c>
      <c r="AR60" s="346">
        <v>3.5000000000000003E-2</v>
      </c>
      <c r="AS60" s="346">
        <v>0.06</v>
      </c>
      <c r="AT60" s="346">
        <v>0.05</v>
      </c>
      <c r="AU60" s="346">
        <v>0.03</v>
      </c>
      <c r="AV60" s="346">
        <v>0.03</v>
      </c>
      <c r="AW60" s="346">
        <v>0.03</v>
      </c>
      <c r="AX60" s="346">
        <v>0.03</v>
      </c>
      <c r="AY60" s="346">
        <v>0.03</v>
      </c>
      <c r="AZ60" s="346">
        <v>0.03</v>
      </c>
      <c r="BA60" s="223"/>
      <c r="BB60" s="668"/>
      <c r="BC60" s="668"/>
      <c r="BD60" s="668"/>
      <c r="BE60" s="668"/>
      <c r="BF60" s="668"/>
      <c r="BG60" s="668"/>
      <c r="BH60" s="598"/>
      <c r="BI60" s="667"/>
      <c r="BJ60" s="667"/>
      <c r="BK60" s="667"/>
      <c r="BL60" s="660"/>
      <c r="BM60" s="359"/>
      <c r="BN60" s="360"/>
      <c r="BO60" s="678">
        <f t="shared" ref="BO60:BZ60" si="86">BO46/BM46-1</f>
        <v>0.11642952723522826</v>
      </c>
      <c r="BP60" s="678">
        <f t="shared" si="86"/>
        <v>7.3022143201040279E-2</v>
      </c>
      <c r="BQ60" s="678">
        <f t="shared" si="86"/>
        <v>7.1610531370155828E-2</v>
      </c>
      <c r="BR60" s="679">
        <f t="shared" si="86"/>
        <v>7.050115705983151E-2</v>
      </c>
      <c r="BS60" s="679">
        <f t="shared" si="86"/>
        <v>0.15404638117389502</v>
      </c>
      <c r="BT60" s="679">
        <f t="shared" si="86"/>
        <v>0.17570627062706268</v>
      </c>
      <c r="BU60" s="680">
        <f t="shared" si="86"/>
        <v>0.12661049149814607</v>
      </c>
      <c r="BV60" s="678">
        <f t="shared" si="86"/>
        <v>0.11231409250531255</v>
      </c>
      <c r="BW60" s="678">
        <f t="shared" si="86"/>
        <v>9.9781875221972349E-2</v>
      </c>
      <c r="BX60" s="678">
        <f t="shared" si="86"/>
        <v>8.6650509996652136E-2</v>
      </c>
      <c r="BY60" s="678">
        <f t="shared" si="86"/>
        <v>6.0899999999999954E-2</v>
      </c>
      <c r="BZ60" s="678">
        <f t="shared" si="86"/>
        <v>6.0900000000000176E-2</v>
      </c>
      <c r="CB60" s="172" t="s">
        <v>609</v>
      </c>
      <c r="DS60" s="678" t="e">
        <f>DS46/#REF!-1</f>
        <v>#REF!</v>
      </c>
    </row>
    <row r="61" spans="1:123" s="179" customFormat="1">
      <c r="A61" s="270"/>
      <c r="B61" s="243" t="s">
        <v>557</v>
      </c>
      <c r="C61" s="91"/>
      <c r="D61" s="91"/>
      <c r="E61" s="91"/>
      <c r="F61" s="91"/>
      <c r="G61" s="28"/>
      <c r="H61" s="617"/>
      <c r="I61" s="617"/>
      <c r="J61" s="617"/>
      <c r="K61" s="618"/>
      <c r="L61" s="617"/>
      <c r="M61" s="620"/>
      <c r="N61" s="620"/>
      <c r="O61" s="620"/>
      <c r="P61" s="620"/>
      <c r="Q61" s="620"/>
      <c r="R61" s="620"/>
      <c r="S61" s="620"/>
      <c r="T61" s="620"/>
      <c r="U61" s="620"/>
      <c r="V61" s="620"/>
      <c r="W61" s="620"/>
      <c r="X61" s="620"/>
      <c r="Y61" s="678">
        <f t="shared" ref="Y61:AP61" si="87">Y50/Y49</f>
        <v>-0.48425185808442017</v>
      </c>
      <c r="Z61" s="678">
        <f t="shared" si="87"/>
        <v>-0.46438208820032822</v>
      </c>
      <c r="AA61" s="678">
        <f t="shared" si="87"/>
        <v>-0.50661157024793391</v>
      </c>
      <c r="AB61" s="678">
        <f t="shared" si="87"/>
        <v>-0.4478165794181963</v>
      </c>
      <c r="AC61" s="678">
        <f t="shared" si="87"/>
        <v>-0.49075371252451672</v>
      </c>
      <c r="AD61" s="678">
        <f t="shared" si="87"/>
        <v>-0.44204944563046622</v>
      </c>
      <c r="AE61" s="678">
        <f t="shared" si="87"/>
        <v>-0.45332709989091469</v>
      </c>
      <c r="AF61" s="678">
        <f t="shared" si="87"/>
        <v>-0.45048929906913826</v>
      </c>
      <c r="AG61" s="678">
        <f t="shared" si="87"/>
        <v>-0.45664802733768245</v>
      </c>
      <c r="AH61" s="678">
        <f t="shared" si="87"/>
        <v>-0.46797951609655064</v>
      </c>
      <c r="AI61" s="678">
        <f t="shared" si="87"/>
        <v>-0.42857142857142866</v>
      </c>
      <c r="AJ61" s="678">
        <f t="shared" si="87"/>
        <v>-0.43481137537069192</v>
      </c>
      <c r="AK61" s="432">
        <f t="shared" si="87"/>
        <v>-0.41980676890165208</v>
      </c>
      <c r="AL61" s="432">
        <f t="shared" si="87"/>
        <v>-0.40129675919356428</v>
      </c>
      <c r="AM61" s="432">
        <f t="shared" si="87"/>
        <v>-0.39857227234770565</v>
      </c>
      <c r="AN61" s="432">
        <f t="shared" si="87"/>
        <v>-0.40000196392273923</v>
      </c>
      <c r="AO61" s="432">
        <f t="shared" si="87"/>
        <v>-0.39808265248304725</v>
      </c>
      <c r="AP61" s="448">
        <f t="shared" si="87"/>
        <v>-0.38264488422543941</v>
      </c>
      <c r="AQ61" s="346">
        <v>-0.375</v>
      </c>
      <c r="AR61" s="346">
        <f t="shared" ref="AR61:AZ62" si="88">AQ61</f>
        <v>-0.375</v>
      </c>
      <c r="AS61" s="346">
        <f t="shared" si="88"/>
        <v>-0.375</v>
      </c>
      <c r="AT61" s="346">
        <f t="shared" si="88"/>
        <v>-0.375</v>
      </c>
      <c r="AU61" s="346">
        <f t="shared" si="88"/>
        <v>-0.375</v>
      </c>
      <c r="AV61" s="346">
        <f t="shared" si="88"/>
        <v>-0.375</v>
      </c>
      <c r="AW61" s="346">
        <f t="shared" si="88"/>
        <v>-0.375</v>
      </c>
      <c r="AX61" s="346">
        <f t="shared" si="88"/>
        <v>-0.375</v>
      </c>
      <c r="AY61" s="346">
        <f t="shared" si="88"/>
        <v>-0.375</v>
      </c>
      <c r="AZ61" s="346">
        <f t="shared" si="88"/>
        <v>-0.375</v>
      </c>
      <c r="BA61" s="223"/>
      <c r="BB61" s="668"/>
      <c r="BC61" s="668"/>
      <c r="BD61" s="668"/>
      <c r="BE61" s="668"/>
      <c r="BF61" s="668"/>
      <c r="BG61" s="668"/>
      <c r="BH61" s="598"/>
      <c r="BI61" s="667"/>
      <c r="BJ61" s="667"/>
      <c r="BK61" s="667"/>
      <c r="BL61" s="660"/>
      <c r="BM61" s="678">
        <f t="shared" ref="BM61:BZ61" si="89">BM50/BM49</f>
        <v>-0.47237388322353574</v>
      </c>
      <c r="BN61" s="678">
        <f t="shared" si="89"/>
        <v>-0.4707924589237415</v>
      </c>
      <c r="BO61" s="678">
        <f t="shared" si="89"/>
        <v>-0.4627199936578405</v>
      </c>
      <c r="BP61" s="678">
        <f t="shared" si="89"/>
        <v>-0.45167217252514746</v>
      </c>
      <c r="BQ61" s="678">
        <f t="shared" si="89"/>
        <v>-0.46253118045079095</v>
      </c>
      <c r="BR61" s="679">
        <f t="shared" si="89"/>
        <v>-0.43205326828625112</v>
      </c>
      <c r="BS61" s="679">
        <f t="shared" si="89"/>
        <v>-0.41025987479169485</v>
      </c>
      <c r="BT61" s="679">
        <f t="shared" si="89"/>
        <v>-0.39930012247856622</v>
      </c>
      <c r="BU61" s="680">
        <f t="shared" si="89"/>
        <v>-0.39024181833717847</v>
      </c>
      <c r="BV61" s="678">
        <f t="shared" si="89"/>
        <v>-0.375</v>
      </c>
      <c r="BW61" s="678">
        <f t="shared" si="89"/>
        <v>-0.37499999999999994</v>
      </c>
      <c r="BX61" s="678">
        <f t="shared" si="89"/>
        <v>-0.37500000000000006</v>
      </c>
      <c r="BY61" s="678">
        <f t="shared" si="89"/>
        <v>-0.375</v>
      </c>
      <c r="BZ61" s="678">
        <f t="shared" si="89"/>
        <v>-0.375</v>
      </c>
      <c r="CB61" s="172" t="s">
        <v>609</v>
      </c>
      <c r="DS61" s="678" t="e">
        <f t="shared" ref="DS61" si="90">DS50/DS49</f>
        <v>#DIV/0!</v>
      </c>
    </row>
    <row r="62" spans="1:123">
      <c r="B62" s="23" t="s">
        <v>558</v>
      </c>
      <c r="D62" s="55"/>
      <c r="E62" s="55"/>
      <c r="F62" s="55"/>
      <c r="G62" s="55"/>
      <c r="H62" s="55"/>
      <c r="I62" s="55"/>
      <c r="J62" s="55"/>
      <c r="K62" s="55"/>
      <c r="L62" s="55"/>
      <c r="M62" s="55"/>
      <c r="N62" s="55"/>
      <c r="O62" s="55"/>
      <c r="P62" s="55"/>
      <c r="Q62" s="55"/>
      <c r="R62" s="55"/>
      <c r="S62" s="55"/>
      <c r="T62" s="55"/>
      <c r="U62" s="55"/>
      <c r="V62" s="55"/>
      <c r="W62" s="55"/>
      <c r="X62" s="56"/>
      <c r="Y62" s="681"/>
      <c r="Z62" s="682"/>
      <c r="AA62" s="682"/>
      <c r="AB62" s="682"/>
      <c r="AC62" s="682"/>
      <c r="AD62" s="682"/>
      <c r="AE62" s="230">
        <f t="shared" ref="AE62:AJ62" si="91">2*AE43/SUM(AE292:AE293)</f>
        <v>3.2471573843064878E-2</v>
      </c>
      <c r="AF62" s="230">
        <f t="shared" si="91"/>
        <v>1.8095751199871689E-2</v>
      </c>
      <c r="AG62" s="230">
        <f t="shared" si="91"/>
        <v>1.1496794163166041E-2</v>
      </c>
      <c r="AH62" s="230">
        <f t="shared" si="91"/>
        <v>6.3870555673834371E-3</v>
      </c>
      <c r="AI62" s="230">
        <f t="shared" si="91"/>
        <v>7.3380492529865858E-3</v>
      </c>
      <c r="AJ62" s="230">
        <f t="shared" si="91"/>
        <v>3.3757553252540254E-3</v>
      </c>
      <c r="AK62" s="431">
        <f t="shared" ref="AK62:AM62" si="92">2*AK43/SUM(AK292:AK293)</f>
        <v>1.1485548649085343E-2</v>
      </c>
      <c r="AL62" s="431">
        <f t="shared" ref="AL62:AP62" si="93">2*AL43/SUM(AL292:AL293)</f>
        <v>1.6043839792232274E-2</v>
      </c>
      <c r="AM62" s="431">
        <f t="shared" si="92"/>
        <v>2.5797551428150618E-2</v>
      </c>
      <c r="AN62" s="431">
        <f t="shared" si="93"/>
        <v>2.3788866810332761E-2</v>
      </c>
      <c r="AO62" s="431">
        <f t="shared" si="93"/>
        <v>2.8706366927039866E-2</v>
      </c>
      <c r="AP62" s="449">
        <f t="shared" si="93"/>
        <v>2.2046150935695251E-2</v>
      </c>
      <c r="AQ62" s="641">
        <f>AP62-0.5%</f>
        <v>1.704615093569525E-2</v>
      </c>
      <c r="AR62" s="641">
        <f t="shared" si="88"/>
        <v>1.704615093569525E-2</v>
      </c>
      <c r="AS62" s="641">
        <f t="shared" si="88"/>
        <v>1.704615093569525E-2</v>
      </c>
      <c r="AT62" s="641">
        <f t="shared" si="88"/>
        <v>1.704615093569525E-2</v>
      </c>
      <c r="AU62" s="641">
        <f t="shared" si="88"/>
        <v>1.704615093569525E-2</v>
      </c>
      <c r="AV62" s="641">
        <f t="shared" si="88"/>
        <v>1.704615093569525E-2</v>
      </c>
      <c r="AW62" s="641">
        <f t="shared" si="88"/>
        <v>1.704615093569525E-2</v>
      </c>
      <c r="AX62" s="641">
        <f t="shared" si="88"/>
        <v>1.704615093569525E-2</v>
      </c>
      <c r="AY62" s="641">
        <f t="shared" si="88"/>
        <v>1.704615093569525E-2</v>
      </c>
      <c r="AZ62" s="641">
        <f t="shared" si="88"/>
        <v>1.704615093569525E-2</v>
      </c>
      <c r="BA62" s="56"/>
      <c r="BB62" s="56"/>
      <c r="BC62" s="56"/>
      <c r="BD62" s="56"/>
      <c r="BE62" s="56"/>
      <c r="BF62" s="56"/>
      <c r="BG62" s="56"/>
      <c r="BH62" s="56"/>
      <c r="BI62" s="56"/>
      <c r="BJ62" s="56"/>
      <c r="BK62" s="56"/>
      <c r="BL62" s="56"/>
      <c r="BM62" s="359"/>
      <c r="BN62" s="359"/>
      <c r="BO62" s="359"/>
      <c r="BP62" s="230">
        <f t="shared" ref="BP62:BW62" si="94">BP43/SUM(BP292:BP293)</f>
        <v>2.138588778166654E-2</v>
      </c>
      <c r="BQ62" s="230">
        <f t="shared" si="94"/>
        <v>7.8064012490242007E-3</v>
      </c>
      <c r="BR62" s="230">
        <f t="shared" si="94"/>
        <v>3.3757553252540254E-3</v>
      </c>
      <c r="BS62" s="230">
        <f t="shared" ref="BS62" si="95">BS43/SUM(BS292:BS293)</f>
        <v>1.295205816560418E-2</v>
      </c>
      <c r="BT62" s="230">
        <f t="shared" si="94"/>
        <v>2.2855970072672656E-2</v>
      </c>
      <c r="BU62" s="497">
        <f t="shared" si="94"/>
        <v>2.4280558125123822E-2</v>
      </c>
      <c r="BV62" s="230">
        <f t="shared" si="94"/>
        <v>1.7882615324265258E-2</v>
      </c>
      <c r="BW62" s="230">
        <f t="shared" si="94"/>
        <v>1.7183992179011887E-2</v>
      </c>
      <c r="BX62" s="230">
        <f t="shared" ref="BX62:BZ62" si="96">BX43/SUM(BX292:BX293)</f>
        <v>1.7281664333940149E-2</v>
      </c>
      <c r="BY62" s="230">
        <f t="shared" si="96"/>
        <v>1.7583734416031303E-2</v>
      </c>
      <c r="BZ62" s="230">
        <f t="shared" si="96"/>
        <v>1.7890106058629708E-2</v>
      </c>
      <c r="CB62" s="23" t="s">
        <v>609</v>
      </c>
      <c r="DS62" s="230" t="e">
        <f t="shared" ref="DS62" si="97">DS43/SUM(DS292:DS293)</f>
        <v>#DIV/0!</v>
      </c>
    </row>
    <row r="63" spans="1:123">
      <c r="B63" s="23" t="s">
        <v>511</v>
      </c>
      <c r="D63" s="55"/>
      <c r="E63" s="55"/>
      <c r="F63" s="55"/>
      <c r="G63" s="55"/>
      <c r="H63" s="55"/>
      <c r="I63" s="55"/>
      <c r="J63" s="55"/>
      <c r="K63" s="55"/>
      <c r="L63" s="55"/>
      <c r="M63" s="55"/>
      <c r="N63" s="55"/>
      <c r="O63" s="55"/>
      <c r="P63" s="55"/>
      <c r="Q63" s="55"/>
      <c r="R63" s="55"/>
      <c r="S63" s="55"/>
      <c r="T63" s="55"/>
      <c r="U63" s="55"/>
      <c r="V63" s="55"/>
      <c r="W63" s="55"/>
      <c r="X63" s="56"/>
      <c r="Y63" s="681"/>
      <c r="Z63" s="682"/>
      <c r="AA63" s="682"/>
      <c r="AB63" s="682"/>
      <c r="AC63" s="682"/>
      <c r="AD63" s="682"/>
      <c r="AE63" s="683">
        <f t="shared" ref="AE63:AP63" si="98">-2*AE48/SUM(AE395,AE396,AE404,AE405)</f>
        <v>4.8833742046389607E-2</v>
      </c>
      <c r="AF63" s="683">
        <f t="shared" si="98"/>
        <v>9.1723818740268876E-3</v>
      </c>
      <c r="AG63" s="683">
        <f t="shared" si="98"/>
        <v>1.0790353931851302E-2</v>
      </c>
      <c r="AH63" s="683">
        <f t="shared" si="98"/>
        <v>1.1371032420879001E-2</v>
      </c>
      <c r="AI63" s="683">
        <f t="shared" si="98"/>
        <v>8.9698657631971431E-3</v>
      </c>
      <c r="AJ63" s="683">
        <f t="shared" si="98"/>
        <v>3.6740209523554807E-2</v>
      </c>
      <c r="AK63" s="431">
        <f t="shared" si="98"/>
        <v>4.6157811291872653E-3</v>
      </c>
      <c r="AL63" s="431">
        <f t="shared" si="98"/>
        <v>8.8094665462625753E-3</v>
      </c>
      <c r="AM63" s="431">
        <f t="shared" si="98"/>
        <v>8.7953897830204755E-3</v>
      </c>
      <c r="AN63" s="431">
        <f t="shared" si="98"/>
        <v>1.1259955953701785E-2</v>
      </c>
      <c r="AO63" s="431">
        <f t="shared" si="98"/>
        <v>1.0542485094382768E-2</v>
      </c>
      <c r="AP63" s="449">
        <f t="shared" si="98"/>
        <v>8.6194839164896678E-3</v>
      </c>
      <c r="AQ63" s="641">
        <f t="shared" ref="AQ63:AZ63" si="99">AP63</f>
        <v>8.6194839164896678E-3</v>
      </c>
      <c r="AR63" s="641">
        <f t="shared" si="99"/>
        <v>8.6194839164896678E-3</v>
      </c>
      <c r="AS63" s="641">
        <f t="shared" si="99"/>
        <v>8.6194839164896678E-3</v>
      </c>
      <c r="AT63" s="641">
        <f t="shared" si="99"/>
        <v>8.6194839164896678E-3</v>
      </c>
      <c r="AU63" s="641">
        <f t="shared" si="99"/>
        <v>8.6194839164896678E-3</v>
      </c>
      <c r="AV63" s="641">
        <f t="shared" si="99"/>
        <v>8.6194839164896678E-3</v>
      </c>
      <c r="AW63" s="641">
        <f t="shared" si="99"/>
        <v>8.6194839164896678E-3</v>
      </c>
      <c r="AX63" s="641">
        <f t="shared" si="99"/>
        <v>8.6194839164896678E-3</v>
      </c>
      <c r="AY63" s="641">
        <f t="shared" si="99"/>
        <v>8.6194839164896678E-3</v>
      </c>
      <c r="AZ63" s="641">
        <f t="shared" si="99"/>
        <v>8.6194839164896678E-3</v>
      </c>
      <c r="BA63" s="56"/>
      <c r="BB63" s="56"/>
      <c r="BC63" s="56"/>
      <c r="BD63" s="56"/>
      <c r="BE63" s="56"/>
      <c r="BF63" s="56"/>
      <c r="BG63" s="56"/>
      <c r="BH63" s="56"/>
      <c r="BI63" s="56"/>
      <c r="BJ63" s="56"/>
      <c r="BK63" s="56"/>
      <c r="BL63" s="56"/>
      <c r="BM63" s="359"/>
      <c r="BN63" s="359"/>
      <c r="BO63" s="359"/>
      <c r="BP63" s="683">
        <f t="shared" ref="BP63:BZ63" si="100">-BP48/SUM(BP395,BP396,BP404,BP405)</f>
        <v>1.6049755772901249E-2</v>
      </c>
      <c r="BQ63" s="683">
        <f t="shared" si="100"/>
        <v>1.2282226673217116E-2</v>
      </c>
      <c r="BR63" s="683">
        <f t="shared" si="100"/>
        <v>3.3796711309723053E-2</v>
      </c>
      <c r="BS63" s="683">
        <f t="shared" si="100"/>
        <v>7.0865986897734115E-3</v>
      </c>
      <c r="BT63" s="683">
        <f t="shared" si="100"/>
        <v>1.020433508304219E-2</v>
      </c>
      <c r="BU63" s="684">
        <f t="shared" si="100"/>
        <v>9.0234243712828122E-3</v>
      </c>
      <c r="BV63" s="683">
        <f t="shared" si="100"/>
        <v>8.3501902799610044E-3</v>
      </c>
      <c r="BW63" s="683">
        <f t="shared" si="100"/>
        <v>8.3501902799610044E-3</v>
      </c>
      <c r="BX63" s="683">
        <f t="shared" si="100"/>
        <v>8.3501902799610044E-3</v>
      </c>
      <c r="BY63" s="683">
        <f t="shared" si="100"/>
        <v>8.3501902799610044E-3</v>
      </c>
      <c r="BZ63" s="683">
        <f t="shared" si="100"/>
        <v>8.3501902799610044E-3</v>
      </c>
      <c r="CB63" s="23" t="s">
        <v>609</v>
      </c>
      <c r="DS63" s="683" t="e">
        <f t="shared" ref="DS63" si="101">-DS48/SUM(DS395,DS396,DS404,DS405)</f>
        <v>#DIV/0!</v>
      </c>
    </row>
    <row r="64" spans="1:123">
      <c r="B64" s="23" t="s">
        <v>518</v>
      </c>
      <c r="D64" s="55"/>
      <c r="E64" s="55"/>
      <c r="F64" s="55"/>
      <c r="G64" s="55"/>
      <c r="H64" s="55"/>
      <c r="I64" s="55"/>
      <c r="J64" s="55"/>
      <c r="K64" s="55"/>
      <c r="L64" s="55"/>
      <c r="M64" s="55"/>
      <c r="N64" s="55"/>
      <c r="O64" s="55"/>
      <c r="P64" s="55"/>
      <c r="Q64" s="55"/>
      <c r="R64" s="55"/>
      <c r="S64" s="55"/>
      <c r="T64" s="55"/>
      <c r="U64" s="55"/>
      <c r="V64" s="55"/>
      <c r="W64" s="55"/>
      <c r="X64" s="56"/>
      <c r="Y64" s="681"/>
      <c r="Z64" s="682"/>
      <c r="AA64" s="682"/>
      <c r="AB64" s="682"/>
      <c r="AC64" s="682"/>
      <c r="AD64" s="682"/>
      <c r="AE64" s="685">
        <f t="shared" ref="AE64:AP64" si="102">AE43</f>
        <v>3</v>
      </c>
      <c r="AF64" s="685">
        <f t="shared" si="102"/>
        <v>2.2000000000000002</v>
      </c>
      <c r="AG64" s="685">
        <f t="shared" si="102"/>
        <v>1.3</v>
      </c>
      <c r="AH64" s="685">
        <f t="shared" si="102"/>
        <v>0.90000000000000013</v>
      </c>
      <c r="AI64" s="685">
        <f t="shared" si="102"/>
        <v>1</v>
      </c>
      <c r="AJ64" s="685">
        <f t="shared" si="102"/>
        <v>1</v>
      </c>
      <c r="AK64" s="627">
        <f t="shared" si="102"/>
        <v>5.9</v>
      </c>
      <c r="AL64" s="627">
        <f t="shared" si="102"/>
        <v>9.6</v>
      </c>
      <c r="AM64" s="627">
        <f t="shared" si="102"/>
        <v>14.1</v>
      </c>
      <c r="AN64" s="627">
        <f t="shared" si="102"/>
        <v>15.299999999999999</v>
      </c>
      <c r="AO64" s="627">
        <f t="shared" si="102"/>
        <v>17.8</v>
      </c>
      <c r="AP64" s="686">
        <f t="shared" si="102"/>
        <v>14.8</v>
      </c>
      <c r="AQ64" s="687">
        <f t="shared" ref="AQ64:AT64" si="103">(AQ62/2)*SUM(AQ292:AQ293)</f>
        <v>11.560544898253351</v>
      </c>
      <c r="AR64" s="687">
        <f t="shared" si="103"/>
        <v>12.419803146888563</v>
      </c>
      <c r="AS64" s="687">
        <f t="shared" si="103"/>
        <v>12.51116222673609</v>
      </c>
      <c r="AT64" s="687">
        <f t="shared" si="103"/>
        <v>13.443565079354554</v>
      </c>
      <c r="AU64" s="687">
        <f t="shared" ref="AU64:AV64" si="104">(AU62/2)*SUM(AU292:AU293)</f>
        <v>13.567295490796939</v>
      </c>
      <c r="AV64" s="687">
        <f t="shared" si="104"/>
        <v>14.564478969396406</v>
      </c>
      <c r="AW64" s="687">
        <f t="shared" ref="AW64:AZ64" si="105">(AW62/2)*SUM(AW292:AW293)</f>
        <v>14.711021281207191</v>
      </c>
      <c r="AX64" s="687">
        <f t="shared" si="105"/>
        <v>15.781489867220412</v>
      </c>
      <c r="AY64" s="687">
        <f t="shared" si="105"/>
        <v>15.952689971336422</v>
      </c>
      <c r="AZ64" s="687">
        <f t="shared" si="105"/>
        <v>17.101129640014101</v>
      </c>
      <c r="BA64" s="56"/>
      <c r="BB64" s="56"/>
      <c r="BC64" s="56"/>
      <c r="BD64" s="56"/>
      <c r="BE64" s="56"/>
      <c r="BF64" s="56"/>
      <c r="BG64" s="56"/>
      <c r="BH64" s="56"/>
      <c r="BI64" s="56"/>
      <c r="BJ64" s="56"/>
      <c r="BK64" s="56"/>
      <c r="BL64" s="56"/>
      <c r="BM64" s="359"/>
      <c r="BN64" s="359"/>
      <c r="BO64" s="359"/>
      <c r="BP64" s="685">
        <f>BP43</f>
        <v>5.2</v>
      </c>
      <c r="BQ64" s="685">
        <f>BQ43</f>
        <v>2.2000000000000002</v>
      </c>
      <c r="BR64" s="685">
        <f>BR43</f>
        <v>2</v>
      </c>
      <c r="BS64" s="685">
        <f>BS43</f>
        <v>15.5</v>
      </c>
      <c r="BT64" s="196">
        <f>SUM(AM64:AN64)</f>
        <v>29.4</v>
      </c>
      <c r="BU64" s="461">
        <f>SUM(AO64:AP64)</f>
        <v>32.6</v>
      </c>
      <c r="BV64" s="196">
        <f>SUM(AQ64:AR64)</f>
        <v>23.980348045141916</v>
      </c>
      <c r="BW64" s="196">
        <f>SUM(AS64:AT64)</f>
        <v>25.954727306090646</v>
      </c>
      <c r="BX64" s="196">
        <f>SUM(AU64:AV64)</f>
        <v>28.131774460193345</v>
      </c>
      <c r="BY64" s="196">
        <f>SUM(AW64:AX64)</f>
        <v>30.492511148427603</v>
      </c>
      <c r="BZ64" s="196">
        <f>SUM(AY64:AZ64)</f>
        <v>33.053819611350519</v>
      </c>
      <c r="CB64" s="23" t="s">
        <v>609</v>
      </c>
      <c r="DS64" s="196">
        <f>SUM(CU64:CV64)</f>
        <v>0</v>
      </c>
    </row>
    <row r="65" spans="1:125" s="179" customFormat="1">
      <c r="A65" s="270"/>
      <c r="B65" s="243"/>
      <c r="C65" s="91"/>
      <c r="D65" s="91"/>
      <c r="E65" s="91"/>
      <c r="F65" s="91"/>
      <c r="G65" s="28"/>
      <c r="H65" s="617"/>
      <c r="I65" s="617"/>
      <c r="J65" s="617"/>
      <c r="K65" s="618"/>
      <c r="L65" s="617"/>
      <c r="M65" s="620"/>
      <c r="N65" s="620"/>
      <c r="O65" s="620"/>
      <c r="P65" s="620"/>
      <c r="Q65" s="620"/>
      <c r="R65" s="620"/>
      <c r="S65" s="620"/>
      <c r="T65" s="620"/>
      <c r="U65" s="620"/>
      <c r="V65" s="620"/>
      <c r="W65" s="620"/>
      <c r="X65" s="620"/>
      <c r="Y65" s="207"/>
      <c r="Z65" s="183"/>
      <c r="AA65" s="207"/>
      <c r="AB65" s="183"/>
      <c r="AC65" s="207"/>
      <c r="AD65" s="183"/>
      <c r="AE65" s="678"/>
      <c r="AF65" s="678"/>
      <c r="AG65" s="678"/>
      <c r="AH65" s="678"/>
      <c r="AI65" s="678"/>
      <c r="AJ65" s="678"/>
      <c r="AK65" s="420"/>
      <c r="AL65" s="420"/>
      <c r="AM65" s="420"/>
      <c r="AN65" s="420"/>
      <c r="AO65" s="420"/>
      <c r="AP65" s="447"/>
      <c r="AQ65" s="346"/>
      <c r="AR65" s="346"/>
      <c r="AS65" s="346"/>
      <c r="AT65" s="346"/>
      <c r="AU65" s="346"/>
      <c r="AV65" s="346"/>
      <c r="AW65" s="346"/>
      <c r="AX65" s="346"/>
      <c r="AY65" s="346"/>
      <c r="AZ65" s="346"/>
      <c r="BA65" s="223"/>
      <c r="BB65" s="668"/>
      <c r="BC65" s="668"/>
      <c r="BD65" s="668"/>
      <c r="BE65" s="668"/>
      <c r="BF65" s="668"/>
      <c r="BG65" s="668"/>
      <c r="BH65" s="598"/>
      <c r="BI65" s="667"/>
      <c r="BJ65" s="667"/>
      <c r="BK65" s="667"/>
      <c r="BL65" s="660"/>
      <c r="BM65" s="207"/>
      <c r="BN65" s="207"/>
      <c r="BO65" s="207"/>
      <c r="BP65" s="207"/>
      <c r="BQ65" s="207"/>
      <c r="BR65" s="207"/>
      <c r="BS65" s="207"/>
      <c r="BT65" s="198"/>
      <c r="BU65" s="501"/>
      <c r="BV65" s="198"/>
      <c r="BW65" s="198"/>
      <c r="BX65" s="198"/>
      <c r="BY65" s="198"/>
      <c r="BZ65" s="198"/>
      <c r="CB65" s="172" t="s">
        <v>609</v>
      </c>
      <c r="DS65" s="198"/>
    </row>
    <row r="66" spans="1:125" s="341" customFormat="1">
      <c r="A66" s="338"/>
      <c r="B66" s="356" t="s">
        <v>551</v>
      </c>
      <c r="C66" s="340"/>
      <c r="D66" s="340"/>
      <c r="E66" s="340"/>
      <c r="F66" s="340"/>
      <c r="H66" s="342"/>
      <c r="I66" s="342"/>
      <c r="J66" s="342"/>
      <c r="K66" s="343"/>
      <c r="L66" s="342"/>
      <c r="M66" s="342"/>
      <c r="N66" s="342"/>
      <c r="O66" s="342"/>
      <c r="P66" s="344"/>
      <c r="Q66" s="344"/>
      <c r="R66" s="344"/>
      <c r="S66" s="344"/>
      <c r="T66" s="344"/>
      <c r="U66" s="345"/>
      <c r="V66" s="345"/>
      <c r="W66" s="345"/>
      <c r="X66" s="345"/>
      <c r="Y66" s="345"/>
      <c r="Z66" s="345"/>
      <c r="AA66" s="167"/>
      <c r="AB66" s="167"/>
      <c r="AC66" s="167"/>
      <c r="AD66" s="167"/>
      <c r="AE66" s="167"/>
      <c r="AF66" s="167"/>
      <c r="AG66" s="167"/>
      <c r="AH66" s="167"/>
      <c r="AI66" s="167"/>
      <c r="AJ66" s="167"/>
      <c r="AK66" s="420"/>
      <c r="AL66" s="420"/>
      <c r="AM66" s="420"/>
      <c r="AN66" s="420"/>
      <c r="AO66" s="420"/>
      <c r="AP66" s="447"/>
      <c r="AQ66" s="346"/>
      <c r="AR66" s="346"/>
      <c r="AS66" s="346"/>
      <c r="AT66" s="346"/>
      <c r="AU66" s="346"/>
      <c r="AV66" s="346"/>
      <c r="AW66" s="346"/>
      <c r="AX66" s="346"/>
      <c r="AY66" s="346"/>
      <c r="AZ66" s="346"/>
      <c r="BA66" s="347"/>
      <c r="BB66" s="347"/>
      <c r="BC66" s="347"/>
      <c r="BD66" s="347"/>
      <c r="BE66" s="347"/>
      <c r="BF66" s="347"/>
      <c r="BG66" s="347"/>
      <c r="BH66" s="348"/>
      <c r="BI66" s="349"/>
      <c r="BJ66" s="350"/>
      <c r="BK66" s="350"/>
      <c r="BL66" s="350"/>
      <c r="BM66" s="351"/>
      <c r="BN66" s="352"/>
      <c r="BO66" s="353"/>
      <c r="BP66" s="353"/>
      <c r="BQ66" s="353"/>
      <c r="BR66" s="353"/>
      <c r="BS66" s="353"/>
      <c r="BT66" s="354"/>
      <c r="BU66" s="503"/>
      <c r="BV66" s="354"/>
      <c r="BW66" s="354"/>
      <c r="BX66" s="354"/>
      <c r="BY66" s="354"/>
      <c r="BZ66" s="354"/>
      <c r="CB66" s="341" t="s">
        <v>609</v>
      </c>
      <c r="DS66" s="354"/>
    </row>
    <row r="67" spans="1:125" s="179" customFormat="1">
      <c r="A67" s="270"/>
      <c r="B67" s="243" t="s">
        <v>552</v>
      </c>
      <c r="C67" s="91"/>
      <c r="D67" s="91"/>
      <c r="E67" s="91"/>
      <c r="F67" s="91"/>
      <c r="G67" s="28"/>
      <c r="H67" s="617"/>
      <c r="I67" s="617"/>
      <c r="J67" s="617"/>
      <c r="K67" s="618"/>
      <c r="L67" s="617"/>
      <c r="M67" s="620"/>
      <c r="N67" s="620"/>
      <c r="O67" s="620"/>
      <c r="P67" s="620"/>
      <c r="Q67" s="620"/>
      <c r="R67" s="620"/>
      <c r="S67" s="620"/>
      <c r="T67" s="620"/>
      <c r="U67" s="620"/>
      <c r="V67" s="620"/>
      <c r="W67" s="620"/>
      <c r="X67" s="620"/>
      <c r="Y67" s="357"/>
      <c r="Z67" s="358"/>
      <c r="AA67" s="678">
        <f>AA41/Y41-1</f>
        <v>9.6095576140593941E-2</v>
      </c>
      <c r="AB67" s="678">
        <f>AB41/Z41-1</f>
        <v>8.6028361912418916E-2</v>
      </c>
      <c r="AC67" s="678">
        <f t="shared" ref="AC67:AZ67" si="106">AC41/AA41-1</f>
        <v>0.35534317984361419</v>
      </c>
      <c r="AD67" s="678">
        <f t="shared" si="106"/>
        <v>3.2165422171166025E-2</v>
      </c>
      <c r="AE67" s="678">
        <f t="shared" si="106"/>
        <v>-4.8368298368298257E-2</v>
      </c>
      <c r="AF67" s="678">
        <f t="shared" si="106"/>
        <v>0.11111111111111116</v>
      </c>
      <c r="AG67" s="678">
        <f t="shared" si="106"/>
        <v>8.0220453153704741E-2</v>
      </c>
      <c r="AH67" s="678">
        <f t="shared" si="106"/>
        <v>0.14079020589872004</v>
      </c>
      <c r="AI67" s="678">
        <f t="shared" si="106"/>
        <v>0.10147392290249435</v>
      </c>
      <c r="AJ67" s="678">
        <f t="shared" si="106"/>
        <v>6.8292682926829329E-2</v>
      </c>
      <c r="AK67" s="603">
        <f t="shared" si="106"/>
        <v>0.12609366958311896</v>
      </c>
      <c r="AL67" s="603">
        <f t="shared" si="106"/>
        <v>8.4018264840182599E-2</v>
      </c>
      <c r="AM67" s="603">
        <f t="shared" si="106"/>
        <v>7.0840950639853739E-2</v>
      </c>
      <c r="AN67" s="603">
        <f t="shared" si="106"/>
        <v>7.7927548441449002E-2</v>
      </c>
      <c r="AO67" s="603">
        <f t="shared" si="106"/>
        <v>0.10072556551429779</v>
      </c>
      <c r="AP67" s="604">
        <f t="shared" si="106"/>
        <v>6.135209066041436E-2</v>
      </c>
      <c r="AQ67" s="678">
        <f t="shared" si="106"/>
        <v>4.8999999999999932E-2</v>
      </c>
      <c r="AR67" s="678">
        <f t="shared" si="106"/>
        <v>6.899999999999995E-2</v>
      </c>
      <c r="AS67" s="678">
        <f t="shared" si="106"/>
        <v>6.0999999999999943E-2</v>
      </c>
      <c r="AT67" s="678">
        <f t="shared" si="106"/>
        <v>6.1000000000000165E-2</v>
      </c>
      <c r="AU67" s="678">
        <f t="shared" si="106"/>
        <v>6.0999999999999943E-2</v>
      </c>
      <c r="AV67" s="678">
        <f t="shared" si="106"/>
        <v>6.1000000000000165E-2</v>
      </c>
      <c r="AW67" s="678">
        <f t="shared" si="106"/>
        <v>6.0999999999999943E-2</v>
      </c>
      <c r="AX67" s="678">
        <f t="shared" si="106"/>
        <v>6.0999999999999943E-2</v>
      </c>
      <c r="AY67" s="678">
        <f t="shared" si="106"/>
        <v>6.1000000000000165E-2</v>
      </c>
      <c r="AZ67" s="678">
        <f t="shared" si="106"/>
        <v>6.0999999999999943E-2</v>
      </c>
      <c r="BA67" s="223"/>
      <c r="BB67" s="668"/>
      <c r="BC67" s="668"/>
      <c r="BD67" s="668"/>
      <c r="BE67" s="668"/>
      <c r="BF67" s="668"/>
      <c r="BG67" s="668"/>
      <c r="BH67" s="598"/>
      <c r="BI67" s="667"/>
      <c r="BJ67" s="667"/>
      <c r="BK67" s="667"/>
      <c r="BL67" s="660"/>
      <c r="BM67" s="359"/>
      <c r="BN67" s="678">
        <f t="shared" ref="BN67:BZ67" si="107">BN41/BM41-1</f>
        <v>9.0504565260905112E-2</v>
      </c>
      <c r="BO67" s="678">
        <f t="shared" si="107"/>
        <v>0.17659724673490995</v>
      </c>
      <c r="BP67" s="678">
        <f t="shared" si="107"/>
        <v>2.9010290102901015E-2</v>
      </c>
      <c r="BQ67" s="678">
        <f t="shared" si="107"/>
        <v>0.11195335276967922</v>
      </c>
      <c r="BR67" s="679">
        <f t="shared" si="107"/>
        <v>8.3639223911903704E-2</v>
      </c>
      <c r="BS67" s="679">
        <f t="shared" si="107"/>
        <v>0.10379869344301951</v>
      </c>
      <c r="BT67" s="679">
        <f t="shared" si="107"/>
        <v>7.4528715475668639E-2</v>
      </c>
      <c r="BU67" s="680">
        <f t="shared" si="107"/>
        <v>8.0171358629131051E-2</v>
      </c>
      <c r="BV67" s="678">
        <f t="shared" si="107"/>
        <v>5.9258734655335044E-2</v>
      </c>
      <c r="BW67" s="678">
        <f t="shared" si="107"/>
        <v>6.0999999999999943E-2</v>
      </c>
      <c r="BX67" s="678">
        <f t="shared" si="107"/>
        <v>6.1000000000000165E-2</v>
      </c>
      <c r="BY67" s="678">
        <f t="shared" si="107"/>
        <v>6.1000000000000165E-2</v>
      </c>
      <c r="BZ67" s="678">
        <f t="shared" si="107"/>
        <v>6.1000000000000165E-2</v>
      </c>
      <c r="CB67" s="172" t="s">
        <v>609</v>
      </c>
      <c r="DS67" s="678" t="e">
        <f>DS41/DT41-1</f>
        <v>#DIV/0!</v>
      </c>
    </row>
    <row r="68" spans="1:125" s="179" customFormat="1">
      <c r="A68" s="270"/>
      <c r="B68" s="243" t="s">
        <v>553</v>
      </c>
      <c r="C68" s="91"/>
      <c r="D68" s="91"/>
      <c r="E68" s="91"/>
      <c r="F68" s="91"/>
      <c r="G68" s="28"/>
      <c r="H68" s="617"/>
      <c r="I68" s="617"/>
      <c r="J68" s="617"/>
      <c r="K68" s="618"/>
      <c r="L68" s="617"/>
      <c r="M68" s="620"/>
      <c r="N68" s="620"/>
      <c r="O68" s="620"/>
      <c r="P68" s="620"/>
      <c r="Q68" s="620"/>
      <c r="R68" s="620"/>
      <c r="S68" s="620"/>
      <c r="T68" s="620"/>
      <c r="U68" s="620"/>
      <c r="V68" s="620"/>
      <c r="W68" s="620"/>
      <c r="X68" s="620"/>
      <c r="Y68" s="357"/>
      <c r="Z68" s="358"/>
      <c r="AA68" s="678">
        <f>AA45/Y45-1</f>
        <v>8.27711836041094E-2</v>
      </c>
      <c r="AB68" s="678">
        <f>AB45/Z45-1</f>
        <v>9.5416333618146831E-2</v>
      </c>
      <c r="AC68" s="678">
        <f t="shared" ref="AC68:AZ68" si="108">AC45/AA45-1</f>
        <v>6.7645572630264716E-2</v>
      </c>
      <c r="AD68" s="678">
        <f t="shared" si="108"/>
        <v>1.5600309993279993E-4</v>
      </c>
      <c r="AE68" s="678">
        <f t="shared" si="108"/>
        <v>4.653830306134954E-2</v>
      </c>
      <c r="AF68" s="678">
        <f t="shared" si="108"/>
        <v>4.1802309492062761E-2</v>
      </c>
      <c r="AG68" s="678">
        <f t="shared" si="108"/>
        <v>9.3151442921597161E-2</v>
      </c>
      <c r="AH68" s="678">
        <f t="shared" si="108"/>
        <v>8.0510787093159619E-2</v>
      </c>
      <c r="AI68" s="678">
        <f t="shared" si="108"/>
        <v>6.581816411953656E-2</v>
      </c>
      <c r="AJ68" s="678">
        <f t="shared" si="108"/>
        <v>6.4834639263732452E-2</v>
      </c>
      <c r="AK68" s="603">
        <f t="shared" si="108"/>
        <v>0.14026659603713543</v>
      </c>
      <c r="AL68" s="603">
        <f t="shared" si="108"/>
        <v>0.13339741759994617</v>
      </c>
      <c r="AM68" s="603">
        <f t="shared" si="108"/>
        <v>0.10043292123716951</v>
      </c>
      <c r="AN68" s="603">
        <f t="shared" si="108"/>
        <v>6.9942631116971077E-2</v>
      </c>
      <c r="AO68" s="603">
        <f t="shared" si="108"/>
        <v>0.10142770319204297</v>
      </c>
      <c r="AP68" s="604">
        <f t="shared" si="108"/>
        <v>6.7769270177090224E-2</v>
      </c>
      <c r="AQ68" s="678">
        <f t="shared" si="108"/>
        <v>4.281588781649881E-2</v>
      </c>
      <c r="AR68" s="678">
        <f t="shared" si="108"/>
        <v>5.543132233280379E-2</v>
      </c>
      <c r="AS68" s="678">
        <f t="shared" si="108"/>
        <v>5.4142678936430322E-2</v>
      </c>
      <c r="AT68" s="678">
        <f t="shared" si="108"/>
        <v>5.6740219850544893E-2</v>
      </c>
      <c r="AU68" s="678">
        <f t="shared" si="108"/>
        <v>5.6304237796613643E-2</v>
      </c>
      <c r="AV68" s="678">
        <f t="shared" si="108"/>
        <v>5.900268962783195E-2</v>
      </c>
      <c r="AW68" s="678">
        <f t="shared" si="108"/>
        <v>5.7645550067112472E-2</v>
      </c>
      <c r="AX68" s="678">
        <f t="shared" si="108"/>
        <v>5.9259869920293751E-2</v>
      </c>
      <c r="AY68" s="678">
        <f t="shared" si="108"/>
        <v>5.7965253778281767E-2</v>
      </c>
      <c r="AZ68" s="678">
        <f t="shared" si="108"/>
        <v>5.9510322987086584E-2</v>
      </c>
      <c r="BA68" s="223"/>
      <c r="BB68" s="668"/>
      <c r="BC68" s="668"/>
      <c r="BD68" s="668"/>
      <c r="BE68" s="668"/>
      <c r="BF68" s="668"/>
      <c r="BG68" s="668"/>
      <c r="BH68" s="598"/>
      <c r="BI68" s="667"/>
      <c r="BJ68" s="667"/>
      <c r="BK68" s="667"/>
      <c r="BL68" s="660"/>
      <c r="BM68" s="359"/>
      <c r="BN68" s="678">
        <f t="shared" ref="BN68:BZ68" si="109">BN45/BM45-1</f>
        <v>8.9582819863345042E-2</v>
      </c>
      <c r="BO68" s="678">
        <f t="shared" si="109"/>
        <v>3.1095934090791477E-2</v>
      </c>
      <c r="BP68" s="678">
        <f t="shared" si="109"/>
        <v>4.4050441535236962E-2</v>
      </c>
      <c r="BQ68" s="678">
        <f t="shared" si="109"/>
        <v>8.6525487019151637E-2</v>
      </c>
      <c r="BR68" s="679">
        <f t="shared" si="109"/>
        <v>6.5305475752767572E-2</v>
      </c>
      <c r="BS68" s="679">
        <f t="shared" si="109"/>
        <v>0.13668743752884338</v>
      </c>
      <c r="BT68" s="679">
        <f t="shared" si="109"/>
        <v>8.4592057817304278E-2</v>
      </c>
      <c r="BU68" s="680">
        <f t="shared" si="109"/>
        <v>8.4177061360479311E-2</v>
      </c>
      <c r="BV68" s="678">
        <f t="shared" si="109"/>
        <v>4.9183707866087945E-2</v>
      </c>
      <c r="BW68" s="678">
        <f t="shared" si="109"/>
        <v>5.5461632197344235E-2</v>
      </c>
      <c r="BX68" s="678">
        <f t="shared" si="109"/>
        <v>5.7676090443855355E-2</v>
      </c>
      <c r="BY68" s="678">
        <f t="shared" si="109"/>
        <v>5.8467275558172549E-2</v>
      </c>
      <c r="BZ68" s="678">
        <f t="shared" si="109"/>
        <v>5.8752318040803164E-2</v>
      </c>
      <c r="CB68" s="172" t="s">
        <v>609</v>
      </c>
      <c r="DS68" s="678" t="e">
        <f>DS45/DT45-1</f>
        <v>#DIV/0!</v>
      </c>
    </row>
    <row r="69" spans="1:125" s="179" customFormat="1">
      <c r="A69" s="270"/>
      <c r="B69" s="243" t="s">
        <v>555</v>
      </c>
      <c r="C69" s="91"/>
      <c r="D69" s="91"/>
      <c r="E69" s="91"/>
      <c r="F69" s="91"/>
      <c r="G69" s="28"/>
      <c r="H69" s="617"/>
      <c r="I69" s="617"/>
      <c r="J69" s="617"/>
      <c r="K69" s="618"/>
      <c r="L69" s="617"/>
      <c r="M69" s="620"/>
      <c r="N69" s="620"/>
      <c r="O69" s="620"/>
      <c r="P69" s="620"/>
      <c r="Q69" s="620"/>
      <c r="R69" s="620"/>
      <c r="S69" s="620"/>
      <c r="T69" s="620"/>
      <c r="U69" s="620"/>
      <c r="V69" s="620"/>
      <c r="W69" s="620"/>
      <c r="X69" s="620"/>
      <c r="Y69" s="357"/>
      <c r="Z69" s="358"/>
      <c r="AA69" s="678">
        <f>AA47/Y47-1</f>
        <v>8.9748394004282916E-2</v>
      </c>
      <c r="AB69" s="678">
        <f>AB47/Z47-1</f>
        <v>0.13452662184262998</v>
      </c>
      <c r="AC69" s="678">
        <f>AC47/AA47-1</f>
        <v>0.10485594281924659</v>
      </c>
      <c r="AD69" s="678">
        <f>AD47/AB47-1</f>
        <v>-3.0416606602276519E-2</v>
      </c>
      <c r="AE69" s="678">
        <f t="shared" ref="AE69:AZ69" si="110">AE47/AC47-1</f>
        <v>6.5226090436174333E-2</v>
      </c>
      <c r="AF69" s="678">
        <f t="shared" si="110"/>
        <v>5.7983942908117037E-2</v>
      </c>
      <c r="AG69" s="678">
        <f t="shared" si="110"/>
        <v>0.37638784539611048</v>
      </c>
      <c r="AH69" s="678">
        <f t="shared" si="110"/>
        <v>0.10661420273561895</v>
      </c>
      <c r="AI69" s="678">
        <f t="shared" si="110"/>
        <v>3.4085912268198904E-2</v>
      </c>
      <c r="AJ69" s="678">
        <f t="shared" si="110"/>
        <v>0.21362456259171547</v>
      </c>
      <c r="AK69" s="603">
        <f t="shared" si="110"/>
        <v>0.2871742987433834</v>
      </c>
      <c r="AL69" s="603">
        <f t="shared" si="110"/>
        <v>9.8974561689066709E-2</v>
      </c>
      <c r="AM69" s="603">
        <f t="shared" si="110"/>
        <v>0.15639524286885931</v>
      </c>
      <c r="AN69" s="603">
        <f t="shared" si="110"/>
        <v>0.12051838138058746</v>
      </c>
      <c r="AO69" s="603">
        <f t="shared" si="110"/>
        <v>0.12239811649739463</v>
      </c>
      <c r="AP69" s="604">
        <f t="shared" si="110"/>
        <v>0.10524278444442281</v>
      </c>
      <c r="AQ69" s="678">
        <f t="shared" si="110"/>
        <v>3.0917253242991327E-2</v>
      </c>
      <c r="AR69" s="678">
        <f t="shared" si="110"/>
        <v>8.8837644365475477E-2</v>
      </c>
      <c r="AS69" s="678">
        <f t="shared" si="110"/>
        <v>4.4261960069180484E-2</v>
      </c>
      <c r="AT69" s="678">
        <f t="shared" si="110"/>
        <v>6.7215929983668765E-2</v>
      </c>
      <c r="AU69" s="678">
        <f t="shared" si="110"/>
        <v>0.10134561298507139</v>
      </c>
      <c r="AV69" s="678">
        <f t="shared" si="110"/>
        <v>0.10335177679910101</v>
      </c>
      <c r="AW69" s="678">
        <f t="shared" si="110"/>
        <v>0.10191710276262844</v>
      </c>
      <c r="AX69" s="678">
        <f t="shared" si="110"/>
        <v>0.10102771095322383</v>
      </c>
      <c r="AY69" s="678">
        <f t="shared" si="110"/>
        <v>9.98259631892493E-2</v>
      </c>
      <c r="AZ69" s="678">
        <f t="shared" si="110"/>
        <v>9.8918157815073293E-2</v>
      </c>
      <c r="BA69" s="223"/>
      <c r="BB69" s="668"/>
      <c r="BC69" s="668"/>
      <c r="BD69" s="668"/>
      <c r="BE69" s="668"/>
      <c r="BF69" s="668"/>
      <c r="BG69" s="668"/>
      <c r="BH69" s="598"/>
      <c r="BI69" s="667"/>
      <c r="BJ69" s="667"/>
      <c r="BK69" s="667"/>
      <c r="BL69" s="660"/>
      <c r="BM69" s="359"/>
      <c r="BN69" s="678">
        <f>BN47/BM47-1</f>
        <v>0.11641952592271831</v>
      </c>
      <c r="BO69" s="678">
        <f t="shared" ref="BO69:BZ69" si="111">BO47/BN47-1</f>
        <v>2.2977139200745178E-2</v>
      </c>
      <c r="BP69" s="678">
        <f t="shared" si="111"/>
        <v>6.1071306721255159E-2</v>
      </c>
      <c r="BQ69" s="678">
        <f t="shared" si="111"/>
        <v>0.22207038227938547</v>
      </c>
      <c r="BR69" s="679">
        <f t="shared" si="111"/>
        <v>0.12708389671327214</v>
      </c>
      <c r="BS69" s="679">
        <f t="shared" si="111"/>
        <v>0.18220490107709564</v>
      </c>
      <c r="BT69" s="679">
        <f t="shared" si="111"/>
        <v>0.13779352637554898</v>
      </c>
      <c r="BU69" s="680">
        <f t="shared" si="111"/>
        <v>0.11363833582413307</v>
      </c>
      <c r="BV69" s="678">
        <f t="shared" si="111"/>
        <v>6.026934831733044E-2</v>
      </c>
      <c r="BW69" s="678">
        <f t="shared" si="111"/>
        <v>5.6207680553513217E-2</v>
      </c>
      <c r="BX69" s="678">
        <f t="shared" si="111"/>
        <v>0.10240054363622231</v>
      </c>
      <c r="BY69" s="678">
        <f t="shared" si="111"/>
        <v>0.10144901722392041</v>
      </c>
      <c r="BZ69" s="678">
        <f t="shared" si="111"/>
        <v>9.9348369370192424E-2</v>
      </c>
      <c r="CB69" s="172" t="s">
        <v>609</v>
      </c>
      <c r="DS69" s="678" t="e">
        <f>DS47/DT47-1</f>
        <v>#DIV/0!</v>
      </c>
    </row>
    <row r="70" spans="1:125" s="179" customFormat="1">
      <c r="A70" s="270"/>
      <c r="B70" s="243" t="s">
        <v>522</v>
      </c>
      <c r="C70" s="91"/>
      <c r="D70" s="91"/>
      <c r="E70" s="91"/>
      <c r="F70" s="91"/>
      <c r="G70" s="28"/>
      <c r="H70" s="617"/>
      <c r="I70" s="617"/>
      <c r="J70" s="617"/>
      <c r="K70" s="618"/>
      <c r="L70" s="617"/>
      <c r="M70" s="620"/>
      <c r="N70" s="620"/>
      <c r="O70" s="620"/>
      <c r="P70" s="620"/>
      <c r="Q70" s="620"/>
      <c r="R70" s="620"/>
      <c r="S70" s="620"/>
      <c r="T70" s="620"/>
      <c r="U70" s="620"/>
      <c r="V70" s="620"/>
      <c r="W70" s="620"/>
      <c r="X70" s="620"/>
      <c r="Y70" s="678">
        <f t="shared" ref="Y70:AZ70" si="112">Y47/Y45</f>
        <v>0.24047992996730091</v>
      </c>
      <c r="Z70" s="678">
        <f t="shared" si="112"/>
        <v>0.30335437281221578</v>
      </c>
      <c r="AA70" s="678">
        <f t="shared" si="112"/>
        <v>0.24202954552209974</v>
      </c>
      <c r="AB70" s="678">
        <f t="shared" si="112"/>
        <v>0.31418521090612617</v>
      </c>
      <c r="AC70" s="678">
        <f t="shared" si="112"/>
        <v>0.25046493758143368</v>
      </c>
      <c r="AD70" s="678">
        <f t="shared" si="112"/>
        <v>0.30458124732697689</v>
      </c>
      <c r="AE70" s="678">
        <f t="shared" si="112"/>
        <v>0.25493743083340425</v>
      </c>
      <c r="AF70" s="678">
        <f t="shared" si="112"/>
        <v>0.3093121084939604</v>
      </c>
      <c r="AG70" s="678">
        <f t="shared" si="112"/>
        <v>0.32099192056848058</v>
      </c>
      <c r="AH70" s="678">
        <f t="shared" si="112"/>
        <v>0.316784595236073</v>
      </c>
      <c r="AI70" s="678">
        <f t="shared" si="112"/>
        <v>0.31143513423416436</v>
      </c>
      <c r="AJ70" s="678">
        <f t="shared" si="112"/>
        <v>0.3610490790335309</v>
      </c>
      <c r="AK70" s="603">
        <f t="shared" si="112"/>
        <v>0.35155927736995346</v>
      </c>
      <c r="AL70" s="603">
        <f t="shared" si="112"/>
        <v>0.35008351635327972</v>
      </c>
      <c r="AM70" s="603">
        <f t="shared" si="112"/>
        <v>0.36943776225812197</v>
      </c>
      <c r="AN70" s="603">
        <f t="shared" si="112"/>
        <v>0.36663182088808283</v>
      </c>
      <c r="AO70" s="688">
        <f t="shared" si="112"/>
        <v>0.37647159892548082</v>
      </c>
      <c r="AP70" s="689">
        <f t="shared" si="112"/>
        <v>0.37949881674068781</v>
      </c>
      <c r="AQ70" s="690">
        <f t="shared" si="112"/>
        <v>0.37217601996925892</v>
      </c>
      <c r="AR70" s="690">
        <f t="shared" si="112"/>
        <v>0.39151064490496479</v>
      </c>
      <c r="AS70" s="612">
        <f t="shared" si="112"/>
        <v>0.36868752956285733</v>
      </c>
      <c r="AT70" s="612">
        <f t="shared" si="112"/>
        <v>0.39539178045087675</v>
      </c>
      <c r="AU70" s="612">
        <f t="shared" si="112"/>
        <v>0.38440856215190167</v>
      </c>
      <c r="AV70" s="612">
        <f t="shared" si="112"/>
        <v>0.41195006185069238</v>
      </c>
      <c r="AW70" s="612">
        <f t="shared" si="112"/>
        <v>0.40049936300180411</v>
      </c>
      <c r="AX70" s="612">
        <f t="shared" si="112"/>
        <v>0.42819372894834257</v>
      </c>
      <c r="AY70" s="612">
        <f t="shared" si="112"/>
        <v>0.41634599633311919</v>
      </c>
      <c r="AZ70" s="612">
        <f t="shared" si="112"/>
        <v>0.44412013134261319</v>
      </c>
      <c r="BA70" s="223"/>
      <c r="BB70" s="668"/>
      <c r="BC70" s="668"/>
      <c r="BD70" s="668"/>
      <c r="BE70" s="668"/>
      <c r="BF70" s="668"/>
      <c r="BG70" s="668"/>
      <c r="BH70" s="598"/>
      <c r="BI70" s="667"/>
      <c r="BJ70" s="667"/>
      <c r="BK70" s="667"/>
      <c r="BL70" s="660"/>
      <c r="BM70" s="678">
        <f>BM47/BM45</f>
        <v>0.27434887056399049</v>
      </c>
      <c r="BN70" s="678">
        <f t="shared" ref="BN70:BZ70" si="113">BN47/BN45</f>
        <v>0.28110615405160116</v>
      </c>
      <c r="BO70" s="678">
        <f t="shared" si="113"/>
        <v>0.27889273905148565</v>
      </c>
      <c r="BP70" s="678">
        <f t="shared" si="113"/>
        <v>0.28343945013354255</v>
      </c>
      <c r="BQ70" s="678">
        <f t="shared" si="113"/>
        <v>0.3187987408634545</v>
      </c>
      <c r="BR70" s="679">
        <f t="shared" si="113"/>
        <v>0.33728628576302849</v>
      </c>
      <c r="BS70" s="679">
        <f t="shared" si="113"/>
        <v>0.35079256348781818</v>
      </c>
      <c r="BT70" s="679">
        <f t="shared" si="113"/>
        <v>0.36799965937456203</v>
      </c>
      <c r="BU70" s="680">
        <f t="shared" si="113"/>
        <v>0.3779996301853818</v>
      </c>
      <c r="BV70" s="678">
        <f t="shared" si="113"/>
        <v>0.38199356181005456</v>
      </c>
      <c r="BW70" s="678">
        <f t="shared" si="113"/>
        <v>0.38226357225871693</v>
      </c>
      <c r="BX70" s="678">
        <f t="shared" si="113"/>
        <v>0.39842781138551547</v>
      </c>
      <c r="BY70" s="678">
        <f t="shared" si="113"/>
        <v>0.41460698069652774</v>
      </c>
      <c r="BZ70" s="678">
        <f t="shared" si="113"/>
        <v>0.43050437802267999</v>
      </c>
      <c r="CB70" s="172" t="s">
        <v>609</v>
      </c>
      <c r="DS70" s="678" t="e">
        <f t="shared" ref="DS70" si="114">DS47/DS45</f>
        <v>#DIV/0!</v>
      </c>
    </row>
    <row r="71" spans="1:125" s="179" customFormat="1">
      <c r="A71" s="270"/>
      <c r="B71" s="243"/>
      <c r="C71" s="91"/>
      <c r="D71" s="91"/>
      <c r="E71" s="91"/>
      <c r="F71" s="91"/>
      <c r="G71" s="28"/>
      <c r="H71" s="617"/>
      <c r="I71" s="617"/>
      <c r="J71" s="617"/>
      <c r="K71" s="618"/>
      <c r="L71" s="617"/>
      <c r="M71" s="620"/>
      <c r="N71" s="620"/>
      <c r="O71" s="620"/>
      <c r="P71" s="620"/>
      <c r="Q71" s="620"/>
      <c r="R71" s="620"/>
      <c r="S71" s="620"/>
      <c r="T71" s="620"/>
      <c r="U71" s="620"/>
      <c r="V71" s="620"/>
      <c r="W71" s="620"/>
      <c r="X71" s="620"/>
      <c r="Y71" s="207"/>
      <c r="Z71" s="183"/>
      <c r="AA71" s="207"/>
      <c r="AB71" s="183"/>
      <c r="AC71" s="207"/>
      <c r="AD71" s="183"/>
      <c r="AE71" s="678"/>
      <c r="AF71" s="678"/>
      <c r="AG71" s="678"/>
      <c r="AH71" s="678"/>
      <c r="AI71" s="678"/>
      <c r="AJ71" s="678"/>
      <c r="AK71" s="603"/>
      <c r="AL71" s="603"/>
      <c r="AM71" s="603"/>
      <c r="AN71" s="603"/>
      <c r="AO71" s="603"/>
      <c r="AP71" s="604"/>
      <c r="AQ71" s="678"/>
      <c r="AR71" s="678"/>
      <c r="AS71" s="678"/>
      <c r="AT71" s="678"/>
      <c r="AU71" s="678"/>
      <c r="AV71" s="678"/>
      <c r="AW71" s="678"/>
      <c r="AX71" s="678"/>
      <c r="AY71" s="678"/>
      <c r="AZ71" s="678"/>
      <c r="BA71" s="223"/>
      <c r="BB71" s="668"/>
      <c r="BC71" s="668"/>
      <c r="BD71" s="668"/>
      <c r="BE71" s="668"/>
      <c r="BF71" s="668"/>
      <c r="BG71" s="668"/>
      <c r="BH71" s="598"/>
      <c r="BI71" s="667"/>
      <c r="BJ71" s="667"/>
      <c r="BK71" s="667"/>
      <c r="BL71" s="660"/>
      <c r="BM71" s="207"/>
      <c r="BN71" s="207"/>
      <c r="BO71" s="207"/>
      <c r="BP71" s="207"/>
      <c r="BQ71" s="207"/>
      <c r="BR71" s="207"/>
      <c r="BS71" s="207"/>
      <c r="BT71" s="198"/>
      <c r="BU71" s="501"/>
      <c r="BV71" s="198"/>
      <c r="BW71" s="198"/>
      <c r="BX71" s="198"/>
      <c r="BY71" s="198"/>
      <c r="BZ71" s="198"/>
      <c r="DS71" s="198"/>
    </row>
    <row r="72" spans="1:125" s="179" customFormat="1">
      <c r="A72" s="270"/>
      <c r="B72" s="355" t="s">
        <v>559</v>
      </c>
      <c r="C72" s="91"/>
      <c r="D72" s="91"/>
      <c r="E72" s="91"/>
      <c r="F72" s="91"/>
      <c r="G72" s="28"/>
      <c r="H72" s="617"/>
      <c r="I72" s="617"/>
      <c r="J72" s="617"/>
      <c r="K72" s="618"/>
      <c r="L72" s="617"/>
      <c r="M72" s="620"/>
      <c r="N72" s="620"/>
      <c r="O72" s="620"/>
      <c r="P72" s="620"/>
      <c r="Q72" s="620"/>
      <c r="R72" s="620"/>
      <c r="S72" s="620"/>
      <c r="T72" s="620"/>
      <c r="U72" s="620"/>
      <c r="V72" s="620"/>
      <c r="W72" s="620"/>
      <c r="X72" s="620"/>
      <c r="Y72" s="207"/>
      <c r="Z72" s="183"/>
      <c r="AA72" s="207"/>
      <c r="AB72" s="183"/>
      <c r="AC72" s="207"/>
      <c r="AD72" s="183"/>
      <c r="AE72" s="207"/>
      <c r="AF72" s="183"/>
      <c r="AG72" s="207"/>
      <c r="AH72" s="183"/>
      <c r="AI72" s="207"/>
      <c r="AJ72" s="183"/>
      <c r="AK72" s="667"/>
      <c r="AL72" s="667"/>
      <c r="AM72" s="667"/>
      <c r="AN72" s="667"/>
      <c r="AO72" s="667"/>
      <c r="AP72" s="666"/>
      <c r="AQ72" s="667"/>
      <c r="AR72" s="667"/>
      <c r="AS72" s="667"/>
      <c r="AT72" s="667"/>
      <c r="AU72" s="667"/>
      <c r="AV72" s="667"/>
      <c r="AW72" s="667"/>
      <c r="AX72" s="667"/>
      <c r="AY72" s="667"/>
      <c r="AZ72" s="667"/>
      <c r="BA72" s="223"/>
      <c r="BB72" s="668"/>
      <c r="BC72" s="668"/>
      <c r="BD72" s="668"/>
      <c r="BE72" s="668"/>
      <c r="BF72" s="668"/>
      <c r="BG72" s="668"/>
      <c r="BH72" s="598"/>
      <c r="BI72" s="667"/>
      <c r="BJ72" s="667"/>
      <c r="BK72" s="667"/>
      <c r="BL72" s="660"/>
      <c r="BM72" s="207"/>
      <c r="BN72" s="207"/>
      <c r="BO72" s="207"/>
      <c r="BP72" s="207"/>
      <c r="BQ72" s="207"/>
      <c r="BR72" s="207"/>
      <c r="BS72" s="207"/>
      <c r="BT72" s="198"/>
      <c r="BU72" s="501"/>
      <c r="BV72" s="198"/>
      <c r="BW72" s="198"/>
      <c r="BX72" s="198"/>
      <c r="BY72" s="198"/>
      <c r="BZ72" s="198"/>
      <c r="DS72" s="198"/>
    </row>
    <row r="73" spans="1:125">
      <c r="A73" s="10" t="s">
        <v>473</v>
      </c>
      <c r="B73" s="23" t="s">
        <v>318</v>
      </c>
      <c r="D73" s="55"/>
      <c r="E73" s="55"/>
      <c r="F73" s="55"/>
      <c r="G73" s="55"/>
      <c r="H73" s="55"/>
      <c r="I73" s="55"/>
      <c r="J73" s="55"/>
      <c r="K73" s="55"/>
      <c r="L73" s="55"/>
      <c r="M73" s="55"/>
      <c r="N73" s="55"/>
      <c r="O73" s="55"/>
      <c r="P73" s="55"/>
      <c r="Q73" s="55"/>
      <c r="R73" s="55"/>
      <c r="S73" s="55"/>
      <c r="T73" s="55"/>
      <c r="U73" s="55"/>
      <c r="V73" s="55"/>
      <c r="W73" s="55"/>
      <c r="X73" s="56"/>
      <c r="Y73" s="681"/>
      <c r="Z73" s="682"/>
      <c r="AA73" s="682"/>
      <c r="AB73" s="682"/>
      <c r="AC73" s="682"/>
      <c r="AD73" s="682"/>
      <c r="AE73" s="682"/>
      <c r="AF73" s="682"/>
      <c r="AG73" s="682"/>
      <c r="AH73" s="682"/>
      <c r="AI73" s="682"/>
      <c r="AJ73" s="682"/>
      <c r="AK73" s="682"/>
      <c r="AL73" s="682"/>
      <c r="AM73" s="682"/>
      <c r="AN73" s="682"/>
      <c r="AO73" s="682"/>
      <c r="AP73" s="691"/>
      <c r="AQ73" s="682"/>
      <c r="AR73" s="682"/>
      <c r="AS73" s="682"/>
      <c r="AT73" s="682"/>
      <c r="AU73" s="682"/>
      <c r="AV73" s="682"/>
      <c r="AW73" s="682"/>
      <c r="AX73" s="682"/>
      <c r="AY73" s="682"/>
      <c r="AZ73" s="682"/>
      <c r="BA73" s="56"/>
      <c r="BB73" s="56"/>
      <c r="BC73" s="56"/>
      <c r="BD73" s="56"/>
      <c r="BE73" s="56"/>
      <c r="BF73" s="56"/>
      <c r="BG73" s="56"/>
      <c r="BH73" s="56"/>
      <c r="BI73" s="56"/>
      <c r="BJ73" s="56"/>
      <c r="BK73" s="56"/>
      <c r="BL73" s="233"/>
      <c r="BM73" s="682"/>
      <c r="BN73" s="682"/>
      <c r="BO73" s="682"/>
      <c r="BP73" s="220">
        <f>(2.3*1000)</f>
        <v>2300</v>
      </c>
      <c r="BQ73" s="220">
        <f>(2.6*1000)</f>
        <v>2600</v>
      </c>
      <c r="BR73" s="220">
        <v>2900</v>
      </c>
      <c r="BS73" s="220">
        <v>3400</v>
      </c>
      <c r="BT73" s="220">
        <v>3500</v>
      </c>
      <c r="BU73" s="519">
        <v>3600</v>
      </c>
      <c r="BV73" s="682"/>
      <c r="BW73" s="682"/>
      <c r="BX73" s="682"/>
      <c r="BY73" s="682"/>
      <c r="BZ73" s="682"/>
      <c r="CB73" s="23" t="s">
        <v>642</v>
      </c>
      <c r="DS73" s="682"/>
    </row>
    <row r="74" spans="1:125">
      <c r="B74" s="23" t="s">
        <v>406</v>
      </c>
      <c r="D74" s="55"/>
      <c r="E74" s="55"/>
      <c r="F74" s="55"/>
      <c r="G74" s="55"/>
      <c r="H74" s="55"/>
      <c r="I74" s="55"/>
      <c r="J74" s="55"/>
      <c r="K74" s="55"/>
      <c r="L74" s="55"/>
      <c r="M74" s="55"/>
      <c r="N74" s="55"/>
      <c r="O74" s="55"/>
      <c r="P74" s="55"/>
      <c r="Q74" s="55"/>
      <c r="R74" s="55"/>
      <c r="S74" s="55"/>
      <c r="T74" s="55"/>
      <c r="U74" s="55"/>
      <c r="V74" s="55"/>
      <c r="W74" s="55"/>
      <c r="X74" s="56"/>
      <c r="Y74" s="682"/>
      <c r="Z74" s="682"/>
      <c r="AA74" s="682"/>
      <c r="AB74" s="682"/>
      <c r="AC74" s="682"/>
      <c r="AD74" s="682"/>
      <c r="AE74" s="682"/>
      <c r="AF74" s="682"/>
      <c r="AG74" s="682"/>
      <c r="AH74" s="682"/>
      <c r="AI74" s="682"/>
      <c r="AJ74" s="682"/>
      <c r="AK74" s="682"/>
      <c r="AL74" s="682"/>
      <c r="AM74" s="682"/>
      <c r="AN74" s="682"/>
      <c r="AO74" s="682"/>
      <c r="AP74" s="691"/>
      <c r="AQ74" s="682"/>
      <c r="AR74" s="682"/>
      <c r="AS74" s="682"/>
      <c r="AT74" s="682"/>
      <c r="AU74" s="682"/>
      <c r="AV74" s="682"/>
      <c r="AW74" s="682"/>
      <c r="AX74" s="682"/>
      <c r="AY74" s="682"/>
      <c r="AZ74" s="682" t="s">
        <v>641</v>
      </c>
      <c r="BA74" s="56"/>
      <c r="BB74" s="56"/>
      <c r="BC74" s="56"/>
      <c r="BD74" s="56"/>
      <c r="BE74" s="56"/>
      <c r="BF74" s="56"/>
      <c r="BG74" s="56"/>
      <c r="BH74" s="56"/>
      <c r="BI74" s="56"/>
      <c r="BJ74" s="56"/>
      <c r="BK74" s="56"/>
      <c r="BL74" s="233"/>
      <c r="BM74" s="682"/>
      <c r="BN74" s="682"/>
      <c r="BO74" s="682"/>
      <c r="BP74" s="682"/>
      <c r="BQ74" s="683">
        <f>BQ73/BP73-1</f>
        <v>0.13043478260869557</v>
      </c>
      <c r="BR74" s="683">
        <f>BR73/BQ73-1</f>
        <v>0.11538461538461542</v>
      </c>
      <c r="BS74" s="683">
        <f>BS73/BR73-1</f>
        <v>0.17241379310344818</v>
      </c>
      <c r="BT74" s="420">
        <f>BT73/BS73-1</f>
        <v>2.9411764705882248E-2</v>
      </c>
      <c r="BU74" s="447">
        <f>BU73/BT73-1</f>
        <v>2.857142857142847E-2</v>
      </c>
      <c r="BV74" s="682"/>
      <c r="BW74" s="682"/>
      <c r="BX74" s="682"/>
      <c r="BY74" s="682"/>
      <c r="BZ74" s="682"/>
      <c r="CB74" s="23" t="s">
        <v>609</v>
      </c>
      <c r="DS74" s="682"/>
    </row>
    <row r="75" spans="1:125">
      <c r="B75" s="23" t="s">
        <v>456</v>
      </c>
      <c r="D75" s="55"/>
      <c r="E75" s="55"/>
      <c r="F75" s="55"/>
      <c r="G75" s="55"/>
      <c r="H75" s="55"/>
      <c r="I75" s="55"/>
      <c r="J75" s="55"/>
      <c r="K75" s="55"/>
      <c r="L75" s="55"/>
      <c r="M75" s="55"/>
      <c r="N75" s="55"/>
      <c r="O75" s="55"/>
      <c r="P75" s="55"/>
      <c r="Q75" s="55"/>
      <c r="R75" s="55"/>
      <c r="S75" s="55"/>
      <c r="T75" s="55"/>
      <c r="U75" s="55"/>
      <c r="V75" s="55"/>
      <c r="W75" s="55"/>
      <c r="X75" s="56"/>
      <c r="Y75" s="682"/>
      <c r="Z75" s="682"/>
      <c r="AA75" s="682"/>
      <c r="AB75" s="682"/>
      <c r="AC75" s="682"/>
      <c r="AD75" s="682"/>
      <c r="AE75" s="682"/>
      <c r="AF75" s="682"/>
      <c r="AG75" s="682"/>
      <c r="AH75" s="682"/>
      <c r="AI75" s="682"/>
      <c r="AJ75" s="682"/>
      <c r="AK75" s="682"/>
      <c r="AL75" s="682"/>
      <c r="AM75" s="682"/>
      <c r="AN75" s="682"/>
      <c r="AO75" s="682"/>
      <c r="AP75" s="691"/>
      <c r="AQ75" s="682"/>
      <c r="AR75" s="682"/>
      <c r="AS75" s="682"/>
      <c r="AT75" s="682"/>
      <c r="AU75" s="682"/>
      <c r="AV75" s="682"/>
      <c r="AW75" s="682"/>
      <c r="AX75" s="682"/>
      <c r="AY75" s="682"/>
      <c r="AZ75" s="682"/>
      <c r="BA75" s="56"/>
      <c r="BB75" s="56"/>
      <c r="BC75" s="56"/>
      <c r="BD75" s="56"/>
      <c r="BE75" s="56"/>
      <c r="BF75" s="56"/>
      <c r="BG75" s="56"/>
      <c r="BH75" s="56"/>
      <c r="BI75" s="56"/>
      <c r="BJ75" s="56"/>
      <c r="BK75" s="56"/>
      <c r="BL75" s="56"/>
      <c r="BM75" s="682"/>
      <c r="BN75" s="682"/>
      <c r="BO75" s="682"/>
      <c r="BP75" s="682"/>
      <c r="BQ75" s="220">
        <v>50</v>
      </c>
      <c r="BR75" s="220">
        <v>45</v>
      </c>
      <c r="BS75" s="220">
        <v>41</v>
      </c>
      <c r="BT75" s="220">
        <v>44</v>
      </c>
      <c r="BU75" s="519">
        <v>47</v>
      </c>
      <c r="BV75" s="682"/>
      <c r="BW75" s="682"/>
      <c r="BX75" s="682"/>
      <c r="BY75" s="682"/>
      <c r="BZ75" s="682"/>
      <c r="CB75" s="23" t="s">
        <v>642</v>
      </c>
      <c r="DS75" s="682"/>
      <c r="DU75" s="23"/>
    </row>
    <row r="76" spans="1:125">
      <c r="B76" s="23" t="s">
        <v>317</v>
      </c>
      <c r="D76" s="55"/>
      <c r="E76" s="55"/>
      <c r="F76" s="55"/>
      <c r="G76" s="55"/>
      <c r="H76" s="55"/>
      <c r="I76" s="55"/>
      <c r="J76" s="55"/>
      <c r="K76" s="55"/>
      <c r="L76" s="55"/>
      <c r="M76" s="55"/>
      <c r="N76" s="55"/>
      <c r="O76" s="55"/>
      <c r="P76" s="55"/>
      <c r="Q76" s="55"/>
      <c r="R76" s="55"/>
      <c r="S76" s="55"/>
      <c r="T76" s="55"/>
      <c r="U76" s="55"/>
      <c r="V76" s="55"/>
      <c r="W76" s="55"/>
      <c r="X76" s="56"/>
      <c r="Y76" s="681"/>
      <c r="Z76" s="682"/>
      <c r="AA76" s="682"/>
      <c r="AB76" s="682"/>
      <c r="AC76" s="682"/>
      <c r="AD76" s="682"/>
      <c r="AE76" s="682"/>
      <c r="AF76" s="682"/>
      <c r="AG76" s="682"/>
      <c r="AH76" s="682"/>
      <c r="AI76" s="682"/>
      <c r="AJ76" s="682"/>
      <c r="AK76" s="682"/>
      <c r="AL76" s="682"/>
      <c r="AM76" s="682"/>
      <c r="AN76" s="682"/>
      <c r="AO76" s="682"/>
      <c r="AP76" s="691"/>
      <c r="AQ76" s="682"/>
      <c r="AR76" s="682"/>
      <c r="AS76" s="682"/>
      <c r="AT76" s="682"/>
      <c r="AU76" s="682"/>
      <c r="AV76" s="682"/>
      <c r="AW76" s="682"/>
      <c r="AX76" s="682"/>
      <c r="AY76" s="682"/>
      <c r="AZ76" s="682"/>
      <c r="BA76" s="56"/>
      <c r="BB76" s="56"/>
      <c r="BC76" s="56"/>
      <c r="BD76" s="56"/>
      <c r="BE76" s="56"/>
      <c r="BF76" s="56"/>
      <c r="BG76" s="56"/>
      <c r="BH76" s="56"/>
      <c r="BI76" s="56"/>
      <c r="BJ76" s="56"/>
      <c r="BK76" s="56"/>
      <c r="BL76" s="233"/>
      <c r="BM76" s="682"/>
      <c r="BN76" s="682"/>
      <c r="BO76" s="682"/>
      <c r="BP76" s="220">
        <v>450</v>
      </c>
      <c r="BQ76" s="220">
        <v>520</v>
      </c>
      <c r="BR76" s="220">
        <v>570</v>
      </c>
      <c r="BS76" s="220">
        <v>590</v>
      </c>
      <c r="BT76" s="220">
        <v>607</v>
      </c>
      <c r="BU76" s="519">
        <v>680</v>
      </c>
      <c r="BV76" s="682"/>
      <c r="BW76" s="682"/>
      <c r="BX76" s="682"/>
      <c r="BY76" s="682"/>
      <c r="BZ76" s="682"/>
      <c r="CB76" s="23" t="s">
        <v>642</v>
      </c>
      <c r="DS76" s="682"/>
    </row>
    <row r="77" spans="1:125">
      <c r="A77" s="57"/>
      <c r="B77" s="23" t="s">
        <v>344</v>
      </c>
      <c r="C77" s="58"/>
      <c r="D77" s="58"/>
      <c r="E77" s="58"/>
      <c r="F77" s="58"/>
      <c r="G77" s="23"/>
      <c r="H77" s="606"/>
      <c r="I77" s="606"/>
      <c r="J77" s="606"/>
      <c r="K77" s="607"/>
      <c r="L77" s="606"/>
      <c r="M77" s="625"/>
      <c r="N77" s="625"/>
      <c r="O77" s="625"/>
      <c r="P77" s="625"/>
      <c r="Q77" s="625"/>
      <c r="R77" s="625"/>
      <c r="S77" s="625"/>
      <c r="T77" s="625"/>
      <c r="U77" s="625"/>
      <c r="V77" s="625"/>
      <c r="W77" s="625"/>
      <c r="X77" s="625"/>
      <c r="Y77" s="681"/>
      <c r="Z77" s="682"/>
      <c r="AA77" s="682"/>
      <c r="AB77" s="682"/>
      <c r="AC77" s="682"/>
      <c r="AD77" s="682"/>
      <c r="AE77" s="682"/>
      <c r="AF77" s="682"/>
      <c r="AG77" s="682"/>
      <c r="AH77" s="682"/>
      <c r="AI77" s="682"/>
      <c r="AJ77" s="682"/>
      <c r="AK77" s="682"/>
      <c r="AL77" s="682"/>
      <c r="AM77" s="682"/>
      <c r="AN77" s="682"/>
      <c r="AO77" s="682"/>
      <c r="AP77" s="691"/>
      <c r="AQ77" s="682"/>
      <c r="AR77" s="682"/>
      <c r="AS77" s="682"/>
      <c r="AT77" s="682"/>
      <c r="AU77" s="682"/>
      <c r="AV77" s="682"/>
      <c r="AW77" s="682"/>
      <c r="AX77" s="682"/>
      <c r="AY77" s="682"/>
      <c r="AZ77" s="682"/>
      <c r="BA77" s="57"/>
      <c r="BB77" s="558"/>
      <c r="BC77" s="558"/>
      <c r="BD77" s="558"/>
      <c r="BE77" s="558"/>
      <c r="BF77" s="558"/>
      <c r="BG77" s="558"/>
      <c r="BH77" s="431"/>
      <c r="BI77" s="625"/>
      <c r="BJ77" s="625"/>
      <c r="BK77" s="625"/>
      <c r="BL77" s="625"/>
      <c r="BM77" s="682"/>
      <c r="BN77" s="682"/>
      <c r="BO77" s="682"/>
      <c r="BP77" s="199">
        <f t="shared" ref="BP77:BU77" si="115">BP41/BP73</f>
        <v>0.14913043478260871</v>
      </c>
      <c r="BQ77" s="199">
        <f t="shared" si="115"/>
        <v>0.14669230769230768</v>
      </c>
      <c r="BR77" s="199">
        <f t="shared" si="115"/>
        <v>0.14251724137931035</v>
      </c>
      <c r="BS77" s="199">
        <f t="shared" si="115"/>
        <v>0.13417647058823529</v>
      </c>
      <c r="BT77" s="199">
        <f t="shared" si="115"/>
        <v>0.14005714285714285</v>
      </c>
      <c r="BU77" s="520">
        <f t="shared" si="115"/>
        <v>0.14708333333333334</v>
      </c>
      <c r="BV77" s="682"/>
      <c r="BW77" s="682"/>
      <c r="BX77" s="682"/>
      <c r="BY77" s="682"/>
      <c r="BZ77" s="682"/>
      <c r="CB77" s="23" t="s">
        <v>609</v>
      </c>
      <c r="DS77" s="682"/>
    </row>
    <row r="78" spans="1:125">
      <c r="A78" s="57"/>
      <c r="B78" s="23" t="s">
        <v>347</v>
      </c>
      <c r="C78" s="58"/>
      <c r="D78" s="58"/>
      <c r="E78" s="58"/>
      <c r="F78" s="58"/>
      <c r="G78" s="23"/>
      <c r="H78" s="606"/>
      <c r="I78" s="606"/>
      <c r="J78" s="606"/>
      <c r="K78" s="607"/>
      <c r="L78" s="606"/>
      <c r="M78" s="625"/>
      <c r="N78" s="625"/>
      <c r="O78" s="625"/>
      <c r="P78" s="625"/>
      <c r="Q78" s="625"/>
      <c r="R78" s="625"/>
      <c r="S78" s="625"/>
      <c r="T78" s="625"/>
      <c r="U78" s="625"/>
      <c r="V78" s="625"/>
      <c r="W78" s="625"/>
      <c r="X78" s="625"/>
      <c r="Y78" s="681"/>
      <c r="Z78" s="682"/>
      <c r="AA78" s="682"/>
      <c r="AB78" s="682"/>
      <c r="AC78" s="682"/>
      <c r="AD78" s="682"/>
      <c r="AE78" s="682"/>
      <c r="AF78" s="682"/>
      <c r="AG78" s="682"/>
      <c r="AH78" s="682"/>
      <c r="AI78" s="682"/>
      <c r="AJ78" s="682"/>
      <c r="AK78" s="682"/>
      <c r="AL78" s="682"/>
      <c r="AM78" s="682"/>
      <c r="AN78" s="682"/>
      <c r="AO78" s="682"/>
      <c r="AP78" s="691"/>
      <c r="AQ78" s="682"/>
      <c r="AR78" s="682"/>
      <c r="AS78" s="682"/>
      <c r="AT78" s="682"/>
      <c r="AU78" s="682"/>
      <c r="AV78" s="682"/>
      <c r="AW78" s="682"/>
      <c r="AX78" s="682"/>
      <c r="AY78" s="682"/>
      <c r="AZ78" s="682"/>
      <c r="BA78" s="57"/>
      <c r="BB78" s="558"/>
      <c r="BC78" s="558"/>
      <c r="BD78" s="558"/>
      <c r="BE78" s="558"/>
      <c r="BF78" s="558"/>
      <c r="BG78" s="558"/>
      <c r="BH78" s="431"/>
      <c r="BI78" s="625"/>
      <c r="BJ78" s="625"/>
      <c r="BK78" s="625"/>
      <c r="BL78" s="625"/>
      <c r="BM78" s="682"/>
      <c r="BN78" s="682"/>
      <c r="BO78" s="682"/>
      <c r="BP78" s="42">
        <f t="shared" ref="BP78:BU78" si="116">BP42/BP73</f>
        <v>1.3434782608695652E-2</v>
      </c>
      <c r="BQ78" s="42">
        <f t="shared" si="116"/>
        <v>1.1576923076923077E-2</v>
      </c>
      <c r="BR78" s="42">
        <f t="shared" si="116"/>
        <v>1.0413793103448275E-2</v>
      </c>
      <c r="BS78" s="42">
        <f t="shared" si="116"/>
        <v>8.6176470588235302E-3</v>
      </c>
      <c r="BT78" s="42">
        <f t="shared" si="116"/>
        <v>8.2857142857142851E-3</v>
      </c>
      <c r="BU78" s="521">
        <f t="shared" si="116"/>
        <v>8.277777777777778E-3</v>
      </c>
      <c r="BV78" s="682"/>
      <c r="BW78" s="682"/>
      <c r="BX78" s="682"/>
      <c r="BY78" s="682"/>
      <c r="BZ78" s="682"/>
      <c r="CB78" s="23" t="s">
        <v>609</v>
      </c>
      <c r="DS78" s="682"/>
    </row>
    <row r="79" spans="1:125">
      <c r="B79" s="23" t="s">
        <v>315</v>
      </c>
      <c r="D79" s="55"/>
      <c r="E79" s="55"/>
      <c r="F79" s="55"/>
      <c r="G79" s="55"/>
      <c r="H79" s="55"/>
      <c r="I79" s="55"/>
      <c r="J79" s="55"/>
      <c r="K79" s="55"/>
      <c r="L79" s="55"/>
      <c r="M79" s="55"/>
      <c r="N79" s="55"/>
      <c r="O79" s="55"/>
      <c r="P79" s="55"/>
      <c r="Q79" s="55"/>
      <c r="R79" s="55"/>
      <c r="S79" s="55"/>
      <c r="T79" s="55"/>
      <c r="U79" s="55"/>
      <c r="V79" s="55"/>
      <c r="W79" s="55"/>
      <c r="X79" s="56"/>
      <c r="Y79" s="681"/>
      <c r="Z79" s="682"/>
      <c r="AA79" s="682"/>
      <c r="AB79" s="682"/>
      <c r="AC79" s="682"/>
      <c r="AD79" s="682"/>
      <c r="AE79" s="682"/>
      <c r="AF79" s="682"/>
      <c r="AG79" s="682"/>
      <c r="AH79" s="682"/>
      <c r="AI79" s="682"/>
      <c r="AJ79" s="682"/>
      <c r="AK79" s="682"/>
      <c r="AL79" s="682"/>
      <c r="AM79" s="682"/>
      <c r="AN79" s="682"/>
      <c r="AO79" s="682"/>
      <c r="AP79" s="691"/>
      <c r="AQ79" s="682"/>
      <c r="AR79" s="682"/>
      <c r="AS79" s="682"/>
      <c r="AT79" s="682"/>
      <c r="AU79" s="682"/>
      <c r="AV79" s="682"/>
      <c r="AW79" s="682"/>
      <c r="AX79" s="682"/>
      <c r="AY79" s="682"/>
      <c r="AZ79" s="682"/>
      <c r="BA79" s="56"/>
      <c r="BB79" s="56"/>
      <c r="BC79" s="56"/>
      <c r="BD79" s="56"/>
      <c r="BE79" s="56"/>
      <c r="BF79" s="56"/>
      <c r="BG79" s="56"/>
      <c r="BH79" s="56"/>
      <c r="BI79" s="56"/>
      <c r="BJ79" s="56"/>
      <c r="BK79" s="56"/>
      <c r="BL79" s="56"/>
      <c r="BM79" s="682"/>
      <c r="BN79" s="682"/>
      <c r="BO79" s="682"/>
      <c r="BP79" s="685">
        <f t="shared" ref="BP79:BU79" si="117">BP73/BP76</f>
        <v>5.1111111111111107</v>
      </c>
      <c r="BQ79" s="685">
        <f t="shared" si="117"/>
        <v>5</v>
      </c>
      <c r="BR79" s="685">
        <f t="shared" si="117"/>
        <v>5.0877192982456139</v>
      </c>
      <c r="BS79" s="685">
        <f t="shared" si="117"/>
        <v>5.7627118644067794</v>
      </c>
      <c r="BT79" s="685">
        <f t="shared" si="117"/>
        <v>5.7660626029654036</v>
      </c>
      <c r="BU79" s="692">
        <f t="shared" si="117"/>
        <v>5.2941176470588234</v>
      </c>
      <c r="BV79" s="682"/>
      <c r="BW79" s="682"/>
      <c r="BX79" s="682"/>
      <c r="BY79" s="682"/>
      <c r="BZ79" s="682"/>
      <c r="CB79" s="23" t="s">
        <v>609</v>
      </c>
      <c r="DS79" s="682"/>
    </row>
    <row r="80" spans="1:125">
      <c r="B80" s="23" t="s">
        <v>319</v>
      </c>
      <c r="D80" s="55"/>
      <c r="E80" s="55"/>
      <c r="F80" s="55"/>
      <c r="G80" s="55"/>
      <c r="H80" s="55"/>
      <c r="I80" s="55"/>
      <c r="J80" s="55"/>
      <c r="K80" s="55"/>
      <c r="L80" s="55"/>
      <c r="M80" s="55"/>
      <c r="N80" s="55"/>
      <c r="O80" s="55"/>
      <c r="P80" s="55"/>
      <c r="Q80" s="55"/>
      <c r="R80" s="55"/>
      <c r="S80" s="55"/>
      <c r="T80" s="55"/>
      <c r="U80" s="55"/>
      <c r="V80" s="55"/>
      <c r="W80" s="55"/>
      <c r="X80" s="56"/>
      <c r="Y80" s="681"/>
      <c r="Z80" s="682"/>
      <c r="AA80" s="682"/>
      <c r="AB80" s="682"/>
      <c r="AC80" s="682"/>
      <c r="AD80" s="682"/>
      <c r="AE80" s="682"/>
      <c r="AF80" s="682"/>
      <c r="AG80" s="682"/>
      <c r="AH80" s="682"/>
      <c r="AI80" s="682"/>
      <c r="AJ80" s="682"/>
      <c r="AK80" s="682"/>
      <c r="AL80" s="682"/>
      <c r="AM80" s="682"/>
      <c r="AN80" s="682"/>
      <c r="AO80" s="682"/>
      <c r="AP80" s="691"/>
      <c r="AQ80" s="682"/>
      <c r="AR80" s="682"/>
      <c r="AS80" s="682"/>
      <c r="AT80" s="682"/>
      <c r="AU80" s="682"/>
      <c r="AV80" s="682"/>
      <c r="AW80" s="682"/>
      <c r="AX80" s="682"/>
      <c r="AY80" s="682"/>
      <c r="AZ80" s="682"/>
      <c r="BA80" s="56"/>
      <c r="BB80" s="56"/>
      <c r="BC80" s="56"/>
      <c r="BD80" s="56"/>
      <c r="BE80" s="56"/>
      <c r="BF80" s="56"/>
      <c r="BG80" s="56"/>
      <c r="BH80" s="56"/>
      <c r="BI80" s="56"/>
      <c r="BJ80" s="56"/>
      <c r="BK80" s="56"/>
      <c r="BL80" s="56"/>
      <c r="BM80" s="682"/>
      <c r="BN80" s="682"/>
      <c r="BO80" s="682"/>
      <c r="BP80" s="359"/>
      <c r="BQ80" s="683">
        <f>BQ76/BP76-1</f>
        <v>0.15555555555555545</v>
      </c>
      <c r="BR80" s="683">
        <f>BR76/BQ76-1</f>
        <v>9.6153846153846256E-2</v>
      </c>
      <c r="BS80" s="683">
        <f>BS76/BR76-1</f>
        <v>3.5087719298245723E-2</v>
      </c>
      <c r="BT80" s="683">
        <f>BT76/BS76-1</f>
        <v>2.8813559322033999E-2</v>
      </c>
      <c r="BU80" s="684">
        <f>BU76/BT76-1</f>
        <v>0.12026359143327836</v>
      </c>
      <c r="BV80" s="682"/>
      <c r="BW80" s="682"/>
      <c r="BX80" s="682"/>
      <c r="BY80" s="682"/>
      <c r="BZ80" s="682"/>
      <c r="CB80" s="23" t="s">
        <v>609</v>
      </c>
      <c r="DS80" s="682"/>
    </row>
    <row r="81" spans="1:123">
      <c r="D81" s="55"/>
      <c r="E81" s="55"/>
      <c r="F81" s="55"/>
      <c r="G81" s="55"/>
      <c r="H81" s="55"/>
      <c r="I81" s="55"/>
      <c r="J81" s="55"/>
      <c r="K81" s="55"/>
      <c r="L81" s="55"/>
      <c r="M81" s="55"/>
      <c r="N81" s="55"/>
      <c r="O81" s="55"/>
      <c r="P81" s="55"/>
      <c r="Q81" s="55"/>
      <c r="R81" s="55"/>
      <c r="S81" s="55"/>
      <c r="T81" s="55"/>
      <c r="U81" s="55"/>
      <c r="V81" s="55"/>
      <c r="W81" s="55"/>
      <c r="X81" s="56"/>
      <c r="Y81" s="629"/>
      <c r="Z81" s="629"/>
      <c r="AA81" s="629"/>
      <c r="AB81" s="629"/>
      <c r="AC81" s="629"/>
      <c r="AD81" s="629"/>
      <c r="AE81" s="629"/>
      <c r="AF81" s="629"/>
      <c r="AG81" s="629"/>
      <c r="AH81" s="629"/>
      <c r="AI81" s="629"/>
      <c r="AJ81" s="629"/>
      <c r="AK81" s="629"/>
      <c r="AL81" s="629"/>
      <c r="AM81" s="629"/>
      <c r="AN81" s="629"/>
      <c r="AO81" s="629"/>
      <c r="AP81" s="693"/>
      <c r="AQ81" s="629"/>
      <c r="AR81" s="629"/>
      <c r="AS81" s="629"/>
      <c r="AT81" s="629"/>
      <c r="AU81" s="629"/>
      <c r="AV81" s="629"/>
      <c r="AW81" s="629"/>
      <c r="AX81" s="629"/>
      <c r="AY81" s="629"/>
      <c r="AZ81" s="629"/>
      <c r="BA81" s="56"/>
      <c r="BB81" s="56"/>
      <c r="BC81" s="56"/>
      <c r="BD81" s="56"/>
      <c r="BE81" s="56"/>
      <c r="BF81" s="56"/>
      <c r="BG81" s="56"/>
      <c r="BH81" s="56"/>
      <c r="BI81" s="56"/>
      <c r="BJ81" s="56"/>
      <c r="BK81" s="56"/>
      <c r="BL81" s="56"/>
      <c r="BM81" s="351"/>
      <c r="BN81" s="351"/>
      <c r="BO81" s="351"/>
      <c r="BP81" s="351"/>
      <c r="BQ81" s="420"/>
      <c r="BR81" s="420"/>
      <c r="BS81" s="420"/>
      <c r="BT81" s="420"/>
      <c r="BU81" s="447"/>
      <c r="BV81" s="420"/>
      <c r="BW81" s="420"/>
      <c r="BX81" s="420"/>
      <c r="BY81" s="420"/>
      <c r="BZ81" s="420"/>
      <c r="DS81" s="420"/>
    </row>
    <row r="82" spans="1:123">
      <c r="A82" s="57"/>
      <c r="B82" s="63" t="s">
        <v>275</v>
      </c>
      <c r="C82" s="64"/>
      <c r="D82" s="64"/>
      <c r="E82" s="64"/>
      <c r="F82" s="64"/>
      <c r="G82" s="65"/>
      <c r="H82" s="648"/>
      <c r="I82" s="648"/>
      <c r="J82" s="648"/>
      <c r="K82" s="649"/>
      <c r="L82" s="648"/>
      <c r="M82" s="648"/>
      <c r="N82" s="648"/>
      <c r="O82" s="648"/>
      <c r="P82" s="650"/>
      <c r="Q82" s="650"/>
      <c r="R82" s="650"/>
      <c r="S82" s="650"/>
      <c r="T82" s="650"/>
      <c r="U82" s="651"/>
      <c r="V82" s="651"/>
      <c r="W82" s="651"/>
      <c r="X82" s="651"/>
      <c r="Y82" s="651"/>
      <c r="Z82" s="651"/>
      <c r="AA82" s="651"/>
      <c r="AB82" s="651"/>
      <c r="AC82" s="651"/>
      <c r="AD82" s="651"/>
      <c r="AE82" s="651"/>
      <c r="AF82" s="651"/>
      <c r="AG82" s="694"/>
      <c r="AH82" s="694"/>
      <c r="AI82" s="694"/>
      <c r="AJ82" s="694"/>
      <c r="AK82" s="651"/>
      <c r="AL82" s="651"/>
      <c r="AM82" s="651"/>
      <c r="AN82" s="651"/>
      <c r="AO82" s="651"/>
      <c r="AP82" s="652"/>
      <c r="AQ82" s="651"/>
      <c r="AR82" s="651"/>
      <c r="AS82" s="651"/>
      <c r="AT82" s="651"/>
      <c r="AU82" s="651"/>
      <c r="AV82" s="651"/>
      <c r="AW82" s="651"/>
      <c r="AX82" s="651"/>
      <c r="AY82" s="651"/>
      <c r="AZ82" s="651"/>
      <c r="BA82" s="558"/>
      <c r="BB82" s="653"/>
      <c r="BC82" s="653"/>
      <c r="BD82" s="653"/>
      <c r="BE82" s="653"/>
      <c r="BF82" s="653"/>
      <c r="BG82" s="653"/>
      <c r="BH82" s="654"/>
      <c r="BI82" s="655"/>
      <c r="BJ82" s="66"/>
      <c r="BK82" s="66"/>
      <c r="BL82" s="66"/>
      <c r="BM82" s="66"/>
      <c r="BN82" s="66"/>
      <c r="BO82" s="66"/>
      <c r="BP82" s="66"/>
      <c r="BQ82" s="66"/>
      <c r="BR82" s="66"/>
      <c r="BS82" s="66"/>
      <c r="BT82" s="65"/>
      <c r="BU82" s="500"/>
      <c r="BV82" s="65"/>
      <c r="BW82" s="65"/>
      <c r="BX82" s="65"/>
      <c r="BY82" s="65"/>
      <c r="BZ82" s="65"/>
      <c r="CC82" s="84"/>
      <c r="DS82" s="65"/>
    </row>
    <row r="83" spans="1:123" s="70" customFormat="1">
      <c r="A83" s="67"/>
      <c r="B83" s="68"/>
      <c r="C83" s="69"/>
      <c r="D83" s="69"/>
      <c r="E83" s="69"/>
      <c r="F83" s="69"/>
      <c r="H83" s="695"/>
      <c r="I83" s="695"/>
      <c r="J83" s="695"/>
      <c r="K83" s="630"/>
      <c r="L83" s="71"/>
      <c r="M83" s="71"/>
      <c r="N83" s="71"/>
      <c r="O83" s="71"/>
      <c r="P83" s="71"/>
      <c r="Q83" s="71"/>
      <c r="R83" s="71"/>
      <c r="S83" s="71"/>
      <c r="T83" s="71"/>
      <c r="U83" s="71"/>
      <c r="V83" s="71"/>
      <c r="W83" s="71"/>
      <c r="X83" s="71"/>
      <c r="Y83" s="696"/>
      <c r="Z83" s="696"/>
      <c r="AA83" s="696"/>
      <c r="AB83" s="696"/>
      <c r="AC83" s="696"/>
      <c r="AD83" s="696"/>
      <c r="AE83" s="696"/>
      <c r="AF83" s="696"/>
      <c r="AG83" s="573"/>
      <c r="AH83" s="573"/>
      <c r="AI83" s="573"/>
      <c r="AJ83" s="573"/>
      <c r="AK83" s="420"/>
      <c r="AL83" s="573"/>
      <c r="AM83" s="420"/>
      <c r="AN83" s="573"/>
      <c r="AO83" s="420"/>
      <c r="AP83" s="697"/>
      <c r="AQ83" s="72"/>
      <c r="AR83" s="72"/>
      <c r="AS83" s="72"/>
      <c r="AT83" s="72"/>
      <c r="AU83" s="72"/>
      <c r="AV83" s="72"/>
      <c r="AW83" s="72"/>
      <c r="AX83" s="72"/>
      <c r="AY83" s="72"/>
      <c r="AZ83" s="72"/>
      <c r="BA83" s="698"/>
      <c r="BB83" s="698"/>
      <c r="BC83" s="698"/>
      <c r="BD83" s="698"/>
      <c r="BE83" s="698"/>
      <c r="BF83" s="698"/>
      <c r="BG83" s="698"/>
      <c r="BH83" s="699"/>
      <c r="BI83" s="73"/>
      <c r="BJ83" s="73"/>
      <c r="BK83" s="73"/>
      <c r="BL83" s="73"/>
      <c r="BM83" s="73"/>
      <c r="BN83" s="73"/>
      <c r="BO83" s="73"/>
      <c r="BP83" s="73"/>
      <c r="BQ83" s="73"/>
      <c r="BR83" s="73"/>
      <c r="BS83" s="73"/>
      <c r="BT83" s="73"/>
      <c r="BU83" s="490"/>
      <c r="BV83" s="73"/>
      <c r="BW83" s="73"/>
      <c r="BX83" s="73"/>
      <c r="BY83" s="73"/>
      <c r="BZ83" s="73"/>
      <c r="DS83" s="73"/>
    </row>
    <row r="84" spans="1:123" s="179" customFormat="1">
      <c r="A84" s="78" t="s">
        <v>503</v>
      </c>
      <c r="B84" s="243" t="s">
        <v>278</v>
      </c>
      <c r="C84" s="74"/>
      <c r="D84" s="74"/>
      <c r="E84" s="74"/>
      <c r="F84" s="74"/>
      <c r="G84" s="75"/>
      <c r="H84" s="700"/>
      <c r="I84" s="700"/>
      <c r="J84" s="700"/>
      <c r="K84" s="577"/>
      <c r="L84" s="577"/>
      <c r="M84" s="577"/>
      <c r="N84" s="577"/>
      <c r="O84" s="577"/>
      <c r="P84" s="577"/>
      <c r="Q84" s="577"/>
      <c r="R84" s="577"/>
      <c r="S84" s="577"/>
      <c r="T84" s="577"/>
      <c r="U84" s="577"/>
      <c r="V84" s="577"/>
      <c r="W84" s="577"/>
      <c r="X84" s="577"/>
      <c r="Y84" s="174">
        <v>22.715</v>
      </c>
      <c r="Z84" s="701">
        <f>BM84-Y84</f>
        <v>28.014999999999997</v>
      </c>
      <c r="AA84" s="174">
        <v>24.213999999999999</v>
      </c>
      <c r="AB84" s="701">
        <f>BN84-AA84</f>
        <v>27.695999999999998</v>
      </c>
      <c r="AC84" s="174">
        <v>27.9</v>
      </c>
      <c r="AD84" s="701">
        <f>BO84-AC84</f>
        <v>29.800000000000004</v>
      </c>
      <c r="AE84" s="174">
        <v>28.4</v>
      </c>
      <c r="AF84" s="701">
        <f>BP84-AE84</f>
        <v>27.4</v>
      </c>
      <c r="AG84" s="174">
        <v>28.1</v>
      </c>
      <c r="AH84" s="701">
        <f>BQ84-AG84</f>
        <v>40.6</v>
      </c>
      <c r="AI84" s="174">
        <v>41.3</v>
      </c>
      <c r="AJ84" s="701">
        <f>BR84-AI84</f>
        <v>52.2</v>
      </c>
      <c r="AK84" s="656">
        <v>54.8</v>
      </c>
      <c r="AL84" s="656">
        <f>BS84-AK84</f>
        <v>75.3</v>
      </c>
      <c r="AM84" s="656">
        <v>71.8</v>
      </c>
      <c r="AN84" s="656">
        <f>BT84-AM84</f>
        <v>84.600000000000009</v>
      </c>
      <c r="AO84" s="656">
        <v>91.3</v>
      </c>
      <c r="AP84" s="657">
        <f>BU84-AO84</f>
        <v>102.3</v>
      </c>
      <c r="AQ84" s="658">
        <f t="shared" ref="AQ84:AZ84" si="118">AQ98*AO84*(1+AQ96+AQ97)+AQ99*AO84*(1+AQ97+AQ100)</f>
        <v>99.334400000000016</v>
      </c>
      <c r="AR84" s="658">
        <f t="shared" si="118"/>
        <v>109.56330000000001</v>
      </c>
      <c r="AS84" s="658">
        <f t="shared" si="118"/>
        <v>104.40045440000003</v>
      </c>
      <c r="AT84" s="658">
        <f t="shared" si="118"/>
        <v>115.15102830000002</v>
      </c>
      <c r="AU84" s="658">
        <f t="shared" si="118"/>
        <v>109.72487757440003</v>
      </c>
      <c r="AV84" s="658">
        <f t="shared" si="118"/>
        <v>121.02373074330004</v>
      </c>
      <c r="AW84" s="658">
        <f t="shared" si="118"/>
        <v>115.32084633069442</v>
      </c>
      <c r="AX84" s="658">
        <f t="shared" si="118"/>
        <v>127.19594101120836</v>
      </c>
      <c r="AY84" s="658">
        <f t="shared" si="118"/>
        <v>121.20220949355983</v>
      </c>
      <c r="AZ84" s="658">
        <f t="shared" si="118"/>
        <v>133.68293400278</v>
      </c>
      <c r="BA84" s="702"/>
      <c r="BB84" s="702"/>
      <c r="BC84" s="702"/>
      <c r="BD84" s="702"/>
      <c r="BE84" s="702"/>
      <c r="BF84" s="702"/>
      <c r="BG84" s="702"/>
      <c r="BH84" s="600"/>
      <c r="BI84" s="175"/>
      <c r="BJ84" s="175"/>
      <c r="BK84" s="175"/>
      <c r="BL84" s="175"/>
      <c r="BM84" s="174">
        <v>50.73</v>
      </c>
      <c r="BN84" s="174">
        <v>51.91</v>
      </c>
      <c r="BO84" s="174">
        <v>57.7</v>
      </c>
      <c r="BP84" s="174">
        <v>55.8</v>
      </c>
      <c r="BQ84" s="174">
        <v>68.7</v>
      </c>
      <c r="BR84" s="174">
        <v>93.5</v>
      </c>
      <c r="BS84" s="174">
        <v>130.1</v>
      </c>
      <c r="BT84" s="174">
        <v>156.4</v>
      </c>
      <c r="BU84" s="311">
        <v>193.6</v>
      </c>
      <c r="BV84" s="224">
        <f t="shared" ref="BV84:BV93" si="119">SUM(AQ84:AR84)</f>
        <v>208.89770000000004</v>
      </c>
      <c r="BW84" s="224">
        <f t="shared" ref="BW84:BW93" si="120">SUM(AS84:AT84)</f>
        <v>219.55148270000007</v>
      </c>
      <c r="BX84" s="224">
        <f t="shared" ref="BX84:BX93" si="121">SUM(AU84:AV84)</f>
        <v>230.74860831770008</v>
      </c>
      <c r="BY84" s="224">
        <f t="shared" ref="BY84:BY93" si="122">SUM(AW84:AX84)</f>
        <v>242.51678734190278</v>
      </c>
      <c r="BZ84" s="224">
        <f t="shared" ref="BZ84:BZ93" si="123">SUM(AY84:AZ84)</f>
        <v>254.88514349633982</v>
      </c>
      <c r="CB84" s="172" t="s">
        <v>615</v>
      </c>
      <c r="DS84" s="224">
        <f t="shared" ref="DS84:DS93" si="124">SUM(CU84:CV84)</f>
        <v>0</v>
      </c>
    </row>
    <row r="85" spans="1:123" s="179" customFormat="1">
      <c r="A85" s="78" t="s">
        <v>504</v>
      </c>
      <c r="B85" s="243" t="s">
        <v>346</v>
      </c>
      <c r="C85" s="74"/>
      <c r="D85" s="74"/>
      <c r="E85" s="74"/>
      <c r="F85" s="74"/>
      <c r="G85" s="75"/>
      <c r="H85" s="700"/>
      <c r="I85" s="700"/>
      <c r="J85" s="700"/>
      <c r="K85" s="577"/>
      <c r="L85" s="577"/>
      <c r="M85" s="577"/>
      <c r="N85" s="577"/>
      <c r="O85" s="577"/>
      <c r="P85" s="577"/>
      <c r="Q85" s="577"/>
      <c r="R85" s="577"/>
      <c r="S85" s="577"/>
      <c r="T85" s="577"/>
      <c r="U85" s="577"/>
      <c r="V85" s="577"/>
      <c r="W85" s="577"/>
      <c r="X85" s="577"/>
      <c r="Y85" s="174"/>
      <c r="Z85" s="701"/>
      <c r="AA85" s="174"/>
      <c r="AB85" s="701"/>
      <c r="AC85" s="174"/>
      <c r="AD85" s="701"/>
      <c r="AE85" s="174">
        <v>0.4</v>
      </c>
      <c r="AF85" s="701">
        <f>BP85-AE85</f>
        <v>9.9999999999999978E-2</v>
      </c>
      <c r="AG85" s="174">
        <v>0.2</v>
      </c>
      <c r="AH85" s="701">
        <f>BQ85-AG85</f>
        <v>9.9999999999999978E-2</v>
      </c>
      <c r="AI85" s="174">
        <v>0.1</v>
      </c>
      <c r="AJ85" s="701">
        <f>BR85-AI85</f>
        <v>0.19999999999999998</v>
      </c>
      <c r="AK85" s="656">
        <v>1.1000000000000001</v>
      </c>
      <c r="AL85" s="656">
        <f t="shared" ref="AL85:AL88" si="125">BS85-AK85</f>
        <v>2.4</v>
      </c>
      <c r="AM85" s="656">
        <v>3.4</v>
      </c>
      <c r="AN85" s="656">
        <f>BT85-AM85</f>
        <v>3.4</v>
      </c>
      <c r="AO85" s="656">
        <v>4.5</v>
      </c>
      <c r="AP85" s="657">
        <f>BU85-AO85</f>
        <v>3.9000000000000004</v>
      </c>
      <c r="AQ85" s="662">
        <f t="shared" ref="AQ85:AZ85" si="126">AQ84/AP84*AP85</f>
        <v>3.7869419354838723</v>
      </c>
      <c r="AR85" s="662">
        <f t="shared" si="126"/>
        <v>4.1769000000000016</v>
      </c>
      <c r="AS85" s="662">
        <f t="shared" si="126"/>
        <v>3.9800759741935505</v>
      </c>
      <c r="AT85" s="662">
        <f t="shared" si="126"/>
        <v>4.3899219000000018</v>
      </c>
      <c r="AU85" s="662">
        <f t="shared" si="126"/>
        <v>4.1830598488774218</v>
      </c>
      <c r="AV85" s="662">
        <f t="shared" si="126"/>
        <v>4.6138079169000026</v>
      </c>
      <c r="AW85" s="662">
        <f t="shared" si="126"/>
        <v>4.3963959011701697</v>
      </c>
      <c r="AX85" s="662">
        <f t="shared" si="126"/>
        <v>4.8491121206619043</v>
      </c>
      <c r="AY85" s="662">
        <f t="shared" si="126"/>
        <v>4.620612092129849</v>
      </c>
      <c r="AZ85" s="662">
        <f t="shared" si="126"/>
        <v>5.0964168388156619</v>
      </c>
      <c r="BA85" s="702"/>
      <c r="BB85" s="702"/>
      <c r="BC85" s="702"/>
      <c r="BD85" s="702"/>
      <c r="BE85" s="702"/>
      <c r="BF85" s="702"/>
      <c r="BG85" s="702"/>
      <c r="BH85" s="600"/>
      <c r="BI85" s="175"/>
      <c r="BJ85" s="175"/>
      <c r="BK85" s="175"/>
      <c r="BL85" s="175"/>
      <c r="BM85" s="174"/>
      <c r="BN85" s="174"/>
      <c r="BO85" s="174"/>
      <c r="BP85" s="174">
        <v>0.5</v>
      </c>
      <c r="BQ85" s="174">
        <v>0.3</v>
      </c>
      <c r="BR85" s="174">
        <v>0.3</v>
      </c>
      <c r="BS85" s="174">
        <v>3.5</v>
      </c>
      <c r="BT85" s="174">
        <v>6.8</v>
      </c>
      <c r="BU85" s="311">
        <v>8.4</v>
      </c>
      <c r="BV85" s="224">
        <f t="shared" si="119"/>
        <v>7.9638419354838739</v>
      </c>
      <c r="BW85" s="224">
        <f t="shared" si="120"/>
        <v>8.3699978741935528</v>
      </c>
      <c r="BX85" s="224">
        <f t="shared" si="121"/>
        <v>8.7968677657774244</v>
      </c>
      <c r="BY85" s="224">
        <f t="shared" si="122"/>
        <v>9.2455080218320731</v>
      </c>
      <c r="BZ85" s="224">
        <f t="shared" si="123"/>
        <v>9.71702893094551</v>
      </c>
      <c r="CB85" s="172" t="s">
        <v>615</v>
      </c>
      <c r="DS85" s="224">
        <f t="shared" si="124"/>
        <v>0</v>
      </c>
    </row>
    <row r="86" spans="1:123" s="706" customFormat="1">
      <c r="A86" s="703" t="s">
        <v>505</v>
      </c>
      <c r="B86" s="704" t="s">
        <v>50</v>
      </c>
      <c r="C86" s="705"/>
      <c r="D86" s="705"/>
      <c r="E86" s="705"/>
      <c r="F86" s="705"/>
      <c r="H86" s="707"/>
      <c r="I86" s="707"/>
      <c r="J86" s="707"/>
      <c r="K86" s="634"/>
      <c r="L86" s="634"/>
      <c r="M86" s="634"/>
      <c r="N86" s="634"/>
      <c r="O86" s="634"/>
      <c r="P86" s="634"/>
      <c r="Q86" s="634"/>
      <c r="R86" s="634"/>
      <c r="S86" s="634"/>
      <c r="T86" s="634"/>
      <c r="U86" s="634"/>
      <c r="V86" s="634"/>
      <c r="W86" s="634"/>
      <c r="X86" s="634"/>
      <c r="Y86" s="627">
        <f>Y87-Y84</f>
        <v>2.3210000000000015</v>
      </c>
      <c r="Z86" s="701">
        <f>BM86-Y86</f>
        <v>3.2660000000000018</v>
      </c>
      <c r="AA86" s="627">
        <f>AA87-AA84</f>
        <v>1.6189999999999998</v>
      </c>
      <c r="AB86" s="701">
        <f>BN86-AA86</f>
        <v>3.0560000000000045</v>
      </c>
      <c r="AC86" s="627">
        <f>AC87-AC84</f>
        <v>0.81800000000000139</v>
      </c>
      <c r="AD86" s="701">
        <f>BO86-AC86</f>
        <v>2.9009999999999927</v>
      </c>
      <c r="AE86" s="627">
        <f t="shared" ref="AE86:AJ86" si="127">AE87-SUM(AE84:AE85)</f>
        <v>0.35300000000000153</v>
      </c>
      <c r="AF86" s="627">
        <f t="shared" si="127"/>
        <v>2.669000000000004</v>
      </c>
      <c r="AG86" s="627">
        <f t="shared" si="127"/>
        <v>0.98699999999999832</v>
      </c>
      <c r="AH86" s="627">
        <f t="shared" si="127"/>
        <v>3.5479999999999947</v>
      </c>
      <c r="AI86" s="627">
        <f t="shared" si="127"/>
        <v>4.9359999999999999</v>
      </c>
      <c r="AJ86" s="627">
        <f t="shared" si="127"/>
        <v>4.9849999999999994</v>
      </c>
      <c r="AK86" s="658">
        <f t="shared" ref="AK86:AM86" si="128">AK87-SUM(AK84:AK85)</f>
        <v>2.2659999999999982</v>
      </c>
      <c r="AL86" s="658">
        <f t="shared" ref="AL86:AP86" si="129">AL87-SUM(AL84:AL85)</f>
        <v>3.4709999999999894</v>
      </c>
      <c r="AM86" s="658">
        <f t="shared" si="128"/>
        <v>9.3659999999999997</v>
      </c>
      <c r="AN86" s="658">
        <f t="shared" si="129"/>
        <v>3.6529999999999774</v>
      </c>
      <c r="AO86" s="658">
        <f t="shared" si="129"/>
        <v>10.801000000000002</v>
      </c>
      <c r="AP86" s="657">
        <f t="shared" si="129"/>
        <v>7.7310000000000088</v>
      </c>
      <c r="AQ86" s="663">
        <f>AO86</f>
        <v>10.801000000000002</v>
      </c>
      <c r="AR86" s="663">
        <f>AP86</f>
        <v>7.7310000000000088</v>
      </c>
      <c r="AS86" s="663">
        <f>AQ86</f>
        <v>10.801000000000002</v>
      </c>
      <c r="AT86" s="663">
        <f t="shared" ref="AT86:AZ86" si="130">AR86</f>
        <v>7.7310000000000088</v>
      </c>
      <c r="AU86" s="663">
        <f t="shared" si="130"/>
        <v>10.801000000000002</v>
      </c>
      <c r="AV86" s="663">
        <f t="shared" si="130"/>
        <v>7.7310000000000088</v>
      </c>
      <c r="AW86" s="663">
        <f t="shared" si="130"/>
        <v>10.801000000000002</v>
      </c>
      <c r="AX86" s="663">
        <f t="shared" si="130"/>
        <v>7.7310000000000088</v>
      </c>
      <c r="AY86" s="663">
        <f t="shared" si="130"/>
        <v>10.801000000000002</v>
      </c>
      <c r="AZ86" s="663">
        <f t="shared" si="130"/>
        <v>7.7310000000000088</v>
      </c>
      <c r="BA86" s="708"/>
      <c r="BB86" s="709"/>
      <c r="BC86" s="709"/>
      <c r="BD86" s="709"/>
      <c r="BE86" s="709"/>
      <c r="BF86" s="709"/>
      <c r="BG86" s="709"/>
      <c r="BH86" s="710"/>
      <c r="BI86" s="710"/>
      <c r="BJ86" s="710"/>
      <c r="BK86" s="710"/>
      <c r="BL86" s="710"/>
      <c r="BM86" s="627">
        <f t="shared" ref="BM86:BU86" si="131">BM87-BM84</f>
        <v>5.5870000000000033</v>
      </c>
      <c r="BN86" s="627">
        <f t="shared" si="131"/>
        <v>4.6750000000000043</v>
      </c>
      <c r="BO86" s="627">
        <f t="shared" si="131"/>
        <v>3.7189999999999941</v>
      </c>
      <c r="BP86" s="627">
        <f t="shared" si="131"/>
        <v>3.5220000000000056</v>
      </c>
      <c r="BQ86" s="627">
        <f t="shared" si="131"/>
        <v>4.8349999999999937</v>
      </c>
      <c r="BR86" s="627">
        <f t="shared" si="131"/>
        <v>10.221000000000004</v>
      </c>
      <c r="BS86" s="627">
        <f t="shared" si="131"/>
        <v>9.2369999999999948</v>
      </c>
      <c r="BT86" s="627">
        <f t="shared" si="131"/>
        <v>19.818999999999988</v>
      </c>
      <c r="BU86" s="686">
        <f t="shared" si="131"/>
        <v>26.932000000000016</v>
      </c>
      <c r="BV86" s="224">
        <f t="shared" si="119"/>
        <v>18.532000000000011</v>
      </c>
      <c r="BW86" s="224">
        <f t="shared" si="120"/>
        <v>18.532000000000011</v>
      </c>
      <c r="BX86" s="224">
        <f t="shared" si="121"/>
        <v>18.532000000000011</v>
      </c>
      <c r="BY86" s="224">
        <f t="shared" si="122"/>
        <v>18.532000000000011</v>
      </c>
      <c r="BZ86" s="224">
        <f t="shared" si="123"/>
        <v>18.532000000000011</v>
      </c>
      <c r="CB86" s="706" t="s">
        <v>609</v>
      </c>
      <c r="DS86" s="224">
        <f t="shared" si="124"/>
        <v>0</v>
      </c>
    </row>
    <row r="87" spans="1:123" s="714" customFormat="1">
      <c r="A87" s="711" t="s">
        <v>479</v>
      </c>
      <c r="B87" s="712" t="s">
        <v>279</v>
      </c>
      <c r="C87" s="713"/>
      <c r="D87" s="713"/>
      <c r="E87" s="713"/>
      <c r="F87" s="713"/>
      <c r="H87" s="715"/>
      <c r="I87" s="715"/>
      <c r="J87" s="715"/>
      <c r="K87" s="716"/>
      <c r="L87" s="715"/>
      <c r="M87" s="673"/>
      <c r="N87" s="673"/>
      <c r="O87" s="673"/>
      <c r="P87" s="673"/>
      <c r="Q87" s="673"/>
      <c r="R87" s="673"/>
      <c r="S87" s="673"/>
      <c r="T87" s="673"/>
      <c r="U87" s="673"/>
      <c r="V87" s="673"/>
      <c r="W87" s="673"/>
      <c r="X87" s="673"/>
      <c r="Y87" s="717">
        <v>25.036000000000001</v>
      </c>
      <c r="Z87" s="206">
        <f>BM87-Y87</f>
        <v>31.280999999999999</v>
      </c>
      <c r="AA87" s="717">
        <v>25.832999999999998</v>
      </c>
      <c r="AB87" s="206">
        <f>BN87-AA87</f>
        <v>30.752000000000002</v>
      </c>
      <c r="AC87" s="717">
        <v>28.718</v>
      </c>
      <c r="AD87" s="206">
        <f>BO87-AC87</f>
        <v>32.700999999999993</v>
      </c>
      <c r="AE87" s="717">
        <v>29.152999999999999</v>
      </c>
      <c r="AF87" s="206">
        <f>BP87-AE87</f>
        <v>30.169000000000004</v>
      </c>
      <c r="AG87" s="718">
        <v>29.286999999999999</v>
      </c>
      <c r="AH87" s="206">
        <f>BQ87-AG87</f>
        <v>44.247999999999998</v>
      </c>
      <c r="AI87" s="718">
        <v>46.335999999999999</v>
      </c>
      <c r="AJ87" s="206">
        <f>BR87-AI87</f>
        <v>57.385000000000005</v>
      </c>
      <c r="AK87" s="665">
        <v>58.165999999999997</v>
      </c>
      <c r="AL87" s="665">
        <f t="shared" si="125"/>
        <v>81.170999999999992</v>
      </c>
      <c r="AM87" s="665">
        <v>84.566000000000003</v>
      </c>
      <c r="AN87" s="665">
        <f>BT87-AM87</f>
        <v>91.652999999999992</v>
      </c>
      <c r="AO87" s="665">
        <v>106.601</v>
      </c>
      <c r="AP87" s="666">
        <f>BU87-AO87</f>
        <v>113.93100000000001</v>
      </c>
      <c r="AQ87" s="667">
        <f t="shared" ref="AQ87:AT87" si="132">SUM(AQ84:AQ86)</f>
        <v>113.92234193548389</v>
      </c>
      <c r="AR87" s="667">
        <f t="shared" si="132"/>
        <v>121.47120000000002</v>
      </c>
      <c r="AS87" s="667">
        <f t="shared" si="132"/>
        <v>119.18153037419358</v>
      </c>
      <c r="AT87" s="667">
        <f t="shared" si="132"/>
        <v>127.27195020000003</v>
      </c>
      <c r="AU87" s="667">
        <f t="shared" ref="AU87:AZ87" si="133">SUM(AU84:AU86)</f>
        <v>124.70893742327745</v>
      </c>
      <c r="AV87" s="667">
        <f t="shared" si="133"/>
        <v>133.36853866020004</v>
      </c>
      <c r="AW87" s="667">
        <f t="shared" si="133"/>
        <v>130.51824223186458</v>
      </c>
      <c r="AX87" s="667">
        <f t="shared" si="133"/>
        <v>139.7760531318703</v>
      </c>
      <c r="AY87" s="667">
        <f t="shared" si="133"/>
        <v>136.62382158568968</v>
      </c>
      <c r="AZ87" s="667">
        <f t="shared" si="133"/>
        <v>146.51035084159565</v>
      </c>
      <c r="BA87" s="719"/>
      <c r="BB87" s="702"/>
      <c r="BC87" s="702"/>
      <c r="BD87" s="702"/>
      <c r="BE87" s="702"/>
      <c r="BF87" s="702"/>
      <c r="BG87" s="702"/>
      <c r="BH87" s="600"/>
      <c r="BI87" s="720"/>
      <c r="BJ87" s="720"/>
      <c r="BK87" s="720"/>
      <c r="BL87" s="720"/>
      <c r="BM87" s="717">
        <v>56.317</v>
      </c>
      <c r="BN87" s="717">
        <v>56.585000000000001</v>
      </c>
      <c r="BO87" s="717">
        <v>61.418999999999997</v>
      </c>
      <c r="BP87" s="718">
        <v>59.322000000000003</v>
      </c>
      <c r="BQ87" s="718">
        <v>73.534999999999997</v>
      </c>
      <c r="BR87" s="718">
        <v>103.721</v>
      </c>
      <c r="BS87" s="718">
        <v>139.33699999999999</v>
      </c>
      <c r="BT87" s="718">
        <v>176.21899999999999</v>
      </c>
      <c r="BU87" s="721">
        <v>220.53200000000001</v>
      </c>
      <c r="BV87" s="226">
        <f t="shared" si="119"/>
        <v>235.39354193548391</v>
      </c>
      <c r="BW87" s="226">
        <f t="shared" si="120"/>
        <v>246.45348057419363</v>
      </c>
      <c r="BX87" s="226">
        <f t="shared" si="121"/>
        <v>258.07747608347751</v>
      </c>
      <c r="BY87" s="226">
        <f t="shared" si="122"/>
        <v>270.29429536373488</v>
      </c>
      <c r="BZ87" s="226">
        <f t="shared" si="123"/>
        <v>283.13417242728531</v>
      </c>
      <c r="CB87" s="172" t="s">
        <v>615</v>
      </c>
      <c r="DS87" s="226">
        <f t="shared" si="124"/>
        <v>0</v>
      </c>
    </row>
    <row r="88" spans="1:123" s="172" customFormat="1">
      <c r="A88" s="85" t="s">
        <v>480</v>
      </c>
      <c r="B88" s="243" t="s">
        <v>280</v>
      </c>
      <c r="C88" s="58"/>
      <c r="D88" s="58"/>
      <c r="E88" s="58"/>
      <c r="F88" s="58"/>
      <c r="G88" s="23"/>
      <c r="H88" s="606"/>
      <c r="I88" s="606"/>
      <c r="J88" s="606"/>
      <c r="K88" s="607"/>
      <c r="L88" s="606"/>
      <c r="M88" s="625"/>
      <c r="N88" s="625"/>
      <c r="O88" s="625"/>
      <c r="P88" s="625"/>
      <c r="Q88" s="625"/>
      <c r="R88" s="625"/>
      <c r="S88" s="625"/>
      <c r="T88" s="625"/>
      <c r="U88" s="625"/>
      <c r="V88" s="625"/>
      <c r="W88" s="625"/>
      <c r="X88" s="625"/>
      <c r="Y88" s="174">
        <v>-17.797000000000001</v>
      </c>
      <c r="Z88" s="701">
        <f>BM88-Y88</f>
        <v>-19.520999999999997</v>
      </c>
      <c r="AA88" s="174">
        <v>-19.608000000000001</v>
      </c>
      <c r="AB88" s="701">
        <f>BN88-AA88</f>
        <v>-18.087</v>
      </c>
      <c r="AC88" s="174">
        <v>-20.614000000000001</v>
      </c>
      <c r="AD88" s="701">
        <f>BO88-AC88</f>
        <v>-19.246999999999996</v>
      </c>
      <c r="AE88" s="174">
        <v>-21.552</v>
      </c>
      <c r="AF88" s="701">
        <f>BP88-AE88</f>
        <v>-19.418999999999997</v>
      </c>
      <c r="AG88" s="174">
        <v>-21.277000000000001</v>
      </c>
      <c r="AH88" s="701">
        <f>BQ88-AG88</f>
        <v>-28.820999999999998</v>
      </c>
      <c r="AI88" s="174">
        <v>-31.248999999999999</v>
      </c>
      <c r="AJ88" s="701">
        <f>BR88-AI88</f>
        <v>-34.051000000000002</v>
      </c>
      <c r="AK88" s="656">
        <v>-39.762999999999998</v>
      </c>
      <c r="AL88" s="656">
        <f t="shared" si="125"/>
        <v>-46.027000000000008</v>
      </c>
      <c r="AM88" s="656">
        <v>-50.47</v>
      </c>
      <c r="AN88" s="656">
        <f>BT88-AM88</f>
        <v>-50.606999999999999</v>
      </c>
      <c r="AO88" s="656">
        <v>-63.539000000000001</v>
      </c>
      <c r="AP88" s="657">
        <f>BU88-AO88</f>
        <v>-59.418999999999997</v>
      </c>
      <c r="AQ88" s="658">
        <f t="shared" ref="AQ88:AZ88" si="134">AO88*(1+AQ101)</f>
        <v>-66.715950000000007</v>
      </c>
      <c r="AR88" s="658">
        <f t="shared" si="134"/>
        <v>-62.389949999999999</v>
      </c>
      <c r="AS88" s="658">
        <f t="shared" si="134"/>
        <v>-68.717428500000011</v>
      </c>
      <c r="AT88" s="658">
        <f t="shared" si="134"/>
        <v>-64.261648500000007</v>
      </c>
      <c r="AU88" s="658">
        <f t="shared" si="134"/>
        <v>-70.778951355000018</v>
      </c>
      <c r="AV88" s="658">
        <f t="shared" si="134"/>
        <v>-66.189497955000007</v>
      </c>
      <c r="AW88" s="658">
        <f t="shared" si="134"/>
        <v>-72.902319895650024</v>
      </c>
      <c r="AX88" s="658">
        <f t="shared" si="134"/>
        <v>-68.175182893650003</v>
      </c>
      <c r="AY88" s="658">
        <f t="shared" si="134"/>
        <v>-75.08938949251953</v>
      </c>
      <c r="AZ88" s="658">
        <f t="shared" si="134"/>
        <v>-70.220438380459498</v>
      </c>
      <c r="BA88" s="225"/>
      <c r="BB88" s="709"/>
      <c r="BC88" s="709"/>
      <c r="BD88" s="709"/>
      <c r="BE88" s="709"/>
      <c r="BF88" s="709"/>
      <c r="BG88" s="709"/>
      <c r="BH88" s="710"/>
      <c r="BI88" s="627"/>
      <c r="BJ88" s="627"/>
      <c r="BK88" s="627"/>
      <c r="BL88" s="627"/>
      <c r="BM88" s="174">
        <v>-37.317999999999998</v>
      </c>
      <c r="BN88" s="174">
        <v>-37.695</v>
      </c>
      <c r="BO88" s="174">
        <v>-39.860999999999997</v>
      </c>
      <c r="BP88" s="174">
        <v>-40.970999999999997</v>
      </c>
      <c r="BQ88" s="174">
        <v>-50.097999999999999</v>
      </c>
      <c r="BR88" s="174">
        <v>-65.3</v>
      </c>
      <c r="BS88" s="174">
        <v>-85.79</v>
      </c>
      <c r="BT88" s="174">
        <v>-101.077</v>
      </c>
      <c r="BU88" s="311">
        <v>-122.958</v>
      </c>
      <c r="BV88" s="224">
        <f t="shared" si="119"/>
        <v>-129.10590000000002</v>
      </c>
      <c r="BW88" s="224">
        <f t="shared" si="120"/>
        <v>-132.97907700000002</v>
      </c>
      <c r="BX88" s="224">
        <f t="shared" si="121"/>
        <v>-136.96844931000004</v>
      </c>
      <c r="BY88" s="224">
        <f t="shared" si="122"/>
        <v>-141.07750278930001</v>
      </c>
      <c r="BZ88" s="224">
        <f t="shared" si="123"/>
        <v>-145.30982787297904</v>
      </c>
      <c r="CB88" s="172" t="s">
        <v>615</v>
      </c>
      <c r="DS88" s="224">
        <f t="shared" si="124"/>
        <v>0</v>
      </c>
    </row>
    <row r="89" spans="1:123" s="714" customFormat="1">
      <c r="A89" s="711" t="s">
        <v>481</v>
      </c>
      <c r="B89" s="712" t="s">
        <v>281</v>
      </c>
      <c r="C89" s="713"/>
      <c r="D89" s="713"/>
      <c r="E89" s="713"/>
      <c r="F89" s="713"/>
      <c r="H89" s="715"/>
      <c r="I89" s="715"/>
      <c r="J89" s="715"/>
      <c r="K89" s="716"/>
      <c r="L89" s="715"/>
      <c r="M89" s="673"/>
      <c r="N89" s="673"/>
      <c r="O89" s="673"/>
      <c r="P89" s="673"/>
      <c r="Q89" s="673"/>
      <c r="R89" s="673"/>
      <c r="S89" s="673"/>
      <c r="T89" s="673"/>
      <c r="U89" s="673"/>
      <c r="V89" s="673"/>
      <c r="W89" s="673"/>
      <c r="X89" s="673"/>
      <c r="Y89" s="722">
        <f>SUM(Y87:Y88)</f>
        <v>7.2390000000000008</v>
      </c>
      <c r="Z89" s="209">
        <f>BM89-Y89</f>
        <v>11.760000000000002</v>
      </c>
      <c r="AA89" s="722">
        <f>SUM(AA87:AA88)</f>
        <v>6.2249999999999979</v>
      </c>
      <c r="AB89" s="209">
        <f>BN89-AA89</f>
        <v>12.665000000000003</v>
      </c>
      <c r="AC89" s="722">
        <f t="shared" ref="AC89:AP89" si="135">SUM(AC87:AC88)</f>
        <v>8.1039999999999992</v>
      </c>
      <c r="AD89" s="209">
        <f t="shared" si="135"/>
        <v>13.453999999999997</v>
      </c>
      <c r="AE89" s="722">
        <f t="shared" si="135"/>
        <v>7.6009999999999991</v>
      </c>
      <c r="AF89" s="209">
        <f t="shared" si="135"/>
        <v>10.750000000000007</v>
      </c>
      <c r="AG89" s="723">
        <f t="shared" si="135"/>
        <v>8.009999999999998</v>
      </c>
      <c r="AH89" s="723">
        <f t="shared" si="135"/>
        <v>15.427</v>
      </c>
      <c r="AI89" s="723">
        <f t="shared" si="135"/>
        <v>15.087</v>
      </c>
      <c r="AJ89" s="723">
        <f t="shared" si="135"/>
        <v>23.334000000000003</v>
      </c>
      <c r="AK89" s="667">
        <f t="shared" si="135"/>
        <v>18.402999999999999</v>
      </c>
      <c r="AL89" s="667">
        <f t="shared" si="135"/>
        <v>35.143999999999984</v>
      </c>
      <c r="AM89" s="667">
        <f t="shared" si="135"/>
        <v>34.096000000000004</v>
      </c>
      <c r="AN89" s="667">
        <f t="shared" si="135"/>
        <v>41.045999999999992</v>
      </c>
      <c r="AO89" s="667">
        <f t="shared" si="135"/>
        <v>43.061999999999998</v>
      </c>
      <c r="AP89" s="666">
        <f t="shared" si="135"/>
        <v>54.512000000000015</v>
      </c>
      <c r="AQ89" s="667">
        <f t="shared" ref="AQ89:AZ89" si="136">AQ87+AQ88</f>
        <v>47.206391935483879</v>
      </c>
      <c r="AR89" s="667">
        <f t="shared" si="136"/>
        <v>59.081250000000026</v>
      </c>
      <c r="AS89" s="667">
        <f t="shared" si="136"/>
        <v>50.464101874193574</v>
      </c>
      <c r="AT89" s="667">
        <f t="shared" si="136"/>
        <v>63.010301700000028</v>
      </c>
      <c r="AU89" s="667">
        <f t="shared" si="136"/>
        <v>53.929986068277429</v>
      </c>
      <c r="AV89" s="667">
        <f t="shared" si="136"/>
        <v>67.179040705200038</v>
      </c>
      <c r="AW89" s="667">
        <f t="shared" si="136"/>
        <v>57.615922336214553</v>
      </c>
      <c r="AX89" s="667">
        <f t="shared" si="136"/>
        <v>71.600870238220296</v>
      </c>
      <c r="AY89" s="667">
        <f t="shared" si="136"/>
        <v>61.534432093170153</v>
      </c>
      <c r="AZ89" s="667">
        <f t="shared" si="136"/>
        <v>76.289912461136154</v>
      </c>
      <c r="BA89" s="724"/>
      <c r="BB89" s="702"/>
      <c r="BC89" s="702"/>
      <c r="BD89" s="702"/>
      <c r="BE89" s="702"/>
      <c r="BF89" s="702"/>
      <c r="BG89" s="702"/>
      <c r="BH89" s="600"/>
      <c r="BI89" s="720"/>
      <c r="BJ89" s="720"/>
      <c r="BK89" s="720"/>
      <c r="BL89" s="720"/>
      <c r="BM89" s="722">
        <f t="shared" ref="BM89:BU89" si="137">SUM(BM87:BM88)</f>
        <v>18.999000000000002</v>
      </c>
      <c r="BN89" s="722">
        <f t="shared" si="137"/>
        <v>18.89</v>
      </c>
      <c r="BO89" s="722">
        <f t="shared" si="137"/>
        <v>21.558</v>
      </c>
      <c r="BP89" s="725">
        <f t="shared" si="137"/>
        <v>18.351000000000006</v>
      </c>
      <c r="BQ89" s="725">
        <f t="shared" si="137"/>
        <v>23.436999999999998</v>
      </c>
      <c r="BR89" s="725">
        <f t="shared" si="137"/>
        <v>38.421000000000006</v>
      </c>
      <c r="BS89" s="725">
        <f t="shared" si="137"/>
        <v>53.546999999999983</v>
      </c>
      <c r="BT89" s="725">
        <f t="shared" si="137"/>
        <v>75.141999999999996</v>
      </c>
      <c r="BU89" s="726">
        <f t="shared" si="137"/>
        <v>97.574000000000012</v>
      </c>
      <c r="BV89" s="226">
        <f t="shared" si="119"/>
        <v>106.2876419354839</v>
      </c>
      <c r="BW89" s="226">
        <f t="shared" si="120"/>
        <v>113.4744035741936</v>
      </c>
      <c r="BX89" s="226">
        <f t="shared" si="121"/>
        <v>121.10902677347747</v>
      </c>
      <c r="BY89" s="226">
        <f t="shared" si="122"/>
        <v>129.21679257443486</v>
      </c>
      <c r="BZ89" s="226">
        <f t="shared" si="123"/>
        <v>137.82434455430632</v>
      </c>
      <c r="CB89" s="714" t="s">
        <v>609</v>
      </c>
      <c r="DS89" s="226">
        <f t="shared" si="124"/>
        <v>0</v>
      </c>
    </row>
    <row r="90" spans="1:123" s="714" customFormat="1">
      <c r="A90" s="711" t="s">
        <v>572</v>
      </c>
      <c r="B90" s="704" t="s">
        <v>36</v>
      </c>
      <c r="C90" s="713"/>
      <c r="D90" s="713"/>
      <c r="E90" s="713"/>
      <c r="F90" s="713"/>
      <c r="H90" s="715"/>
      <c r="I90" s="715"/>
      <c r="J90" s="715"/>
      <c r="K90" s="716"/>
      <c r="L90" s="715"/>
      <c r="M90" s="673"/>
      <c r="N90" s="673"/>
      <c r="O90" s="673"/>
      <c r="P90" s="673"/>
      <c r="Q90" s="673"/>
      <c r="R90" s="673"/>
      <c r="S90" s="673"/>
      <c r="T90" s="673"/>
      <c r="U90" s="673"/>
      <c r="V90" s="673"/>
      <c r="W90" s="673"/>
      <c r="X90" s="673"/>
      <c r="Y90" s="727">
        <f t="shared" ref="Y90:AP90" si="138">Y91-Y89</f>
        <v>-0.71500000000000075</v>
      </c>
      <c r="Z90" s="727">
        <f t="shared" si="138"/>
        <v>-0.75800000000000267</v>
      </c>
      <c r="AA90" s="727">
        <f t="shared" si="138"/>
        <v>-0.81199999999999761</v>
      </c>
      <c r="AB90" s="727">
        <f t="shared" si="138"/>
        <v>-0.93000000000000327</v>
      </c>
      <c r="AC90" s="727">
        <f t="shared" si="138"/>
        <v>-0.9449999999999994</v>
      </c>
      <c r="AD90" s="727">
        <f t="shared" si="138"/>
        <v>-0.93499999999999517</v>
      </c>
      <c r="AE90" s="727">
        <f t="shared" si="138"/>
        <v>-0.96899999999999942</v>
      </c>
      <c r="AF90" s="727">
        <f t="shared" si="138"/>
        <v>-0.89600000000000612</v>
      </c>
      <c r="AG90" s="727">
        <f t="shared" si="138"/>
        <v>-0.93799999999999795</v>
      </c>
      <c r="AH90" s="727">
        <f t="shared" si="138"/>
        <v>-0.39599999999999724</v>
      </c>
      <c r="AI90" s="610">
        <f t="shared" si="138"/>
        <v>0</v>
      </c>
      <c r="AJ90" s="610">
        <f t="shared" si="138"/>
        <v>-1.9999999999999574E-2</v>
      </c>
      <c r="AK90" s="728">
        <f t="shared" si="138"/>
        <v>-1.9999999999999574E-2</v>
      </c>
      <c r="AL90" s="728">
        <f t="shared" si="138"/>
        <v>-1.9999999999988916E-2</v>
      </c>
      <c r="AM90" s="728">
        <f t="shared" si="138"/>
        <v>0</v>
      </c>
      <c r="AN90" s="728">
        <f t="shared" si="138"/>
        <v>-9.6999999999987097E-2</v>
      </c>
      <c r="AO90" s="728">
        <f t="shared" si="138"/>
        <v>-8.6999999999996191E-2</v>
      </c>
      <c r="AP90" s="729">
        <f t="shared" si="138"/>
        <v>-0.22400000000001086</v>
      </c>
      <c r="AQ90" s="662">
        <v>-0.1</v>
      </c>
      <c r="AR90" s="662">
        <v>-0.1</v>
      </c>
      <c r="AS90" s="662">
        <v>-0.1</v>
      </c>
      <c r="AT90" s="662">
        <v>-0.1</v>
      </c>
      <c r="AU90" s="662">
        <v>-0.1</v>
      </c>
      <c r="AV90" s="662">
        <v>-0.1</v>
      </c>
      <c r="AW90" s="662">
        <v>-0.1</v>
      </c>
      <c r="AX90" s="662">
        <v>-0.1</v>
      </c>
      <c r="AY90" s="662">
        <v>-0.1</v>
      </c>
      <c r="AZ90" s="662">
        <v>-0.1</v>
      </c>
      <c r="BA90" s="724"/>
      <c r="BB90" s="702"/>
      <c r="BC90" s="702"/>
      <c r="BD90" s="702"/>
      <c r="BE90" s="702"/>
      <c r="BF90" s="702"/>
      <c r="BG90" s="702"/>
      <c r="BH90" s="600"/>
      <c r="BI90" s="720"/>
      <c r="BJ90" s="720"/>
      <c r="BK90" s="720"/>
      <c r="BL90" s="720"/>
      <c r="BM90" s="727">
        <f t="shared" ref="BM90:BU90" si="139">BM91-BM89</f>
        <v>-1.4730000000000025</v>
      </c>
      <c r="BN90" s="727">
        <f t="shared" si="139"/>
        <v>-1.7420000000000009</v>
      </c>
      <c r="BO90" s="727">
        <f t="shared" si="139"/>
        <v>-1.879999999999999</v>
      </c>
      <c r="BP90" s="727">
        <f t="shared" si="139"/>
        <v>-1.8650000000000055</v>
      </c>
      <c r="BQ90" s="727">
        <f t="shared" si="139"/>
        <v>-1.3339999999999961</v>
      </c>
      <c r="BR90" s="610">
        <f t="shared" si="139"/>
        <v>-2.0000000000003126E-2</v>
      </c>
      <c r="BS90" s="610">
        <f t="shared" si="139"/>
        <v>-3.9999999999984936E-2</v>
      </c>
      <c r="BT90" s="610">
        <f t="shared" si="139"/>
        <v>-9.6999999999994202E-2</v>
      </c>
      <c r="BU90" s="730">
        <f t="shared" si="139"/>
        <v>-0.31100000000000705</v>
      </c>
      <c r="BV90" s="224">
        <f t="shared" si="119"/>
        <v>-0.2</v>
      </c>
      <c r="BW90" s="224">
        <f t="shared" si="120"/>
        <v>-0.2</v>
      </c>
      <c r="BX90" s="224">
        <f t="shared" si="121"/>
        <v>-0.2</v>
      </c>
      <c r="BY90" s="224">
        <f t="shared" si="122"/>
        <v>-0.2</v>
      </c>
      <c r="BZ90" s="224">
        <f t="shared" si="123"/>
        <v>-0.2</v>
      </c>
      <c r="CB90" s="714" t="s">
        <v>609</v>
      </c>
      <c r="DS90" s="224">
        <f t="shared" si="124"/>
        <v>0</v>
      </c>
    </row>
    <row r="91" spans="1:123" s="714" customFormat="1">
      <c r="A91" s="711" t="s">
        <v>573</v>
      </c>
      <c r="B91" s="712" t="s">
        <v>284</v>
      </c>
      <c r="C91" s="713"/>
      <c r="D91" s="713"/>
      <c r="E91" s="713"/>
      <c r="F91" s="713"/>
      <c r="H91" s="715"/>
      <c r="I91" s="715"/>
      <c r="J91" s="715"/>
      <c r="K91" s="716"/>
      <c r="L91" s="715"/>
      <c r="M91" s="673"/>
      <c r="N91" s="673"/>
      <c r="O91" s="673"/>
      <c r="P91" s="673"/>
      <c r="Q91" s="673"/>
      <c r="R91" s="673"/>
      <c r="S91" s="673"/>
      <c r="T91" s="673"/>
      <c r="U91" s="673"/>
      <c r="V91" s="673"/>
      <c r="W91" s="673"/>
      <c r="X91" s="673"/>
      <c r="Y91" s="717">
        <v>6.524</v>
      </c>
      <c r="Z91" s="206">
        <f>BM91-Y91</f>
        <v>11.001999999999999</v>
      </c>
      <c r="AA91" s="717">
        <v>5.4130000000000003</v>
      </c>
      <c r="AB91" s="206">
        <f>BN91-AA91</f>
        <v>11.734999999999999</v>
      </c>
      <c r="AC91" s="717">
        <v>7.1589999999999998</v>
      </c>
      <c r="AD91" s="206">
        <f>BO91-AC91</f>
        <v>12.519000000000002</v>
      </c>
      <c r="AE91" s="717">
        <v>6.6319999999999997</v>
      </c>
      <c r="AF91" s="206">
        <f>BP91-AE91</f>
        <v>9.854000000000001</v>
      </c>
      <c r="AG91" s="718">
        <v>7.0720000000000001</v>
      </c>
      <c r="AH91" s="206">
        <f>BQ91-AG91</f>
        <v>15.031000000000002</v>
      </c>
      <c r="AI91" s="718">
        <v>15.087</v>
      </c>
      <c r="AJ91" s="206">
        <f>BR91-AI91</f>
        <v>23.314000000000004</v>
      </c>
      <c r="AK91" s="665">
        <v>18.382999999999999</v>
      </c>
      <c r="AL91" s="665">
        <f t="shared" ref="AL91:AL93" si="140">BS91-AK91</f>
        <v>35.123999999999995</v>
      </c>
      <c r="AM91" s="665">
        <v>34.095999999999997</v>
      </c>
      <c r="AN91" s="665">
        <f>BT91-AM91</f>
        <v>40.949000000000005</v>
      </c>
      <c r="AO91" s="665">
        <v>42.975000000000001</v>
      </c>
      <c r="AP91" s="666">
        <f>BU91-AO91</f>
        <v>54.288000000000004</v>
      </c>
      <c r="AQ91" s="667">
        <f t="shared" ref="AQ91:AZ91" si="141">SUM(AQ89:AQ90)</f>
        <v>47.106391935483877</v>
      </c>
      <c r="AR91" s="667">
        <f t="shared" si="141"/>
        <v>58.981250000000024</v>
      </c>
      <c r="AS91" s="667">
        <f t="shared" si="141"/>
        <v>50.364101874193572</v>
      </c>
      <c r="AT91" s="667">
        <f t="shared" si="141"/>
        <v>62.910301700000026</v>
      </c>
      <c r="AU91" s="667">
        <f t="shared" si="141"/>
        <v>53.829986068277428</v>
      </c>
      <c r="AV91" s="667">
        <f t="shared" si="141"/>
        <v>67.079040705200043</v>
      </c>
      <c r="AW91" s="667">
        <f t="shared" si="141"/>
        <v>57.515922336214551</v>
      </c>
      <c r="AX91" s="667">
        <f t="shared" si="141"/>
        <v>71.500870238220301</v>
      </c>
      <c r="AY91" s="667">
        <f t="shared" si="141"/>
        <v>61.434432093170152</v>
      </c>
      <c r="AZ91" s="667">
        <f t="shared" si="141"/>
        <v>76.18991246113616</v>
      </c>
      <c r="BA91" s="724"/>
      <c r="BB91" s="702"/>
      <c r="BC91" s="702"/>
      <c r="BD91" s="702"/>
      <c r="BE91" s="702"/>
      <c r="BF91" s="702"/>
      <c r="BG91" s="702"/>
      <c r="BH91" s="600"/>
      <c r="BI91" s="720"/>
      <c r="BJ91" s="720"/>
      <c r="BK91" s="720"/>
      <c r="BL91" s="720"/>
      <c r="BM91" s="731">
        <v>17.526</v>
      </c>
      <c r="BN91" s="731">
        <v>17.148</v>
      </c>
      <c r="BO91" s="731">
        <v>19.678000000000001</v>
      </c>
      <c r="BP91" s="718">
        <v>16.486000000000001</v>
      </c>
      <c r="BQ91" s="718">
        <v>22.103000000000002</v>
      </c>
      <c r="BR91" s="718">
        <v>38.401000000000003</v>
      </c>
      <c r="BS91" s="718">
        <v>53.506999999999998</v>
      </c>
      <c r="BT91" s="718">
        <v>75.045000000000002</v>
      </c>
      <c r="BU91" s="721">
        <v>97.263000000000005</v>
      </c>
      <c r="BV91" s="226">
        <f t="shared" si="119"/>
        <v>106.0876419354839</v>
      </c>
      <c r="BW91" s="226">
        <f t="shared" si="120"/>
        <v>113.2744035741936</v>
      </c>
      <c r="BX91" s="226">
        <f t="shared" si="121"/>
        <v>120.90902677347748</v>
      </c>
      <c r="BY91" s="226">
        <f t="shared" si="122"/>
        <v>129.01679257443485</v>
      </c>
      <c r="BZ91" s="226">
        <f t="shared" si="123"/>
        <v>137.6243445543063</v>
      </c>
      <c r="CB91" s="172" t="s">
        <v>615</v>
      </c>
      <c r="DS91" s="226">
        <f t="shared" si="124"/>
        <v>0</v>
      </c>
    </row>
    <row r="92" spans="1:123" s="706" customFormat="1">
      <c r="A92" s="711" t="s">
        <v>574</v>
      </c>
      <c r="B92" s="243" t="s">
        <v>285</v>
      </c>
      <c r="C92" s="705"/>
      <c r="D92" s="705"/>
      <c r="E92" s="705"/>
      <c r="F92" s="705"/>
      <c r="H92" s="707"/>
      <c r="I92" s="707"/>
      <c r="J92" s="707"/>
      <c r="K92" s="732"/>
      <c r="L92" s="707"/>
      <c r="M92" s="603"/>
      <c r="N92" s="603"/>
      <c r="O92" s="603"/>
      <c r="P92" s="603"/>
      <c r="Q92" s="603"/>
      <c r="R92" s="603"/>
      <c r="S92" s="603"/>
      <c r="T92" s="603"/>
      <c r="U92" s="603"/>
      <c r="V92" s="603"/>
      <c r="W92" s="603"/>
      <c r="X92" s="603"/>
      <c r="Y92" s="162">
        <f>-(Y91-Y93)</f>
        <v>-2.1859999999999999</v>
      </c>
      <c r="Z92" s="162">
        <f>BM92-Y92</f>
        <v>-3.4309999999999992</v>
      </c>
      <c r="AA92" s="277">
        <f>-(AA91-AA93)</f>
        <v>-1.5680000000000001</v>
      </c>
      <c r="AB92" s="277">
        <f>BN92-AA92</f>
        <v>-2.528</v>
      </c>
      <c r="AC92" s="277">
        <f t="shared" ref="AC92:AP92" si="142">-(AC91-AC93)</f>
        <v>-2.0969999999999995</v>
      </c>
      <c r="AD92" s="277">
        <f t="shared" si="142"/>
        <v>-1.2420000000000044</v>
      </c>
      <c r="AE92" s="277">
        <f t="shared" si="142"/>
        <v>-1.5960000000000001</v>
      </c>
      <c r="AF92" s="277">
        <f t="shared" si="142"/>
        <v>-1.8640000000000008</v>
      </c>
      <c r="AG92" s="277">
        <f t="shared" si="142"/>
        <v>-2.2030000000000003</v>
      </c>
      <c r="AH92" s="277">
        <f t="shared" si="142"/>
        <v>-5.0610000000000017</v>
      </c>
      <c r="AI92" s="277">
        <f t="shared" si="142"/>
        <v>-6.1820000000000004</v>
      </c>
      <c r="AJ92" s="277">
        <f t="shared" si="142"/>
        <v>-9.4380000000000042</v>
      </c>
      <c r="AK92" s="669">
        <f t="shared" si="142"/>
        <v>-6.0949999999999989</v>
      </c>
      <c r="AL92" s="669">
        <f t="shared" si="142"/>
        <v>-12.361999999999998</v>
      </c>
      <c r="AM92" s="669">
        <f t="shared" si="142"/>
        <v>-9.2319999999999958</v>
      </c>
      <c r="AN92" s="669">
        <f t="shared" si="142"/>
        <v>-10.462000000000007</v>
      </c>
      <c r="AO92" s="669">
        <f t="shared" si="142"/>
        <v>-10.076000000000001</v>
      </c>
      <c r="AP92" s="670">
        <f t="shared" si="142"/>
        <v>-15.218000000000011</v>
      </c>
      <c r="AQ92" s="658">
        <f t="shared" ref="AQ92:AZ92" si="143">AQ102*AQ91</f>
        <v>-13.204853235967324</v>
      </c>
      <c r="AR92" s="658">
        <f t="shared" si="143"/>
        <v>-16.533610788756281</v>
      </c>
      <c r="AS92" s="658">
        <f t="shared" si="143"/>
        <v>-14.118053756290125</v>
      </c>
      <c r="AT92" s="658">
        <f t="shared" si="143"/>
        <v>-17.635001681229756</v>
      </c>
      <c r="AU92" s="658">
        <f t="shared" si="143"/>
        <v>-15.089609637250339</v>
      </c>
      <c r="AV92" s="658">
        <f t="shared" si="143"/>
        <v>-18.803581665409205</v>
      </c>
      <c r="AW92" s="658">
        <f t="shared" si="143"/>
        <v>-16.122850466263515</v>
      </c>
      <c r="AX92" s="658">
        <f t="shared" si="143"/>
        <v>-20.043107929657332</v>
      </c>
      <c r="AY92" s="658">
        <f t="shared" si="143"/>
        <v>-17.221286243624078</v>
      </c>
      <c r="AZ92" s="658">
        <f t="shared" si="143"/>
        <v>-21.357539195283874</v>
      </c>
      <c r="BA92" s="708"/>
      <c r="BB92" s="709"/>
      <c r="BC92" s="709"/>
      <c r="BD92" s="709"/>
      <c r="BE92" s="709"/>
      <c r="BF92" s="709"/>
      <c r="BG92" s="709"/>
      <c r="BH92" s="710"/>
      <c r="BI92" s="627"/>
      <c r="BJ92" s="627"/>
      <c r="BK92" s="627"/>
      <c r="BL92" s="627"/>
      <c r="BM92" s="162">
        <f t="shared" ref="BM92:BU92" si="144">-(BM91-BM93)</f>
        <v>-5.6169999999999991</v>
      </c>
      <c r="BN92" s="162">
        <f t="shared" si="144"/>
        <v>-4.0960000000000001</v>
      </c>
      <c r="BO92" s="162">
        <f t="shared" si="144"/>
        <v>-3.3390000000000022</v>
      </c>
      <c r="BP92" s="162">
        <f t="shared" si="144"/>
        <v>-3.4600000000000009</v>
      </c>
      <c r="BQ92" s="162">
        <f t="shared" si="144"/>
        <v>-7.2640000000000011</v>
      </c>
      <c r="BR92" s="162">
        <f t="shared" si="144"/>
        <v>-15.620000000000005</v>
      </c>
      <c r="BS92" s="162">
        <f t="shared" si="144"/>
        <v>-18.457000000000001</v>
      </c>
      <c r="BT92" s="162">
        <f t="shared" si="144"/>
        <v>-19.694000000000003</v>
      </c>
      <c r="BU92" s="458">
        <f t="shared" si="144"/>
        <v>-25.294000000000011</v>
      </c>
      <c r="BV92" s="224">
        <f t="shared" si="119"/>
        <v>-29.738464024723605</v>
      </c>
      <c r="BW92" s="224">
        <f t="shared" si="120"/>
        <v>-31.753055437519883</v>
      </c>
      <c r="BX92" s="224">
        <f t="shared" si="121"/>
        <v>-33.893191302659545</v>
      </c>
      <c r="BY92" s="224">
        <f t="shared" si="122"/>
        <v>-36.165958395920846</v>
      </c>
      <c r="BZ92" s="224">
        <f t="shared" si="123"/>
        <v>-38.578825438907955</v>
      </c>
      <c r="CB92" s="706" t="s">
        <v>609</v>
      </c>
      <c r="DS92" s="224">
        <f t="shared" si="124"/>
        <v>0</v>
      </c>
    </row>
    <row r="93" spans="1:123" s="714" customFormat="1">
      <c r="A93" s="270" t="s">
        <v>471</v>
      </c>
      <c r="B93" s="712" t="s">
        <v>350</v>
      </c>
      <c r="C93" s="713"/>
      <c r="D93" s="713"/>
      <c r="E93" s="713"/>
      <c r="F93" s="713"/>
      <c r="H93" s="715"/>
      <c r="I93" s="715"/>
      <c r="J93" s="715"/>
      <c r="K93" s="716"/>
      <c r="L93" s="715"/>
      <c r="M93" s="673"/>
      <c r="N93" s="673"/>
      <c r="O93" s="673"/>
      <c r="P93" s="673"/>
      <c r="Q93" s="673"/>
      <c r="R93" s="673"/>
      <c r="S93" s="673"/>
      <c r="T93" s="673"/>
      <c r="U93" s="673"/>
      <c r="V93" s="673"/>
      <c r="W93" s="673"/>
      <c r="X93" s="673"/>
      <c r="Y93" s="717">
        <v>4.3380000000000001</v>
      </c>
      <c r="Z93" s="206">
        <f>BM93-Y93</f>
        <v>7.5710000000000006</v>
      </c>
      <c r="AA93" s="717">
        <v>3.8450000000000002</v>
      </c>
      <c r="AB93" s="206">
        <f>BN93-AA93</f>
        <v>9.206999999999999</v>
      </c>
      <c r="AC93" s="717">
        <v>5.0620000000000003</v>
      </c>
      <c r="AD93" s="206">
        <f>BO93-AC93</f>
        <v>11.276999999999997</v>
      </c>
      <c r="AE93" s="717">
        <v>5.0359999999999996</v>
      </c>
      <c r="AF93" s="206">
        <f>BP93-AE93</f>
        <v>7.99</v>
      </c>
      <c r="AG93" s="718">
        <v>4.8689999999999998</v>
      </c>
      <c r="AH93" s="206">
        <f>BQ93-AG93</f>
        <v>9.9700000000000006</v>
      </c>
      <c r="AI93" s="718">
        <v>8.9049999999999994</v>
      </c>
      <c r="AJ93" s="206">
        <f>BR93-AI93</f>
        <v>13.875999999999999</v>
      </c>
      <c r="AK93" s="665">
        <v>12.288</v>
      </c>
      <c r="AL93" s="665">
        <f t="shared" si="140"/>
        <v>22.761999999999997</v>
      </c>
      <c r="AM93" s="665">
        <v>24.864000000000001</v>
      </c>
      <c r="AN93" s="665">
        <f>BT93-AM93</f>
        <v>30.486999999999998</v>
      </c>
      <c r="AO93" s="665">
        <v>32.899000000000001</v>
      </c>
      <c r="AP93" s="666">
        <f>BU93-AO93</f>
        <v>39.069999999999993</v>
      </c>
      <c r="AQ93" s="667">
        <f t="shared" ref="AQ93:AT93" si="145">SUM(AQ91:AQ92)</f>
        <v>33.90153869951655</v>
      </c>
      <c r="AR93" s="667">
        <f t="shared" si="145"/>
        <v>42.44763921124374</v>
      </c>
      <c r="AS93" s="667">
        <f t="shared" si="145"/>
        <v>36.246048117903449</v>
      </c>
      <c r="AT93" s="667">
        <f t="shared" si="145"/>
        <v>45.275300018770267</v>
      </c>
      <c r="AU93" s="667">
        <f t="shared" ref="AU93:AZ93" si="146">SUM(AU91:AU92)</f>
        <v>38.740376431027087</v>
      </c>
      <c r="AV93" s="667">
        <f t="shared" si="146"/>
        <v>48.275459039790839</v>
      </c>
      <c r="AW93" s="667">
        <f t="shared" si="146"/>
        <v>41.393071869951036</v>
      </c>
      <c r="AX93" s="667">
        <f t="shared" si="146"/>
        <v>51.45776230856297</v>
      </c>
      <c r="AY93" s="667">
        <f t="shared" si="146"/>
        <v>44.213145849546073</v>
      </c>
      <c r="AZ93" s="667">
        <f t="shared" si="146"/>
        <v>54.832373265852283</v>
      </c>
      <c r="BA93" s="724"/>
      <c r="BB93" s="702"/>
      <c r="BC93" s="702"/>
      <c r="BD93" s="702"/>
      <c r="BE93" s="702"/>
      <c r="BF93" s="702"/>
      <c r="BG93" s="702"/>
      <c r="BH93" s="600"/>
      <c r="BI93" s="720"/>
      <c r="BJ93" s="720"/>
      <c r="BK93" s="720"/>
      <c r="BL93" s="720"/>
      <c r="BM93" s="718">
        <v>11.909000000000001</v>
      </c>
      <c r="BN93" s="718">
        <v>13.052</v>
      </c>
      <c r="BO93" s="718">
        <v>16.338999999999999</v>
      </c>
      <c r="BP93" s="718">
        <v>13.026</v>
      </c>
      <c r="BQ93" s="718">
        <v>14.839</v>
      </c>
      <c r="BR93" s="718">
        <v>22.780999999999999</v>
      </c>
      <c r="BS93" s="718">
        <v>35.049999999999997</v>
      </c>
      <c r="BT93" s="718">
        <v>55.350999999999999</v>
      </c>
      <c r="BU93" s="721">
        <v>71.968999999999994</v>
      </c>
      <c r="BV93" s="226">
        <f t="shared" si="119"/>
        <v>76.349177910760289</v>
      </c>
      <c r="BW93" s="226">
        <f t="shared" si="120"/>
        <v>81.521348136673708</v>
      </c>
      <c r="BX93" s="226">
        <f t="shared" si="121"/>
        <v>87.015835470817933</v>
      </c>
      <c r="BY93" s="226">
        <f t="shared" si="122"/>
        <v>92.850834178514006</v>
      </c>
      <c r="BZ93" s="226">
        <f t="shared" si="123"/>
        <v>99.045519115398349</v>
      </c>
      <c r="CB93" s="172" t="s">
        <v>615</v>
      </c>
      <c r="DS93" s="226">
        <f t="shared" si="124"/>
        <v>0</v>
      </c>
    </row>
    <row r="94" spans="1:123" s="714" customFormat="1">
      <c r="A94" s="270"/>
      <c r="B94" s="712"/>
      <c r="C94" s="713"/>
      <c r="D94" s="713"/>
      <c r="E94" s="713"/>
      <c r="F94" s="713"/>
      <c r="H94" s="715"/>
      <c r="I94" s="715"/>
      <c r="J94" s="715"/>
      <c r="K94" s="716"/>
      <c r="L94" s="715"/>
      <c r="M94" s="673"/>
      <c r="N94" s="673"/>
      <c r="O94" s="673"/>
      <c r="P94" s="673"/>
      <c r="Q94" s="673"/>
      <c r="R94" s="673"/>
      <c r="S94" s="673"/>
      <c r="T94" s="673"/>
      <c r="U94" s="673"/>
      <c r="V94" s="673"/>
      <c r="W94" s="673"/>
      <c r="X94" s="673"/>
      <c r="Y94" s="717"/>
      <c r="Z94" s="206"/>
      <c r="AA94" s="717"/>
      <c r="AB94" s="206"/>
      <c r="AC94" s="717"/>
      <c r="AD94" s="206"/>
      <c r="AE94" s="717"/>
      <c r="AF94" s="206"/>
      <c r="AG94" s="718"/>
      <c r="AH94" s="206"/>
      <c r="AI94" s="718"/>
      <c r="AJ94" s="206"/>
      <c r="AK94" s="718"/>
      <c r="AL94" s="720"/>
      <c r="AM94" s="718"/>
      <c r="AN94" s="720"/>
      <c r="AO94" s="718"/>
      <c r="AP94" s="733"/>
      <c r="AQ94" s="720"/>
      <c r="AR94" s="720"/>
      <c r="AS94" s="720"/>
      <c r="AT94" s="720"/>
      <c r="AU94" s="720"/>
      <c r="AV94" s="720"/>
      <c r="AW94" s="720"/>
      <c r="AX94" s="720"/>
      <c r="AY94" s="720"/>
      <c r="AZ94" s="720"/>
      <c r="BA94" s="724"/>
      <c r="BB94" s="702"/>
      <c r="BC94" s="702"/>
      <c r="BD94" s="702"/>
      <c r="BE94" s="702"/>
      <c r="BF94" s="702"/>
      <c r="BG94" s="702"/>
      <c r="BH94" s="600"/>
      <c r="BI94" s="720"/>
      <c r="BJ94" s="720"/>
      <c r="BK94" s="720"/>
      <c r="BL94" s="720"/>
      <c r="BM94" s="718"/>
      <c r="BN94" s="718"/>
      <c r="BO94" s="718"/>
      <c r="BP94" s="718"/>
      <c r="BQ94" s="718"/>
      <c r="BR94" s="718"/>
      <c r="BS94" s="718"/>
      <c r="BT94" s="226"/>
      <c r="BU94" s="504"/>
      <c r="BV94" s="226"/>
      <c r="BW94" s="226"/>
      <c r="BX94" s="226"/>
      <c r="BY94" s="226"/>
      <c r="BZ94" s="226"/>
      <c r="DS94" s="226"/>
    </row>
    <row r="95" spans="1:123" s="179" customFormat="1">
      <c r="A95" s="270"/>
      <c r="B95" s="355" t="s">
        <v>550</v>
      </c>
      <c r="C95" s="91"/>
      <c r="D95" s="91"/>
      <c r="E95" s="91"/>
      <c r="F95" s="91"/>
      <c r="G95" s="28"/>
      <c r="H95" s="617"/>
      <c r="I95" s="617"/>
      <c r="J95" s="617"/>
      <c r="K95" s="618"/>
      <c r="L95" s="617"/>
      <c r="M95" s="620"/>
      <c r="N95" s="620"/>
      <c r="O95" s="620"/>
      <c r="P95" s="620"/>
      <c r="Q95" s="620"/>
      <c r="R95" s="620"/>
      <c r="S95" s="620"/>
      <c r="T95" s="620"/>
      <c r="U95" s="620"/>
      <c r="V95" s="620"/>
      <c r="W95" s="620"/>
      <c r="X95" s="620"/>
      <c r="Y95" s="207"/>
      <c r="Z95" s="183"/>
      <c r="AA95" s="207"/>
      <c r="AB95" s="183"/>
      <c r="AC95" s="207"/>
      <c r="AD95" s="183"/>
      <c r="AE95" s="207"/>
      <c r="AF95" s="183"/>
      <c r="AG95" s="207"/>
      <c r="AH95" s="183"/>
      <c r="AI95" s="207"/>
      <c r="AJ95" s="183"/>
      <c r="AK95" s="667"/>
      <c r="AL95" s="667"/>
      <c r="AM95" s="667"/>
      <c r="AN95" s="667"/>
      <c r="AO95" s="667"/>
      <c r="AP95" s="666"/>
      <c r="AQ95" s="667"/>
      <c r="AR95" s="667"/>
      <c r="AS95" s="667"/>
      <c r="AT95" s="667"/>
      <c r="AU95" s="667"/>
      <c r="AV95" s="667"/>
      <c r="AW95" s="667"/>
      <c r="AX95" s="667"/>
      <c r="AY95" s="667"/>
      <c r="AZ95" s="667"/>
      <c r="BA95" s="223"/>
      <c r="BB95" s="668"/>
      <c r="BC95" s="668"/>
      <c r="BD95" s="668"/>
      <c r="BE95" s="668"/>
      <c r="BF95" s="668"/>
      <c r="BG95" s="668"/>
      <c r="BH95" s="598"/>
      <c r="BI95" s="667"/>
      <c r="BJ95" s="667"/>
      <c r="BK95" s="667"/>
      <c r="BL95" s="660"/>
      <c r="BM95" s="207"/>
      <c r="BN95" s="207"/>
      <c r="BO95" s="207"/>
      <c r="BP95" s="207"/>
      <c r="BQ95" s="207"/>
      <c r="BR95" s="207"/>
      <c r="BS95" s="207"/>
      <c r="BT95" s="198"/>
      <c r="BU95" s="501"/>
      <c r="BV95" s="198"/>
      <c r="BW95" s="198"/>
      <c r="BX95" s="198"/>
      <c r="BY95" s="198"/>
      <c r="BZ95" s="198"/>
      <c r="DS95" s="198"/>
    </row>
    <row r="96" spans="1:123" s="341" customFormat="1">
      <c r="A96" s="338"/>
      <c r="B96" s="339" t="s">
        <v>545</v>
      </c>
      <c r="C96" s="340"/>
      <c r="D96" s="340"/>
      <c r="E96" s="340"/>
      <c r="F96" s="340"/>
      <c r="H96" s="342"/>
      <c r="I96" s="342"/>
      <c r="J96" s="342"/>
      <c r="K96" s="343"/>
      <c r="L96" s="342"/>
      <c r="M96" s="342"/>
      <c r="N96" s="342"/>
      <c r="O96" s="342"/>
      <c r="P96" s="344"/>
      <c r="Q96" s="344"/>
      <c r="R96" s="344"/>
      <c r="S96" s="344"/>
      <c r="T96" s="344"/>
      <c r="U96" s="345"/>
      <c r="V96" s="345"/>
      <c r="W96" s="345"/>
      <c r="X96" s="345"/>
      <c r="Y96" s="357"/>
      <c r="Z96" s="358"/>
      <c r="AA96" s="357"/>
      <c r="AB96" s="358"/>
      <c r="AC96" s="675"/>
      <c r="AD96" s="675"/>
      <c r="AE96" s="675"/>
      <c r="AF96" s="675"/>
      <c r="AG96" s="675"/>
      <c r="AH96" s="675"/>
      <c r="AI96" s="675"/>
      <c r="AJ96" s="675"/>
      <c r="AK96" s="675"/>
      <c r="AL96" s="675"/>
      <c r="AM96" s="675"/>
      <c r="AN96" s="675"/>
      <c r="AO96" s="675"/>
      <c r="AP96" s="676"/>
      <c r="AQ96" s="346">
        <v>0.05</v>
      </c>
      <c r="AR96" s="346">
        <v>0.04</v>
      </c>
      <c r="AS96" s="346">
        <v>0.04</v>
      </c>
      <c r="AT96" s="346">
        <v>0.04</v>
      </c>
      <c r="AU96" s="346">
        <v>0.04</v>
      </c>
      <c r="AV96" s="346">
        <v>0.04</v>
      </c>
      <c r="AW96" s="346">
        <v>0.04</v>
      </c>
      <c r="AX96" s="346">
        <v>0.04</v>
      </c>
      <c r="AY96" s="346">
        <v>0.04</v>
      </c>
      <c r="AZ96" s="346">
        <v>0.04</v>
      </c>
      <c r="BA96" s="347"/>
      <c r="BB96" s="347"/>
      <c r="BC96" s="347"/>
      <c r="BD96" s="347"/>
      <c r="BE96" s="347"/>
      <c r="BF96" s="347"/>
      <c r="BG96" s="347"/>
      <c r="BH96" s="348"/>
      <c r="BI96" s="349"/>
      <c r="BJ96" s="350"/>
      <c r="BK96" s="350"/>
      <c r="BL96" s="350"/>
      <c r="BM96" s="359"/>
      <c r="BN96" s="360"/>
      <c r="BO96" s="361"/>
      <c r="BP96" s="361"/>
      <c r="BQ96" s="361"/>
      <c r="BR96" s="361"/>
      <c r="BS96" s="361"/>
      <c r="BT96" s="361"/>
      <c r="BU96" s="502"/>
      <c r="BV96" s="361"/>
      <c r="BW96" s="361"/>
      <c r="BX96" s="361"/>
      <c r="BY96" s="361"/>
      <c r="BZ96" s="361"/>
      <c r="DS96" s="361"/>
    </row>
    <row r="97" spans="1:123" s="341" customFormat="1">
      <c r="A97" s="338"/>
      <c r="B97" s="339" t="s">
        <v>546</v>
      </c>
      <c r="C97" s="340"/>
      <c r="D97" s="340"/>
      <c r="E97" s="340"/>
      <c r="F97" s="340"/>
      <c r="H97" s="342"/>
      <c r="I97" s="342"/>
      <c r="J97" s="342"/>
      <c r="K97" s="343"/>
      <c r="L97" s="342"/>
      <c r="M97" s="342"/>
      <c r="N97" s="342"/>
      <c r="O97" s="342"/>
      <c r="P97" s="344"/>
      <c r="Q97" s="344"/>
      <c r="R97" s="344"/>
      <c r="S97" s="344"/>
      <c r="T97" s="344"/>
      <c r="U97" s="345"/>
      <c r="V97" s="345"/>
      <c r="W97" s="345"/>
      <c r="X97" s="345"/>
      <c r="Y97" s="357"/>
      <c r="Z97" s="358"/>
      <c r="AA97" s="357"/>
      <c r="AB97" s="358"/>
      <c r="AC97" s="675"/>
      <c r="AD97" s="675"/>
      <c r="AE97" s="675"/>
      <c r="AF97" s="675"/>
      <c r="AG97" s="675"/>
      <c r="AH97" s="675"/>
      <c r="AI97" s="675"/>
      <c r="AJ97" s="675"/>
      <c r="AK97" s="675"/>
      <c r="AL97" s="675"/>
      <c r="AM97" s="675"/>
      <c r="AN97" s="675"/>
      <c r="AO97" s="675"/>
      <c r="AP97" s="676"/>
      <c r="AQ97" s="346">
        <v>0.05</v>
      </c>
      <c r="AR97" s="346">
        <v>0.04</v>
      </c>
      <c r="AS97" s="346">
        <v>0.02</v>
      </c>
      <c r="AT97" s="346">
        <v>0.02</v>
      </c>
      <c r="AU97" s="346">
        <v>0.02</v>
      </c>
      <c r="AV97" s="346">
        <v>0.02</v>
      </c>
      <c r="AW97" s="346">
        <v>0.02</v>
      </c>
      <c r="AX97" s="346">
        <v>0.02</v>
      </c>
      <c r="AY97" s="346">
        <v>0.02</v>
      </c>
      <c r="AZ97" s="346">
        <v>0.02</v>
      </c>
      <c r="BA97" s="347"/>
      <c r="BB97" s="347"/>
      <c r="BC97" s="347"/>
      <c r="BD97" s="347"/>
      <c r="BE97" s="347"/>
      <c r="BF97" s="347"/>
      <c r="BG97" s="347"/>
      <c r="BH97" s="348"/>
      <c r="BI97" s="349"/>
      <c r="BJ97" s="350"/>
      <c r="BK97" s="350"/>
      <c r="BL97" s="350"/>
      <c r="BM97" s="359"/>
      <c r="BN97" s="360"/>
      <c r="BO97" s="361"/>
      <c r="BP97" s="361"/>
      <c r="BQ97" s="361"/>
      <c r="BR97" s="361"/>
      <c r="BS97" s="361"/>
      <c r="BT97" s="361"/>
      <c r="BU97" s="502"/>
      <c r="BV97" s="361"/>
      <c r="BW97" s="361"/>
      <c r="BX97" s="361"/>
      <c r="BY97" s="361"/>
      <c r="BZ97" s="361"/>
      <c r="DS97" s="361"/>
    </row>
    <row r="98" spans="1:123" s="341" customFormat="1">
      <c r="A98" s="338"/>
      <c r="B98" s="339" t="s">
        <v>547</v>
      </c>
      <c r="C98" s="340"/>
      <c r="D98" s="340"/>
      <c r="E98" s="340"/>
      <c r="F98" s="340"/>
      <c r="H98" s="342"/>
      <c r="I98" s="342"/>
      <c r="J98" s="342"/>
      <c r="K98" s="343"/>
      <c r="L98" s="342"/>
      <c r="M98" s="342"/>
      <c r="N98" s="342"/>
      <c r="O98" s="342"/>
      <c r="P98" s="344"/>
      <c r="Q98" s="344"/>
      <c r="R98" s="344"/>
      <c r="S98" s="344"/>
      <c r="T98" s="344"/>
      <c r="U98" s="345"/>
      <c r="V98" s="345"/>
      <c r="W98" s="345"/>
      <c r="X98" s="345"/>
      <c r="Y98" s="357"/>
      <c r="Z98" s="358"/>
      <c r="AA98" s="357"/>
      <c r="AB98" s="358"/>
      <c r="AC98" s="675"/>
      <c r="AD98" s="675"/>
      <c r="AE98" s="675"/>
      <c r="AF98" s="675"/>
      <c r="AG98" s="675"/>
      <c r="AH98" s="675"/>
      <c r="AI98" s="675"/>
      <c r="AJ98" s="675"/>
      <c r="AK98" s="675"/>
      <c r="AL98" s="675"/>
      <c r="AM98" s="675"/>
      <c r="AN98" s="675"/>
      <c r="AO98" s="675"/>
      <c r="AP98" s="676"/>
      <c r="AQ98" s="346">
        <v>0.7</v>
      </c>
      <c r="AR98" s="346">
        <v>0.7</v>
      </c>
      <c r="AS98" s="346">
        <v>0.7</v>
      </c>
      <c r="AT98" s="346">
        <v>0.7</v>
      </c>
      <c r="AU98" s="346">
        <v>0.7</v>
      </c>
      <c r="AV98" s="346">
        <v>0.7</v>
      </c>
      <c r="AW98" s="346">
        <v>0.7</v>
      </c>
      <c r="AX98" s="346">
        <v>0.7</v>
      </c>
      <c r="AY98" s="346">
        <v>0.7</v>
      </c>
      <c r="AZ98" s="346">
        <v>0.7</v>
      </c>
      <c r="BA98" s="347"/>
      <c r="BB98" s="347"/>
      <c r="BC98" s="347"/>
      <c r="BD98" s="347"/>
      <c r="BE98" s="347"/>
      <c r="BF98" s="347"/>
      <c r="BG98" s="347"/>
      <c r="BH98" s="348"/>
      <c r="BI98" s="349"/>
      <c r="BJ98" s="350"/>
      <c r="BK98" s="350"/>
      <c r="BL98" s="350"/>
      <c r="BM98" s="359"/>
      <c r="BN98" s="360"/>
      <c r="BO98" s="361"/>
      <c r="BP98" s="361"/>
      <c r="BQ98" s="361"/>
      <c r="BR98" s="361"/>
      <c r="BS98" s="361"/>
      <c r="BT98" s="361"/>
      <c r="BU98" s="502"/>
      <c r="BV98" s="361"/>
      <c r="BW98" s="361"/>
      <c r="BX98" s="361"/>
      <c r="BY98" s="361"/>
      <c r="BZ98" s="361"/>
      <c r="DS98" s="361"/>
    </row>
    <row r="99" spans="1:123" s="341" customFormat="1">
      <c r="A99" s="338"/>
      <c r="B99" s="339" t="s">
        <v>548</v>
      </c>
      <c r="C99" s="340"/>
      <c r="D99" s="340"/>
      <c r="E99" s="340"/>
      <c r="F99" s="340"/>
      <c r="H99" s="342"/>
      <c r="I99" s="342"/>
      <c r="J99" s="342"/>
      <c r="K99" s="343"/>
      <c r="L99" s="342"/>
      <c r="M99" s="342"/>
      <c r="N99" s="342"/>
      <c r="O99" s="342"/>
      <c r="P99" s="344"/>
      <c r="Q99" s="344"/>
      <c r="R99" s="344"/>
      <c r="S99" s="344"/>
      <c r="T99" s="344"/>
      <c r="U99" s="345"/>
      <c r="V99" s="345"/>
      <c r="W99" s="345"/>
      <c r="X99" s="345"/>
      <c r="Y99" s="357"/>
      <c r="Z99" s="358"/>
      <c r="AA99" s="357"/>
      <c r="AB99" s="358"/>
      <c r="AC99" s="675"/>
      <c r="AD99" s="675"/>
      <c r="AE99" s="675"/>
      <c r="AF99" s="675"/>
      <c r="AG99" s="675"/>
      <c r="AH99" s="675"/>
      <c r="AI99" s="675"/>
      <c r="AJ99" s="675"/>
      <c r="AK99" s="675"/>
      <c r="AL99" s="675"/>
      <c r="AM99" s="675"/>
      <c r="AN99" s="675"/>
      <c r="AO99" s="675"/>
      <c r="AP99" s="676"/>
      <c r="AQ99" s="346">
        <f t="shared" ref="AQ99:AZ99" si="147">1-AQ98</f>
        <v>0.30000000000000004</v>
      </c>
      <c r="AR99" s="346">
        <f t="shared" si="147"/>
        <v>0.30000000000000004</v>
      </c>
      <c r="AS99" s="346">
        <f t="shared" si="147"/>
        <v>0.30000000000000004</v>
      </c>
      <c r="AT99" s="346">
        <f t="shared" si="147"/>
        <v>0.30000000000000004</v>
      </c>
      <c r="AU99" s="346">
        <f t="shared" si="147"/>
        <v>0.30000000000000004</v>
      </c>
      <c r="AV99" s="346">
        <f t="shared" si="147"/>
        <v>0.30000000000000004</v>
      </c>
      <c r="AW99" s="346">
        <f t="shared" si="147"/>
        <v>0.30000000000000004</v>
      </c>
      <c r="AX99" s="346">
        <f t="shared" si="147"/>
        <v>0.30000000000000004</v>
      </c>
      <c r="AY99" s="346">
        <f t="shared" si="147"/>
        <v>0.30000000000000004</v>
      </c>
      <c r="AZ99" s="346">
        <f t="shared" si="147"/>
        <v>0.30000000000000004</v>
      </c>
      <c r="BA99" s="347"/>
      <c r="BB99" s="347"/>
      <c r="BC99" s="347"/>
      <c r="BD99" s="347"/>
      <c r="BE99" s="347"/>
      <c r="BF99" s="347"/>
      <c r="BG99" s="347"/>
      <c r="BH99" s="348"/>
      <c r="BI99" s="349"/>
      <c r="BJ99" s="350"/>
      <c r="BK99" s="350"/>
      <c r="BL99" s="350"/>
      <c r="BM99" s="359"/>
      <c r="BN99" s="360"/>
      <c r="BO99" s="361"/>
      <c r="BP99" s="361"/>
      <c r="BQ99" s="361"/>
      <c r="BR99" s="361"/>
      <c r="BS99" s="361"/>
      <c r="BT99" s="361"/>
      <c r="BU99" s="502"/>
      <c r="BV99" s="361"/>
      <c r="BW99" s="361"/>
      <c r="BX99" s="361"/>
      <c r="BY99" s="361"/>
      <c r="BZ99" s="361"/>
      <c r="DS99" s="361"/>
    </row>
    <row r="100" spans="1:123" s="341" customFormat="1">
      <c r="A100" s="338"/>
      <c r="B100" s="339" t="s">
        <v>549</v>
      </c>
      <c r="C100" s="340"/>
      <c r="D100" s="340"/>
      <c r="E100" s="340"/>
      <c r="F100" s="340"/>
      <c r="H100" s="342"/>
      <c r="I100" s="342"/>
      <c r="J100" s="342"/>
      <c r="K100" s="343"/>
      <c r="L100" s="342"/>
      <c r="M100" s="342"/>
      <c r="N100" s="342"/>
      <c r="O100" s="342"/>
      <c r="P100" s="344"/>
      <c r="Q100" s="344"/>
      <c r="R100" s="344"/>
      <c r="S100" s="344"/>
      <c r="T100" s="344"/>
      <c r="U100" s="345"/>
      <c r="V100" s="345"/>
      <c r="W100" s="345"/>
      <c r="X100" s="345"/>
      <c r="Y100" s="357"/>
      <c r="Z100" s="358"/>
      <c r="AA100" s="357"/>
      <c r="AB100" s="358"/>
      <c r="AC100" s="675"/>
      <c r="AD100" s="675"/>
      <c r="AE100" s="675"/>
      <c r="AF100" s="675"/>
      <c r="AG100" s="675"/>
      <c r="AH100" s="675"/>
      <c r="AI100" s="675"/>
      <c r="AJ100" s="675"/>
      <c r="AK100" s="675"/>
      <c r="AL100" s="675"/>
      <c r="AM100" s="675"/>
      <c r="AN100" s="675"/>
      <c r="AO100" s="675"/>
      <c r="AP100" s="676"/>
      <c r="AQ100" s="346">
        <v>0.01</v>
      </c>
      <c r="AR100" s="346">
        <v>0.01</v>
      </c>
      <c r="AS100" s="346">
        <v>0.01</v>
      </c>
      <c r="AT100" s="346">
        <v>0.01</v>
      </c>
      <c r="AU100" s="346">
        <v>0.01</v>
      </c>
      <c r="AV100" s="346">
        <v>0.01</v>
      </c>
      <c r="AW100" s="346">
        <v>0.01</v>
      </c>
      <c r="AX100" s="346">
        <v>0.01</v>
      </c>
      <c r="AY100" s="346">
        <v>0.01</v>
      </c>
      <c r="AZ100" s="346">
        <v>0.01</v>
      </c>
      <c r="BA100" s="347"/>
      <c r="BB100" s="347"/>
      <c r="BC100" s="347"/>
      <c r="BD100" s="347"/>
      <c r="BE100" s="347"/>
      <c r="BF100" s="347"/>
      <c r="BG100" s="347"/>
      <c r="BH100" s="348"/>
      <c r="BI100" s="349"/>
      <c r="BJ100" s="350"/>
      <c r="BK100" s="350"/>
      <c r="BL100" s="350"/>
      <c r="BM100" s="359"/>
      <c r="BN100" s="360"/>
      <c r="BO100" s="361"/>
      <c r="BP100" s="361"/>
      <c r="BQ100" s="361"/>
      <c r="BR100" s="361"/>
      <c r="BS100" s="361"/>
      <c r="BT100" s="361"/>
      <c r="BU100" s="502"/>
      <c r="BV100" s="361"/>
      <c r="BW100" s="361"/>
      <c r="BX100" s="361"/>
      <c r="BY100" s="361"/>
      <c r="BZ100" s="361"/>
      <c r="DS100" s="361"/>
    </row>
    <row r="101" spans="1:123" s="179" customFormat="1">
      <c r="A101" s="270"/>
      <c r="B101" s="243" t="s">
        <v>556</v>
      </c>
      <c r="C101" s="91"/>
      <c r="D101" s="91"/>
      <c r="E101" s="91"/>
      <c r="F101" s="91"/>
      <c r="G101" s="28"/>
      <c r="H101" s="617"/>
      <c r="I101" s="617"/>
      <c r="J101" s="617"/>
      <c r="K101" s="618"/>
      <c r="L101" s="617"/>
      <c r="M101" s="620"/>
      <c r="N101" s="620"/>
      <c r="O101" s="620"/>
      <c r="P101" s="620"/>
      <c r="Q101" s="620"/>
      <c r="R101" s="620"/>
      <c r="S101" s="620"/>
      <c r="T101" s="620"/>
      <c r="U101" s="620"/>
      <c r="V101" s="620"/>
      <c r="W101" s="620"/>
      <c r="X101" s="620"/>
      <c r="Y101" s="357"/>
      <c r="Z101" s="358"/>
      <c r="AA101" s="678">
        <f t="shared" ref="AA101:AP101" si="148">AA88/Y88-1</f>
        <v>0.10175872338034497</v>
      </c>
      <c r="AB101" s="678">
        <f t="shared" si="148"/>
        <v>-7.3459351467650147E-2</v>
      </c>
      <c r="AC101" s="678">
        <f t="shared" si="148"/>
        <v>5.1305589555283637E-2</v>
      </c>
      <c r="AD101" s="678">
        <f t="shared" si="148"/>
        <v>6.4134461215237248E-2</v>
      </c>
      <c r="AE101" s="678">
        <f t="shared" si="148"/>
        <v>4.5503056175414613E-2</v>
      </c>
      <c r="AF101" s="678">
        <f t="shared" si="148"/>
        <v>8.9364576297605858E-3</v>
      </c>
      <c r="AG101" s="678">
        <f t="shared" si="148"/>
        <v>-1.275983667409053E-2</v>
      </c>
      <c r="AH101" s="678">
        <f t="shared" si="148"/>
        <v>0.48416499304804583</v>
      </c>
      <c r="AI101" s="678">
        <f t="shared" si="148"/>
        <v>0.4686750951731915</v>
      </c>
      <c r="AJ101" s="678">
        <f t="shared" si="148"/>
        <v>0.18146490406300986</v>
      </c>
      <c r="AK101" s="420">
        <f t="shared" si="148"/>
        <v>0.27245671861499576</v>
      </c>
      <c r="AL101" s="420">
        <f t="shared" si="148"/>
        <v>0.35170773251886889</v>
      </c>
      <c r="AM101" s="420">
        <f t="shared" si="148"/>
        <v>0.26927042728164374</v>
      </c>
      <c r="AN101" s="420">
        <f t="shared" si="148"/>
        <v>9.9506811219501445E-2</v>
      </c>
      <c r="AO101" s="420">
        <f t="shared" si="148"/>
        <v>0.25894590846047172</v>
      </c>
      <c r="AP101" s="447">
        <f t="shared" si="148"/>
        <v>0.17412610903629933</v>
      </c>
      <c r="AQ101" s="346">
        <v>0.05</v>
      </c>
      <c r="AR101" s="346">
        <v>0.05</v>
      </c>
      <c r="AS101" s="346">
        <v>0.03</v>
      </c>
      <c r="AT101" s="346">
        <v>0.03</v>
      </c>
      <c r="AU101" s="346">
        <v>0.03</v>
      </c>
      <c r="AV101" s="346">
        <v>0.03</v>
      </c>
      <c r="AW101" s="346">
        <v>0.03</v>
      </c>
      <c r="AX101" s="346">
        <v>0.03</v>
      </c>
      <c r="AY101" s="346">
        <v>0.03</v>
      </c>
      <c r="AZ101" s="346">
        <v>0.03</v>
      </c>
      <c r="BA101" s="223"/>
      <c r="BB101" s="668"/>
      <c r="BC101" s="668"/>
      <c r="BD101" s="668"/>
      <c r="BE101" s="668"/>
      <c r="BF101" s="668"/>
      <c r="BG101" s="668"/>
      <c r="BH101" s="598"/>
      <c r="BI101" s="667"/>
      <c r="BJ101" s="667"/>
      <c r="BK101" s="667"/>
      <c r="BL101" s="660"/>
      <c r="BM101" s="359"/>
      <c r="BN101" s="360"/>
      <c r="BO101" s="678">
        <f>BO88/BM88-1</f>
        <v>6.8144059167157822E-2</v>
      </c>
      <c r="BP101" s="678">
        <f t="shared" ref="BP101:BZ101" si="149">BP88/BN88-1</f>
        <v>8.6908077994428901E-2</v>
      </c>
      <c r="BQ101" s="678">
        <f t="shared" si="149"/>
        <v>0.25681744060610634</v>
      </c>
      <c r="BR101" s="679">
        <f t="shared" si="149"/>
        <v>0.59381025603475646</v>
      </c>
      <c r="BS101" s="679">
        <f t="shared" si="149"/>
        <v>0.71244361052337424</v>
      </c>
      <c r="BT101" s="679">
        <f t="shared" si="149"/>
        <v>0.54788667687595716</v>
      </c>
      <c r="BU101" s="680">
        <f t="shared" si="149"/>
        <v>0.43324396782841812</v>
      </c>
      <c r="BV101" s="678">
        <f t="shared" si="149"/>
        <v>0.27730245258565267</v>
      </c>
      <c r="BW101" s="678">
        <f t="shared" si="149"/>
        <v>8.1500000000000128E-2</v>
      </c>
      <c r="BX101" s="678">
        <f t="shared" si="149"/>
        <v>6.0900000000000176E-2</v>
      </c>
      <c r="BY101" s="678">
        <f t="shared" si="149"/>
        <v>6.0899999999999954E-2</v>
      </c>
      <c r="BZ101" s="678">
        <f t="shared" si="149"/>
        <v>6.0899999999999954E-2</v>
      </c>
      <c r="CB101" s="706" t="s">
        <v>609</v>
      </c>
      <c r="DS101" s="678" t="e">
        <f>DS88/#REF!-1</f>
        <v>#REF!</v>
      </c>
    </row>
    <row r="102" spans="1:123" s="179" customFormat="1">
      <c r="A102" s="270"/>
      <c r="B102" s="243" t="s">
        <v>557</v>
      </c>
      <c r="C102" s="91"/>
      <c r="D102" s="91"/>
      <c r="E102" s="91"/>
      <c r="F102" s="91"/>
      <c r="G102" s="28"/>
      <c r="H102" s="617"/>
      <c r="I102" s="617"/>
      <c r="J102" s="617"/>
      <c r="K102" s="618"/>
      <c r="L102" s="617"/>
      <c r="M102" s="620"/>
      <c r="N102" s="620"/>
      <c r="O102" s="620"/>
      <c r="P102" s="620"/>
      <c r="Q102" s="620"/>
      <c r="R102" s="620"/>
      <c r="S102" s="620"/>
      <c r="T102" s="620"/>
      <c r="U102" s="620"/>
      <c r="V102" s="620"/>
      <c r="W102" s="620"/>
      <c r="X102" s="620"/>
      <c r="Y102" s="678">
        <f t="shared" ref="Y102:AP102" si="150">Y92/Y91</f>
        <v>-0.33507050889025136</v>
      </c>
      <c r="Z102" s="678">
        <f t="shared" si="150"/>
        <v>-0.31185239047445912</v>
      </c>
      <c r="AA102" s="678">
        <f t="shared" si="150"/>
        <v>-0.28967300942176244</v>
      </c>
      <c r="AB102" s="678">
        <f t="shared" si="150"/>
        <v>-0.21542394546229229</v>
      </c>
      <c r="AC102" s="678">
        <f t="shared" si="150"/>
        <v>-0.29291800530800383</v>
      </c>
      <c r="AD102" s="678">
        <f t="shared" si="150"/>
        <v>-9.9209202012940673E-2</v>
      </c>
      <c r="AE102" s="678">
        <f t="shared" si="150"/>
        <v>-0.24065138721351029</v>
      </c>
      <c r="AF102" s="678">
        <f t="shared" si="150"/>
        <v>-0.18916176172112853</v>
      </c>
      <c r="AG102" s="678">
        <f t="shared" si="150"/>
        <v>-0.31151018099547517</v>
      </c>
      <c r="AH102" s="678">
        <f t="shared" si="150"/>
        <v>-0.33670414476748062</v>
      </c>
      <c r="AI102" s="678">
        <f t="shared" si="150"/>
        <v>-0.40975674421687547</v>
      </c>
      <c r="AJ102" s="678">
        <f t="shared" si="150"/>
        <v>-0.40482113751394022</v>
      </c>
      <c r="AK102" s="420">
        <f t="shared" si="150"/>
        <v>-0.33155632921721151</v>
      </c>
      <c r="AL102" s="431">
        <f t="shared" si="150"/>
        <v>-0.35195308051474777</v>
      </c>
      <c r="AM102" s="431">
        <f t="shared" si="150"/>
        <v>-0.27076489910839974</v>
      </c>
      <c r="AN102" s="431">
        <f t="shared" si="150"/>
        <v>-0.25548853451854758</v>
      </c>
      <c r="AO102" s="431">
        <f t="shared" si="150"/>
        <v>-0.23446189645142526</v>
      </c>
      <c r="AP102" s="449">
        <f t="shared" si="150"/>
        <v>-0.28031977600943137</v>
      </c>
      <c r="AQ102" s="433">
        <f t="shared" ref="AQ102:AZ103" si="151">AP102</f>
        <v>-0.28031977600943137</v>
      </c>
      <c r="AR102" s="433">
        <f t="shared" si="151"/>
        <v>-0.28031977600943137</v>
      </c>
      <c r="AS102" s="433">
        <f t="shared" si="151"/>
        <v>-0.28031977600943137</v>
      </c>
      <c r="AT102" s="433">
        <f t="shared" si="151"/>
        <v>-0.28031977600943137</v>
      </c>
      <c r="AU102" s="433">
        <f t="shared" si="151"/>
        <v>-0.28031977600943137</v>
      </c>
      <c r="AV102" s="433">
        <f t="shared" si="151"/>
        <v>-0.28031977600943137</v>
      </c>
      <c r="AW102" s="433">
        <f t="shared" si="151"/>
        <v>-0.28031977600943137</v>
      </c>
      <c r="AX102" s="433">
        <f t="shared" si="151"/>
        <v>-0.28031977600943137</v>
      </c>
      <c r="AY102" s="433">
        <f t="shared" si="151"/>
        <v>-0.28031977600943137</v>
      </c>
      <c r="AZ102" s="433">
        <f t="shared" si="151"/>
        <v>-0.28031977600943137</v>
      </c>
      <c r="BA102" s="223"/>
      <c r="BB102" s="668"/>
      <c r="BC102" s="668"/>
      <c r="BD102" s="668"/>
      <c r="BE102" s="668"/>
      <c r="BF102" s="668"/>
      <c r="BG102" s="668"/>
      <c r="BH102" s="598"/>
      <c r="BI102" s="667"/>
      <c r="BJ102" s="667"/>
      <c r="BK102" s="667"/>
      <c r="BL102" s="660"/>
      <c r="BM102" s="678">
        <f>BM92/BM91</f>
        <v>-0.32049526417893409</v>
      </c>
      <c r="BN102" s="678">
        <f t="shared" ref="BN102:BZ102" si="152">BN92/BN91</f>
        <v>-0.23886167483088408</v>
      </c>
      <c r="BO102" s="678">
        <f t="shared" si="152"/>
        <v>-0.16968187823965861</v>
      </c>
      <c r="BP102" s="678">
        <f t="shared" si="152"/>
        <v>-0.20987504549314576</v>
      </c>
      <c r="BQ102" s="678">
        <f t="shared" si="152"/>
        <v>-0.32864317061032444</v>
      </c>
      <c r="BR102" s="679">
        <f t="shared" si="152"/>
        <v>-0.40676024061873395</v>
      </c>
      <c r="BS102" s="679">
        <f t="shared" si="152"/>
        <v>-0.34494552114676585</v>
      </c>
      <c r="BT102" s="679">
        <f t="shared" si="152"/>
        <v>-0.26242920914118201</v>
      </c>
      <c r="BU102" s="680">
        <f t="shared" si="152"/>
        <v>-0.26005778147908259</v>
      </c>
      <c r="BV102" s="678">
        <f t="shared" si="152"/>
        <v>-0.28031977600943137</v>
      </c>
      <c r="BW102" s="678">
        <f t="shared" si="152"/>
        <v>-0.28031977600943137</v>
      </c>
      <c r="BX102" s="678">
        <f t="shared" si="152"/>
        <v>-0.28031977600943137</v>
      </c>
      <c r="BY102" s="678">
        <f t="shared" si="152"/>
        <v>-0.28031977600943137</v>
      </c>
      <c r="BZ102" s="678">
        <f t="shared" si="152"/>
        <v>-0.28031977600943142</v>
      </c>
      <c r="CB102" s="706" t="s">
        <v>609</v>
      </c>
      <c r="DS102" s="678" t="e">
        <f t="shared" ref="DS102" si="153">DS92/DS91</f>
        <v>#DIV/0!</v>
      </c>
    </row>
    <row r="103" spans="1:123">
      <c r="B103" s="23" t="s">
        <v>558</v>
      </c>
      <c r="D103" s="55"/>
      <c r="E103" s="55"/>
      <c r="F103" s="55"/>
      <c r="G103" s="55"/>
      <c r="H103" s="55"/>
      <c r="I103" s="55"/>
      <c r="J103" s="55"/>
      <c r="K103" s="55"/>
      <c r="L103" s="55"/>
      <c r="M103" s="55"/>
      <c r="N103" s="55"/>
      <c r="O103" s="55"/>
      <c r="P103" s="55"/>
      <c r="Q103" s="55"/>
      <c r="R103" s="55"/>
      <c r="S103" s="55"/>
      <c r="T103" s="55"/>
      <c r="U103" s="55"/>
      <c r="V103" s="55"/>
      <c r="W103" s="55"/>
      <c r="X103" s="56"/>
      <c r="Y103" s="56"/>
      <c r="Z103" s="56"/>
      <c r="AA103" s="56"/>
      <c r="AB103" s="56"/>
      <c r="AC103" s="56"/>
      <c r="AD103" s="56"/>
      <c r="AE103" s="230">
        <f t="shared" ref="AE103:AJ103" si="154">2*AE85/SUM(AE292:AE293)</f>
        <v>4.3295431790753179E-3</v>
      </c>
      <c r="AF103" s="230">
        <f t="shared" si="154"/>
        <v>8.2253414544871284E-4</v>
      </c>
      <c r="AG103" s="230">
        <f t="shared" si="154"/>
        <v>1.7687375635640063E-3</v>
      </c>
      <c r="AH103" s="230">
        <f t="shared" si="154"/>
        <v>7.0967284082038169E-4</v>
      </c>
      <c r="AI103" s="230">
        <f t="shared" si="154"/>
        <v>7.3380492529865856E-4</v>
      </c>
      <c r="AJ103" s="230">
        <f t="shared" si="154"/>
        <v>6.7515106505080505E-4</v>
      </c>
      <c r="AK103" s="431">
        <f t="shared" ref="AK103:AM103" si="155">2*AK85/SUM(AK292:AK293)</f>
        <v>2.1413734769481149E-3</v>
      </c>
      <c r="AL103" s="431">
        <f t="shared" ref="AL103:AP103" si="156">2*AL85/SUM(AL292:AL293)</f>
        <v>4.0109599480580684E-3</v>
      </c>
      <c r="AM103" s="431">
        <f t="shared" si="155"/>
        <v>6.2206861599795812E-3</v>
      </c>
      <c r="AN103" s="431">
        <f t="shared" si="156"/>
        <v>5.286414846740614E-3</v>
      </c>
      <c r="AO103" s="431">
        <f t="shared" si="156"/>
        <v>7.2572275939145727E-3</v>
      </c>
      <c r="AP103" s="449">
        <f t="shared" si="156"/>
        <v>5.809458692514289E-3</v>
      </c>
      <c r="AQ103" s="641">
        <f t="shared" si="151"/>
        <v>5.809458692514289E-3</v>
      </c>
      <c r="AR103" s="641">
        <f t="shared" si="151"/>
        <v>5.809458692514289E-3</v>
      </c>
      <c r="AS103" s="641">
        <f t="shared" si="151"/>
        <v>5.809458692514289E-3</v>
      </c>
      <c r="AT103" s="641">
        <f t="shared" si="151"/>
        <v>5.809458692514289E-3</v>
      </c>
      <c r="AU103" s="641">
        <f t="shared" si="151"/>
        <v>5.809458692514289E-3</v>
      </c>
      <c r="AV103" s="641">
        <f t="shared" si="151"/>
        <v>5.809458692514289E-3</v>
      </c>
      <c r="AW103" s="641">
        <f t="shared" si="151"/>
        <v>5.809458692514289E-3</v>
      </c>
      <c r="AX103" s="641">
        <f t="shared" si="151"/>
        <v>5.809458692514289E-3</v>
      </c>
      <c r="AY103" s="641">
        <f t="shared" si="151"/>
        <v>5.809458692514289E-3</v>
      </c>
      <c r="AZ103" s="641">
        <f t="shared" si="151"/>
        <v>5.809458692514289E-3</v>
      </c>
      <c r="BA103" s="56"/>
      <c r="BB103" s="56"/>
      <c r="BC103" s="56"/>
      <c r="BD103" s="56"/>
      <c r="BE103" s="56"/>
      <c r="BF103" s="56"/>
      <c r="BG103" s="56"/>
      <c r="BH103" s="56"/>
      <c r="BI103" s="56"/>
      <c r="BJ103" s="56"/>
      <c r="BK103" s="56"/>
      <c r="BL103" s="56"/>
      <c r="BM103" s="359"/>
      <c r="BN103" s="359"/>
      <c r="BO103" s="359"/>
      <c r="BP103" s="230">
        <f t="shared" ref="BP103:BW103" si="157">BP85/SUM(BP292:BP293)</f>
        <v>2.0563353636217827E-3</v>
      </c>
      <c r="BQ103" s="230">
        <f t="shared" si="157"/>
        <v>1.0645092612305727E-3</v>
      </c>
      <c r="BR103" s="230">
        <f t="shared" si="157"/>
        <v>5.0636329878810376E-4</v>
      </c>
      <c r="BS103" s="230">
        <f t="shared" ref="BS103" si="158">BS85/SUM(BS292:BS293)</f>
        <v>2.9246582954590085E-3</v>
      </c>
      <c r="BT103" s="230">
        <f t="shared" si="157"/>
        <v>5.286414846740614E-3</v>
      </c>
      <c r="BU103" s="497">
        <f t="shared" si="157"/>
        <v>6.2563401304000033E-3</v>
      </c>
      <c r="BV103" s="230">
        <f t="shared" si="157"/>
        <v>5.4651772678976241E-3</v>
      </c>
      <c r="BW103" s="230">
        <f t="shared" si="157"/>
        <v>5.3064885040821986E-3</v>
      </c>
      <c r="BX103" s="230">
        <f t="shared" ref="BX103:BZ103" si="159">BX85/SUM(BX292:BX293)</f>
        <v>5.1478922113136431E-3</v>
      </c>
      <c r="BY103" s="230">
        <f t="shared" si="159"/>
        <v>4.9932017364431773E-3</v>
      </c>
      <c r="BZ103" s="230">
        <f t="shared" si="159"/>
        <v>4.8428947470185377E-3</v>
      </c>
      <c r="CB103" s="706" t="s">
        <v>609</v>
      </c>
      <c r="DS103" s="230" t="e">
        <f t="shared" ref="DS103" si="160">DS85/SUM(DS292:DS293)</f>
        <v>#DIV/0!</v>
      </c>
    </row>
    <row r="104" spans="1:123">
      <c r="B104" s="23" t="s">
        <v>518</v>
      </c>
      <c r="D104" s="55"/>
      <c r="E104" s="55"/>
      <c r="F104" s="55"/>
      <c r="G104" s="55"/>
      <c r="H104" s="55"/>
      <c r="I104" s="55"/>
      <c r="J104" s="55"/>
      <c r="K104" s="55"/>
      <c r="L104" s="55"/>
      <c r="M104" s="55"/>
      <c r="N104" s="55"/>
      <c r="O104" s="55"/>
      <c r="P104" s="55"/>
      <c r="Q104" s="55"/>
      <c r="R104" s="55"/>
      <c r="S104" s="55"/>
      <c r="T104" s="55"/>
      <c r="U104" s="55"/>
      <c r="V104" s="55"/>
      <c r="W104" s="55"/>
      <c r="X104" s="56"/>
      <c r="Y104" s="56"/>
      <c r="Z104" s="56"/>
      <c r="AA104" s="56"/>
      <c r="AB104" s="56"/>
      <c r="AC104" s="56"/>
      <c r="AD104" s="56"/>
      <c r="AE104" s="685">
        <f t="shared" ref="AE104:AP104" si="161">AE85</f>
        <v>0.4</v>
      </c>
      <c r="AF104" s="685">
        <f t="shared" si="161"/>
        <v>9.9999999999999978E-2</v>
      </c>
      <c r="AG104" s="685">
        <f t="shared" si="161"/>
        <v>0.2</v>
      </c>
      <c r="AH104" s="685">
        <f t="shared" si="161"/>
        <v>9.9999999999999978E-2</v>
      </c>
      <c r="AI104" s="685">
        <f t="shared" si="161"/>
        <v>0.1</v>
      </c>
      <c r="AJ104" s="685">
        <f t="shared" si="161"/>
        <v>0.19999999999999998</v>
      </c>
      <c r="AK104" s="627">
        <f t="shared" si="161"/>
        <v>1.1000000000000001</v>
      </c>
      <c r="AL104" s="627">
        <f t="shared" si="161"/>
        <v>2.4</v>
      </c>
      <c r="AM104" s="627">
        <f t="shared" si="161"/>
        <v>3.4</v>
      </c>
      <c r="AN104" s="627">
        <f t="shared" si="161"/>
        <v>3.4</v>
      </c>
      <c r="AO104" s="627">
        <f t="shared" si="161"/>
        <v>4.5</v>
      </c>
      <c r="AP104" s="686">
        <f t="shared" si="161"/>
        <v>3.9000000000000004</v>
      </c>
      <c r="AQ104" s="687">
        <f t="shared" ref="AQ104:AT104" si="162">(AQ103/2)*SUM(AQ292:AQ293)</f>
        <v>3.939922173792509</v>
      </c>
      <c r="AR104" s="687">
        <f t="shared" si="162"/>
        <v>4.2327639608023491</v>
      </c>
      <c r="AS104" s="687">
        <f t="shared" si="162"/>
        <v>4.2638998343824017</v>
      </c>
      <c r="AT104" s="687">
        <f t="shared" si="162"/>
        <v>4.5816698622029692</v>
      </c>
      <c r="AU104" s="687">
        <f t="shared" ref="AU104:AV104" si="163">(AU103/2)*SUM(AU292:AU293)</f>
        <v>4.62383813332728</v>
      </c>
      <c r="AV104" s="687">
        <f t="shared" si="163"/>
        <v>4.9636858942461606</v>
      </c>
      <c r="AW104" s="687">
        <f t="shared" ref="AW104:AZ104" si="164">(AW103/2)*SUM(AW292:AW293)</f>
        <v>5.0136286355947419</v>
      </c>
      <c r="AX104" s="687">
        <f t="shared" si="164"/>
        <v>5.3784525219687325</v>
      </c>
      <c r="AY104" s="687">
        <f t="shared" si="164"/>
        <v>5.4367988276402039</v>
      </c>
      <c r="AZ104" s="687">
        <f t="shared" si="164"/>
        <v>5.8281958556963591</v>
      </c>
      <c r="BA104" s="56"/>
      <c r="BB104" s="56"/>
      <c r="BC104" s="56"/>
      <c r="BD104" s="56"/>
      <c r="BE104" s="56"/>
      <c r="BF104" s="56"/>
      <c r="BG104" s="56"/>
      <c r="BH104" s="56"/>
      <c r="BI104" s="56"/>
      <c r="BJ104" s="56"/>
      <c r="BK104" s="56"/>
      <c r="BL104" s="56"/>
      <c r="BM104" s="359"/>
      <c r="BN104" s="359"/>
      <c r="BO104" s="359"/>
      <c r="BP104" s="685">
        <f>BP85</f>
        <v>0.5</v>
      </c>
      <c r="BQ104" s="685">
        <f t="shared" ref="BQ104:BZ104" si="165">BQ85</f>
        <v>0.3</v>
      </c>
      <c r="BR104" s="685">
        <f t="shared" si="165"/>
        <v>0.3</v>
      </c>
      <c r="BS104" s="685">
        <f t="shared" si="165"/>
        <v>3.5</v>
      </c>
      <c r="BT104" s="685">
        <f t="shared" si="165"/>
        <v>6.8</v>
      </c>
      <c r="BU104" s="692">
        <f t="shared" si="165"/>
        <v>8.4</v>
      </c>
      <c r="BV104" s="685">
        <f t="shared" si="165"/>
        <v>7.9638419354838739</v>
      </c>
      <c r="BW104" s="685">
        <f t="shared" si="165"/>
        <v>8.3699978741935528</v>
      </c>
      <c r="BX104" s="685">
        <f t="shared" si="165"/>
        <v>8.7968677657774244</v>
      </c>
      <c r="BY104" s="685">
        <f t="shared" si="165"/>
        <v>9.2455080218320731</v>
      </c>
      <c r="BZ104" s="685">
        <f t="shared" si="165"/>
        <v>9.71702893094551</v>
      </c>
      <c r="CB104" s="706" t="s">
        <v>609</v>
      </c>
      <c r="DS104" s="685">
        <f t="shared" ref="DS104" si="166">DS85</f>
        <v>0</v>
      </c>
    </row>
    <row r="105" spans="1:123">
      <c r="B105" s="23" t="s">
        <v>511</v>
      </c>
      <c r="D105" s="55"/>
      <c r="E105" s="55"/>
      <c r="F105" s="55"/>
      <c r="G105" s="55"/>
      <c r="H105" s="55"/>
      <c r="I105" s="55"/>
      <c r="J105" s="55"/>
      <c r="K105" s="55"/>
      <c r="L105" s="55"/>
      <c r="M105" s="55"/>
      <c r="N105" s="55"/>
      <c r="O105" s="55"/>
      <c r="P105" s="55"/>
      <c r="Q105" s="55"/>
      <c r="R105" s="55"/>
      <c r="S105" s="55"/>
      <c r="T105" s="55"/>
      <c r="U105" s="55"/>
      <c r="V105" s="55"/>
      <c r="W105" s="55"/>
      <c r="X105" s="56"/>
      <c r="Y105" s="56"/>
      <c r="Z105" s="56"/>
      <c r="AA105" s="56"/>
      <c r="AB105" s="56"/>
      <c r="AC105" s="56"/>
      <c r="AD105" s="56"/>
      <c r="AE105" s="683">
        <f t="shared" ref="AE105:AP105" si="167">-2*AE90/SUM(AE395,AE396,AE404,AE405)</f>
        <v>1.5789087768752586E-2</v>
      </c>
      <c r="AF105" s="683">
        <f t="shared" si="167"/>
        <v>6.8544238191228183E-3</v>
      </c>
      <c r="AG105" s="683">
        <f t="shared" si="167"/>
        <v>6.4426174335304445E-3</v>
      </c>
      <c r="AH105" s="683">
        <f t="shared" si="167"/>
        <v>3.3256490684403228E-3</v>
      </c>
      <c r="AI105" s="683">
        <f t="shared" si="167"/>
        <v>0</v>
      </c>
      <c r="AJ105" s="683">
        <f t="shared" si="167"/>
        <v>5.3518149342394615E-4</v>
      </c>
      <c r="AK105" s="431">
        <f t="shared" si="167"/>
        <v>5.2067469026363261E-5</v>
      </c>
      <c r="AL105" s="431">
        <f t="shared" si="167"/>
        <v>6.0504577927593919E-5</v>
      </c>
      <c r="AM105" s="431">
        <f t="shared" si="167"/>
        <v>0</v>
      </c>
      <c r="AN105" s="431">
        <f t="shared" si="167"/>
        <v>2.6769993321297075E-4</v>
      </c>
      <c r="AO105" s="431">
        <f t="shared" si="167"/>
        <v>2.0309924783243192E-4</v>
      </c>
      <c r="AP105" s="449">
        <f t="shared" si="167"/>
        <v>4.6761065567783893E-4</v>
      </c>
      <c r="AQ105" s="641">
        <f t="shared" ref="AQ105:AZ105" si="168">AP105</f>
        <v>4.6761065567783893E-4</v>
      </c>
      <c r="AR105" s="641">
        <f t="shared" si="168"/>
        <v>4.6761065567783893E-4</v>
      </c>
      <c r="AS105" s="641">
        <f t="shared" si="168"/>
        <v>4.6761065567783893E-4</v>
      </c>
      <c r="AT105" s="641">
        <f t="shared" si="168"/>
        <v>4.6761065567783893E-4</v>
      </c>
      <c r="AU105" s="641">
        <f t="shared" si="168"/>
        <v>4.6761065567783893E-4</v>
      </c>
      <c r="AV105" s="641">
        <f t="shared" si="168"/>
        <v>4.6761065567783893E-4</v>
      </c>
      <c r="AW105" s="641">
        <f t="shared" si="168"/>
        <v>4.6761065567783893E-4</v>
      </c>
      <c r="AX105" s="641">
        <f t="shared" si="168"/>
        <v>4.6761065567783893E-4</v>
      </c>
      <c r="AY105" s="641">
        <f t="shared" si="168"/>
        <v>4.6761065567783893E-4</v>
      </c>
      <c r="AZ105" s="641">
        <f t="shared" si="168"/>
        <v>4.6761065567783893E-4</v>
      </c>
      <c r="BA105" s="56"/>
      <c r="BB105" s="56"/>
      <c r="BC105" s="56"/>
      <c r="BD105" s="56"/>
      <c r="BE105" s="56"/>
      <c r="BF105" s="56"/>
      <c r="BG105" s="56"/>
      <c r="BH105" s="56"/>
      <c r="BI105" s="56"/>
      <c r="BJ105" s="56"/>
      <c r="BK105" s="56"/>
      <c r="BL105" s="56"/>
      <c r="BM105" s="359"/>
      <c r="BN105" s="359"/>
      <c r="BO105" s="359"/>
      <c r="BP105" s="683">
        <f t="shared" ref="BP105:BZ105" si="169">-BP90/SUM(BP395,BP396,BP404,BP405)</f>
        <v>7.1336497894330395E-3</v>
      </c>
      <c r="BQ105" s="683">
        <f t="shared" si="169"/>
        <v>5.6015351733578397E-3</v>
      </c>
      <c r="BR105" s="683">
        <f t="shared" si="169"/>
        <v>2.6759074671202056E-4</v>
      </c>
      <c r="BS105" s="683">
        <f t="shared" si="169"/>
        <v>6.0504577927604666E-5</v>
      </c>
      <c r="BT105" s="683">
        <f t="shared" si="169"/>
        <v>1.3384996660649516E-4</v>
      </c>
      <c r="BU105" s="684">
        <f t="shared" si="169"/>
        <v>3.246136471334914E-4</v>
      </c>
      <c r="BV105" s="683">
        <f t="shared" si="169"/>
        <v>2.0875475699902514E-4</v>
      </c>
      <c r="BW105" s="683">
        <f t="shared" si="169"/>
        <v>2.0875475699902514E-4</v>
      </c>
      <c r="BX105" s="683">
        <f t="shared" si="169"/>
        <v>2.0875475699902514E-4</v>
      </c>
      <c r="BY105" s="683">
        <f t="shared" si="169"/>
        <v>2.0875475699902514E-4</v>
      </c>
      <c r="BZ105" s="683">
        <f t="shared" si="169"/>
        <v>2.0875475699902514E-4</v>
      </c>
      <c r="CB105" s="706" t="s">
        <v>609</v>
      </c>
      <c r="DS105" s="683" t="e">
        <f t="shared" ref="DS105" si="170">-DS90/SUM(DS395,DS396,DS404,DS405)</f>
        <v>#DIV/0!</v>
      </c>
    </row>
    <row r="106" spans="1:123" s="179" customFormat="1">
      <c r="A106" s="270"/>
      <c r="B106" s="243"/>
      <c r="C106" s="91"/>
      <c r="D106" s="91"/>
      <c r="E106" s="91"/>
      <c r="F106" s="91"/>
      <c r="G106" s="28"/>
      <c r="H106" s="617"/>
      <c r="I106" s="617"/>
      <c r="J106" s="617"/>
      <c r="K106" s="618"/>
      <c r="L106" s="617"/>
      <c r="M106" s="620"/>
      <c r="N106" s="620"/>
      <c r="O106" s="620"/>
      <c r="P106" s="620"/>
      <c r="Q106" s="620"/>
      <c r="R106" s="620"/>
      <c r="S106" s="620"/>
      <c r="T106" s="620"/>
      <c r="U106" s="620"/>
      <c r="V106" s="620"/>
      <c r="W106" s="620"/>
      <c r="X106" s="620"/>
      <c r="Y106" s="207"/>
      <c r="Z106" s="183"/>
      <c r="AA106" s="207"/>
      <c r="AB106" s="183"/>
      <c r="AC106" s="207"/>
      <c r="AD106" s="183"/>
      <c r="AE106" s="678"/>
      <c r="AF106" s="678"/>
      <c r="AG106" s="678"/>
      <c r="AH106" s="678"/>
      <c r="AI106" s="678"/>
      <c r="AJ106" s="678"/>
      <c r="AK106" s="420"/>
      <c r="AL106" s="420"/>
      <c r="AM106" s="420"/>
      <c r="AN106" s="420"/>
      <c r="AO106" s="420"/>
      <c r="AP106" s="447"/>
      <c r="AQ106" s="346"/>
      <c r="AR106" s="346"/>
      <c r="AS106" s="346"/>
      <c r="AT106" s="346"/>
      <c r="AU106" s="346"/>
      <c r="AV106" s="346"/>
      <c r="AW106" s="346"/>
      <c r="AX106" s="346"/>
      <c r="AY106" s="346"/>
      <c r="AZ106" s="346"/>
      <c r="BA106" s="223"/>
      <c r="BB106" s="668"/>
      <c r="BC106" s="668"/>
      <c r="BD106" s="668"/>
      <c r="BE106" s="668"/>
      <c r="BF106" s="668"/>
      <c r="BG106" s="668"/>
      <c r="BH106" s="598"/>
      <c r="BI106" s="667"/>
      <c r="BJ106" s="667"/>
      <c r="BK106" s="667"/>
      <c r="BL106" s="660"/>
      <c r="BM106" s="207"/>
      <c r="BN106" s="207"/>
      <c r="BO106" s="207"/>
      <c r="BP106" s="207"/>
      <c r="BQ106" s="207"/>
      <c r="BR106" s="207"/>
      <c r="BS106" s="207"/>
      <c r="BT106" s="198"/>
      <c r="BU106" s="501"/>
      <c r="BV106" s="198"/>
      <c r="BW106" s="198"/>
      <c r="BX106" s="198"/>
      <c r="BY106" s="198"/>
      <c r="BZ106" s="198"/>
      <c r="DS106" s="198"/>
    </row>
    <row r="107" spans="1:123" s="341" customFormat="1">
      <c r="A107" s="338"/>
      <c r="B107" s="356" t="s">
        <v>551</v>
      </c>
      <c r="C107" s="340"/>
      <c r="D107" s="340"/>
      <c r="E107" s="340"/>
      <c r="F107" s="340"/>
      <c r="H107" s="342"/>
      <c r="I107" s="342"/>
      <c r="J107" s="342"/>
      <c r="K107" s="343"/>
      <c r="L107" s="342"/>
      <c r="M107" s="342"/>
      <c r="N107" s="342"/>
      <c r="O107" s="342"/>
      <c r="P107" s="344"/>
      <c r="Q107" s="344"/>
      <c r="R107" s="344"/>
      <c r="S107" s="344"/>
      <c r="T107" s="344"/>
      <c r="U107" s="345"/>
      <c r="V107" s="345"/>
      <c r="W107" s="345"/>
      <c r="X107" s="345"/>
      <c r="Y107" s="345"/>
      <c r="Z107" s="345"/>
      <c r="AA107" s="167"/>
      <c r="AB107" s="167"/>
      <c r="AC107" s="167"/>
      <c r="AD107" s="167"/>
      <c r="AE107" s="167"/>
      <c r="AF107" s="167"/>
      <c r="AG107" s="167"/>
      <c r="AH107" s="167"/>
      <c r="AI107" s="167"/>
      <c r="AJ107" s="167"/>
      <c r="AK107" s="420"/>
      <c r="AL107" s="420"/>
      <c r="AM107" s="420"/>
      <c r="AN107" s="420"/>
      <c r="AO107" s="420"/>
      <c r="AP107" s="447"/>
      <c r="AQ107" s="346"/>
      <c r="AR107" s="346"/>
      <c r="AS107" s="346"/>
      <c r="AT107" s="346"/>
      <c r="AU107" s="346"/>
      <c r="AV107" s="346"/>
      <c r="AW107" s="346"/>
      <c r="AX107" s="346"/>
      <c r="AY107" s="346"/>
      <c r="AZ107" s="346"/>
      <c r="BA107" s="347"/>
      <c r="BB107" s="347"/>
      <c r="BC107" s="347"/>
      <c r="BD107" s="347"/>
      <c r="BE107" s="347"/>
      <c r="BF107" s="347"/>
      <c r="BG107" s="347"/>
      <c r="BH107" s="348"/>
      <c r="BI107" s="349"/>
      <c r="BJ107" s="350"/>
      <c r="BK107" s="350"/>
      <c r="BL107" s="350"/>
      <c r="BM107" s="351"/>
      <c r="BN107" s="352"/>
      <c r="BO107" s="353"/>
      <c r="BP107" s="353"/>
      <c r="BQ107" s="353"/>
      <c r="BR107" s="353"/>
      <c r="BS107" s="353"/>
      <c r="BT107" s="354"/>
      <c r="BU107" s="503"/>
      <c r="BV107" s="354"/>
      <c r="BW107" s="354"/>
      <c r="BX107" s="354"/>
      <c r="BY107" s="354"/>
      <c r="BZ107" s="354"/>
      <c r="DS107" s="354"/>
    </row>
    <row r="108" spans="1:123" s="179" customFormat="1">
      <c r="A108" s="270"/>
      <c r="B108" s="243" t="s">
        <v>552</v>
      </c>
      <c r="C108" s="91"/>
      <c r="D108" s="91"/>
      <c r="E108" s="91"/>
      <c r="F108" s="91"/>
      <c r="G108" s="28"/>
      <c r="H108" s="617"/>
      <c r="I108" s="617"/>
      <c r="J108" s="617"/>
      <c r="K108" s="618"/>
      <c r="L108" s="617"/>
      <c r="M108" s="620"/>
      <c r="N108" s="620"/>
      <c r="O108" s="620"/>
      <c r="P108" s="620"/>
      <c r="Q108" s="620"/>
      <c r="R108" s="620"/>
      <c r="S108" s="620"/>
      <c r="T108" s="620"/>
      <c r="U108" s="620"/>
      <c r="V108" s="620"/>
      <c r="W108" s="620"/>
      <c r="X108" s="620"/>
      <c r="Y108" s="357"/>
      <c r="Z108" s="358"/>
      <c r="AA108" s="679">
        <f t="shared" ref="AA108:AZ108" si="171">AA84/Y84-1</f>
        <v>6.5991635483160893E-2</v>
      </c>
      <c r="AB108" s="679">
        <f t="shared" si="171"/>
        <v>-1.1386757094413724E-2</v>
      </c>
      <c r="AC108" s="679">
        <f t="shared" si="171"/>
        <v>0.15222598496737416</v>
      </c>
      <c r="AD108" s="679">
        <f t="shared" si="171"/>
        <v>7.5967648757943707E-2</v>
      </c>
      <c r="AE108" s="679">
        <f t="shared" si="171"/>
        <v>1.7921146953405076E-2</v>
      </c>
      <c r="AF108" s="679">
        <f t="shared" si="171"/>
        <v>-8.0536912751678069E-2</v>
      </c>
      <c r="AG108" s="679">
        <f t="shared" si="171"/>
        <v>-1.0563380281690016E-2</v>
      </c>
      <c r="AH108" s="679">
        <f t="shared" si="171"/>
        <v>0.48175182481751833</v>
      </c>
      <c r="AI108" s="679">
        <f t="shared" si="171"/>
        <v>0.46975088967971512</v>
      </c>
      <c r="AJ108" s="679">
        <f t="shared" si="171"/>
        <v>0.28571428571428581</v>
      </c>
      <c r="AK108" s="603">
        <f t="shared" si="171"/>
        <v>0.32687651331719136</v>
      </c>
      <c r="AL108" s="603">
        <f t="shared" si="171"/>
        <v>0.44252873563218387</v>
      </c>
      <c r="AM108" s="603">
        <f t="shared" si="171"/>
        <v>0.31021897810218979</v>
      </c>
      <c r="AN108" s="603">
        <f t="shared" si="171"/>
        <v>0.12350597609561764</v>
      </c>
      <c r="AO108" s="603">
        <f t="shared" si="171"/>
        <v>0.27158774373259065</v>
      </c>
      <c r="AP108" s="604">
        <f t="shared" si="171"/>
        <v>0.20921985815602828</v>
      </c>
      <c r="AQ108" s="679">
        <f t="shared" si="171"/>
        <v>8.80000000000003E-2</v>
      </c>
      <c r="AR108" s="679">
        <f t="shared" si="171"/>
        <v>7.1000000000000174E-2</v>
      </c>
      <c r="AS108" s="679">
        <f t="shared" si="171"/>
        <v>5.1000000000000156E-2</v>
      </c>
      <c r="AT108" s="679">
        <f t="shared" si="171"/>
        <v>5.1000000000000156E-2</v>
      </c>
      <c r="AU108" s="679">
        <f t="shared" si="171"/>
        <v>5.0999999999999934E-2</v>
      </c>
      <c r="AV108" s="679">
        <f t="shared" si="171"/>
        <v>5.1000000000000156E-2</v>
      </c>
      <c r="AW108" s="679">
        <f t="shared" si="171"/>
        <v>5.0999999999999934E-2</v>
      </c>
      <c r="AX108" s="679">
        <f t="shared" si="171"/>
        <v>5.1000000000000156E-2</v>
      </c>
      <c r="AY108" s="679">
        <f t="shared" si="171"/>
        <v>5.0999999999999934E-2</v>
      </c>
      <c r="AZ108" s="679">
        <f t="shared" si="171"/>
        <v>5.1000000000000156E-2</v>
      </c>
      <c r="BA108" s="223"/>
      <c r="BB108" s="668"/>
      <c r="BC108" s="668"/>
      <c r="BD108" s="668"/>
      <c r="BE108" s="668"/>
      <c r="BF108" s="668"/>
      <c r="BG108" s="668"/>
      <c r="BH108" s="598"/>
      <c r="BI108" s="667"/>
      <c r="BJ108" s="667"/>
      <c r="BK108" s="667"/>
      <c r="BL108" s="660"/>
      <c r="BM108" s="359"/>
      <c r="BN108" s="678">
        <f>BN84/BM84-1</f>
        <v>2.3260398186477405E-2</v>
      </c>
      <c r="BO108" s="678">
        <f t="shared" ref="BO108:BZ108" si="172">BO84/BN84-1</f>
        <v>0.1115392024658064</v>
      </c>
      <c r="BP108" s="678">
        <f t="shared" si="172"/>
        <v>-3.2928942807625705E-2</v>
      </c>
      <c r="BQ108" s="678">
        <f t="shared" si="172"/>
        <v>0.23118279569892475</v>
      </c>
      <c r="BR108" s="679">
        <f t="shared" si="172"/>
        <v>0.36098981077147019</v>
      </c>
      <c r="BS108" s="679">
        <f t="shared" si="172"/>
        <v>0.3914438502673796</v>
      </c>
      <c r="BT108" s="679">
        <f t="shared" si="172"/>
        <v>0.20215219062259804</v>
      </c>
      <c r="BU108" s="680">
        <f t="shared" si="172"/>
        <v>0.23785166240409206</v>
      </c>
      <c r="BV108" s="678">
        <f t="shared" si="172"/>
        <v>7.9017045454545798E-2</v>
      </c>
      <c r="BW108" s="678">
        <f t="shared" si="172"/>
        <v>5.1000000000000156E-2</v>
      </c>
      <c r="BX108" s="678">
        <f t="shared" si="172"/>
        <v>5.0999999999999934E-2</v>
      </c>
      <c r="BY108" s="678">
        <f t="shared" si="172"/>
        <v>5.0999999999999934E-2</v>
      </c>
      <c r="BZ108" s="678">
        <f t="shared" si="172"/>
        <v>5.0999999999999934E-2</v>
      </c>
      <c r="CB108" s="706" t="s">
        <v>609</v>
      </c>
      <c r="DS108" s="678" t="e">
        <f>DS84/DT84-1</f>
        <v>#DIV/0!</v>
      </c>
    </row>
    <row r="109" spans="1:123" s="179" customFormat="1">
      <c r="A109" s="270"/>
      <c r="B109" s="243" t="s">
        <v>553</v>
      </c>
      <c r="C109" s="91"/>
      <c r="D109" s="91"/>
      <c r="E109" s="91"/>
      <c r="F109" s="91"/>
      <c r="G109" s="28"/>
      <c r="H109" s="617"/>
      <c r="I109" s="617"/>
      <c r="J109" s="617"/>
      <c r="K109" s="618"/>
      <c r="L109" s="617"/>
      <c r="M109" s="620"/>
      <c r="N109" s="620"/>
      <c r="O109" s="620"/>
      <c r="P109" s="620"/>
      <c r="Q109" s="620"/>
      <c r="R109" s="620"/>
      <c r="S109" s="620"/>
      <c r="T109" s="620"/>
      <c r="U109" s="620"/>
      <c r="V109" s="620"/>
      <c r="W109" s="620"/>
      <c r="X109" s="620"/>
      <c r="Y109" s="357"/>
      <c r="Z109" s="358"/>
      <c r="AA109" s="679">
        <f t="shared" ref="AA109:AZ109" si="173">AA87/Y87-1</f>
        <v>3.1834158811311575E-2</v>
      </c>
      <c r="AB109" s="679">
        <f t="shared" si="173"/>
        <v>-1.6911224065726649E-2</v>
      </c>
      <c r="AC109" s="679">
        <f t="shared" si="173"/>
        <v>0.11167886037239194</v>
      </c>
      <c r="AD109" s="679">
        <f t="shared" si="173"/>
        <v>6.3377991675337864E-2</v>
      </c>
      <c r="AE109" s="679">
        <f t="shared" si="173"/>
        <v>1.5147294379831422E-2</v>
      </c>
      <c r="AF109" s="679">
        <f t="shared" si="173"/>
        <v>-7.7428824806580532E-2</v>
      </c>
      <c r="AG109" s="679">
        <f t="shared" si="173"/>
        <v>4.5964394744966164E-3</v>
      </c>
      <c r="AH109" s="679">
        <f t="shared" si="173"/>
        <v>0.46667108621432574</v>
      </c>
      <c r="AI109" s="679">
        <f t="shared" si="173"/>
        <v>0.5821354184450438</v>
      </c>
      <c r="AJ109" s="679">
        <f t="shared" si="173"/>
        <v>0.29689477490508054</v>
      </c>
      <c r="AK109" s="679">
        <f t="shared" si="173"/>
        <v>0.25530904696132595</v>
      </c>
      <c r="AL109" s="679">
        <f t="shared" si="173"/>
        <v>0.41449856234207516</v>
      </c>
      <c r="AM109" s="679">
        <f t="shared" si="173"/>
        <v>0.45387339682976324</v>
      </c>
      <c r="AN109" s="679">
        <f t="shared" si="173"/>
        <v>0.12913478951842405</v>
      </c>
      <c r="AO109" s="679">
        <f t="shared" si="173"/>
        <v>0.26056571198826939</v>
      </c>
      <c r="AP109" s="680">
        <f t="shared" si="173"/>
        <v>0.24306896664593647</v>
      </c>
      <c r="AQ109" s="679">
        <f t="shared" si="173"/>
        <v>6.8679861685011279E-2</v>
      </c>
      <c r="AR109" s="679">
        <f t="shared" si="173"/>
        <v>6.6182162888063889E-2</v>
      </c>
      <c r="AS109" s="679">
        <f t="shared" si="173"/>
        <v>4.6164679810463127E-2</v>
      </c>
      <c r="AT109" s="679">
        <f t="shared" si="173"/>
        <v>4.7754119494991532E-2</v>
      </c>
      <c r="AU109" s="679">
        <f t="shared" si="173"/>
        <v>4.6378050623527844E-2</v>
      </c>
      <c r="AV109" s="679">
        <f t="shared" si="173"/>
        <v>4.7902058942442594E-2</v>
      </c>
      <c r="AW109" s="679">
        <f t="shared" si="173"/>
        <v>4.6582906795762602E-2</v>
      </c>
      <c r="AX109" s="679">
        <f t="shared" si="173"/>
        <v>4.804367308841484E-2</v>
      </c>
      <c r="AY109" s="679">
        <f t="shared" si="173"/>
        <v>4.6779509510851414E-2</v>
      </c>
      <c r="AZ109" s="679">
        <f t="shared" si="173"/>
        <v>4.8179194925270563E-2</v>
      </c>
      <c r="BA109" s="223"/>
      <c r="BB109" s="668"/>
      <c r="BC109" s="668"/>
      <c r="BD109" s="668"/>
      <c r="BE109" s="668"/>
      <c r="BF109" s="668"/>
      <c r="BG109" s="668"/>
      <c r="BH109" s="598"/>
      <c r="BI109" s="667"/>
      <c r="BJ109" s="667"/>
      <c r="BK109" s="667"/>
      <c r="BL109" s="660"/>
      <c r="BM109" s="359"/>
      <c r="BN109" s="678">
        <f>BN87/BM87-1</f>
        <v>4.7587762132215161E-3</v>
      </c>
      <c r="BO109" s="678">
        <f t="shared" ref="BO109:BZ109" si="174">BO87/BN87-1</f>
        <v>8.5429000618538309E-2</v>
      </c>
      <c r="BP109" s="678">
        <f t="shared" si="174"/>
        <v>-3.4142529184779891E-2</v>
      </c>
      <c r="BQ109" s="678">
        <f t="shared" si="174"/>
        <v>0.23959070833754748</v>
      </c>
      <c r="BR109" s="679">
        <f t="shared" si="174"/>
        <v>0.41049840212143884</v>
      </c>
      <c r="BS109" s="679">
        <f t="shared" si="174"/>
        <v>0.3433827286663258</v>
      </c>
      <c r="BT109" s="679">
        <f t="shared" si="174"/>
        <v>0.26469638358799186</v>
      </c>
      <c r="BU109" s="680">
        <f t="shared" si="174"/>
        <v>0.25146550598970618</v>
      </c>
      <c r="BV109" s="678">
        <f t="shared" si="174"/>
        <v>6.7389503271561013E-2</v>
      </c>
      <c r="BW109" s="678">
        <f t="shared" si="174"/>
        <v>4.6984885599542059E-2</v>
      </c>
      <c r="BX109" s="678">
        <f t="shared" si="174"/>
        <v>4.7165069376184032E-2</v>
      </c>
      <c r="BY109" s="678">
        <f t="shared" si="174"/>
        <v>4.7337797415167415E-2</v>
      </c>
      <c r="BZ109" s="678">
        <f t="shared" si="174"/>
        <v>4.7503322429619965E-2</v>
      </c>
      <c r="CB109" s="706" t="s">
        <v>609</v>
      </c>
      <c r="DS109" s="678" t="e">
        <f>DS87/DT87-1</f>
        <v>#DIV/0!</v>
      </c>
    </row>
    <row r="110" spans="1:123" s="179" customFormat="1">
      <c r="A110" s="270"/>
      <c r="B110" s="243" t="s">
        <v>555</v>
      </c>
      <c r="C110" s="91"/>
      <c r="D110" s="91"/>
      <c r="E110" s="91"/>
      <c r="F110" s="91"/>
      <c r="G110" s="28"/>
      <c r="H110" s="617"/>
      <c r="I110" s="617"/>
      <c r="J110" s="617"/>
      <c r="K110" s="618"/>
      <c r="L110" s="617"/>
      <c r="M110" s="620"/>
      <c r="N110" s="620"/>
      <c r="O110" s="620"/>
      <c r="P110" s="620"/>
      <c r="Q110" s="620"/>
      <c r="R110" s="620"/>
      <c r="S110" s="620"/>
      <c r="T110" s="620"/>
      <c r="U110" s="620"/>
      <c r="V110" s="620"/>
      <c r="W110" s="620"/>
      <c r="X110" s="620"/>
      <c r="Y110" s="357"/>
      <c r="Z110" s="358"/>
      <c r="AA110" s="679">
        <f t="shared" ref="AA110:AZ110" si="175">AA89/Y89-1</f>
        <v>-0.140074595938666</v>
      </c>
      <c r="AB110" s="679">
        <f t="shared" si="175"/>
        <v>7.6955782312925214E-2</v>
      </c>
      <c r="AC110" s="679">
        <f t="shared" si="175"/>
        <v>0.3018473895582332</v>
      </c>
      <c r="AD110" s="679">
        <f t="shared" si="175"/>
        <v>6.2297670746150446E-2</v>
      </c>
      <c r="AE110" s="679">
        <f t="shared" si="175"/>
        <v>-6.2068114511352412E-2</v>
      </c>
      <c r="AF110" s="679">
        <f t="shared" si="175"/>
        <v>-0.20098112085625019</v>
      </c>
      <c r="AG110" s="679">
        <f t="shared" si="175"/>
        <v>5.3808709380344544E-2</v>
      </c>
      <c r="AH110" s="679">
        <f t="shared" si="175"/>
        <v>0.43506976744185955</v>
      </c>
      <c r="AI110" s="679">
        <f t="shared" si="175"/>
        <v>0.88352059925093673</v>
      </c>
      <c r="AJ110" s="679">
        <f t="shared" si="175"/>
        <v>0.51254294418876012</v>
      </c>
      <c r="AK110" s="679">
        <f t="shared" si="175"/>
        <v>0.21979187379863463</v>
      </c>
      <c r="AL110" s="679">
        <f t="shared" si="175"/>
        <v>0.50612839633153239</v>
      </c>
      <c r="AM110" s="679">
        <f t="shared" si="175"/>
        <v>0.8527414008585561</v>
      </c>
      <c r="AN110" s="679">
        <f t="shared" si="175"/>
        <v>0.16793762804461676</v>
      </c>
      <c r="AO110" s="679">
        <f t="shared" si="175"/>
        <v>0.26296339746597819</v>
      </c>
      <c r="AP110" s="680">
        <f t="shared" si="175"/>
        <v>0.32807094479364673</v>
      </c>
      <c r="AQ110" s="679">
        <f t="shared" si="175"/>
        <v>9.6242439633177357E-2</v>
      </c>
      <c r="AR110" s="679">
        <f t="shared" si="175"/>
        <v>8.3820993542706335E-2</v>
      </c>
      <c r="AS110" s="679">
        <f t="shared" si="175"/>
        <v>6.9009932874385838E-2</v>
      </c>
      <c r="AT110" s="679">
        <f t="shared" si="175"/>
        <v>6.6502514757220021E-2</v>
      </c>
      <c r="AU110" s="679">
        <f t="shared" si="175"/>
        <v>6.8680191767293675E-2</v>
      </c>
      <c r="AV110" s="679">
        <f t="shared" si="175"/>
        <v>6.6159642038343236E-2</v>
      </c>
      <c r="AW110" s="679">
        <f t="shared" si="175"/>
        <v>6.8346694235570382E-2</v>
      </c>
      <c r="AX110" s="679">
        <f t="shared" si="175"/>
        <v>6.5821564086103068E-2</v>
      </c>
      <c r="AY110" s="679">
        <f t="shared" si="175"/>
        <v>6.8010883069602679E-2</v>
      </c>
      <c r="AZ110" s="679">
        <f t="shared" si="175"/>
        <v>6.54886205616656E-2</v>
      </c>
      <c r="BA110" s="223"/>
      <c r="BB110" s="668"/>
      <c r="BC110" s="668"/>
      <c r="BD110" s="668"/>
      <c r="BE110" s="668"/>
      <c r="BF110" s="668"/>
      <c r="BG110" s="668"/>
      <c r="BH110" s="598"/>
      <c r="BI110" s="667"/>
      <c r="BJ110" s="667"/>
      <c r="BK110" s="667"/>
      <c r="BL110" s="660"/>
      <c r="BM110" s="359"/>
      <c r="BN110" s="678">
        <f>BN89/BM89-1</f>
        <v>-5.7371440602137502E-3</v>
      </c>
      <c r="BO110" s="678">
        <f t="shared" ref="BO110:BZ110" si="176">BO89/BN89-1</f>
        <v>0.14123875066172564</v>
      </c>
      <c r="BP110" s="678">
        <f t="shared" si="176"/>
        <v>-0.14876148065683248</v>
      </c>
      <c r="BQ110" s="678">
        <f t="shared" si="176"/>
        <v>0.27715110893139272</v>
      </c>
      <c r="BR110" s="679">
        <f t="shared" si="176"/>
        <v>0.6393309723940781</v>
      </c>
      <c r="BS110" s="679">
        <f t="shared" si="176"/>
        <v>0.39369095026157508</v>
      </c>
      <c r="BT110" s="679">
        <f t="shared" si="176"/>
        <v>0.40329056716529443</v>
      </c>
      <c r="BU110" s="680">
        <f t="shared" si="176"/>
        <v>0.29852812009262486</v>
      </c>
      <c r="BV110" s="678">
        <f t="shared" si="176"/>
        <v>8.9302907900505213E-2</v>
      </c>
      <c r="BW110" s="678">
        <f t="shared" si="176"/>
        <v>6.7616154689667862E-2</v>
      </c>
      <c r="BX110" s="678">
        <f t="shared" si="176"/>
        <v>6.7280575696457179E-2</v>
      </c>
      <c r="BY110" s="678">
        <f t="shared" si="176"/>
        <v>6.6946007386568862E-2</v>
      </c>
      <c r="BZ110" s="678">
        <f t="shared" si="176"/>
        <v>6.6613261391031076E-2</v>
      </c>
      <c r="CB110" s="706" t="s">
        <v>609</v>
      </c>
      <c r="DS110" s="678" t="e">
        <f>DS89/DT89-1</f>
        <v>#DIV/0!</v>
      </c>
    </row>
    <row r="111" spans="1:123" s="179" customFormat="1">
      <c r="A111" s="270"/>
      <c r="B111" s="243" t="s">
        <v>522</v>
      </c>
      <c r="C111" s="91"/>
      <c r="D111" s="91"/>
      <c r="E111" s="91"/>
      <c r="F111" s="91"/>
      <c r="G111" s="28"/>
      <c r="H111" s="617"/>
      <c r="I111" s="617"/>
      <c r="J111" s="617"/>
      <c r="K111" s="618"/>
      <c r="L111" s="617"/>
      <c r="M111" s="620"/>
      <c r="N111" s="620"/>
      <c r="O111" s="620"/>
      <c r="P111" s="620"/>
      <c r="Q111" s="620"/>
      <c r="R111" s="620"/>
      <c r="S111" s="620"/>
      <c r="T111" s="620"/>
      <c r="U111" s="620"/>
      <c r="V111" s="620"/>
      <c r="W111" s="620"/>
      <c r="X111" s="620"/>
      <c r="Y111" s="734">
        <f t="shared" ref="Y111:AZ111" si="177">Y89/Y87</f>
        <v>0.28914363316823777</v>
      </c>
      <c r="Z111" s="734">
        <f t="shared" si="177"/>
        <v>0.37594706051596821</v>
      </c>
      <c r="AA111" s="679">
        <f t="shared" si="177"/>
        <v>0.24097085123679007</v>
      </c>
      <c r="AB111" s="679">
        <f t="shared" si="177"/>
        <v>0.41184313215400631</v>
      </c>
      <c r="AC111" s="679">
        <f t="shared" si="177"/>
        <v>0.28219235322794062</v>
      </c>
      <c r="AD111" s="679">
        <f t="shared" si="177"/>
        <v>0.41142472707256655</v>
      </c>
      <c r="AE111" s="679">
        <f t="shared" si="177"/>
        <v>0.26072788392275237</v>
      </c>
      <c r="AF111" s="679">
        <f t="shared" si="177"/>
        <v>0.35632603003082652</v>
      </c>
      <c r="AG111" s="679">
        <f t="shared" si="177"/>
        <v>0.27350018779663327</v>
      </c>
      <c r="AH111" s="679">
        <f t="shared" si="177"/>
        <v>0.3486485264870729</v>
      </c>
      <c r="AI111" s="679">
        <f t="shared" si="177"/>
        <v>0.32559996546961328</v>
      </c>
      <c r="AJ111" s="679">
        <f t="shared" si="177"/>
        <v>0.40662193953123643</v>
      </c>
      <c r="AK111" s="679">
        <f t="shared" si="177"/>
        <v>0.31638758037341402</v>
      </c>
      <c r="AL111" s="679">
        <f t="shared" si="177"/>
        <v>0.43296251124169949</v>
      </c>
      <c r="AM111" s="679">
        <f t="shared" si="177"/>
        <v>0.4031880424756995</v>
      </c>
      <c r="AN111" s="679">
        <f t="shared" si="177"/>
        <v>0.44784131452325615</v>
      </c>
      <c r="AO111" s="609">
        <f t="shared" si="177"/>
        <v>0.40395493475670957</v>
      </c>
      <c r="AP111" s="611">
        <f t="shared" si="177"/>
        <v>0.47846503585503514</v>
      </c>
      <c r="AQ111" s="609">
        <f t="shared" si="177"/>
        <v>0.41437343310777131</v>
      </c>
      <c r="AR111" s="609">
        <f t="shared" si="177"/>
        <v>0.48638072234406193</v>
      </c>
      <c r="AS111" s="679">
        <f t="shared" si="177"/>
        <v>0.42342216714076181</v>
      </c>
      <c r="AT111" s="679">
        <f t="shared" si="177"/>
        <v>0.49508396469908111</v>
      </c>
      <c r="AU111" s="679">
        <f t="shared" si="177"/>
        <v>0.43244684128157096</v>
      </c>
      <c r="AV111" s="679">
        <f t="shared" si="177"/>
        <v>0.50370980577631286</v>
      </c>
      <c r="AW111" s="679">
        <f t="shared" si="177"/>
        <v>0.44143961296889322</v>
      </c>
      <c r="AX111" s="679">
        <f t="shared" si="177"/>
        <v>0.51225419972811204</v>
      </c>
      <c r="AY111" s="679">
        <f t="shared" si="177"/>
        <v>0.45039314066160935</v>
      </c>
      <c r="AZ111" s="679">
        <f t="shared" si="177"/>
        <v>0.52071346510950223</v>
      </c>
      <c r="BA111" s="223"/>
      <c r="BB111" s="668"/>
      <c r="BC111" s="668"/>
      <c r="BD111" s="668"/>
      <c r="BE111" s="668"/>
      <c r="BF111" s="668"/>
      <c r="BG111" s="668"/>
      <c r="BH111" s="598"/>
      <c r="BI111" s="667"/>
      <c r="BJ111" s="667"/>
      <c r="BK111" s="667"/>
      <c r="BL111" s="660"/>
      <c r="BM111" s="678"/>
      <c r="BN111" s="678"/>
      <c r="BO111" s="678"/>
      <c r="BP111" s="678"/>
      <c r="BQ111" s="678"/>
      <c r="BR111" s="679"/>
      <c r="BS111" s="679"/>
      <c r="BT111" s="679"/>
      <c r="BU111" s="680"/>
      <c r="BV111" s="678"/>
      <c r="BW111" s="678"/>
      <c r="BX111" s="678"/>
      <c r="BY111" s="678"/>
      <c r="BZ111" s="678"/>
      <c r="DS111" s="678"/>
    </row>
    <row r="112" spans="1:123" s="179" customFormat="1">
      <c r="A112" s="270"/>
      <c r="B112" s="243"/>
      <c r="C112" s="91"/>
      <c r="D112" s="91"/>
      <c r="E112" s="91"/>
      <c r="F112" s="91"/>
      <c r="G112" s="28"/>
      <c r="H112" s="617"/>
      <c r="I112" s="617"/>
      <c r="J112" s="617"/>
      <c r="K112" s="618"/>
      <c r="L112" s="617"/>
      <c r="M112" s="620"/>
      <c r="N112" s="620"/>
      <c r="O112" s="620"/>
      <c r="P112" s="620"/>
      <c r="Q112" s="620"/>
      <c r="R112" s="620"/>
      <c r="S112" s="620"/>
      <c r="T112" s="620"/>
      <c r="U112" s="620"/>
      <c r="V112" s="620"/>
      <c r="W112" s="620"/>
      <c r="X112" s="620"/>
      <c r="Y112" s="207"/>
      <c r="Z112" s="183"/>
      <c r="AA112" s="207"/>
      <c r="AB112" s="183"/>
      <c r="AC112" s="207"/>
      <c r="AD112" s="183"/>
      <c r="AE112" s="678"/>
      <c r="AF112" s="678"/>
      <c r="AG112" s="678"/>
      <c r="AH112" s="678"/>
      <c r="AI112" s="678"/>
      <c r="AJ112" s="678"/>
      <c r="AK112" s="679"/>
      <c r="AL112" s="679"/>
      <c r="AM112" s="679"/>
      <c r="AN112" s="679"/>
      <c r="AO112" s="679"/>
      <c r="AP112" s="680"/>
      <c r="AQ112" s="678"/>
      <c r="AR112" s="678"/>
      <c r="AS112" s="678"/>
      <c r="AT112" s="678"/>
      <c r="AU112" s="678"/>
      <c r="AV112" s="678"/>
      <c r="AW112" s="678"/>
      <c r="AX112" s="678"/>
      <c r="AY112" s="678"/>
      <c r="AZ112" s="678"/>
      <c r="BA112" s="223"/>
      <c r="BB112" s="668"/>
      <c r="BC112" s="668"/>
      <c r="BD112" s="668"/>
      <c r="BE112" s="668"/>
      <c r="BF112" s="668"/>
      <c r="BG112" s="668"/>
      <c r="BH112" s="598"/>
      <c r="BI112" s="667"/>
      <c r="BJ112" s="667"/>
      <c r="BK112" s="667"/>
      <c r="BL112" s="660"/>
      <c r="BM112" s="207"/>
      <c r="BN112" s="207"/>
      <c r="BO112" s="207"/>
      <c r="BP112" s="207"/>
      <c r="BQ112" s="207"/>
      <c r="BR112" s="207"/>
      <c r="BS112" s="207"/>
      <c r="BT112" s="198"/>
      <c r="BU112" s="501"/>
      <c r="BV112" s="198"/>
      <c r="BW112" s="198"/>
      <c r="BX112" s="198"/>
      <c r="BY112" s="198"/>
      <c r="BZ112" s="198"/>
      <c r="DS112" s="198"/>
    </row>
    <row r="113" spans="1:123" s="179" customFormat="1">
      <c r="A113" s="270"/>
      <c r="B113" s="355" t="s">
        <v>559</v>
      </c>
      <c r="C113" s="91"/>
      <c r="D113" s="91"/>
      <c r="E113" s="91"/>
      <c r="F113" s="91"/>
      <c r="G113" s="28"/>
      <c r="H113" s="617"/>
      <c r="I113" s="617"/>
      <c r="J113" s="617"/>
      <c r="K113" s="618"/>
      <c r="L113" s="617"/>
      <c r="M113" s="620"/>
      <c r="N113" s="620"/>
      <c r="O113" s="620"/>
      <c r="P113" s="620"/>
      <c r="Q113" s="620"/>
      <c r="R113" s="620"/>
      <c r="S113" s="620"/>
      <c r="T113" s="620"/>
      <c r="U113" s="620"/>
      <c r="V113" s="620"/>
      <c r="W113" s="620"/>
      <c r="X113" s="620"/>
      <c r="Y113" s="207"/>
      <c r="Z113" s="183"/>
      <c r="AA113" s="207"/>
      <c r="AB113" s="183"/>
      <c r="AC113" s="207"/>
      <c r="AD113" s="183"/>
      <c r="AE113" s="207"/>
      <c r="AF113" s="183"/>
      <c r="AG113" s="207"/>
      <c r="AH113" s="183"/>
      <c r="AI113" s="207"/>
      <c r="AJ113" s="183"/>
      <c r="AK113" s="667"/>
      <c r="AL113" s="667"/>
      <c r="AM113" s="667"/>
      <c r="AN113" s="667"/>
      <c r="AO113" s="667"/>
      <c r="AP113" s="666"/>
      <c r="AQ113" s="667"/>
      <c r="AR113" s="667"/>
      <c r="AS113" s="667"/>
      <c r="AT113" s="667"/>
      <c r="AU113" s="667"/>
      <c r="AV113" s="667"/>
      <c r="AW113" s="667"/>
      <c r="AX113" s="667"/>
      <c r="AY113" s="667"/>
      <c r="AZ113" s="667"/>
      <c r="BA113" s="223"/>
      <c r="BB113" s="668"/>
      <c r="BC113" s="668"/>
      <c r="BD113" s="668"/>
      <c r="BE113" s="668"/>
      <c r="BF113" s="668"/>
      <c r="BG113" s="668"/>
      <c r="BH113" s="598"/>
      <c r="BI113" s="667"/>
      <c r="BJ113" s="667"/>
      <c r="BK113" s="667"/>
      <c r="BL113" s="660"/>
      <c r="BM113" s="207"/>
      <c r="BN113" s="207"/>
      <c r="BO113" s="207"/>
      <c r="BP113" s="207"/>
      <c r="BQ113" s="207"/>
      <c r="BR113" s="207"/>
      <c r="BS113" s="207"/>
      <c r="BT113" s="198"/>
      <c r="BU113" s="501"/>
      <c r="BV113" s="198"/>
      <c r="BW113" s="198"/>
      <c r="BX113" s="198"/>
      <c r="BY113" s="198"/>
      <c r="BZ113" s="198"/>
      <c r="DS113" s="198"/>
    </row>
    <row r="114" spans="1:123" s="714" customFormat="1">
      <c r="A114" s="711" t="s">
        <v>474</v>
      </c>
      <c r="B114" s="243" t="s">
        <v>318</v>
      </c>
      <c r="C114" s="713"/>
      <c r="D114" s="713"/>
      <c r="E114" s="713"/>
      <c r="F114" s="713"/>
      <c r="H114" s="715"/>
      <c r="I114" s="715"/>
      <c r="J114" s="715"/>
      <c r="K114" s="716"/>
      <c r="L114" s="715"/>
      <c r="M114" s="673"/>
      <c r="N114" s="673"/>
      <c r="O114" s="673"/>
      <c r="P114" s="673"/>
      <c r="Q114" s="673"/>
      <c r="R114" s="673"/>
      <c r="S114" s="673"/>
      <c r="T114" s="673"/>
      <c r="U114" s="673"/>
      <c r="V114" s="673"/>
      <c r="W114" s="673"/>
      <c r="X114" s="673"/>
      <c r="Y114" s="681"/>
      <c r="Z114" s="682"/>
      <c r="AA114" s="682"/>
      <c r="AB114" s="682"/>
      <c r="AC114" s="682"/>
      <c r="AD114" s="682"/>
      <c r="AE114" s="682"/>
      <c r="AF114" s="682"/>
      <c r="AG114" s="682"/>
      <c r="AH114" s="682"/>
      <c r="AI114" s="682"/>
      <c r="AJ114" s="682"/>
      <c r="AK114" s="682"/>
      <c r="AL114" s="682"/>
      <c r="AM114" s="682"/>
      <c r="AN114" s="682"/>
      <c r="AO114" s="682"/>
      <c r="AP114" s="691"/>
      <c r="AQ114" s="682"/>
      <c r="AR114" s="682"/>
      <c r="AS114" s="682"/>
      <c r="AT114" s="682"/>
      <c r="AU114" s="682"/>
      <c r="AV114" s="682"/>
      <c r="AW114" s="682"/>
      <c r="AX114" s="682"/>
      <c r="AY114" s="682"/>
      <c r="AZ114" s="682"/>
      <c r="BA114" s="735"/>
      <c r="BB114" s="736"/>
      <c r="BC114" s="736"/>
      <c r="BD114" s="736"/>
      <c r="BE114" s="736"/>
      <c r="BF114" s="736"/>
      <c r="BG114" s="736"/>
      <c r="BH114" s="737"/>
      <c r="BI114" s="673"/>
      <c r="BJ114" s="673"/>
      <c r="BK114" s="673"/>
      <c r="BL114" s="673"/>
      <c r="BM114" s="682"/>
      <c r="BN114" s="682"/>
      <c r="BO114" s="682"/>
      <c r="BP114" s="220">
        <v>340</v>
      </c>
      <c r="BQ114" s="220">
        <v>600</v>
      </c>
      <c r="BR114" s="220">
        <v>600</v>
      </c>
      <c r="BS114" s="220">
        <v>900</v>
      </c>
      <c r="BT114" s="220">
        <v>1000</v>
      </c>
      <c r="BU114" s="519">
        <v>1300</v>
      </c>
      <c r="BV114" s="361"/>
      <c r="BW114" s="361"/>
      <c r="BX114" s="361"/>
      <c r="BY114" s="361"/>
      <c r="BZ114" s="361"/>
      <c r="CB114" s="23" t="s">
        <v>643</v>
      </c>
      <c r="DS114" s="361"/>
    </row>
    <row r="115" spans="1:123" s="714" customFormat="1">
      <c r="A115" s="711"/>
      <c r="B115" s="243" t="s">
        <v>406</v>
      </c>
      <c r="C115" s="713"/>
      <c r="D115" s="713"/>
      <c r="E115" s="713"/>
      <c r="F115" s="713"/>
      <c r="H115" s="715"/>
      <c r="I115" s="715"/>
      <c r="J115" s="715"/>
      <c r="K115" s="716"/>
      <c r="L115" s="715"/>
      <c r="M115" s="673"/>
      <c r="N115" s="673"/>
      <c r="O115" s="673"/>
      <c r="P115" s="673"/>
      <c r="Q115" s="673"/>
      <c r="R115" s="673"/>
      <c r="S115" s="673"/>
      <c r="T115" s="673"/>
      <c r="U115" s="673"/>
      <c r="V115" s="673"/>
      <c r="W115" s="673"/>
      <c r="X115" s="673"/>
      <c r="Y115" s="682"/>
      <c r="Z115" s="682"/>
      <c r="AA115" s="682"/>
      <c r="AB115" s="682"/>
      <c r="AC115" s="682"/>
      <c r="AD115" s="682"/>
      <c r="AE115" s="682"/>
      <c r="AF115" s="682"/>
      <c r="AG115" s="682"/>
      <c r="AH115" s="682"/>
      <c r="AI115" s="682"/>
      <c r="AJ115" s="682"/>
      <c r="AK115" s="682"/>
      <c r="AL115" s="682"/>
      <c r="AM115" s="682"/>
      <c r="AN115" s="682"/>
      <c r="AO115" s="682"/>
      <c r="AP115" s="691"/>
      <c r="AQ115" s="682"/>
      <c r="AR115" s="682"/>
      <c r="AS115" s="682"/>
      <c r="AT115" s="682"/>
      <c r="AU115" s="682"/>
      <c r="AV115" s="682"/>
      <c r="AW115" s="682"/>
      <c r="AX115" s="682"/>
      <c r="AY115" s="682"/>
      <c r="AZ115" s="682"/>
      <c r="BA115" s="735"/>
      <c r="BB115" s="736"/>
      <c r="BC115" s="736"/>
      <c r="BD115" s="736"/>
      <c r="BE115" s="736"/>
      <c r="BF115" s="736"/>
      <c r="BG115" s="736"/>
      <c r="BH115" s="737"/>
      <c r="BI115" s="673"/>
      <c r="BJ115" s="673"/>
      <c r="BK115" s="673"/>
      <c r="BL115" s="673"/>
      <c r="BM115" s="682"/>
      <c r="BN115" s="682"/>
      <c r="BO115" s="682"/>
      <c r="BP115" s="682"/>
      <c r="BQ115" s="683">
        <f>BQ114/BP114-1</f>
        <v>0.76470588235294112</v>
      </c>
      <c r="BR115" s="683">
        <f>BR114/BQ114-1</f>
        <v>0</v>
      </c>
      <c r="BS115" s="683">
        <f>BS114/BR114-1</f>
        <v>0.5</v>
      </c>
      <c r="BT115" s="420">
        <f>BT114/BS114-1</f>
        <v>0.11111111111111116</v>
      </c>
      <c r="BU115" s="447">
        <f>BU114/BT114-1</f>
        <v>0.30000000000000004</v>
      </c>
      <c r="BV115" s="361"/>
      <c r="BW115" s="361"/>
      <c r="BX115" s="361"/>
      <c r="BY115" s="361"/>
      <c r="BZ115" s="361"/>
      <c r="CB115" s="706" t="s">
        <v>609</v>
      </c>
      <c r="DS115" s="361"/>
    </row>
    <row r="116" spans="1:123" s="714" customFormat="1">
      <c r="A116" s="711"/>
      <c r="B116" s="243" t="s">
        <v>314</v>
      </c>
      <c r="C116" s="713"/>
      <c r="D116" s="713"/>
      <c r="E116" s="713"/>
      <c r="F116" s="713"/>
      <c r="H116" s="715"/>
      <c r="I116" s="715"/>
      <c r="J116" s="715"/>
      <c r="K116" s="716"/>
      <c r="L116" s="715"/>
      <c r="M116" s="673"/>
      <c r="N116" s="673"/>
      <c r="O116" s="673"/>
      <c r="P116" s="673"/>
      <c r="Q116" s="673"/>
      <c r="R116" s="673"/>
      <c r="S116" s="673"/>
      <c r="T116" s="673"/>
      <c r="U116" s="673"/>
      <c r="V116" s="673"/>
      <c r="W116" s="673"/>
      <c r="X116" s="673"/>
      <c r="Y116" s="682"/>
      <c r="Z116" s="682"/>
      <c r="AA116" s="682"/>
      <c r="AB116" s="682"/>
      <c r="AC116" s="682"/>
      <c r="AD116" s="682"/>
      <c r="AE116" s="682"/>
      <c r="AF116" s="682"/>
      <c r="AG116" s="682"/>
      <c r="AH116" s="682"/>
      <c r="AI116" s="682"/>
      <c r="AJ116" s="682"/>
      <c r="AK116" s="682"/>
      <c r="AL116" s="682"/>
      <c r="AM116" s="682"/>
      <c r="AN116" s="682"/>
      <c r="AO116" s="682"/>
      <c r="AP116" s="691"/>
      <c r="AQ116" s="682"/>
      <c r="AR116" s="682"/>
      <c r="AS116" s="682"/>
      <c r="AT116" s="682"/>
      <c r="AU116" s="682"/>
      <c r="AV116" s="682"/>
      <c r="AW116" s="682"/>
      <c r="AX116" s="682"/>
      <c r="AY116" s="682"/>
      <c r="AZ116" s="682"/>
      <c r="BA116" s="735"/>
      <c r="BB116" s="736"/>
      <c r="BC116" s="736"/>
      <c r="BD116" s="736"/>
      <c r="BE116" s="736"/>
      <c r="BF116" s="736"/>
      <c r="BG116" s="736"/>
      <c r="BH116" s="737"/>
      <c r="BI116" s="673"/>
      <c r="BJ116" s="673"/>
      <c r="BK116" s="673"/>
      <c r="BL116" s="673"/>
      <c r="BM116" s="682"/>
      <c r="BN116" s="682"/>
      <c r="BO116" s="682"/>
      <c r="BP116" s="220">
        <v>40</v>
      </c>
      <c r="BQ116" s="220">
        <v>90</v>
      </c>
      <c r="BR116" s="220">
        <v>100</v>
      </c>
      <c r="BS116" s="220">
        <v>120</v>
      </c>
      <c r="BT116" s="220">
        <v>130</v>
      </c>
      <c r="BU116" s="519">
        <v>133</v>
      </c>
      <c r="BV116" s="361"/>
      <c r="BW116" s="361"/>
      <c r="BX116" s="361"/>
      <c r="BY116" s="361"/>
      <c r="BZ116" s="361"/>
      <c r="CB116" s="23" t="s">
        <v>643</v>
      </c>
      <c r="DS116" s="361"/>
    </row>
    <row r="117" spans="1:123">
      <c r="B117" s="23" t="s">
        <v>319</v>
      </c>
      <c r="D117" s="55"/>
      <c r="E117" s="55"/>
      <c r="F117" s="55"/>
      <c r="G117" s="55"/>
      <c r="H117" s="55"/>
      <c r="I117" s="55"/>
      <c r="J117" s="55"/>
      <c r="K117" s="55"/>
      <c r="L117" s="55"/>
      <c r="M117" s="55"/>
      <c r="N117" s="55"/>
      <c r="O117" s="55"/>
      <c r="P117" s="55"/>
      <c r="Q117" s="55"/>
      <c r="R117" s="55"/>
      <c r="S117" s="55"/>
      <c r="T117" s="55"/>
      <c r="U117" s="55"/>
      <c r="V117" s="55"/>
      <c r="W117" s="55"/>
      <c r="X117" s="56"/>
      <c r="Y117" s="681"/>
      <c r="Z117" s="682"/>
      <c r="AA117" s="682"/>
      <c r="AB117" s="682"/>
      <c r="AC117" s="682"/>
      <c r="AD117" s="682"/>
      <c r="AE117" s="682"/>
      <c r="AF117" s="682"/>
      <c r="AG117" s="682"/>
      <c r="AH117" s="682"/>
      <c r="AI117" s="682"/>
      <c r="AJ117" s="682"/>
      <c r="AK117" s="682"/>
      <c r="AL117" s="682"/>
      <c r="AM117" s="682"/>
      <c r="AN117" s="682"/>
      <c r="AO117" s="682"/>
      <c r="AP117" s="691"/>
      <c r="AQ117" s="682"/>
      <c r="AR117" s="682"/>
      <c r="AS117" s="682"/>
      <c r="AT117" s="682"/>
      <c r="AU117" s="682"/>
      <c r="AV117" s="682"/>
      <c r="AW117" s="682"/>
      <c r="AX117" s="682"/>
      <c r="AY117" s="682"/>
      <c r="AZ117" s="682"/>
      <c r="BA117" s="56"/>
      <c r="BB117" s="56"/>
      <c r="BC117" s="56"/>
      <c r="BD117" s="56"/>
      <c r="BE117" s="56"/>
      <c r="BF117" s="56"/>
      <c r="BG117" s="56"/>
      <c r="BH117" s="56"/>
      <c r="BI117" s="56"/>
      <c r="BJ117" s="56"/>
      <c r="BK117" s="56"/>
      <c r="BL117" s="56"/>
      <c r="BM117" s="682"/>
      <c r="BN117" s="682"/>
      <c r="BO117" s="682"/>
      <c r="BP117" s="682"/>
      <c r="BQ117" s="683">
        <f>BQ116/BP116-1</f>
        <v>1.25</v>
      </c>
      <c r="BR117" s="683">
        <f>BR116/BQ116-1</f>
        <v>0.11111111111111116</v>
      </c>
      <c r="BS117" s="683">
        <f>BS116/BR116-1</f>
        <v>0.19999999999999996</v>
      </c>
      <c r="BT117" s="683">
        <f>BT116/BS116-1</f>
        <v>8.3333333333333259E-2</v>
      </c>
      <c r="BU117" s="684">
        <f>BU116/BT116-1</f>
        <v>2.3076923076922995E-2</v>
      </c>
      <c r="BV117" s="738"/>
      <c r="BW117" s="738"/>
      <c r="BX117" s="738"/>
      <c r="BY117" s="738"/>
      <c r="BZ117" s="738"/>
      <c r="CB117" s="706" t="s">
        <v>609</v>
      </c>
      <c r="DS117" s="738"/>
    </row>
    <row r="118" spans="1:123" s="714" customFormat="1">
      <c r="A118" s="711"/>
      <c r="B118" s="243" t="s">
        <v>455</v>
      </c>
      <c r="C118" s="713"/>
      <c r="D118" s="713"/>
      <c r="E118" s="713"/>
      <c r="F118" s="713"/>
      <c r="H118" s="715"/>
      <c r="I118" s="715"/>
      <c r="J118" s="715"/>
      <c r="K118" s="716"/>
      <c r="L118" s="715"/>
      <c r="M118" s="673"/>
      <c r="N118" s="673"/>
      <c r="O118" s="673"/>
      <c r="P118" s="673"/>
      <c r="Q118" s="673"/>
      <c r="R118" s="673"/>
      <c r="S118" s="673"/>
      <c r="T118" s="673"/>
      <c r="U118" s="673"/>
      <c r="V118" s="673"/>
      <c r="W118" s="673"/>
      <c r="X118" s="673"/>
      <c r="Y118" s="681"/>
      <c r="Z118" s="682"/>
      <c r="AA118" s="682"/>
      <c r="AB118" s="682"/>
      <c r="AC118" s="682"/>
      <c r="AD118" s="682"/>
      <c r="AE118" s="682"/>
      <c r="AF118" s="682"/>
      <c r="AG118" s="682"/>
      <c r="AH118" s="682"/>
      <c r="AI118" s="682"/>
      <c r="AJ118" s="682"/>
      <c r="AK118" s="682"/>
      <c r="AL118" s="682"/>
      <c r="AM118" s="682"/>
      <c r="AN118" s="682"/>
      <c r="AO118" s="682"/>
      <c r="AP118" s="691"/>
      <c r="AQ118" s="682"/>
      <c r="AR118" s="682"/>
      <c r="AS118" s="682"/>
      <c r="AT118" s="682"/>
      <c r="AU118" s="682"/>
      <c r="AV118" s="682"/>
      <c r="AW118" s="682"/>
      <c r="AX118" s="682"/>
      <c r="AY118" s="682"/>
      <c r="AZ118" s="682"/>
      <c r="BA118" s="735"/>
      <c r="BB118" s="736"/>
      <c r="BC118" s="736"/>
      <c r="BD118" s="736"/>
      <c r="BE118" s="736"/>
      <c r="BF118" s="736"/>
      <c r="BG118" s="736"/>
      <c r="BH118" s="737"/>
      <c r="BI118" s="673"/>
      <c r="BJ118" s="673"/>
      <c r="BK118" s="673"/>
      <c r="BL118" s="673"/>
      <c r="BM118" s="682"/>
      <c r="BN118" s="682"/>
      <c r="BO118" s="682"/>
      <c r="BP118" s="682"/>
      <c r="BQ118" s="220">
        <v>27</v>
      </c>
      <c r="BR118" s="220">
        <v>31</v>
      </c>
      <c r="BS118" s="220">
        <v>27</v>
      </c>
      <c r="BT118" s="220">
        <v>35</v>
      </c>
      <c r="BU118" s="519">
        <v>35</v>
      </c>
      <c r="BV118" s="361"/>
      <c r="BW118" s="361"/>
      <c r="BX118" s="361"/>
      <c r="BY118" s="361"/>
      <c r="BZ118" s="361"/>
      <c r="CB118" s="23" t="s">
        <v>643</v>
      </c>
      <c r="DS118" s="361"/>
    </row>
    <row r="119" spans="1:123" s="714" customFormat="1">
      <c r="A119" s="711"/>
      <c r="B119" s="23" t="s">
        <v>349</v>
      </c>
      <c r="C119" s="713"/>
      <c r="D119" s="713"/>
      <c r="E119" s="713"/>
      <c r="F119" s="713"/>
      <c r="H119" s="715"/>
      <c r="I119" s="715"/>
      <c r="J119" s="715"/>
      <c r="K119" s="716"/>
      <c r="L119" s="715"/>
      <c r="M119" s="673"/>
      <c r="N119" s="673"/>
      <c r="O119" s="673"/>
      <c r="P119" s="673"/>
      <c r="Q119" s="673"/>
      <c r="R119" s="673"/>
      <c r="S119" s="673"/>
      <c r="T119" s="673"/>
      <c r="U119" s="673"/>
      <c r="V119" s="673"/>
      <c r="W119" s="673"/>
      <c r="X119" s="673"/>
      <c r="Y119" s="681"/>
      <c r="Z119" s="682"/>
      <c r="AA119" s="682"/>
      <c r="AB119" s="682"/>
      <c r="AC119" s="682"/>
      <c r="AD119" s="682"/>
      <c r="AE119" s="682"/>
      <c r="AF119" s="682"/>
      <c r="AG119" s="682"/>
      <c r="AH119" s="682"/>
      <c r="AI119" s="682"/>
      <c r="AJ119" s="682"/>
      <c r="AK119" s="682"/>
      <c r="AL119" s="682"/>
      <c r="AM119" s="682"/>
      <c r="AN119" s="682"/>
      <c r="AO119" s="682"/>
      <c r="AP119" s="691"/>
      <c r="AQ119" s="682"/>
      <c r="AR119" s="682"/>
      <c r="AS119" s="682"/>
      <c r="AT119" s="682"/>
      <c r="AU119" s="682"/>
      <c r="AV119" s="682"/>
      <c r="AW119" s="682"/>
      <c r="AX119" s="682"/>
      <c r="AY119" s="682"/>
      <c r="AZ119" s="682"/>
      <c r="BA119" s="735"/>
      <c r="BB119" s="736"/>
      <c r="BC119" s="736"/>
      <c r="BD119" s="736"/>
      <c r="BE119" s="736"/>
      <c r="BF119" s="736"/>
      <c r="BG119" s="736"/>
      <c r="BH119" s="737"/>
      <c r="BI119" s="673"/>
      <c r="BJ119" s="673"/>
      <c r="BK119" s="673"/>
      <c r="BL119" s="673"/>
      <c r="BM119" s="682"/>
      <c r="BN119" s="682"/>
      <c r="BO119" s="682"/>
      <c r="BP119" s="199">
        <f t="shared" ref="BP119:BU119" si="178">BP84/BP114</f>
        <v>0.16411764705882353</v>
      </c>
      <c r="BQ119" s="199">
        <f t="shared" si="178"/>
        <v>0.1145</v>
      </c>
      <c r="BR119" s="199">
        <f t="shared" si="178"/>
        <v>0.15583333333333332</v>
      </c>
      <c r="BS119" s="199">
        <f t="shared" si="178"/>
        <v>0.14455555555555555</v>
      </c>
      <c r="BT119" s="199">
        <f t="shared" si="178"/>
        <v>0.15640000000000001</v>
      </c>
      <c r="BU119" s="520">
        <f t="shared" si="178"/>
        <v>0.14892307692307691</v>
      </c>
      <c r="BV119" s="361"/>
      <c r="BW119" s="361"/>
      <c r="BX119" s="361"/>
      <c r="BY119" s="361"/>
      <c r="BZ119" s="361"/>
      <c r="CB119" s="706" t="s">
        <v>609</v>
      </c>
      <c r="DS119" s="361"/>
    </row>
    <row r="120" spans="1:123">
      <c r="B120" s="23" t="s">
        <v>315</v>
      </c>
      <c r="D120" s="55"/>
      <c r="E120" s="55"/>
      <c r="F120" s="55"/>
      <c r="G120" s="55"/>
      <c r="H120" s="55"/>
      <c r="I120" s="55"/>
      <c r="J120" s="55"/>
      <c r="K120" s="55"/>
      <c r="L120" s="55"/>
      <c r="M120" s="55"/>
      <c r="N120" s="55"/>
      <c r="O120" s="55"/>
      <c r="P120" s="55"/>
      <c r="Q120" s="55"/>
      <c r="R120" s="55"/>
      <c r="S120" s="55"/>
      <c r="T120" s="55"/>
      <c r="U120" s="55"/>
      <c r="V120" s="55"/>
      <c r="W120" s="55"/>
      <c r="X120" s="56"/>
      <c r="Y120" s="681"/>
      <c r="Z120" s="682"/>
      <c r="AA120" s="682"/>
      <c r="AB120" s="682"/>
      <c r="AC120" s="682"/>
      <c r="AD120" s="682"/>
      <c r="AE120" s="682"/>
      <c r="AF120" s="682"/>
      <c r="AG120" s="682"/>
      <c r="AH120" s="682"/>
      <c r="AI120" s="682"/>
      <c r="AJ120" s="682"/>
      <c r="AK120" s="682"/>
      <c r="AL120" s="682"/>
      <c r="AM120" s="682"/>
      <c r="AN120" s="682"/>
      <c r="AO120" s="682"/>
      <c r="AP120" s="691"/>
      <c r="AQ120" s="682"/>
      <c r="AR120" s="682"/>
      <c r="AS120" s="682"/>
      <c r="AT120" s="682"/>
      <c r="AU120" s="682"/>
      <c r="AV120" s="682"/>
      <c r="AW120" s="682"/>
      <c r="AX120" s="682"/>
      <c r="AY120" s="682"/>
      <c r="AZ120" s="682"/>
      <c r="BA120" s="56"/>
      <c r="BB120" s="56"/>
      <c r="BC120" s="56"/>
      <c r="BD120" s="56"/>
      <c r="BE120" s="56"/>
      <c r="BF120" s="56"/>
      <c r="BG120" s="56"/>
      <c r="BH120" s="56"/>
      <c r="BI120" s="56"/>
      <c r="BJ120" s="56"/>
      <c r="BK120" s="56"/>
      <c r="BL120" s="56"/>
      <c r="BM120" s="682"/>
      <c r="BN120" s="682"/>
      <c r="BO120" s="682"/>
      <c r="BP120" s="685">
        <f t="shared" ref="BP120:BU120" si="179">BP114/BP116</f>
        <v>8.5</v>
      </c>
      <c r="BQ120" s="685">
        <f t="shared" si="179"/>
        <v>6.666666666666667</v>
      </c>
      <c r="BR120" s="685">
        <f t="shared" si="179"/>
        <v>6</v>
      </c>
      <c r="BS120" s="685">
        <f t="shared" si="179"/>
        <v>7.5</v>
      </c>
      <c r="BT120" s="685">
        <f t="shared" si="179"/>
        <v>7.6923076923076925</v>
      </c>
      <c r="BU120" s="692">
        <f t="shared" si="179"/>
        <v>9.7744360902255636</v>
      </c>
      <c r="BV120" s="361"/>
      <c r="BW120" s="361"/>
      <c r="BX120" s="361"/>
      <c r="BY120" s="361"/>
      <c r="BZ120" s="361"/>
      <c r="CB120" s="706" t="s">
        <v>609</v>
      </c>
      <c r="DS120" s="361"/>
    </row>
    <row r="121" spans="1:123" s="714" customFormat="1">
      <c r="A121" s="270"/>
      <c r="B121" s="712"/>
      <c r="C121" s="713"/>
      <c r="D121" s="713"/>
      <c r="E121" s="713"/>
      <c r="F121" s="713"/>
      <c r="H121" s="715"/>
      <c r="I121" s="715"/>
      <c r="J121" s="715"/>
      <c r="K121" s="716"/>
      <c r="L121" s="715"/>
      <c r="M121" s="673"/>
      <c r="N121" s="673"/>
      <c r="O121" s="673"/>
      <c r="P121" s="673"/>
      <c r="Q121" s="673"/>
      <c r="R121" s="673"/>
      <c r="S121" s="673"/>
      <c r="T121" s="673"/>
      <c r="U121" s="673"/>
      <c r="V121" s="673"/>
      <c r="W121" s="673"/>
      <c r="X121" s="673"/>
      <c r="Y121" s="717"/>
      <c r="Z121" s="206"/>
      <c r="AA121" s="717"/>
      <c r="AB121" s="206"/>
      <c r="AC121" s="717"/>
      <c r="AD121" s="206"/>
      <c r="AE121" s="717"/>
      <c r="AF121" s="206"/>
      <c r="AG121" s="718"/>
      <c r="AH121" s="206"/>
      <c r="AI121" s="718"/>
      <c r="AJ121" s="206"/>
      <c r="AK121" s="720"/>
      <c r="AL121" s="720"/>
      <c r="AM121" s="720"/>
      <c r="AN121" s="720"/>
      <c r="AO121" s="720"/>
      <c r="AP121" s="733"/>
      <c r="AQ121" s="720"/>
      <c r="AR121" s="720"/>
      <c r="AS121" s="720"/>
      <c r="AT121" s="720"/>
      <c r="AU121" s="720"/>
      <c r="AV121" s="720"/>
      <c r="AW121" s="720"/>
      <c r="AX121" s="720"/>
      <c r="AY121" s="720"/>
      <c r="AZ121" s="720"/>
      <c r="BA121" s="724"/>
      <c r="BB121" s="702"/>
      <c r="BC121" s="702"/>
      <c r="BD121" s="702"/>
      <c r="BE121" s="702"/>
      <c r="BF121" s="702"/>
      <c r="BG121" s="702"/>
      <c r="BH121" s="600"/>
      <c r="BI121" s="720"/>
      <c r="BJ121" s="720"/>
      <c r="BK121" s="720"/>
      <c r="BL121" s="720"/>
      <c r="BM121" s="718"/>
      <c r="BN121" s="718"/>
      <c r="BO121" s="718"/>
      <c r="BP121" s="718"/>
      <c r="BQ121" s="718"/>
      <c r="BR121" s="718"/>
      <c r="BS121" s="718"/>
      <c r="BT121" s="226"/>
      <c r="BU121" s="504"/>
      <c r="BV121" s="226"/>
      <c r="BW121" s="226"/>
      <c r="BX121" s="226"/>
      <c r="BY121" s="226"/>
      <c r="BZ121" s="226"/>
      <c r="DS121" s="226"/>
    </row>
    <row r="122" spans="1:123">
      <c r="A122" s="57"/>
      <c r="B122" s="63" t="s">
        <v>276</v>
      </c>
      <c r="C122" s="64"/>
      <c r="D122" s="64"/>
      <c r="E122" s="64"/>
      <c r="F122" s="64"/>
      <c r="G122" s="65"/>
      <c r="H122" s="648"/>
      <c r="I122" s="648"/>
      <c r="J122" s="648"/>
      <c r="K122" s="649"/>
      <c r="L122" s="648"/>
      <c r="M122" s="648"/>
      <c r="N122" s="648"/>
      <c r="O122" s="648"/>
      <c r="P122" s="650"/>
      <c r="Q122" s="650"/>
      <c r="R122" s="650"/>
      <c r="S122" s="650"/>
      <c r="T122" s="650"/>
      <c r="U122" s="651"/>
      <c r="V122" s="651"/>
      <c r="W122" s="651"/>
      <c r="X122" s="651"/>
      <c r="Y122" s="651"/>
      <c r="Z122" s="651"/>
      <c r="AA122" s="651"/>
      <c r="AB122" s="651"/>
      <c r="AC122" s="651"/>
      <c r="AD122" s="651"/>
      <c r="AE122" s="651"/>
      <c r="AF122" s="651"/>
      <c r="AG122" s="694"/>
      <c r="AH122" s="694"/>
      <c r="AI122" s="694"/>
      <c r="AJ122" s="694"/>
      <c r="AK122" s="651"/>
      <c r="AL122" s="651"/>
      <c r="AM122" s="651"/>
      <c r="AN122" s="651"/>
      <c r="AO122" s="651"/>
      <c r="AP122" s="652"/>
      <c r="AQ122" s="651"/>
      <c r="AR122" s="651"/>
      <c r="AS122" s="651"/>
      <c r="AT122" s="651"/>
      <c r="AU122" s="651"/>
      <c r="AV122" s="651"/>
      <c r="AW122" s="651"/>
      <c r="AX122" s="651"/>
      <c r="AY122" s="651"/>
      <c r="AZ122" s="651"/>
      <c r="BA122" s="558"/>
      <c r="BB122" s="653"/>
      <c r="BC122" s="653"/>
      <c r="BD122" s="653"/>
      <c r="BE122" s="653"/>
      <c r="BF122" s="653"/>
      <c r="BG122" s="653"/>
      <c r="BH122" s="654"/>
      <c r="BI122" s="655"/>
      <c r="BJ122" s="66"/>
      <c r="BK122" s="66"/>
      <c r="BL122" s="66"/>
      <c r="BM122" s="66"/>
      <c r="BN122" s="66"/>
      <c r="BO122" s="66"/>
      <c r="BP122" s="66"/>
      <c r="BQ122" s="66"/>
      <c r="BR122" s="66"/>
      <c r="BS122" s="66"/>
      <c r="BT122" s="65"/>
      <c r="BU122" s="500"/>
      <c r="BV122" s="65"/>
      <c r="BW122" s="65"/>
      <c r="BX122" s="65"/>
      <c r="BY122" s="65"/>
      <c r="BZ122" s="65"/>
      <c r="CC122" s="84"/>
      <c r="DS122" s="65"/>
    </row>
    <row r="123" spans="1:123">
      <c r="A123" s="57"/>
      <c r="B123" s="60"/>
      <c r="C123" s="58"/>
      <c r="D123" s="58"/>
      <c r="E123" s="58"/>
      <c r="F123" s="58"/>
      <c r="G123" s="23"/>
      <c r="H123" s="606"/>
      <c r="I123" s="606"/>
      <c r="J123" s="606"/>
      <c r="K123" s="607"/>
      <c r="L123" s="606"/>
      <c r="M123" s="606"/>
      <c r="N123" s="606"/>
      <c r="O123" s="606"/>
      <c r="P123" s="624"/>
      <c r="Q123" s="624"/>
      <c r="R123" s="624"/>
      <c r="S123" s="624"/>
      <c r="T123" s="624"/>
      <c r="U123" s="625"/>
      <c r="V123" s="625"/>
      <c r="W123" s="625"/>
      <c r="X123" s="625"/>
      <c r="Y123" s="625"/>
      <c r="Z123" s="625"/>
      <c r="AA123" s="625"/>
      <c r="AB123" s="625"/>
      <c r="AC123" s="625"/>
      <c r="AD123" s="625"/>
      <c r="AE123" s="625"/>
      <c r="AF123" s="625"/>
      <c r="AG123" s="658"/>
      <c r="AH123" s="658"/>
      <c r="AI123" s="658"/>
      <c r="AJ123" s="658"/>
      <c r="AK123" s="625"/>
      <c r="AL123" s="625"/>
      <c r="AM123" s="625"/>
      <c r="AN123" s="625"/>
      <c r="AO123" s="625"/>
      <c r="AP123" s="628"/>
      <c r="AQ123" s="625"/>
      <c r="AR123" s="625"/>
      <c r="AS123" s="625"/>
      <c r="AT123" s="625"/>
      <c r="AU123" s="625"/>
      <c r="AV123" s="625"/>
      <c r="AW123" s="625"/>
      <c r="AX123" s="625"/>
      <c r="AY123" s="625"/>
      <c r="AZ123" s="625"/>
      <c r="BA123" s="558"/>
      <c r="BB123" s="558"/>
      <c r="BC123" s="558"/>
      <c r="BD123" s="558"/>
      <c r="BE123" s="558"/>
      <c r="BF123" s="558"/>
      <c r="BG123" s="558"/>
      <c r="BH123" s="431"/>
      <c r="BI123" s="626"/>
      <c r="BJ123" s="83"/>
      <c r="BK123" s="83"/>
      <c r="BL123" s="83"/>
      <c r="BM123" s="83"/>
      <c r="BN123" s="83"/>
      <c r="BO123" s="83"/>
      <c r="BP123" s="83"/>
      <c r="BQ123" s="83"/>
      <c r="BR123" s="83"/>
      <c r="BS123" s="83"/>
      <c r="CC123" s="84"/>
    </row>
    <row r="124" spans="1:123">
      <c r="A124" s="57" t="s">
        <v>482</v>
      </c>
      <c r="B124" s="61" t="s">
        <v>283</v>
      </c>
      <c r="C124" s="58"/>
      <c r="D124" s="58"/>
      <c r="E124" s="58"/>
      <c r="F124" s="58"/>
      <c r="G124" s="23"/>
      <c r="H124" s="606"/>
      <c r="I124" s="606"/>
      <c r="J124" s="606"/>
      <c r="K124" s="607"/>
      <c r="L124" s="606"/>
      <c r="M124" s="606"/>
      <c r="N124" s="606"/>
      <c r="O124" s="606"/>
      <c r="P124" s="624"/>
      <c r="Q124" s="624"/>
      <c r="R124" s="624"/>
      <c r="S124" s="624"/>
      <c r="T124" s="624"/>
      <c r="U124" s="625"/>
      <c r="V124" s="625"/>
      <c r="W124" s="625"/>
      <c r="X124" s="625"/>
      <c r="Y124" s="739"/>
      <c r="Z124" s="739"/>
      <c r="AA124" s="739"/>
      <c r="AB124" s="739"/>
      <c r="AC124" s="739"/>
      <c r="AD124" s="739"/>
      <c r="AE124" s="739"/>
      <c r="AF124" s="656">
        <v>19.585999999999999</v>
      </c>
      <c r="AG124" s="656">
        <v>27.946999999999999</v>
      </c>
      <c r="AH124" s="566">
        <f>BQ124-AG124</f>
        <v>30.785</v>
      </c>
      <c r="AI124" s="656">
        <v>33.311999999999998</v>
      </c>
      <c r="AJ124" s="566">
        <f>BR124-AI124</f>
        <v>36.418000000000006</v>
      </c>
      <c r="AK124" s="740">
        <v>37.573999999999998</v>
      </c>
      <c r="AL124" s="740">
        <f>BS124-AK124</f>
        <v>42.475000000000009</v>
      </c>
      <c r="AM124" s="740">
        <v>43.098999999999997</v>
      </c>
      <c r="AN124" s="740">
        <f>BT124-AM124</f>
        <v>48.920999999999999</v>
      </c>
      <c r="AO124" s="740">
        <v>50.2</v>
      </c>
      <c r="AP124" s="686">
        <f>BU124-AO124</f>
        <v>55.628999999999991</v>
      </c>
      <c r="AQ124" s="627">
        <f t="shared" ref="AQ124:AZ125" si="180">AO124*(1+AQ133)</f>
        <v>55.220000000000006</v>
      </c>
      <c r="AR124" s="627">
        <f t="shared" si="180"/>
        <v>61.191899999999997</v>
      </c>
      <c r="AS124" s="627">
        <f t="shared" si="180"/>
        <v>58.533200000000008</v>
      </c>
      <c r="AT124" s="627">
        <f t="shared" si="180"/>
        <v>64.251495000000006</v>
      </c>
      <c r="AU124" s="627">
        <f t="shared" si="180"/>
        <v>61.459860000000013</v>
      </c>
      <c r="AV124" s="627">
        <f t="shared" si="180"/>
        <v>67.464069750000007</v>
      </c>
      <c r="AW124" s="627">
        <f t="shared" si="180"/>
        <v>64.532853000000017</v>
      </c>
      <c r="AX124" s="627">
        <f t="shared" si="180"/>
        <v>70.837273237500014</v>
      </c>
      <c r="AY124" s="627">
        <f t="shared" si="180"/>
        <v>67.759495650000019</v>
      </c>
      <c r="AZ124" s="627">
        <f t="shared" si="180"/>
        <v>74.379136899375013</v>
      </c>
      <c r="BA124" s="558"/>
      <c r="BB124" s="558"/>
      <c r="BC124" s="558"/>
      <c r="BD124" s="558"/>
      <c r="BE124" s="558"/>
      <c r="BF124" s="558"/>
      <c r="BG124" s="558"/>
      <c r="BH124" s="431"/>
      <c r="BI124" s="626"/>
      <c r="BJ124" s="83"/>
      <c r="BK124" s="83"/>
      <c r="BL124" s="83"/>
      <c r="BM124" s="741"/>
      <c r="BN124" s="741"/>
      <c r="BO124" s="741"/>
      <c r="BP124" s="740">
        <v>19.585999999999999</v>
      </c>
      <c r="BQ124" s="740">
        <v>58.731999999999999</v>
      </c>
      <c r="BR124" s="740">
        <v>69.73</v>
      </c>
      <c r="BS124" s="740">
        <v>80.049000000000007</v>
      </c>
      <c r="BT124" s="740">
        <v>92.02</v>
      </c>
      <c r="BU124" s="742">
        <v>105.82899999999999</v>
      </c>
      <c r="BV124" s="197">
        <f t="shared" ref="BV124:BV130" si="181">SUM(AQ124:AR124)</f>
        <v>116.4119</v>
      </c>
      <c r="BW124" s="197">
        <f t="shared" ref="BW124:BW130" si="182">SUM(AS124:AT124)</f>
        <v>122.78469500000001</v>
      </c>
      <c r="BX124" s="197">
        <f t="shared" ref="BX124:BX130" si="183">SUM(AU124:AV124)</f>
        <v>128.92392975000001</v>
      </c>
      <c r="BY124" s="197">
        <f t="shared" ref="BY124:BY130" si="184">SUM(AW124:AX124)</f>
        <v>135.37012623750002</v>
      </c>
      <c r="BZ124" s="197">
        <f t="shared" ref="BZ124:BZ130" si="185">SUM(AY124:AZ124)</f>
        <v>142.13863254937502</v>
      </c>
      <c r="CB124" s="172" t="s">
        <v>616</v>
      </c>
      <c r="CC124" s="84"/>
      <c r="DS124" s="197">
        <f t="shared" ref="DS124:DS130" si="186">SUM(CU124:CV124)</f>
        <v>0</v>
      </c>
    </row>
    <row r="125" spans="1:123">
      <c r="A125" s="57" t="s">
        <v>584</v>
      </c>
      <c r="B125" s="61" t="s">
        <v>280</v>
      </c>
      <c r="C125" s="58"/>
      <c r="D125" s="58"/>
      <c r="E125" s="58"/>
      <c r="F125" s="58"/>
      <c r="G125" s="23"/>
      <c r="H125" s="606"/>
      <c r="I125" s="606"/>
      <c r="J125" s="606"/>
      <c r="K125" s="607"/>
      <c r="L125" s="606"/>
      <c r="M125" s="606"/>
      <c r="N125" s="606"/>
      <c r="O125" s="606"/>
      <c r="P125" s="624"/>
      <c r="Q125" s="624"/>
      <c r="R125" s="624"/>
      <c r="S125" s="624"/>
      <c r="T125" s="624"/>
      <c r="U125" s="625"/>
      <c r="V125" s="625"/>
      <c r="W125" s="625"/>
      <c r="X125" s="625"/>
      <c r="Y125" s="739"/>
      <c r="Z125" s="739"/>
      <c r="AA125" s="739"/>
      <c r="AB125" s="739"/>
      <c r="AC125" s="739"/>
      <c r="AD125" s="739"/>
      <c r="AE125" s="739"/>
      <c r="AF125" s="656">
        <v>-11.943</v>
      </c>
      <c r="AG125" s="656">
        <v>-17.167000000000002</v>
      </c>
      <c r="AH125" s="566">
        <f>BQ125-AG125</f>
        <v>-19.542999999999999</v>
      </c>
      <c r="AI125" s="656">
        <f>-20.976</f>
        <v>-20.975999999999999</v>
      </c>
      <c r="AJ125" s="566">
        <f>BR125-AI125</f>
        <v>-22.378</v>
      </c>
      <c r="AK125" s="656">
        <v>-23.13</v>
      </c>
      <c r="AL125" s="656">
        <f>BS125-AK125</f>
        <v>-24.843999999999998</v>
      </c>
      <c r="AM125" s="656">
        <v>-25.978000000000002</v>
      </c>
      <c r="AN125" s="656">
        <f>BT125-AM125</f>
        <v>-27.402000000000001</v>
      </c>
      <c r="AO125" s="656">
        <v>-28.484000000000002</v>
      </c>
      <c r="AP125" s="657">
        <f>BU125-AO125</f>
        <v>-28.903999999999996</v>
      </c>
      <c r="AQ125" s="658">
        <f t="shared" si="180"/>
        <v>-31.047560000000004</v>
      </c>
      <c r="AR125" s="743">
        <f t="shared" si="180"/>
        <v>-31.50536</v>
      </c>
      <c r="AS125" s="743">
        <f t="shared" si="180"/>
        <v>-32.599938000000009</v>
      </c>
      <c r="AT125" s="743">
        <f t="shared" si="180"/>
        <v>-33.080628000000004</v>
      </c>
      <c r="AU125" s="743">
        <f t="shared" si="180"/>
        <v>-34.229934900000011</v>
      </c>
      <c r="AV125" s="743">
        <f t="shared" si="180"/>
        <v>-34.734659400000005</v>
      </c>
      <c r="AW125" s="743">
        <f t="shared" si="180"/>
        <v>-35.941431645000016</v>
      </c>
      <c r="AX125" s="743">
        <f t="shared" si="180"/>
        <v>-36.471392370000004</v>
      </c>
      <c r="AY125" s="743">
        <f t="shared" si="180"/>
        <v>-37.738503227250021</v>
      </c>
      <c r="AZ125" s="743">
        <f t="shared" si="180"/>
        <v>-38.294961988500006</v>
      </c>
      <c r="BA125" s="558"/>
      <c r="BB125" s="558"/>
      <c r="BC125" s="558"/>
      <c r="BD125" s="558"/>
      <c r="BE125" s="558"/>
      <c r="BF125" s="558"/>
      <c r="BG125" s="558"/>
      <c r="BH125" s="431"/>
      <c r="BI125" s="626"/>
      <c r="BJ125" s="83"/>
      <c r="BK125" s="83"/>
      <c r="BL125" s="83"/>
      <c r="BM125" s="741"/>
      <c r="BN125" s="741"/>
      <c r="BO125" s="741"/>
      <c r="BP125" s="740">
        <v>-11.943</v>
      </c>
      <c r="BQ125" s="740">
        <v>-36.71</v>
      </c>
      <c r="BR125" s="740">
        <v>-43.353999999999999</v>
      </c>
      <c r="BS125" s="740">
        <v>-47.973999999999997</v>
      </c>
      <c r="BT125" s="740">
        <v>-53.38</v>
      </c>
      <c r="BU125" s="742">
        <v>-57.387999999999998</v>
      </c>
      <c r="BV125" s="197">
        <f t="shared" si="181"/>
        <v>-62.55292</v>
      </c>
      <c r="BW125" s="197">
        <f t="shared" si="182"/>
        <v>-65.680566000000013</v>
      </c>
      <c r="BX125" s="197">
        <f t="shared" si="183"/>
        <v>-68.964594300000016</v>
      </c>
      <c r="BY125" s="197">
        <f t="shared" si="184"/>
        <v>-72.412824015000012</v>
      </c>
      <c r="BZ125" s="197">
        <f t="shared" si="185"/>
        <v>-76.033465215750027</v>
      </c>
      <c r="CB125" s="172" t="s">
        <v>616</v>
      </c>
      <c r="CC125" s="84"/>
      <c r="DS125" s="197">
        <f t="shared" si="186"/>
        <v>0</v>
      </c>
    </row>
    <row r="126" spans="1:123" s="28" customFormat="1">
      <c r="A126" s="57" t="s">
        <v>483</v>
      </c>
      <c r="B126" s="60" t="s">
        <v>281</v>
      </c>
      <c r="C126" s="91"/>
      <c r="D126" s="91"/>
      <c r="E126" s="91"/>
      <c r="F126" s="91"/>
      <c r="H126" s="617"/>
      <c r="I126" s="617"/>
      <c r="J126" s="617"/>
      <c r="K126" s="618"/>
      <c r="L126" s="617"/>
      <c r="M126" s="617"/>
      <c r="N126" s="617"/>
      <c r="O126" s="617"/>
      <c r="P126" s="619"/>
      <c r="Q126" s="619"/>
      <c r="R126" s="619"/>
      <c r="S126" s="619"/>
      <c r="T126" s="619"/>
      <c r="U126" s="620"/>
      <c r="V126" s="620"/>
      <c r="W126" s="620"/>
      <c r="X126" s="620"/>
      <c r="Y126" s="744"/>
      <c r="Z126" s="744"/>
      <c r="AA126" s="744"/>
      <c r="AB126" s="744"/>
      <c r="AC126" s="744"/>
      <c r="AD126" s="744"/>
      <c r="AE126" s="744"/>
      <c r="AF126" s="667">
        <f>SUM(AF124:AF125)</f>
        <v>7.6429999999999989</v>
      </c>
      <c r="AG126" s="667">
        <f>SUM(AG124:AG125)</f>
        <v>10.779999999999998</v>
      </c>
      <c r="AH126" s="183">
        <f>BQ126-AG126</f>
        <v>11.242000000000001</v>
      </c>
      <c r="AI126" s="667">
        <f>SUM(AI124:AI125)</f>
        <v>12.335999999999999</v>
      </c>
      <c r="AJ126" s="183">
        <f>BR126-AI126</f>
        <v>14.040000000000006</v>
      </c>
      <c r="AK126" s="720">
        <f>SUM(AK124:AK125)</f>
        <v>14.443999999999999</v>
      </c>
      <c r="AL126" s="720">
        <f>BS126-AK126</f>
        <v>17.631000000000011</v>
      </c>
      <c r="AM126" s="720">
        <f>SUM(AM124:AM125)</f>
        <v>17.120999999999995</v>
      </c>
      <c r="AN126" s="720">
        <f>BT126-AM126</f>
        <v>21.518999999999998</v>
      </c>
      <c r="AO126" s="720">
        <f>SUM(AO124:AO125)</f>
        <v>21.716000000000001</v>
      </c>
      <c r="AP126" s="733">
        <f>BU126-AO126</f>
        <v>26.724999999999994</v>
      </c>
      <c r="AQ126" s="720">
        <f t="shared" ref="AQ126:AZ126" si="187">SUM(AQ124:AQ125)</f>
        <v>24.172440000000002</v>
      </c>
      <c r="AR126" s="720">
        <f t="shared" si="187"/>
        <v>29.686539999999997</v>
      </c>
      <c r="AS126" s="720">
        <f t="shared" si="187"/>
        <v>25.933261999999999</v>
      </c>
      <c r="AT126" s="720">
        <f t="shared" si="187"/>
        <v>31.170867000000001</v>
      </c>
      <c r="AU126" s="720">
        <f t="shared" si="187"/>
        <v>27.229925100000003</v>
      </c>
      <c r="AV126" s="720">
        <f t="shared" si="187"/>
        <v>32.729410350000002</v>
      </c>
      <c r="AW126" s="720">
        <f t="shared" si="187"/>
        <v>28.591421355000001</v>
      </c>
      <c r="AX126" s="720">
        <f t="shared" si="187"/>
        <v>34.36588086750001</v>
      </c>
      <c r="AY126" s="720">
        <f t="shared" si="187"/>
        <v>30.020992422749998</v>
      </c>
      <c r="AZ126" s="720">
        <f t="shared" si="187"/>
        <v>36.084174910875007</v>
      </c>
      <c r="BA126" s="621"/>
      <c r="BB126" s="621"/>
      <c r="BC126" s="621"/>
      <c r="BD126" s="621"/>
      <c r="BE126" s="621"/>
      <c r="BF126" s="621"/>
      <c r="BG126" s="621"/>
      <c r="BH126" s="622"/>
      <c r="BI126" s="623"/>
      <c r="BJ126" s="94"/>
      <c r="BK126" s="94"/>
      <c r="BL126" s="94"/>
      <c r="BM126" s="745"/>
      <c r="BN126" s="745"/>
      <c r="BO126" s="745"/>
      <c r="BP126" s="720">
        <f t="shared" ref="BP126:BU126" si="188">SUM(BP124:BP125)</f>
        <v>7.6429999999999989</v>
      </c>
      <c r="BQ126" s="720">
        <f t="shared" si="188"/>
        <v>22.021999999999998</v>
      </c>
      <c r="BR126" s="720">
        <f t="shared" si="188"/>
        <v>26.376000000000005</v>
      </c>
      <c r="BS126" s="720">
        <f t="shared" si="188"/>
        <v>32.07500000000001</v>
      </c>
      <c r="BT126" s="720">
        <f t="shared" si="188"/>
        <v>38.639999999999993</v>
      </c>
      <c r="BU126" s="733">
        <f t="shared" si="188"/>
        <v>48.440999999999995</v>
      </c>
      <c r="BV126" s="208">
        <f t="shared" si="181"/>
        <v>53.858980000000003</v>
      </c>
      <c r="BW126" s="208">
        <f t="shared" si="182"/>
        <v>57.104129</v>
      </c>
      <c r="BX126" s="208">
        <f t="shared" si="183"/>
        <v>59.959335450000005</v>
      </c>
      <c r="BY126" s="208">
        <f t="shared" si="184"/>
        <v>62.957302222500012</v>
      </c>
      <c r="BZ126" s="208">
        <f t="shared" si="185"/>
        <v>66.105167333625005</v>
      </c>
      <c r="CB126" s="23" t="s">
        <v>609</v>
      </c>
      <c r="CC126" s="215"/>
      <c r="DS126" s="208">
        <f t="shared" si="186"/>
        <v>0</v>
      </c>
    </row>
    <row r="127" spans="1:123" s="28" customFormat="1">
      <c r="A127" s="57"/>
      <c r="B127" s="61" t="s">
        <v>36</v>
      </c>
      <c r="C127" s="91"/>
      <c r="D127" s="91"/>
      <c r="E127" s="91"/>
      <c r="F127" s="91"/>
      <c r="H127" s="617"/>
      <c r="I127" s="617"/>
      <c r="J127" s="617"/>
      <c r="K127" s="618"/>
      <c r="L127" s="617"/>
      <c r="M127" s="617"/>
      <c r="N127" s="617"/>
      <c r="O127" s="617"/>
      <c r="P127" s="619"/>
      <c r="Q127" s="619"/>
      <c r="R127" s="619"/>
      <c r="S127" s="619"/>
      <c r="T127" s="619"/>
      <c r="U127" s="620"/>
      <c r="V127" s="620"/>
      <c r="W127" s="620"/>
      <c r="X127" s="620"/>
      <c r="Y127" s="744"/>
      <c r="Z127" s="744"/>
      <c r="AA127" s="744"/>
      <c r="AB127" s="744"/>
      <c r="AC127" s="744"/>
      <c r="AD127" s="744"/>
      <c r="AE127" s="744"/>
      <c r="AF127" s="658">
        <f t="shared" ref="AF127:AP127" si="189">AF128-AF126</f>
        <v>0</v>
      </c>
      <c r="AG127" s="658">
        <f t="shared" si="189"/>
        <v>0</v>
      </c>
      <c r="AH127" s="658">
        <f t="shared" si="189"/>
        <v>0</v>
      </c>
      <c r="AI127" s="658">
        <f t="shared" si="189"/>
        <v>-0.21199999999999797</v>
      </c>
      <c r="AJ127" s="658">
        <f t="shared" si="189"/>
        <v>-0.21600000000000641</v>
      </c>
      <c r="AK127" s="746">
        <f t="shared" si="189"/>
        <v>-0.49399999999999977</v>
      </c>
      <c r="AL127" s="746">
        <f t="shared" si="189"/>
        <v>-0.89400000000000901</v>
      </c>
      <c r="AM127" s="746">
        <f t="shared" si="189"/>
        <v>-0.76499999999999346</v>
      </c>
      <c r="AN127" s="746">
        <f t="shared" si="189"/>
        <v>-0.78099999999999881</v>
      </c>
      <c r="AO127" s="746">
        <f t="shared" si="189"/>
        <v>-0.69200000000000017</v>
      </c>
      <c r="AP127" s="747">
        <f t="shared" si="189"/>
        <v>-0.71899999999999409</v>
      </c>
      <c r="AQ127" s="662">
        <f>AP127</f>
        <v>-0.71899999999999409</v>
      </c>
      <c r="AR127" s="662">
        <f t="shared" ref="AR127:AZ127" si="190">AQ127</f>
        <v>-0.71899999999999409</v>
      </c>
      <c r="AS127" s="662">
        <f t="shared" si="190"/>
        <v>-0.71899999999999409</v>
      </c>
      <c r="AT127" s="662">
        <f t="shared" si="190"/>
        <v>-0.71899999999999409</v>
      </c>
      <c r="AU127" s="662">
        <f t="shared" si="190"/>
        <v>-0.71899999999999409</v>
      </c>
      <c r="AV127" s="662">
        <f t="shared" si="190"/>
        <v>-0.71899999999999409</v>
      </c>
      <c r="AW127" s="662">
        <f t="shared" si="190"/>
        <v>-0.71899999999999409</v>
      </c>
      <c r="AX127" s="662">
        <f t="shared" si="190"/>
        <v>-0.71899999999999409</v>
      </c>
      <c r="AY127" s="662">
        <f t="shared" si="190"/>
        <v>-0.71899999999999409</v>
      </c>
      <c r="AZ127" s="662">
        <f t="shared" si="190"/>
        <v>-0.71899999999999409</v>
      </c>
      <c r="BA127" s="621"/>
      <c r="BB127" s="621"/>
      <c r="BC127" s="621"/>
      <c r="BD127" s="621"/>
      <c r="BE127" s="621"/>
      <c r="BF127" s="621"/>
      <c r="BG127" s="621"/>
      <c r="BH127" s="622"/>
      <c r="BI127" s="623"/>
      <c r="BJ127" s="94"/>
      <c r="BK127" s="94"/>
      <c r="BL127" s="94"/>
      <c r="BM127" s="745"/>
      <c r="BN127" s="745"/>
      <c r="BO127" s="745"/>
      <c r="BP127" s="627">
        <f t="shared" ref="BP127:BU127" si="191">BP128-BP126</f>
        <v>0</v>
      </c>
      <c r="BQ127" s="627">
        <f t="shared" si="191"/>
        <v>0</v>
      </c>
      <c r="BR127" s="627">
        <f t="shared" si="191"/>
        <v>-0.42800000000000438</v>
      </c>
      <c r="BS127" s="627">
        <f t="shared" si="191"/>
        <v>-1.3880000000000088</v>
      </c>
      <c r="BT127" s="627">
        <f t="shared" si="191"/>
        <v>-1.5459999999999923</v>
      </c>
      <c r="BU127" s="686">
        <f t="shared" si="191"/>
        <v>-1.4109999999999943</v>
      </c>
      <c r="BV127" s="224">
        <f t="shared" si="181"/>
        <v>-1.4379999999999882</v>
      </c>
      <c r="BW127" s="224">
        <f t="shared" si="182"/>
        <v>-1.4379999999999882</v>
      </c>
      <c r="BX127" s="224">
        <f t="shared" si="183"/>
        <v>-1.4379999999999882</v>
      </c>
      <c r="BY127" s="224">
        <f t="shared" si="184"/>
        <v>-1.4379999999999882</v>
      </c>
      <c r="BZ127" s="224">
        <f t="shared" si="185"/>
        <v>-1.4379999999999882</v>
      </c>
      <c r="CB127" s="23" t="s">
        <v>609</v>
      </c>
      <c r="CC127" s="215"/>
      <c r="DS127" s="224">
        <f t="shared" si="186"/>
        <v>0</v>
      </c>
    </row>
    <row r="128" spans="1:123" s="28" customFormat="1">
      <c r="A128" s="57" t="s">
        <v>579</v>
      </c>
      <c r="B128" s="170" t="s">
        <v>284</v>
      </c>
      <c r="C128" s="91"/>
      <c r="D128" s="91"/>
      <c r="E128" s="91"/>
      <c r="F128" s="91"/>
      <c r="H128" s="617"/>
      <c r="I128" s="617"/>
      <c r="J128" s="617"/>
      <c r="K128" s="618"/>
      <c r="L128" s="617"/>
      <c r="M128" s="617"/>
      <c r="N128" s="617"/>
      <c r="O128" s="617"/>
      <c r="P128" s="619"/>
      <c r="Q128" s="619"/>
      <c r="R128" s="619"/>
      <c r="S128" s="619"/>
      <c r="T128" s="619"/>
      <c r="U128" s="620"/>
      <c r="V128" s="620"/>
      <c r="W128" s="620"/>
      <c r="X128" s="620"/>
      <c r="Y128" s="744"/>
      <c r="Z128" s="744"/>
      <c r="AA128" s="744"/>
      <c r="AB128" s="744"/>
      <c r="AC128" s="744"/>
      <c r="AD128" s="744"/>
      <c r="AE128" s="744"/>
      <c r="AF128" s="665">
        <v>7.6429999999999998</v>
      </c>
      <c r="AG128" s="665">
        <v>10.78</v>
      </c>
      <c r="AH128" s="183">
        <f>BQ128-AG128</f>
        <v>11.241999999999999</v>
      </c>
      <c r="AI128" s="665">
        <v>12.124000000000001</v>
      </c>
      <c r="AJ128" s="183">
        <f>BR128-AI128</f>
        <v>13.824</v>
      </c>
      <c r="AK128" s="665">
        <v>13.95</v>
      </c>
      <c r="AL128" s="665">
        <f>BS128-AK128</f>
        <v>16.737000000000002</v>
      </c>
      <c r="AM128" s="665">
        <v>16.356000000000002</v>
      </c>
      <c r="AN128" s="665">
        <f>BT128-AM128</f>
        <v>20.738</v>
      </c>
      <c r="AO128" s="665">
        <v>21.024000000000001</v>
      </c>
      <c r="AP128" s="666">
        <f>BU128-AO128</f>
        <v>26.006</v>
      </c>
      <c r="AQ128" s="720">
        <f t="shared" ref="AQ128:AZ128" si="192">SUM(AQ126:AQ127)</f>
        <v>23.453440000000008</v>
      </c>
      <c r="AR128" s="720">
        <f t="shared" si="192"/>
        <v>28.967540000000003</v>
      </c>
      <c r="AS128" s="720">
        <f t="shared" si="192"/>
        <v>25.214262000000005</v>
      </c>
      <c r="AT128" s="720">
        <f t="shared" si="192"/>
        <v>30.451867000000007</v>
      </c>
      <c r="AU128" s="720">
        <f t="shared" si="192"/>
        <v>26.510925100000009</v>
      </c>
      <c r="AV128" s="720">
        <f t="shared" si="192"/>
        <v>32.010410350000008</v>
      </c>
      <c r="AW128" s="720">
        <f t="shared" si="192"/>
        <v>27.872421355000007</v>
      </c>
      <c r="AX128" s="720">
        <f t="shared" si="192"/>
        <v>33.646880867500016</v>
      </c>
      <c r="AY128" s="720">
        <f t="shared" si="192"/>
        <v>29.301992422750004</v>
      </c>
      <c r="AZ128" s="720">
        <f t="shared" si="192"/>
        <v>35.365174910875012</v>
      </c>
      <c r="BA128" s="621"/>
      <c r="BB128" s="621"/>
      <c r="BC128" s="621"/>
      <c r="BD128" s="621"/>
      <c r="BE128" s="621"/>
      <c r="BF128" s="621"/>
      <c r="BG128" s="621"/>
      <c r="BH128" s="622"/>
      <c r="BI128" s="623"/>
      <c r="BJ128" s="94"/>
      <c r="BK128" s="94"/>
      <c r="BL128" s="94"/>
      <c r="BM128" s="748"/>
      <c r="BN128" s="748"/>
      <c r="BO128" s="748"/>
      <c r="BP128" s="718">
        <v>7.6429999999999998</v>
      </c>
      <c r="BQ128" s="718">
        <v>22.021999999999998</v>
      </c>
      <c r="BR128" s="718">
        <v>25.948</v>
      </c>
      <c r="BS128" s="718">
        <v>30.687000000000001</v>
      </c>
      <c r="BT128" s="718">
        <v>37.094000000000001</v>
      </c>
      <c r="BU128" s="721">
        <v>47.03</v>
      </c>
      <c r="BV128" s="208">
        <f t="shared" si="181"/>
        <v>52.420980000000014</v>
      </c>
      <c r="BW128" s="208">
        <f t="shared" si="182"/>
        <v>55.666129000000012</v>
      </c>
      <c r="BX128" s="208">
        <f t="shared" si="183"/>
        <v>58.521335450000016</v>
      </c>
      <c r="BY128" s="208">
        <f t="shared" si="184"/>
        <v>61.519302222500023</v>
      </c>
      <c r="BZ128" s="208">
        <f t="shared" si="185"/>
        <v>64.667167333625017</v>
      </c>
      <c r="CB128" s="172" t="s">
        <v>616</v>
      </c>
      <c r="CC128" s="215"/>
      <c r="DS128" s="208">
        <f t="shared" si="186"/>
        <v>0</v>
      </c>
    </row>
    <row r="129" spans="1:123">
      <c r="A129" s="57" t="s">
        <v>580</v>
      </c>
      <c r="B129" s="243" t="s">
        <v>285</v>
      </c>
      <c r="C129" s="58"/>
      <c r="D129" s="58"/>
      <c r="E129" s="58"/>
      <c r="F129" s="58"/>
      <c r="G129" s="23"/>
      <c r="H129" s="606"/>
      <c r="I129" s="606"/>
      <c r="J129" s="606"/>
      <c r="K129" s="607"/>
      <c r="L129" s="606"/>
      <c r="M129" s="606"/>
      <c r="N129" s="606"/>
      <c r="O129" s="606"/>
      <c r="P129" s="624"/>
      <c r="Q129" s="624"/>
      <c r="R129" s="624"/>
      <c r="S129" s="624"/>
      <c r="T129" s="624"/>
      <c r="U129" s="625"/>
      <c r="V129" s="625"/>
      <c r="W129" s="625"/>
      <c r="X129" s="625"/>
      <c r="Y129" s="739"/>
      <c r="Z129" s="739"/>
      <c r="AA129" s="739"/>
      <c r="AB129" s="739"/>
      <c r="AC129" s="739"/>
      <c r="AD129" s="739"/>
      <c r="AE129" s="739"/>
      <c r="AF129" s="173">
        <f t="shared" ref="AF129:AP129" si="193">-(AF128-AF130)</f>
        <v>-4.5860000000000003</v>
      </c>
      <c r="AG129" s="173">
        <f t="shared" si="193"/>
        <v>-6.4469999999999992</v>
      </c>
      <c r="AH129" s="173">
        <f t="shared" si="193"/>
        <v>-6.7089999999999996</v>
      </c>
      <c r="AI129" s="173">
        <f t="shared" si="193"/>
        <v>-7.2030000000000003</v>
      </c>
      <c r="AJ129" s="173">
        <f t="shared" si="193"/>
        <v>-8.2480000000000011</v>
      </c>
      <c r="AK129" s="669">
        <f t="shared" si="193"/>
        <v>-8.2789999999999999</v>
      </c>
      <c r="AL129" s="669">
        <f t="shared" si="193"/>
        <v>-9.9280000000000008</v>
      </c>
      <c r="AM129" s="669">
        <f t="shared" si="193"/>
        <v>-9.7040000000000006</v>
      </c>
      <c r="AN129" s="669">
        <f t="shared" si="193"/>
        <v>-12.303000000000001</v>
      </c>
      <c r="AO129" s="669">
        <f t="shared" si="193"/>
        <v>-12.473000000000001</v>
      </c>
      <c r="AP129" s="670">
        <f t="shared" si="193"/>
        <v>-15.427999999999999</v>
      </c>
      <c r="AQ129" s="663">
        <f t="shared" ref="AQ129:AZ129" si="194">AQ136*AQ128</f>
        <v>-13.913699620087675</v>
      </c>
      <c r="AR129" s="663">
        <f t="shared" si="194"/>
        <v>-17.184926829193262</v>
      </c>
      <c r="AS129" s="663">
        <f t="shared" si="194"/>
        <v>-14.958303242943936</v>
      </c>
      <c r="AT129" s="663">
        <f t="shared" si="194"/>
        <v>-18.065500425901718</v>
      </c>
      <c r="AU129" s="663">
        <f t="shared" si="194"/>
        <v>-15.727545660339924</v>
      </c>
      <c r="AV129" s="663">
        <f t="shared" si="194"/>
        <v>-18.99010270244559</v>
      </c>
      <c r="AW129" s="663">
        <f t="shared" si="194"/>
        <v>-16.535250198605709</v>
      </c>
      <c r="AX129" s="663">
        <f t="shared" si="194"/>
        <v>-19.960935092816666</v>
      </c>
      <c r="AY129" s="663">
        <f t="shared" si="194"/>
        <v>-17.383339963784781</v>
      </c>
      <c r="AZ129" s="663">
        <f t="shared" si="194"/>
        <v>-20.980309102706283</v>
      </c>
      <c r="BA129" s="558"/>
      <c r="BB129" s="558"/>
      <c r="BC129" s="558"/>
      <c r="BD129" s="558"/>
      <c r="BE129" s="558"/>
      <c r="BF129" s="558"/>
      <c r="BG129" s="558"/>
      <c r="BH129" s="431"/>
      <c r="BI129" s="626"/>
      <c r="BJ129" s="83"/>
      <c r="BK129" s="83"/>
      <c r="BL129" s="83"/>
      <c r="BM129" s="741"/>
      <c r="BN129" s="741"/>
      <c r="BO129" s="741"/>
      <c r="BP129" s="162">
        <f t="shared" ref="BP129:BU129" si="195">-(BP128-BP130)</f>
        <v>-4.5860000000000003</v>
      </c>
      <c r="BQ129" s="162">
        <f t="shared" si="195"/>
        <v>-13.155999999999999</v>
      </c>
      <c r="BR129" s="162">
        <f t="shared" si="195"/>
        <v>-15.451000000000001</v>
      </c>
      <c r="BS129" s="162">
        <f t="shared" si="195"/>
        <v>-18.207000000000001</v>
      </c>
      <c r="BT129" s="162">
        <f t="shared" si="195"/>
        <v>-22.007000000000001</v>
      </c>
      <c r="BU129" s="458">
        <f t="shared" si="195"/>
        <v>-27.901</v>
      </c>
      <c r="BV129" s="197">
        <f t="shared" si="181"/>
        <v>-31.098626449280935</v>
      </c>
      <c r="BW129" s="197">
        <f t="shared" si="182"/>
        <v>-33.023803668845652</v>
      </c>
      <c r="BX129" s="197">
        <f t="shared" si="183"/>
        <v>-34.717648362785511</v>
      </c>
      <c r="BY129" s="197">
        <f t="shared" si="184"/>
        <v>-36.496185291422378</v>
      </c>
      <c r="BZ129" s="197">
        <f t="shared" si="185"/>
        <v>-38.363649066491064</v>
      </c>
      <c r="CB129" s="23" t="s">
        <v>609</v>
      </c>
      <c r="CC129" s="84"/>
      <c r="DS129" s="197">
        <f t="shared" si="186"/>
        <v>0</v>
      </c>
    </row>
    <row r="130" spans="1:123" s="28" customFormat="1">
      <c r="A130" s="57" t="s">
        <v>581</v>
      </c>
      <c r="B130" s="170" t="s">
        <v>282</v>
      </c>
      <c r="C130" s="91"/>
      <c r="D130" s="91"/>
      <c r="E130" s="91"/>
      <c r="F130" s="91"/>
      <c r="H130" s="617"/>
      <c r="I130" s="617"/>
      <c r="J130" s="617"/>
      <c r="K130" s="618"/>
      <c r="L130" s="617"/>
      <c r="M130" s="617"/>
      <c r="N130" s="617"/>
      <c r="O130" s="617"/>
      <c r="P130" s="619"/>
      <c r="Q130" s="619"/>
      <c r="R130" s="619"/>
      <c r="S130" s="619"/>
      <c r="T130" s="619"/>
      <c r="U130" s="620"/>
      <c r="V130" s="620"/>
      <c r="W130" s="620"/>
      <c r="X130" s="620"/>
      <c r="Y130" s="744"/>
      <c r="Z130" s="744"/>
      <c r="AA130" s="744"/>
      <c r="AB130" s="744"/>
      <c r="AC130" s="744"/>
      <c r="AD130" s="744"/>
      <c r="AE130" s="744"/>
      <c r="AF130" s="749">
        <v>3.0569999999999999</v>
      </c>
      <c r="AG130" s="749">
        <v>4.3330000000000002</v>
      </c>
      <c r="AH130" s="193">
        <f>BQ130-AG130</f>
        <v>4.5329999999999995</v>
      </c>
      <c r="AI130" s="749">
        <v>4.9210000000000003</v>
      </c>
      <c r="AJ130" s="193">
        <f>BR130-AI130</f>
        <v>5.5759999999999996</v>
      </c>
      <c r="AK130" s="749">
        <v>5.6710000000000003</v>
      </c>
      <c r="AL130" s="749">
        <f>BS130-AK130</f>
        <v>6.8090000000000002</v>
      </c>
      <c r="AM130" s="749">
        <v>6.6520000000000001</v>
      </c>
      <c r="AN130" s="749">
        <f>BT130-AM130</f>
        <v>8.4349999999999987</v>
      </c>
      <c r="AO130" s="749">
        <v>8.5510000000000002</v>
      </c>
      <c r="AP130" s="750">
        <f>BU130-AO130</f>
        <v>10.578000000000001</v>
      </c>
      <c r="AQ130" s="720">
        <f t="shared" ref="AQ130:AT130" si="196">SUM(AQ128:AQ129)</f>
        <v>9.5397403799123328</v>
      </c>
      <c r="AR130" s="720">
        <f t="shared" si="196"/>
        <v>11.782613170806741</v>
      </c>
      <c r="AS130" s="720">
        <f t="shared" si="196"/>
        <v>10.255958757056069</v>
      </c>
      <c r="AT130" s="720">
        <f t="shared" si="196"/>
        <v>12.38636657409829</v>
      </c>
      <c r="AU130" s="720">
        <f t="shared" ref="AU130:AZ130" si="197">SUM(AU128:AU129)</f>
        <v>10.783379439660084</v>
      </c>
      <c r="AV130" s="720">
        <f t="shared" si="197"/>
        <v>13.020307647554418</v>
      </c>
      <c r="AW130" s="720">
        <f t="shared" si="197"/>
        <v>11.337171156394298</v>
      </c>
      <c r="AX130" s="720">
        <f t="shared" si="197"/>
        <v>13.685945774683351</v>
      </c>
      <c r="AY130" s="720">
        <f t="shared" si="197"/>
        <v>11.918652458965223</v>
      </c>
      <c r="AZ130" s="720">
        <f t="shared" si="197"/>
        <v>14.38486580816873</v>
      </c>
      <c r="BA130" s="621"/>
      <c r="BB130" s="621"/>
      <c r="BC130" s="621"/>
      <c r="BD130" s="621"/>
      <c r="BE130" s="621"/>
      <c r="BF130" s="621"/>
      <c r="BG130" s="621"/>
      <c r="BH130" s="622"/>
      <c r="BI130" s="623"/>
      <c r="BJ130" s="94"/>
      <c r="BK130" s="94"/>
      <c r="BL130" s="94"/>
      <c r="BM130" s="748"/>
      <c r="BN130" s="748"/>
      <c r="BO130" s="748"/>
      <c r="BP130" s="718">
        <v>3.0569999999999999</v>
      </c>
      <c r="BQ130" s="718">
        <v>8.8659999999999997</v>
      </c>
      <c r="BR130" s="718">
        <v>10.497</v>
      </c>
      <c r="BS130" s="718">
        <v>12.48</v>
      </c>
      <c r="BT130" s="718">
        <v>15.087</v>
      </c>
      <c r="BU130" s="721">
        <v>19.129000000000001</v>
      </c>
      <c r="BV130" s="208">
        <f t="shared" si="181"/>
        <v>21.322353550719072</v>
      </c>
      <c r="BW130" s="208">
        <f t="shared" si="182"/>
        <v>22.64232533115436</v>
      </c>
      <c r="BX130" s="208">
        <f t="shared" si="183"/>
        <v>23.803687087214502</v>
      </c>
      <c r="BY130" s="208">
        <f t="shared" si="184"/>
        <v>25.023116931077649</v>
      </c>
      <c r="BZ130" s="208">
        <f t="shared" si="185"/>
        <v>26.303518267133953</v>
      </c>
      <c r="CB130" s="172" t="s">
        <v>616</v>
      </c>
      <c r="CC130" s="215"/>
      <c r="DS130" s="208">
        <f t="shared" si="186"/>
        <v>0</v>
      </c>
    </row>
    <row r="131" spans="1:123" s="28" customFormat="1">
      <c r="A131" s="57"/>
      <c r="B131" s="170"/>
      <c r="C131" s="91"/>
      <c r="D131" s="91"/>
      <c r="E131" s="91"/>
      <c r="F131" s="91"/>
      <c r="H131" s="617"/>
      <c r="I131" s="617"/>
      <c r="J131" s="617"/>
      <c r="K131" s="618"/>
      <c r="L131" s="617"/>
      <c r="M131" s="617"/>
      <c r="N131" s="617"/>
      <c r="O131" s="617"/>
      <c r="P131" s="619"/>
      <c r="Q131" s="619"/>
      <c r="R131" s="619"/>
      <c r="S131" s="619"/>
      <c r="T131" s="619"/>
      <c r="U131" s="620"/>
      <c r="V131" s="620"/>
      <c r="W131" s="620"/>
      <c r="X131" s="620"/>
      <c r="Y131" s="744"/>
      <c r="Z131" s="744"/>
      <c r="AA131" s="744"/>
      <c r="AB131" s="744"/>
      <c r="AC131" s="744"/>
      <c r="AD131" s="744"/>
      <c r="AE131" s="744"/>
      <c r="AF131" s="749"/>
      <c r="AG131" s="749"/>
      <c r="AH131" s="193"/>
      <c r="AI131" s="749"/>
      <c r="AJ131" s="193"/>
      <c r="AK131" s="720"/>
      <c r="AL131" s="720"/>
      <c r="AM131" s="720"/>
      <c r="AN131" s="720"/>
      <c r="AO131" s="720"/>
      <c r="AP131" s="733"/>
      <c r="AQ131" s="720"/>
      <c r="AR131" s="720"/>
      <c r="AS131" s="720"/>
      <c r="AT131" s="720"/>
      <c r="AU131" s="720"/>
      <c r="AV131" s="720"/>
      <c r="AW131" s="720"/>
      <c r="AX131" s="720"/>
      <c r="AY131" s="720"/>
      <c r="AZ131" s="720"/>
      <c r="BA131" s="621"/>
      <c r="BB131" s="621"/>
      <c r="BC131" s="621"/>
      <c r="BD131" s="621"/>
      <c r="BE131" s="621"/>
      <c r="BF131" s="621"/>
      <c r="BG131" s="621"/>
      <c r="BH131" s="622"/>
      <c r="BI131" s="623"/>
      <c r="BJ131" s="94"/>
      <c r="BK131" s="94"/>
      <c r="BL131" s="94"/>
      <c r="BM131" s="748"/>
      <c r="BN131" s="748"/>
      <c r="BO131" s="748"/>
      <c r="BP131" s="718"/>
      <c r="BQ131" s="718"/>
      <c r="BR131" s="718"/>
      <c r="BS131" s="718"/>
      <c r="BT131" s="718"/>
      <c r="BU131" s="505"/>
      <c r="BV131" s="208"/>
      <c r="BW131" s="208"/>
      <c r="BX131" s="208"/>
      <c r="BY131" s="208"/>
      <c r="BZ131" s="208"/>
      <c r="CC131" s="215"/>
      <c r="DS131" s="208"/>
    </row>
    <row r="132" spans="1:123" s="179" customFormat="1">
      <c r="A132" s="270"/>
      <c r="B132" s="355" t="s">
        <v>550</v>
      </c>
      <c r="C132" s="91"/>
      <c r="D132" s="91"/>
      <c r="E132" s="91"/>
      <c r="F132" s="91"/>
      <c r="G132" s="28"/>
      <c r="H132" s="617"/>
      <c r="I132" s="617"/>
      <c r="J132" s="617"/>
      <c r="K132" s="618"/>
      <c r="L132" s="617"/>
      <c r="M132" s="620"/>
      <c r="N132" s="620"/>
      <c r="O132" s="620"/>
      <c r="P132" s="620"/>
      <c r="Q132" s="620"/>
      <c r="R132" s="620"/>
      <c r="S132" s="620"/>
      <c r="T132" s="620"/>
      <c r="U132" s="620"/>
      <c r="V132" s="620"/>
      <c r="W132" s="620"/>
      <c r="X132" s="620"/>
      <c r="Y132" s="207"/>
      <c r="Z132" s="183"/>
      <c r="AA132" s="207"/>
      <c r="AB132" s="183"/>
      <c r="AC132" s="207"/>
      <c r="AD132" s="183"/>
      <c r="AE132" s="207"/>
      <c r="AF132" s="183"/>
      <c r="AG132" s="207"/>
      <c r="AP132" s="450"/>
      <c r="BA132" s="223"/>
      <c r="BB132" s="668"/>
      <c r="BC132" s="668"/>
      <c r="BD132" s="668"/>
      <c r="BE132" s="668"/>
      <c r="BF132" s="668"/>
      <c r="BG132" s="668"/>
      <c r="BH132" s="598"/>
      <c r="BI132" s="667"/>
      <c r="BJ132" s="667"/>
      <c r="BK132" s="667"/>
      <c r="BL132" s="667"/>
      <c r="BM132" s="207"/>
      <c r="BN132" s="207"/>
      <c r="BO132" s="207"/>
      <c r="BP132" s="207"/>
      <c r="BQ132" s="207"/>
      <c r="BR132" s="207"/>
      <c r="BS132" s="207"/>
      <c r="BT132" s="207"/>
      <c r="BU132" s="501"/>
      <c r="BV132" s="198"/>
      <c r="BW132" s="198"/>
      <c r="BX132" s="198"/>
      <c r="BY132" s="198"/>
      <c r="BZ132" s="198"/>
      <c r="DS132" s="198"/>
    </row>
    <row r="133" spans="1:123" s="28" customFormat="1">
      <c r="A133" s="57"/>
      <c r="B133" s="243" t="s">
        <v>512</v>
      </c>
      <c r="C133" s="91"/>
      <c r="D133" s="91"/>
      <c r="E133" s="91"/>
      <c r="F133" s="91"/>
      <c r="H133" s="617"/>
      <c r="I133" s="617"/>
      <c r="J133" s="617"/>
      <c r="K133" s="618"/>
      <c r="L133" s="617"/>
      <c r="M133" s="617"/>
      <c r="N133" s="617"/>
      <c r="O133" s="617"/>
      <c r="P133" s="619"/>
      <c r="Q133" s="619"/>
      <c r="R133" s="619"/>
      <c r="S133" s="619"/>
      <c r="T133" s="619"/>
      <c r="U133" s="620"/>
      <c r="V133" s="620"/>
      <c r="W133" s="620"/>
      <c r="X133" s="620"/>
      <c r="Y133" s="620"/>
      <c r="Z133" s="620"/>
      <c r="AA133" s="620"/>
      <c r="AB133" s="620"/>
      <c r="AC133" s="620"/>
      <c r="AD133" s="620"/>
      <c r="AE133" s="620"/>
      <c r="AF133" s="749"/>
      <c r="AG133" s="749"/>
      <c r="AH133" s="677">
        <f t="shared" ref="AH133:AP134" si="198">AH124/AF124-1</f>
        <v>0.5717859695701013</v>
      </c>
      <c r="AI133" s="677">
        <f t="shared" si="198"/>
        <v>0.19197051561884981</v>
      </c>
      <c r="AJ133" s="677">
        <f t="shared" si="198"/>
        <v>0.18297872340425547</v>
      </c>
      <c r="AK133" s="420">
        <f t="shared" si="198"/>
        <v>0.12794188280499519</v>
      </c>
      <c r="AL133" s="420">
        <f t="shared" si="198"/>
        <v>0.16631885331429519</v>
      </c>
      <c r="AM133" s="420">
        <f t="shared" si="198"/>
        <v>0.14704316814818763</v>
      </c>
      <c r="AN133" s="420">
        <f t="shared" si="198"/>
        <v>0.1517598587404354</v>
      </c>
      <c r="AO133" s="420">
        <f t="shared" si="198"/>
        <v>0.1647602032529758</v>
      </c>
      <c r="AP133" s="447">
        <f t="shared" si="198"/>
        <v>0.13711902863800796</v>
      </c>
      <c r="AQ133" s="346">
        <v>0.1</v>
      </c>
      <c r="AR133" s="346">
        <v>0.1</v>
      </c>
      <c r="AS133" s="346">
        <v>0.06</v>
      </c>
      <c r="AT133" s="346">
        <v>0.05</v>
      </c>
      <c r="AU133" s="346">
        <v>0.05</v>
      </c>
      <c r="AV133" s="346">
        <v>0.05</v>
      </c>
      <c r="AW133" s="346">
        <v>0.05</v>
      </c>
      <c r="AX133" s="346">
        <v>0.05</v>
      </c>
      <c r="AY133" s="346">
        <v>0.05</v>
      </c>
      <c r="AZ133" s="346">
        <v>0.05</v>
      </c>
      <c r="BA133" s="621"/>
      <c r="BB133" s="621"/>
      <c r="BC133" s="621"/>
      <c r="BD133" s="621"/>
      <c r="BE133" s="621"/>
      <c r="BF133" s="621"/>
      <c r="BG133" s="621"/>
      <c r="BH133" s="622"/>
      <c r="BI133" s="623"/>
      <c r="BJ133" s="94"/>
      <c r="BK133" s="94"/>
      <c r="BL133" s="94"/>
      <c r="BM133" s="718"/>
      <c r="BN133" s="718"/>
      <c r="BO133" s="718"/>
      <c r="BP133" s="718"/>
      <c r="BQ133" s="718"/>
      <c r="BR133" s="603">
        <f t="shared" ref="BR133:BZ134" si="199">BR124/BQ124-1</f>
        <v>0.18725737247156582</v>
      </c>
      <c r="BS133" s="603">
        <f t="shared" si="199"/>
        <v>0.14798508532912669</v>
      </c>
      <c r="BT133" s="603">
        <f t="shared" si="199"/>
        <v>0.14954590313433003</v>
      </c>
      <c r="BU133" s="604">
        <f t="shared" si="199"/>
        <v>0.15006520321669203</v>
      </c>
      <c r="BV133" s="603">
        <f t="shared" si="199"/>
        <v>0.10000000000000009</v>
      </c>
      <c r="BW133" s="603">
        <f t="shared" si="199"/>
        <v>5.4743501308715192E-2</v>
      </c>
      <c r="BX133" s="603">
        <f t="shared" si="199"/>
        <v>5.0000000000000044E-2</v>
      </c>
      <c r="BY133" s="603">
        <f t="shared" si="199"/>
        <v>5.0000000000000044E-2</v>
      </c>
      <c r="BZ133" s="603">
        <f t="shared" si="199"/>
        <v>5.0000000000000044E-2</v>
      </c>
      <c r="CB133" s="23" t="s">
        <v>609</v>
      </c>
      <c r="CC133" s="215"/>
      <c r="DS133" s="603" t="e">
        <f>DS124/DT124-1</f>
        <v>#DIV/0!</v>
      </c>
    </row>
    <row r="134" spans="1:123" s="28" customFormat="1">
      <c r="A134" s="57"/>
      <c r="B134" s="243" t="s">
        <v>556</v>
      </c>
      <c r="C134" s="91"/>
      <c r="D134" s="91"/>
      <c r="E134" s="91"/>
      <c r="F134" s="91"/>
      <c r="H134" s="617"/>
      <c r="I134" s="617"/>
      <c r="J134" s="617"/>
      <c r="K134" s="618"/>
      <c r="L134" s="617"/>
      <c r="M134" s="617"/>
      <c r="N134" s="617"/>
      <c r="O134" s="617"/>
      <c r="P134" s="619"/>
      <c r="Q134" s="619"/>
      <c r="R134" s="619"/>
      <c r="S134" s="619"/>
      <c r="T134" s="619"/>
      <c r="U134" s="620"/>
      <c r="V134" s="620"/>
      <c r="W134" s="620"/>
      <c r="X134" s="620"/>
      <c r="Y134" s="620"/>
      <c r="Z134" s="620"/>
      <c r="AA134" s="620"/>
      <c r="AB134" s="620"/>
      <c r="AC134" s="620"/>
      <c r="AD134" s="620"/>
      <c r="AE134" s="620"/>
      <c r="AF134" s="749"/>
      <c r="AG134" s="749"/>
      <c r="AH134" s="677">
        <f t="shared" si="198"/>
        <v>0.63635602444946837</v>
      </c>
      <c r="AI134" s="677">
        <f t="shared" si="198"/>
        <v>0.22187918681190633</v>
      </c>
      <c r="AJ134" s="677">
        <f t="shared" si="198"/>
        <v>0.14506472905899814</v>
      </c>
      <c r="AK134" s="420">
        <f t="shared" si="198"/>
        <v>0.10268878718535479</v>
      </c>
      <c r="AL134" s="420">
        <f t="shared" si="198"/>
        <v>0.11019751541692724</v>
      </c>
      <c r="AM134" s="420">
        <f t="shared" si="198"/>
        <v>0.12313013402507567</v>
      </c>
      <c r="AN134" s="420">
        <f t="shared" si="198"/>
        <v>0.10296248591209167</v>
      </c>
      <c r="AO134" s="420">
        <f t="shared" si="198"/>
        <v>9.6466240665178171E-2</v>
      </c>
      <c r="AP134" s="447">
        <f t="shared" si="198"/>
        <v>5.4813517261513622E-2</v>
      </c>
      <c r="AQ134" s="346">
        <v>0.09</v>
      </c>
      <c r="AR134" s="346">
        <v>0.09</v>
      </c>
      <c r="AS134" s="346">
        <v>0.05</v>
      </c>
      <c r="AT134" s="346">
        <v>0.05</v>
      </c>
      <c r="AU134" s="346">
        <v>0.05</v>
      </c>
      <c r="AV134" s="346">
        <v>0.05</v>
      </c>
      <c r="AW134" s="346">
        <v>0.05</v>
      </c>
      <c r="AX134" s="346">
        <v>0.05</v>
      </c>
      <c r="AY134" s="346">
        <v>0.05</v>
      </c>
      <c r="AZ134" s="346">
        <v>0.05</v>
      </c>
      <c r="BA134" s="621"/>
      <c r="BB134" s="621"/>
      <c r="BC134" s="621"/>
      <c r="BD134" s="621"/>
      <c r="BE134" s="621"/>
      <c r="BF134" s="621"/>
      <c r="BG134" s="621"/>
      <c r="BH134" s="622"/>
      <c r="BI134" s="623"/>
      <c r="BJ134" s="94"/>
      <c r="BK134" s="94"/>
      <c r="BL134" s="94"/>
      <c r="BM134" s="718"/>
      <c r="BN134" s="718"/>
      <c r="BO134" s="718"/>
      <c r="BP134" s="718"/>
      <c r="BQ134" s="718"/>
      <c r="BR134" s="603">
        <f t="shared" si="199"/>
        <v>0.18098610732770348</v>
      </c>
      <c r="BS134" s="603">
        <f t="shared" si="199"/>
        <v>0.10656456151681493</v>
      </c>
      <c r="BT134" s="603">
        <f t="shared" si="199"/>
        <v>0.1126860382707302</v>
      </c>
      <c r="BU134" s="604">
        <f t="shared" si="199"/>
        <v>7.5084301236417961E-2</v>
      </c>
      <c r="BV134" s="603">
        <f t="shared" si="199"/>
        <v>9.000000000000008E-2</v>
      </c>
      <c r="BW134" s="603">
        <f t="shared" si="199"/>
        <v>5.0000000000000266E-2</v>
      </c>
      <c r="BX134" s="603">
        <f t="shared" si="199"/>
        <v>5.0000000000000044E-2</v>
      </c>
      <c r="BY134" s="603">
        <f t="shared" si="199"/>
        <v>5.0000000000000044E-2</v>
      </c>
      <c r="BZ134" s="603">
        <f t="shared" si="199"/>
        <v>5.0000000000000266E-2</v>
      </c>
      <c r="CB134" s="23" t="s">
        <v>609</v>
      </c>
      <c r="CC134" s="215"/>
      <c r="DS134" s="603" t="e">
        <f>DS125/DT125-1</f>
        <v>#DIV/0!</v>
      </c>
    </row>
    <row r="135" spans="1:123" s="28" customFormat="1">
      <c r="A135" s="57"/>
      <c r="B135" s="243" t="s">
        <v>560</v>
      </c>
      <c r="C135" s="91"/>
      <c r="D135" s="91"/>
      <c r="E135" s="91"/>
      <c r="F135" s="91"/>
      <c r="H135" s="617"/>
      <c r="I135" s="617"/>
      <c r="J135" s="617"/>
      <c r="K135" s="618"/>
      <c r="L135" s="617"/>
      <c r="M135" s="617"/>
      <c r="N135" s="617"/>
      <c r="O135" s="617"/>
      <c r="P135" s="619"/>
      <c r="Q135" s="619"/>
      <c r="R135" s="619"/>
      <c r="S135" s="619"/>
      <c r="T135" s="619"/>
      <c r="U135" s="620"/>
      <c r="V135" s="620"/>
      <c r="W135" s="620"/>
      <c r="X135" s="620"/>
      <c r="Y135" s="620"/>
      <c r="Z135" s="620"/>
      <c r="AA135" s="620"/>
      <c r="AB135" s="620"/>
      <c r="AC135" s="620"/>
      <c r="AD135" s="620"/>
      <c r="AE135" s="620"/>
      <c r="AF135" s="749"/>
      <c r="AG135" s="749"/>
      <c r="AH135" s="193"/>
      <c r="AI135" s="193"/>
      <c r="AJ135" s="193"/>
      <c r="AK135" s="603"/>
      <c r="AL135" s="603"/>
      <c r="AM135" s="603"/>
      <c r="AN135" s="603"/>
      <c r="AO135" s="603"/>
      <c r="AP135" s="604"/>
      <c r="AQ135" s="603">
        <f t="shared" ref="AQ135:AZ135" si="200">AQ127/AO127-1</f>
        <v>3.9017341040453735E-2</v>
      </c>
      <c r="AR135" s="603">
        <f t="shared" si="200"/>
        <v>0</v>
      </c>
      <c r="AS135" s="603">
        <f t="shared" si="200"/>
        <v>0</v>
      </c>
      <c r="AT135" s="603">
        <f t="shared" si="200"/>
        <v>0</v>
      </c>
      <c r="AU135" s="603">
        <f t="shared" si="200"/>
        <v>0</v>
      </c>
      <c r="AV135" s="603">
        <f t="shared" si="200"/>
        <v>0</v>
      </c>
      <c r="AW135" s="603">
        <f t="shared" si="200"/>
        <v>0</v>
      </c>
      <c r="AX135" s="603">
        <f t="shared" si="200"/>
        <v>0</v>
      </c>
      <c r="AY135" s="603">
        <f t="shared" si="200"/>
        <v>0</v>
      </c>
      <c r="AZ135" s="603">
        <f t="shared" si="200"/>
        <v>0</v>
      </c>
      <c r="BA135" s="621"/>
      <c r="BB135" s="621"/>
      <c r="BC135" s="621"/>
      <c r="BD135" s="621"/>
      <c r="BE135" s="621"/>
      <c r="BF135" s="621"/>
      <c r="BG135" s="621"/>
      <c r="BH135" s="622"/>
      <c r="BI135" s="623"/>
      <c r="BJ135" s="94"/>
      <c r="BK135" s="94"/>
      <c r="BL135" s="94"/>
      <c r="BM135" s="751"/>
      <c r="BN135" s="751"/>
      <c r="BO135" s="751"/>
      <c r="BP135" s="751"/>
      <c r="BQ135" s="751"/>
      <c r="BR135" s="605"/>
      <c r="BS135" s="605"/>
      <c r="BT135" s="605">
        <f>BT127/BS127-1</f>
        <v>0.11383285302592405</v>
      </c>
      <c r="BU135" s="604">
        <f>BU127/BT127-1</f>
        <v>-8.732212160413888E-2</v>
      </c>
      <c r="BV135" s="603">
        <f>BV127/BU127-1</f>
        <v>1.9135364989365078E-2</v>
      </c>
      <c r="BW135" s="603">
        <f>BW127/BV127-1</f>
        <v>0</v>
      </c>
      <c r="BX135" s="603">
        <f t="shared" ref="BX135:BZ135" si="201">BX127/BW127-1</f>
        <v>0</v>
      </c>
      <c r="BY135" s="603">
        <f t="shared" si="201"/>
        <v>0</v>
      </c>
      <c r="BZ135" s="603">
        <f t="shared" si="201"/>
        <v>0</v>
      </c>
      <c r="CC135" s="215"/>
      <c r="DS135" s="603" t="e">
        <f>DS127/DT127-1</f>
        <v>#DIV/0!</v>
      </c>
    </row>
    <row r="136" spans="1:123" s="28" customFormat="1">
      <c r="A136" s="57"/>
      <c r="B136" s="243" t="s">
        <v>561</v>
      </c>
      <c r="C136" s="91"/>
      <c r="D136" s="91"/>
      <c r="E136" s="91"/>
      <c r="F136" s="91"/>
      <c r="H136" s="617"/>
      <c r="I136" s="617"/>
      <c r="J136" s="617"/>
      <c r="K136" s="618"/>
      <c r="L136" s="617"/>
      <c r="M136" s="617"/>
      <c r="N136" s="617"/>
      <c r="O136" s="617"/>
      <c r="P136" s="619"/>
      <c r="Q136" s="619"/>
      <c r="R136" s="619"/>
      <c r="S136" s="619"/>
      <c r="T136" s="619"/>
      <c r="U136" s="620"/>
      <c r="V136" s="620"/>
      <c r="W136" s="620"/>
      <c r="X136" s="620"/>
      <c r="Y136" s="620"/>
      <c r="Z136" s="620"/>
      <c r="AA136" s="620"/>
      <c r="AB136" s="620"/>
      <c r="AC136" s="620"/>
      <c r="AD136" s="620"/>
      <c r="AE136" s="620"/>
      <c r="AF136" s="603">
        <f t="shared" ref="AF136:AP136" si="202">AF129/AF128</f>
        <v>-0.60002616773518258</v>
      </c>
      <c r="AG136" s="603">
        <f t="shared" si="202"/>
        <v>-0.59805194805194806</v>
      </c>
      <c r="AH136" s="603">
        <f t="shared" si="202"/>
        <v>-0.59677993239637073</v>
      </c>
      <c r="AI136" s="603">
        <f t="shared" si="202"/>
        <v>-0.59411085450346424</v>
      </c>
      <c r="AJ136" s="603">
        <f t="shared" si="202"/>
        <v>-0.5966435185185186</v>
      </c>
      <c r="AK136" s="603">
        <f t="shared" si="202"/>
        <v>-0.59347670250896056</v>
      </c>
      <c r="AL136" s="603">
        <f t="shared" si="202"/>
        <v>-0.59317679392961697</v>
      </c>
      <c r="AM136" s="603">
        <f t="shared" si="202"/>
        <v>-0.59329909513328438</v>
      </c>
      <c r="AN136" s="625">
        <f t="shared" si="202"/>
        <v>-0.59325875204937806</v>
      </c>
      <c r="AO136" s="625">
        <f t="shared" si="202"/>
        <v>-0.59327435312024357</v>
      </c>
      <c r="AP136" s="628">
        <f t="shared" si="202"/>
        <v>-0.59324771206644611</v>
      </c>
      <c r="AQ136" s="629">
        <f t="shared" ref="AQ136:AZ136" si="203">AP136</f>
        <v>-0.59324771206644611</v>
      </c>
      <c r="AR136" s="629">
        <f t="shared" si="203"/>
        <v>-0.59324771206644611</v>
      </c>
      <c r="AS136" s="629">
        <f t="shared" si="203"/>
        <v>-0.59324771206644611</v>
      </c>
      <c r="AT136" s="752">
        <f t="shared" si="203"/>
        <v>-0.59324771206644611</v>
      </c>
      <c r="AU136" s="752">
        <f t="shared" si="203"/>
        <v>-0.59324771206644611</v>
      </c>
      <c r="AV136" s="752">
        <f t="shared" si="203"/>
        <v>-0.59324771206644611</v>
      </c>
      <c r="AW136" s="752">
        <f t="shared" si="203"/>
        <v>-0.59324771206644611</v>
      </c>
      <c r="AX136" s="752">
        <f t="shared" si="203"/>
        <v>-0.59324771206644611</v>
      </c>
      <c r="AY136" s="752">
        <f t="shared" si="203"/>
        <v>-0.59324771206644611</v>
      </c>
      <c r="AZ136" s="752">
        <f t="shared" si="203"/>
        <v>-0.59324771206644611</v>
      </c>
      <c r="BA136" s="621"/>
      <c r="BB136" s="621"/>
      <c r="BC136" s="621"/>
      <c r="BD136" s="621"/>
      <c r="BE136" s="621"/>
      <c r="BF136" s="621"/>
      <c r="BG136" s="621"/>
      <c r="BH136" s="622"/>
      <c r="BI136" s="623"/>
      <c r="BJ136" s="94"/>
      <c r="BK136" s="94"/>
      <c r="BL136" s="94"/>
      <c r="BM136" s="718"/>
      <c r="BN136" s="718"/>
      <c r="BO136" s="718"/>
      <c r="BP136" s="718"/>
      <c r="BQ136" s="718"/>
      <c r="BR136" s="718"/>
      <c r="BS136" s="718"/>
      <c r="BT136" s="718"/>
      <c r="BU136" s="505"/>
      <c r="BV136" s="208"/>
      <c r="BW136" s="208"/>
      <c r="BX136" s="208"/>
      <c r="BY136" s="208"/>
      <c r="BZ136" s="208"/>
      <c r="CC136" s="215"/>
      <c r="DS136" s="208"/>
    </row>
    <row r="137" spans="1:123" s="28" customFormat="1">
      <c r="A137" s="57"/>
      <c r="B137" s="243"/>
      <c r="C137" s="91"/>
      <c r="D137" s="91"/>
      <c r="E137" s="91"/>
      <c r="F137" s="91"/>
      <c r="H137" s="617"/>
      <c r="I137" s="617"/>
      <c r="J137" s="617"/>
      <c r="K137" s="618"/>
      <c r="L137" s="617"/>
      <c r="M137" s="617"/>
      <c r="N137" s="617"/>
      <c r="O137" s="617"/>
      <c r="P137" s="619"/>
      <c r="Q137" s="619"/>
      <c r="R137" s="619"/>
      <c r="S137" s="619"/>
      <c r="T137" s="619"/>
      <c r="U137" s="620"/>
      <c r="V137" s="620"/>
      <c r="W137" s="620"/>
      <c r="X137" s="620"/>
      <c r="Y137" s="620"/>
      <c r="Z137" s="620"/>
      <c r="AA137" s="620"/>
      <c r="AB137" s="620"/>
      <c r="AC137" s="620"/>
      <c r="AD137" s="620"/>
      <c r="AE137" s="620"/>
      <c r="AF137" s="603"/>
      <c r="AG137" s="603"/>
      <c r="AH137" s="603"/>
      <c r="AI137" s="603"/>
      <c r="AJ137" s="603"/>
      <c r="AK137" s="603"/>
      <c r="AL137" s="603"/>
      <c r="AM137" s="603"/>
      <c r="AN137" s="603"/>
      <c r="AO137" s="603"/>
      <c r="AP137" s="604"/>
      <c r="AQ137" s="752"/>
      <c r="AR137" s="752"/>
      <c r="AS137" s="752"/>
      <c r="AT137" s="752"/>
      <c r="AU137" s="752"/>
      <c r="AV137" s="752"/>
      <c r="AW137" s="752"/>
      <c r="AX137" s="752"/>
      <c r="AY137" s="752"/>
      <c r="AZ137" s="752"/>
      <c r="BA137" s="621"/>
      <c r="BB137" s="621"/>
      <c r="BC137" s="621"/>
      <c r="BD137" s="621"/>
      <c r="BE137" s="621"/>
      <c r="BF137" s="621"/>
      <c r="BG137" s="621"/>
      <c r="BH137" s="622"/>
      <c r="BI137" s="623"/>
      <c r="BJ137" s="94"/>
      <c r="BK137" s="94"/>
      <c r="BL137" s="94"/>
      <c r="BM137" s="718"/>
      <c r="BN137" s="718"/>
      <c r="BO137" s="718"/>
      <c r="BP137" s="718"/>
      <c r="BQ137" s="718"/>
      <c r="BR137" s="718"/>
      <c r="BS137" s="718"/>
      <c r="BT137" s="718"/>
      <c r="BU137" s="505"/>
      <c r="BV137" s="208"/>
      <c r="BW137" s="208"/>
      <c r="BX137" s="208"/>
      <c r="BY137" s="208"/>
      <c r="BZ137" s="208"/>
      <c r="CC137" s="215"/>
      <c r="DS137" s="208"/>
    </row>
    <row r="138" spans="1:123" s="28" customFormat="1">
      <c r="A138" s="57"/>
      <c r="B138" s="355" t="s">
        <v>551</v>
      </c>
      <c r="C138" s="91"/>
      <c r="D138" s="91"/>
      <c r="E138" s="91"/>
      <c r="F138" s="91"/>
      <c r="H138" s="617"/>
      <c r="I138" s="617"/>
      <c r="J138" s="617"/>
      <c r="K138" s="618"/>
      <c r="L138" s="617"/>
      <c r="M138" s="617"/>
      <c r="N138" s="617"/>
      <c r="O138" s="617"/>
      <c r="P138" s="619"/>
      <c r="Q138" s="619"/>
      <c r="R138" s="619"/>
      <c r="S138" s="619"/>
      <c r="T138" s="619"/>
      <c r="U138" s="620"/>
      <c r="V138" s="620"/>
      <c r="W138" s="620"/>
      <c r="X138" s="620"/>
      <c r="Y138" s="620"/>
      <c r="Z138" s="620"/>
      <c r="AA138" s="620"/>
      <c r="AB138" s="620"/>
      <c r="AC138" s="620"/>
      <c r="AD138" s="620"/>
      <c r="AE138" s="620"/>
      <c r="AF138" s="603"/>
      <c r="AG138" s="603"/>
      <c r="AH138" s="603"/>
      <c r="AI138" s="603"/>
      <c r="AJ138" s="603"/>
      <c r="AK138" s="603"/>
      <c r="AL138" s="603"/>
      <c r="AM138" s="603"/>
      <c r="AN138" s="603"/>
      <c r="AO138" s="603"/>
      <c r="AP138" s="604"/>
      <c r="AQ138" s="752"/>
      <c r="AR138" s="752"/>
      <c r="AS138" s="752"/>
      <c r="AT138" s="752"/>
      <c r="AU138" s="752"/>
      <c r="AV138" s="752"/>
      <c r="AW138" s="752"/>
      <c r="AX138" s="752"/>
      <c r="AY138" s="752"/>
      <c r="AZ138" s="752"/>
      <c r="BA138" s="621"/>
      <c r="BB138" s="621"/>
      <c r="BC138" s="621"/>
      <c r="BD138" s="621"/>
      <c r="BE138" s="621"/>
      <c r="BF138" s="621"/>
      <c r="BG138" s="621"/>
      <c r="BH138" s="622"/>
      <c r="BI138" s="623"/>
      <c r="BJ138" s="94"/>
      <c r="BK138" s="94"/>
      <c r="BL138" s="94"/>
      <c r="BM138" s="718"/>
      <c r="BN138" s="718"/>
      <c r="BO138" s="718"/>
      <c r="BP138" s="718"/>
      <c r="BQ138" s="718"/>
      <c r="BR138" s="718"/>
      <c r="BS138" s="718"/>
      <c r="BT138" s="718"/>
      <c r="BU138" s="505"/>
      <c r="BV138" s="208"/>
      <c r="BW138" s="208"/>
      <c r="BX138" s="208"/>
      <c r="BY138" s="208"/>
      <c r="BZ138" s="208"/>
      <c r="CC138" s="215"/>
      <c r="DS138" s="208"/>
    </row>
    <row r="139" spans="1:123" s="28" customFormat="1">
      <c r="A139" s="57"/>
      <c r="B139" s="243" t="s">
        <v>522</v>
      </c>
      <c r="C139" s="91"/>
      <c r="D139" s="91"/>
      <c r="E139" s="91"/>
      <c r="F139" s="91"/>
      <c r="H139" s="617"/>
      <c r="I139" s="617"/>
      <c r="J139" s="617"/>
      <c r="K139" s="618"/>
      <c r="L139" s="617"/>
      <c r="M139" s="617"/>
      <c r="N139" s="617"/>
      <c r="O139" s="617"/>
      <c r="P139" s="619"/>
      <c r="Q139" s="619"/>
      <c r="R139" s="619"/>
      <c r="S139" s="619"/>
      <c r="T139" s="619"/>
      <c r="U139" s="620"/>
      <c r="V139" s="620"/>
      <c r="W139" s="620"/>
      <c r="X139" s="620"/>
      <c r="Y139" s="620"/>
      <c r="Z139" s="620"/>
      <c r="AA139" s="620"/>
      <c r="AB139" s="620"/>
      <c r="AC139" s="620"/>
      <c r="AD139" s="620"/>
      <c r="AE139" s="620"/>
      <c r="AF139" s="603">
        <f t="shared" ref="AF139:AZ139" si="204">AF126/AF124</f>
        <v>0.39022771367303172</v>
      </c>
      <c r="AG139" s="603">
        <f t="shared" si="204"/>
        <v>0.38573013203563883</v>
      </c>
      <c r="AH139" s="603">
        <f t="shared" si="204"/>
        <v>0.36517784635374373</v>
      </c>
      <c r="AI139" s="603">
        <f t="shared" si="204"/>
        <v>0.37031700288184438</v>
      </c>
      <c r="AJ139" s="603">
        <f t="shared" si="204"/>
        <v>0.38552364215497842</v>
      </c>
      <c r="AK139" s="603">
        <f t="shared" si="204"/>
        <v>0.38441475488369614</v>
      </c>
      <c r="AL139" s="603">
        <f t="shared" si="204"/>
        <v>0.41509123013537391</v>
      </c>
      <c r="AM139" s="603">
        <f t="shared" si="204"/>
        <v>0.39724819601382855</v>
      </c>
      <c r="AN139" s="603">
        <f t="shared" si="204"/>
        <v>0.43987244741522041</v>
      </c>
      <c r="AO139" s="603">
        <f t="shared" si="204"/>
        <v>0.43258964143426293</v>
      </c>
      <c r="AP139" s="604">
        <f t="shared" si="204"/>
        <v>0.48041489151341926</v>
      </c>
      <c r="AQ139" s="603">
        <f t="shared" si="204"/>
        <v>0.43774791742122415</v>
      </c>
      <c r="AR139" s="603">
        <f t="shared" si="204"/>
        <v>0.4851383924996609</v>
      </c>
      <c r="AS139" s="603">
        <f t="shared" si="204"/>
        <v>0.44305218235121258</v>
      </c>
      <c r="AT139" s="603">
        <f t="shared" si="204"/>
        <v>0.4851383924996609</v>
      </c>
      <c r="AU139" s="603">
        <f t="shared" si="204"/>
        <v>0.44305218235121258</v>
      </c>
      <c r="AV139" s="603">
        <f t="shared" si="204"/>
        <v>0.4851383924996609</v>
      </c>
      <c r="AW139" s="603">
        <f t="shared" si="204"/>
        <v>0.44305218235121258</v>
      </c>
      <c r="AX139" s="603">
        <f t="shared" si="204"/>
        <v>0.48513839249966095</v>
      </c>
      <c r="AY139" s="603">
        <f t="shared" si="204"/>
        <v>0.44305218235121246</v>
      </c>
      <c r="AZ139" s="603">
        <f t="shared" si="204"/>
        <v>0.4851383924996609</v>
      </c>
      <c r="BA139" s="621"/>
      <c r="BB139" s="621"/>
      <c r="BC139" s="621"/>
      <c r="BD139" s="621"/>
      <c r="BE139" s="621"/>
      <c r="BF139" s="621"/>
      <c r="BG139" s="621"/>
      <c r="BH139" s="622"/>
      <c r="BI139" s="623"/>
      <c r="BJ139" s="94"/>
      <c r="BK139" s="94"/>
      <c r="BL139" s="94"/>
      <c r="BM139" s="718"/>
      <c r="BN139" s="718"/>
      <c r="BO139" s="718"/>
      <c r="BP139" s="603">
        <f t="shared" ref="BP139:BZ139" si="205">BP126/BP124</f>
        <v>0.39022771367303172</v>
      </c>
      <c r="BQ139" s="603">
        <f t="shared" si="205"/>
        <v>0.37495743376694135</v>
      </c>
      <c r="BR139" s="603">
        <f t="shared" si="205"/>
        <v>0.37825899899612797</v>
      </c>
      <c r="BS139" s="603">
        <f t="shared" si="205"/>
        <v>0.40069207610338675</v>
      </c>
      <c r="BT139" s="603">
        <f t="shared" si="205"/>
        <v>0.41990871549663111</v>
      </c>
      <c r="BU139" s="604">
        <f t="shared" si="205"/>
        <v>0.45772897787940919</v>
      </c>
      <c r="BV139" s="603">
        <f t="shared" si="205"/>
        <v>0.46265871444414192</v>
      </c>
      <c r="BW139" s="603">
        <f t="shared" si="205"/>
        <v>0.46507530111957351</v>
      </c>
      <c r="BX139" s="603">
        <f t="shared" si="205"/>
        <v>0.46507530111957357</v>
      </c>
      <c r="BY139" s="603">
        <f t="shared" si="205"/>
        <v>0.46507530111957363</v>
      </c>
      <c r="BZ139" s="603">
        <f t="shared" si="205"/>
        <v>0.46507530111957357</v>
      </c>
      <c r="CB139" s="23" t="s">
        <v>609</v>
      </c>
      <c r="CC139" s="215"/>
      <c r="DS139" s="603" t="e">
        <f t="shared" ref="DS139" si="206">DS126/DS124</f>
        <v>#DIV/0!</v>
      </c>
    </row>
    <row r="140" spans="1:123" s="28" customFormat="1">
      <c r="A140" s="57"/>
      <c r="B140" s="243" t="s">
        <v>523</v>
      </c>
      <c r="C140" s="91"/>
      <c r="D140" s="91"/>
      <c r="E140" s="91"/>
      <c r="F140" s="91"/>
      <c r="H140" s="617"/>
      <c r="I140" s="617"/>
      <c r="J140" s="617"/>
      <c r="K140" s="618"/>
      <c r="L140" s="617"/>
      <c r="M140" s="617"/>
      <c r="N140" s="617"/>
      <c r="O140" s="617"/>
      <c r="P140" s="619"/>
      <c r="Q140" s="619"/>
      <c r="R140" s="619"/>
      <c r="S140" s="619"/>
      <c r="T140" s="619"/>
      <c r="U140" s="620"/>
      <c r="V140" s="620"/>
      <c r="W140" s="620"/>
      <c r="X140" s="620"/>
      <c r="Y140" s="620"/>
      <c r="Z140" s="620"/>
      <c r="AA140" s="620"/>
      <c r="AB140" s="620"/>
      <c r="AC140" s="620"/>
      <c r="AD140" s="620"/>
      <c r="AE140" s="620"/>
      <c r="AF140" s="603">
        <f t="shared" ref="AF140:AZ140" si="207">AF128/AF124</f>
        <v>0.39022771367303177</v>
      </c>
      <c r="AG140" s="603">
        <f t="shared" si="207"/>
        <v>0.38573013203563888</v>
      </c>
      <c r="AH140" s="603">
        <f t="shared" si="207"/>
        <v>0.36517784635374367</v>
      </c>
      <c r="AI140" s="603">
        <f t="shared" si="207"/>
        <v>0.36395292987512012</v>
      </c>
      <c r="AJ140" s="603">
        <f t="shared" si="207"/>
        <v>0.37959250919874782</v>
      </c>
      <c r="AK140" s="603">
        <f t="shared" si="207"/>
        <v>0.37126736573162294</v>
      </c>
      <c r="AL140" s="603">
        <f t="shared" si="207"/>
        <v>0.39404355503237193</v>
      </c>
      <c r="AM140" s="603">
        <f t="shared" si="207"/>
        <v>0.37949836423118871</v>
      </c>
      <c r="AN140" s="603">
        <f t="shared" si="207"/>
        <v>0.42390793319842196</v>
      </c>
      <c r="AO140" s="603">
        <f t="shared" si="207"/>
        <v>0.41880478087649403</v>
      </c>
      <c r="AP140" s="604">
        <f t="shared" si="207"/>
        <v>0.46748997824875521</v>
      </c>
      <c r="AQ140" s="603">
        <f t="shared" si="207"/>
        <v>0.42472727272727284</v>
      </c>
      <c r="AR140" s="603">
        <f t="shared" si="207"/>
        <v>0.47338847134996631</v>
      </c>
      <c r="AS140" s="603">
        <f t="shared" si="207"/>
        <v>0.43076855528144714</v>
      </c>
      <c r="AT140" s="603">
        <f t="shared" si="207"/>
        <v>0.47394799140471366</v>
      </c>
      <c r="AU140" s="603">
        <f t="shared" si="207"/>
        <v>0.43135348990381694</v>
      </c>
      <c r="AV140" s="603">
        <f t="shared" si="207"/>
        <v>0.47448086764733022</v>
      </c>
      <c r="AW140" s="603">
        <f t="shared" si="207"/>
        <v>0.43191057049655002</v>
      </c>
      <c r="AX140" s="603">
        <f t="shared" si="207"/>
        <v>0.47498836883077461</v>
      </c>
      <c r="AY140" s="603">
        <f t="shared" si="207"/>
        <v>0.43244112344201008</v>
      </c>
      <c r="AZ140" s="603">
        <f t="shared" si="207"/>
        <v>0.4754717032911977</v>
      </c>
      <c r="BA140" s="621"/>
      <c r="BB140" s="621"/>
      <c r="BC140" s="621"/>
      <c r="BD140" s="621"/>
      <c r="BE140" s="621"/>
      <c r="BF140" s="621"/>
      <c r="BG140" s="621"/>
      <c r="BH140" s="622"/>
      <c r="BI140" s="623"/>
      <c r="BJ140" s="94"/>
      <c r="BK140" s="94"/>
      <c r="BL140" s="94"/>
      <c r="BM140" s="718"/>
      <c r="BN140" s="718"/>
      <c r="BO140" s="718"/>
      <c r="BP140" s="603">
        <f t="shared" ref="BP140:BZ140" si="208">BP128/BP124</f>
        <v>0.39022771367303177</v>
      </c>
      <c r="BQ140" s="603">
        <f t="shared" si="208"/>
        <v>0.37495743376694135</v>
      </c>
      <c r="BR140" s="603">
        <f t="shared" si="208"/>
        <v>0.37212103829054927</v>
      </c>
      <c r="BS140" s="603">
        <f t="shared" si="208"/>
        <v>0.38335269647341003</v>
      </c>
      <c r="BT140" s="603">
        <f t="shared" si="208"/>
        <v>0.40310801999565316</v>
      </c>
      <c r="BU140" s="604">
        <f t="shared" si="208"/>
        <v>0.44439614850371828</v>
      </c>
      <c r="BV140" s="603">
        <f t="shared" si="208"/>
        <v>0.45030602541492765</v>
      </c>
      <c r="BW140" s="603">
        <f t="shared" si="208"/>
        <v>0.45336374374672678</v>
      </c>
      <c r="BX140" s="603">
        <f t="shared" si="208"/>
        <v>0.45392143695495762</v>
      </c>
      <c r="BY140" s="603">
        <f t="shared" si="208"/>
        <v>0.45445257334374889</v>
      </c>
      <c r="BZ140" s="603">
        <f t="shared" si="208"/>
        <v>0.45495841752355004</v>
      </c>
      <c r="CB140" s="23" t="s">
        <v>609</v>
      </c>
      <c r="CC140" s="215"/>
      <c r="DS140" s="603" t="e">
        <f t="shared" ref="DS140" si="209">DS128/DS124</f>
        <v>#DIV/0!</v>
      </c>
    </row>
    <row r="141" spans="1:123" s="28" customFormat="1">
      <c r="A141" s="57"/>
      <c r="B141" s="243" t="s">
        <v>562</v>
      </c>
      <c r="C141" s="91"/>
      <c r="D141" s="91"/>
      <c r="E141" s="91"/>
      <c r="F141" s="91"/>
      <c r="H141" s="617"/>
      <c r="I141" s="617"/>
      <c r="J141" s="617"/>
      <c r="K141" s="618"/>
      <c r="L141" s="617"/>
      <c r="M141" s="617"/>
      <c r="N141" s="617"/>
      <c r="O141" s="617"/>
      <c r="P141" s="619"/>
      <c r="Q141" s="619"/>
      <c r="R141" s="619"/>
      <c r="S141" s="619"/>
      <c r="T141" s="619"/>
      <c r="U141" s="620"/>
      <c r="V141" s="620"/>
      <c r="W141" s="620"/>
      <c r="X141" s="620"/>
      <c r="Y141" s="620"/>
      <c r="Z141" s="620"/>
      <c r="AA141" s="620"/>
      <c r="AB141" s="620"/>
      <c r="AC141" s="620"/>
      <c r="AD141" s="620"/>
      <c r="AE141" s="620"/>
      <c r="AF141" s="603">
        <f t="shared" ref="AF141:AZ141" si="210">AF130/AF124</f>
        <v>0.15608087409374044</v>
      </c>
      <c r="AG141" s="603">
        <f t="shared" si="210"/>
        <v>0.15504347514938993</v>
      </c>
      <c r="AH141" s="603">
        <f t="shared" si="210"/>
        <v>0.14724703589410426</v>
      </c>
      <c r="AI141" s="603">
        <f t="shared" si="210"/>
        <v>0.14772454370797311</v>
      </c>
      <c r="AJ141" s="603">
        <f t="shared" si="210"/>
        <v>0.15311109890713379</v>
      </c>
      <c r="AK141" s="603">
        <f t="shared" si="210"/>
        <v>0.1509288337680311</v>
      </c>
      <c r="AL141" s="603">
        <f t="shared" si="210"/>
        <v>0.16030606238964093</v>
      </c>
      <c r="AM141" s="603">
        <f t="shared" si="210"/>
        <v>0.15434232812826285</v>
      </c>
      <c r="AN141" s="603">
        <f t="shared" si="210"/>
        <v>0.17242084176529504</v>
      </c>
      <c r="AO141" s="603">
        <f t="shared" si="210"/>
        <v>0.17033864541832669</v>
      </c>
      <c r="AP141" s="604">
        <f t="shared" si="210"/>
        <v>0.19015261823868851</v>
      </c>
      <c r="AQ141" s="603">
        <f t="shared" si="210"/>
        <v>0.17275878992959673</v>
      </c>
      <c r="AR141" s="603">
        <f t="shared" si="210"/>
        <v>0.19255184380296642</v>
      </c>
      <c r="AS141" s="603">
        <f t="shared" si="210"/>
        <v>0.17521609543056021</v>
      </c>
      <c r="AT141" s="603">
        <f t="shared" si="210"/>
        <v>0.1927794298653796</v>
      </c>
      <c r="AU141" s="603">
        <f t="shared" si="210"/>
        <v>0.17545401892650067</v>
      </c>
      <c r="AV141" s="603">
        <f t="shared" si="210"/>
        <v>0.19299617849624937</v>
      </c>
      <c r="AW141" s="603">
        <f t="shared" si="210"/>
        <v>0.17568061273215824</v>
      </c>
      <c r="AX141" s="603">
        <f t="shared" si="210"/>
        <v>0.19320260576374432</v>
      </c>
      <c r="AY141" s="603">
        <f t="shared" si="210"/>
        <v>0.175896416356594</v>
      </c>
      <c r="AZ141" s="603">
        <f t="shared" si="210"/>
        <v>0.19339920316135856</v>
      </c>
      <c r="BA141" s="621"/>
      <c r="BB141" s="621"/>
      <c r="BC141" s="621"/>
      <c r="BD141" s="621"/>
      <c r="BE141" s="621"/>
      <c r="BF141" s="621"/>
      <c r="BG141" s="621"/>
      <c r="BH141" s="622"/>
      <c r="BI141" s="623"/>
      <c r="BJ141" s="94"/>
      <c r="BK141" s="94"/>
      <c r="BL141" s="94"/>
      <c r="BM141" s="718"/>
      <c r="BN141" s="718"/>
      <c r="BO141" s="718"/>
      <c r="BP141" s="603">
        <f t="shared" ref="BP141:BZ141" si="211">BP130/BP124</f>
        <v>0.15608087409374044</v>
      </c>
      <c r="BQ141" s="603">
        <f t="shared" si="211"/>
        <v>0.15095688891915821</v>
      </c>
      <c r="BR141" s="603">
        <f t="shared" si="211"/>
        <v>0.15053778861322242</v>
      </c>
      <c r="BS141" s="603">
        <f t="shared" si="211"/>
        <v>0.15590450848855075</v>
      </c>
      <c r="BT141" s="603">
        <f t="shared" si="211"/>
        <v>0.16395348837209303</v>
      </c>
      <c r="BU141" s="604">
        <f t="shared" si="211"/>
        <v>0.18075385763826551</v>
      </c>
      <c r="BV141" s="603">
        <f t="shared" si="211"/>
        <v>0.18316300610778685</v>
      </c>
      <c r="BW141" s="603">
        <f t="shared" si="211"/>
        <v>0.18440674003510257</v>
      </c>
      <c r="BX141" s="603">
        <f t="shared" si="211"/>
        <v>0.18463358302351546</v>
      </c>
      <c r="BY141" s="603">
        <f t="shared" si="211"/>
        <v>0.18484962396486104</v>
      </c>
      <c r="BZ141" s="603">
        <f t="shared" si="211"/>
        <v>0.18505537724233304</v>
      </c>
      <c r="CB141" s="23" t="s">
        <v>609</v>
      </c>
      <c r="CC141" s="215"/>
      <c r="DS141" s="603" t="e">
        <f t="shared" ref="DS141" si="212">DS130/DS124</f>
        <v>#DIV/0!</v>
      </c>
    </row>
    <row r="142" spans="1:123">
      <c r="A142" s="57"/>
      <c r="B142" s="243"/>
      <c r="C142" s="58"/>
      <c r="D142" s="58"/>
      <c r="E142" s="58"/>
      <c r="F142" s="58"/>
      <c r="G142" s="23"/>
      <c r="H142" s="606"/>
      <c r="I142" s="606"/>
      <c r="J142" s="606"/>
      <c r="K142" s="607"/>
      <c r="L142" s="606"/>
      <c r="M142" s="606"/>
      <c r="N142" s="606"/>
      <c r="O142" s="606"/>
      <c r="P142" s="624"/>
      <c r="Q142" s="624"/>
      <c r="R142" s="624"/>
      <c r="S142" s="624"/>
      <c r="T142" s="624"/>
      <c r="U142" s="625"/>
      <c r="V142" s="625"/>
      <c r="W142" s="625"/>
      <c r="X142" s="625"/>
      <c r="Y142" s="625"/>
      <c r="Z142" s="625"/>
      <c r="AA142" s="625"/>
      <c r="AB142" s="625"/>
      <c r="AC142" s="625"/>
      <c r="AD142" s="625"/>
      <c r="AE142" s="625"/>
      <c r="AF142" s="603"/>
      <c r="AG142" s="603"/>
      <c r="AH142" s="603"/>
      <c r="AI142" s="603"/>
      <c r="AJ142" s="603"/>
      <c r="AK142" s="752"/>
      <c r="AL142" s="752"/>
      <c r="AM142" s="752"/>
      <c r="AN142" s="752"/>
      <c r="AO142" s="752"/>
      <c r="AP142" s="753"/>
      <c r="AQ142" s="752"/>
      <c r="AR142" s="752"/>
      <c r="AS142" s="752"/>
      <c r="AT142" s="752"/>
      <c r="AU142" s="752"/>
      <c r="AV142" s="752"/>
      <c r="AW142" s="752"/>
      <c r="AX142" s="752"/>
      <c r="AY142" s="752"/>
      <c r="AZ142" s="752"/>
      <c r="BA142" s="558"/>
      <c r="BB142" s="558"/>
      <c r="BC142" s="558"/>
      <c r="BD142" s="558"/>
      <c r="BE142" s="558"/>
      <c r="BF142" s="558"/>
      <c r="BG142" s="558"/>
      <c r="BH142" s="431"/>
      <c r="BI142" s="626"/>
      <c r="BJ142" s="83"/>
      <c r="BK142" s="83"/>
      <c r="BL142" s="83"/>
      <c r="BM142" s="83"/>
      <c r="BN142" s="83"/>
      <c r="BO142" s="740"/>
      <c r="BP142" s="740"/>
      <c r="BQ142" s="740"/>
      <c r="BR142" s="740"/>
      <c r="BS142" s="740"/>
      <c r="BT142" s="197"/>
      <c r="BU142" s="444"/>
      <c r="BV142" s="197"/>
      <c r="BW142" s="197"/>
      <c r="BX142" s="197"/>
      <c r="BY142" s="197"/>
      <c r="BZ142" s="197"/>
      <c r="CC142" s="84"/>
      <c r="DS142" s="197"/>
    </row>
    <row r="143" spans="1:123">
      <c r="A143" s="57"/>
      <c r="B143" s="63" t="s">
        <v>277</v>
      </c>
      <c r="C143" s="64"/>
      <c r="D143" s="64"/>
      <c r="E143" s="64"/>
      <c r="F143" s="64"/>
      <c r="G143" s="65"/>
      <c r="H143" s="648"/>
      <c r="I143" s="648"/>
      <c r="J143" s="648"/>
      <c r="K143" s="649"/>
      <c r="L143" s="648"/>
      <c r="M143" s="648"/>
      <c r="N143" s="648"/>
      <c r="O143" s="648"/>
      <c r="P143" s="650"/>
      <c r="Q143" s="650"/>
      <c r="R143" s="650"/>
      <c r="S143" s="650"/>
      <c r="T143" s="650"/>
      <c r="U143" s="651"/>
      <c r="V143" s="651"/>
      <c r="W143" s="651"/>
      <c r="X143" s="651"/>
      <c r="Y143" s="651"/>
      <c r="Z143" s="651"/>
      <c r="AA143" s="651"/>
      <c r="AB143" s="651"/>
      <c r="AC143" s="651"/>
      <c r="AD143" s="651"/>
      <c r="AE143" s="651"/>
      <c r="AF143" s="651"/>
      <c r="AG143" s="694"/>
      <c r="AH143" s="694"/>
      <c r="AI143" s="694"/>
      <c r="AJ143" s="694"/>
      <c r="AK143" s="651"/>
      <c r="AL143" s="651"/>
      <c r="AM143" s="651"/>
      <c r="AN143" s="651"/>
      <c r="AO143" s="651"/>
      <c r="AP143" s="652"/>
      <c r="AQ143" s="651"/>
      <c r="AR143" s="651"/>
      <c r="AS143" s="651"/>
      <c r="AT143" s="651"/>
      <c r="AU143" s="651"/>
      <c r="AV143" s="651"/>
      <c r="AW143" s="651"/>
      <c r="AX143" s="651"/>
      <c r="AY143" s="651"/>
      <c r="AZ143" s="651"/>
      <c r="BA143" s="558"/>
      <c r="BB143" s="653"/>
      <c r="BC143" s="653"/>
      <c r="BD143" s="653"/>
      <c r="BE143" s="653"/>
      <c r="BF143" s="653"/>
      <c r="BG143" s="653"/>
      <c r="BH143" s="654"/>
      <c r="BI143" s="655"/>
      <c r="BJ143" s="66"/>
      <c r="BK143" s="66"/>
      <c r="BL143" s="66"/>
      <c r="BM143" s="66"/>
      <c r="BN143" s="66"/>
      <c r="BO143" s="66"/>
      <c r="BP143" s="66"/>
      <c r="BQ143" s="66"/>
      <c r="BR143" s="66"/>
      <c r="BS143" s="66"/>
      <c r="BT143" s="65"/>
      <c r="BU143" s="500"/>
      <c r="BV143" s="65"/>
      <c r="BW143" s="65"/>
      <c r="BX143" s="65"/>
      <c r="BY143" s="65"/>
      <c r="BZ143" s="65"/>
      <c r="CC143" s="84"/>
      <c r="DS143" s="65"/>
    </row>
    <row r="144" spans="1:123">
      <c r="A144" s="57"/>
      <c r="B144" s="60"/>
      <c r="C144" s="58"/>
      <c r="D144" s="58"/>
      <c r="E144" s="58"/>
      <c r="F144" s="58"/>
      <c r="G144" s="23"/>
      <c r="H144" s="606"/>
      <c r="I144" s="606"/>
      <c r="J144" s="606"/>
      <c r="K144" s="607"/>
      <c r="L144" s="606"/>
      <c r="M144" s="606"/>
      <c r="N144" s="606"/>
      <c r="O144" s="606"/>
      <c r="P144" s="624"/>
      <c r="Q144" s="624"/>
      <c r="R144" s="624"/>
      <c r="S144" s="624"/>
      <c r="T144" s="624"/>
      <c r="U144" s="625"/>
      <c r="V144" s="625"/>
      <c r="W144" s="625"/>
      <c r="X144" s="625"/>
      <c r="Y144" s="625"/>
      <c r="Z144" s="625"/>
      <c r="AA144" s="625"/>
      <c r="AB144" s="625"/>
      <c r="AC144" s="625"/>
      <c r="AD144" s="625"/>
      <c r="AE144" s="625"/>
      <c r="AF144" s="625"/>
      <c r="AG144" s="658"/>
      <c r="AH144" s="658"/>
      <c r="AI144" s="658"/>
      <c r="AJ144" s="658"/>
      <c r="AK144" s="625"/>
      <c r="AL144" s="625"/>
      <c r="AM144" s="625"/>
      <c r="AN144" s="625"/>
      <c r="AO144" s="625"/>
      <c r="AP144" s="628"/>
      <c r="AQ144" s="625"/>
      <c r="AR144" s="625"/>
      <c r="AS144" s="625"/>
      <c r="AT144" s="625"/>
      <c r="AU144" s="625"/>
      <c r="AV144" s="625"/>
      <c r="AW144" s="625"/>
      <c r="AX144" s="625"/>
      <c r="AY144" s="625"/>
      <c r="AZ144" s="625"/>
      <c r="BA144" s="558"/>
      <c r="BB144" s="558"/>
      <c r="BC144" s="558"/>
      <c r="BD144" s="558"/>
      <c r="BE144" s="558"/>
      <c r="BF144" s="558"/>
      <c r="BG144" s="558"/>
      <c r="BH144" s="431"/>
      <c r="BI144" s="626"/>
      <c r="BJ144" s="83"/>
      <c r="BK144" s="83"/>
      <c r="BL144" s="83"/>
      <c r="BM144" s="83"/>
      <c r="BN144" s="83"/>
      <c r="BO144" s="83"/>
      <c r="BP144" s="83"/>
      <c r="BQ144" s="83"/>
      <c r="BR144" s="83"/>
      <c r="BS144" s="83"/>
      <c r="CC144" s="84"/>
    </row>
    <row r="145" spans="1:123">
      <c r="A145" s="57"/>
      <c r="B145" s="61" t="s">
        <v>278</v>
      </c>
      <c r="C145" s="58"/>
      <c r="D145" s="58"/>
      <c r="E145" s="58"/>
      <c r="F145" s="58"/>
      <c r="G145" s="23"/>
      <c r="H145" s="606"/>
      <c r="I145" s="606"/>
      <c r="J145" s="606"/>
      <c r="K145" s="607"/>
      <c r="L145" s="606"/>
      <c r="M145" s="606"/>
      <c r="N145" s="606"/>
      <c r="O145" s="606"/>
      <c r="P145" s="624"/>
      <c r="Q145" s="624"/>
      <c r="R145" s="624"/>
      <c r="S145" s="624"/>
      <c r="T145" s="624"/>
      <c r="U145" s="625"/>
      <c r="V145" s="625"/>
      <c r="W145" s="625"/>
      <c r="X145" s="625"/>
      <c r="Y145" s="174">
        <v>17.963000000000001</v>
      </c>
      <c r="Z145" s="701">
        <f>BM145-Y145</f>
        <v>20.448999999999998</v>
      </c>
      <c r="AA145" s="174">
        <v>18.18</v>
      </c>
      <c r="AB145" s="701">
        <f>BN145-AA145</f>
        <v>18.420000000000002</v>
      </c>
      <c r="AC145" s="174">
        <v>21.6</v>
      </c>
      <c r="AD145" s="701">
        <f>BN145-AC145</f>
        <v>15</v>
      </c>
      <c r="AE145" s="174">
        <v>24.8</v>
      </c>
      <c r="AF145" s="701">
        <f>BP145-AE145</f>
        <v>28.599999999999998</v>
      </c>
      <c r="AG145" s="174">
        <v>25.1</v>
      </c>
      <c r="AH145" s="701">
        <f>BQ145-AG145</f>
        <v>28.699999999999996</v>
      </c>
      <c r="AI145" s="174">
        <v>26.1</v>
      </c>
      <c r="AJ145" s="701">
        <f>BR145-AI145</f>
        <v>27.4</v>
      </c>
      <c r="AK145" s="740">
        <v>27.5</v>
      </c>
      <c r="AL145" s="740">
        <f>BS145-AK145</f>
        <v>37</v>
      </c>
      <c r="AM145" s="740">
        <v>37</v>
      </c>
      <c r="AN145" s="740">
        <f>BT145-AM145</f>
        <v>44.2</v>
      </c>
      <c r="AO145" s="740">
        <v>43</v>
      </c>
      <c r="AP145" s="686">
        <f>BU145-AO145</f>
        <v>45.8</v>
      </c>
      <c r="AQ145" s="627">
        <f t="shared" ref="AQ145:AZ145" si="213">AQ160*AO145*(1+AQ158+AQ159)+AQ161*AO145*(1+AQ159+AQ162)</f>
        <v>43.946000000000005</v>
      </c>
      <c r="AR145" s="627">
        <f t="shared" si="213"/>
        <v>47.769400000000005</v>
      </c>
      <c r="AS145" s="627">
        <f t="shared" si="213"/>
        <v>46.187246000000002</v>
      </c>
      <c r="AT145" s="627">
        <f t="shared" si="213"/>
        <v>50.205639400000003</v>
      </c>
      <c r="AU145" s="627">
        <f t="shared" si="213"/>
        <v>48.542795546000001</v>
      </c>
      <c r="AV145" s="627">
        <f t="shared" si="213"/>
        <v>52.766127009400009</v>
      </c>
      <c r="AW145" s="627">
        <f t="shared" si="213"/>
        <v>51.018478118846005</v>
      </c>
      <c r="AX145" s="627">
        <f t="shared" si="213"/>
        <v>55.457199486879411</v>
      </c>
      <c r="AY145" s="627">
        <f t="shared" si="213"/>
        <v>53.620420502907152</v>
      </c>
      <c r="AZ145" s="627">
        <f t="shared" si="213"/>
        <v>58.285516660710265</v>
      </c>
      <c r="BA145" s="176"/>
      <c r="BB145" s="709"/>
      <c r="BC145" s="709"/>
      <c r="BD145" s="709"/>
      <c r="BE145" s="709"/>
      <c r="BF145" s="709"/>
      <c r="BG145" s="709"/>
      <c r="BH145" s="710"/>
      <c r="BI145" s="627"/>
      <c r="BJ145" s="627"/>
      <c r="BK145" s="627"/>
      <c r="BL145" s="627"/>
      <c r="BM145" s="234">
        <v>38.411999999999999</v>
      </c>
      <c r="BN145" s="174">
        <v>36.6</v>
      </c>
      <c r="BO145" s="174">
        <v>45.8</v>
      </c>
      <c r="BP145" s="174">
        <v>53.4</v>
      </c>
      <c r="BQ145" s="174">
        <v>53.8</v>
      </c>
      <c r="BR145" s="174">
        <v>53.5</v>
      </c>
      <c r="BS145" s="174">
        <v>64.5</v>
      </c>
      <c r="BT145" s="174">
        <v>81.2</v>
      </c>
      <c r="BU145" s="311">
        <v>88.8</v>
      </c>
      <c r="BV145" s="224">
        <f t="shared" ref="BV145:BV155" si="214">SUM(AQ145:AR145)</f>
        <v>91.715400000000017</v>
      </c>
      <c r="BW145" s="224">
        <f t="shared" ref="BW145:BW155" si="215">SUM(AS145:AT145)</f>
        <v>96.392885400000011</v>
      </c>
      <c r="BX145" s="224">
        <f t="shared" ref="BX145:BX155" si="216">SUM(AU145:AV145)</f>
        <v>101.30892255540002</v>
      </c>
      <c r="BY145" s="224">
        <f t="shared" ref="BY145:BY155" si="217">SUM(AW145:AX145)</f>
        <v>106.47567760572542</v>
      </c>
      <c r="BZ145" s="224">
        <f t="shared" ref="BZ145:BZ155" si="218">SUM(AY145:AZ145)</f>
        <v>111.90593716361741</v>
      </c>
      <c r="CB145" s="172" t="s">
        <v>617</v>
      </c>
      <c r="CC145" s="84"/>
      <c r="DS145" s="224">
        <f t="shared" ref="DS145:DS155" si="219">SUM(CU145:CV145)</f>
        <v>0</v>
      </c>
    </row>
    <row r="146" spans="1:123">
      <c r="A146" s="57"/>
      <c r="B146" s="61" t="s">
        <v>345</v>
      </c>
      <c r="C146" s="58"/>
      <c r="D146" s="58"/>
      <c r="E146" s="58"/>
      <c r="F146" s="58"/>
      <c r="G146" s="23"/>
      <c r="H146" s="606"/>
      <c r="I146" s="606"/>
      <c r="J146" s="606"/>
      <c r="K146" s="607"/>
      <c r="L146" s="606"/>
      <c r="M146" s="606"/>
      <c r="N146" s="606"/>
      <c r="O146" s="606"/>
      <c r="P146" s="624"/>
      <c r="Q146" s="624"/>
      <c r="R146" s="624"/>
      <c r="S146" s="624"/>
      <c r="T146" s="624"/>
      <c r="U146" s="625"/>
      <c r="V146" s="625"/>
      <c r="W146" s="625"/>
      <c r="X146" s="625"/>
      <c r="Y146" s="174"/>
      <c r="Z146" s="701"/>
      <c r="AA146" s="174"/>
      <c r="AB146" s="701"/>
      <c r="AC146" s="174"/>
      <c r="AD146" s="701"/>
      <c r="AE146" s="174">
        <v>2</v>
      </c>
      <c r="AF146" s="701">
        <f>BP146-AE146</f>
        <v>1.7999999999999998</v>
      </c>
      <c r="AG146" s="174">
        <v>1.9</v>
      </c>
      <c r="AH146" s="701">
        <f>BQ146-AG146</f>
        <v>1.7000000000000002</v>
      </c>
      <c r="AI146" s="174">
        <v>1.9</v>
      </c>
      <c r="AJ146" s="701">
        <f>BR146-AI146</f>
        <v>1.9</v>
      </c>
      <c r="AK146" s="740">
        <v>1.7</v>
      </c>
      <c r="AL146" s="740">
        <f>BS146-AK146</f>
        <v>2.0999999999999996</v>
      </c>
      <c r="AM146" s="740">
        <v>2.1</v>
      </c>
      <c r="AN146" s="740">
        <f t="shared" ref="AN146:AN155" si="220">BT146-AM146</f>
        <v>1.7999999999999998</v>
      </c>
      <c r="AO146" s="740">
        <v>2.6</v>
      </c>
      <c r="AP146" s="686">
        <f>BU146-AO146</f>
        <v>2.1999999999999997</v>
      </c>
      <c r="AQ146" s="627">
        <f t="shared" ref="AQ146:AZ146" si="221">AO146*(1+AQ163)</f>
        <v>2.6</v>
      </c>
      <c r="AR146" s="627">
        <f t="shared" si="221"/>
        <v>2.1999999999999997</v>
      </c>
      <c r="AS146" s="627">
        <f t="shared" si="221"/>
        <v>2.6</v>
      </c>
      <c r="AT146" s="627">
        <f t="shared" si="221"/>
        <v>2.1999999999999997</v>
      </c>
      <c r="AU146" s="627">
        <f t="shared" si="221"/>
        <v>2.6</v>
      </c>
      <c r="AV146" s="627">
        <f t="shared" si="221"/>
        <v>2.1999999999999997</v>
      </c>
      <c r="AW146" s="627">
        <f t="shared" si="221"/>
        <v>2.6</v>
      </c>
      <c r="AX146" s="627">
        <f t="shared" si="221"/>
        <v>2.1999999999999997</v>
      </c>
      <c r="AY146" s="627">
        <f t="shared" si="221"/>
        <v>2.6</v>
      </c>
      <c r="AZ146" s="627">
        <f t="shared" si="221"/>
        <v>2.1999999999999997</v>
      </c>
      <c r="BA146" s="176"/>
      <c r="BB146" s="709"/>
      <c r="BC146" s="709"/>
      <c r="BD146" s="709"/>
      <c r="BE146" s="709"/>
      <c r="BF146" s="709"/>
      <c r="BG146" s="709"/>
      <c r="BH146" s="710"/>
      <c r="BI146" s="627"/>
      <c r="BJ146" s="627"/>
      <c r="BK146" s="627"/>
      <c r="BL146" s="627"/>
      <c r="BM146" s="174"/>
      <c r="BN146" s="174"/>
      <c r="BO146" s="174"/>
      <c r="BP146" s="174">
        <v>3.8</v>
      </c>
      <c r="BQ146" s="174">
        <v>3.6</v>
      </c>
      <c r="BR146" s="174">
        <v>3.8</v>
      </c>
      <c r="BS146" s="174">
        <v>3.8</v>
      </c>
      <c r="BT146" s="174">
        <v>3.9</v>
      </c>
      <c r="BU146" s="311">
        <v>4.8</v>
      </c>
      <c r="BV146" s="224">
        <f t="shared" si="214"/>
        <v>4.8</v>
      </c>
      <c r="BW146" s="224">
        <f t="shared" si="215"/>
        <v>4.8</v>
      </c>
      <c r="BX146" s="224">
        <f t="shared" si="216"/>
        <v>4.8</v>
      </c>
      <c r="BY146" s="224">
        <f t="shared" si="217"/>
        <v>4.8</v>
      </c>
      <c r="BZ146" s="224">
        <f t="shared" si="218"/>
        <v>4.8</v>
      </c>
      <c r="CB146" s="172" t="s">
        <v>617</v>
      </c>
      <c r="CC146" s="84"/>
      <c r="DS146" s="224">
        <f t="shared" si="219"/>
        <v>0</v>
      </c>
    </row>
    <row r="147" spans="1:123">
      <c r="A147" s="57"/>
      <c r="B147" s="61" t="s">
        <v>346</v>
      </c>
      <c r="C147" s="58"/>
      <c r="D147" s="58"/>
      <c r="E147" s="58"/>
      <c r="F147" s="58"/>
      <c r="G147" s="23"/>
      <c r="H147" s="606"/>
      <c r="I147" s="606"/>
      <c r="J147" s="606"/>
      <c r="K147" s="607"/>
      <c r="L147" s="606"/>
      <c r="M147" s="606"/>
      <c r="N147" s="606"/>
      <c r="O147" s="606"/>
      <c r="P147" s="624"/>
      <c r="Q147" s="624"/>
      <c r="R147" s="624"/>
      <c r="S147" s="624"/>
      <c r="T147" s="624"/>
      <c r="U147" s="625"/>
      <c r="V147" s="625"/>
      <c r="W147" s="625"/>
      <c r="X147" s="625"/>
      <c r="Y147" s="174"/>
      <c r="Z147" s="701"/>
      <c r="AA147" s="174"/>
      <c r="AB147" s="701"/>
      <c r="AC147" s="174"/>
      <c r="AD147" s="701"/>
      <c r="AE147" s="174">
        <v>0.3</v>
      </c>
      <c r="AF147" s="701">
        <f>BP147-AE147</f>
        <v>0.2</v>
      </c>
      <c r="AG147" s="174">
        <v>0.1</v>
      </c>
      <c r="AH147" s="701">
        <f>BQ147-AG147</f>
        <v>0.1</v>
      </c>
      <c r="AI147" s="174">
        <v>0.1</v>
      </c>
      <c r="AJ147" s="701">
        <f>BR147-AI147</f>
        <v>0.1</v>
      </c>
      <c r="AK147" s="656">
        <v>0.5</v>
      </c>
      <c r="AL147" s="656">
        <f>BS147-AK147</f>
        <v>1.1000000000000001</v>
      </c>
      <c r="AM147" s="656">
        <v>1.6</v>
      </c>
      <c r="AN147" s="656">
        <f t="shared" si="220"/>
        <v>1.6</v>
      </c>
      <c r="AO147" s="656">
        <v>1.8</v>
      </c>
      <c r="AP147" s="657">
        <f>BU147-AO147</f>
        <v>1.2</v>
      </c>
      <c r="AQ147" s="662">
        <f t="shared" ref="AQ147:AZ147" si="222">AQ145/AP145*AP147</f>
        <v>1.1514235807860262</v>
      </c>
      <c r="AR147" s="662">
        <f t="shared" si="222"/>
        <v>1.2516</v>
      </c>
      <c r="AS147" s="662">
        <f t="shared" si="222"/>
        <v>1.2101461834061136</v>
      </c>
      <c r="AT147" s="662">
        <f t="shared" si="222"/>
        <v>1.3154316000000001</v>
      </c>
      <c r="AU147" s="662">
        <f t="shared" si="222"/>
        <v>1.2718636387598254</v>
      </c>
      <c r="AV147" s="662">
        <f t="shared" si="222"/>
        <v>1.3825186116000003</v>
      </c>
      <c r="AW147" s="662">
        <f t="shared" si="222"/>
        <v>1.3367286843365767</v>
      </c>
      <c r="AX147" s="662">
        <f t="shared" si="222"/>
        <v>1.4530270607916003</v>
      </c>
      <c r="AY147" s="662">
        <f t="shared" si="222"/>
        <v>1.4049018472377419</v>
      </c>
      <c r="AZ147" s="662">
        <f t="shared" si="222"/>
        <v>1.5271314408919721</v>
      </c>
      <c r="BA147" s="176"/>
      <c r="BB147" s="709"/>
      <c r="BC147" s="709"/>
      <c r="BD147" s="709"/>
      <c r="BE147" s="709"/>
      <c r="BF147" s="709"/>
      <c r="BG147" s="709"/>
      <c r="BH147" s="710"/>
      <c r="BI147" s="627"/>
      <c r="BJ147" s="627"/>
      <c r="BK147" s="627"/>
      <c r="BL147" s="627"/>
      <c r="BM147" s="174"/>
      <c r="BN147" s="174"/>
      <c r="BO147" s="174"/>
      <c r="BP147" s="174">
        <v>0.5</v>
      </c>
      <c r="BQ147" s="174">
        <v>0.2</v>
      </c>
      <c r="BR147" s="174">
        <v>0.2</v>
      </c>
      <c r="BS147" s="174">
        <v>1.6</v>
      </c>
      <c r="BT147" s="174">
        <v>3.2</v>
      </c>
      <c r="BU147" s="311">
        <v>3</v>
      </c>
      <c r="BV147" s="224">
        <f t="shared" si="214"/>
        <v>2.4030235807860265</v>
      </c>
      <c r="BW147" s="224">
        <f t="shared" si="215"/>
        <v>2.5255777834061135</v>
      </c>
      <c r="BX147" s="224">
        <f t="shared" si="216"/>
        <v>2.6543822503598258</v>
      </c>
      <c r="BY147" s="224">
        <f t="shared" si="217"/>
        <v>2.7897557451281769</v>
      </c>
      <c r="BZ147" s="224">
        <f t="shared" si="218"/>
        <v>2.932033288129714</v>
      </c>
      <c r="CB147" s="172" t="s">
        <v>617</v>
      </c>
      <c r="CC147" s="84"/>
      <c r="DS147" s="224">
        <f t="shared" si="219"/>
        <v>0</v>
      </c>
    </row>
    <row r="148" spans="1:123">
      <c r="A148" s="23"/>
      <c r="B148" s="61" t="s">
        <v>50</v>
      </c>
      <c r="C148" s="58"/>
      <c r="D148" s="58"/>
      <c r="E148" s="58"/>
      <c r="F148" s="58"/>
      <c r="G148" s="23"/>
      <c r="H148" s="558"/>
      <c r="I148" s="558"/>
      <c r="J148" s="558"/>
      <c r="K148" s="431"/>
      <c r="L148" s="558"/>
      <c r="M148" s="558"/>
      <c r="N148" s="558"/>
      <c r="O148" s="558"/>
      <c r="P148" s="626"/>
      <c r="Q148" s="626"/>
      <c r="R148" s="626"/>
      <c r="S148" s="626"/>
      <c r="T148" s="626"/>
      <c r="U148" s="625"/>
      <c r="V148" s="625"/>
      <c r="W148" s="625"/>
      <c r="X148" s="625"/>
      <c r="Y148" s="162"/>
      <c r="Z148" s="162"/>
      <c r="AA148" s="162"/>
      <c r="AB148" s="162">
        <f>BN148-AA148</f>
        <v>5.8339999999999961</v>
      </c>
      <c r="AC148" s="162">
        <v>0.2</v>
      </c>
      <c r="AD148" s="162">
        <f>BO148-AC148</f>
        <v>4.6420000000000057</v>
      </c>
      <c r="AE148" s="162">
        <f t="shared" ref="AE148:AJ148" si="223">AE149-SUM(AE145:AE147)</f>
        <v>0.3279999999999994</v>
      </c>
      <c r="AF148" s="162">
        <f t="shared" si="223"/>
        <v>0.50900000000000034</v>
      </c>
      <c r="AG148" s="162">
        <f t="shared" si="223"/>
        <v>0.18799999999999883</v>
      </c>
      <c r="AH148" s="162">
        <f t="shared" si="223"/>
        <v>0.81400000000000006</v>
      </c>
      <c r="AI148" s="162">
        <f t="shared" si="223"/>
        <v>0.46099999999999852</v>
      </c>
      <c r="AJ148" s="162">
        <f t="shared" si="223"/>
        <v>0.91400000000000148</v>
      </c>
      <c r="AK148" s="658">
        <f t="shared" ref="AK148:AM148" si="224">AK149-SUM(AK145:AK147)</f>
        <v>2.2999999999999687E-2</v>
      </c>
      <c r="AL148" s="658">
        <f t="shared" ref="AL148:AP148" si="225">AL149-SUM(AL145:AL147)</f>
        <v>0.73699999999999477</v>
      </c>
      <c r="AM148" s="658">
        <f t="shared" si="224"/>
        <v>0.11599999999999966</v>
      </c>
      <c r="AN148" s="658">
        <f t="shared" si="225"/>
        <v>0.30599999999999028</v>
      </c>
      <c r="AO148" s="658">
        <f t="shared" si="225"/>
        <v>1.0650000000000048</v>
      </c>
      <c r="AP148" s="657">
        <f t="shared" si="225"/>
        <v>0.20599999999998886</v>
      </c>
      <c r="AQ148" s="663">
        <v>0</v>
      </c>
      <c r="AR148" s="663">
        <v>0</v>
      </c>
      <c r="AS148" s="663">
        <v>0</v>
      </c>
      <c r="AT148" s="663">
        <v>0</v>
      </c>
      <c r="AU148" s="663">
        <v>0</v>
      </c>
      <c r="AV148" s="663">
        <v>0</v>
      </c>
      <c r="AW148" s="663">
        <v>0</v>
      </c>
      <c r="AX148" s="663">
        <v>0</v>
      </c>
      <c r="AY148" s="663">
        <v>0</v>
      </c>
      <c r="AZ148" s="663">
        <v>0</v>
      </c>
      <c r="BA148" s="162"/>
      <c r="BB148" s="709"/>
      <c r="BC148" s="709"/>
      <c r="BD148" s="709"/>
      <c r="BE148" s="709"/>
      <c r="BF148" s="709"/>
      <c r="BG148" s="709"/>
      <c r="BH148" s="710"/>
      <c r="BI148" s="627"/>
      <c r="BJ148" s="627"/>
      <c r="BK148" s="627"/>
      <c r="BL148" s="627"/>
      <c r="BM148" s="162"/>
      <c r="BN148" s="162">
        <f t="shared" ref="BN148:BU148" si="226">BN149-SUM(BN145:BN147)</f>
        <v>5.8339999999999961</v>
      </c>
      <c r="BO148" s="162">
        <f t="shared" si="226"/>
        <v>4.8420000000000059</v>
      </c>
      <c r="BP148" s="162">
        <f t="shared" si="226"/>
        <v>0.8370000000000033</v>
      </c>
      <c r="BQ148" s="162">
        <f t="shared" si="226"/>
        <v>1.0019999999999953</v>
      </c>
      <c r="BR148" s="162">
        <f t="shared" si="226"/>
        <v>1.375</v>
      </c>
      <c r="BS148" s="162">
        <f t="shared" si="226"/>
        <v>0.76000000000000512</v>
      </c>
      <c r="BT148" s="162">
        <f t="shared" si="226"/>
        <v>0.42199999999998283</v>
      </c>
      <c r="BU148" s="458">
        <f t="shared" si="226"/>
        <v>1.2710000000000008</v>
      </c>
      <c r="BV148" s="224">
        <f t="shared" si="214"/>
        <v>0</v>
      </c>
      <c r="BW148" s="224">
        <f t="shared" si="215"/>
        <v>0</v>
      </c>
      <c r="BX148" s="224">
        <f t="shared" si="216"/>
        <v>0</v>
      </c>
      <c r="BY148" s="224">
        <f t="shared" si="217"/>
        <v>0</v>
      </c>
      <c r="BZ148" s="224">
        <f t="shared" si="218"/>
        <v>0</v>
      </c>
      <c r="CB148" s="23" t="s">
        <v>609</v>
      </c>
      <c r="CC148" s="84"/>
      <c r="DS148" s="224">
        <f t="shared" si="219"/>
        <v>0</v>
      </c>
    </row>
    <row r="149" spans="1:123" s="28" customFormat="1">
      <c r="A149" s="57" t="s">
        <v>484</v>
      </c>
      <c r="B149" s="60" t="s">
        <v>279</v>
      </c>
      <c r="C149" s="91"/>
      <c r="D149" s="91"/>
      <c r="E149" s="91"/>
      <c r="F149" s="91"/>
      <c r="H149" s="617"/>
      <c r="I149" s="617"/>
      <c r="J149" s="617"/>
      <c r="K149" s="618"/>
      <c r="L149" s="617"/>
      <c r="M149" s="617"/>
      <c r="N149" s="617"/>
      <c r="O149" s="617"/>
      <c r="P149" s="619"/>
      <c r="Q149" s="619"/>
      <c r="R149" s="619"/>
      <c r="S149" s="619"/>
      <c r="T149" s="619"/>
      <c r="U149" s="620"/>
      <c r="V149" s="620"/>
      <c r="W149" s="620"/>
      <c r="X149" s="620"/>
      <c r="Y149" s="718">
        <v>17.963000000000001</v>
      </c>
      <c r="Z149" s="206">
        <f>BM149-Y149</f>
        <v>20.448999999999998</v>
      </c>
      <c r="AA149" s="718">
        <v>18.18</v>
      </c>
      <c r="AB149" s="206">
        <f>BN149-AA149</f>
        <v>24.253999999999998</v>
      </c>
      <c r="AC149" s="718">
        <v>22.318000000000001</v>
      </c>
      <c r="AD149" s="206">
        <f>BO149-AC149</f>
        <v>28.324000000000002</v>
      </c>
      <c r="AE149" s="718">
        <v>27.428000000000001</v>
      </c>
      <c r="AF149" s="206">
        <f>BP149-AE149</f>
        <v>31.108999999999998</v>
      </c>
      <c r="AG149" s="214">
        <v>27.288</v>
      </c>
      <c r="AH149" s="206">
        <f>BQ149-AG149</f>
        <v>31.313999999999997</v>
      </c>
      <c r="AI149" s="214">
        <v>28.561</v>
      </c>
      <c r="AJ149" s="206">
        <f>BR149-AI149</f>
        <v>30.314</v>
      </c>
      <c r="AK149" s="718">
        <v>29.722999999999999</v>
      </c>
      <c r="AL149" s="718">
        <f>BS149-AK149</f>
        <v>40.936999999999998</v>
      </c>
      <c r="AM149" s="718">
        <v>40.816000000000003</v>
      </c>
      <c r="AN149" s="718">
        <f t="shared" si="220"/>
        <v>47.905999999999992</v>
      </c>
      <c r="AO149" s="718">
        <v>48.465000000000003</v>
      </c>
      <c r="AP149" s="733">
        <f>BU149-AO149</f>
        <v>49.405999999999992</v>
      </c>
      <c r="AQ149" s="720">
        <f t="shared" ref="AQ149:AT149" si="227">SUM(AQ145:AQ148)</f>
        <v>47.69742358078603</v>
      </c>
      <c r="AR149" s="720">
        <f t="shared" si="227"/>
        <v>51.221000000000011</v>
      </c>
      <c r="AS149" s="720">
        <f t="shared" si="227"/>
        <v>49.99739218340612</v>
      </c>
      <c r="AT149" s="720">
        <f t="shared" si="227"/>
        <v>53.721071000000009</v>
      </c>
      <c r="AU149" s="720">
        <f t="shared" ref="AU149:AZ149" si="228">SUM(AU145:AU148)</f>
        <v>52.414659184759827</v>
      </c>
      <c r="AV149" s="720">
        <f t="shared" si="228"/>
        <v>56.34864562100001</v>
      </c>
      <c r="AW149" s="720">
        <f t="shared" si="228"/>
        <v>54.955206803182584</v>
      </c>
      <c r="AX149" s="720">
        <f t="shared" si="228"/>
        <v>59.110226547671012</v>
      </c>
      <c r="AY149" s="720">
        <f t="shared" si="228"/>
        <v>57.625322350144899</v>
      </c>
      <c r="AZ149" s="720">
        <f t="shared" si="228"/>
        <v>62.012648101602238</v>
      </c>
      <c r="BA149" s="227"/>
      <c r="BB149" s="702"/>
      <c r="BC149" s="702"/>
      <c r="BD149" s="702"/>
      <c r="BE149" s="702"/>
      <c r="BF149" s="702"/>
      <c r="BG149" s="702"/>
      <c r="BH149" s="600"/>
      <c r="BI149" s="720"/>
      <c r="BJ149" s="720"/>
      <c r="BK149" s="720"/>
      <c r="BL149" s="720"/>
      <c r="BM149" s="718">
        <v>38.411999999999999</v>
      </c>
      <c r="BN149" s="718">
        <v>42.433999999999997</v>
      </c>
      <c r="BO149" s="718">
        <v>50.642000000000003</v>
      </c>
      <c r="BP149" s="214">
        <v>58.536999999999999</v>
      </c>
      <c r="BQ149" s="214">
        <v>58.601999999999997</v>
      </c>
      <c r="BR149" s="214">
        <v>58.875</v>
      </c>
      <c r="BS149" s="214">
        <v>70.66</v>
      </c>
      <c r="BT149" s="214">
        <v>88.721999999999994</v>
      </c>
      <c r="BU149" s="522">
        <v>97.870999999999995</v>
      </c>
      <c r="BV149" s="226">
        <f t="shared" si="214"/>
        <v>98.91842358078604</v>
      </c>
      <c r="BW149" s="226">
        <f t="shared" si="215"/>
        <v>103.71846318340613</v>
      </c>
      <c r="BX149" s="226">
        <f t="shared" si="216"/>
        <v>108.76330480575984</v>
      </c>
      <c r="BY149" s="226">
        <f t="shared" si="217"/>
        <v>114.0654333508536</v>
      </c>
      <c r="BZ149" s="226">
        <f t="shared" si="218"/>
        <v>119.63797045174714</v>
      </c>
      <c r="CB149" s="172" t="s">
        <v>617</v>
      </c>
      <c r="CC149" s="215"/>
      <c r="DS149" s="226">
        <f t="shared" si="219"/>
        <v>0</v>
      </c>
    </row>
    <row r="150" spans="1:123">
      <c r="A150" s="57" t="s">
        <v>485</v>
      </c>
      <c r="B150" s="61" t="s">
        <v>280</v>
      </c>
      <c r="C150" s="58"/>
      <c r="D150" s="58"/>
      <c r="E150" s="58"/>
      <c r="F150" s="58"/>
      <c r="G150" s="23"/>
      <c r="H150" s="606"/>
      <c r="I150" s="606"/>
      <c r="J150" s="606"/>
      <c r="K150" s="607"/>
      <c r="L150" s="606"/>
      <c r="M150" s="606"/>
      <c r="N150" s="606"/>
      <c r="O150" s="606"/>
      <c r="P150" s="624"/>
      <c r="Q150" s="624"/>
      <c r="R150" s="624"/>
      <c r="S150" s="624"/>
      <c r="T150" s="624"/>
      <c r="U150" s="625"/>
      <c r="V150" s="625"/>
      <c r="W150" s="625"/>
      <c r="X150" s="625"/>
      <c r="Y150" s="740">
        <v>-12.228</v>
      </c>
      <c r="Z150" s="701">
        <f>BM150-Y150</f>
        <v>-12.828999999999999</v>
      </c>
      <c r="AA150" s="740">
        <v>-11.856</v>
      </c>
      <c r="AB150" s="701">
        <f>BN150-AA150</f>
        <v>-15.267000000000001</v>
      </c>
      <c r="AC150" s="740">
        <v>-15.272</v>
      </c>
      <c r="AD150" s="701">
        <f>BO150-AC150</f>
        <v>-18.865000000000002</v>
      </c>
      <c r="AE150" s="740">
        <v>-19.007000000000001</v>
      </c>
      <c r="AF150" s="701">
        <f>BP150-AE150</f>
        <v>-20.310999999999996</v>
      </c>
      <c r="AG150" s="174">
        <v>-20.027000000000001</v>
      </c>
      <c r="AH150" s="701">
        <f>BQ150-AG150</f>
        <v>-21.64</v>
      </c>
      <c r="AI150" s="174">
        <v>-22.012</v>
      </c>
      <c r="AJ150" s="701">
        <f>BR150-AI150</f>
        <v>-21.458999999999996</v>
      </c>
      <c r="AK150" s="740">
        <v>-22.988</v>
      </c>
      <c r="AL150" s="740">
        <f>BS150-AK150</f>
        <v>-27.11</v>
      </c>
      <c r="AM150" s="740">
        <v>-25.869</v>
      </c>
      <c r="AN150" s="740">
        <f t="shared" si="220"/>
        <v>-30.481999999999999</v>
      </c>
      <c r="AO150" s="740">
        <v>-30.85</v>
      </c>
      <c r="AP150" s="686">
        <f>BU150-AO150</f>
        <v>-33.326000000000001</v>
      </c>
      <c r="AQ150" s="627">
        <f t="shared" ref="AQ150:AZ150" si="229">AO150*(1+AQ164)</f>
        <v>-32.392500000000005</v>
      </c>
      <c r="AR150" s="627">
        <f t="shared" si="229"/>
        <v>-34.325780000000002</v>
      </c>
      <c r="AS150" s="627">
        <f t="shared" si="229"/>
        <v>-33.364275000000006</v>
      </c>
      <c r="AT150" s="627">
        <f t="shared" si="229"/>
        <v>-35.355553400000005</v>
      </c>
      <c r="AU150" s="627">
        <f t="shared" si="229"/>
        <v>-34.365203250000008</v>
      </c>
      <c r="AV150" s="627">
        <f t="shared" si="229"/>
        <v>-36.062664468000008</v>
      </c>
      <c r="AW150" s="627">
        <f t="shared" si="229"/>
        <v>-35.052507315000007</v>
      </c>
      <c r="AX150" s="627">
        <f t="shared" si="229"/>
        <v>-36.783917757360008</v>
      </c>
      <c r="AY150" s="627">
        <f t="shared" si="229"/>
        <v>-35.753557461300005</v>
      </c>
      <c r="AZ150" s="627">
        <f t="shared" si="229"/>
        <v>-37.519596112507209</v>
      </c>
      <c r="BA150" s="176"/>
      <c r="BB150" s="709"/>
      <c r="BC150" s="709"/>
      <c r="BD150" s="709"/>
      <c r="BE150" s="709"/>
      <c r="BF150" s="709"/>
      <c r="BG150" s="709"/>
      <c r="BH150" s="710"/>
      <c r="BI150" s="627"/>
      <c r="BJ150" s="627"/>
      <c r="BK150" s="627"/>
      <c r="BL150" s="627"/>
      <c r="BM150" s="740">
        <v>-25.056999999999999</v>
      </c>
      <c r="BN150" s="740">
        <v>-27.123000000000001</v>
      </c>
      <c r="BO150" s="740">
        <v>-34.137</v>
      </c>
      <c r="BP150" s="174">
        <v>-39.317999999999998</v>
      </c>
      <c r="BQ150" s="174">
        <v>-41.667000000000002</v>
      </c>
      <c r="BR150" s="174">
        <v>-43.470999999999997</v>
      </c>
      <c r="BS150" s="174">
        <v>-50.097999999999999</v>
      </c>
      <c r="BT150" s="174">
        <v>-56.350999999999999</v>
      </c>
      <c r="BU150" s="311">
        <v>-64.176000000000002</v>
      </c>
      <c r="BV150" s="224">
        <f t="shared" si="214"/>
        <v>-66.718280000000007</v>
      </c>
      <c r="BW150" s="224">
        <f t="shared" si="215"/>
        <v>-68.719828400000011</v>
      </c>
      <c r="BX150" s="224">
        <f t="shared" si="216"/>
        <v>-70.427867718000016</v>
      </c>
      <c r="BY150" s="224">
        <f t="shared" si="217"/>
        <v>-71.836425072360015</v>
      </c>
      <c r="BZ150" s="224">
        <f t="shared" si="218"/>
        <v>-73.273153573807207</v>
      </c>
      <c r="CB150" s="172" t="s">
        <v>617</v>
      </c>
      <c r="CC150" s="84"/>
      <c r="DS150" s="224">
        <f t="shared" si="219"/>
        <v>0</v>
      </c>
    </row>
    <row r="151" spans="1:123" s="28" customFormat="1">
      <c r="A151" s="57" t="s">
        <v>486</v>
      </c>
      <c r="B151" s="60" t="s">
        <v>281</v>
      </c>
      <c r="C151" s="91"/>
      <c r="D151" s="91"/>
      <c r="E151" s="91"/>
      <c r="F151" s="91"/>
      <c r="H151" s="617"/>
      <c r="I151" s="617"/>
      <c r="J151" s="617"/>
      <c r="K151" s="618"/>
      <c r="L151" s="617"/>
      <c r="M151" s="617"/>
      <c r="N151" s="617"/>
      <c r="O151" s="617"/>
      <c r="P151" s="619"/>
      <c r="Q151" s="619"/>
      <c r="R151" s="619"/>
      <c r="S151" s="619"/>
      <c r="T151" s="619"/>
      <c r="U151" s="620"/>
      <c r="V151" s="620"/>
      <c r="W151" s="620"/>
      <c r="X151" s="620"/>
      <c r="Y151" s="720">
        <f>SUM(Y149:Y150)</f>
        <v>5.7350000000000012</v>
      </c>
      <c r="Z151" s="206">
        <f>BM151-Y151</f>
        <v>7.6199999999999992</v>
      </c>
      <c r="AA151" s="720">
        <f>SUM(AA149:AA150)</f>
        <v>6.3239999999999998</v>
      </c>
      <c r="AB151" s="206">
        <f>BN151-AA151</f>
        <v>8.9869999999999965</v>
      </c>
      <c r="AC151" s="720">
        <f>SUM(AC149:AC150)</f>
        <v>7.0460000000000012</v>
      </c>
      <c r="AD151" s="206">
        <f>BO151-AC151</f>
        <v>9.4590000000000014</v>
      </c>
      <c r="AE151" s="720">
        <f>SUM(AE149:AE150)</f>
        <v>8.4209999999999994</v>
      </c>
      <c r="AF151" s="206">
        <f>BP151-AE151</f>
        <v>10.798000000000002</v>
      </c>
      <c r="AG151" s="209">
        <f>SUM(AG149:AG150)</f>
        <v>7.2609999999999992</v>
      </c>
      <c r="AH151" s="206">
        <f>BQ151-AG151</f>
        <v>9.6739999999999959</v>
      </c>
      <c r="AI151" s="209">
        <f>SUM(AI149:AI150)</f>
        <v>6.5489999999999995</v>
      </c>
      <c r="AJ151" s="206">
        <f>BR151-AI151</f>
        <v>8.855000000000004</v>
      </c>
      <c r="AK151" s="754">
        <f>SUM(AK149:AK150)</f>
        <v>6.7349999999999994</v>
      </c>
      <c r="AL151" s="754">
        <f>BS151-AK151</f>
        <v>13.865000000000002</v>
      </c>
      <c r="AM151" s="754">
        <f>SUM(AM149:AM150)</f>
        <v>14.947000000000003</v>
      </c>
      <c r="AN151" s="754">
        <f t="shared" si="220"/>
        <v>17.423999999999999</v>
      </c>
      <c r="AO151" s="754">
        <f>SUM(AO149:AO150)</f>
        <v>17.615000000000002</v>
      </c>
      <c r="AP151" s="755">
        <f>BU151-AO151</f>
        <v>14.756</v>
      </c>
      <c r="AQ151" s="720">
        <f t="shared" ref="AQ151:AZ151" si="230">AQ149+AQ150</f>
        <v>15.304923580786024</v>
      </c>
      <c r="AR151" s="720">
        <f t="shared" si="230"/>
        <v>16.895220000000009</v>
      </c>
      <c r="AS151" s="720">
        <f t="shared" si="230"/>
        <v>16.633117183406114</v>
      </c>
      <c r="AT151" s="720">
        <f t="shared" si="230"/>
        <v>18.365517600000004</v>
      </c>
      <c r="AU151" s="720">
        <f t="shared" si="230"/>
        <v>18.04945593475982</v>
      </c>
      <c r="AV151" s="720">
        <f t="shared" si="230"/>
        <v>20.285981153000002</v>
      </c>
      <c r="AW151" s="720">
        <f t="shared" si="230"/>
        <v>19.902699488182577</v>
      </c>
      <c r="AX151" s="720">
        <f t="shared" si="230"/>
        <v>22.326308790311003</v>
      </c>
      <c r="AY151" s="720">
        <f t="shared" si="230"/>
        <v>21.871764888844893</v>
      </c>
      <c r="AZ151" s="720">
        <f t="shared" si="230"/>
        <v>24.493051989095029</v>
      </c>
      <c r="BA151" s="227"/>
      <c r="BB151" s="702"/>
      <c r="BC151" s="702"/>
      <c r="BD151" s="702"/>
      <c r="BE151" s="702"/>
      <c r="BF151" s="702"/>
      <c r="BG151" s="702"/>
      <c r="BH151" s="600"/>
      <c r="BI151" s="720"/>
      <c r="BJ151" s="720"/>
      <c r="BK151" s="720"/>
      <c r="BL151" s="720"/>
      <c r="BM151" s="720">
        <f t="shared" ref="BM151:BR151" si="231">SUM(BM149:BM150)</f>
        <v>13.355</v>
      </c>
      <c r="BN151" s="720">
        <f t="shared" si="231"/>
        <v>15.310999999999996</v>
      </c>
      <c r="BO151" s="720">
        <f t="shared" si="231"/>
        <v>16.505000000000003</v>
      </c>
      <c r="BP151" s="209">
        <f t="shared" si="231"/>
        <v>19.219000000000001</v>
      </c>
      <c r="BQ151" s="209">
        <f t="shared" si="231"/>
        <v>16.934999999999995</v>
      </c>
      <c r="BR151" s="209">
        <f t="shared" si="231"/>
        <v>15.404000000000003</v>
      </c>
      <c r="BS151" s="209">
        <v>20.6</v>
      </c>
      <c r="BT151" s="209">
        <v>32.371000000000002</v>
      </c>
      <c r="BU151" s="523">
        <v>32.371000000000002</v>
      </c>
      <c r="BV151" s="226">
        <f t="shared" si="214"/>
        <v>32.200143580786033</v>
      </c>
      <c r="BW151" s="226">
        <f t="shared" si="215"/>
        <v>34.998634783406118</v>
      </c>
      <c r="BX151" s="226">
        <f t="shared" si="216"/>
        <v>38.335437087759821</v>
      </c>
      <c r="BY151" s="226">
        <f t="shared" si="217"/>
        <v>42.229008278493581</v>
      </c>
      <c r="BZ151" s="226">
        <f t="shared" si="218"/>
        <v>46.364816877939923</v>
      </c>
      <c r="CB151" s="23" t="s">
        <v>609</v>
      </c>
      <c r="CC151" s="215"/>
      <c r="DS151" s="226">
        <f t="shared" si="219"/>
        <v>0</v>
      </c>
    </row>
    <row r="152" spans="1:123" s="28" customFormat="1">
      <c r="A152" s="57" t="s">
        <v>576</v>
      </c>
      <c r="B152" s="61" t="s">
        <v>36</v>
      </c>
      <c r="C152" s="91"/>
      <c r="D152" s="91"/>
      <c r="E152" s="91"/>
      <c r="F152" s="91"/>
      <c r="H152" s="617"/>
      <c r="I152" s="617"/>
      <c r="J152" s="617"/>
      <c r="K152" s="618"/>
      <c r="L152" s="617"/>
      <c r="M152" s="617"/>
      <c r="N152" s="617"/>
      <c r="O152" s="617"/>
      <c r="P152" s="619"/>
      <c r="Q152" s="619"/>
      <c r="R152" s="619"/>
      <c r="S152" s="619"/>
      <c r="T152" s="619"/>
      <c r="U152" s="620"/>
      <c r="V152" s="620"/>
      <c r="W152" s="620"/>
      <c r="X152" s="620"/>
      <c r="Y152" s="627">
        <f t="shared" ref="Y152:AP152" si="232">Y153-Y151</f>
        <v>-1.051000000000001</v>
      </c>
      <c r="Z152" s="627">
        <f t="shared" si="232"/>
        <v>-1.0579999999999989</v>
      </c>
      <c r="AA152" s="627">
        <f t="shared" si="232"/>
        <v>-1.077</v>
      </c>
      <c r="AB152" s="627">
        <f t="shared" si="232"/>
        <v>-1.2189999999999959</v>
      </c>
      <c r="AC152" s="627">
        <f t="shared" si="232"/>
        <v>-1.1940000000000008</v>
      </c>
      <c r="AD152" s="627">
        <f t="shared" si="232"/>
        <v>-1.8260000000000023</v>
      </c>
      <c r="AE152" s="627">
        <f t="shared" si="232"/>
        <v>-1.6949999999999994</v>
      </c>
      <c r="AF152" s="627">
        <f t="shared" si="232"/>
        <v>-1.3719999999999999</v>
      </c>
      <c r="AG152" s="627">
        <f t="shared" si="232"/>
        <v>-1.0969999999999995</v>
      </c>
      <c r="AH152" s="627">
        <f t="shared" si="232"/>
        <v>-1.0979999999999954</v>
      </c>
      <c r="AI152" s="627">
        <f t="shared" si="232"/>
        <v>-1.1589999999999998</v>
      </c>
      <c r="AJ152" s="627">
        <f t="shared" si="232"/>
        <v>-1.2090000000000041</v>
      </c>
      <c r="AK152" s="669">
        <f t="shared" si="232"/>
        <v>-0.4319999999999995</v>
      </c>
      <c r="AL152" s="669">
        <f t="shared" si="232"/>
        <v>-0.84600000000000364</v>
      </c>
      <c r="AM152" s="669">
        <f t="shared" si="232"/>
        <v>-0.7900000000000027</v>
      </c>
      <c r="AN152" s="669">
        <f t="shared" si="232"/>
        <v>-1.6649999999999991</v>
      </c>
      <c r="AO152" s="669">
        <f t="shared" si="232"/>
        <v>-1.6120000000000019</v>
      </c>
      <c r="AP152" s="670">
        <f t="shared" si="232"/>
        <v>0.14699999999999847</v>
      </c>
      <c r="AQ152" s="662">
        <v>-1.6</v>
      </c>
      <c r="AR152" s="662">
        <v>-1.6</v>
      </c>
      <c r="AS152" s="662">
        <v>-1.6</v>
      </c>
      <c r="AT152" s="662">
        <v>-1.6</v>
      </c>
      <c r="AU152" s="662">
        <v>-1.6</v>
      </c>
      <c r="AV152" s="662">
        <v>-1.6</v>
      </c>
      <c r="AW152" s="662">
        <v>-1.6</v>
      </c>
      <c r="AX152" s="662">
        <v>-1.6</v>
      </c>
      <c r="AY152" s="662">
        <v>-1.6</v>
      </c>
      <c r="AZ152" s="662">
        <v>-1.6</v>
      </c>
      <c r="BA152" s="227"/>
      <c r="BB152" s="702"/>
      <c r="BC152" s="702"/>
      <c r="BD152" s="702"/>
      <c r="BE152" s="702"/>
      <c r="BF152" s="702"/>
      <c r="BG152" s="702"/>
      <c r="BH152" s="600"/>
      <c r="BI152" s="720"/>
      <c r="BJ152" s="720"/>
      <c r="BK152" s="720"/>
      <c r="BL152" s="720"/>
      <c r="BM152" s="720"/>
      <c r="BN152" s="720"/>
      <c r="BO152" s="720"/>
      <c r="BP152" s="209"/>
      <c r="BQ152" s="209"/>
      <c r="BR152" s="209">
        <f t="shared" ref="BR152:BU152" si="233">BR153-BR151</f>
        <v>-2.3680000000000039</v>
      </c>
      <c r="BS152" s="209">
        <f t="shared" si="233"/>
        <v>-1.2780000000000022</v>
      </c>
      <c r="BT152" s="209">
        <f t="shared" si="233"/>
        <v>-2.4550000000000018</v>
      </c>
      <c r="BU152" s="523">
        <f t="shared" si="233"/>
        <v>-1.4650000000000034</v>
      </c>
      <c r="BV152" s="224">
        <f t="shared" si="214"/>
        <v>-3.2</v>
      </c>
      <c r="BW152" s="224">
        <f t="shared" si="215"/>
        <v>-3.2</v>
      </c>
      <c r="BX152" s="224">
        <f t="shared" si="216"/>
        <v>-3.2</v>
      </c>
      <c r="BY152" s="224">
        <f t="shared" si="217"/>
        <v>-3.2</v>
      </c>
      <c r="BZ152" s="224">
        <f t="shared" si="218"/>
        <v>-3.2</v>
      </c>
      <c r="CC152" s="215"/>
      <c r="DS152" s="224">
        <f t="shared" si="219"/>
        <v>0</v>
      </c>
    </row>
    <row r="153" spans="1:123" s="28" customFormat="1">
      <c r="A153" s="57" t="s">
        <v>577</v>
      </c>
      <c r="B153" s="60" t="s">
        <v>176</v>
      </c>
      <c r="C153" s="91"/>
      <c r="D153" s="91"/>
      <c r="E153" s="91"/>
      <c r="F153" s="91"/>
      <c r="H153" s="617"/>
      <c r="I153" s="617"/>
      <c r="J153" s="617"/>
      <c r="K153" s="618"/>
      <c r="L153" s="617"/>
      <c r="M153" s="617"/>
      <c r="N153" s="617"/>
      <c r="O153" s="617"/>
      <c r="P153" s="619"/>
      <c r="Q153" s="619"/>
      <c r="R153" s="619"/>
      <c r="S153" s="619"/>
      <c r="T153" s="619"/>
      <c r="U153" s="620"/>
      <c r="V153" s="620"/>
      <c r="W153" s="620"/>
      <c r="X153" s="620"/>
      <c r="Y153" s="718">
        <v>4.6840000000000002</v>
      </c>
      <c r="Z153" s="206">
        <f>BM153-Y153</f>
        <v>6.5620000000000003</v>
      </c>
      <c r="AA153" s="718">
        <v>5.2469999999999999</v>
      </c>
      <c r="AB153" s="206">
        <f>BN153-AA153</f>
        <v>7.7680000000000007</v>
      </c>
      <c r="AC153" s="718">
        <v>5.8520000000000003</v>
      </c>
      <c r="AD153" s="206">
        <f>BO153-AC153</f>
        <v>7.6329999999999991</v>
      </c>
      <c r="AE153" s="718">
        <v>6.726</v>
      </c>
      <c r="AF153" s="206">
        <f>BP153-AE153</f>
        <v>9.4260000000000019</v>
      </c>
      <c r="AG153" s="214">
        <v>6.1639999999999997</v>
      </c>
      <c r="AH153" s="206">
        <f>BQ153-AG153</f>
        <v>8.5760000000000005</v>
      </c>
      <c r="AI153" s="214">
        <v>5.39</v>
      </c>
      <c r="AJ153" s="206">
        <f>BR153-AI153</f>
        <v>7.6459999999999999</v>
      </c>
      <c r="AK153" s="718">
        <v>6.3029999999999999</v>
      </c>
      <c r="AL153" s="718">
        <f>BS153-AK153</f>
        <v>13.018999999999998</v>
      </c>
      <c r="AM153" s="718">
        <v>14.157</v>
      </c>
      <c r="AN153" s="718">
        <f t="shared" si="220"/>
        <v>15.759</v>
      </c>
      <c r="AO153" s="718">
        <v>16.003</v>
      </c>
      <c r="AP153" s="733">
        <f>BU153-AO153</f>
        <v>14.902999999999999</v>
      </c>
      <c r="AQ153" s="720">
        <f t="shared" ref="AQ153:AZ153" si="234">SUM(AQ151:AQ152)</f>
        <v>13.704923580786025</v>
      </c>
      <c r="AR153" s="720">
        <f t="shared" si="234"/>
        <v>15.295220000000009</v>
      </c>
      <c r="AS153" s="720">
        <f t="shared" si="234"/>
        <v>15.033117183406114</v>
      </c>
      <c r="AT153" s="720">
        <f t="shared" si="234"/>
        <v>16.765517600000003</v>
      </c>
      <c r="AU153" s="720">
        <f t="shared" si="234"/>
        <v>16.449455934759818</v>
      </c>
      <c r="AV153" s="720">
        <f t="shared" si="234"/>
        <v>18.685981153</v>
      </c>
      <c r="AW153" s="720">
        <f t="shared" si="234"/>
        <v>18.302699488182576</v>
      </c>
      <c r="AX153" s="720">
        <f t="shared" si="234"/>
        <v>20.726308790311002</v>
      </c>
      <c r="AY153" s="720">
        <f t="shared" si="234"/>
        <v>20.271764888844892</v>
      </c>
      <c r="AZ153" s="720">
        <f t="shared" si="234"/>
        <v>22.893051989095028</v>
      </c>
      <c r="BA153" s="227"/>
      <c r="BB153" s="702"/>
      <c r="BC153" s="702"/>
      <c r="BD153" s="702"/>
      <c r="BE153" s="702"/>
      <c r="BF153" s="702"/>
      <c r="BG153" s="702"/>
      <c r="BH153" s="600"/>
      <c r="BI153" s="720"/>
      <c r="BJ153" s="720"/>
      <c r="BK153" s="720"/>
      <c r="BL153" s="720"/>
      <c r="BM153" s="756">
        <v>11.246</v>
      </c>
      <c r="BN153" s="756">
        <v>13.015000000000001</v>
      </c>
      <c r="BO153" s="756">
        <v>13.484999999999999</v>
      </c>
      <c r="BP153" s="274">
        <v>16.152000000000001</v>
      </c>
      <c r="BQ153" s="274">
        <v>14.74</v>
      </c>
      <c r="BR153" s="274">
        <v>13.036</v>
      </c>
      <c r="BS153" s="274">
        <v>19.321999999999999</v>
      </c>
      <c r="BT153" s="274">
        <v>29.916</v>
      </c>
      <c r="BU153" s="524">
        <v>30.905999999999999</v>
      </c>
      <c r="BV153" s="226">
        <f t="shared" si="214"/>
        <v>29.000143580786034</v>
      </c>
      <c r="BW153" s="226">
        <f t="shared" si="215"/>
        <v>31.798634783406115</v>
      </c>
      <c r="BX153" s="226">
        <f t="shared" si="216"/>
        <v>35.135437087759819</v>
      </c>
      <c r="BY153" s="226">
        <f t="shared" si="217"/>
        <v>39.029008278493578</v>
      </c>
      <c r="BZ153" s="226">
        <f t="shared" si="218"/>
        <v>43.16481687793992</v>
      </c>
      <c r="CB153" s="172" t="s">
        <v>617</v>
      </c>
      <c r="CC153" s="215"/>
      <c r="DS153" s="226">
        <f t="shared" si="219"/>
        <v>0</v>
      </c>
    </row>
    <row r="154" spans="1:123">
      <c r="A154" s="57" t="s">
        <v>578</v>
      </c>
      <c r="B154" s="243" t="s">
        <v>285</v>
      </c>
      <c r="C154" s="58"/>
      <c r="D154" s="58"/>
      <c r="E154" s="58"/>
      <c r="F154" s="58"/>
      <c r="G154" s="23"/>
      <c r="H154" s="606"/>
      <c r="I154" s="606"/>
      <c r="J154" s="606"/>
      <c r="K154" s="607"/>
      <c r="L154" s="606"/>
      <c r="M154" s="606"/>
      <c r="N154" s="606"/>
      <c r="O154" s="606"/>
      <c r="P154" s="624"/>
      <c r="Q154" s="624"/>
      <c r="R154" s="624"/>
      <c r="S154" s="624"/>
      <c r="T154" s="624"/>
      <c r="U154" s="625"/>
      <c r="V154" s="625"/>
      <c r="W154" s="625"/>
      <c r="X154" s="625"/>
      <c r="Y154" s="669">
        <f>Y155-Y153</f>
        <v>-2.181</v>
      </c>
      <c r="Z154" s="757">
        <f>BM154-Y154</f>
        <v>-3.6070000000000002</v>
      </c>
      <c r="AA154" s="669">
        <f>AA155-AA153</f>
        <v>-2.5289999999999999</v>
      </c>
      <c r="AB154" s="757">
        <f>BN154-AA154</f>
        <v>-4.2840000000000007</v>
      </c>
      <c r="AC154" s="669">
        <f>AC155-AC153</f>
        <v>-2.8670000000000004</v>
      </c>
      <c r="AD154" s="757">
        <f>BO154-AC154</f>
        <v>-1.9299999999999984</v>
      </c>
      <c r="AE154" s="669">
        <f>AE155-AE153</f>
        <v>-1.7000000000000002</v>
      </c>
      <c r="AF154" s="757">
        <f>BP154-AE154</f>
        <v>-2.2660000000000009</v>
      </c>
      <c r="AG154" s="669">
        <f>AG155-AG153</f>
        <v>-1.6989999999999998</v>
      </c>
      <c r="AH154" s="757">
        <f>BQ154-AG154</f>
        <v>-2.4700000000000006</v>
      </c>
      <c r="AI154" s="669">
        <f>AI155-AI153</f>
        <v>-1.8429999999999995</v>
      </c>
      <c r="AJ154" s="757">
        <f>BR154-AI154</f>
        <v>-2.2400000000000007</v>
      </c>
      <c r="AK154" s="669">
        <f>AK155-AK153</f>
        <v>-1.5279999999999996</v>
      </c>
      <c r="AL154" s="669">
        <f>BS154-AK154</f>
        <v>-3.5270000000000001</v>
      </c>
      <c r="AM154" s="669">
        <f>AM155-AM153</f>
        <v>-3.2379999999999995</v>
      </c>
      <c r="AN154" s="669">
        <f t="shared" si="220"/>
        <v>-3.9619999999999997</v>
      </c>
      <c r="AO154" s="669">
        <f>AO155-AO153</f>
        <v>-3.822000000000001</v>
      </c>
      <c r="AP154" s="670">
        <f>BU154-AO154</f>
        <v>-3.8729999999999993</v>
      </c>
      <c r="AQ154" s="663">
        <f t="shared" ref="AQ154:AZ154" si="235">AQ165*AQ153</f>
        <v>-3.5616432281006691</v>
      </c>
      <c r="AR154" s="663">
        <f t="shared" si="235"/>
        <v>-3.9749303536200791</v>
      </c>
      <c r="AS154" s="663">
        <f t="shared" si="235"/>
        <v>-3.9068149266142305</v>
      </c>
      <c r="AT154" s="663">
        <f t="shared" si="235"/>
        <v>-4.3570321186875134</v>
      </c>
      <c r="AU154" s="663">
        <f t="shared" si="235"/>
        <v>-4.2748938358266644</v>
      </c>
      <c r="AV154" s="663">
        <f t="shared" si="235"/>
        <v>-4.8561232641460776</v>
      </c>
      <c r="AW154" s="663">
        <f t="shared" si="235"/>
        <v>-4.756515810087306</v>
      </c>
      <c r="AX154" s="663">
        <f t="shared" si="235"/>
        <v>-5.3863647550744487</v>
      </c>
      <c r="AY154" s="663">
        <f t="shared" si="235"/>
        <v>-5.2682376309800887</v>
      </c>
      <c r="AZ154" s="663">
        <f t="shared" si="235"/>
        <v>-5.9494591930326139</v>
      </c>
      <c r="BA154" s="176"/>
      <c r="BB154" s="709"/>
      <c r="BC154" s="709"/>
      <c r="BD154" s="709"/>
      <c r="BE154" s="709"/>
      <c r="BF154" s="709"/>
      <c r="BG154" s="709"/>
      <c r="BH154" s="710"/>
      <c r="BI154" s="627"/>
      <c r="BJ154" s="627"/>
      <c r="BK154" s="627"/>
      <c r="BL154" s="627"/>
      <c r="BM154" s="728">
        <f t="shared" ref="BM154:BU154" si="236">BM155-BM153</f>
        <v>-5.7880000000000003</v>
      </c>
      <c r="BN154" s="728">
        <f t="shared" si="236"/>
        <v>-6.8130000000000006</v>
      </c>
      <c r="BO154" s="728">
        <f t="shared" si="236"/>
        <v>-4.7969999999999988</v>
      </c>
      <c r="BP154" s="728">
        <f t="shared" si="236"/>
        <v>-3.9660000000000011</v>
      </c>
      <c r="BQ154" s="728">
        <f t="shared" si="236"/>
        <v>-4.1690000000000005</v>
      </c>
      <c r="BR154" s="728">
        <f t="shared" si="236"/>
        <v>-4.0830000000000002</v>
      </c>
      <c r="BS154" s="728">
        <f t="shared" si="236"/>
        <v>-5.0549999999999997</v>
      </c>
      <c r="BT154" s="728">
        <f t="shared" si="236"/>
        <v>-7.1999999999999993</v>
      </c>
      <c r="BU154" s="729">
        <f t="shared" si="236"/>
        <v>-7.6950000000000003</v>
      </c>
      <c r="BV154" s="224">
        <f t="shared" si="214"/>
        <v>-7.5365735817207486</v>
      </c>
      <c r="BW154" s="224">
        <f t="shared" si="215"/>
        <v>-8.2638470453017447</v>
      </c>
      <c r="BX154" s="224">
        <f t="shared" si="216"/>
        <v>-9.1310170999727411</v>
      </c>
      <c r="BY154" s="224">
        <f t="shared" si="217"/>
        <v>-10.142880565161754</v>
      </c>
      <c r="BZ154" s="224">
        <f t="shared" si="218"/>
        <v>-11.217696824012702</v>
      </c>
      <c r="CB154" s="23" t="s">
        <v>609</v>
      </c>
      <c r="CC154" s="84"/>
      <c r="DS154" s="224">
        <f t="shared" si="219"/>
        <v>0</v>
      </c>
    </row>
    <row r="155" spans="1:123" s="28" customFormat="1">
      <c r="A155" s="270" t="s">
        <v>472</v>
      </c>
      <c r="B155" s="60" t="s">
        <v>282</v>
      </c>
      <c r="C155" s="91"/>
      <c r="D155" s="91"/>
      <c r="E155" s="91"/>
      <c r="F155" s="91"/>
      <c r="H155" s="617"/>
      <c r="I155" s="617"/>
      <c r="J155" s="617"/>
      <c r="K155" s="618"/>
      <c r="L155" s="617"/>
      <c r="M155" s="617"/>
      <c r="N155" s="617"/>
      <c r="O155" s="617"/>
      <c r="P155" s="619"/>
      <c r="Q155" s="619"/>
      <c r="R155" s="619"/>
      <c r="S155" s="619"/>
      <c r="T155" s="619"/>
      <c r="U155" s="620"/>
      <c r="V155" s="620"/>
      <c r="W155" s="620"/>
      <c r="X155" s="620"/>
      <c r="Y155" s="718">
        <v>2.5030000000000001</v>
      </c>
      <c r="Z155" s="206">
        <f>BM155-Y155</f>
        <v>2.9550000000000001</v>
      </c>
      <c r="AA155" s="718">
        <v>2.718</v>
      </c>
      <c r="AB155" s="206">
        <f>BN155-AA155</f>
        <v>3.484</v>
      </c>
      <c r="AC155" s="718">
        <v>2.9849999999999999</v>
      </c>
      <c r="AD155" s="206">
        <f>BO155-AC155</f>
        <v>5.7030000000000012</v>
      </c>
      <c r="AE155" s="718">
        <v>5.0259999999999998</v>
      </c>
      <c r="AF155" s="206">
        <f>BP155-AE155</f>
        <v>7.16</v>
      </c>
      <c r="AG155" s="214">
        <v>4.4649999999999999</v>
      </c>
      <c r="AH155" s="206">
        <f>BQ155-AG155</f>
        <v>6.1059999999999999</v>
      </c>
      <c r="AI155" s="214">
        <v>3.5470000000000002</v>
      </c>
      <c r="AJ155" s="206">
        <f>BR155-AI155</f>
        <v>5.4059999999999988</v>
      </c>
      <c r="AK155" s="718">
        <v>4.7750000000000004</v>
      </c>
      <c r="AL155" s="718">
        <f>BS155-AK155</f>
        <v>9.4919999999999991</v>
      </c>
      <c r="AM155" s="718">
        <v>10.919</v>
      </c>
      <c r="AN155" s="718">
        <f t="shared" si="220"/>
        <v>11.797000000000001</v>
      </c>
      <c r="AO155" s="718">
        <v>12.180999999999999</v>
      </c>
      <c r="AP155" s="733">
        <f>BU155-AO155</f>
        <v>11.03</v>
      </c>
      <c r="AQ155" s="720">
        <f t="shared" ref="AQ155:AZ155" si="237">SUM(AQ153:AQ154)</f>
        <v>10.143280352685355</v>
      </c>
      <c r="AR155" s="720">
        <f t="shared" si="237"/>
        <v>11.32028964637993</v>
      </c>
      <c r="AS155" s="720">
        <f t="shared" si="237"/>
        <v>11.126302256791885</v>
      </c>
      <c r="AT155" s="720">
        <f t="shared" si="237"/>
        <v>12.408485481312489</v>
      </c>
      <c r="AU155" s="720">
        <f t="shared" si="237"/>
        <v>12.174562098933155</v>
      </c>
      <c r="AV155" s="720">
        <f t="shared" si="237"/>
        <v>13.829857888853923</v>
      </c>
      <c r="AW155" s="720">
        <f t="shared" si="237"/>
        <v>13.54618367809527</v>
      </c>
      <c r="AX155" s="720">
        <f t="shared" si="237"/>
        <v>15.339944035236552</v>
      </c>
      <c r="AY155" s="720">
        <f t="shared" si="237"/>
        <v>15.003527257864803</v>
      </c>
      <c r="AZ155" s="720">
        <f t="shared" si="237"/>
        <v>16.943592796062415</v>
      </c>
      <c r="BA155" s="227"/>
      <c r="BB155" s="702"/>
      <c r="BC155" s="702"/>
      <c r="BD155" s="702"/>
      <c r="BE155" s="702"/>
      <c r="BF155" s="702"/>
      <c r="BG155" s="702"/>
      <c r="BH155" s="600"/>
      <c r="BI155" s="720"/>
      <c r="BJ155" s="720"/>
      <c r="BK155" s="720"/>
      <c r="BL155" s="720"/>
      <c r="BM155" s="756">
        <v>5.4580000000000002</v>
      </c>
      <c r="BN155" s="756">
        <v>6.202</v>
      </c>
      <c r="BO155" s="756">
        <v>8.6880000000000006</v>
      </c>
      <c r="BP155" s="274">
        <v>12.186</v>
      </c>
      <c r="BQ155" s="274">
        <v>10.571</v>
      </c>
      <c r="BR155" s="274">
        <v>8.9529999999999994</v>
      </c>
      <c r="BS155" s="274">
        <v>14.266999999999999</v>
      </c>
      <c r="BT155" s="274">
        <v>22.716000000000001</v>
      </c>
      <c r="BU155" s="524">
        <v>23.210999999999999</v>
      </c>
      <c r="BV155" s="226">
        <f t="shared" si="214"/>
        <v>21.463569999065285</v>
      </c>
      <c r="BW155" s="226">
        <f t="shared" si="215"/>
        <v>23.534787738104374</v>
      </c>
      <c r="BX155" s="226">
        <f t="shared" si="216"/>
        <v>26.004419987787077</v>
      </c>
      <c r="BY155" s="226">
        <f t="shared" si="217"/>
        <v>28.886127713331824</v>
      </c>
      <c r="BZ155" s="226">
        <f t="shared" si="218"/>
        <v>31.947120053927218</v>
      </c>
      <c r="CB155" s="172" t="s">
        <v>617</v>
      </c>
      <c r="CC155" s="215"/>
      <c r="DS155" s="226">
        <f t="shared" si="219"/>
        <v>0</v>
      </c>
    </row>
    <row r="156" spans="1:123" s="28" customFormat="1">
      <c r="A156" s="270"/>
      <c r="B156" s="60"/>
      <c r="C156" s="91"/>
      <c r="D156" s="91"/>
      <c r="E156" s="91"/>
      <c r="F156" s="91"/>
      <c r="H156" s="617"/>
      <c r="I156" s="617"/>
      <c r="J156" s="617"/>
      <c r="K156" s="618"/>
      <c r="L156" s="617"/>
      <c r="M156" s="617"/>
      <c r="N156" s="617"/>
      <c r="O156" s="617"/>
      <c r="P156" s="619"/>
      <c r="Q156" s="619"/>
      <c r="R156" s="619"/>
      <c r="S156" s="619"/>
      <c r="T156" s="619"/>
      <c r="U156" s="620"/>
      <c r="V156" s="620"/>
      <c r="W156" s="620"/>
      <c r="X156" s="620"/>
      <c r="Y156" s="718"/>
      <c r="Z156" s="206"/>
      <c r="AA156" s="718"/>
      <c r="AB156" s="206"/>
      <c r="AC156" s="718"/>
      <c r="AD156" s="206"/>
      <c r="AE156" s="718"/>
      <c r="AF156" s="206"/>
      <c r="AG156" s="214"/>
      <c r="AH156" s="206"/>
      <c r="AI156" s="214">
        <f>AI155/SUM(AI155:AJ155)</f>
        <v>0.39618005137942591</v>
      </c>
      <c r="AJ156" s="206"/>
      <c r="AK156" s="214">
        <f>AK155/SUM(AK155:AL155)</f>
        <v>0.33468844185883512</v>
      </c>
      <c r="AL156" s="720"/>
      <c r="AM156" s="214"/>
      <c r="AN156" s="720"/>
      <c r="AO156" s="214"/>
      <c r="AP156" s="733"/>
      <c r="AQ156" s="720"/>
      <c r="AR156" s="720"/>
      <c r="AS156" s="720"/>
      <c r="AT156" s="720"/>
      <c r="AU156" s="720"/>
      <c r="AV156" s="720"/>
      <c r="AW156" s="720"/>
      <c r="AX156" s="720"/>
      <c r="AY156" s="720"/>
      <c r="AZ156" s="720"/>
      <c r="BA156" s="227"/>
      <c r="BB156" s="702"/>
      <c r="BC156" s="702"/>
      <c r="BD156" s="702"/>
      <c r="BE156" s="702"/>
      <c r="BF156" s="702"/>
      <c r="BG156" s="702"/>
      <c r="BH156" s="600"/>
      <c r="BI156" s="720"/>
      <c r="BJ156" s="720"/>
      <c r="BK156" s="720"/>
      <c r="BL156" s="720"/>
      <c r="BM156" s="756"/>
      <c r="BN156" s="756"/>
      <c r="BO156" s="756"/>
      <c r="BP156" s="274"/>
      <c r="BQ156" s="274"/>
      <c r="BR156" s="274"/>
      <c r="BS156" s="274"/>
      <c r="BT156" s="226"/>
      <c r="BU156" s="504"/>
      <c r="BV156" s="226"/>
      <c r="BW156" s="226"/>
      <c r="BX156" s="226"/>
      <c r="BY156" s="226"/>
      <c r="BZ156" s="226"/>
      <c r="CC156" s="215"/>
      <c r="DS156" s="226"/>
    </row>
    <row r="157" spans="1:123" s="179" customFormat="1">
      <c r="A157" s="270"/>
      <c r="B157" s="355" t="s">
        <v>550</v>
      </c>
      <c r="C157" s="91"/>
      <c r="D157" s="91"/>
      <c r="E157" s="91"/>
      <c r="F157" s="91"/>
      <c r="G157" s="28"/>
      <c r="H157" s="617"/>
      <c r="I157" s="617"/>
      <c r="J157" s="617"/>
      <c r="K157" s="618"/>
      <c r="L157" s="617"/>
      <c r="M157" s="620"/>
      <c r="N157" s="620"/>
      <c r="O157" s="620"/>
      <c r="P157" s="620"/>
      <c r="Q157" s="620"/>
      <c r="R157" s="620"/>
      <c r="S157" s="620"/>
      <c r="T157" s="620"/>
      <c r="U157" s="620"/>
      <c r="V157" s="620"/>
      <c r="W157" s="620"/>
      <c r="X157" s="620"/>
      <c r="Y157" s="207"/>
      <c r="Z157" s="183"/>
      <c r="AA157" s="207"/>
      <c r="AB157" s="183"/>
      <c r="AC157" s="207"/>
      <c r="AD157" s="183"/>
      <c r="AE157" s="207"/>
      <c r="AF157" s="183"/>
      <c r="AG157" s="207"/>
      <c r="AH157" s="183"/>
      <c r="AI157" s="207"/>
      <c r="AJ157" s="183"/>
      <c r="AK157" s="667"/>
      <c r="AL157" s="667"/>
      <c r="AM157" s="667"/>
      <c r="AN157" s="667"/>
      <c r="AO157" s="667"/>
      <c r="AP157" s="666"/>
      <c r="AQ157" s="667"/>
      <c r="AR157" s="667"/>
      <c r="AS157" s="667"/>
      <c r="AT157" s="667"/>
      <c r="AU157" s="667"/>
      <c r="AV157" s="667"/>
      <c r="AW157" s="667"/>
      <c r="AX157" s="667"/>
      <c r="AY157" s="667"/>
      <c r="AZ157" s="667"/>
      <c r="BA157" s="223"/>
      <c r="BB157" s="668"/>
      <c r="BC157" s="668"/>
      <c r="BD157" s="668"/>
      <c r="BE157" s="668"/>
      <c r="BF157" s="668"/>
      <c r="BG157" s="668"/>
      <c r="BH157" s="598"/>
      <c r="BI157" s="667"/>
      <c r="BJ157" s="667"/>
      <c r="BK157" s="667"/>
      <c r="BL157" s="660"/>
      <c r="BM157" s="207"/>
      <c r="BN157" s="207"/>
      <c r="BO157" s="207"/>
      <c r="BP157" s="207"/>
      <c r="BQ157" s="207"/>
      <c r="BR157" s="207"/>
      <c r="BS157" s="207"/>
      <c r="BT157" s="198"/>
      <c r="BU157" s="501"/>
      <c r="BV157" s="198"/>
      <c r="BW157" s="198"/>
      <c r="BX157" s="198"/>
      <c r="BY157" s="198"/>
      <c r="BZ157" s="198"/>
      <c r="DS157" s="198"/>
    </row>
    <row r="158" spans="1:123" s="341" customFormat="1">
      <c r="A158" s="338"/>
      <c r="B158" s="339" t="s">
        <v>545</v>
      </c>
      <c r="C158" s="340"/>
      <c r="D158" s="340"/>
      <c r="E158" s="340"/>
      <c r="F158" s="340"/>
      <c r="H158" s="342"/>
      <c r="I158" s="342"/>
      <c r="J158" s="342"/>
      <c r="K158" s="343"/>
      <c r="L158" s="342"/>
      <c r="M158" s="342"/>
      <c r="N158" s="342"/>
      <c r="O158" s="342"/>
      <c r="P158" s="344"/>
      <c r="Q158" s="344"/>
      <c r="R158" s="344"/>
      <c r="S158" s="344"/>
      <c r="T158" s="344"/>
      <c r="U158" s="345"/>
      <c r="V158" s="345"/>
      <c r="W158" s="345"/>
      <c r="X158" s="345"/>
      <c r="Y158" s="357"/>
      <c r="Z158" s="358"/>
      <c r="AA158" s="357"/>
      <c r="AB158" s="358"/>
      <c r="AC158" s="675"/>
      <c r="AD158" s="675"/>
      <c r="AE158" s="675"/>
      <c r="AF158" s="675"/>
      <c r="AG158" s="675"/>
      <c r="AH158" s="675"/>
      <c r="AI158" s="675"/>
      <c r="AJ158" s="675"/>
      <c r="AK158" s="675"/>
      <c r="AL158" s="675"/>
      <c r="AM158" s="675"/>
      <c r="AN158" s="675"/>
      <c r="AO158" s="675"/>
      <c r="AP158" s="676"/>
      <c r="AQ158" s="346">
        <v>-0.03</v>
      </c>
      <c r="AR158" s="346">
        <v>0</v>
      </c>
      <c r="AS158" s="346">
        <v>0.04</v>
      </c>
      <c r="AT158" s="346">
        <v>0.04</v>
      </c>
      <c r="AU158" s="346">
        <v>0.04</v>
      </c>
      <c r="AV158" s="346">
        <v>0.04</v>
      </c>
      <c r="AW158" s="346">
        <v>0.04</v>
      </c>
      <c r="AX158" s="346">
        <v>0.04</v>
      </c>
      <c r="AY158" s="346">
        <v>0.04</v>
      </c>
      <c r="AZ158" s="346">
        <v>0.04</v>
      </c>
      <c r="BA158" s="347"/>
      <c r="BB158" s="347"/>
      <c r="BC158" s="347"/>
      <c r="BD158" s="347"/>
      <c r="BE158" s="347"/>
      <c r="BF158" s="347"/>
      <c r="BG158" s="347"/>
      <c r="BH158" s="348"/>
      <c r="BI158" s="349"/>
      <c r="BJ158" s="350"/>
      <c r="BK158" s="350"/>
      <c r="BL158" s="350"/>
      <c r="BM158" s="359"/>
      <c r="BN158" s="360"/>
      <c r="BO158" s="361"/>
      <c r="BP158" s="361"/>
      <c r="BQ158" s="361"/>
      <c r="BR158" s="361"/>
      <c r="BS158" s="361"/>
      <c r="BT158" s="361"/>
      <c r="BU158" s="502"/>
      <c r="BV158" s="361"/>
      <c r="BW158" s="361"/>
      <c r="BX158" s="361"/>
      <c r="BY158" s="361"/>
      <c r="BZ158" s="361"/>
      <c r="DS158" s="361"/>
    </row>
    <row r="159" spans="1:123" s="341" customFormat="1">
      <c r="A159" s="338"/>
      <c r="B159" s="339" t="s">
        <v>546</v>
      </c>
      <c r="C159" s="340"/>
      <c r="D159" s="340"/>
      <c r="E159" s="340"/>
      <c r="F159" s="340"/>
      <c r="H159" s="342"/>
      <c r="I159" s="342"/>
      <c r="J159" s="342"/>
      <c r="K159" s="343"/>
      <c r="L159" s="342"/>
      <c r="M159" s="342"/>
      <c r="N159" s="342"/>
      <c r="O159" s="342"/>
      <c r="P159" s="344"/>
      <c r="Q159" s="344"/>
      <c r="R159" s="344"/>
      <c r="S159" s="344"/>
      <c r="T159" s="344"/>
      <c r="U159" s="345"/>
      <c r="V159" s="345"/>
      <c r="W159" s="345"/>
      <c r="X159" s="345"/>
      <c r="Y159" s="357"/>
      <c r="Z159" s="358"/>
      <c r="AA159" s="357"/>
      <c r="AB159" s="358"/>
      <c r="AC159" s="675"/>
      <c r="AD159" s="675"/>
      <c r="AE159" s="675"/>
      <c r="AF159" s="675"/>
      <c r="AG159" s="675"/>
      <c r="AH159" s="675"/>
      <c r="AI159" s="675"/>
      <c r="AJ159" s="675"/>
      <c r="AK159" s="675"/>
      <c r="AL159" s="675"/>
      <c r="AM159" s="675"/>
      <c r="AN159" s="675"/>
      <c r="AO159" s="675"/>
      <c r="AP159" s="676"/>
      <c r="AQ159" s="346">
        <v>0.04</v>
      </c>
      <c r="AR159" s="346">
        <v>0.04</v>
      </c>
      <c r="AS159" s="346">
        <v>0.02</v>
      </c>
      <c r="AT159" s="346">
        <v>0.02</v>
      </c>
      <c r="AU159" s="346">
        <v>0.02</v>
      </c>
      <c r="AV159" s="346">
        <v>0.02</v>
      </c>
      <c r="AW159" s="346">
        <v>0.02</v>
      </c>
      <c r="AX159" s="346">
        <v>0.02</v>
      </c>
      <c r="AY159" s="346">
        <v>0.02</v>
      </c>
      <c r="AZ159" s="346">
        <v>0.02</v>
      </c>
      <c r="BA159" s="347"/>
      <c r="BB159" s="347"/>
      <c r="BC159" s="347"/>
      <c r="BD159" s="347"/>
      <c r="BE159" s="347"/>
      <c r="BF159" s="347"/>
      <c r="BG159" s="347"/>
      <c r="BH159" s="348"/>
      <c r="BI159" s="349"/>
      <c r="BJ159" s="350"/>
      <c r="BK159" s="350"/>
      <c r="BL159" s="350"/>
      <c r="BM159" s="359"/>
      <c r="BN159" s="360"/>
      <c r="BO159" s="361"/>
      <c r="BP159" s="361"/>
      <c r="BQ159" s="361"/>
      <c r="BR159" s="361"/>
      <c r="BS159" s="361"/>
      <c r="BT159" s="361"/>
      <c r="BU159" s="502"/>
      <c r="BV159" s="361"/>
      <c r="BW159" s="361"/>
      <c r="BX159" s="361"/>
      <c r="BY159" s="361"/>
      <c r="BZ159" s="361"/>
      <c r="DS159" s="361"/>
    </row>
    <row r="160" spans="1:123" s="341" customFormat="1">
      <c r="A160" s="338"/>
      <c r="B160" s="339" t="s">
        <v>547</v>
      </c>
      <c r="C160" s="340"/>
      <c r="D160" s="340"/>
      <c r="E160" s="340"/>
      <c r="F160" s="340"/>
      <c r="H160" s="342"/>
      <c r="I160" s="342"/>
      <c r="J160" s="342"/>
      <c r="K160" s="343"/>
      <c r="L160" s="342"/>
      <c r="M160" s="342"/>
      <c r="N160" s="342"/>
      <c r="O160" s="342"/>
      <c r="P160" s="344"/>
      <c r="Q160" s="344"/>
      <c r="R160" s="344"/>
      <c r="S160" s="344"/>
      <c r="T160" s="344"/>
      <c r="U160" s="345"/>
      <c r="V160" s="345"/>
      <c r="W160" s="345"/>
      <c r="X160" s="345"/>
      <c r="Y160" s="357"/>
      <c r="Z160" s="358"/>
      <c r="AA160" s="357"/>
      <c r="AB160" s="358"/>
      <c r="AC160" s="675"/>
      <c r="AD160" s="675"/>
      <c r="AE160" s="675"/>
      <c r="AF160" s="675"/>
      <c r="AG160" s="675"/>
      <c r="AH160" s="675"/>
      <c r="AI160" s="675"/>
      <c r="AJ160" s="675"/>
      <c r="AK160" s="675"/>
      <c r="AL160" s="675"/>
      <c r="AM160" s="675"/>
      <c r="AN160" s="675"/>
      <c r="AO160" s="675"/>
      <c r="AP160" s="676"/>
      <c r="AQ160" s="346">
        <v>0.7</v>
      </c>
      <c r="AR160" s="346">
        <v>0.7</v>
      </c>
      <c r="AS160" s="346">
        <v>0.7</v>
      </c>
      <c r="AT160" s="346">
        <v>0.7</v>
      </c>
      <c r="AU160" s="346">
        <v>0.7</v>
      </c>
      <c r="AV160" s="346">
        <v>0.7</v>
      </c>
      <c r="AW160" s="346">
        <v>0.7</v>
      </c>
      <c r="AX160" s="346">
        <v>0.7</v>
      </c>
      <c r="AY160" s="346">
        <v>0.7</v>
      </c>
      <c r="AZ160" s="346">
        <v>0.7</v>
      </c>
      <c r="BA160" s="347"/>
      <c r="BB160" s="347"/>
      <c r="BC160" s="347"/>
      <c r="BD160" s="347"/>
      <c r="BE160" s="347"/>
      <c r="BF160" s="347"/>
      <c r="BG160" s="347"/>
      <c r="BH160" s="348"/>
      <c r="BI160" s="349"/>
      <c r="BJ160" s="350"/>
      <c r="BK160" s="350"/>
      <c r="BL160" s="350"/>
      <c r="BM160" s="359"/>
      <c r="BN160" s="360"/>
      <c r="BO160" s="361"/>
      <c r="BP160" s="361"/>
      <c r="BQ160" s="361"/>
      <c r="BR160" s="361"/>
      <c r="BS160" s="361"/>
      <c r="BT160" s="361"/>
      <c r="BU160" s="502"/>
      <c r="BV160" s="361"/>
      <c r="BW160" s="361"/>
      <c r="BX160" s="361"/>
      <c r="BY160" s="361"/>
      <c r="BZ160" s="361"/>
      <c r="DS160" s="361"/>
    </row>
    <row r="161" spans="1:123" s="341" customFormat="1">
      <c r="A161" s="338"/>
      <c r="B161" s="339" t="s">
        <v>548</v>
      </c>
      <c r="C161" s="340"/>
      <c r="D161" s="340"/>
      <c r="E161" s="340"/>
      <c r="F161" s="340"/>
      <c r="H161" s="342"/>
      <c r="I161" s="342"/>
      <c r="J161" s="342"/>
      <c r="K161" s="343"/>
      <c r="L161" s="342"/>
      <c r="M161" s="342"/>
      <c r="N161" s="342"/>
      <c r="O161" s="342"/>
      <c r="P161" s="344"/>
      <c r="Q161" s="344"/>
      <c r="R161" s="344"/>
      <c r="S161" s="344"/>
      <c r="T161" s="344"/>
      <c r="U161" s="345"/>
      <c r="V161" s="345"/>
      <c r="W161" s="345"/>
      <c r="X161" s="345"/>
      <c r="Y161" s="357"/>
      <c r="Z161" s="358"/>
      <c r="AA161" s="357"/>
      <c r="AB161" s="358"/>
      <c r="AC161" s="675"/>
      <c r="AD161" s="675"/>
      <c r="AE161" s="675"/>
      <c r="AF161" s="675"/>
      <c r="AG161" s="675"/>
      <c r="AH161" s="675"/>
      <c r="AI161" s="675"/>
      <c r="AJ161" s="675"/>
      <c r="AK161" s="675"/>
      <c r="AL161" s="675"/>
      <c r="AM161" s="675"/>
      <c r="AN161" s="675"/>
      <c r="AO161" s="675"/>
      <c r="AP161" s="676"/>
      <c r="AQ161" s="346">
        <f t="shared" ref="AQ161:AZ161" si="238">1-AQ160</f>
        <v>0.30000000000000004</v>
      </c>
      <c r="AR161" s="346">
        <f t="shared" si="238"/>
        <v>0.30000000000000004</v>
      </c>
      <c r="AS161" s="346">
        <f t="shared" si="238"/>
        <v>0.30000000000000004</v>
      </c>
      <c r="AT161" s="346">
        <f t="shared" si="238"/>
        <v>0.30000000000000004</v>
      </c>
      <c r="AU161" s="346">
        <f t="shared" si="238"/>
        <v>0.30000000000000004</v>
      </c>
      <c r="AV161" s="346">
        <f t="shared" si="238"/>
        <v>0.30000000000000004</v>
      </c>
      <c r="AW161" s="346">
        <f t="shared" si="238"/>
        <v>0.30000000000000004</v>
      </c>
      <c r="AX161" s="346">
        <f t="shared" si="238"/>
        <v>0.30000000000000004</v>
      </c>
      <c r="AY161" s="346">
        <f t="shared" si="238"/>
        <v>0.30000000000000004</v>
      </c>
      <c r="AZ161" s="346">
        <f t="shared" si="238"/>
        <v>0.30000000000000004</v>
      </c>
      <c r="BA161" s="347"/>
      <c r="BB161" s="347"/>
      <c r="BC161" s="347"/>
      <c r="BD161" s="347"/>
      <c r="BE161" s="347"/>
      <c r="BF161" s="347"/>
      <c r="BG161" s="347"/>
      <c r="BH161" s="348"/>
      <c r="BI161" s="349"/>
      <c r="BJ161" s="350"/>
      <c r="BK161" s="350"/>
      <c r="BL161" s="350"/>
      <c r="BM161" s="359"/>
      <c r="BN161" s="360"/>
      <c r="BO161" s="361"/>
      <c r="BP161" s="361"/>
      <c r="BQ161" s="361"/>
      <c r="BR161" s="361"/>
      <c r="BS161" s="361"/>
      <c r="BT161" s="361"/>
      <c r="BU161" s="502"/>
      <c r="BV161" s="361"/>
      <c r="BW161" s="361"/>
      <c r="BX161" s="361"/>
      <c r="BY161" s="361"/>
      <c r="BZ161" s="361"/>
      <c r="DS161" s="361"/>
    </row>
    <row r="162" spans="1:123" s="341" customFormat="1">
      <c r="A162" s="338"/>
      <c r="B162" s="339" t="s">
        <v>549</v>
      </c>
      <c r="C162" s="340"/>
      <c r="D162" s="340"/>
      <c r="E162" s="340"/>
      <c r="F162" s="340"/>
      <c r="H162" s="342"/>
      <c r="I162" s="342"/>
      <c r="J162" s="342"/>
      <c r="K162" s="343"/>
      <c r="L162" s="342"/>
      <c r="M162" s="342"/>
      <c r="N162" s="342"/>
      <c r="O162" s="342"/>
      <c r="P162" s="344"/>
      <c r="Q162" s="344"/>
      <c r="R162" s="344"/>
      <c r="S162" s="344"/>
      <c r="T162" s="344"/>
      <c r="U162" s="345"/>
      <c r="V162" s="345"/>
      <c r="W162" s="345"/>
      <c r="X162" s="345"/>
      <c r="Y162" s="357"/>
      <c r="Z162" s="358"/>
      <c r="AA162" s="357"/>
      <c r="AB162" s="358"/>
      <c r="AC162" s="675"/>
      <c r="AD162" s="675"/>
      <c r="AE162" s="675"/>
      <c r="AF162" s="675"/>
      <c r="AG162" s="675"/>
      <c r="AH162" s="675"/>
      <c r="AI162" s="675"/>
      <c r="AJ162" s="675"/>
      <c r="AK162" s="675"/>
      <c r="AL162" s="675"/>
      <c r="AM162" s="675"/>
      <c r="AN162" s="675"/>
      <c r="AO162" s="675"/>
      <c r="AP162" s="676"/>
      <c r="AQ162" s="346">
        <v>0.01</v>
      </c>
      <c r="AR162" s="346">
        <v>0.01</v>
      </c>
      <c r="AS162" s="346">
        <v>0.01</v>
      </c>
      <c r="AT162" s="346">
        <v>0.01</v>
      </c>
      <c r="AU162" s="346">
        <v>0.01</v>
      </c>
      <c r="AV162" s="346">
        <v>0.01</v>
      </c>
      <c r="AW162" s="346">
        <v>0.01</v>
      </c>
      <c r="AX162" s="346">
        <v>0.01</v>
      </c>
      <c r="AY162" s="346">
        <v>0.01</v>
      </c>
      <c r="AZ162" s="346">
        <v>0.01</v>
      </c>
      <c r="BA162" s="347"/>
      <c r="BB162" s="347"/>
      <c r="BC162" s="347"/>
      <c r="BD162" s="347"/>
      <c r="BE162" s="347"/>
      <c r="BF162" s="347"/>
      <c r="BG162" s="347"/>
      <c r="BH162" s="348"/>
      <c r="BI162" s="349"/>
      <c r="BJ162" s="350"/>
      <c r="BK162" s="350"/>
      <c r="BL162" s="350"/>
      <c r="BM162" s="359"/>
      <c r="BN162" s="360"/>
      <c r="BO162" s="361"/>
      <c r="BP162" s="361"/>
      <c r="BQ162" s="361"/>
      <c r="BR162" s="361"/>
      <c r="BS162" s="361"/>
      <c r="BT162" s="361"/>
      <c r="BU162" s="502"/>
      <c r="BV162" s="361"/>
      <c r="BW162" s="361"/>
      <c r="BX162" s="361"/>
      <c r="BY162" s="361"/>
      <c r="BZ162" s="361"/>
      <c r="DS162" s="361"/>
    </row>
    <row r="163" spans="1:123" s="179" customFormat="1">
      <c r="A163" s="270"/>
      <c r="B163" s="243" t="s">
        <v>554</v>
      </c>
      <c r="C163" s="91"/>
      <c r="D163" s="91"/>
      <c r="E163" s="91"/>
      <c r="F163" s="91"/>
      <c r="G163" s="28"/>
      <c r="H163" s="617"/>
      <c r="I163" s="617"/>
      <c r="J163" s="617"/>
      <c r="K163" s="618"/>
      <c r="L163" s="617"/>
      <c r="M163" s="620"/>
      <c r="N163" s="620"/>
      <c r="O163" s="620"/>
      <c r="P163" s="620"/>
      <c r="Q163" s="620"/>
      <c r="R163" s="620"/>
      <c r="S163" s="620"/>
      <c r="T163" s="620"/>
      <c r="U163" s="620"/>
      <c r="V163" s="620"/>
      <c r="W163" s="620"/>
      <c r="X163" s="620"/>
      <c r="Y163" s="357"/>
      <c r="Z163" s="358"/>
      <c r="AA163" s="357"/>
      <c r="AB163" s="358"/>
      <c r="AC163" s="675"/>
      <c r="AD163" s="675"/>
      <c r="AE163" s="675"/>
      <c r="AF163" s="675"/>
      <c r="AG163" s="677">
        <f t="shared" ref="AG163:AP163" si="239">AG146/AE146-1</f>
        <v>-5.0000000000000044E-2</v>
      </c>
      <c r="AH163" s="677">
        <f t="shared" si="239"/>
        <v>-5.5555555555555358E-2</v>
      </c>
      <c r="AI163" s="677">
        <f t="shared" si="239"/>
        <v>0</v>
      </c>
      <c r="AJ163" s="677">
        <f t="shared" si="239"/>
        <v>0.11764705882352922</v>
      </c>
      <c r="AK163" s="420">
        <f t="shared" si="239"/>
        <v>-0.10526315789473684</v>
      </c>
      <c r="AL163" s="420">
        <f t="shared" si="239"/>
        <v>0.10526315789473673</v>
      </c>
      <c r="AM163" s="420">
        <f t="shared" si="239"/>
        <v>0.23529411764705888</v>
      </c>
      <c r="AN163" s="420">
        <f t="shared" si="239"/>
        <v>-0.14285714285714279</v>
      </c>
      <c r="AO163" s="420">
        <f t="shared" si="239"/>
        <v>0.23809523809523814</v>
      </c>
      <c r="AP163" s="447">
        <f t="shared" si="239"/>
        <v>0.2222222222222221</v>
      </c>
      <c r="AQ163" s="346">
        <v>0</v>
      </c>
      <c r="AR163" s="346">
        <v>0</v>
      </c>
      <c r="AS163" s="346">
        <v>0</v>
      </c>
      <c r="AT163" s="346">
        <v>0</v>
      </c>
      <c r="AU163" s="346">
        <v>0</v>
      </c>
      <c r="AV163" s="346">
        <v>0</v>
      </c>
      <c r="AW163" s="346">
        <v>0</v>
      </c>
      <c r="AX163" s="346">
        <v>0</v>
      </c>
      <c r="AY163" s="346">
        <v>0</v>
      </c>
      <c r="AZ163" s="346">
        <v>0</v>
      </c>
      <c r="BA163" s="223"/>
      <c r="BB163" s="668"/>
      <c r="BC163" s="668"/>
      <c r="BD163" s="668"/>
      <c r="BE163" s="668"/>
      <c r="BF163" s="668"/>
      <c r="BG163" s="668"/>
      <c r="BH163" s="598"/>
      <c r="BI163" s="667"/>
      <c r="BJ163" s="667"/>
      <c r="BK163" s="667"/>
      <c r="BL163" s="660"/>
      <c r="BM163" s="359"/>
      <c r="BN163" s="360"/>
      <c r="BO163" s="361"/>
      <c r="BP163" s="361"/>
      <c r="BQ163" s="603">
        <f>BQ146/BP146-1</f>
        <v>-5.2631578947368363E-2</v>
      </c>
      <c r="BR163" s="603">
        <f t="shared" ref="BR163:BZ163" si="240">BR146/BQ146-1</f>
        <v>5.555555555555558E-2</v>
      </c>
      <c r="BS163" s="603">
        <f t="shared" si="240"/>
        <v>0</v>
      </c>
      <c r="BT163" s="603">
        <f t="shared" si="240"/>
        <v>2.6315789473684292E-2</v>
      </c>
      <c r="BU163" s="604">
        <f t="shared" si="240"/>
        <v>0.23076923076923084</v>
      </c>
      <c r="BV163" s="603">
        <f t="shared" si="240"/>
        <v>0</v>
      </c>
      <c r="BW163" s="603">
        <f t="shared" si="240"/>
        <v>0</v>
      </c>
      <c r="BX163" s="603">
        <f t="shared" si="240"/>
        <v>0</v>
      </c>
      <c r="BY163" s="603">
        <f t="shared" si="240"/>
        <v>0</v>
      </c>
      <c r="BZ163" s="603">
        <f t="shared" si="240"/>
        <v>0</v>
      </c>
      <c r="CB163" s="23" t="s">
        <v>609</v>
      </c>
      <c r="DS163" s="603" t="e">
        <f>DS146/DT146-1</f>
        <v>#DIV/0!</v>
      </c>
    </row>
    <row r="164" spans="1:123" s="179" customFormat="1">
      <c r="A164" s="270"/>
      <c r="B164" s="243" t="s">
        <v>556</v>
      </c>
      <c r="C164" s="91"/>
      <c r="D164" s="91"/>
      <c r="E164" s="91"/>
      <c r="F164" s="91"/>
      <c r="G164" s="28"/>
      <c r="H164" s="617"/>
      <c r="I164" s="617"/>
      <c r="J164" s="617"/>
      <c r="K164" s="618"/>
      <c r="L164" s="617"/>
      <c r="M164" s="620"/>
      <c r="N164" s="620"/>
      <c r="O164" s="620"/>
      <c r="P164" s="620"/>
      <c r="Q164" s="620"/>
      <c r="R164" s="620"/>
      <c r="S164" s="620"/>
      <c r="T164" s="620"/>
      <c r="U164" s="620"/>
      <c r="V164" s="620"/>
      <c r="W164" s="620"/>
      <c r="X164" s="620"/>
      <c r="Y164" s="357"/>
      <c r="Z164" s="358"/>
      <c r="AA164" s="678">
        <f t="shared" ref="AA164:AP164" si="241">AA150/Y150-1</f>
        <v>-3.0421982335623099E-2</v>
      </c>
      <c r="AB164" s="678">
        <f t="shared" si="241"/>
        <v>0.19003819471509886</v>
      </c>
      <c r="AC164" s="678">
        <f t="shared" si="241"/>
        <v>0.28812415654520929</v>
      </c>
      <c r="AD164" s="678">
        <f t="shared" si="241"/>
        <v>0.23567171022466771</v>
      </c>
      <c r="AE164" s="678">
        <f t="shared" si="241"/>
        <v>0.24456521739130443</v>
      </c>
      <c r="AF164" s="678">
        <f t="shared" si="241"/>
        <v>7.664988073151302E-2</v>
      </c>
      <c r="AG164" s="678">
        <f t="shared" si="241"/>
        <v>5.3664439417056897E-2</v>
      </c>
      <c r="AH164" s="678">
        <f t="shared" si="241"/>
        <v>6.5432524247944768E-2</v>
      </c>
      <c r="AI164" s="678">
        <f t="shared" si="241"/>
        <v>9.9116193139261899E-2</v>
      </c>
      <c r="AJ164" s="678">
        <f t="shared" si="241"/>
        <v>-8.364140480591753E-3</v>
      </c>
      <c r="AK164" s="420">
        <f t="shared" si="241"/>
        <v>4.4339451208431635E-2</v>
      </c>
      <c r="AL164" s="420">
        <f t="shared" si="241"/>
        <v>0.26333939139754903</v>
      </c>
      <c r="AM164" s="420">
        <f t="shared" si="241"/>
        <v>0.12532625717765788</v>
      </c>
      <c r="AN164" s="420">
        <f t="shared" si="241"/>
        <v>0.12438214680929538</v>
      </c>
      <c r="AO164" s="420">
        <f t="shared" si="241"/>
        <v>0.19254706405350031</v>
      </c>
      <c r="AP164" s="447">
        <f t="shared" si="241"/>
        <v>9.3300964503641559E-2</v>
      </c>
      <c r="AQ164" s="346">
        <v>0.05</v>
      </c>
      <c r="AR164" s="346">
        <v>0.03</v>
      </c>
      <c r="AS164" s="346">
        <v>0.03</v>
      </c>
      <c r="AT164" s="346">
        <v>0.03</v>
      </c>
      <c r="AU164" s="346">
        <v>0.03</v>
      </c>
      <c r="AV164" s="346">
        <v>0.02</v>
      </c>
      <c r="AW164" s="346">
        <v>0.02</v>
      </c>
      <c r="AX164" s="346">
        <v>0.02</v>
      </c>
      <c r="AY164" s="346">
        <v>0.02</v>
      </c>
      <c r="AZ164" s="346">
        <v>0.02</v>
      </c>
      <c r="BA164" s="223"/>
      <c r="BB164" s="668"/>
      <c r="BC164" s="668"/>
      <c r="BD164" s="668"/>
      <c r="BE164" s="668"/>
      <c r="BF164" s="668"/>
      <c r="BG164" s="668"/>
      <c r="BH164" s="598"/>
      <c r="BI164" s="667"/>
      <c r="BJ164" s="667"/>
      <c r="BK164" s="667"/>
      <c r="BL164" s="660"/>
      <c r="BM164" s="359"/>
      <c r="BN164" s="360"/>
      <c r="BO164" s="678">
        <f t="shared" ref="BO164:BZ164" si="242">BO150/BM150-1</f>
        <v>0.36237378776389839</v>
      </c>
      <c r="BP164" s="678">
        <f t="shared" si="242"/>
        <v>0.44961840504368977</v>
      </c>
      <c r="BQ164" s="678">
        <f t="shared" si="242"/>
        <v>0.22058177344230612</v>
      </c>
      <c r="BR164" s="679">
        <f t="shared" si="242"/>
        <v>0.10562592196958143</v>
      </c>
      <c r="BS164" s="679">
        <f t="shared" si="242"/>
        <v>0.20234238126094994</v>
      </c>
      <c r="BT164" s="679">
        <f t="shared" si="242"/>
        <v>0.29628948034321745</v>
      </c>
      <c r="BU164" s="680">
        <f t="shared" si="242"/>
        <v>0.28100922192502709</v>
      </c>
      <c r="BV164" s="678">
        <f t="shared" si="242"/>
        <v>0.1839768593281399</v>
      </c>
      <c r="BW164" s="678">
        <f t="shared" si="242"/>
        <v>7.0802611568187679E-2</v>
      </c>
      <c r="BX164" s="678">
        <f t="shared" si="242"/>
        <v>5.5600769654133853E-2</v>
      </c>
      <c r="BY164" s="678">
        <f t="shared" si="242"/>
        <v>4.5352218492443086E-2</v>
      </c>
      <c r="BZ164" s="678">
        <f t="shared" si="242"/>
        <v>4.0399999999999769E-2</v>
      </c>
      <c r="CB164" s="23" t="s">
        <v>609</v>
      </c>
      <c r="DS164" s="678" t="e">
        <f>DS150/#REF!-1</f>
        <v>#REF!</v>
      </c>
    </row>
    <row r="165" spans="1:123" s="179" customFormat="1">
      <c r="A165" s="270"/>
      <c r="B165" s="243" t="s">
        <v>557</v>
      </c>
      <c r="C165" s="91"/>
      <c r="D165" s="91"/>
      <c r="E165" s="91"/>
      <c r="F165" s="91"/>
      <c r="G165" s="28"/>
      <c r="H165" s="617"/>
      <c r="I165" s="617"/>
      <c r="J165" s="617"/>
      <c r="K165" s="618"/>
      <c r="L165" s="617"/>
      <c r="M165" s="620"/>
      <c r="N165" s="620"/>
      <c r="O165" s="620"/>
      <c r="P165" s="620"/>
      <c r="Q165" s="620"/>
      <c r="R165" s="620"/>
      <c r="S165" s="620"/>
      <c r="T165" s="620"/>
      <c r="U165" s="620"/>
      <c r="V165" s="620"/>
      <c r="W165" s="620"/>
      <c r="X165" s="620"/>
      <c r="Y165" s="678">
        <f t="shared" ref="Y165:AP165" si="243">Y154/Y153</f>
        <v>-0.46562766865926558</v>
      </c>
      <c r="Z165" s="678">
        <f t="shared" si="243"/>
        <v>-0.54967997561718984</v>
      </c>
      <c r="AA165" s="678">
        <f t="shared" si="243"/>
        <v>-0.48198970840480276</v>
      </c>
      <c r="AB165" s="678">
        <f t="shared" si="243"/>
        <v>-0.55149330587023693</v>
      </c>
      <c r="AC165" s="678">
        <f t="shared" si="243"/>
        <v>-0.48991797676008209</v>
      </c>
      <c r="AD165" s="678">
        <f t="shared" si="243"/>
        <v>-0.25284946940914432</v>
      </c>
      <c r="AE165" s="678">
        <f t="shared" si="243"/>
        <v>-0.25275052036871842</v>
      </c>
      <c r="AF165" s="678">
        <f t="shared" si="243"/>
        <v>-0.2403988966687885</v>
      </c>
      <c r="AG165" s="678">
        <f t="shared" si="243"/>
        <v>-0.27563270603504214</v>
      </c>
      <c r="AH165" s="678">
        <f t="shared" si="243"/>
        <v>-0.2880130597014926</v>
      </c>
      <c r="AI165" s="678">
        <f t="shared" si="243"/>
        <v>-0.34192949907235615</v>
      </c>
      <c r="AJ165" s="678">
        <f t="shared" si="243"/>
        <v>-0.29296364111953971</v>
      </c>
      <c r="AK165" s="420">
        <f t="shared" si="243"/>
        <v>-0.24242424242424235</v>
      </c>
      <c r="AL165" s="420">
        <f t="shared" si="243"/>
        <v>-0.27091174437360782</v>
      </c>
      <c r="AM165" s="420">
        <f t="shared" si="243"/>
        <v>-0.22872077417531961</v>
      </c>
      <c r="AN165" s="431">
        <f t="shared" si="243"/>
        <v>-0.25141189161748839</v>
      </c>
      <c r="AO165" s="431">
        <f t="shared" si="243"/>
        <v>-0.23883021933387497</v>
      </c>
      <c r="AP165" s="449">
        <f t="shared" si="243"/>
        <v>-0.25988056096088036</v>
      </c>
      <c r="AQ165" s="433">
        <f t="shared" ref="AQ165:AZ166" si="244">AP165</f>
        <v>-0.25988056096088036</v>
      </c>
      <c r="AR165" s="433">
        <f t="shared" si="244"/>
        <v>-0.25988056096088036</v>
      </c>
      <c r="AS165" s="433">
        <f t="shared" si="244"/>
        <v>-0.25988056096088036</v>
      </c>
      <c r="AT165" s="433">
        <f t="shared" si="244"/>
        <v>-0.25988056096088036</v>
      </c>
      <c r="AU165" s="433">
        <f t="shared" si="244"/>
        <v>-0.25988056096088036</v>
      </c>
      <c r="AV165" s="433">
        <f t="shared" si="244"/>
        <v>-0.25988056096088036</v>
      </c>
      <c r="AW165" s="433">
        <f t="shared" si="244"/>
        <v>-0.25988056096088036</v>
      </c>
      <c r="AX165" s="433">
        <f t="shared" si="244"/>
        <v>-0.25988056096088036</v>
      </c>
      <c r="AY165" s="433">
        <f t="shared" si="244"/>
        <v>-0.25988056096088036</v>
      </c>
      <c r="AZ165" s="433">
        <f t="shared" si="244"/>
        <v>-0.25988056096088036</v>
      </c>
      <c r="BA165" s="223"/>
      <c r="BB165" s="668"/>
      <c r="BC165" s="668"/>
      <c r="BD165" s="668"/>
      <c r="BE165" s="668"/>
      <c r="BF165" s="668"/>
      <c r="BG165" s="668"/>
      <c r="BH165" s="598"/>
      <c r="BI165" s="667"/>
      <c r="BJ165" s="667"/>
      <c r="BK165" s="667"/>
      <c r="BL165" s="660"/>
      <c r="BM165" s="678">
        <f t="shared" ref="BM165:BZ165" si="245">BM154/BM153</f>
        <v>-0.51467188333629732</v>
      </c>
      <c r="BN165" s="678">
        <f t="shared" si="245"/>
        <v>-0.52347291586630817</v>
      </c>
      <c r="BO165" s="678">
        <f t="shared" si="245"/>
        <v>-0.35572858731924351</v>
      </c>
      <c r="BP165" s="678">
        <f t="shared" si="245"/>
        <v>-0.24554234769687969</v>
      </c>
      <c r="BQ165" s="678">
        <f t="shared" si="245"/>
        <v>-0.28283582089552239</v>
      </c>
      <c r="BR165" s="679">
        <f t="shared" si="245"/>
        <v>-0.3132095734888003</v>
      </c>
      <c r="BS165" s="679">
        <f t="shared" si="245"/>
        <v>-0.26161888003312284</v>
      </c>
      <c r="BT165" s="679">
        <f t="shared" si="245"/>
        <v>-0.24067388688327312</v>
      </c>
      <c r="BU165" s="680">
        <f t="shared" si="245"/>
        <v>-0.24898078043098429</v>
      </c>
      <c r="BV165" s="678">
        <f t="shared" si="245"/>
        <v>-0.25988056096088036</v>
      </c>
      <c r="BW165" s="678">
        <f t="shared" si="245"/>
        <v>-0.25988056096088041</v>
      </c>
      <c r="BX165" s="678">
        <f t="shared" si="245"/>
        <v>-0.2598805609608803</v>
      </c>
      <c r="BY165" s="678">
        <f t="shared" si="245"/>
        <v>-0.25988056096088036</v>
      </c>
      <c r="BZ165" s="678">
        <f t="shared" si="245"/>
        <v>-0.25988056096088036</v>
      </c>
      <c r="CB165" s="23" t="s">
        <v>609</v>
      </c>
      <c r="DS165" s="678" t="e">
        <f t="shared" ref="DS165" si="246">DS154/DS153</f>
        <v>#DIV/0!</v>
      </c>
    </row>
    <row r="166" spans="1:123" s="714" customFormat="1">
      <c r="A166" s="711"/>
      <c r="B166" s="23" t="s">
        <v>558</v>
      </c>
      <c r="C166" s="713"/>
      <c r="D166" s="713"/>
      <c r="E166" s="713"/>
      <c r="F166" s="713"/>
      <c r="H166" s="715"/>
      <c r="I166" s="715"/>
      <c r="J166" s="715"/>
      <c r="K166" s="716"/>
      <c r="L166" s="715"/>
      <c r="M166" s="673"/>
      <c r="N166" s="673"/>
      <c r="O166" s="673"/>
      <c r="P166" s="673"/>
      <c r="Q166" s="673"/>
      <c r="R166" s="673"/>
      <c r="S166" s="673"/>
      <c r="T166" s="673"/>
      <c r="U166" s="673"/>
      <c r="V166" s="673"/>
      <c r="W166" s="673"/>
      <c r="X166" s="673"/>
      <c r="Y166" s="357"/>
      <c r="Z166" s="358"/>
      <c r="AA166" s="357"/>
      <c r="AB166" s="358"/>
      <c r="AC166" s="675"/>
      <c r="AD166" s="675"/>
      <c r="AE166" s="758">
        <f t="shared" ref="AE166:AJ166" si="247">2*AE147/SUM(AE292:AE293)</f>
        <v>3.2471573843064882E-3</v>
      </c>
      <c r="AF166" s="758">
        <f t="shared" si="247"/>
        <v>1.6450682908974261E-3</v>
      </c>
      <c r="AG166" s="758">
        <f t="shared" si="247"/>
        <v>8.8436878178200313E-4</v>
      </c>
      <c r="AH166" s="758">
        <f t="shared" si="247"/>
        <v>7.0967284082038191E-4</v>
      </c>
      <c r="AI166" s="758">
        <f t="shared" si="247"/>
        <v>7.3380492529865856E-4</v>
      </c>
      <c r="AJ166" s="758">
        <f t="shared" si="247"/>
        <v>3.3757553252540258E-4</v>
      </c>
      <c r="AK166" s="431">
        <f t="shared" ref="AK166:AM166" si="248">2*AK147/SUM(AK292:AK293)</f>
        <v>9.7335158043096123E-4</v>
      </c>
      <c r="AL166" s="431">
        <f t="shared" ref="AL166:AP166" si="249">2*AL147/SUM(AL292:AL293)</f>
        <v>1.8383566428599482E-3</v>
      </c>
      <c r="AM166" s="431">
        <f t="shared" si="248"/>
        <v>2.9273817223433329E-3</v>
      </c>
      <c r="AN166" s="431">
        <f t="shared" si="249"/>
        <v>2.4877246337602892E-3</v>
      </c>
      <c r="AO166" s="431">
        <f t="shared" si="249"/>
        <v>2.9028910375658292E-3</v>
      </c>
      <c r="AP166" s="449">
        <f t="shared" si="249"/>
        <v>1.787525751542858E-3</v>
      </c>
      <c r="AQ166" s="641">
        <f t="shared" si="244"/>
        <v>1.787525751542858E-3</v>
      </c>
      <c r="AR166" s="641">
        <f t="shared" si="244"/>
        <v>1.787525751542858E-3</v>
      </c>
      <c r="AS166" s="641">
        <f t="shared" si="244"/>
        <v>1.787525751542858E-3</v>
      </c>
      <c r="AT166" s="641">
        <f t="shared" si="244"/>
        <v>1.787525751542858E-3</v>
      </c>
      <c r="AU166" s="641">
        <f t="shared" si="244"/>
        <v>1.787525751542858E-3</v>
      </c>
      <c r="AV166" s="641">
        <f t="shared" si="244"/>
        <v>1.787525751542858E-3</v>
      </c>
      <c r="AW166" s="641">
        <f t="shared" si="244"/>
        <v>1.787525751542858E-3</v>
      </c>
      <c r="AX166" s="641">
        <f t="shared" si="244"/>
        <v>1.787525751542858E-3</v>
      </c>
      <c r="AY166" s="641">
        <f t="shared" si="244"/>
        <v>1.787525751542858E-3</v>
      </c>
      <c r="AZ166" s="641">
        <f t="shared" si="244"/>
        <v>1.787525751542858E-3</v>
      </c>
      <c r="BA166" s="735"/>
      <c r="BB166" s="736"/>
      <c r="BC166" s="736"/>
      <c r="BD166" s="736"/>
      <c r="BE166" s="736"/>
      <c r="BF166" s="736"/>
      <c r="BG166" s="736"/>
      <c r="BH166" s="737"/>
      <c r="BI166" s="673"/>
      <c r="BJ166" s="673"/>
      <c r="BK166" s="673"/>
      <c r="BL166" s="673"/>
      <c r="BM166" s="673"/>
      <c r="BN166" s="673"/>
      <c r="BO166" s="758"/>
      <c r="BP166" s="758">
        <f t="shared" ref="BP166:BW166" si="250">BP147/SUM(BP292:BP293)</f>
        <v>2.0563353636217827E-3</v>
      </c>
      <c r="BQ166" s="758">
        <f t="shared" si="250"/>
        <v>7.0967284082038191E-4</v>
      </c>
      <c r="BR166" s="758">
        <f t="shared" si="250"/>
        <v>3.3757553252540258E-4</v>
      </c>
      <c r="BS166" s="758">
        <f t="shared" ref="BS166" si="251">BS147/SUM(BS292:BS293)</f>
        <v>1.3369866493526895E-3</v>
      </c>
      <c r="BT166" s="758">
        <f t="shared" si="250"/>
        <v>2.4877246337602892E-3</v>
      </c>
      <c r="BU166" s="759">
        <f t="shared" si="250"/>
        <v>2.2344071894285725E-3</v>
      </c>
      <c r="BV166" s="758">
        <f t="shared" si="250"/>
        <v>1.6490721380868038E-3</v>
      </c>
      <c r="BW166" s="758">
        <f t="shared" si="250"/>
        <v>1.6011891132172143E-3</v>
      </c>
      <c r="BX166" s="758">
        <f t="shared" ref="BX166:BZ166" si="252">BX147/SUM(BX292:BX293)</f>
        <v>1.5533339907228818E-3</v>
      </c>
      <c r="BY166" s="758">
        <f t="shared" si="252"/>
        <v>1.5066574165457311E-3</v>
      </c>
      <c r="BZ166" s="758">
        <f t="shared" si="252"/>
        <v>1.4613035229262413E-3</v>
      </c>
      <c r="CB166" s="23" t="s">
        <v>609</v>
      </c>
      <c r="DS166" s="758" t="e">
        <f t="shared" ref="DS166" si="253">DS147/SUM(DS292:DS293)</f>
        <v>#DIV/0!</v>
      </c>
    </row>
    <row r="167" spans="1:123" s="714" customFormat="1">
      <c r="A167" s="711"/>
      <c r="B167" s="23" t="s">
        <v>519</v>
      </c>
      <c r="C167" s="713"/>
      <c r="D167" s="713"/>
      <c r="E167" s="713"/>
      <c r="F167" s="713"/>
      <c r="H167" s="715"/>
      <c r="I167" s="715"/>
      <c r="J167" s="715"/>
      <c r="K167" s="716"/>
      <c r="L167" s="715"/>
      <c r="M167" s="673"/>
      <c r="N167" s="673"/>
      <c r="O167" s="673"/>
      <c r="P167" s="673"/>
      <c r="Q167" s="673"/>
      <c r="R167" s="673"/>
      <c r="S167" s="673"/>
      <c r="T167" s="673"/>
      <c r="U167" s="673"/>
      <c r="V167" s="673"/>
      <c r="W167" s="673"/>
      <c r="X167" s="673"/>
      <c r="Y167" s="673"/>
      <c r="Z167" s="673"/>
      <c r="AA167" s="673"/>
      <c r="AB167" s="673"/>
      <c r="AC167" s="731"/>
      <c r="AD167" s="206"/>
      <c r="AE167" s="758"/>
      <c r="AF167" s="758"/>
      <c r="AG167" s="758"/>
      <c r="AH167" s="758"/>
      <c r="AI167" s="758"/>
      <c r="AJ167" s="758"/>
      <c r="AK167" s="627"/>
      <c r="AL167" s="627"/>
      <c r="AM167" s="627"/>
      <c r="AN167" s="627"/>
      <c r="AO167" s="627"/>
      <c r="AP167" s="686"/>
      <c r="AQ167" s="687">
        <f t="shared" ref="AQ167:AT167" si="254">AQ166*SUM(AQ292:AQ293)/2</f>
        <v>1.2122837457823104</v>
      </c>
      <c r="AR167" s="687">
        <f t="shared" si="254"/>
        <v>1.3023889110161073</v>
      </c>
      <c r="AS167" s="687">
        <f t="shared" si="254"/>
        <v>1.3119691798099697</v>
      </c>
      <c r="AT167" s="687">
        <f t="shared" si="254"/>
        <v>1.4097445729855289</v>
      </c>
      <c r="AU167" s="687">
        <f t="shared" ref="AU167:AV167" si="255">AU166*SUM(AU292:AU293)/2</f>
        <v>1.4227194256391629</v>
      </c>
      <c r="AV167" s="687">
        <f t="shared" si="255"/>
        <v>1.527287967460357</v>
      </c>
      <c r="AW167" s="687">
        <f t="shared" ref="AW167:AZ167" si="256">AW166*SUM(AW292:AW293)/2</f>
        <v>1.542654964798382</v>
      </c>
      <c r="AX167" s="687">
        <f t="shared" si="256"/>
        <v>1.6549084682980715</v>
      </c>
      <c r="AY167" s="687">
        <f t="shared" si="256"/>
        <v>1.6728611777354472</v>
      </c>
      <c r="AZ167" s="687">
        <f t="shared" si="256"/>
        <v>1.7932910325219564</v>
      </c>
      <c r="BA167" s="735"/>
      <c r="BB167" s="736"/>
      <c r="BC167" s="736"/>
      <c r="BD167" s="736"/>
      <c r="BE167" s="736"/>
      <c r="BF167" s="736"/>
      <c r="BG167" s="736"/>
      <c r="BH167" s="737"/>
      <c r="BI167" s="673"/>
      <c r="BJ167" s="673"/>
      <c r="BK167" s="673"/>
      <c r="BL167" s="673"/>
      <c r="BM167" s="673"/>
      <c r="BN167" s="673"/>
      <c r="BO167" s="758"/>
      <c r="BP167" s="758"/>
      <c r="BQ167" s="758"/>
      <c r="BR167" s="758"/>
      <c r="BS167" s="758"/>
      <c r="BT167" s="758"/>
      <c r="BU167" s="759"/>
      <c r="BV167" s="758"/>
      <c r="BW167" s="758"/>
      <c r="BX167" s="758"/>
      <c r="BY167" s="758"/>
      <c r="BZ167" s="758"/>
      <c r="CB167" s="23" t="s">
        <v>609</v>
      </c>
      <c r="DS167" s="758"/>
    </row>
    <row r="168" spans="1:123" s="714" customFormat="1">
      <c r="A168" s="711"/>
      <c r="B168" s="23" t="s">
        <v>511</v>
      </c>
      <c r="C168" s="713"/>
      <c r="D168" s="713"/>
      <c r="E168" s="713"/>
      <c r="F168" s="713"/>
      <c r="H168" s="715"/>
      <c r="I168" s="715"/>
      <c r="J168" s="715"/>
      <c r="K168" s="716"/>
      <c r="L168" s="715"/>
      <c r="M168" s="673"/>
      <c r="N168" s="673"/>
      <c r="O168" s="673"/>
      <c r="P168" s="673"/>
      <c r="Q168" s="673"/>
      <c r="R168" s="673"/>
      <c r="S168" s="673"/>
      <c r="T168" s="673"/>
      <c r="U168" s="673"/>
      <c r="V168" s="673"/>
      <c r="W168" s="673"/>
      <c r="X168" s="673"/>
      <c r="Y168" s="357"/>
      <c r="Z168" s="358"/>
      <c r="AA168" s="357"/>
      <c r="AB168" s="358"/>
      <c r="AC168" s="675"/>
      <c r="AD168" s="675"/>
      <c r="AE168" s="683">
        <f t="shared" ref="AE168:AP168" si="257">-2*AE152/SUM(AE395,AE396,AE404,AE405)</f>
        <v>2.7618682939149267E-2</v>
      </c>
      <c r="AF168" s="683">
        <f t="shared" si="257"/>
        <v>1.0495836473031742E-2</v>
      </c>
      <c r="AG168" s="683">
        <f t="shared" si="257"/>
        <v>7.5347029046726119E-3</v>
      </c>
      <c r="AH168" s="683">
        <f t="shared" si="257"/>
        <v>9.2211178715845572E-3</v>
      </c>
      <c r="AI168" s="683">
        <f t="shared" si="257"/>
        <v>9.0165432953559724E-3</v>
      </c>
      <c r="AJ168" s="683">
        <f t="shared" si="257"/>
        <v>3.2351721277478339E-2</v>
      </c>
      <c r="AK168" s="431">
        <f t="shared" si="257"/>
        <v>1.1246573309694691E-3</v>
      </c>
      <c r="AL168" s="431">
        <f t="shared" si="257"/>
        <v>2.5593436463386523E-3</v>
      </c>
      <c r="AM168" s="431">
        <f t="shared" si="257"/>
        <v>2.0960355742341581E-3</v>
      </c>
      <c r="AN168" s="431">
        <f t="shared" si="257"/>
        <v>4.595055554635622E-3</v>
      </c>
      <c r="AO168" s="431">
        <f t="shared" si="257"/>
        <v>3.7631722701827008E-3</v>
      </c>
      <c r="AP168" s="449">
        <f t="shared" si="257"/>
        <v>-3.0686949278856373E-4</v>
      </c>
      <c r="AQ168" s="641">
        <f t="shared" ref="AQ168:AZ168" si="258">AP168</f>
        <v>-3.0686949278856373E-4</v>
      </c>
      <c r="AR168" s="641">
        <f t="shared" si="258"/>
        <v>-3.0686949278856373E-4</v>
      </c>
      <c r="AS168" s="641">
        <f t="shared" si="258"/>
        <v>-3.0686949278856373E-4</v>
      </c>
      <c r="AT168" s="641">
        <f t="shared" si="258"/>
        <v>-3.0686949278856373E-4</v>
      </c>
      <c r="AU168" s="641">
        <f t="shared" si="258"/>
        <v>-3.0686949278856373E-4</v>
      </c>
      <c r="AV168" s="641">
        <f t="shared" si="258"/>
        <v>-3.0686949278856373E-4</v>
      </c>
      <c r="AW168" s="641">
        <f t="shared" si="258"/>
        <v>-3.0686949278856373E-4</v>
      </c>
      <c r="AX168" s="641">
        <f t="shared" si="258"/>
        <v>-3.0686949278856373E-4</v>
      </c>
      <c r="AY168" s="641">
        <f t="shared" si="258"/>
        <v>-3.0686949278856373E-4</v>
      </c>
      <c r="AZ168" s="641">
        <f t="shared" si="258"/>
        <v>-3.0686949278856373E-4</v>
      </c>
      <c r="BA168" s="735"/>
      <c r="BB168" s="736"/>
      <c r="BC168" s="736"/>
      <c r="BD168" s="736"/>
      <c r="BE168" s="736"/>
      <c r="BF168" s="736"/>
      <c r="BG168" s="736"/>
      <c r="BH168" s="737"/>
      <c r="BI168" s="673"/>
      <c r="BJ168" s="673"/>
      <c r="BK168" s="673"/>
      <c r="BL168" s="673"/>
      <c r="BM168" s="673"/>
      <c r="BN168" s="673"/>
      <c r="BO168" s="683"/>
      <c r="BP168" s="683">
        <f t="shared" ref="BP168:BZ168" si="259">-BP152/SUM(BP395,BP396,BP404,BP405)</f>
        <v>0</v>
      </c>
      <c r="BQ168" s="683">
        <f t="shared" si="259"/>
        <v>0</v>
      </c>
      <c r="BR168" s="683">
        <f t="shared" si="259"/>
        <v>3.1682744410698335E-2</v>
      </c>
      <c r="BS168" s="683">
        <f t="shared" si="259"/>
        <v>1.9331212647877005E-3</v>
      </c>
      <c r="BT168" s="683">
        <f t="shared" si="259"/>
        <v>3.3876460620511912E-3</v>
      </c>
      <c r="BU168" s="684">
        <f t="shared" si="259"/>
        <v>1.5291285950178625E-3</v>
      </c>
      <c r="BV168" s="683">
        <f t="shared" si="259"/>
        <v>3.3400761119844022E-3</v>
      </c>
      <c r="BW168" s="683">
        <f t="shared" si="259"/>
        <v>3.3400761119844022E-3</v>
      </c>
      <c r="BX168" s="683">
        <f t="shared" si="259"/>
        <v>3.3400761119844022E-3</v>
      </c>
      <c r="BY168" s="683">
        <f t="shared" si="259"/>
        <v>3.3400761119844022E-3</v>
      </c>
      <c r="BZ168" s="683">
        <f t="shared" si="259"/>
        <v>3.3400761119844022E-3</v>
      </c>
      <c r="CB168" s="23" t="s">
        <v>609</v>
      </c>
      <c r="DS168" s="683" t="e">
        <f t="shared" ref="DS168" si="260">-DS152/SUM(DS395,DS396,DS404,DS405)</f>
        <v>#DIV/0!</v>
      </c>
    </row>
    <row r="169" spans="1:123" s="179" customFormat="1">
      <c r="A169" s="270"/>
      <c r="B169" s="243"/>
      <c r="C169" s="91"/>
      <c r="D169" s="91"/>
      <c r="E169" s="91"/>
      <c r="F169" s="91"/>
      <c r="G169" s="28"/>
      <c r="H169" s="617"/>
      <c r="I169" s="617"/>
      <c r="J169" s="617"/>
      <c r="K169" s="618"/>
      <c r="L169" s="617"/>
      <c r="M169" s="620"/>
      <c r="N169" s="620"/>
      <c r="O169" s="620"/>
      <c r="P169" s="620"/>
      <c r="Q169" s="620"/>
      <c r="R169" s="620"/>
      <c r="S169" s="620"/>
      <c r="T169" s="620"/>
      <c r="U169" s="620"/>
      <c r="V169" s="620"/>
      <c r="W169" s="620"/>
      <c r="X169" s="620"/>
      <c r="Y169" s="207"/>
      <c r="Z169" s="183"/>
      <c r="AA169" s="207"/>
      <c r="AB169" s="183"/>
      <c r="AC169" s="207"/>
      <c r="AD169" s="183"/>
      <c r="AE169" s="678"/>
      <c r="AF169" s="678"/>
      <c r="AG169" s="678"/>
      <c r="AH169" s="678"/>
      <c r="AI169" s="678"/>
      <c r="AJ169" s="678"/>
      <c r="AK169" s="420"/>
      <c r="AL169" s="420"/>
      <c r="AM169" s="420"/>
      <c r="AN169" s="420"/>
      <c r="AO169" s="420"/>
      <c r="AP169" s="447"/>
      <c r="AQ169" s="346"/>
      <c r="AR169" s="346"/>
      <c r="AS169" s="346"/>
      <c r="AT169" s="346"/>
      <c r="AU169" s="346"/>
      <c r="AV169" s="346"/>
      <c r="AW169" s="346"/>
      <c r="AX169" s="346"/>
      <c r="AY169" s="346"/>
      <c r="AZ169" s="346"/>
      <c r="BA169" s="223"/>
      <c r="BB169" s="668"/>
      <c r="BC169" s="668"/>
      <c r="BD169" s="668"/>
      <c r="BE169" s="668"/>
      <c r="BF169" s="668"/>
      <c r="BG169" s="668"/>
      <c r="BH169" s="598"/>
      <c r="BI169" s="667"/>
      <c r="BJ169" s="667"/>
      <c r="BK169" s="667"/>
      <c r="BL169" s="660"/>
      <c r="BM169" s="207"/>
      <c r="BN169" s="207"/>
      <c r="BO169" s="207"/>
      <c r="BP169" s="207"/>
      <c r="BQ169" s="207"/>
      <c r="BR169" s="207"/>
      <c r="BS169" s="207"/>
      <c r="BT169" s="198"/>
      <c r="BU169" s="501"/>
      <c r="BV169" s="198"/>
      <c r="BW169" s="198"/>
      <c r="BX169" s="198"/>
      <c r="BY169" s="198"/>
      <c r="BZ169" s="198"/>
      <c r="DS169" s="198"/>
    </row>
    <row r="170" spans="1:123" s="341" customFormat="1">
      <c r="A170" s="338"/>
      <c r="B170" s="356" t="s">
        <v>551</v>
      </c>
      <c r="C170" s="340"/>
      <c r="D170" s="340"/>
      <c r="E170" s="340"/>
      <c r="F170" s="340"/>
      <c r="H170" s="342"/>
      <c r="I170" s="342"/>
      <c r="J170" s="342"/>
      <c r="K170" s="343"/>
      <c r="L170" s="342"/>
      <c r="M170" s="342"/>
      <c r="N170" s="342"/>
      <c r="O170" s="342"/>
      <c r="P170" s="344"/>
      <c r="Q170" s="344"/>
      <c r="R170" s="344"/>
      <c r="S170" s="344"/>
      <c r="T170" s="344"/>
      <c r="U170" s="345"/>
      <c r="V170" s="345"/>
      <c r="W170" s="345"/>
      <c r="X170" s="345"/>
      <c r="Y170" s="345"/>
      <c r="Z170" s="345"/>
      <c r="AA170" s="167"/>
      <c r="AB170" s="167"/>
      <c r="AC170" s="167"/>
      <c r="AD170" s="167"/>
      <c r="AE170" s="167"/>
      <c r="AF170" s="167"/>
      <c r="AG170" s="167"/>
      <c r="AH170" s="167"/>
      <c r="AI170" s="167"/>
      <c r="AJ170" s="167"/>
      <c r="AK170" s="346"/>
      <c r="AL170" s="346"/>
      <c r="AM170" s="346"/>
      <c r="AN170" s="346"/>
      <c r="AO170" s="346"/>
      <c r="AP170" s="451"/>
      <c r="AQ170" s="346"/>
      <c r="AR170" s="346"/>
      <c r="AS170" s="346"/>
      <c r="AT170" s="346"/>
      <c r="AU170" s="346"/>
      <c r="AV170" s="346"/>
      <c r="AW170" s="346"/>
      <c r="AX170" s="346"/>
      <c r="AY170" s="346"/>
      <c r="AZ170" s="346"/>
      <c r="BA170" s="347"/>
      <c r="BB170" s="347"/>
      <c r="BC170" s="347"/>
      <c r="BD170" s="347"/>
      <c r="BE170" s="347"/>
      <c r="BF170" s="347"/>
      <c r="BG170" s="347"/>
      <c r="BH170" s="348"/>
      <c r="BI170" s="349"/>
      <c r="BJ170" s="350"/>
      <c r="BK170" s="350"/>
      <c r="BL170" s="350"/>
      <c r="BM170" s="351"/>
      <c r="BN170" s="352"/>
      <c r="BO170" s="353"/>
      <c r="BP170" s="353"/>
      <c r="BQ170" s="353"/>
      <c r="BR170" s="353"/>
      <c r="BS170" s="353"/>
      <c r="BT170" s="354"/>
      <c r="BU170" s="503"/>
      <c r="BV170" s="354"/>
      <c r="BW170" s="354"/>
      <c r="BX170" s="354"/>
      <c r="BY170" s="354"/>
      <c r="BZ170" s="354"/>
      <c r="DS170" s="354"/>
    </row>
    <row r="171" spans="1:123" s="179" customFormat="1">
      <c r="A171" s="270"/>
      <c r="B171" s="243" t="s">
        <v>552</v>
      </c>
      <c r="C171" s="91"/>
      <c r="D171" s="91"/>
      <c r="E171" s="91"/>
      <c r="F171" s="91"/>
      <c r="G171" s="28"/>
      <c r="H171" s="617"/>
      <c r="I171" s="617"/>
      <c r="J171" s="617"/>
      <c r="K171" s="618"/>
      <c r="L171" s="617"/>
      <c r="M171" s="620"/>
      <c r="N171" s="620"/>
      <c r="O171" s="620"/>
      <c r="P171" s="620"/>
      <c r="Q171" s="620"/>
      <c r="R171" s="620"/>
      <c r="S171" s="620"/>
      <c r="T171" s="620"/>
      <c r="U171" s="620"/>
      <c r="V171" s="620"/>
      <c r="W171" s="620"/>
      <c r="X171" s="620"/>
      <c r="Y171" s="357"/>
      <c r="Z171" s="358"/>
      <c r="AA171" s="358"/>
      <c r="AB171" s="358"/>
      <c r="AC171" s="358"/>
      <c r="AD171" s="358"/>
      <c r="AE171" s="358"/>
      <c r="AF171" s="358"/>
      <c r="AG171" s="679">
        <f t="shared" ref="AG171:AZ171" si="261">AG146/AE146-1</f>
        <v>-5.0000000000000044E-2</v>
      </c>
      <c r="AH171" s="679">
        <f t="shared" si="261"/>
        <v>-5.5555555555555358E-2</v>
      </c>
      <c r="AI171" s="679">
        <f t="shared" si="261"/>
        <v>0</v>
      </c>
      <c r="AJ171" s="679">
        <f t="shared" si="261"/>
        <v>0.11764705882352922</v>
      </c>
      <c r="AK171" s="679">
        <f t="shared" si="261"/>
        <v>-0.10526315789473684</v>
      </c>
      <c r="AL171" s="679">
        <f t="shared" si="261"/>
        <v>0.10526315789473673</v>
      </c>
      <c r="AM171" s="679">
        <f t="shared" si="261"/>
        <v>0.23529411764705888</v>
      </c>
      <c r="AN171" s="679">
        <f t="shared" si="261"/>
        <v>-0.14285714285714279</v>
      </c>
      <c r="AO171" s="679">
        <f t="shared" si="261"/>
        <v>0.23809523809523814</v>
      </c>
      <c r="AP171" s="680">
        <f t="shared" si="261"/>
        <v>0.2222222222222221</v>
      </c>
      <c r="AQ171" s="679">
        <f t="shared" si="261"/>
        <v>0</v>
      </c>
      <c r="AR171" s="679">
        <f t="shared" si="261"/>
        <v>0</v>
      </c>
      <c r="AS171" s="679">
        <f t="shared" si="261"/>
        <v>0</v>
      </c>
      <c r="AT171" s="679">
        <f t="shared" si="261"/>
        <v>0</v>
      </c>
      <c r="AU171" s="679">
        <f t="shared" si="261"/>
        <v>0</v>
      </c>
      <c r="AV171" s="679">
        <f t="shared" si="261"/>
        <v>0</v>
      </c>
      <c r="AW171" s="679">
        <f t="shared" si="261"/>
        <v>0</v>
      </c>
      <c r="AX171" s="679">
        <f t="shared" si="261"/>
        <v>0</v>
      </c>
      <c r="AY171" s="679">
        <f t="shared" si="261"/>
        <v>0</v>
      </c>
      <c r="AZ171" s="679">
        <f t="shared" si="261"/>
        <v>0</v>
      </c>
      <c r="BA171" s="223"/>
      <c r="BB171" s="668"/>
      <c r="BC171" s="668"/>
      <c r="BD171" s="668"/>
      <c r="BE171" s="668"/>
      <c r="BF171" s="668"/>
      <c r="BG171" s="668"/>
      <c r="BH171" s="598"/>
      <c r="BI171" s="667"/>
      <c r="BJ171" s="667"/>
      <c r="BK171" s="667"/>
      <c r="BL171" s="660"/>
      <c r="BM171" s="359"/>
      <c r="BN171" s="359"/>
      <c r="BO171" s="359"/>
      <c r="BP171" s="359"/>
      <c r="BQ171" s="678">
        <f t="shared" ref="BQ171:BZ171" si="262">BQ146/BP146-1</f>
        <v>-5.2631578947368363E-2</v>
      </c>
      <c r="BR171" s="679">
        <f t="shared" si="262"/>
        <v>5.555555555555558E-2</v>
      </c>
      <c r="BS171" s="679">
        <f t="shared" si="262"/>
        <v>0</v>
      </c>
      <c r="BT171" s="679">
        <f t="shared" si="262"/>
        <v>2.6315789473684292E-2</v>
      </c>
      <c r="BU171" s="680">
        <f t="shared" si="262"/>
        <v>0.23076923076923084</v>
      </c>
      <c r="BV171" s="678">
        <f t="shared" si="262"/>
        <v>0</v>
      </c>
      <c r="BW171" s="678">
        <f t="shared" si="262"/>
        <v>0</v>
      </c>
      <c r="BX171" s="678">
        <f t="shared" si="262"/>
        <v>0</v>
      </c>
      <c r="BY171" s="678">
        <f t="shared" si="262"/>
        <v>0</v>
      </c>
      <c r="BZ171" s="678">
        <f t="shared" si="262"/>
        <v>0</v>
      </c>
      <c r="CB171" s="23" t="s">
        <v>609</v>
      </c>
      <c r="DS171" s="678" t="e">
        <f>DS146/DT146-1</f>
        <v>#DIV/0!</v>
      </c>
    </row>
    <row r="172" spans="1:123" s="179" customFormat="1">
      <c r="A172" s="270"/>
      <c r="B172" s="243" t="s">
        <v>553</v>
      </c>
      <c r="C172" s="91"/>
      <c r="D172" s="91"/>
      <c r="E172" s="91"/>
      <c r="F172" s="91"/>
      <c r="G172" s="28"/>
      <c r="H172" s="617"/>
      <c r="I172" s="617"/>
      <c r="J172" s="617"/>
      <c r="K172" s="618"/>
      <c r="L172" s="617"/>
      <c r="M172" s="620"/>
      <c r="N172" s="620"/>
      <c r="O172" s="620"/>
      <c r="P172" s="620"/>
      <c r="Q172" s="620"/>
      <c r="R172" s="620"/>
      <c r="S172" s="620"/>
      <c r="T172" s="620"/>
      <c r="U172" s="620"/>
      <c r="V172" s="620"/>
      <c r="W172" s="620"/>
      <c r="X172" s="620"/>
      <c r="Y172" s="357"/>
      <c r="Z172" s="358"/>
      <c r="AA172" s="679">
        <f t="shared" ref="AA172:AZ172" si="263">AA149/Y149-1</f>
        <v>1.2080387463118569E-2</v>
      </c>
      <c r="AB172" s="679">
        <f t="shared" si="263"/>
        <v>0.18607266859015104</v>
      </c>
      <c r="AC172" s="679">
        <f t="shared" si="263"/>
        <v>0.22761276127612762</v>
      </c>
      <c r="AD172" s="679">
        <f t="shared" si="263"/>
        <v>0.16780737197987983</v>
      </c>
      <c r="AE172" s="679">
        <f t="shared" si="263"/>
        <v>0.22896316874271894</v>
      </c>
      <c r="AF172" s="679">
        <f t="shared" si="263"/>
        <v>9.8326507555429821E-2</v>
      </c>
      <c r="AG172" s="679">
        <f t="shared" si="263"/>
        <v>-5.1042730056876096E-3</v>
      </c>
      <c r="AH172" s="679">
        <f t="shared" si="263"/>
        <v>6.5897328747306361E-3</v>
      </c>
      <c r="AI172" s="679">
        <f t="shared" si="263"/>
        <v>4.6650542362943304E-2</v>
      </c>
      <c r="AJ172" s="679">
        <f t="shared" si="263"/>
        <v>-3.1934597943411802E-2</v>
      </c>
      <c r="AK172" s="679">
        <f t="shared" si="263"/>
        <v>4.0684849970239023E-2</v>
      </c>
      <c r="AL172" s="679">
        <f t="shared" si="263"/>
        <v>0.35043214356402963</v>
      </c>
      <c r="AM172" s="679">
        <f t="shared" si="263"/>
        <v>0.37321266359384997</v>
      </c>
      <c r="AN172" s="679">
        <f t="shared" si="263"/>
        <v>0.17023719373671731</v>
      </c>
      <c r="AO172" s="679">
        <f t="shared" si="263"/>
        <v>0.18740199921599365</v>
      </c>
      <c r="AP172" s="680">
        <f t="shared" si="263"/>
        <v>3.1311317997745558E-2</v>
      </c>
      <c r="AQ172" s="679">
        <f t="shared" si="263"/>
        <v>-1.5837747224058063E-2</v>
      </c>
      <c r="AR172" s="679">
        <f t="shared" si="263"/>
        <v>3.6736428773833429E-2</v>
      </c>
      <c r="AS172" s="679">
        <f t="shared" si="263"/>
        <v>4.8219975628758904E-2</v>
      </c>
      <c r="AT172" s="679">
        <f t="shared" si="263"/>
        <v>4.880949220046471E-2</v>
      </c>
      <c r="AU172" s="679">
        <f t="shared" si="263"/>
        <v>4.8347861674193249E-2</v>
      </c>
      <c r="AV172" s="679">
        <f t="shared" si="263"/>
        <v>4.8911434044194735E-2</v>
      </c>
      <c r="AW172" s="679">
        <f t="shared" si="263"/>
        <v>4.8470173381599535E-2</v>
      </c>
      <c r="AX172" s="679">
        <f t="shared" si="263"/>
        <v>4.900882525633965E-2</v>
      </c>
      <c r="AY172" s="679">
        <f t="shared" si="263"/>
        <v>4.858712581184732E-2</v>
      </c>
      <c r="AZ172" s="679">
        <f t="shared" si="263"/>
        <v>4.9101851294555354E-2</v>
      </c>
      <c r="BA172" s="223"/>
      <c r="BB172" s="668"/>
      <c r="BC172" s="668"/>
      <c r="BD172" s="668"/>
      <c r="BE172" s="668"/>
      <c r="BF172" s="668"/>
      <c r="BG172" s="668"/>
      <c r="BH172" s="598"/>
      <c r="BI172" s="667"/>
      <c r="BJ172" s="667"/>
      <c r="BK172" s="667"/>
      <c r="BL172" s="660"/>
      <c r="BM172" s="359"/>
      <c r="BN172" s="678">
        <f t="shared" ref="BN172:BZ172" si="264">BN149/BM149-1</f>
        <v>0.10470686243882121</v>
      </c>
      <c r="BO172" s="678">
        <f t="shared" si="264"/>
        <v>0.19342979686100792</v>
      </c>
      <c r="BP172" s="678">
        <f t="shared" si="264"/>
        <v>0.15589826626120606</v>
      </c>
      <c r="BQ172" s="678">
        <f t="shared" si="264"/>
        <v>1.1104088012710012E-3</v>
      </c>
      <c r="BR172" s="679">
        <f t="shared" si="264"/>
        <v>4.6585440769939535E-3</v>
      </c>
      <c r="BS172" s="679">
        <f t="shared" si="264"/>
        <v>0.20016985138004251</v>
      </c>
      <c r="BT172" s="679">
        <f t="shared" si="264"/>
        <v>0.25561845457118593</v>
      </c>
      <c r="BU172" s="680">
        <f t="shared" si="264"/>
        <v>0.1031198575325174</v>
      </c>
      <c r="BV172" s="678">
        <f t="shared" si="264"/>
        <v>1.0702083158300679E-2</v>
      </c>
      <c r="BW172" s="678">
        <f t="shared" si="264"/>
        <v>4.8525233509205012E-2</v>
      </c>
      <c r="BX172" s="678">
        <f t="shared" si="264"/>
        <v>4.8639764488535464E-2</v>
      </c>
      <c r="BY172" s="678">
        <f t="shared" si="264"/>
        <v>4.8749240881957423E-2</v>
      </c>
      <c r="BZ172" s="678">
        <f t="shared" si="264"/>
        <v>4.8853863411477016E-2</v>
      </c>
      <c r="CB172" s="23" t="s">
        <v>609</v>
      </c>
      <c r="DS172" s="678" t="e">
        <f>DS149/DT149-1</f>
        <v>#DIV/0!</v>
      </c>
    </row>
    <row r="173" spans="1:123" s="179" customFormat="1">
      <c r="A173" s="270"/>
      <c r="B173" s="243" t="s">
        <v>555</v>
      </c>
      <c r="C173" s="91"/>
      <c r="D173" s="91"/>
      <c r="E173" s="91"/>
      <c r="F173" s="91"/>
      <c r="G173" s="28"/>
      <c r="H173" s="617"/>
      <c r="I173" s="617"/>
      <c r="J173" s="617"/>
      <c r="K173" s="618"/>
      <c r="L173" s="617"/>
      <c r="M173" s="620"/>
      <c r="N173" s="620"/>
      <c r="O173" s="620"/>
      <c r="P173" s="620"/>
      <c r="Q173" s="620"/>
      <c r="R173" s="620"/>
      <c r="S173" s="620"/>
      <c r="T173" s="620"/>
      <c r="U173" s="620"/>
      <c r="V173" s="620"/>
      <c r="W173" s="620"/>
      <c r="X173" s="620"/>
      <c r="Y173" s="357"/>
      <c r="Z173" s="358"/>
      <c r="AA173" s="679">
        <f t="shared" ref="AA173:AZ173" si="265">AA151/Y151-1</f>
        <v>0.10270270270270254</v>
      </c>
      <c r="AB173" s="679">
        <f t="shared" si="265"/>
        <v>0.17939632545931716</v>
      </c>
      <c r="AC173" s="679">
        <f t="shared" si="265"/>
        <v>0.11416824794433933</v>
      </c>
      <c r="AD173" s="679">
        <f t="shared" si="265"/>
        <v>5.2520307110270892E-2</v>
      </c>
      <c r="AE173" s="679">
        <f t="shared" si="265"/>
        <v>0.19514618223105273</v>
      </c>
      <c r="AF173" s="679">
        <f t="shared" si="265"/>
        <v>0.14155830426049265</v>
      </c>
      <c r="AG173" s="679">
        <f t="shared" si="265"/>
        <v>-0.13775086094288091</v>
      </c>
      <c r="AH173" s="679">
        <f t="shared" si="265"/>
        <v>-0.10409335062048575</v>
      </c>
      <c r="AI173" s="679">
        <f t="shared" si="265"/>
        <v>-9.805811871643022E-2</v>
      </c>
      <c r="AJ173" s="679">
        <f t="shared" si="265"/>
        <v>-8.4659913169318979E-2</v>
      </c>
      <c r="AK173" s="679">
        <f t="shared" si="265"/>
        <v>2.8401282638570668E-2</v>
      </c>
      <c r="AL173" s="679">
        <f t="shared" si="265"/>
        <v>0.5657820440429131</v>
      </c>
      <c r="AM173" s="679">
        <f t="shared" si="265"/>
        <v>1.219302152932443</v>
      </c>
      <c r="AN173" s="679">
        <f t="shared" si="265"/>
        <v>0.2566895059502341</v>
      </c>
      <c r="AO173" s="679">
        <f t="shared" si="265"/>
        <v>0.17849735732922989</v>
      </c>
      <c r="AP173" s="680">
        <f t="shared" si="265"/>
        <v>-0.15312213039485767</v>
      </c>
      <c r="AQ173" s="679">
        <f t="shared" si="265"/>
        <v>-0.13114257276264418</v>
      </c>
      <c r="AR173" s="679">
        <f t="shared" si="265"/>
        <v>0.14497289238276023</v>
      </c>
      <c r="AS173" s="679">
        <f t="shared" si="265"/>
        <v>8.6782112671736522E-2</v>
      </c>
      <c r="AT173" s="679">
        <f t="shared" si="265"/>
        <v>8.702447201042629E-2</v>
      </c>
      <c r="AU173" s="679">
        <f t="shared" si="265"/>
        <v>8.5151732879433117E-2</v>
      </c>
      <c r="AV173" s="679">
        <f t="shared" si="265"/>
        <v>0.10456898601104481</v>
      </c>
      <c r="AW173" s="679">
        <f t="shared" si="265"/>
        <v>0.10267586791099692</v>
      </c>
      <c r="AX173" s="679">
        <f t="shared" si="265"/>
        <v>0.10057820826720354</v>
      </c>
      <c r="AY173" s="679">
        <f t="shared" si="265"/>
        <v>9.8934589342087431E-2</v>
      </c>
      <c r="AZ173" s="679">
        <f t="shared" si="265"/>
        <v>9.7048877140153644E-2</v>
      </c>
      <c r="BA173" s="223"/>
      <c r="BB173" s="668"/>
      <c r="BC173" s="668"/>
      <c r="BD173" s="668"/>
      <c r="BE173" s="668"/>
      <c r="BF173" s="668"/>
      <c r="BG173" s="668"/>
      <c r="BH173" s="598"/>
      <c r="BI173" s="667"/>
      <c r="BJ173" s="667"/>
      <c r="BK173" s="667"/>
      <c r="BL173" s="660"/>
      <c r="BM173" s="359"/>
      <c r="BN173" s="678">
        <f t="shared" ref="BN173:BZ173" si="266">BN151/BM151-1</f>
        <v>0.14646199925121639</v>
      </c>
      <c r="BO173" s="678">
        <f t="shared" si="266"/>
        <v>7.7983149369734495E-2</v>
      </c>
      <c r="BP173" s="678">
        <f t="shared" si="266"/>
        <v>0.16443501969100272</v>
      </c>
      <c r="BQ173" s="678">
        <f t="shared" si="266"/>
        <v>-0.11884073052708288</v>
      </c>
      <c r="BR173" s="679">
        <f t="shared" si="266"/>
        <v>-9.0404487747268503E-2</v>
      </c>
      <c r="BS173" s="679">
        <f t="shared" si="266"/>
        <v>0.33731498312126695</v>
      </c>
      <c r="BT173" s="679">
        <f t="shared" si="266"/>
        <v>0.57140776699029128</v>
      </c>
      <c r="BU173" s="680">
        <f t="shared" si="266"/>
        <v>0</v>
      </c>
      <c r="BV173" s="678">
        <f t="shared" si="266"/>
        <v>-5.2780704709143311E-3</v>
      </c>
      <c r="BW173" s="678">
        <f t="shared" si="266"/>
        <v>8.6909277146514308E-2</v>
      </c>
      <c r="BX173" s="678">
        <f t="shared" si="266"/>
        <v>9.5340927582003188E-2</v>
      </c>
      <c r="BY173" s="678">
        <f t="shared" si="266"/>
        <v>0.10156584837732141</v>
      </c>
      <c r="BZ173" s="678">
        <f t="shared" si="266"/>
        <v>9.7937620797801994E-2</v>
      </c>
      <c r="CB173" s="23" t="s">
        <v>609</v>
      </c>
      <c r="DS173" s="678" t="e">
        <f>DS151/DT151-1</f>
        <v>#DIV/0!</v>
      </c>
    </row>
    <row r="174" spans="1:123" s="179" customFormat="1">
      <c r="A174" s="270"/>
      <c r="B174" s="243" t="s">
        <v>522</v>
      </c>
      <c r="C174" s="91"/>
      <c r="D174" s="91"/>
      <c r="E174" s="91"/>
      <c r="F174" s="91"/>
      <c r="G174" s="28"/>
      <c r="H174" s="617"/>
      <c r="I174" s="617"/>
      <c r="J174" s="617"/>
      <c r="K174" s="618"/>
      <c r="L174" s="617"/>
      <c r="M174" s="620"/>
      <c r="N174" s="620"/>
      <c r="O174" s="620"/>
      <c r="P174" s="620"/>
      <c r="Q174" s="620"/>
      <c r="R174" s="620"/>
      <c r="S174" s="620"/>
      <c r="T174" s="620"/>
      <c r="U174" s="620"/>
      <c r="V174" s="620"/>
      <c r="W174" s="620"/>
      <c r="X174" s="620"/>
      <c r="Y174" s="679">
        <f t="shared" ref="Y174:AZ174" si="267">Y151/Y149</f>
        <v>0.31926738295384965</v>
      </c>
      <c r="Z174" s="679">
        <f t="shared" si="267"/>
        <v>0.37263435864834465</v>
      </c>
      <c r="AA174" s="679">
        <f t="shared" si="267"/>
        <v>0.34785478547854787</v>
      </c>
      <c r="AB174" s="679">
        <f t="shared" si="267"/>
        <v>0.37053681866908539</v>
      </c>
      <c r="AC174" s="679">
        <f t="shared" si="267"/>
        <v>0.31570929294739675</v>
      </c>
      <c r="AD174" s="679">
        <f t="shared" si="267"/>
        <v>0.33395706821070476</v>
      </c>
      <c r="AE174" s="679">
        <f t="shared" si="267"/>
        <v>0.3070220212921102</v>
      </c>
      <c r="AF174" s="679">
        <f t="shared" si="267"/>
        <v>0.34710212478703922</v>
      </c>
      <c r="AG174" s="679">
        <f t="shared" si="267"/>
        <v>0.26608765757842273</v>
      </c>
      <c r="AH174" s="679">
        <f t="shared" si="267"/>
        <v>0.30893530050456658</v>
      </c>
      <c r="AI174" s="679">
        <f t="shared" si="267"/>
        <v>0.22929869402331848</v>
      </c>
      <c r="AJ174" s="679">
        <f t="shared" si="267"/>
        <v>0.29210925644916552</v>
      </c>
      <c r="AK174" s="679">
        <f t="shared" si="267"/>
        <v>0.22659220132557278</v>
      </c>
      <c r="AL174" s="679">
        <f t="shared" si="267"/>
        <v>0.33869115958668206</v>
      </c>
      <c r="AM174" s="679">
        <f t="shared" si="267"/>
        <v>0.36620442963543715</v>
      </c>
      <c r="AN174" s="679">
        <f t="shared" si="267"/>
        <v>0.36371226986181276</v>
      </c>
      <c r="AO174" s="679">
        <f t="shared" si="267"/>
        <v>0.36345816568657796</v>
      </c>
      <c r="AP174" s="680">
        <f t="shared" si="267"/>
        <v>0.29866817795409473</v>
      </c>
      <c r="AQ174" s="679">
        <f t="shared" si="267"/>
        <v>0.32087526813400696</v>
      </c>
      <c r="AR174" s="679">
        <f t="shared" si="267"/>
        <v>0.32984947580094115</v>
      </c>
      <c r="AS174" s="679">
        <f t="shared" si="267"/>
        <v>0.33267969502070471</v>
      </c>
      <c r="AT174" s="679">
        <f t="shared" si="267"/>
        <v>0.34186804652498459</v>
      </c>
      <c r="AU174" s="679">
        <f t="shared" si="267"/>
        <v>0.34435892964859549</v>
      </c>
      <c r="AV174" s="679">
        <f t="shared" si="267"/>
        <v>0.36000831837988001</v>
      </c>
      <c r="AW174" s="679">
        <f t="shared" si="267"/>
        <v>0.36216221621114825</v>
      </c>
      <c r="AX174" s="679">
        <f t="shared" si="267"/>
        <v>0.3777063647743823</v>
      </c>
      <c r="AY174" s="679">
        <f t="shared" si="267"/>
        <v>0.37955128052814957</v>
      </c>
      <c r="AZ174" s="679">
        <f t="shared" si="267"/>
        <v>0.39496865137843057</v>
      </c>
      <c r="BA174" s="223"/>
      <c r="BB174" s="668"/>
      <c r="BC174" s="668"/>
      <c r="BD174" s="668"/>
      <c r="BE174" s="668"/>
      <c r="BF174" s="668"/>
      <c r="BG174" s="668"/>
      <c r="BH174" s="598"/>
      <c r="BI174" s="667"/>
      <c r="BJ174" s="667"/>
      <c r="BK174" s="667"/>
      <c r="BL174" s="660"/>
      <c r="BM174" s="678"/>
      <c r="BN174" s="678"/>
      <c r="BO174" s="678"/>
      <c r="BP174" s="678"/>
      <c r="BQ174" s="678"/>
      <c r="BR174" s="679"/>
      <c r="BS174" s="679"/>
      <c r="BT174" s="679"/>
      <c r="BU174" s="680"/>
      <c r="BV174" s="678"/>
      <c r="BW174" s="678"/>
      <c r="BX174" s="678"/>
      <c r="BY174" s="678"/>
      <c r="BZ174" s="678"/>
      <c r="DS174" s="678"/>
    </row>
    <row r="175" spans="1:123" s="179" customFormat="1">
      <c r="A175" s="270"/>
      <c r="B175" s="243"/>
      <c r="C175" s="91"/>
      <c r="D175" s="91"/>
      <c r="E175" s="91"/>
      <c r="F175" s="91"/>
      <c r="G175" s="28"/>
      <c r="H175" s="617"/>
      <c r="I175" s="617"/>
      <c r="J175" s="617"/>
      <c r="K175" s="618"/>
      <c r="L175" s="617"/>
      <c r="M175" s="620"/>
      <c r="N175" s="620"/>
      <c r="O175" s="620"/>
      <c r="P175" s="620"/>
      <c r="Q175" s="620"/>
      <c r="R175" s="620"/>
      <c r="S175" s="620"/>
      <c r="T175" s="620"/>
      <c r="U175" s="620"/>
      <c r="V175" s="620"/>
      <c r="W175" s="620"/>
      <c r="X175" s="620"/>
      <c r="Y175" s="207"/>
      <c r="Z175" s="183"/>
      <c r="AA175" s="207"/>
      <c r="AB175" s="183"/>
      <c r="AC175" s="207"/>
      <c r="AD175" s="183"/>
      <c r="AE175" s="678"/>
      <c r="AF175" s="678"/>
      <c r="AG175" s="678"/>
      <c r="AH175" s="678"/>
      <c r="AI175" s="678"/>
      <c r="AJ175" s="678"/>
      <c r="AK175" s="679"/>
      <c r="AL175" s="679"/>
      <c r="AM175" s="679"/>
      <c r="AN175" s="679"/>
      <c r="AO175" s="679"/>
      <c r="AP175" s="680"/>
      <c r="AQ175" s="678"/>
      <c r="AR175" s="678"/>
      <c r="AS175" s="678"/>
      <c r="AT175" s="678"/>
      <c r="AU175" s="678"/>
      <c r="AV175" s="678"/>
      <c r="AW175" s="678"/>
      <c r="AX175" s="678"/>
      <c r="AY175" s="678"/>
      <c r="AZ175" s="678"/>
      <c r="BA175" s="223"/>
      <c r="BB175" s="668"/>
      <c r="BC175" s="668"/>
      <c r="BD175" s="668"/>
      <c r="BE175" s="668"/>
      <c r="BF175" s="668"/>
      <c r="BG175" s="668"/>
      <c r="BH175" s="598"/>
      <c r="BI175" s="667"/>
      <c r="BJ175" s="667"/>
      <c r="BK175" s="667"/>
      <c r="BL175" s="660"/>
      <c r="BM175" s="207"/>
      <c r="BN175" s="207"/>
      <c r="BO175" s="207"/>
      <c r="BP175" s="207"/>
      <c r="BQ175" s="207"/>
      <c r="BR175" s="207"/>
      <c r="BS175" s="207"/>
      <c r="BT175" s="198"/>
      <c r="BU175" s="501"/>
      <c r="BV175" s="198"/>
      <c r="BW175" s="198"/>
      <c r="BX175" s="198"/>
      <c r="BY175" s="198"/>
      <c r="BZ175" s="198"/>
      <c r="DS175" s="198"/>
    </row>
    <row r="176" spans="1:123" s="179" customFormat="1">
      <c r="A176" s="270"/>
      <c r="B176" s="355" t="s">
        <v>559</v>
      </c>
      <c r="C176" s="91"/>
      <c r="D176" s="91"/>
      <c r="E176" s="91"/>
      <c r="F176" s="91"/>
      <c r="G176" s="28"/>
      <c r="H176" s="617"/>
      <c r="I176" s="617"/>
      <c r="J176" s="617"/>
      <c r="K176" s="618"/>
      <c r="L176" s="617"/>
      <c r="M176" s="620"/>
      <c r="N176" s="620"/>
      <c r="O176" s="620"/>
      <c r="P176" s="620"/>
      <c r="Q176" s="620"/>
      <c r="R176" s="620"/>
      <c r="S176" s="620"/>
      <c r="T176" s="620"/>
      <c r="U176" s="620"/>
      <c r="V176" s="620"/>
      <c r="W176" s="620"/>
      <c r="X176" s="620"/>
      <c r="Y176" s="207"/>
      <c r="Z176" s="183"/>
      <c r="AA176" s="207"/>
      <c r="AB176" s="183"/>
      <c r="AC176" s="207"/>
      <c r="AD176" s="183"/>
      <c r="AE176" s="207"/>
      <c r="AF176" s="183"/>
      <c r="AG176" s="207"/>
      <c r="AH176" s="183"/>
      <c r="AI176" s="207"/>
      <c r="AJ176" s="183"/>
      <c r="AK176" s="667"/>
      <c r="AL176" s="667"/>
      <c r="AM176" s="667"/>
      <c r="AN176" s="667"/>
      <c r="AO176" s="667"/>
      <c r="AP176" s="666"/>
      <c r="AQ176" s="667"/>
      <c r="AR176" s="667"/>
      <c r="AS176" s="667"/>
      <c r="AT176" s="667"/>
      <c r="AU176" s="667"/>
      <c r="AV176" s="667"/>
      <c r="AW176" s="667"/>
      <c r="AX176" s="667"/>
      <c r="AY176" s="667"/>
      <c r="AZ176" s="667"/>
      <c r="BA176" s="223"/>
      <c r="BB176" s="668"/>
      <c r="BC176" s="668"/>
      <c r="BD176" s="668"/>
      <c r="BE176" s="668"/>
      <c r="BF176" s="668"/>
      <c r="BG176" s="668"/>
      <c r="BH176" s="598"/>
      <c r="BI176" s="667"/>
      <c r="BJ176" s="667"/>
      <c r="BK176" s="667"/>
      <c r="BL176" s="660"/>
      <c r="BM176" s="207"/>
      <c r="BN176" s="207"/>
      <c r="BO176" s="207"/>
      <c r="BP176" s="207"/>
      <c r="BQ176" s="207"/>
      <c r="BR176" s="207"/>
      <c r="BS176" s="207"/>
      <c r="BT176" s="198"/>
      <c r="BU176" s="501"/>
      <c r="BV176" s="198"/>
      <c r="BW176" s="198"/>
      <c r="BX176" s="198"/>
      <c r="BY176" s="198"/>
      <c r="BZ176" s="198"/>
      <c r="DS176" s="198"/>
    </row>
    <row r="177" spans="1:123" s="714" customFormat="1">
      <c r="A177" s="711" t="s">
        <v>475</v>
      </c>
      <c r="B177" s="243" t="s">
        <v>213</v>
      </c>
      <c r="C177" s="713"/>
      <c r="D177" s="713"/>
      <c r="E177" s="713"/>
      <c r="F177" s="713"/>
      <c r="H177" s="715"/>
      <c r="I177" s="715"/>
      <c r="J177" s="715"/>
      <c r="K177" s="716"/>
      <c r="L177" s="715"/>
      <c r="M177" s="673"/>
      <c r="N177" s="673"/>
      <c r="O177" s="673"/>
      <c r="P177" s="673"/>
      <c r="Q177" s="673"/>
      <c r="R177" s="673"/>
      <c r="S177" s="673"/>
      <c r="T177" s="673"/>
      <c r="U177" s="673"/>
      <c r="V177" s="673"/>
      <c r="W177" s="673"/>
      <c r="X177" s="673"/>
      <c r="Y177" s="673"/>
      <c r="Z177" s="673"/>
      <c r="AA177" s="673"/>
      <c r="AB177" s="673"/>
      <c r="AC177" s="731"/>
      <c r="AD177" s="206"/>
      <c r="AE177" s="137"/>
      <c r="AF177" s="137"/>
      <c r="AG177" s="137"/>
      <c r="AH177" s="137"/>
      <c r="AI177" s="137"/>
      <c r="AJ177" s="137"/>
      <c r="AK177" s="137"/>
      <c r="AL177" s="137"/>
      <c r="AM177" s="137"/>
      <c r="AN177" s="137"/>
      <c r="AO177" s="137"/>
      <c r="AP177" s="452"/>
      <c r="AQ177" s="137"/>
      <c r="AR177" s="137"/>
      <c r="AS177" s="137"/>
      <c r="AT177" s="137"/>
      <c r="AU177" s="137"/>
      <c r="AV177" s="137"/>
      <c r="AW177" s="137"/>
      <c r="AX177" s="137"/>
      <c r="AY177" s="137"/>
      <c r="AZ177" s="137"/>
      <c r="BA177" s="735"/>
      <c r="BB177" s="736"/>
      <c r="BC177" s="736"/>
      <c r="BD177" s="736"/>
      <c r="BE177" s="736"/>
      <c r="BF177" s="736"/>
      <c r="BG177" s="736"/>
      <c r="BH177" s="737"/>
      <c r="BI177" s="673"/>
      <c r="BJ177" s="673"/>
      <c r="BK177" s="673"/>
      <c r="BL177" s="673"/>
      <c r="BM177" s="361"/>
      <c r="BN177" s="361"/>
      <c r="BO177" s="361"/>
      <c r="BP177" s="220">
        <v>770</v>
      </c>
      <c r="BQ177" s="220">
        <v>831</v>
      </c>
      <c r="BR177" s="220">
        <v>900</v>
      </c>
      <c r="BS177" s="220">
        <v>1100</v>
      </c>
      <c r="BT177" s="220">
        <v>1300</v>
      </c>
      <c r="BU177" s="519">
        <v>1400</v>
      </c>
      <c r="BV177" s="361"/>
      <c r="BW177" s="361"/>
      <c r="BX177" s="361"/>
      <c r="BY177" s="361"/>
      <c r="BZ177" s="361"/>
      <c r="CB177" s="23" t="s">
        <v>644</v>
      </c>
      <c r="DS177" s="361"/>
    </row>
    <row r="178" spans="1:123" s="714" customFormat="1">
      <c r="A178" s="711"/>
      <c r="B178" s="243" t="s">
        <v>406</v>
      </c>
      <c r="C178" s="713"/>
      <c r="D178" s="713"/>
      <c r="E178" s="713"/>
      <c r="F178" s="713"/>
      <c r="H178" s="715"/>
      <c r="I178" s="715"/>
      <c r="J178" s="715"/>
      <c r="K178" s="716"/>
      <c r="L178" s="715"/>
      <c r="M178" s="673"/>
      <c r="N178" s="673"/>
      <c r="O178" s="673"/>
      <c r="P178" s="673"/>
      <c r="Q178" s="673"/>
      <c r="R178" s="673"/>
      <c r="S178" s="673"/>
      <c r="T178" s="673"/>
      <c r="U178" s="673"/>
      <c r="V178" s="673"/>
      <c r="W178" s="673"/>
      <c r="X178" s="673"/>
      <c r="Y178" s="673"/>
      <c r="Z178" s="673"/>
      <c r="AA178" s="673"/>
      <c r="AB178" s="673"/>
      <c r="AC178" s="731"/>
      <c r="AD178" s="206"/>
      <c r="AE178" s="137"/>
      <c r="AF178" s="137"/>
      <c r="AG178" s="137"/>
      <c r="AH178" s="137"/>
      <c r="AI178" s="137"/>
      <c r="AJ178" s="137"/>
      <c r="AK178" s="137"/>
      <c r="AL178" s="137"/>
      <c r="AM178" s="137"/>
      <c r="AN178" s="137"/>
      <c r="AO178" s="137"/>
      <c r="AP178" s="452"/>
      <c r="AQ178" s="137"/>
      <c r="AR178" s="137"/>
      <c r="AS178" s="137"/>
      <c r="AT178" s="137"/>
      <c r="AU178" s="137"/>
      <c r="AV178" s="137"/>
      <c r="AW178" s="137"/>
      <c r="AX178" s="137"/>
      <c r="AY178" s="137"/>
      <c r="AZ178" s="137"/>
      <c r="BA178" s="735"/>
      <c r="BB178" s="736"/>
      <c r="BC178" s="736"/>
      <c r="BD178" s="736"/>
      <c r="BE178" s="736"/>
      <c r="BF178" s="736"/>
      <c r="BG178" s="736"/>
      <c r="BH178" s="737"/>
      <c r="BI178" s="673"/>
      <c r="BJ178" s="673"/>
      <c r="BK178" s="673"/>
      <c r="BL178" s="673"/>
      <c r="BM178" s="361"/>
      <c r="BN178" s="361"/>
      <c r="BO178" s="361"/>
      <c r="BP178" s="220"/>
      <c r="BQ178" s="683">
        <f>BQ177/BP177-1</f>
        <v>7.9220779220779303E-2</v>
      </c>
      <c r="BR178" s="683">
        <f>BR177/BQ177-1</f>
        <v>8.3032490974729312E-2</v>
      </c>
      <c r="BS178" s="683">
        <f>BS177/BR177-1</f>
        <v>0.22222222222222232</v>
      </c>
      <c r="BT178" s="420">
        <f>BT177/BS177-1</f>
        <v>0.18181818181818188</v>
      </c>
      <c r="BU178" s="447">
        <f>BU177/BT177-1</f>
        <v>7.6923076923076872E-2</v>
      </c>
      <c r="BV178" s="361"/>
      <c r="BW178" s="361"/>
      <c r="BX178" s="361"/>
      <c r="BY178" s="361"/>
      <c r="BZ178" s="361"/>
      <c r="CB178" s="23" t="s">
        <v>609</v>
      </c>
      <c r="DS178" s="361"/>
    </row>
    <row r="179" spans="1:123" s="714" customFormat="1">
      <c r="A179" s="711"/>
      <c r="B179" s="243" t="s">
        <v>314</v>
      </c>
      <c r="C179" s="713"/>
      <c r="D179" s="713"/>
      <c r="E179" s="713"/>
      <c r="F179" s="713"/>
      <c r="H179" s="715"/>
      <c r="I179" s="715"/>
      <c r="J179" s="715"/>
      <c r="K179" s="716"/>
      <c r="L179" s="715"/>
      <c r="M179" s="673"/>
      <c r="N179" s="673"/>
      <c r="O179" s="673"/>
      <c r="P179" s="673"/>
      <c r="Q179" s="673"/>
      <c r="R179" s="673"/>
      <c r="S179" s="673"/>
      <c r="T179" s="673"/>
      <c r="U179" s="673"/>
      <c r="V179" s="673"/>
      <c r="W179" s="673"/>
      <c r="X179" s="673"/>
      <c r="Y179" s="673"/>
      <c r="Z179" s="673"/>
      <c r="AA179" s="673"/>
      <c r="AB179" s="673"/>
      <c r="AC179" s="731"/>
      <c r="AD179" s="206"/>
      <c r="AE179" s="137"/>
      <c r="AF179" s="137"/>
      <c r="AG179" s="137"/>
      <c r="AH179" s="137"/>
      <c r="AI179" s="55"/>
      <c r="AJ179" s="137"/>
      <c r="AK179" s="55"/>
      <c r="AL179" s="55"/>
      <c r="AM179" s="55"/>
      <c r="AN179" s="55"/>
      <c r="AO179" s="55"/>
      <c r="AP179" s="453"/>
      <c r="AQ179" s="55"/>
      <c r="AR179" s="55"/>
      <c r="AS179" s="55"/>
      <c r="AT179" s="55"/>
      <c r="AU179" s="55"/>
      <c r="AV179" s="55"/>
      <c r="AW179" s="55"/>
      <c r="AX179" s="55"/>
      <c r="AY179" s="55"/>
      <c r="AZ179" s="55"/>
      <c r="BA179" s="735"/>
      <c r="BB179" s="736"/>
      <c r="BC179" s="736"/>
      <c r="BD179" s="736"/>
      <c r="BE179" s="736"/>
      <c r="BF179" s="736"/>
      <c r="BG179" s="736"/>
      <c r="BH179" s="737"/>
      <c r="BI179" s="673"/>
      <c r="BJ179" s="673"/>
      <c r="BK179" s="673"/>
      <c r="BL179" s="673"/>
      <c r="BM179" s="361"/>
      <c r="BN179" s="361"/>
      <c r="BO179" s="361"/>
      <c r="BP179" s="220">
        <v>190</v>
      </c>
      <c r="BQ179" s="220">
        <v>200</v>
      </c>
      <c r="BR179" s="220">
        <v>200</v>
      </c>
      <c r="BS179" s="220">
        <v>105</v>
      </c>
      <c r="BT179" s="220">
        <v>205</v>
      </c>
      <c r="BU179" s="519">
        <v>250</v>
      </c>
      <c r="BV179" s="361"/>
      <c r="BW179" s="361"/>
      <c r="BX179" s="361"/>
      <c r="BY179" s="361"/>
      <c r="BZ179" s="361"/>
      <c r="CB179" s="23" t="s">
        <v>644</v>
      </c>
      <c r="DS179" s="361"/>
    </row>
    <row r="180" spans="1:123" s="714" customFormat="1">
      <c r="A180" s="711"/>
      <c r="B180" s="243" t="s">
        <v>563</v>
      </c>
      <c r="C180" s="713"/>
      <c r="D180" s="713"/>
      <c r="E180" s="713"/>
      <c r="F180" s="713"/>
      <c r="H180" s="715"/>
      <c r="I180" s="715"/>
      <c r="J180" s="715"/>
      <c r="K180" s="716"/>
      <c r="L180" s="715"/>
      <c r="M180" s="673"/>
      <c r="N180" s="673"/>
      <c r="O180" s="673"/>
      <c r="P180" s="673"/>
      <c r="Q180" s="673"/>
      <c r="R180" s="673"/>
      <c r="S180" s="673"/>
      <c r="T180" s="673"/>
      <c r="U180" s="673"/>
      <c r="V180" s="673"/>
      <c r="W180" s="673"/>
      <c r="X180" s="673"/>
      <c r="Y180" s="673"/>
      <c r="Z180" s="673"/>
      <c r="AA180" s="673"/>
      <c r="AB180" s="673"/>
      <c r="AC180" s="731"/>
      <c r="AD180" s="206"/>
      <c r="AE180" s="137"/>
      <c r="AF180" s="137"/>
      <c r="AG180" s="137"/>
      <c r="AH180" s="137"/>
      <c r="AI180" s="55"/>
      <c r="AJ180" s="137"/>
      <c r="AK180" s="55"/>
      <c r="AL180" s="55"/>
      <c r="AM180" s="55"/>
      <c r="AN180" s="55"/>
      <c r="AO180" s="55"/>
      <c r="AP180" s="453"/>
      <c r="AQ180" s="55"/>
      <c r="AR180" s="55"/>
      <c r="AS180" s="55"/>
      <c r="AT180" s="55"/>
      <c r="AU180" s="55"/>
      <c r="AV180" s="55"/>
      <c r="AW180" s="55"/>
      <c r="AX180" s="55"/>
      <c r="AY180" s="55"/>
      <c r="AZ180" s="55"/>
      <c r="BA180" s="735"/>
      <c r="BB180" s="736"/>
      <c r="BC180" s="736"/>
      <c r="BD180" s="736"/>
      <c r="BE180" s="736"/>
      <c r="BF180" s="736"/>
      <c r="BG180" s="736"/>
      <c r="BH180" s="737"/>
      <c r="BI180" s="673"/>
      <c r="BJ180" s="673"/>
      <c r="BK180" s="673"/>
      <c r="BL180" s="673"/>
      <c r="BM180" s="361"/>
      <c r="BN180" s="361"/>
      <c r="BO180" s="361"/>
      <c r="BP180" s="220"/>
      <c r="BQ180" s="683">
        <f>BQ179/BP179-1</f>
        <v>5.2631578947368363E-2</v>
      </c>
      <c r="BR180" s="683">
        <f>BR179/BQ179-1</f>
        <v>0</v>
      </c>
      <c r="BS180" s="683">
        <f>BS179/BR179-1</f>
        <v>-0.47499999999999998</v>
      </c>
      <c r="BT180" s="420">
        <f>BT179/BS179-1</f>
        <v>0.95238095238095233</v>
      </c>
      <c r="BU180" s="447">
        <f>BU179/BT179-1</f>
        <v>0.21951219512195119</v>
      </c>
      <c r="BV180" s="361"/>
      <c r="BW180" s="361"/>
      <c r="BX180" s="361"/>
      <c r="BY180" s="361"/>
      <c r="BZ180" s="361"/>
      <c r="CB180" s="23" t="s">
        <v>609</v>
      </c>
      <c r="DS180" s="361"/>
    </row>
    <row r="181" spans="1:123" s="714" customFormat="1">
      <c r="A181" s="711"/>
      <c r="B181" s="23" t="s">
        <v>315</v>
      </c>
      <c r="C181" s="713"/>
      <c r="D181" s="713"/>
      <c r="E181" s="713"/>
      <c r="F181" s="713"/>
      <c r="H181" s="715"/>
      <c r="I181" s="715"/>
      <c r="J181" s="715"/>
      <c r="K181" s="716"/>
      <c r="L181" s="715"/>
      <c r="M181" s="673"/>
      <c r="N181" s="673"/>
      <c r="O181" s="673"/>
      <c r="P181" s="673"/>
      <c r="Q181" s="673"/>
      <c r="R181" s="673"/>
      <c r="S181" s="673"/>
      <c r="T181" s="673"/>
      <c r="U181" s="673"/>
      <c r="V181" s="673"/>
      <c r="W181" s="673"/>
      <c r="X181" s="673"/>
      <c r="Y181" s="673"/>
      <c r="Z181" s="673"/>
      <c r="AA181" s="673"/>
      <c r="AB181" s="673"/>
      <c r="AC181" s="731"/>
      <c r="AD181" s="206"/>
      <c r="AE181" s="131"/>
      <c r="AF181" s="131"/>
      <c r="AG181" s="131"/>
      <c r="AH181" s="131"/>
      <c r="AI181" s="131"/>
      <c r="AJ181" s="131"/>
      <c r="AK181" s="245"/>
      <c r="AL181" s="245"/>
      <c r="AM181" s="245"/>
      <c r="AN181" s="245"/>
      <c r="AO181" s="245"/>
      <c r="AP181" s="454"/>
      <c r="AQ181" s="245"/>
      <c r="AR181" s="245"/>
      <c r="AS181" s="245"/>
      <c r="AT181" s="245"/>
      <c r="AU181" s="245"/>
      <c r="AV181" s="245"/>
      <c r="AW181" s="245"/>
      <c r="AX181" s="245"/>
      <c r="AY181" s="245"/>
      <c r="AZ181" s="245"/>
      <c r="BA181" s="735"/>
      <c r="BB181" s="736"/>
      <c r="BC181" s="736"/>
      <c r="BD181" s="736"/>
      <c r="BE181" s="736"/>
      <c r="BF181" s="736"/>
      <c r="BG181" s="736"/>
      <c r="BH181" s="737"/>
      <c r="BI181" s="673"/>
      <c r="BJ181" s="673"/>
      <c r="BK181" s="673"/>
      <c r="BL181" s="673"/>
      <c r="BM181" s="361"/>
      <c r="BN181" s="361"/>
      <c r="BO181" s="361"/>
      <c r="BP181" s="685">
        <f t="shared" ref="BP181:BU181" si="268">BP177/BP179</f>
        <v>4.0526315789473681</v>
      </c>
      <c r="BQ181" s="685">
        <f t="shared" si="268"/>
        <v>4.1550000000000002</v>
      </c>
      <c r="BR181" s="685">
        <f t="shared" si="268"/>
        <v>4.5</v>
      </c>
      <c r="BS181" s="685">
        <f t="shared" si="268"/>
        <v>10.476190476190476</v>
      </c>
      <c r="BT181" s="685">
        <f t="shared" si="268"/>
        <v>6.3414634146341466</v>
      </c>
      <c r="BU181" s="692">
        <f t="shared" si="268"/>
        <v>5.6</v>
      </c>
      <c r="BV181" s="361"/>
      <c r="BW181" s="361"/>
      <c r="BX181" s="361"/>
      <c r="BY181" s="361"/>
      <c r="BZ181" s="361"/>
      <c r="CB181" s="23" t="s">
        <v>609</v>
      </c>
      <c r="DS181" s="361"/>
    </row>
    <row r="182" spans="1:123" s="714" customFormat="1">
      <c r="A182" s="711"/>
      <c r="B182" s="23" t="s">
        <v>349</v>
      </c>
      <c r="C182" s="713"/>
      <c r="D182" s="713"/>
      <c r="E182" s="713"/>
      <c r="F182" s="713"/>
      <c r="H182" s="715"/>
      <c r="I182" s="715"/>
      <c r="J182" s="715"/>
      <c r="K182" s="716"/>
      <c r="L182" s="715"/>
      <c r="M182" s="673"/>
      <c r="N182" s="673"/>
      <c r="O182" s="673"/>
      <c r="P182" s="673"/>
      <c r="Q182" s="673"/>
      <c r="R182" s="673"/>
      <c r="S182" s="673"/>
      <c r="T182" s="673"/>
      <c r="U182" s="673"/>
      <c r="V182" s="673"/>
      <c r="W182" s="673"/>
      <c r="X182" s="673"/>
      <c r="Y182" s="673"/>
      <c r="Z182" s="673"/>
      <c r="AA182" s="673"/>
      <c r="AB182" s="673"/>
      <c r="AC182" s="731"/>
      <c r="AD182" s="206"/>
      <c r="AE182" s="42"/>
      <c r="AF182" s="42"/>
      <c r="AG182" s="42"/>
      <c r="AH182" s="42"/>
      <c r="AI182" s="42"/>
      <c r="AJ182" s="42"/>
      <c r="AK182" s="629"/>
      <c r="AL182" s="629"/>
      <c r="AM182" s="629"/>
      <c r="AN182" s="629"/>
      <c r="AO182" s="629"/>
      <c r="AP182" s="693"/>
      <c r="AQ182" s="629"/>
      <c r="AR182" s="629"/>
      <c r="AS182" s="629"/>
      <c r="AT182" s="629"/>
      <c r="AU182" s="629"/>
      <c r="AV182" s="629"/>
      <c r="AW182" s="629"/>
      <c r="AX182" s="629"/>
      <c r="AY182" s="629"/>
      <c r="AZ182" s="629"/>
      <c r="BA182" s="735"/>
      <c r="BB182" s="736"/>
      <c r="BC182" s="736"/>
      <c r="BD182" s="736"/>
      <c r="BE182" s="736"/>
      <c r="BF182" s="736"/>
      <c r="BG182" s="736"/>
      <c r="BH182" s="737"/>
      <c r="BI182" s="673"/>
      <c r="BJ182" s="673"/>
      <c r="BK182" s="673"/>
      <c r="BL182" s="673"/>
      <c r="BM182" s="361"/>
      <c r="BN182" s="361"/>
      <c r="BO182" s="361"/>
      <c r="BP182" s="679">
        <f t="shared" ref="BP182:BU182" si="269">BP149/BP177</f>
        <v>7.6022077922077921E-2</v>
      </c>
      <c r="BQ182" s="679">
        <f t="shared" si="269"/>
        <v>7.0519855595667869E-2</v>
      </c>
      <c r="BR182" s="679">
        <f t="shared" si="269"/>
        <v>6.5416666666666665E-2</v>
      </c>
      <c r="BS182" s="679">
        <f t="shared" si="269"/>
        <v>6.4236363636363633E-2</v>
      </c>
      <c r="BT182" s="679">
        <f t="shared" si="269"/>
        <v>6.8247692307692301E-2</v>
      </c>
      <c r="BU182" s="680">
        <f t="shared" si="269"/>
        <v>6.9907857142857133E-2</v>
      </c>
      <c r="BV182" s="361"/>
      <c r="BW182" s="361"/>
      <c r="BX182" s="361"/>
      <c r="BY182" s="361"/>
      <c r="BZ182" s="361"/>
      <c r="CB182" s="23" t="s">
        <v>609</v>
      </c>
      <c r="DS182" s="361"/>
    </row>
    <row r="183" spans="1:123" s="28" customFormat="1">
      <c r="A183" s="270"/>
      <c r="B183" s="60"/>
      <c r="C183" s="91"/>
      <c r="D183" s="91"/>
      <c r="E183" s="91"/>
      <c r="F183" s="91"/>
      <c r="H183" s="617"/>
      <c r="I183" s="617"/>
      <c r="J183" s="617"/>
      <c r="K183" s="618"/>
      <c r="L183" s="617"/>
      <c r="M183" s="617"/>
      <c r="N183" s="617"/>
      <c r="O183" s="617"/>
      <c r="P183" s="619"/>
      <c r="Q183" s="619"/>
      <c r="R183" s="619"/>
      <c r="S183" s="619"/>
      <c r="T183" s="619"/>
      <c r="U183" s="620"/>
      <c r="V183" s="620"/>
      <c r="W183" s="620"/>
      <c r="X183" s="620"/>
      <c r="Y183" s="718"/>
      <c r="Z183" s="206"/>
      <c r="AA183" s="718"/>
      <c r="AB183" s="206"/>
      <c r="AC183" s="718"/>
      <c r="AD183" s="206"/>
      <c r="AE183" s="718"/>
      <c r="AF183" s="206"/>
      <c r="AG183" s="214"/>
      <c r="AH183" s="206"/>
      <c r="AI183" s="214"/>
      <c r="AJ183" s="206"/>
      <c r="AK183" s="720"/>
      <c r="AL183" s="720"/>
      <c r="AM183" s="720"/>
      <c r="AN183" s="720"/>
      <c r="AO183" s="720"/>
      <c r="AP183" s="733"/>
      <c r="AQ183" s="720"/>
      <c r="AR183" s="720"/>
      <c r="AS183" s="720"/>
      <c r="AT183" s="720"/>
      <c r="AU183" s="720"/>
      <c r="AV183" s="720"/>
      <c r="AW183" s="720"/>
      <c r="AX183" s="720"/>
      <c r="AY183" s="720"/>
      <c r="AZ183" s="720"/>
      <c r="BA183" s="227"/>
      <c r="BB183" s="702"/>
      <c r="BC183" s="702"/>
      <c r="BD183" s="702"/>
      <c r="BE183" s="702"/>
      <c r="BF183" s="702"/>
      <c r="BG183" s="702"/>
      <c r="BH183" s="600"/>
      <c r="BI183" s="720"/>
      <c r="BJ183" s="720"/>
      <c r="BK183" s="720"/>
      <c r="BL183" s="720"/>
      <c r="BM183" s="756"/>
      <c r="BN183" s="756"/>
      <c r="BO183" s="756"/>
      <c r="BP183" s="274"/>
      <c r="BQ183" s="274"/>
      <c r="BR183" s="274"/>
      <c r="BS183" s="274"/>
      <c r="BT183" s="226"/>
      <c r="BU183" s="504"/>
      <c r="BV183" s="226"/>
      <c r="BW183" s="226"/>
      <c r="BX183" s="226"/>
      <c r="BY183" s="226"/>
      <c r="BZ183" s="226"/>
      <c r="CC183" s="215"/>
      <c r="DS183" s="226"/>
    </row>
    <row r="184" spans="1:123" s="714" customFormat="1">
      <c r="A184" s="711"/>
      <c r="B184" s="23"/>
      <c r="C184" s="713"/>
      <c r="D184" s="713"/>
      <c r="E184" s="713"/>
      <c r="F184" s="713"/>
      <c r="H184" s="715"/>
      <c r="I184" s="715"/>
      <c r="J184" s="715"/>
      <c r="K184" s="716"/>
      <c r="L184" s="715"/>
      <c r="M184" s="673"/>
      <c r="N184" s="673"/>
      <c r="O184" s="673"/>
      <c r="P184" s="673"/>
      <c r="Q184" s="673"/>
      <c r="R184" s="673"/>
      <c r="S184" s="673"/>
      <c r="T184" s="673"/>
      <c r="U184" s="673"/>
      <c r="V184" s="673"/>
      <c r="W184" s="673"/>
      <c r="X184" s="673"/>
      <c r="Y184" s="673"/>
      <c r="Z184" s="673"/>
      <c r="AA184" s="673"/>
      <c r="AB184" s="673"/>
      <c r="AC184" s="731"/>
      <c r="AD184" s="183"/>
      <c r="AE184" s="760"/>
      <c r="AF184" s="760"/>
      <c r="AG184" s="760"/>
      <c r="AH184" s="760"/>
      <c r="AI184" s="761"/>
      <c r="AJ184" s="761"/>
      <c r="AK184" s="663"/>
      <c r="AL184" s="663"/>
      <c r="AM184" s="663"/>
      <c r="AN184" s="663"/>
      <c r="AO184" s="663"/>
      <c r="AP184" s="762"/>
      <c r="AQ184" s="663"/>
      <c r="AR184" s="663"/>
      <c r="AS184" s="663"/>
      <c r="AT184" s="663"/>
      <c r="AU184" s="663"/>
      <c r="AV184" s="663"/>
      <c r="AW184" s="663"/>
      <c r="AX184" s="663"/>
      <c r="AY184" s="663"/>
      <c r="AZ184" s="663"/>
      <c r="BA184" s="763"/>
      <c r="BB184" s="668"/>
      <c r="BC184" s="668"/>
      <c r="BD184" s="668"/>
      <c r="BE184" s="668"/>
      <c r="BF184" s="668"/>
      <c r="BG184" s="668"/>
      <c r="BH184" s="598"/>
      <c r="BI184" s="667"/>
      <c r="BJ184" s="667"/>
      <c r="BK184" s="667"/>
      <c r="BL184" s="667"/>
      <c r="BM184" s="667"/>
      <c r="BN184" s="667"/>
      <c r="BO184" s="200"/>
      <c r="BP184" s="761"/>
      <c r="BQ184" s="761"/>
      <c r="BR184" s="761"/>
      <c r="BS184" s="761"/>
      <c r="BT184" s="667"/>
      <c r="BU184" s="666"/>
      <c r="BV184" s="667"/>
      <c r="BW184" s="667"/>
      <c r="BX184" s="667"/>
      <c r="BY184" s="667"/>
      <c r="BZ184" s="667"/>
      <c r="DS184" s="667"/>
    </row>
    <row r="185" spans="1:123">
      <c r="A185" s="57"/>
      <c r="B185" s="63" t="s">
        <v>286</v>
      </c>
      <c r="C185" s="64"/>
      <c r="D185" s="64"/>
      <c r="E185" s="64"/>
      <c r="F185" s="64"/>
      <c r="G185" s="65"/>
      <c r="H185" s="648"/>
      <c r="I185" s="648"/>
      <c r="J185" s="648"/>
      <c r="K185" s="649"/>
      <c r="L185" s="648"/>
      <c r="M185" s="648"/>
      <c r="N185" s="648"/>
      <c r="O185" s="648"/>
      <c r="P185" s="650"/>
      <c r="Q185" s="650"/>
      <c r="R185" s="650"/>
      <c r="S185" s="650"/>
      <c r="T185" s="650"/>
      <c r="U185" s="651"/>
      <c r="V185" s="651"/>
      <c r="W185" s="651"/>
      <c r="X185" s="651"/>
      <c r="Y185" s="651"/>
      <c r="Z185" s="651"/>
      <c r="AA185" s="651"/>
      <c r="AB185" s="651"/>
      <c r="AC185" s="651"/>
      <c r="AD185" s="694"/>
      <c r="AE185" s="694"/>
      <c r="AF185" s="694"/>
      <c r="AG185" s="694"/>
      <c r="AH185" s="694"/>
      <c r="AI185" s="694"/>
      <c r="AJ185" s="694"/>
      <c r="AK185" s="694"/>
      <c r="AL185" s="694"/>
      <c r="AM185" s="694"/>
      <c r="AN185" s="694"/>
      <c r="AO185" s="694"/>
      <c r="AP185" s="764"/>
      <c r="AQ185" s="694"/>
      <c r="AR185" s="694"/>
      <c r="AS185" s="694"/>
      <c r="AT185" s="694"/>
      <c r="AU185" s="694"/>
      <c r="AV185" s="694"/>
      <c r="AW185" s="694"/>
      <c r="AX185" s="694"/>
      <c r="AY185" s="694"/>
      <c r="AZ185" s="694"/>
      <c r="BA185" s="659"/>
      <c r="BB185" s="765"/>
      <c r="BC185" s="765"/>
      <c r="BD185" s="765"/>
      <c r="BE185" s="765"/>
      <c r="BF185" s="765"/>
      <c r="BG185" s="765"/>
      <c r="BH185" s="766"/>
      <c r="BI185" s="767"/>
      <c r="BJ185" s="324"/>
      <c r="BK185" s="324"/>
      <c r="BL185" s="324"/>
      <c r="BM185" s="324"/>
      <c r="BN185" s="324"/>
      <c r="BO185" s="324"/>
      <c r="BP185" s="324"/>
      <c r="BQ185" s="324"/>
      <c r="BR185" s="324"/>
      <c r="BS185" s="324"/>
      <c r="BT185" s="325"/>
      <c r="BU185" s="506"/>
      <c r="BV185" s="325"/>
      <c r="BW185" s="325"/>
      <c r="BX185" s="325"/>
      <c r="BY185" s="325"/>
      <c r="BZ185" s="325"/>
      <c r="CC185" s="84"/>
      <c r="DS185" s="325"/>
    </row>
    <row r="186" spans="1:123">
      <c r="A186" s="57"/>
      <c r="B186" s="60"/>
      <c r="C186" s="58"/>
      <c r="D186" s="58"/>
      <c r="E186" s="58"/>
      <c r="F186" s="58"/>
      <c r="G186" s="23"/>
      <c r="H186" s="606"/>
      <c r="I186" s="606"/>
      <c r="J186" s="606"/>
      <c r="K186" s="607"/>
      <c r="L186" s="606"/>
      <c r="M186" s="606"/>
      <c r="N186" s="606"/>
      <c r="O186" s="606"/>
      <c r="P186" s="624"/>
      <c r="Q186" s="624"/>
      <c r="R186" s="624"/>
      <c r="S186" s="624"/>
      <c r="T186" s="624"/>
      <c r="U186" s="625"/>
      <c r="V186" s="625"/>
      <c r="W186" s="625"/>
      <c r="X186" s="625"/>
      <c r="Y186" s="625"/>
      <c r="Z186" s="625"/>
      <c r="AA186" s="625"/>
      <c r="AB186" s="625"/>
      <c r="AC186" s="625"/>
      <c r="AD186" s="658"/>
      <c r="AE186" s="658"/>
      <c r="AF186" s="658"/>
      <c r="AG186" s="658"/>
      <c r="AH186" s="658"/>
      <c r="AI186" s="658"/>
      <c r="AJ186" s="658"/>
      <c r="AK186" s="658"/>
      <c r="AL186" s="658"/>
      <c r="AM186" s="658"/>
      <c r="AN186" s="658"/>
      <c r="AO186" s="658"/>
      <c r="AP186" s="657"/>
      <c r="AQ186" s="658"/>
      <c r="AR186" s="658"/>
      <c r="AS186" s="658"/>
      <c r="AT186" s="658"/>
      <c r="AU186" s="658"/>
      <c r="AV186" s="658"/>
      <c r="AW186" s="658"/>
      <c r="AX186" s="658"/>
      <c r="AY186" s="658"/>
      <c r="AZ186" s="658"/>
      <c r="BA186" s="659"/>
      <c r="BB186" s="659"/>
      <c r="BC186" s="659"/>
      <c r="BD186" s="659"/>
      <c r="BE186" s="659"/>
      <c r="BF186" s="659"/>
      <c r="BG186" s="659"/>
      <c r="BH186" s="573"/>
      <c r="BI186" s="768"/>
      <c r="BJ186" s="316"/>
      <c r="BK186" s="316"/>
      <c r="BL186" s="316"/>
      <c r="BM186" s="316"/>
      <c r="BN186" s="316"/>
      <c r="BO186" s="316"/>
      <c r="BP186" s="316"/>
      <c r="BQ186" s="316"/>
      <c r="BR186" s="316"/>
      <c r="BS186" s="316"/>
      <c r="BT186" s="168"/>
      <c r="BU186" s="302"/>
      <c r="BV186" s="168"/>
      <c r="BW186" s="168"/>
      <c r="BX186" s="168"/>
      <c r="BY186" s="168"/>
      <c r="BZ186" s="168"/>
      <c r="CC186" s="84"/>
      <c r="DS186" s="168"/>
    </row>
    <row r="187" spans="1:123" s="173" customFormat="1">
      <c r="A187" s="246"/>
      <c r="B187" s="247" t="s">
        <v>351</v>
      </c>
      <c r="C187" s="248"/>
      <c r="D187" s="248"/>
      <c r="E187" s="248"/>
      <c r="F187" s="248"/>
      <c r="H187" s="769"/>
      <c r="I187" s="769"/>
      <c r="J187" s="769"/>
      <c r="K187" s="770"/>
      <c r="L187" s="769"/>
      <c r="M187" s="769"/>
      <c r="N187" s="769"/>
      <c r="O187" s="769"/>
      <c r="P187" s="771"/>
      <c r="Q187" s="771"/>
      <c r="R187" s="771"/>
      <c r="S187" s="771"/>
      <c r="T187" s="771"/>
      <c r="U187" s="669"/>
      <c r="V187" s="669"/>
      <c r="W187" s="669"/>
      <c r="X187" s="669"/>
      <c r="Y187" s="669"/>
      <c r="Z187" s="669"/>
      <c r="AA187" s="669"/>
      <c r="AB187" s="669"/>
      <c r="AC187" s="669"/>
      <c r="AD187" s="658"/>
      <c r="AE187" s="656">
        <v>2.4569999999999999</v>
      </c>
      <c r="AF187" s="658">
        <f>BP187-AE187</f>
        <v>2.0300000000000002</v>
      </c>
      <c r="AG187" s="656">
        <v>2.1379999999999999</v>
      </c>
      <c r="AH187" s="658">
        <f>BQ187-AG187</f>
        <v>1.419</v>
      </c>
      <c r="AI187" s="656">
        <v>0.95899999999999996</v>
      </c>
      <c r="AJ187" s="658">
        <f>BR187-AI187</f>
        <v>1.0230000000000001</v>
      </c>
      <c r="AK187" s="656">
        <v>1.153</v>
      </c>
      <c r="AL187" s="656">
        <f>BS187-AK187</f>
        <v>1.6840000000000002</v>
      </c>
      <c r="AM187" s="656">
        <v>1.575</v>
      </c>
      <c r="AN187" s="656">
        <f>BT187-AM187</f>
        <v>1.8379999999999999</v>
      </c>
      <c r="AO187" s="656">
        <v>1.6080000000000001</v>
      </c>
      <c r="AP187" s="657">
        <f>BU187-AO187</f>
        <v>0.83499999999999996</v>
      </c>
      <c r="AQ187" s="658">
        <v>1.6</v>
      </c>
      <c r="AR187" s="658">
        <v>1.6</v>
      </c>
      <c r="AS187" s="658">
        <v>1.6</v>
      </c>
      <c r="AT187" s="658">
        <v>1.6</v>
      </c>
      <c r="AU187" s="658">
        <v>1.6</v>
      </c>
      <c r="AV187" s="658">
        <v>1.6</v>
      </c>
      <c r="AW187" s="658">
        <v>1.6</v>
      </c>
      <c r="AX187" s="658">
        <v>1.6</v>
      </c>
      <c r="AY187" s="658">
        <v>1.6</v>
      </c>
      <c r="AZ187" s="658">
        <v>1.6</v>
      </c>
      <c r="BA187" s="659"/>
      <c r="BB187" s="659"/>
      <c r="BC187" s="659"/>
      <c r="BD187" s="659"/>
      <c r="BE187" s="659"/>
      <c r="BF187" s="659"/>
      <c r="BG187" s="659"/>
      <c r="BH187" s="573"/>
      <c r="BI187" s="768"/>
      <c r="BJ187" s="316"/>
      <c r="BK187" s="316"/>
      <c r="BL187" s="316"/>
      <c r="BM187" s="316"/>
      <c r="BN187" s="316"/>
      <c r="BO187" s="335">
        <v>4.5449999999999999</v>
      </c>
      <c r="BP187" s="335">
        <v>4.4870000000000001</v>
      </c>
      <c r="BQ187" s="335">
        <v>3.5569999999999999</v>
      </c>
      <c r="BR187" s="335">
        <v>1.982</v>
      </c>
      <c r="BS187" s="335">
        <v>2.8370000000000002</v>
      </c>
      <c r="BT187" s="335">
        <v>3.4129999999999998</v>
      </c>
      <c r="BU187" s="525">
        <v>2.4430000000000001</v>
      </c>
      <c r="BV187" s="196">
        <f t="shared" ref="BV187:BV192" si="270">SUM(AQ187:AR187)</f>
        <v>3.2</v>
      </c>
      <c r="BW187" s="196">
        <f t="shared" ref="BW187:BW192" si="271">SUM(AS187:AT187)</f>
        <v>3.2</v>
      </c>
      <c r="BX187" s="196">
        <f t="shared" ref="BX187:BX192" si="272">SUM(AU187:AV187)</f>
        <v>3.2</v>
      </c>
      <c r="BY187" s="196">
        <f t="shared" ref="BY187:BY192" si="273">SUM(AW187:AX187)</f>
        <v>3.2</v>
      </c>
      <c r="BZ187" s="196">
        <f t="shared" ref="BZ187:BZ192" si="274">SUM(AY187:AZ187)</f>
        <v>3.2</v>
      </c>
      <c r="CB187" s="173" t="s">
        <v>618</v>
      </c>
      <c r="DS187" s="196">
        <f t="shared" ref="DS187:DS192" si="275">SUM(CU187:CV187)</f>
        <v>0</v>
      </c>
    </row>
    <row r="188" spans="1:123" s="173" customFormat="1">
      <c r="A188" s="246"/>
      <c r="B188" s="247" t="s">
        <v>287</v>
      </c>
      <c r="C188" s="248"/>
      <c r="D188" s="248"/>
      <c r="E188" s="248"/>
      <c r="F188" s="248"/>
      <c r="H188" s="769"/>
      <c r="I188" s="769"/>
      <c r="J188" s="769"/>
      <c r="K188" s="770"/>
      <c r="L188" s="769"/>
      <c r="M188" s="769"/>
      <c r="N188" s="769"/>
      <c r="O188" s="769"/>
      <c r="P188" s="771"/>
      <c r="Q188" s="771"/>
      <c r="R188" s="771"/>
      <c r="S188" s="771"/>
      <c r="T188" s="771"/>
      <c r="U188" s="669"/>
      <c r="V188" s="669"/>
      <c r="W188" s="669"/>
      <c r="X188" s="669"/>
      <c r="Y188" s="772">
        <v>-8.1329999999999991</v>
      </c>
      <c r="Z188" s="757">
        <f>BM188-Y188</f>
        <v>-5.245000000000001</v>
      </c>
      <c r="AA188" s="772">
        <v>-7.1509999999999998</v>
      </c>
      <c r="AB188" s="757">
        <f>BN188-AA188</f>
        <v>-6.82</v>
      </c>
      <c r="AC188" s="772">
        <v>-5.6470000000000002</v>
      </c>
      <c r="AD188" s="566">
        <f>BO188-AC188</f>
        <v>-7.3819999999999997</v>
      </c>
      <c r="AE188" s="656">
        <v>-6.9790000000000001</v>
      </c>
      <c r="AF188" s="566">
        <f>BP188-AE188</f>
        <v>-8.7390000000000008</v>
      </c>
      <c r="AG188" s="656">
        <v>-7.306</v>
      </c>
      <c r="AH188" s="566">
        <f>BQ188-AG188</f>
        <v>-7.4519999999999991</v>
      </c>
      <c r="AI188" s="656">
        <v>-10.335000000000001</v>
      </c>
      <c r="AJ188" s="566">
        <f>BR188-AI188</f>
        <v>-9.6310000000000002</v>
      </c>
      <c r="AK188" s="656">
        <v>-13.03</v>
      </c>
      <c r="AL188" s="656">
        <f>BS188-AK188</f>
        <v>-12.796000000000001</v>
      </c>
      <c r="AM188" s="656">
        <v>-14.978</v>
      </c>
      <c r="AN188" s="656">
        <f t="shared" ref="AN188:AN190" si="276">BT188-AM188</f>
        <v>-11.043999999999999</v>
      </c>
      <c r="AO188" s="656">
        <v>-15.565</v>
      </c>
      <c r="AP188" s="657">
        <f>BU188-AO188</f>
        <v>-10.589</v>
      </c>
      <c r="AQ188" s="658">
        <f t="shared" ref="AQ188:AZ188" si="277">AO188*(1+AQ194)</f>
        <v>-15.876300000000001</v>
      </c>
      <c r="AR188" s="658">
        <f t="shared" si="277"/>
        <v>-10.800780000000001</v>
      </c>
      <c r="AS188" s="658">
        <f t="shared" si="277"/>
        <v>-16.193826000000001</v>
      </c>
      <c r="AT188" s="658">
        <f t="shared" si="277"/>
        <v>-11.016795600000002</v>
      </c>
      <c r="AU188" s="658">
        <f t="shared" si="277"/>
        <v>-16.51770252</v>
      </c>
      <c r="AV188" s="658">
        <f t="shared" si="277"/>
        <v>-11.237131512000001</v>
      </c>
      <c r="AW188" s="658">
        <f t="shared" si="277"/>
        <v>-16.848056570400001</v>
      </c>
      <c r="AX188" s="658">
        <f t="shared" si="277"/>
        <v>-11.461874142240001</v>
      </c>
      <c r="AY188" s="658">
        <f t="shared" si="277"/>
        <v>-17.185017701808</v>
      </c>
      <c r="AZ188" s="658">
        <f t="shared" si="277"/>
        <v>-11.691111625084801</v>
      </c>
      <c r="BA188" s="659"/>
      <c r="BB188" s="659"/>
      <c r="BC188" s="659"/>
      <c r="BD188" s="659"/>
      <c r="BE188" s="659"/>
      <c r="BF188" s="659"/>
      <c r="BG188" s="659"/>
      <c r="BH188" s="573"/>
      <c r="BI188" s="768"/>
      <c r="BJ188" s="316"/>
      <c r="BK188" s="316"/>
      <c r="BL188" s="316"/>
      <c r="BM188" s="335">
        <v>-13.378</v>
      </c>
      <c r="BN188" s="335">
        <v>-13.971</v>
      </c>
      <c r="BO188" s="335">
        <v>-13.029</v>
      </c>
      <c r="BP188" s="335">
        <v>-15.718</v>
      </c>
      <c r="BQ188" s="335">
        <v>-14.757999999999999</v>
      </c>
      <c r="BR188" s="335">
        <v>-19.966000000000001</v>
      </c>
      <c r="BS188" s="335">
        <v>-25.826000000000001</v>
      </c>
      <c r="BT188" s="335">
        <v>-26.021999999999998</v>
      </c>
      <c r="BU188" s="525">
        <v>-26.154</v>
      </c>
      <c r="BV188" s="196">
        <f t="shared" si="270"/>
        <v>-26.677080000000004</v>
      </c>
      <c r="BW188" s="196">
        <f t="shared" si="271"/>
        <v>-27.210621600000003</v>
      </c>
      <c r="BX188" s="196">
        <f t="shared" si="272"/>
        <v>-27.754834032000002</v>
      </c>
      <c r="BY188" s="196">
        <f t="shared" si="273"/>
        <v>-28.309930712640003</v>
      </c>
      <c r="BZ188" s="196">
        <f t="shared" si="274"/>
        <v>-28.876129326892801</v>
      </c>
      <c r="CB188" s="173" t="s">
        <v>618</v>
      </c>
      <c r="DS188" s="196">
        <f t="shared" si="275"/>
        <v>0</v>
      </c>
    </row>
    <row r="189" spans="1:123" s="173" customFormat="1">
      <c r="A189" s="246"/>
      <c r="B189" s="247" t="s">
        <v>356</v>
      </c>
      <c r="C189" s="248"/>
      <c r="D189" s="248"/>
      <c r="E189" s="248"/>
      <c r="F189" s="248"/>
      <c r="H189" s="769"/>
      <c r="I189" s="769"/>
      <c r="J189" s="769"/>
      <c r="K189" s="770"/>
      <c r="L189" s="769"/>
      <c r="M189" s="769"/>
      <c r="N189" s="769"/>
      <c r="O189" s="769"/>
      <c r="P189" s="771"/>
      <c r="Q189" s="771"/>
      <c r="R189" s="771"/>
      <c r="S189" s="771"/>
      <c r="T189" s="771"/>
      <c r="U189" s="669"/>
      <c r="V189" s="669"/>
      <c r="W189" s="669"/>
      <c r="X189" s="669"/>
      <c r="Y189" s="772"/>
      <c r="Z189" s="757"/>
      <c r="AA189" s="772"/>
      <c r="AB189" s="757"/>
      <c r="AC189" s="772"/>
      <c r="AD189" s="566"/>
      <c r="AE189" s="656">
        <v>0</v>
      </c>
      <c r="AF189" s="566">
        <f>BP189-AE189</f>
        <v>-0.161</v>
      </c>
      <c r="AG189" s="656">
        <f>-4/1000</f>
        <v>-4.0000000000000001E-3</v>
      </c>
      <c r="AH189" s="566">
        <f>BQ189-AG189</f>
        <v>-6.9999999999999993E-3</v>
      </c>
      <c r="AI189" s="656">
        <v>0</v>
      </c>
      <c r="AJ189" s="566">
        <f>BR189-AI189</f>
        <v>0</v>
      </c>
      <c r="AK189" s="656">
        <v>0</v>
      </c>
      <c r="AL189" s="656">
        <f>BS189-AK189</f>
        <v>0</v>
      </c>
      <c r="AM189" s="656">
        <v>0</v>
      </c>
      <c r="AN189" s="656">
        <f t="shared" si="276"/>
        <v>0</v>
      </c>
      <c r="AO189" s="656">
        <v>0</v>
      </c>
      <c r="AP189" s="657">
        <f>BU189-AO189</f>
        <v>0</v>
      </c>
      <c r="AQ189" s="663">
        <v>0</v>
      </c>
      <c r="AR189" s="663">
        <v>0</v>
      </c>
      <c r="AS189" s="663">
        <v>0</v>
      </c>
      <c r="AT189" s="663">
        <v>0</v>
      </c>
      <c r="AU189" s="663">
        <v>0</v>
      </c>
      <c r="AV189" s="663">
        <v>0</v>
      </c>
      <c r="AW189" s="663">
        <v>0</v>
      </c>
      <c r="AX189" s="663">
        <v>0</v>
      </c>
      <c r="AY189" s="663">
        <v>0</v>
      </c>
      <c r="AZ189" s="663">
        <v>0</v>
      </c>
      <c r="BA189" s="659"/>
      <c r="BB189" s="659"/>
      <c r="BC189" s="659"/>
      <c r="BD189" s="659"/>
      <c r="BE189" s="659"/>
      <c r="BF189" s="659"/>
      <c r="BG189" s="659"/>
      <c r="BH189" s="573"/>
      <c r="BI189" s="768"/>
      <c r="BJ189" s="316"/>
      <c r="BK189" s="316"/>
      <c r="BL189" s="316"/>
      <c r="BM189" s="335"/>
      <c r="BN189" s="335"/>
      <c r="BO189" s="335"/>
      <c r="BP189" s="335">
        <v>-0.161</v>
      </c>
      <c r="BQ189" s="335">
        <v>-1.0999999999999999E-2</v>
      </c>
      <c r="BR189" s="335">
        <v>0</v>
      </c>
      <c r="BS189" s="335">
        <v>0</v>
      </c>
      <c r="BT189" s="335">
        <v>0</v>
      </c>
      <c r="BU189" s="525">
        <v>0</v>
      </c>
      <c r="BV189" s="196">
        <f t="shared" si="270"/>
        <v>0</v>
      </c>
      <c r="BW189" s="196">
        <f t="shared" si="271"/>
        <v>0</v>
      </c>
      <c r="BX189" s="196">
        <f t="shared" si="272"/>
        <v>0</v>
      </c>
      <c r="BY189" s="196">
        <f t="shared" si="273"/>
        <v>0</v>
      </c>
      <c r="BZ189" s="196">
        <f t="shared" si="274"/>
        <v>0</v>
      </c>
      <c r="CB189" s="173" t="s">
        <v>618</v>
      </c>
      <c r="DS189" s="196">
        <f t="shared" si="275"/>
        <v>0</v>
      </c>
    </row>
    <row r="190" spans="1:123" s="173" customFormat="1">
      <c r="A190" s="246"/>
      <c r="B190" s="247" t="s">
        <v>357</v>
      </c>
      <c r="C190" s="248"/>
      <c r="D190" s="248"/>
      <c r="E190" s="248"/>
      <c r="F190" s="248"/>
      <c r="H190" s="769"/>
      <c r="I190" s="769"/>
      <c r="J190" s="769"/>
      <c r="K190" s="770"/>
      <c r="L190" s="769"/>
      <c r="M190" s="769"/>
      <c r="N190" s="769"/>
      <c r="O190" s="769"/>
      <c r="P190" s="771"/>
      <c r="Q190" s="771"/>
      <c r="R190" s="771"/>
      <c r="S190" s="771"/>
      <c r="T190" s="771"/>
      <c r="U190" s="669"/>
      <c r="V190" s="669"/>
      <c r="W190" s="669"/>
      <c r="X190" s="669"/>
      <c r="Y190" s="772"/>
      <c r="Z190" s="757"/>
      <c r="AA190" s="772"/>
      <c r="AB190" s="757"/>
      <c r="AC190" s="772"/>
      <c r="AD190" s="566"/>
      <c r="AE190" s="656">
        <v>-1.43</v>
      </c>
      <c r="AF190" s="566">
        <f>BP190-AE190</f>
        <v>-2.4560000000000004</v>
      </c>
      <c r="AG190" s="656">
        <f>-2542/1000</f>
        <v>-2.5419999999999998</v>
      </c>
      <c r="AH190" s="566">
        <f>BQ190-AG190</f>
        <v>-2.3500000000000005</v>
      </c>
      <c r="AI190" s="656">
        <v>-2.395</v>
      </c>
      <c r="AJ190" s="566">
        <f>BR190-AI190</f>
        <v>-1.9140000000000001</v>
      </c>
      <c r="AK190" s="656">
        <v>-12.787000000000001</v>
      </c>
      <c r="AL190" s="656">
        <f>BS190-AK190</f>
        <v>-27.058</v>
      </c>
      <c r="AM190" s="656">
        <v>-25.295999999999999</v>
      </c>
      <c r="AN190" s="656">
        <f t="shared" si="276"/>
        <v>-22.146000000000001</v>
      </c>
      <c r="AO190" s="656">
        <v>-21.731000000000002</v>
      </c>
      <c r="AP190" s="657">
        <f t="shared" ref="AP190:AP191" si="278">BU190-AO190</f>
        <v>-24.597999999999999</v>
      </c>
      <c r="AQ190" s="773">
        <f>AP190-1</f>
        <v>-25.597999999999999</v>
      </c>
      <c r="AR190" s="773">
        <f>AQ190</f>
        <v>-25.597999999999999</v>
      </c>
      <c r="AS190" s="773">
        <f>AR190+0.5</f>
        <v>-25.097999999999999</v>
      </c>
      <c r="AT190" s="773">
        <f t="shared" ref="AT190:AZ190" si="279">AS190</f>
        <v>-25.097999999999999</v>
      </c>
      <c r="AU190" s="773">
        <f t="shared" si="279"/>
        <v>-25.097999999999999</v>
      </c>
      <c r="AV190" s="773">
        <f t="shared" si="279"/>
        <v>-25.097999999999999</v>
      </c>
      <c r="AW190" s="773">
        <f t="shared" si="279"/>
        <v>-25.097999999999999</v>
      </c>
      <c r="AX190" s="773">
        <f t="shared" si="279"/>
        <v>-25.097999999999999</v>
      </c>
      <c r="AY190" s="773">
        <f t="shared" si="279"/>
        <v>-25.097999999999999</v>
      </c>
      <c r="AZ190" s="773">
        <f t="shared" si="279"/>
        <v>-25.097999999999999</v>
      </c>
      <c r="BA190" s="659">
        <f>36/0.7</f>
        <v>51.428571428571431</v>
      </c>
      <c r="BB190" s="659"/>
      <c r="BC190" s="659"/>
      <c r="BD190" s="659"/>
      <c r="BE190" s="659"/>
      <c r="BF190" s="659"/>
      <c r="BG190" s="659"/>
      <c r="BH190" s="573"/>
      <c r="BI190" s="768"/>
      <c r="BJ190" s="316"/>
      <c r="BK190" s="316"/>
      <c r="BL190" s="316"/>
      <c r="BM190" s="335"/>
      <c r="BN190" s="335"/>
      <c r="BO190" s="335"/>
      <c r="BP190" s="335">
        <v>-3.8860000000000001</v>
      </c>
      <c r="BQ190" s="335">
        <v>-4.8920000000000003</v>
      </c>
      <c r="BR190" s="335">
        <v>-4.3090000000000002</v>
      </c>
      <c r="BS190" s="335">
        <v>-39.844999999999999</v>
      </c>
      <c r="BT190" s="335">
        <v>-47.442</v>
      </c>
      <c r="BU190" s="525">
        <v>-46.329000000000001</v>
      </c>
      <c r="BV190" s="196">
        <f t="shared" si="270"/>
        <v>-51.195999999999998</v>
      </c>
      <c r="BW190" s="196">
        <f t="shared" si="271"/>
        <v>-50.195999999999998</v>
      </c>
      <c r="BX190" s="196">
        <f t="shared" si="272"/>
        <v>-50.195999999999998</v>
      </c>
      <c r="BY190" s="196">
        <f t="shared" si="273"/>
        <v>-50.195999999999998</v>
      </c>
      <c r="BZ190" s="196">
        <f t="shared" si="274"/>
        <v>-50.195999999999998</v>
      </c>
      <c r="CB190" s="173" t="s">
        <v>619</v>
      </c>
      <c r="DS190" s="196">
        <f t="shared" si="275"/>
        <v>0</v>
      </c>
    </row>
    <row r="191" spans="1:123" s="162" customFormat="1">
      <c r="A191" s="57"/>
      <c r="B191" s="61" t="s">
        <v>18</v>
      </c>
      <c r="C191" s="58"/>
      <c r="D191" s="58"/>
      <c r="E191" s="58"/>
      <c r="F191" s="58"/>
      <c r="G191" s="23"/>
      <c r="H191" s="606"/>
      <c r="I191" s="606"/>
      <c r="J191" s="606"/>
      <c r="K191" s="607"/>
      <c r="L191" s="606"/>
      <c r="M191" s="606"/>
      <c r="N191" s="606"/>
      <c r="O191" s="606"/>
      <c r="P191" s="624"/>
      <c r="Q191" s="624"/>
      <c r="R191" s="624"/>
      <c r="S191" s="624"/>
      <c r="T191" s="624"/>
      <c r="U191" s="625"/>
      <c r="V191" s="625"/>
      <c r="W191" s="625"/>
      <c r="X191" s="625"/>
      <c r="Y191" s="627">
        <f>Y192-Y188</f>
        <v>1.0679999999999987</v>
      </c>
      <c r="Z191" s="701">
        <f>BM191-Y191</f>
        <v>-0.84399999999999853</v>
      </c>
      <c r="AA191" s="627">
        <f>AA192-AA188</f>
        <v>1.0830000000000002</v>
      </c>
      <c r="AB191" s="566">
        <f>BN191-AA191</f>
        <v>-1.4190000000000005</v>
      </c>
      <c r="AC191" s="627">
        <f>AC192-AC188</f>
        <v>-0.68599999999999994</v>
      </c>
      <c r="AD191" s="658">
        <f>AD192-AD188</f>
        <v>0.81600000000000072</v>
      </c>
      <c r="AE191" s="656">
        <v>0</v>
      </c>
      <c r="AF191" s="656">
        <v>0</v>
      </c>
      <c r="AG191" s="656">
        <v>0</v>
      </c>
      <c r="AH191" s="656">
        <v>0</v>
      </c>
      <c r="AI191" s="656">
        <v>0</v>
      </c>
      <c r="AJ191" s="656">
        <v>0</v>
      </c>
      <c r="AK191" s="656">
        <v>0</v>
      </c>
      <c r="AL191" s="656">
        <v>0</v>
      </c>
      <c r="AM191" s="656">
        <v>0</v>
      </c>
      <c r="AN191" s="656">
        <v>0</v>
      </c>
      <c r="AO191" s="656">
        <v>0</v>
      </c>
      <c r="AP191" s="657">
        <f t="shared" si="278"/>
        <v>0</v>
      </c>
      <c r="AQ191" s="663">
        <v>0</v>
      </c>
      <c r="AR191" s="663">
        <v>0</v>
      </c>
      <c r="AS191" s="663">
        <v>0</v>
      </c>
      <c r="AT191" s="663">
        <v>0</v>
      </c>
      <c r="AU191" s="663">
        <v>0</v>
      </c>
      <c r="AV191" s="663">
        <v>0</v>
      </c>
      <c r="AW191" s="663">
        <v>0</v>
      </c>
      <c r="AX191" s="663">
        <v>0</v>
      </c>
      <c r="AY191" s="663">
        <v>0</v>
      </c>
      <c r="AZ191" s="663">
        <v>0</v>
      </c>
      <c r="BA191" s="659"/>
      <c r="BB191" s="659"/>
      <c r="BC191" s="659"/>
      <c r="BD191" s="659"/>
      <c r="BE191" s="659"/>
      <c r="BF191" s="659"/>
      <c r="BG191" s="659"/>
      <c r="BH191" s="573"/>
      <c r="BI191" s="768"/>
      <c r="BJ191" s="316"/>
      <c r="BK191" s="316"/>
      <c r="BL191" s="316"/>
      <c r="BM191" s="658">
        <f>BM192-BM188</f>
        <v>0.2240000000000002</v>
      </c>
      <c r="BN191" s="658">
        <f>BN192-BN188</f>
        <v>-0.3360000000000003</v>
      </c>
      <c r="BO191" s="658">
        <f>BO192-BO188</f>
        <v>0.13000000000000078</v>
      </c>
      <c r="BP191" s="656">
        <v>0</v>
      </c>
      <c r="BQ191" s="656">
        <v>0</v>
      </c>
      <c r="BR191" s="656">
        <v>0</v>
      </c>
      <c r="BS191" s="656">
        <v>0</v>
      </c>
      <c r="BT191" s="656">
        <v>0</v>
      </c>
      <c r="BU191" s="774">
        <v>0</v>
      </c>
      <c r="BV191" s="196">
        <f t="shared" si="270"/>
        <v>0</v>
      </c>
      <c r="BW191" s="196">
        <f t="shared" si="271"/>
        <v>0</v>
      </c>
      <c r="BX191" s="196">
        <f t="shared" si="272"/>
        <v>0</v>
      </c>
      <c r="BY191" s="196">
        <f t="shared" si="273"/>
        <v>0</v>
      </c>
      <c r="BZ191" s="196">
        <f t="shared" si="274"/>
        <v>0</v>
      </c>
      <c r="CB191" s="173" t="s">
        <v>618</v>
      </c>
      <c r="DS191" s="196">
        <f t="shared" si="275"/>
        <v>0</v>
      </c>
    </row>
    <row r="192" spans="1:123" s="209" customFormat="1">
      <c r="A192" s="57" t="s">
        <v>638</v>
      </c>
      <c r="B192" s="60" t="s">
        <v>288</v>
      </c>
      <c r="C192" s="91"/>
      <c r="D192" s="91"/>
      <c r="E192" s="91"/>
      <c r="F192" s="91"/>
      <c r="G192" s="28"/>
      <c r="H192" s="617"/>
      <c r="I192" s="617"/>
      <c r="J192" s="617"/>
      <c r="K192" s="618"/>
      <c r="L192" s="617"/>
      <c r="M192" s="617"/>
      <c r="N192" s="617"/>
      <c r="O192" s="617"/>
      <c r="P192" s="619"/>
      <c r="Q192" s="619"/>
      <c r="R192" s="619"/>
      <c r="S192" s="619"/>
      <c r="T192" s="619"/>
      <c r="U192" s="620"/>
      <c r="V192" s="620"/>
      <c r="W192" s="620"/>
      <c r="X192" s="620"/>
      <c r="Y192" s="718">
        <v>-7.0650000000000004</v>
      </c>
      <c r="Z192" s="206">
        <f>BM192-Y192</f>
        <v>-6.0889999999999995</v>
      </c>
      <c r="AA192" s="718">
        <v>-6.0679999999999996</v>
      </c>
      <c r="AB192" s="183">
        <f>BN192-AA192</f>
        <v>-8.2390000000000008</v>
      </c>
      <c r="AC192" s="718">
        <v>-6.3330000000000002</v>
      </c>
      <c r="AD192" s="183">
        <f>BO192-AC192</f>
        <v>-6.5659999999999989</v>
      </c>
      <c r="AE192" s="667">
        <f>SUM(AE187:AE190)</f>
        <v>-5.952</v>
      </c>
      <c r="AF192" s="667">
        <f t="shared" ref="AF192:AZ192" si="280">SUM(AF187:AF190)</f>
        <v>-9.3260000000000005</v>
      </c>
      <c r="AG192" s="667">
        <f t="shared" si="280"/>
        <v>-7.7139999999999995</v>
      </c>
      <c r="AH192" s="667">
        <f t="shared" si="280"/>
        <v>-8.39</v>
      </c>
      <c r="AI192" s="667">
        <f t="shared" si="280"/>
        <v>-11.771000000000001</v>
      </c>
      <c r="AJ192" s="667">
        <f t="shared" si="280"/>
        <v>-10.522</v>
      </c>
      <c r="AK192" s="667">
        <f t="shared" si="280"/>
        <v>-24.664000000000001</v>
      </c>
      <c r="AL192" s="667">
        <f t="shared" si="280"/>
        <v>-38.17</v>
      </c>
      <c r="AM192" s="667">
        <f t="shared" si="280"/>
        <v>-38.698999999999998</v>
      </c>
      <c r="AN192" s="667">
        <f t="shared" si="280"/>
        <v>-31.352</v>
      </c>
      <c r="AO192" s="667">
        <f t="shared" si="280"/>
        <v>-35.688000000000002</v>
      </c>
      <c r="AP192" s="666">
        <f t="shared" si="280"/>
        <v>-34.352000000000004</v>
      </c>
      <c r="AQ192" s="667">
        <f t="shared" si="280"/>
        <v>-39.874299999999998</v>
      </c>
      <c r="AR192" s="667">
        <f t="shared" si="280"/>
        <v>-34.798780000000001</v>
      </c>
      <c r="AS192" s="667">
        <f t="shared" si="280"/>
        <v>-39.691825999999999</v>
      </c>
      <c r="AT192" s="667">
        <f t="shared" si="280"/>
        <v>-34.514795599999999</v>
      </c>
      <c r="AU192" s="667">
        <f t="shared" si="280"/>
        <v>-40.015702519999998</v>
      </c>
      <c r="AV192" s="667">
        <f t="shared" si="280"/>
        <v>-34.735131512000002</v>
      </c>
      <c r="AW192" s="667">
        <f t="shared" si="280"/>
        <v>-40.346056570400002</v>
      </c>
      <c r="AX192" s="667">
        <f t="shared" si="280"/>
        <v>-34.959874142239997</v>
      </c>
      <c r="AY192" s="667">
        <f t="shared" si="280"/>
        <v>-40.683017701807998</v>
      </c>
      <c r="AZ192" s="667">
        <f t="shared" si="280"/>
        <v>-35.189111625084799</v>
      </c>
      <c r="BA192" s="668"/>
      <c r="BB192" s="668"/>
      <c r="BC192" s="668"/>
      <c r="BD192" s="668"/>
      <c r="BE192" s="668"/>
      <c r="BF192" s="668"/>
      <c r="BG192" s="668"/>
      <c r="BH192" s="598"/>
      <c r="BI192" s="775"/>
      <c r="BJ192" s="317"/>
      <c r="BK192" s="317"/>
      <c r="BL192" s="317"/>
      <c r="BM192" s="336">
        <v>-13.154</v>
      </c>
      <c r="BN192" s="336">
        <v>-14.307</v>
      </c>
      <c r="BO192" s="336">
        <v>-12.898999999999999</v>
      </c>
      <c r="BP192" s="317">
        <f>SUM(BP187:BP191)</f>
        <v>-15.277999999999999</v>
      </c>
      <c r="BQ192" s="317">
        <f>SUM(BQ187:BQ191)</f>
        <v>-16.103999999999999</v>
      </c>
      <c r="BR192" s="317">
        <f>SUM(BR187:BR191)</f>
        <v>-22.293000000000003</v>
      </c>
      <c r="BS192" s="317">
        <v>-62.834000000000003</v>
      </c>
      <c r="BT192" s="317">
        <v>-70.051000000000002</v>
      </c>
      <c r="BU192" s="526">
        <v>-70.040000000000006</v>
      </c>
      <c r="BV192" s="198">
        <f t="shared" si="270"/>
        <v>-74.673079999999999</v>
      </c>
      <c r="BW192" s="198">
        <f t="shared" si="271"/>
        <v>-74.206621600000005</v>
      </c>
      <c r="BX192" s="198">
        <f t="shared" si="272"/>
        <v>-74.750834032</v>
      </c>
      <c r="BY192" s="198">
        <f t="shared" si="273"/>
        <v>-75.305930712639991</v>
      </c>
      <c r="BZ192" s="198">
        <f t="shared" si="274"/>
        <v>-75.872129326892804</v>
      </c>
      <c r="CB192" s="209" t="s">
        <v>609</v>
      </c>
      <c r="DS192" s="198">
        <f t="shared" si="275"/>
        <v>0</v>
      </c>
    </row>
    <row r="193" spans="1:123" s="162" customFormat="1">
      <c r="A193" s="57"/>
      <c r="B193" s="243" t="s">
        <v>352</v>
      </c>
      <c r="C193" s="58"/>
      <c r="D193" s="58"/>
      <c r="E193" s="58"/>
      <c r="F193" s="58"/>
      <c r="G193" s="23"/>
      <c r="H193" s="607"/>
      <c r="I193" s="607"/>
      <c r="J193" s="607"/>
      <c r="K193" s="607"/>
      <c r="L193" s="607"/>
      <c r="M193" s="607"/>
      <c r="N193" s="607"/>
      <c r="O193" s="607"/>
      <c r="P193" s="776"/>
      <c r="Q193" s="776"/>
      <c r="R193" s="776"/>
      <c r="S193" s="776"/>
      <c r="T193" s="776"/>
      <c r="U193" s="625"/>
      <c r="V193" s="625"/>
      <c r="W193" s="625"/>
      <c r="X193" s="625"/>
      <c r="Y193" s="627"/>
      <c r="Z193" s="627"/>
      <c r="AA193" s="627"/>
      <c r="AB193" s="627"/>
      <c r="AC193" s="740"/>
      <c r="AD193" s="701"/>
      <c r="AE193" s="200"/>
      <c r="AF193" s="566"/>
      <c r="AG193" s="200"/>
      <c r="AH193" s="566"/>
      <c r="AI193" s="200"/>
      <c r="AJ193" s="566"/>
      <c r="AK193" s="752"/>
      <c r="AL193" s="752"/>
      <c r="AM193" s="752"/>
      <c r="AN193" s="752"/>
      <c r="AO193" s="752"/>
      <c r="AP193" s="753"/>
      <c r="AQ193" s="752">
        <v>0.02</v>
      </c>
      <c r="AR193" s="752">
        <v>0.02</v>
      </c>
      <c r="AS193" s="752">
        <v>0.02</v>
      </c>
      <c r="AT193" s="752">
        <v>0.02</v>
      </c>
      <c r="AU193" s="752">
        <v>0.02</v>
      </c>
      <c r="AV193" s="752">
        <v>0.02</v>
      </c>
      <c r="AW193" s="752">
        <v>0.02</v>
      </c>
      <c r="AX193" s="752">
        <v>0.02</v>
      </c>
      <c r="AY193" s="752">
        <v>0.02</v>
      </c>
      <c r="AZ193" s="752">
        <v>0.02</v>
      </c>
      <c r="BA193" s="710"/>
      <c r="BB193" s="710"/>
      <c r="BC193" s="710"/>
      <c r="BD193" s="710"/>
      <c r="BE193" s="710"/>
      <c r="BF193" s="710"/>
      <c r="BG193" s="710"/>
      <c r="BH193" s="710"/>
      <c r="BI193" s="627"/>
      <c r="BJ193" s="184"/>
      <c r="BK193" s="184"/>
      <c r="BL193" s="184"/>
      <c r="BM193" s="184"/>
      <c r="BN193" s="184"/>
      <c r="BO193" s="200"/>
      <c r="BP193" s="200"/>
      <c r="BQ193" s="200"/>
      <c r="BR193" s="200"/>
      <c r="BS193" s="200"/>
      <c r="BU193" s="458"/>
    </row>
    <row r="194" spans="1:123" s="162" customFormat="1">
      <c r="A194" s="57"/>
      <c r="B194" s="243" t="s">
        <v>353</v>
      </c>
      <c r="C194" s="58"/>
      <c r="D194" s="58"/>
      <c r="E194" s="58"/>
      <c r="F194" s="58"/>
      <c r="G194" s="23"/>
      <c r="H194" s="607"/>
      <c r="I194" s="607"/>
      <c r="J194" s="607"/>
      <c r="K194" s="607"/>
      <c r="L194" s="607"/>
      <c r="M194" s="607"/>
      <c r="N194" s="607"/>
      <c r="O194" s="607"/>
      <c r="P194" s="776"/>
      <c r="Q194" s="776"/>
      <c r="R194" s="776"/>
      <c r="S194" s="776"/>
      <c r="T194" s="776"/>
      <c r="U194" s="625"/>
      <c r="V194" s="625"/>
      <c r="W194" s="625"/>
      <c r="X194" s="625"/>
      <c r="Y194" s="627"/>
      <c r="Z194" s="627"/>
      <c r="AA194" s="627"/>
      <c r="AB194" s="627"/>
      <c r="AC194" s="740"/>
      <c r="AD194" s="701"/>
      <c r="AE194" s="200"/>
      <c r="AF194" s="566"/>
      <c r="AG194" s="200"/>
      <c r="AH194" s="566"/>
      <c r="AI194" s="200"/>
      <c r="AJ194" s="566"/>
      <c r="AK194" s="752"/>
      <c r="AL194" s="752"/>
      <c r="AM194" s="752"/>
      <c r="AN194" s="752"/>
      <c r="AO194" s="752"/>
      <c r="AP194" s="753"/>
      <c r="AQ194" s="752">
        <v>0.02</v>
      </c>
      <c r="AR194" s="752">
        <v>0.02</v>
      </c>
      <c r="AS194" s="752">
        <v>0.02</v>
      </c>
      <c r="AT194" s="752">
        <v>0.02</v>
      </c>
      <c r="AU194" s="752">
        <v>0.02</v>
      </c>
      <c r="AV194" s="752">
        <v>0.02</v>
      </c>
      <c r="AW194" s="752">
        <v>0.02</v>
      </c>
      <c r="AX194" s="752">
        <v>0.02</v>
      </c>
      <c r="AY194" s="752">
        <v>0.02</v>
      </c>
      <c r="AZ194" s="752">
        <v>0.02</v>
      </c>
      <c r="BA194" s="710"/>
      <c r="BB194" s="710"/>
      <c r="BC194" s="710"/>
      <c r="BD194" s="710"/>
      <c r="BE194" s="710"/>
      <c r="BF194" s="710"/>
      <c r="BG194" s="710"/>
      <c r="BH194" s="710"/>
      <c r="BI194" s="627"/>
      <c r="BJ194" s="184"/>
      <c r="BK194" s="184"/>
      <c r="BL194" s="184"/>
      <c r="BM194" s="184"/>
      <c r="BN194" s="184"/>
      <c r="BO194" s="200"/>
      <c r="BP194" s="200"/>
      <c r="BQ194" s="200"/>
      <c r="BR194" s="200"/>
      <c r="BS194" s="200"/>
      <c r="BU194" s="458"/>
    </row>
    <row r="195" spans="1:123" s="162" customFormat="1">
      <c r="A195" s="57"/>
      <c r="B195" s="61"/>
      <c r="C195" s="58"/>
      <c r="D195" s="58"/>
      <c r="E195" s="58"/>
      <c r="F195" s="58"/>
      <c r="G195" s="23"/>
      <c r="H195" s="606"/>
      <c r="I195" s="606"/>
      <c r="J195" s="606"/>
      <c r="K195" s="607"/>
      <c r="L195" s="606"/>
      <c r="M195" s="606"/>
      <c r="N195" s="606"/>
      <c r="O195" s="606"/>
      <c r="P195" s="624"/>
      <c r="Q195" s="624"/>
      <c r="R195" s="624"/>
      <c r="S195" s="624"/>
      <c r="T195" s="624"/>
      <c r="U195" s="625"/>
      <c r="V195" s="625"/>
      <c r="W195" s="625"/>
      <c r="X195" s="625"/>
      <c r="Y195" s="740"/>
      <c r="Z195" s="701"/>
      <c r="AA195" s="740"/>
      <c r="AB195" s="566"/>
      <c r="AC195" s="740"/>
      <c r="AD195" s="701"/>
      <c r="AE195" s="669"/>
      <c r="AF195" s="669"/>
      <c r="AG195" s="669"/>
      <c r="AH195" s="669"/>
      <c r="AI195" s="669"/>
      <c r="AJ195" s="669"/>
      <c r="AK195" s="627"/>
      <c r="AL195" s="627"/>
      <c r="AM195" s="627"/>
      <c r="AN195" s="627"/>
      <c r="AO195" s="627"/>
      <c r="AP195" s="686"/>
      <c r="AQ195" s="627"/>
      <c r="AR195" s="627"/>
      <c r="AS195" s="627"/>
      <c r="AT195" s="627"/>
      <c r="AU195" s="627"/>
      <c r="AV195" s="627"/>
      <c r="AW195" s="627"/>
      <c r="AX195" s="627"/>
      <c r="AY195" s="627"/>
      <c r="AZ195" s="627"/>
      <c r="BA195" s="709"/>
      <c r="BB195" s="709"/>
      <c r="BC195" s="709"/>
      <c r="BD195" s="709"/>
      <c r="BE195" s="709"/>
      <c r="BF195" s="709"/>
      <c r="BG195" s="709"/>
      <c r="BH195" s="710"/>
      <c r="BI195" s="777"/>
      <c r="BJ195" s="184"/>
      <c r="BK195" s="184"/>
      <c r="BL195" s="184"/>
      <c r="BM195" s="205"/>
      <c r="BN195" s="205"/>
      <c r="BO195" s="205"/>
      <c r="BP195" s="249"/>
      <c r="BQ195" s="249"/>
      <c r="BR195" s="249"/>
      <c r="BS195" s="249"/>
      <c r="BT195" s="197"/>
      <c r="BU195" s="444"/>
      <c r="BV195" s="197"/>
      <c r="BW195" s="197"/>
      <c r="BX195" s="197"/>
      <c r="BY195" s="197"/>
      <c r="BZ195" s="197"/>
      <c r="DS195" s="197"/>
    </row>
    <row r="196" spans="1:123">
      <c r="A196" s="57"/>
      <c r="B196" s="63" t="s">
        <v>520</v>
      </c>
      <c r="C196" s="64"/>
      <c r="D196" s="64"/>
      <c r="E196" s="64"/>
      <c r="F196" s="64"/>
      <c r="G196" s="65"/>
      <c r="H196" s="648"/>
      <c r="I196" s="648"/>
      <c r="J196" s="648"/>
      <c r="K196" s="649"/>
      <c r="L196" s="648"/>
      <c r="M196" s="648"/>
      <c r="N196" s="648"/>
      <c r="O196" s="648"/>
      <c r="P196" s="650"/>
      <c r="Q196" s="650"/>
      <c r="R196" s="650"/>
      <c r="S196" s="650"/>
      <c r="T196" s="650"/>
      <c r="U196" s="651"/>
      <c r="V196" s="651"/>
      <c r="W196" s="651"/>
      <c r="X196" s="651"/>
      <c r="Y196" s="651"/>
      <c r="Z196" s="651"/>
      <c r="AA196" s="651"/>
      <c r="AB196" s="651"/>
      <c r="AC196" s="651"/>
      <c r="AD196" s="651"/>
      <c r="AE196" s="651"/>
      <c r="AF196" s="651"/>
      <c r="AG196" s="694"/>
      <c r="AH196" s="694"/>
      <c r="AI196" s="694"/>
      <c r="AJ196" s="694"/>
      <c r="AK196" s="651"/>
      <c r="AL196" s="651"/>
      <c r="AM196" s="651"/>
      <c r="AN196" s="651"/>
      <c r="AO196" s="651"/>
      <c r="AP196" s="652"/>
      <c r="AQ196" s="651"/>
      <c r="AR196" s="651"/>
      <c r="AS196" s="651"/>
      <c r="AT196" s="651"/>
      <c r="AU196" s="651"/>
      <c r="AV196" s="651"/>
      <c r="AW196" s="651"/>
      <c r="AX196" s="651"/>
      <c r="AY196" s="651"/>
      <c r="AZ196" s="651"/>
      <c r="BA196" s="558"/>
      <c r="BB196" s="653"/>
      <c r="BC196" s="653"/>
      <c r="BD196" s="653"/>
      <c r="BE196" s="653"/>
      <c r="BF196" s="653"/>
      <c r="BG196" s="653"/>
      <c r="BH196" s="654"/>
      <c r="BI196" s="655"/>
      <c r="BJ196" s="66"/>
      <c r="BK196" s="66"/>
      <c r="BL196" s="66"/>
      <c r="BM196" s="66"/>
      <c r="BN196" s="66"/>
      <c r="BO196" s="66"/>
      <c r="BP196" s="66"/>
      <c r="BQ196" s="66"/>
      <c r="BR196" s="66"/>
      <c r="BS196" s="66"/>
      <c r="BT196" s="65"/>
      <c r="BU196" s="500"/>
      <c r="BV196" s="65"/>
      <c r="BW196" s="65"/>
      <c r="BX196" s="65"/>
      <c r="BY196" s="65"/>
      <c r="BZ196" s="65"/>
      <c r="DS196" s="65"/>
    </row>
    <row r="197" spans="1:123" s="162" customFormat="1">
      <c r="A197" s="176"/>
      <c r="B197" s="186" t="s">
        <v>351</v>
      </c>
      <c r="C197" s="318"/>
      <c r="D197" s="318"/>
      <c r="E197" s="318"/>
      <c r="F197" s="318"/>
      <c r="H197" s="778"/>
      <c r="I197" s="778"/>
      <c r="J197" s="778"/>
      <c r="K197" s="779"/>
      <c r="L197" s="778"/>
      <c r="M197" s="778"/>
      <c r="N197" s="778"/>
      <c r="O197" s="778"/>
      <c r="P197" s="780"/>
      <c r="Q197" s="780"/>
      <c r="R197" s="780"/>
      <c r="S197" s="780"/>
      <c r="T197" s="780"/>
      <c r="U197" s="627"/>
      <c r="V197" s="627"/>
      <c r="W197" s="627"/>
      <c r="X197" s="627"/>
      <c r="Y197" s="627"/>
      <c r="Z197" s="627"/>
      <c r="AA197" s="627"/>
      <c r="AB197" s="627"/>
      <c r="AC197" s="627"/>
      <c r="AD197" s="627"/>
      <c r="AE197" s="627">
        <f t="shared" ref="AE197:AZ197" si="281">AE187</f>
        <v>2.4569999999999999</v>
      </c>
      <c r="AF197" s="627">
        <f t="shared" si="281"/>
        <v>2.0300000000000002</v>
      </c>
      <c r="AG197" s="627">
        <f t="shared" si="281"/>
        <v>2.1379999999999999</v>
      </c>
      <c r="AH197" s="627">
        <f t="shared" si="281"/>
        <v>1.419</v>
      </c>
      <c r="AI197" s="627">
        <f t="shared" si="281"/>
        <v>0.95899999999999996</v>
      </c>
      <c r="AJ197" s="627">
        <f t="shared" si="281"/>
        <v>1.0230000000000001</v>
      </c>
      <c r="AK197" s="627">
        <f t="shared" si="281"/>
        <v>1.153</v>
      </c>
      <c r="AL197" s="627">
        <f t="shared" si="281"/>
        <v>1.6840000000000002</v>
      </c>
      <c r="AM197" s="627">
        <f t="shared" si="281"/>
        <v>1.575</v>
      </c>
      <c r="AN197" s="627">
        <f t="shared" si="281"/>
        <v>1.8379999999999999</v>
      </c>
      <c r="AO197" s="627">
        <f t="shared" si="281"/>
        <v>1.6080000000000001</v>
      </c>
      <c r="AP197" s="686">
        <f t="shared" si="281"/>
        <v>0.83499999999999996</v>
      </c>
      <c r="AQ197" s="627">
        <f t="shared" si="281"/>
        <v>1.6</v>
      </c>
      <c r="AR197" s="627">
        <f t="shared" si="281"/>
        <v>1.6</v>
      </c>
      <c r="AS197" s="627">
        <f t="shared" si="281"/>
        <v>1.6</v>
      </c>
      <c r="AT197" s="627">
        <f t="shared" si="281"/>
        <v>1.6</v>
      </c>
      <c r="AU197" s="627">
        <f t="shared" si="281"/>
        <v>1.6</v>
      </c>
      <c r="AV197" s="627">
        <f t="shared" si="281"/>
        <v>1.6</v>
      </c>
      <c r="AW197" s="627">
        <f t="shared" si="281"/>
        <v>1.6</v>
      </c>
      <c r="AX197" s="627">
        <f t="shared" si="281"/>
        <v>1.6</v>
      </c>
      <c r="AY197" s="627">
        <f t="shared" si="281"/>
        <v>1.6</v>
      </c>
      <c r="AZ197" s="627">
        <f t="shared" si="281"/>
        <v>1.6</v>
      </c>
      <c r="BA197" s="709"/>
      <c r="BB197" s="709"/>
      <c r="BC197" s="709"/>
      <c r="BD197" s="709"/>
      <c r="BE197" s="709"/>
      <c r="BF197" s="709"/>
      <c r="BG197" s="709"/>
      <c r="BH197" s="710"/>
      <c r="BI197" s="777"/>
      <c r="BJ197" s="184"/>
      <c r="BK197" s="184"/>
      <c r="BL197" s="184"/>
      <c r="BM197" s="184"/>
      <c r="BN197" s="184"/>
      <c r="BO197" s="184"/>
      <c r="BP197" s="184">
        <f>SUM(AE197:AF197)</f>
        <v>4.4870000000000001</v>
      </c>
      <c r="BQ197" s="184">
        <f>SUM(AG197:AH197)</f>
        <v>3.5569999999999999</v>
      </c>
      <c r="BR197" s="184">
        <f>SUM(AI197:AJ197)</f>
        <v>1.9820000000000002</v>
      </c>
      <c r="BS197" s="184">
        <f>SUM(AK197:AL197)</f>
        <v>2.8370000000000002</v>
      </c>
      <c r="BT197" s="184">
        <f>SUM(AM197:AN197)</f>
        <v>3.4129999999999998</v>
      </c>
      <c r="BU197" s="507">
        <f>SUM(AO197:AP197)</f>
        <v>2.4430000000000001</v>
      </c>
      <c r="BV197" s="184">
        <f>SUM(AQ197:AR197)</f>
        <v>3.2</v>
      </c>
      <c r="BW197" s="184">
        <f>SUM(AS197:AT197)</f>
        <v>3.2</v>
      </c>
      <c r="BX197" s="184">
        <f>SUM(AU197:AV197)</f>
        <v>3.2</v>
      </c>
      <c r="BY197" s="184">
        <f>SUM(AW197:AX197)</f>
        <v>3.2</v>
      </c>
      <c r="BZ197" s="184">
        <f>SUM(AY197:AZ197)</f>
        <v>3.2</v>
      </c>
      <c r="CB197" s="23" t="s">
        <v>609</v>
      </c>
      <c r="DS197" s="184">
        <f>SUM(CU197:CV197)</f>
        <v>0</v>
      </c>
    </row>
    <row r="198" spans="1:123" s="162" customFormat="1">
      <c r="A198" s="176"/>
      <c r="B198" s="186" t="s">
        <v>287</v>
      </c>
      <c r="C198" s="318"/>
      <c r="D198" s="318"/>
      <c r="E198" s="318"/>
      <c r="F198" s="318"/>
      <c r="H198" s="778"/>
      <c r="I198" s="778"/>
      <c r="J198" s="778"/>
      <c r="K198" s="779"/>
      <c r="L198" s="778"/>
      <c r="M198" s="778"/>
      <c r="N198" s="778"/>
      <c r="O198" s="778"/>
      <c r="P198" s="780"/>
      <c r="Q198" s="780"/>
      <c r="R198" s="780"/>
      <c r="S198" s="780"/>
      <c r="T198" s="780"/>
      <c r="U198" s="627"/>
      <c r="V198" s="627"/>
      <c r="W198" s="627"/>
      <c r="X198" s="627"/>
      <c r="Y198" s="627"/>
      <c r="Z198" s="627"/>
      <c r="AA198" s="627"/>
      <c r="AB198" s="627"/>
      <c r="AC198" s="627"/>
      <c r="AD198" s="627"/>
      <c r="AE198" s="627">
        <f t="shared" ref="AE198:AZ198" si="282">SUM(AE188:AE189)</f>
        <v>-6.9790000000000001</v>
      </c>
      <c r="AF198" s="627">
        <f t="shared" si="282"/>
        <v>-8.9</v>
      </c>
      <c r="AG198" s="627">
        <f t="shared" si="282"/>
        <v>-7.31</v>
      </c>
      <c r="AH198" s="627">
        <f t="shared" si="282"/>
        <v>-7.4589999999999987</v>
      </c>
      <c r="AI198" s="627">
        <f t="shared" si="282"/>
        <v>-10.335000000000001</v>
      </c>
      <c r="AJ198" s="627">
        <f t="shared" si="282"/>
        <v>-9.6310000000000002</v>
      </c>
      <c r="AK198" s="627">
        <f t="shared" si="282"/>
        <v>-13.03</v>
      </c>
      <c r="AL198" s="627">
        <f t="shared" si="282"/>
        <v>-12.796000000000001</v>
      </c>
      <c r="AM198" s="627">
        <f t="shared" si="282"/>
        <v>-14.978</v>
      </c>
      <c r="AN198" s="627">
        <f t="shared" si="282"/>
        <v>-11.043999999999999</v>
      </c>
      <c r="AO198" s="627">
        <f t="shared" si="282"/>
        <v>-15.565</v>
      </c>
      <c r="AP198" s="686">
        <f t="shared" si="282"/>
        <v>-10.589</v>
      </c>
      <c r="AQ198" s="627">
        <f t="shared" si="282"/>
        <v>-15.876300000000001</v>
      </c>
      <c r="AR198" s="627">
        <f t="shared" si="282"/>
        <v>-10.800780000000001</v>
      </c>
      <c r="AS198" s="627">
        <f t="shared" si="282"/>
        <v>-16.193826000000001</v>
      </c>
      <c r="AT198" s="627">
        <f t="shared" si="282"/>
        <v>-11.016795600000002</v>
      </c>
      <c r="AU198" s="627">
        <f t="shared" si="282"/>
        <v>-16.51770252</v>
      </c>
      <c r="AV198" s="627">
        <f t="shared" si="282"/>
        <v>-11.237131512000001</v>
      </c>
      <c r="AW198" s="627">
        <f t="shared" si="282"/>
        <v>-16.848056570400001</v>
      </c>
      <c r="AX198" s="627">
        <f t="shared" si="282"/>
        <v>-11.461874142240001</v>
      </c>
      <c r="AY198" s="627">
        <f t="shared" si="282"/>
        <v>-17.185017701808</v>
      </c>
      <c r="AZ198" s="627">
        <f t="shared" si="282"/>
        <v>-11.691111625084801</v>
      </c>
      <c r="BA198" s="709"/>
      <c r="BB198" s="709"/>
      <c r="BC198" s="709"/>
      <c r="BD198" s="709"/>
      <c r="BE198" s="709"/>
      <c r="BF198" s="709"/>
      <c r="BG198" s="709"/>
      <c r="BH198" s="710"/>
      <c r="BI198" s="777"/>
      <c r="BJ198" s="184"/>
      <c r="BK198" s="184"/>
      <c r="BL198" s="184"/>
      <c r="BM198" s="184"/>
      <c r="BN198" s="184"/>
      <c r="BO198" s="184"/>
      <c r="BP198" s="184">
        <f>SUM(AE198:AF198)</f>
        <v>-15.879000000000001</v>
      </c>
      <c r="BQ198" s="184">
        <f>SUM(AG198:AH198)</f>
        <v>-14.768999999999998</v>
      </c>
      <c r="BR198" s="184">
        <f>SUM(AI198:AJ198)</f>
        <v>-19.966000000000001</v>
      </c>
      <c r="BS198" s="184">
        <f>SUM(AK198:AL198)</f>
        <v>-25.826000000000001</v>
      </c>
      <c r="BT198" s="184">
        <f>SUM(AM198:AN198)</f>
        <v>-26.021999999999998</v>
      </c>
      <c r="BU198" s="507">
        <f>SUM(AO198:AP198)</f>
        <v>-26.154</v>
      </c>
      <c r="BV198" s="184">
        <f>SUM(AQ198:AR198)</f>
        <v>-26.677080000000004</v>
      </c>
      <c r="BW198" s="184">
        <f>SUM(AS198:AT198)</f>
        <v>-27.210621600000003</v>
      </c>
      <c r="BX198" s="184">
        <f>SUM(AU198:AV198)</f>
        <v>-27.754834032000002</v>
      </c>
      <c r="BY198" s="184">
        <f>SUM(AW198:AX198)</f>
        <v>-28.309930712640003</v>
      </c>
      <c r="BZ198" s="184">
        <f>SUM(AY198:AZ198)</f>
        <v>-28.876129326892801</v>
      </c>
      <c r="CB198" s="23" t="s">
        <v>609</v>
      </c>
      <c r="DS198" s="184">
        <f>SUM(CU198:CV198)</f>
        <v>0</v>
      </c>
    </row>
    <row r="199" spans="1:123" s="162" customFormat="1">
      <c r="A199" s="176"/>
      <c r="B199" s="186" t="s">
        <v>354</v>
      </c>
      <c r="C199" s="318"/>
      <c r="D199" s="318"/>
      <c r="E199" s="318"/>
      <c r="F199" s="318"/>
      <c r="H199" s="778"/>
      <c r="I199" s="778"/>
      <c r="J199" s="778"/>
      <c r="K199" s="779"/>
      <c r="L199" s="778"/>
      <c r="M199" s="778"/>
      <c r="N199" s="778"/>
      <c r="O199" s="778"/>
      <c r="P199" s="780"/>
      <c r="Q199" s="780"/>
      <c r="R199" s="780"/>
      <c r="S199" s="780"/>
      <c r="T199" s="780"/>
      <c r="U199" s="627"/>
      <c r="V199" s="627"/>
      <c r="W199" s="627"/>
      <c r="X199" s="627"/>
      <c r="Y199" s="627"/>
      <c r="Z199" s="627"/>
      <c r="AA199" s="627"/>
      <c r="AB199" s="627"/>
      <c r="AC199" s="627"/>
      <c r="AD199" s="627"/>
      <c r="AE199" s="627">
        <f t="shared" ref="AE199:AZ199" si="283">SUM(AE197:AE198)</f>
        <v>-4.5220000000000002</v>
      </c>
      <c r="AF199" s="627">
        <f t="shared" si="283"/>
        <v>-6.87</v>
      </c>
      <c r="AG199" s="627">
        <f t="shared" si="283"/>
        <v>-5.1719999999999997</v>
      </c>
      <c r="AH199" s="627">
        <f t="shared" si="283"/>
        <v>-6.0399999999999991</v>
      </c>
      <c r="AI199" s="627">
        <f t="shared" si="283"/>
        <v>-9.3760000000000012</v>
      </c>
      <c r="AJ199" s="627">
        <f t="shared" si="283"/>
        <v>-8.6080000000000005</v>
      </c>
      <c r="AK199" s="627">
        <f t="shared" si="283"/>
        <v>-11.876999999999999</v>
      </c>
      <c r="AL199" s="627">
        <f t="shared" si="283"/>
        <v>-11.112000000000002</v>
      </c>
      <c r="AM199" s="627">
        <f t="shared" si="283"/>
        <v>-13.403</v>
      </c>
      <c r="AN199" s="627">
        <f t="shared" si="283"/>
        <v>-9.2059999999999995</v>
      </c>
      <c r="AO199" s="627">
        <f t="shared" si="283"/>
        <v>-13.956999999999999</v>
      </c>
      <c r="AP199" s="686">
        <f t="shared" si="283"/>
        <v>-9.7540000000000013</v>
      </c>
      <c r="AQ199" s="627">
        <f t="shared" si="283"/>
        <v>-14.276300000000001</v>
      </c>
      <c r="AR199" s="627">
        <f t="shared" si="283"/>
        <v>-9.2007800000000017</v>
      </c>
      <c r="AS199" s="627">
        <f t="shared" si="283"/>
        <v>-14.593826000000002</v>
      </c>
      <c r="AT199" s="627">
        <f t="shared" si="283"/>
        <v>-9.4167956000000022</v>
      </c>
      <c r="AU199" s="627">
        <f t="shared" si="283"/>
        <v>-14.917702520000001</v>
      </c>
      <c r="AV199" s="627">
        <f t="shared" si="283"/>
        <v>-9.6371315120000016</v>
      </c>
      <c r="AW199" s="627">
        <f t="shared" si="283"/>
        <v>-15.248056570400001</v>
      </c>
      <c r="AX199" s="627">
        <f t="shared" si="283"/>
        <v>-9.8618741422400014</v>
      </c>
      <c r="AY199" s="627">
        <f t="shared" si="283"/>
        <v>-15.585017701808001</v>
      </c>
      <c r="AZ199" s="627">
        <f t="shared" si="283"/>
        <v>-10.091111625084801</v>
      </c>
      <c r="BA199" s="709"/>
      <c r="BB199" s="709"/>
      <c r="BC199" s="709"/>
      <c r="BD199" s="709"/>
      <c r="BE199" s="709"/>
      <c r="BF199" s="709"/>
      <c r="BG199" s="709"/>
      <c r="BH199" s="710"/>
      <c r="BI199" s="777"/>
      <c r="BJ199" s="184"/>
      <c r="BK199" s="184"/>
      <c r="BL199" s="184"/>
      <c r="BM199" s="184"/>
      <c r="BN199" s="184"/>
      <c r="BO199" s="184"/>
      <c r="BP199" s="184">
        <f>SUM(AE199:AF199)</f>
        <v>-11.391999999999999</v>
      </c>
      <c r="BQ199" s="184">
        <f>SUM(AG199:AH199)</f>
        <v>-11.212</v>
      </c>
      <c r="BR199" s="184">
        <f>SUM(AI199:AJ199)</f>
        <v>-17.984000000000002</v>
      </c>
      <c r="BS199" s="184">
        <f>SUM(AK199:AL199)</f>
        <v>-22.989000000000001</v>
      </c>
      <c r="BT199" s="184">
        <f>SUM(AM199:AN199)</f>
        <v>-22.609000000000002</v>
      </c>
      <c r="BU199" s="507">
        <f>SUM(AO199:AP199)</f>
        <v>-23.710999999999999</v>
      </c>
      <c r="BV199" s="184">
        <f>SUM(AQ199:AR199)</f>
        <v>-23.477080000000001</v>
      </c>
      <c r="BW199" s="184">
        <f>SUM(AS199:AT199)</f>
        <v>-24.010621600000004</v>
      </c>
      <c r="BX199" s="184">
        <f>SUM(AU199:AV199)</f>
        <v>-24.554834032000002</v>
      </c>
      <c r="BY199" s="184">
        <f>SUM(AW199:AX199)</f>
        <v>-25.109930712640001</v>
      </c>
      <c r="BZ199" s="184">
        <f>SUM(AY199:AZ199)</f>
        <v>-25.676129326892802</v>
      </c>
      <c r="CB199" s="23" t="s">
        <v>609</v>
      </c>
      <c r="DS199" s="184">
        <f>SUM(CU199:CV199)</f>
        <v>0</v>
      </c>
    </row>
    <row r="200" spans="1:123" s="162" customFormat="1">
      <c r="A200" s="176"/>
      <c r="B200" s="186"/>
      <c r="C200" s="318"/>
      <c r="D200" s="318"/>
      <c r="E200" s="318"/>
      <c r="F200" s="318"/>
      <c r="H200" s="778"/>
      <c r="I200" s="778"/>
      <c r="J200" s="778"/>
      <c r="K200" s="779"/>
      <c r="L200" s="778"/>
      <c r="M200" s="778"/>
      <c r="N200" s="778"/>
      <c r="O200" s="778"/>
      <c r="P200" s="780"/>
      <c r="Q200" s="780"/>
      <c r="R200" s="780"/>
      <c r="S200" s="780"/>
      <c r="T200" s="780"/>
      <c r="U200" s="627"/>
      <c r="V200" s="627"/>
      <c r="W200" s="627"/>
      <c r="X200" s="627"/>
      <c r="Y200" s="627"/>
      <c r="Z200" s="627"/>
      <c r="AA200" s="627"/>
      <c r="AB200" s="627"/>
      <c r="AC200" s="627"/>
      <c r="AD200" s="627"/>
      <c r="AE200" s="627"/>
      <c r="AF200" s="627"/>
      <c r="AG200" s="627"/>
      <c r="AH200" s="627"/>
      <c r="AI200" s="627"/>
      <c r="AJ200" s="627"/>
      <c r="AK200" s="627"/>
      <c r="AL200" s="627"/>
      <c r="AM200" s="627"/>
      <c r="AN200" s="627"/>
      <c r="AO200" s="627"/>
      <c r="AP200" s="686"/>
      <c r="AQ200" s="627"/>
      <c r="AR200" s="627"/>
      <c r="AS200" s="627"/>
      <c r="AT200" s="627"/>
      <c r="AU200" s="627"/>
      <c r="AV200" s="627"/>
      <c r="AW200" s="627"/>
      <c r="AX200" s="627"/>
      <c r="AY200" s="627"/>
      <c r="AZ200" s="627"/>
      <c r="BA200" s="709"/>
      <c r="BB200" s="709"/>
      <c r="BC200" s="709"/>
      <c r="BD200" s="709"/>
      <c r="BE200" s="709"/>
      <c r="BF200" s="709"/>
      <c r="BG200" s="709"/>
      <c r="BH200" s="710"/>
      <c r="BI200" s="777"/>
      <c r="BJ200" s="184"/>
      <c r="BK200" s="184"/>
      <c r="BL200" s="184"/>
      <c r="BM200" s="184"/>
      <c r="BN200" s="184"/>
      <c r="BO200" s="184"/>
      <c r="BP200" s="184"/>
      <c r="BQ200" s="184"/>
      <c r="BR200" s="184"/>
      <c r="BS200" s="184"/>
      <c r="BU200" s="458"/>
    </row>
    <row r="201" spans="1:123" s="162" customFormat="1">
      <c r="A201" s="176"/>
      <c r="B201" s="186" t="s">
        <v>351</v>
      </c>
      <c r="C201" s="318"/>
      <c r="D201" s="318"/>
      <c r="E201" s="318"/>
      <c r="F201" s="318"/>
      <c r="H201" s="778"/>
      <c r="I201" s="778"/>
      <c r="J201" s="778"/>
      <c r="K201" s="779"/>
      <c r="L201" s="778"/>
      <c r="M201" s="778"/>
      <c r="N201" s="778"/>
      <c r="O201" s="778"/>
      <c r="P201" s="780"/>
      <c r="Q201" s="780"/>
      <c r="R201" s="780"/>
      <c r="S201" s="780"/>
      <c r="T201" s="780"/>
      <c r="U201" s="627"/>
      <c r="V201" s="627"/>
      <c r="W201" s="627"/>
      <c r="X201" s="627"/>
      <c r="Y201" s="627"/>
      <c r="Z201" s="627"/>
      <c r="AA201" s="627"/>
      <c r="AB201" s="627"/>
      <c r="AC201" s="627"/>
      <c r="AD201" s="627"/>
      <c r="AE201" s="627">
        <f t="shared" ref="AE201:AZ201" si="284">AE197</f>
        <v>2.4569999999999999</v>
      </c>
      <c r="AF201" s="627">
        <f t="shared" si="284"/>
        <v>2.0300000000000002</v>
      </c>
      <c r="AG201" s="627">
        <f t="shared" si="284"/>
        <v>2.1379999999999999</v>
      </c>
      <c r="AH201" s="627">
        <f t="shared" si="284"/>
        <v>1.419</v>
      </c>
      <c r="AI201" s="627">
        <f t="shared" si="284"/>
        <v>0.95899999999999996</v>
      </c>
      <c r="AJ201" s="627">
        <f t="shared" si="284"/>
        <v>1.0230000000000001</v>
      </c>
      <c r="AK201" s="627">
        <f t="shared" si="284"/>
        <v>1.153</v>
      </c>
      <c r="AL201" s="627">
        <f t="shared" si="284"/>
        <v>1.6840000000000002</v>
      </c>
      <c r="AM201" s="627">
        <f t="shared" si="284"/>
        <v>1.575</v>
      </c>
      <c r="AN201" s="627">
        <f t="shared" si="284"/>
        <v>1.8379999999999999</v>
      </c>
      <c r="AO201" s="627">
        <f t="shared" si="284"/>
        <v>1.6080000000000001</v>
      </c>
      <c r="AP201" s="686">
        <f t="shared" si="284"/>
        <v>0.83499999999999996</v>
      </c>
      <c r="AQ201" s="627">
        <f t="shared" si="284"/>
        <v>1.6</v>
      </c>
      <c r="AR201" s="627">
        <f t="shared" si="284"/>
        <v>1.6</v>
      </c>
      <c r="AS201" s="627">
        <f t="shared" si="284"/>
        <v>1.6</v>
      </c>
      <c r="AT201" s="627">
        <f t="shared" si="284"/>
        <v>1.6</v>
      </c>
      <c r="AU201" s="627">
        <f t="shared" si="284"/>
        <v>1.6</v>
      </c>
      <c r="AV201" s="627">
        <f t="shared" si="284"/>
        <v>1.6</v>
      </c>
      <c r="AW201" s="627">
        <f t="shared" si="284"/>
        <v>1.6</v>
      </c>
      <c r="AX201" s="627">
        <f t="shared" si="284"/>
        <v>1.6</v>
      </c>
      <c r="AY201" s="627">
        <f t="shared" si="284"/>
        <v>1.6</v>
      </c>
      <c r="AZ201" s="627">
        <f t="shared" si="284"/>
        <v>1.6</v>
      </c>
      <c r="BA201" s="709"/>
      <c r="BB201" s="709"/>
      <c r="BC201" s="709"/>
      <c r="BD201" s="709"/>
      <c r="BE201" s="709"/>
      <c r="BF201" s="709"/>
      <c r="BG201" s="709"/>
      <c r="BH201" s="710"/>
      <c r="BI201" s="777"/>
      <c r="BJ201" s="184"/>
      <c r="BK201" s="184"/>
      <c r="BL201" s="184"/>
      <c r="BM201" s="184"/>
      <c r="BN201" s="184"/>
      <c r="BO201" s="184"/>
      <c r="BP201" s="184">
        <f>SUM(AE201:AF201)</f>
        <v>4.4870000000000001</v>
      </c>
      <c r="BQ201" s="184">
        <f>SUM(AG201:AH201)</f>
        <v>3.5569999999999999</v>
      </c>
      <c r="BR201" s="184">
        <f>SUM(AI201:AJ201)</f>
        <v>1.9820000000000002</v>
      </c>
      <c r="BS201" s="184">
        <f>SUM(AK201:AL201)</f>
        <v>2.8370000000000002</v>
      </c>
      <c r="BT201" s="184">
        <f>SUM(AM201:AN201)</f>
        <v>3.4129999999999998</v>
      </c>
      <c r="BU201" s="507">
        <f>SUM(AO201:AP201)</f>
        <v>2.4430000000000001</v>
      </c>
      <c r="BV201" s="184">
        <f>SUM(AQ201:AR201)</f>
        <v>3.2</v>
      </c>
      <c r="BW201" s="184">
        <f>SUM(AS201:AT201)</f>
        <v>3.2</v>
      </c>
      <c r="BX201" s="184">
        <f>SUM(AU201:AV201)</f>
        <v>3.2</v>
      </c>
      <c r="BY201" s="184">
        <f>SUM(AW201:AX201)</f>
        <v>3.2</v>
      </c>
      <c r="BZ201" s="184">
        <f>SUM(AY201:AZ201)</f>
        <v>3.2</v>
      </c>
      <c r="CB201" s="23" t="s">
        <v>609</v>
      </c>
      <c r="DS201" s="184">
        <f>SUM(CU201:CV201)</f>
        <v>0</v>
      </c>
    </row>
    <row r="202" spans="1:123" s="162" customFormat="1">
      <c r="A202" s="176"/>
      <c r="B202" s="186" t="s">
        <v>355</v>
      </c>
      <c r="C202" s="318"/>
      <c r="D202" s="318"/>
      <c r="E202" s="318"/>
      <c r="F202" s="318"/>
      <c r="H202" s="778"/>
      <c r="I202" s="778"/>
      <c r="J202" s="778"/>
      <c r="K202" s="779"/>
      <c r="L202" s="778"/>
      <c r="M202" s="778"/>
      <c r="N202" s="778"/>
      <c r="O202" s="778"/>
      <c r="P202" s="780"/>
      <c r="Q202" s="780"/>
      <c r="R202" s="780"/>
      <c r="S202" s="780"/>
      <c r="T202" s="780"/>
      <c r="U202" s="627"/>
      <c r="V202" s="627"/>
      <c r="W202" s="627"/>
      <c r="X202" s="627"/>
      <c r="Y202" s="627"/>
      <c r="Z202" s="627"/>
      <c r="AA202" s="627"/>
      <c r="AB202" s="627"/>
      <c r="AC202" s="627"/>
      <c r="AD202" s="627"/>
      <c r="AE202" s="627">
        <f t="shared" ref="AE202:AZ202" si="285">AE188</f>
        <v>-6.9790000000000001</v>
      </c>
      <c r="AF202" s="627">
        <f t="shared" si="285"/>
        <v>-8.7390000000000008</v>
      </c>
      <c r="AG202" s="627">
        <f t="shared" si="285"/>
        <v>-7.306</v>
      </c>
      <c r="AH202" s="627">
        <f t="shared" si="285"/>
        <v>-7.4519999999999991</v>
      </c>
      <c r="AI202" s="627">
        <f t="shared" si="285"/>
        <v>-10.335000000000001</v>
      </c>
      <c r="AJ202" s="627">
        <f t="shared" si="285"/>
        <v>-9.6310000000000002</v>
      </c>
      <c r="AK202" s="627">
        <f t="shared" si="285"/>
        <v>-13.03</v>
      </c>
      <c r="AL202" s="627">
        <f t="shared" si="285"/>
        <v>-12.796000000000001</v>
      </c>
      <c r="AM202" s="627">
        <f t="shared" si="285"/>
        <v>-14.978</v>
      </c>
      <c r="AN202" s="627">
        <f t="shared" si="285"/>
        <v>-11.043999999999999</v>
      </c>
      <c r="AO202" s="627">
        <f t="shared" si="285"/>
        <v>-15.565</v>
      </c>
      <c r="AP202" s="686">
        <f t="shared" si="285"/>
        <v>-10.589</v>
      </c>
      <c r="AQ202" s="627">
        <f t="shared" si="285"/>
        <v>-15.876300000000001</v>
      </c>
      <c r="AR202" s="627">
        <f t="shared" si="285"/>
        <v>-10.800780000000001</v>
      </c>
      <c r="AS202" s="627">
        <f t="shared" si="285"/>
        <v>-16.193826000000001</v>
      </c>
      <c r="AT202" s="627">
        <f t="shared" si="285"/>
        <v>-11.016795600000002</v>
      </c>
      <c r="AU202" s="627">
        <f t="shared" si="285"/>
        <v>-16.51770252</v>
      </c>
      <c r="AV202" s="627">
        <f t="shared" si="285"/>
        <v>-11.237131512000001</v>
      </c>
      <c r="AW202" s="627">
        <f t="shared" si="285"/>
        <v>-16.848056570400001</v>
      </c>
      <c r="AX202" s="627">
        <f t="shared" si="285"/>
        <v>-11.461874142240001</v>
      </c>
      <c r="AY202" s="627">
        <f t="shared" si="285"/>
        <v>-17.185017701808</v>
      </c>
      <c r="AZ202" s="627">
        <f t="shared" si="285"/>
        <v>-11.691111625084801</v>
      </c>
      <c r="BA202" s="709"/>
      <c r="BB202" s="709"/>
      <c r="BC202" s="709"/>
      <c r="BD202" s="709"/>
      <c r="BE202" s="709"/>
      <c r="BF202" s="709"/>
      <c r="BG202" s="709"/>
      <c r="BH202" s="710"/>
      <c r="BI202" s="777"/>
      <c r="BJ202" s="184"/>
      <c r="BK202" s="184"/>
      <c r="BL202" s="184"/>
      <c r="BM202" s="184"/>
      <c r="BN202" s="184"/>
      <c r="BO202" s="184"/>
      <c r="BP202" s="184">
        <f>SUM(AE202:AF202)</f>
        <v>-15.718</v>
      </c>
      <c r="BQ202" s="184">
        <f>SUM(AG202:AH202)</f>
        <v>-14.757999999999999</v>
      </c>
      <c r="BR202" s="184">
        <f>SUM(AI202:AJ202)</f>
        <v>-19.966000000000001</v>
      </c>
      <c r="BS202" s="184">
        <f>SUM(AK202:AL202)</f>
        <v>-25.826000000000001</v>
      </c>
      <c r="BT202" s="184">
        <f>SUM(AM202:AN202)</f>
        <v>-26.021999999999998</v>
      </c>
      <c r="BU202" s="507">
        <f>SUM(AO202:AP202)</f>
        <v>-26.154</v>
      </c>
      <c r="BV202" s="184">
        <f>SUM(AQ202:AR202)</f>
        <v>-26.677080000000004</v>
      </c>
      <c r="BW202" s="184">
        <f>SUM(AS202:AT202)</f>
        <v>-27.210621600000003</v>
      </c>
      <c r="BX202" s="184">
        <f>SUM(AU202:AV202)</f>
        <v>-27.754834032000002</v>
      </c>
      <c r="BY202" s="184">
        <f>SUM(AW202:AX202)</f>
        <v>-28.309930712640003</v>
      </c>
      <c r="BZ202" s="184">
        <f>SUM(AY202:AZ202)</f>
        <v>-28.876129326892801</v>
      </c>
      <c r="CB202" s="23" t="s">
        <v>609</v>
      </c>
      <c r="DS202" s="184">
        <f>SUM(CU202:CV202)</f>
        <v>0</v>
      </c>
    </row>
    <row r="203" spans="1:123" s="162" customFormat="1">
      <c r="A203" s="176"/>
      <c r="B203" s="186" t="s">
        <v>358</v>
      </c>
      <c r="C203" s="318"/>
      <c r="D203" s="318"/>
      <c r="E203" s="318"/>
      <c r="F203" s="318"/>
      <c r="H203" s="778"/>
      <c r="I203" s="778"/>
      <c r="J203" s="778"/>
      <c r="K203" s="779"/>
      <c r="L203" s="778"/>
      <c r="M203" s="778"/>
      <c r="N203" s="778"/>
      <c r="O203" s="778"/>
      <c r="P203" s="780"/>
      <c r="Q203" s="780"/>
      <c r="R203" s="780"/>
      <c r="S203" s="780"/>
      <c r="T203" s="780"/>
      <c r="U203" s="627"/>
      <c r="V203" s="627"/>
      <c r="W203" s="627"/>
      <c r="X203" s="627"/>
      <c r="Y203" s="627"/>
      <c r="Z203" s="627"/>
      <c r="AA203" s="627"/>
      <c r="AB203" s="627"/>
      <c r="AC203" s="627"/>
      <c r="AD203" s="627"/>
      <c r="AE203" s="627">
        <f t="shared" ref="AE203:AZ203" si="286">AE190</f>
        <v>-1.43</v>
      </c>
      <c r="AF203" s="627">
        <f t="shared" si="286"/>
        <v>-2.4560000000000004</v>
      </c>
      <c r="AG203" s="627">
        <f t="shared" si="286"/>
        <v>-2.5419999999999998</v>
      </c>
      <c r="AH203" s="627">
        <f t="shared" si="286"/>
        <v>-2.3500000000000005</v>
      </c>
      <c r="AI203" s="627">
        <f t="shared" si="286"/>
        <v>-2.395</v>
      </c>
      <c r="AJ203" s="627">
        <f t="shared" si="286"/>
        <v>-1.9140000000000001</v>
      </c>
      <c r="AK203" s="627">
        <f t="shared" si="286"/>
        <v>-12.787000000000001</v>
      </c>
      <c r="AL203" s="627">
        <f t="shared" si="286"/>
        <v>-27.058</v>
      </c>
      <c r="AM203" s="627">
        <f t="shared" si="286"/>
        <v>-25.295999999999999</v>
      </c>
      <c r="AN203" s="627">
        <f t="shared" si="286"/>
        <v>-22.146000000000001</v>
      </c>
      <c r="AO203" s="627">
        <f t="shared" si="286"/>
        <v>-21.731000000000002</v>
      </c>
      <c r="AP203" s="686">
        <f t="shared" si="286"/>
        <v>-24.597999999999999</v>
      </c>
      <c r="AQ203" s="627">
        <f t="shared" si="286"/>
        <v>-25.597999999999999</v>
      </c>
      <c r="AR203" s="627">
        <f t="shared" si="286"/>
        <v>-25.597999999999999</v>
      </c>
      <c r="AS203" s="627">
        <f t="shared" si="286"/>
        <v>-25.097999999999999</v>
      </c>
      <c r="AT203" s="627">
        <f t="shared" si="286"/>
        <v>-25.097999999999999</v>
      </c>
      <c r="AU203" s="627">
        <f t="shared" si="286"/>
        <v>-25.097999999999999</v>
      </c>
      <c r="AV203" s="627">
        <f t="shared" si="286"/>
        <v>-25.097999999999999</v>
      </c>
      <c r="AW203" s="627">
        <f t="shared" si="286"/>
        <v>-25.097999999999999</v>
      </c>
      <c r="AX203" s="627">
        <f t="shared" si="286"/>
        <v>-25.097999999999999</v>
      </c>
      <c r="AY203" s="627">
        <f t="shared" si="286"/>
        <v>-25.097999999999999</v>
      </c>
      <c r="AZ203" s="627">
        <f t="shared" si="286"/>
        <v>-25.097999999999999</v>
      </c>
      <c r="BA203" s="709"/>
      <c r="BB203" s="709"/>
      <c r="BC203" s="709"/>
      <c r="BD203" s="709"/>
      <c r="BE203" s="709"/>
      <c r="BF203" s="709"/>
      <c r="BG203" s="709"/>
      <c r="BH203" s="710"/>
      <c r="BI203" s="777"/>
      <c r="BJ203" s="184"/>
      <c r="BK203" s="184"/>
      <c r="BL203" s="184"/>
      <c r="BM203" s="184"/>
      <c r="BN203" s="184"/>
      <c r="BO203" s="184"/>
      <c r="BP203" s="184">
        <f>SUM(AE203:AF203)</f>
        <v>-3.8860000000000001</v>
      </c>
      <c r="BQ203" s="184">
        <f>SUM(AG203:AH203)</f>
        <v>-4.8920000000000003</v>
      </c>
      <c r="BR203" s="184">
        <f>SUM(AI203:AJ203)</f>
        <v>-4.3090000000000002</v>
      </c>
      <c r="BS203" s="184">
        <f>SUM(AK203:AL203)</f>
        <v>-39.844999999999999</v>
      </c>
      <c r="BT203" s="184">
        <f>SUM(AM203:AN203)</f>
        <v>-47.442</v>
      </c>
      <c r="BU203" s="507">
        <f>SUM(AO203:AP203)</f>
        <v>-46.329000000000001</v>
      </c>
      <c r="BV203" s="184">
        <f>SUM(AQ203:AR203)</f>
        <v>-51.195999999999998</v>
      </c>
      <c r="BW203" s="184">
        <f>SUM(AS203:AT203)</f>
        <v>-50.195999999999998</v>
      </c>
      <c r="BX203" s="184">
        <f>SUM(AU203:AV203)</f>
        <v>-50.195999999999998</v>
      </c>
      <c r="BY203" s="184">
        <f>SUM(AW203:AX203)</f>
        <v>-50.195999999999998</v>
      </c>
      <c r="BZ203" s="184">
        <f>SUM(AY203:AZ203)</f>
        <v>-50.195999999999998</v>
      </c>
      <c r="CB203" s="23" t="s">
        <v>609</v>
      </c>
      <c r="DS203" s="184">
        <f>SUM(CU203:CV203)</f>
        <v>0</v>
      </c>
    </row>
    <row r="204" spans="1:123" s="162" customFormat="1">
      <c r="A204" s="176"/>
      <c r="B204" s="186" t="s">
        <v>351</v>
      </c>
      <c r="C204" s="318"/>
      <c r="D204" s="318"/>
      <c r="E204" s="318"/>
      <c r="F204" s="318"/>
      <c r="H204" s="778"/>
      <c r="I204" s="778"/>
      <c r="J204" s="778"/>
      <c r="K204" s="779"/>
      <c r="L204" s="778"/>
      <c r="M204" s="778"/>
      <c r="N204" s="778"/>
      <c r="O204" s="778"/>
      <c r="P204" s="780"/>
      <c r="Q204" s="780"/>
      <c r="R204" s="780"/>
      <c r="S204" s="780"/>
      <c r="T204" s="780"/>
      <c r="U204" s="627"/>
      <c r="V204" s="627"/>
      <c r="W204" s="627"/>
      <c r="X204" s="627"/>
      <c r="Y204" s="627"/>
      <c r="Z204" s="627"/>
      <c r="AA204" s="627"/>
      <c r="AB204" s="627"/>
      <c r="AC204" s="627"/>
      <c r="AD204" s="627"/>
      <c r="AE204" s="627">
        <f t="shared" ref="AE204:AZ204" si="287">AE187</f>
        <v>2.4569999999999999</v>
      </c>
      <c r="AF204" s="627">
        <f t="shared" si="287"/>
        <v>2.0300000000000002</v>
      </c>
      <c r="AG204" s="627">
        <f t="shared" si="287"/>
        <v>2.1379999999999999</v>
      </c>
      <c r="AH204" s="627">
        <f t="shared" si="287"/>
        <v>1.419</v>
      </c>
      <c r="AI204" s="627">
        <f t="shared" si="287"/>
        <v>0.95899999999999996</v>
      </c>
      <c r="AJ204" s="627">
        <f t="shared" si="287"/>
        <v>1.0230000000000001</v>
      </c>
      <c r="AK204" s="627">
        <f t="shared" si="287"/>
        <v>1.153</v>
      </c>
      <c r="AL204" s="627">
        <f t="shared" si="287"/>
        <v>1.6840000000000002</v>
      </c>
      <c r="AM204" s="627">
        <f t="shared" si="287"/>
        <v>1.575</v>
      </c>
      <c r="AN204" s="627">
        <f t="shared" si="287"/>
        <v>1.8379999999999999</v>
      </c>
      <c r="AO204" s="627">
        <f t="shared" si="287"/>
        <v>1.6080000000000001</v>
      </c>
      <c r="AP204" s="686">
        <f t="shared" si="287"/>
        <v>0.83499999999999996</v>
      </c>
      <c r="AQ204" s="627">
        <f t="shared" si="287"/>
        <v>1.6</v>
      </c>
      <c r="AR204" s="627">
        <f t="shared" si="287"/>
        <v>1.6</v>
      </c>
      <c r="AS204" s="627">
        <f t="shared" si="287"/>
        <v>1.6</v>
      </c>
      <c r="AT204" s="627">
        <f t="shared" si="287"/>
        <v>1.6</v>
      </c>
      <c r="AU204" s="627">
        <f t="shared" si="287"/>
        <v>1.6</v>
      </c>
      <c r="AV204" s="627">
        <f t="shared" si="287"/>
        <v>1.6</v>
      </c>
      <c r="AW204" s="627">
        <f t="shared" si="287"/>
        <v>1.6</v>
      </c>
      <c r="AX204" s="627">
        <f t="shared" si="287"/>
        <v>1.6</v>
      </c>
      <c r="AY204" s="627">
        <f t="shared" si="287"/>
        <v>1.6</v>
      </c>
      <c r="AZ204" s="627">
        <f t="shared" si="287"/>
        <v>1.6</v>
      </c>
      <c r="BA204" s="709"/>
      <c r="BB204" s="709"/>
      <c r="BC204" s="709"/>
      <c r="BD204" s="709"/>
      <c r="BE204" s="709"/>
      <c r="BF204" s="709"/>
      <c r="BG204" s="709"/>
      <c r="BH204" s="710"/>
      <c r="BI204" s="777"/>
      <c r="BJ204" s="184"/>
      <c r="BK204" s="184"/>
      <c r="BL204" s="184"/>
      <c r="BM204" s="184"/>
      <c r="BN204" s="184"/>
      <c r="BO204" s="184"/>
      <c r="BP204" s="184">
        <f>SUM(AE204:AF204)</f>
        <v>4.4870000000000001</v>
      </c>
      <c r="BQ204" s="184">
        <f>SUM(AG204:AH204)</f>
        <v>3.5569999999999999</v>
      </c>
      <c r="BR204" s="184">
        <f>SUM(AI204:AJ204)</f>
        <v>1.9820000000000002</v>
      </c>
      <c r="BS204" s="184">
        <f>SUM(AK204:AL204)</f>
        <v>2.8370000000000002</v>
      </c>
      <c r="BT204" s="184">
        <f>SUM(AM204:AN204)</f>
        <v>3.4129999999999998</v>
      </c>
      <c r="BU204" s="507">
        <f>SUM(AO204:AP204)</f>
        <v>2.4430000000000001</v>
      </c>
      <c r="BV204" s="184">
        <f>SUM(AQ204:AR204)</f>
        <v>3.2</v>
      </c>
      <c r="BW204" s="184">
        <f>SUM(AS204:AT204)</f>
        <v>3.2</v>
      </c>
      <c r="BX204" s="184">
        <f>SUM(AU204:AV204)</f>
        <v>3.2</v>
      </c>
      <c r="BY204" s="184">
        <f>SUM(AW204:AX204)</f>
        <v>3.2</v>
      </c>
      <c r="BZ204" s="184">
        <f>SUM(AY204:AZ204)</f>
        <v>3.2</v>
      </c>
      <c r="CB204" s="23" t="s">
        <v>609</v>
      </c>
      <c r="DS204" s="184">
        <f>SUM(CU204:CV204)</f>
        <v>0</v>
      </c>
    </row>
    <row r="205" spans="1:123" s="162" customFormat="1">
      <c r="A205" s="176"/>
      <c r="B205" s="186" t="s">
        <v>288</v>
      </c>
      <c r="C205" s="318"/>
      <c r="D205" s="318"/>
      <c r="E205" s="318"/>
      <c r="F205" s="318"/>
      <c r="H205" s="778"/>
      <c r="I205" s="778"/>
      <c r="J205" s="778"/>
      <c r="K205" s="779"/>
      <c r="L205" s="778"/>
      <c r="M205" s="778"/>
      <c r="N205" s="778"/>
      <c r="O205" s="778"/>
      <c r="P205" s="780"/>
      <c r="Q205" s="780"/>
      <c r="R205" s="780"/>
      <c r="S205" s="780"/>
      <c r="T205" s="780"/>
      <c r="U205" s="627"/>
      <c r="V205" s="627"/>
      <c r="W205" s="627"/>
      <c r="X205" s="627"/>
      <c r="Y205" s="627"/>
      <c r="Z205" s="627"/>
      <c r="AA205" s="627"/>
      <c r="AB205" s="627"/>
      <c r="AC205" s="627"/>
      <c r="AD205" s="627"/>
      <c r="AE205" s="627">
        <f t="shared" ref="AE205:AZ205" si="288">SUM(AE202:AE204)</f>
        <v>-5.9520000000000008</v>
      </c>
      <c r="AF205" s="627">
        <f t="shared" si="288"/>
        <v>-9.1649999999999991</v>
      </c>
      <c r="AG205" s="627">
        <f t="shared" si="288"/>
        <v>-7.7099999999999991</v>
      </c>
      <c r="AH205" s="627">
        <f t="shared" si="288"/>
        <v>-8.3829999999999991</v>
      </c>
      <c r="AI205" s="627">
        <f t="shared" si="288"/>
        <v>-11.771000000000001</v>
      </c>
      <c r="AJ205" s="627">
        <f t="shared" si="288"/>
        <v>-10.522</v>
      </c>
      <c r="AK205" s="627">
        <f t="shared" si="288"/>
        <v>-24.664000000000001</v>
      </c>
      <c r="AL205" s="627">
        <f t="shared" si="288"/>
        <v>-38.17</v>
      </c>
      <c r="AM205" s="627">
        <f t="shared" si="288"/>
        <v>-38.698999999999998</v>
      </c>
      <c r="AN205" s="627">
        <f t="shared" si="288"/>
        <v>-31.351999999999997</v>
      </c>
      <c r="AO205" s="627">
        <f t="shared" si="288"/>
        <v>-35.688000000000002</v>
      </c>
      <c r="AP205" s="686">
        <f t="shared" si="288"/>
        <v>-34.351999999999997</v>
      </c>
      <c r="AQ205" s="627">
        <f t="shared" si="288"/>
        <v>-39.874299999999998</v>
      </c>
      <c r="AR205" s="627">
        <f t="shared" si="288"/>
        <v>-34.798780000000001</v>
      </c>
      <c r="AS205" s="627">
        <f t="shared" si="288"/>
        <v>-39.691825999999999</v>
      </c>
      <c r="AT205" s="627">
        <f t="shared" si="288"/>
        <v>-34.514795599999999</v>
      </c>
      <c r="AU205" s="627">
        <f t="shared" si="288"/>
        <v>-40.015702519999998</v>
      </c>
      <c r="AV205" s="627">
        <f t="shared" si="288"/>
        <v>-34.735131512000002</v>
      </c>
      <c r="AW205" s="627">
        <f t="shared" si="288"/>
        <v>-40.346056570400002</v>
      </c>
      <c r="AX205" s="627">
        <f t="shared" si="288"/>
        <v>-34.959874142239997</v>
      </c>
      <c r="AY205" s="627">
        <f t="shared" si="288"/>
        <v>-40.683017701807998</v>
      </c>
      <c r="AZ205" s="627">
        <f t="shared" si="288"/>
        <v>-35.189111625084799</v>
      </c>
      <c r="BA205" s="709"/>
      <c r="BB205" s="709"/>
      <c r="BC205" s="709"/>
      <c r="BD205" s="709"/>
      <c r="BE205" s="709"/>
      <c r="BF205" s="709"/>
      <c r="BG205" s="709"/>
      <c r="BH205" s="710"/>
      <c r="BI205" s="777"/>
      <c r="BJ205" s="184"/>
      <c r="BK205" s="184"/>
      <c r="BL205" s="184"/>
      <c r="BM205" s="184"/>
      <c r="BN205" s="184"/>
      <c r="BO205" s="184"/>
      <c r="BP205" s="184">
        <f>SUM(AE205:AF205)</f>
        <v>-15.117000000000001</v>
      </c>
      <c r="BQ205" s="184">
        <f>SUM(AG205:AH205)</f>
        <v>-16.092999999999996</v>
      </c>
      <c r="BR205" s="184">
        <f>SUM(AI205:AJ205)</f>
        <v>-22.292999999999999</v>
      </c>
      <c r="BS205" s="184">
        <f>SUM(AK205:AL205)</f>
        <v>-62.834000000000003</v>
      </c>
      <c r="BT205" s="184">
        <f>SUM(AM205:AN205)</f>
        <v>-70.050999999999988</v>
      </c>
      <c r="BU205" s="507">
        <f>SUM(AO205:AP205)</f>
        <v>-70.039999999999992</v>
      </c>
      <c r="BV205" s="184">
        <f>SUM(AQ205:AR205)</f>
        <v>-74.673079999999999</v>
      </c>
      <c r="BW205" s="184">
        <f>SUM(AS205:AT205)</f>
        <v>-74.206621600000005</v>
      </c>
      <c r="BX205" s="184">
        <f>SUM(AU205:AV205)</f>
        <v>-74.750834032</v>
      </c>
      <c r="BY205" s="184">
        <f>SUM(AW205:AX205)</f>
        <v>-75.305930712639991</v>
      </c>
      <c r="BZ205" s="184">
        <f>SUM(AY205:AZ205)</f>
        <v>-75.872129326892804</v>
      </c>
      <c r="CB205" s="23" t="s">
        <v>609</v>
      </c>
      <c r="DS205" s="184">
        <f>SUM(CU205:CV205)</f>
        <v>0</v>
      </c>
    </row>
    <row r="206" spans="1:123" s="162" customFormat="1">
      <c r="A206" s="57"/>
      <c r="B206" s="61"/>
      <c r="C206" s="58"/>
      <c r="D206" s="58"/>
      <c r="E206" s="58"/>
      <c r="F206" s="58"/>
      <c r="G206" s="23"/>
      <c r="H206" s="606"/>
      <c r="I206" s="606"/>
      <c r="J206" s="606"/>
      <c r="K206" s="607"/>
      <c r="L206" s="606"/>
      <c r="M206" s="606"/>
      <c r="N206" s="606"/>
      <c r="O206" s="606"/>
      <c r="P206" s="624"/>
      <c r="Q206" s="624"/>
      <c r="R206" s="624"/>
      <c r="S206" s="624"/>
      <c r="T206" s="624"/>
      <c r="U206" s="625"/>
      <c r="V206" s="625"/>
      <c r="W206" s="625"/>
      <c r="X206" s="625"/>
      <c r="Y206" s="625"/>
      <c r="Z206" s="625"/>
      <c r="AA206" s="627"/>
      <c r="AB206" s="627"/>
      <c r="AC206" s="740"/>
      <c r="AD206" s="701"/>
      <c r="AE206" s="740"/>
      <c r="AF206" s="566"/>
      <c r="AG206" s="740"/>
      <c r="AH206" s="566"/>
      <c r="AI206" s="740"/>
      <c r="AJ206" s="566"/>
      <c r="AK206" s="627"/>
      <c r="AL206" s="627"/>
      <c r="AM206" s="627"/>
      <c r="AN206" s="627"/>
      <c r="AO206" s="627"/>
      <c r="AP206" s="686"/>
      <c r="AQ206" s="627"/>
      <c r="AR206" s="627"/>
      <c r="AS206" s="627"/>
      <c r="AT206" s="627"/>
      <c r="AU206" s="627"/>
      <c r="AV206" s="627"/>
      <c r="AW206" s="627"/>
      <c r="AX206" s="627"/>
      <c r="AY206" s="627"/>
      <c r="AZ206" s="627"/>
      <c r="BA206" s="709"/>
      <c r="BB206" s="709"/>
      <c r="BC206" s="709"/>
      <c r="BD206" s="709"/>
      <c r="BE206" s="709"/>
      <c r="BF206" s="709"/>
      <c r="BG206" s="709"/>
      <c r="BH206" s="710"/>
      <c r="BI206" s="777"/>
      <c r="BJ206" s="184"/>
      <c r="BK206" s="184"/>
      <c r="BL206" s="184"/>
      <c r="BM206" s="184"/>
      <c r="BN206" s="184"/>
      <c r="BO206" s="205"/>
      <c r="BP206" s="205"/>
      <c r="BQ206" s="205"/>
      <c r="BR206" s="205"/>
      <c r="BS206" s="205"/>
      <c r="BU206" s="458"/>
    </row>
    <row r="207" spans="1:123" s="162" customFormat="1">
      <c r="A207" s="57"/>
      <c r="B207" s="63" t="s">
        <v>290</v>
      </c>
      <c r="C207" s="64"/>
      <c r="D207" s="64"/>
      <c r="E207" s="64"/>
      <c r="F207" s="64"/>
      <c r="G207" s="65"/>
      <c r="H207" s="648"/>
      <c r="I207" s="648"/>
      <c r="J207" s="648"/>
      <c r="K207" s="649"/>
      <c r="L207" s="648"/>
      <c r="M207" s="648"/>
      <c r="N207" s="648"/>
      <c r="O207" s="648"/>
      <c r="P207" s="650"/>
      <c r="Q207" s="650"/>
      <c r="R207" s="650"/>
      <c r="S207" s="650"/>
      <c r="T207" s="650"/>
      <c r="U207" s="651"/>
      <c r="V207" s="651"/>
      <c r="W207" s="651"/>
      <c r="X207" s="651"/>
      <c r="Y207" s="651"/>
      <c r="Z207" s="651"/>
      <c r="AA207" s="651"/>
      <c r="AB207" s="651"/>
      <c r="AC207" s="651"/>
      <c r="AD207" s="651"/>
      <c r="AE207" s="651"/>
      <c r="AF207" s="651"/>
      <c r="AG207" s="651"/>
      <c r="AH207" s="651"/>
      <c r="AI207" s="651"/>
      <c r="AJ207" s="651"/>
      <c r="AK207" s="651"/>
      <c r="AL207" s="651"/>
      <c r="AM207" s="651"/>
      <c r="AN207" s="651"/>
      <c r="AO207" s="651"/>
      <c r="AP207" s="652"/>
      <c r="AQ207" s="651"/>
      <c r="AR207" s="651"/>
      <c r="AS207" s="651"/>
      <c r="AT207" s="651"/>
      <c r="AU207" s="651"/>
      <c r="AV207" s="651"/>
      <c r="AW207" s="651"/>
      <c r="AX207" s="651"/>
      <c r="AY207" s="651"/>
      <c r="AZ207" s="651"/>
      <c r="BA207" s="558"/>
      <c r="BB207" s="653"/>
      <c r="BC207" s="653"/>
      <c r="BD207" s="653"/>
      <c r="BE207" s="653"/>
      <c r="BF207" s="653"/>
      <c r="BG207" s="653"/>
      <c r="BH207" s="654"/>
      <c r="BI207" s="655"/>
      <c r="BJ207" s="66"/>
      <c r="BK207" s="66"/>
      <c r="BL207" s="66"/>
      <c r="BM207" s="66"/>
      <c r="BN207" s="66"/>
      <c r="BO207" s="66"/>
      <c r="BP207" s="66"/>
      <c r="BQ207" s="66"/>
      <c r="BR207" s="66"/>
      <c r="BS207" s="66"/>
      <c r="BT207" s="65"/>
      <c r="BU207" s="500"/>
      <c r="BV207" s="65"/>
      <c r="BW207" s="65"/>
      <c r="BX207" s="65"/>
      <c r="BY207" s="65"/>
      <c r="BZ207" s="65"/>
      <c r="DS207" s="65"/>
    </row>
    <row r="208" spans="1:123" s="162" customFormat="1">
      <c r="A208" s="57"/>
      <c r="B208" s="61" t="s">
        <v>220</v>
      </c>
      <c r="C208" s="58"/>
      <c r="D208" s="58"/>
      <c r="E208" s="58"/>
      <c r="F208" s="58"/>
      <c r="G208" s="23"/>
      <c r="H208" s="606"/>
      <c r="I208" s="606"/>
      <c r="J208" s="606"/>
      <c r="K208" s="607"/>
      <c r="L208" s="606"/>
      <c r="M208" s="606"/>
      <c r="N208" s="606"/>
      <c r="O208" s="606"/>
      <c r="P208" s="624"/>
      <c r="Q208" s="624"/>
      <c r="R208" s="624"/>
      <c r="S208" s="624"/>
      <c r="T208" s="624"/>
      <c r="U208" s="625"/>
      <c r="V208" s="625"/>
      <c r="W208" s="625"/>
      <c r="X208" s="625"/>
      <c r="Y208" s="740"/>
      <c r="Z208" s="701"/>
      <c r="AA208" s="740"/>
      <c r="AB208" s="566"/>
      <c r="AC208" s="740"/>
      <c r="AD208" s="701"/>
      <c r="AE208" s="740">
        <v>27.533000000000001</v>
      </c>
      <c r="AF208" s="566">
        <v>23.885000000000002</v>
      </c>
      <c r="AG208" s="740">
        <v>20.943999999999999</v>
      </c>
      <c r="AH208" s="566">
        <f>10.814</f>
        <v>10.814</v>
      </c>
      <c r="AI208" s="741"/>
      <c r="AJ208" s="741"/>
      <c r="AK208" s="781"/>
      <c r="AL208" s="781"/>
      <c r="AM208" s="781"/>
      <c r="AN208" s="781"/>
      <c r="AO208" s="781"/>
      <c r="AP208" s="782"/>
      <c r="AQ208" s="781"/>
      <c r="AR208" s="781"/>
      <c r="AS208" s="781"/>
      <c r="AT208" s="781"/>
      <c r="AU208" s="781"/>
      <c r="AV208" s="781"/>
      <c r="AW208" s="781"/>
      <c r="AX208" s="781"/>
      <c r="AY208" s="781"/>
      <c r="AZ208" s="781"/>
      <c r="BA208" s="709"/>
      <c r="BB208" s="709"/>
      <c r="BC208" s="709"/>
      <c r="BD208" s="709"/>
      <c r="BE208" s="709"/>
      <c r="BF208" s="709"/>
      <c r="BG208" s="709"/>
      <c r="BH208" s="710"/>
      <c r="BI208" s="777"/>
      <c r="BJ208" s="184"/>
      <c r="BK208" s="184"/>
      <c r="BL208" s="184"/>
      <c r="BM208" s="740"/>
      <c r="BN208" s="740"/>
      <c r="BO208" s="740"/>
      <c r="BP208" s="740"/>
      <c r="BQ208" s="740"/>
      <c r="BR208" s="740"/>
      <c r="BS208" s="740"/>
      <c r="BT208" s="216"/>
      <c r="BU208" s="508"/>
      <c r="BV208" s="216"/>
      <c r="BW208" s="216"/>
      <c r="BX208" s="216"/>
      <c r="BY208" s="216"/>
      <c r="BZ208" s="216"/>
      <c r="DS208" s="216"/>
    </row>
    <row r="209" spans="1:123" s="162" customFormat="1">
      <c r="A209" s="57"/>
      <c r="B209" s="61" t="s">
        <v>468</v>
      </c>
      <c r="C209" s="58"/>
      <c r="D209" s="58"/>
      <c r="E209" s="58"/>
      <c r="F209" s="58"/>
      <c r="G209" s="23"/>
      <c r="H209" s="606"/>
      <c r="I209" s="606"/>
      <c r="J209" s="606"/>
      <c r="K209" s="607"/>
      <c r="L209" s="606"/>
      <c r="M209" s="606"/>
      <c r="N209" s="606"/>
      <c r="O209" s="606"/>
      <c r="P209" s="624"/>
      <c r="Q209" s="624"/>
      <c r="R209" s="624"/>
      <c r="S209" s="624"/>
      <c r="T209" s="624"/>
      <c r="U209" s="625"/>
      <c r="V209" s="625"/>
      <c r="W209" s="625"/>
      <c r="X209" s="625"/>
      <c r="Y209" s="740"/>
      <c r="Z209" s="701"/>
      <c r="AA209" s="740"/>
      <c r="AB209" s="566"/>
      <c r="AC209" s="740"/>
      <c r="AD209" s="701"/>
      <c r="AE209" s="740">
        <v>-24.178000000000001</v>
      </c>
      <c r="AF209" s="566">
        <v>-19.963999999999999</v>
      </c>
      <c r="AG209" s="740">
        <v>-16.951000000000001</v>
      </c>
      <c r="AH209" s="566">
        <v>-8.9770000000000003</v>
      </c>
      <c r="AI209" s="741"/>
      <c r="AJ209" s="741"/>
      <c r="AK209" s="781"/>
      <c r="AL209" s="781"/>
      <c r="AM209" s="781"/>
      <c r="AN209" s="781"/>
      <c r="AO209" s="781"/>
      <c r="AP209" s="782"/>
      <c r="AQ209" s="781"/>
      <c r="AR209" s="781"/>
      <c r="AS209" s="781"/>
      <c r="AT209" s="781"/>
      <c r="AU209" s="781"/>
      <c r="AV209" s="781"/>
      <c r="AW209" s="781"/>
      <c r="AX209" s="781"/>
      <c r="AY209" s="781"/>
      <c r="AZ209" s="781"/>
      <c r="BA209" s="709"/>
      <c r="BB209" s="709"/>
      <c r="BC209" s="709"/>
      <c r="BD209" s="709"/>
      <c r="BE209" s="709"/>
      <c r="BF209" s="709"/>
      <c r="BG209" s="709"/>
      <c r="BH209" s="710"/>
      <c r="BI209" s="777"/>
      <c r="BJ209" s="184"/>
      <c r="BK209" s="184"/>
      <c r="BL209" s="184"/>
      <c r="BM209" s="740"/>
      <c r="BN209" s="740"/>
      <c r="BO209" s="740"/>
      <c r="BP209" s="740"/>
      <c r="BQ209" s="740"/>
      <c r="BR209" s="740"/>
      <c r="BS209" s="740"/>
      <c r="BT209" s="216"/>
      <c r="BU209" s="508"/>
      <c r="BV209" s="216"/>
      <c r="BW209" s="216"/>
      <c r="BX209" s="216"/>
      <c r="BY209" s="216"/>
      <c r="BZ209" s="216"/>
      <c r="DS209" s="216"/>
    </row>
    <row r="210" spans="1:123" s="162" customFormat="1">
      <c r="A210" s="57"/>
      <c r="B210" s="61" t="s">
        <v>176</v>
      </c>
      <c r="C210" s="58"/>
      <c r="D210" s="58"/>
      <c r="E210" s="58"/>
      <c r="F210" s="58"/>
      <c r="G210" s="23"/>
      <c r="H210" s="606"/>
      <c r="I210" s="606"/>
      <c r="J210" s="606"/>
      <c r="K210" s="607"/>
      <c r="L210" s="606"/>
      <c r="M210" s="606"/>
      <c r="N210" s="606"/>
      <c r="O210" s="606"/>
      <c r="P210" s="624"/>
      <c r="Q210" s="624"/>
      <c r="R210" s="624"/>
      <c r="S210" s="624"/>
      <c r="T210" s="624"/>
      <c r="U210" s="625"/>
      <c r="V210" s="625"/>
      <c r="W210" s="625"/>
      <c r="X210" s="625"/>
      <c r="Y210" s="740">
        <v>5.3120000000000003</v>
      </c>
      <c r="Z210" s="701">
        <f>BM210-Y210</f>
        <v>6.2730000000000006</v>
      </c>
      <c r="AA210" s="740">
        <v>6.0460000000000003</v>
      </c>
      <c r="AB210" s="566">
        <f>BN210-AA210</f>
        <v>4.0149999999999997</v>
      </c>
      <c r="AC210" s="740">
        <v>1.633</v>
      </c>
      <c r="AD210" s="701">
        <f>BO210-AC210</f>
        <v>0.504</v>
      </c>
      <c r="AE210" s="740">
        <v>3.157</v>
      </c>
      <c r="AF210" s="566">
        <f>BP210-AE210</f>
        <v>4.0229999999999997</v>
      </c>
      <c r="AG210" s="740">
        <v>3.99</v>
      </c>
      <c r="AH210" s="566">
        <f>BQ210-AG210</f>
        <v>1.835</v>
      </c>
      <c r="AI210" s="741"/>
      <c r="AJ210" s="741"/>
      <c r="AK210" s="781"/>
      <c r="AL210" s="781"/>
      <c r="AM210" s="781"/>
      <c r="AN210" s="781"/>
      <c r="AO210" s="781"/>
      <c r="AP210" s="782"/>
      <c r="AQ210" s="781"/>
      <c r="AR210" s="781"/>
      <c r="AS210" s="781"/>
      <c r="AT210" s="781"/>
      <c r="AU210" s="781"/>
      <c r="AV210" s="781"/>
      <c r="AW210" s="781"/>
      <c r="AX210" s="781"/>
      <c r="AY210" s="781"/>
      <c r="AZ210" s="781"/>
      <c r="BA210" s="709"/>
      <c r="BB210" s="709"/>
      <c r="BC210" s="709"/>
      <c r="BD210" s="709"/>
      <c r="BE210" s="709"/>
      <c r="BF210" s="709"/>
      <c r="BG210" s="709"/>
      <c r="BH210" s="710"/>
      <c r="BI210" s="777"/>
      <c r="BJ210" s="184"/>
      <c r="BK210" s="184"/>
      <c r="BL210" s="184"/>
      <c r="BM210" s="740">
        <v>11.585000000000001</v>
      </c>
      <c r="BN210" s="740">
        <v>10.061</v>
      </c>
      <c r="BO210" s="740">
        <v>2.137</v>
      </c>
      <c r="BP210" s="740">
        <v>7.18</v>
      </c>
      <c r="BQ210" s="740">
        <v>5.8250000000000002</v>
      </c>
      <c r="BR210" s="740"/>
      <c r="BS210" s="740"/>
      <c r="BT210" s="216"/>
      <c r="BU210" s="508"/>
      <c r="BV210" s="216"/>
      <c r="BW210" s="216"/>
      <c r="BX210" s="216"/>
      <c r="BY210" s="216"/>
      <c r="BZ210" s="216"/>
      <c r="CB210" s="162" t="s">
        <v>620</v>
      </c>
      <c r="DS210" s="216"/>
    </row>
    <row r="211" spans="1:123" s="162" customFormat="1">
      <c r="A211" s="57"/>
      <c r="B211" s="61" t="s">
        <v>285</v>
      </c>
      <c r="C211" s="58"/>
      <c r="D211" s="58"/>
      <c r="E211" s="58"/>
      <c r="F211" s="58"/>
      <c r="G211" s="23"/>
      <c r="H211" s="606"/>
      <c r="I211" s="606"/>
      <c r="J211" s="606"/>
      <c r="K211" s="607"/>
      <c r="L211" s="606"/>
      <c r="M211" s="606"/>
      <c r="N211" s="606"/>
      <c r="O211" s="606"/>
      <c r="P211" s="624"/>
      <c r="Q211" s="624"/>
      <c r="R211" s="624"/>
      <c r="S211" s="624"/>
      <c r="T211" s="624"/>
      <c r="U211" s="625"/>
      <c r="V211" s="625"/>
      <c r="W211" s="625"/>
      <c r="X211" s="625"/>
      <c r="Y211" s="627">
        <f>Y212-Y210</f>
        <v>-2.2940000000000005</v>
      </c>
      <c r="Z211" s="701">
        <f>BM211-Y211</f>
        <v>-2.8380000000000001</v>
      </c>
      <c r="AA211" s="627">
        <f>AA212-AA210</f>
        <v>-2.6510000000000002</v>
      </c>
      <c r="AB211" s="566">
        <f>BN211-AA211</f>
        <v>-1.9350000000000001</v>
      </c>
      <c r="AC211" s="627">
        <f>AC212-AC210</f>
        <v>-0.84299999999999997</v>
      </c>
      <c r="AD211" s="701">
        <f>BO211-AC211</f>
        <v>-0.32800000000000007</v>
      </c>
      <c r="AE211" s="627">
        <f>AE212-AE210</f>
        <v>-1.381</v>
      </c>
      <c r="AF211" s="566">
        <f>BP211-AE211</f>
        <v>-1.6439999999999995</v>
      </c>
      <c r="AG211" s="627">
        <f>AG212-AG210</f>
        <v>-1.177</v>
      </c>
      <c r="AH211" s="566">
        <f>BQ211-AG211</f>
        <v>-0.38800000000000034</v>
      </c>
      <c r="AI211" s="781"/>
      <c r="AJ211" s="781"/>
      <c r="AK211" s="781"/>
      <c r="AL211" s="781"/>
      <c r="AM211" s="781"/>
      <c r="AN211" s="781"/>
      <c r="AO211" s="781"/>
      <c r="AP211" s="782"/>
      <c r="AQ211" s="781"/>
      <c r="AR211" s="781"/>
      <c r="AS211" s="781"/>
      <c r="AT211" s="781"/>
      <c r="AU211" s="781"/>
      <c r="AV211" s="781"/>
      <c r="AW211" s="781"/>
      <c r="AX211" s="781"/>
      <c r="AY211" s="781"/>
      <c r="AZ211" s="781"/>
      <c r="BA211" s="709"/>
      <c r="BB211" s="709"/>
      <c r="BC211" s="709"/>
      <c r="BD211" s="709"/>
      <c r="BE211" s="709"/>
      <c r="BF211" s="709"/>
      <c r="BG211" s="709"/>
      <c r="BH211" s="710"/>
      <c r="BI211" s="777"/>
      <c r="BJ211" s="184"/>
      <c r="BK211" s="184"/>
      <c r="BL211" s="184"/>
      <c r="BM211" s="627">
        <f>BM212-BM210</f>
        <v>-5.1320000000000006</v>
      </c>
      <c r="BN211" s="627">
        <f>BN212-BN210</f>
        <v>-4.5860000000000003</v>
      </c>
      <c r="BO211" s="627">
        <f>BO212-BO210</f>
        <v>-1.171</v>
      </c>
      <c r="BP211" s="627">
        <f>BP212-BP210</f>
        <v>-3.0249999999999995</v>
      </c>
      <c r="BQ211" s="627">
        <f>BQ212-BQ210</f>
        <v>-1.5650000000000004</v>
      </c>
      <c r="BR211" s="627"/>
      <c r="BS211" s="627"/>
      <c r="BT211" s="216"/>
      <c r="BU211" s="508"/>
      <c r="BV211" s="216"/>
      <c r="BW211" s="216"/>
      <c r="BX211" s="216"/>
      <c r="BY211" s="216"/>
      <c r="BZ211" s="216"/>
      <c r="CB211" s="162" t="s">
        <v>620</v>
      </c>
      <c r="CV211" s="209" t="s">
        <v>328</v>
      </c>
      <c r="DS211" s="216"/>
    </row>
    <row r="212" spans="1:123" s="162" customFormat="1">
      <c r="A212" s="57"/>
      <c r="B212" s="61" t="s">
        <v>282</v>
      </c>
      <c r="C212" s="58"/>
      <c r="D212" s="58"/>
      <c r="E212" s="58"/>
      <c r="F212" s="58"/>
      <c r="G212" s="23"/>
      <c r="H212" s="606"/>
      <c r="I212" s="606"/>
      <c r="J212" s="606"/>
      <c r="K212" s="607"/>
      <c r="L212" s="606"/>
      <c r="M212" s="606"/>
      <c r="N212" s="606"/>
      <c r="O212" s="606"/>
      <c r="P212" s="624"/>
      <c r="Q212" s="624"/>
      <c r="R212" s="624"/>
      <c r="S212" s="624"/>
      <c r="T212" s="624"/>
      <c r="U212" s="625"/>
      <c r="V212" s="625"/>
      <c r="W212" s="625"/>
      <c r="X212" s="625"/>
      <c r="Y212" s="740">
        <v>3.0179999999999998</v>
      </c>
      <c r="Z212" s="701">
        <f>BM212-Y212</f>
        <v>3.4350000000000005</v>
      </c>
      <c r="AA212" s="740">
        <v>3.395</v>
      </c>
      <c r="AB212" s="566">
        <f>BN212-AA212</f>
        <v>2.0799999999999996</v>
      </c>
      <c r="AC212" s="740">
        <v>0.79</v>
      </c>
      <c r="AD212" s="701">
        <f>BO212-AC212</f>
        <v>0.17599999999999993</v>
      </c>
      <c r="AE212" s="740">
        <v>1.776</v>
      </c>
      <c r="AF212" s="566">
        <f>BP212-AE212</f>
        <v>2.3790000000000004</v>
      </c>
      <c r="AG212" s="740">
        <v>2.8130000000000002</v>
      </c>
      <c r="AH212" s="566">
        <f>BQ212-AG212</f>
        <v>1.4469999999999996</v>
      </c>
      <c r="AI212" s="741"/>
      <c r="AJ212" s="741"/>
      <c r="AK212" s="781"/>
      <c r="AL212" s="781"/>
      <c r="AM212" s="781"/>
      <c r="AN212" s="781"/>
      <c r="AO212" s="781"/>
      <c r="AP212" s="782"/>
      <c r="AQ212" s="781"/>
      <c r="AR212" s="781"/>
      <c r="AS212" s="781"/>
      <c r="AT212" s="781"/>
      <c r="AU212" s="781"/>
      <c r="AV212" s="781"/>
      <c r="AW212" s="781"/>
      <c r="AX212" s="781"/>
      <c r="AY212" s="781"/>
      <c r="AZ212" s="781"/>
      <c r="BA212" s="709"/>
      <c r="BB212" s="709"/>
      <c r="BC212" s="709"/>
      <c r="BD212" s="709"/>
      <c r="BE212" s="709"/>
      <c r="BF212" s="709"/>
      <c r="BG212" s="709"/>
      <c r="BH212" s="710"/>
      <c r="BI212" s="777"/>
      <c r="BJ212" s="184"/>
      <c r="BK212" s="184"/>
      <c r="BL212" s="184"/>
      <c r="BM212" s="740">
        <v>6.4530000000000003</v>
      </c>
      <c r="BN212" s="740">
        <v>5.4749999999999996</v>
      </c>
      <c r="BO212" s="740">
        <v>0.96599999999999997</v>
      </c>
      <c r="BP212" s="740">
        <v>4.1550000000000002</v>
      </c>
      <c r="BQ212" s="740">
        <v>4.26</v>
      </c>
      <c r="BR212" s="740"/>
      <c r="BS212" s="740"/>
      <c r="BT212" s="216"/>
      <c r="BU212" s="508"/>
      <c r="BV212" s="216"/>
      <c r="BW212" s="216"/>
      <c r="BX212" s="216"/>
      <c r="BY212" s="216"/>
      <c r="BZ212" s="216"/>
      <c r="CB212" s="162" t="s">
        <v>620</v>
      </c>
      <c r="DS212" s="216"/>
    </row>
    <row r="213" spans="1:123" s="162" customFormat="1">
      <c r="A213" s="57"/>
      <c r="B213" s="60" t="s">
        <v>363</v>
      </c>
      <c r="C213" s="58"/>
      <c r="D213" s="58"/>
      <c r="E213" s="58"/>
      <c r="F213" s="58"/>
      <c r="G213" s="23"/>
      <c r="H213" s="606"/>
      <c r="I213" s="606"/>
      <c r="J213" s="606"/>
      <c r="K213" s="607"/>
      <c r="L213" s="606"/>
      <c r="M213" s="606"/>
      <c r="N213" s="606"/>
      <c r="O213" s="606"/>
      <c r="P213" s="624"/>
      <c r="Q213" s="624"/>
      <c r="R213" s="624"/>
      <c r="S213" s="624"/>
      <c r="T213" s="624"/>
      <c r="U213" s="625"/>
      <c r="V213" s="625"/>
      <c r="W213" s="625"/>
      <c r="X213" s="625"/>
      <c r="Y213" s="740"/>
      <c r="Z213" s="701"/>
      <c r="AA213" s="740"/>
      <c r="AB213" s="566"/>
      <c r="AC213" s="740"/>
      <c r="AD213" s="701"/>
      <c r="AE213" s="740">
        <v>3.355</v>
      </c>
      <c r="AF213" s="171">
        <v>3.9209999999999998</v>
      </c>
      <c r="AG213" s="740">
        <v>3.9929999999999999</v>
      </c>
      <c r="AH213" s="171">
        <v>1.837</v>
      </c>
      <c r="AI213" s="741"/>
      <c r="AJ213" s="741"/>
      <c r="AK213" s="781"/>
      <c r="AL213" s="781"/>
      <c r="AM213" s="781"/>
      <c r="AN213" s="781"/>
      <c r="AO213" s="781"/>
      <c r="AP213" s="782"/>
      <c r="AQ213" s="781"/>
      <c r="AR213" s="781"/>
      <c r="AS213" s="781"/>
      <c r="AT213" s="781"/>
      <c r="AU213" s="781"/>
      <c r="AV213" s="781"/>
      <c r="AW213" s="781"/>
      <c r="AX213" s="781"/>
      <c r="AY213" s="781"/>
      <c r="AZ213" s="781"/>
      <c r="BA213" s="709"/>
      <c r="BB213" s="709"/>
      <c r="BC213" s="709"/>
      <c r="BD213" s="709"/>
      <c r="BE213" s="709"/>
      <c r="BF213" s="709"/>
      <c r="BG213" s="709"/>
      <c r="BH213" s="710"/>
      <c r="BI213" s="777"/>
      <c r="BJ213" s="184"/>
      <c r="BK213" s="184"/>
      <c r="BL213" s="184"/>
      <c r="BM213" s="740"/>
      <c r="BN213" s="740"/>
      <c r="BO213" s="740"/>
      <c r="BP213" s="740"/>
      <c r="BQ213" s="740"/>
      <c r="BR213" s="740"/>
      <c r="BS213" s="740"/>
      <c r="BT213" s="216"/>
      <c r="BU213" s="508"/>
      <c r="BV213" s="216"/>
      <c r="BW213" s="216"/>
      <c r="BX213" s="216"/>
      <c r="BY213" s="216"/>
      <c r="BZ213" s="216"/>
      <c r="DS213" s="216"/>
    </row>
    <row r="214" spans="1:123" s="162" customFormat="1">
      <c r="A214" s="57"/>
      <c r="B214" s="60"/>
      <c r="C214" s="58"/>
      <c r="D214" s="58"/>
      <c r="E214" s="58"/>
      <c r="F214" s="58"/>
      <c r="G214" s="23"/>
      <c r="H214" s="606"/>
      <c r="I214" s="606"/>
      <c r="J214" s="606"/>
      <c r="K214" s="607"/>
      <c r="L214" s="606"/>
      <c r="M214" s="606"/>
      <c r="N214" s="606"/>
      <c r="O214" s="606"/>
      <c r="P214" s="624"/>
      <c r="Q214" s="624"/>
      <c r="R214" s="624"/>
      <c r="S214" s="624"/>
      <c r="T214" s="624"/>
      <c r="U214" s="625"/>
      <c r="V214" s="625"/>
      <c r="W214" s="625"/>
      <c r="X214" s="625"/>
      <c r="Y214" s="740"/>
      <c r="Z214" s="701"/>
      <c r="AA214" s="740"/>
      <c r="AB214" s="566"/>
      <c r="AC214" s="740"/>
      <c r="AD214" s="701"/>
      <c r="AE214" s="740"/>
      <c r="AF214" s="171"/>
      <c r="AG214" s="740"/>
      <c r="AH214" s="171"/>
      <c r="AI214" s="740"/>
      <c r="AJ214" s="740"/>
      <c r="AK214" s="627"/>
      <c r="AL214" s="627"/>
      <c r="AM214" s="627"/>
      <c r="AN214" s="627"/>
      <c r="AO214" s="627"/>
      <c r="AP214" s="686"/>
      <c r="AQ214" s="627"/>
      <c r="AR214" s="627"/>
      <c r="AS214" s="627"/>
      <c r="AT214" s="627"/>
      <c r="AU214" s="627"/>
      <c r="AV214" s="627"/>
      <c r="AW214" s="627"/>
      <c r="AX214" s="627"/>
      <c r="AY214" s="627"/>
      <c r="AZ214" s="627"/>
      <c r="BA214" s="709"/>
      <c r="BB214" s="709"/>
      <c r="BC214" s="709"/>
      <c r="BD214" s="709"/>
      <c r="BE214" s="709"/>
      <c r="BF214" s="709"/>
      <c r="BG214" s="709"/>
      <c r="BH214" s="710"/>
      <c r="BI214" s="777"/>
      <c r="BJ214" s="184"/>
      <c r="BK214" s="184"/>
      <c r="BL214" s="184"/>
      <c r="BM214" s="740"/>
      <c r="BN214" s="740"/>
      <c r="BO214" s="740"/>
      <c r="BP214" s="740"/>
      <c r="BQ214" s="740"/>
      <c r="BR214" s="740"/>
      <c r="BS214" s="740"/>
      <c r="BU214" s="458"/>
    </row>
    <row r="215" spans="1:123">
      <c r="A215" s="57"/>
      <c r="B215" s="63" t="s">
        <v>457</v>
      </c>
      <c r="C215" s="64"/>
      <c r="D215" s="64"/>
      <c r="E215" s="64"/>
      <c r="F215" s="64"/>
      <c r="G215" s="65"/>
      <c r="H215" s="648"/>
      <c r="I215" s="648"/>
      <c r="J215" s="648"/>
      <c r="K215" s="649"/>
      <c r="L215" s="648"/>
      <c r="M215" s="648"/>
      <c r="N215" s="648"/>
      <c r="O215" s="648"/>
      <c r="P215" s="650"/>
      <c r="Q215" s="650"/>
      <c r="R215" s="650"/>
      <c r="S215" s="650"/>
      <c r="T215" s="650"/>
      <c r="U215" s="651"/>
      <c r="V215" s="651"/>
      <c r="W215" s="651"/>
      <c r="X215" s="651"/>
      <c r="Y215" s="651"/>
      <c r="Z215" s="651"/>
      <c r="AA215" s="651"/>
      <c r="AB215" s="651"/>
      <c r="AC215" s="651"/>
      <c r="AD215" s="651"/>
      <c r="AE215" s="651"/>
      <c r="AF215" s="651"/>
      <c r="AG215" s="651"/>
      <c r="AH215" s="651"/>
      <c r="AI215" s="651"/>
      <c r="AJ215" s="651"/>
      <c r="AK215" s="651"/>
      <c r="AL215" s="651"/>
      <c r="AM215" s="651"/>
      <c r="AN215" s="651"/>
      <c r="AO215" s="651"/>
      <c r="AP215" s="652"/>
      <c r="AQ215" s="651"/>
      <c r="AR215" s="651"/>
      <c r="AS215" s="651"/>
      <c r="AT215" s="651"/>
      <c r="AU215" s="651"/>
      <c r="AV215" s="651"/>
      <c r="AW215" s="651"/>
      <c r="AX215" s="651"/>
      <c r="AY215" s="651"/>
      <c r="AZ215" s="651"/>
      <c r="BA215" s="558"/>
      <c r="BB215" s="653"/>
      <c r="BC215" s="653"/>
      <c r="BD215" s="653"/>
      <c r="BE215" s="653"/>
      <c r="BF215" s="653"/>
      <c r="BG215" s="653"/>
      <c r="BH215" s="654"/>
      <c r="BI215" s="655"/>
      <c r="BJ215" s="66"/>
      <c r="BK215" s="66"/>
      <c r="BL215" s="66"/>
      <c r="BM215" s="66"/>
      <c r="BN215" s="66"/>
      <c r="BO215" s="66"/>
      <c r="BP215" s="66"/>
      <c r="BQ215" s="66"/>
      <c r="BR215" s="66"/>
      <c r="BS215" s="66"/>
      <c r="BT215" s="65"/>
      <c r="BU215" s="500"/>
      <c r="BV215" s="65"/>
      <c r="BW215" s="65"/>
      <c r="BX215" s="65"/>
      <c r="BY215" s="65"/>
      <c r="BZ215" s="65"/>
      <c r="CC215" s="84"/>
      <c r="DS215" s="65"/>
    </row>
    <row r="216" spans="1:123">
      <c r="A216" s="57"/>
      <c r="B216" s="60"/>
      <c r="C216" s="58"/>
      <c r="D216" s="58"/>
      <c r="E216" s="58"/>
      <c r="F216" s="58"/>
      <c r="G216" s="23"/>
      <c r="H216" s="606"/>
      <c r="I216" s="606"/>
      <c r="J216" s="606"/>
      <c r="K216" s="607"/>
      <c r="L216" s="606"/>
      <c r="M216" s="606"/>
      <c r="N216" s="606"/>
      <c r="O216" s="606"/>
      <c r="P216" s="624"/>
      <c r="Q216" s="624"/>
      <c r="R216" s="624"/>
      <c r="S216" s="624"/>
      <c r="T216" s="624"/>
      <c r="U216" s="625"/>
      <c r="V216" s="625"/>
      <c r="W216" s="625"/>
      <c r="X216" s="625"/>
      <c r="Y216" s="625"/>
      <c r="Z216" s="625"/>
      <c r="AA216" s="625"/>
      <c r="AB216" s="625"/>
      <c r="AC216" s="625"/>
      <c r="AD216" s="625"/>
      <c r="AE216" s="625"/>
      <c r="AF216" s="625"/>
      <c r="AG216" s="625"/>
      <c r="AH216" s="625"/>
      <c r="AI216" s="625"/>
      <c r="AJ216" s="625"/>
      <c r="AK216" s="625"/>
      <c r="AL216" s="625"/>
      <c r="AM216" s="625">
        <f>AM225/SUM(AM225:AN225)</f>
        <v>0.39448378530618816</v>
      </c>
      <c r="AN216" s="434">
        <f>AP222-AN222</f>
        <v>-25.269000000000005</v>
      </c>
      <c r="AO216" s="625">
        <f>AO225/SUM(AO225:AP225)</f>
        <v>0.29177353255264188</v>
      </c>
      <c r="AP216" s="455">
        <f>AR222-AP222</f>
        <v>-5.5101899999999944</v>
      </c>
      <c r="AQ216" s="625"/>
      <c r="AR216" s="625"/>
      <c r="AS216" s="625"/>
      <c r="AT216" s="625"/>
      <c r="AU216" s="625"/>
      <c r="AV216" s="625"/>
      <c r="AW216" s="625"/>
      <c r="AX216" s="625"/>
      <c r="AY216" s="625"/>
      <c r="AZ216" s="625"/>
      <c r="BA216" s="558"/>
      <c r="BB216" s="558"/>
      <c r="BC216" s="558"/>
      <c r="BD216" s="558"/>
      <c r="BE216" s="558"/>
      <c r="BF216" s="558"/>
      <c r="BG216" s="558"/>
      <c r="BH216" s="431"/>
      <c r="BI216" s="626"/>
      <c r="BJ216" s="83"/>
      <c r="BK216" s="83"/>
      <c r="BL216" s="83"/>
      <c r="BM216" s="83"/>
      <c r="BN216" s="83"/>
      <c r="BO216" s="83"/>
      <c r="BP216" s="83"/>
      <c r="BQ216" s="83"/>
      <c r="BR216" s="83"/>
      <c r="BS216" s="83"/>
      <c r="CC216" s="84"/>
    </row>
    <row r="217" spans="1:123">
      <c r="A217" s="57"/>
      <c r="B217" s="364" t="s">
        <v>567</v>
      </c>
      <c r="C217" s="58"/>
      <c r="D217" s="58"/>
      <c r="E217" s="58"/>
      <c r="F217" s="58"/>
      <c r="G217" s="23"/>
      <c r="H217" s="606"/>
      <c r="I217" s="606"/>
      <c r="J217" s="606"/>
      <c r="K217" s="607"/>
      <c r="L217" s="606"/>
      <c r="M217" s="606"/>
      <c r="N217" s="606"/>
      <c r="O217" s="606"/>
      <c r="P217" s="624"/>
      <c r="Q217" s="624"/>
      <c r="R217" s="624"/>
      <c r="S217" s="624"/>
      <c r="T217" s="624"/>
      <c r="U217" s="625"/>
      <c r="V217" s="625"/>
      <c r="W217" s="625"/>
      <c r="X217" s="625"/>
      <c r="Y217" s="625"/>
      <c r="Z217" s="625"/>
      <c r="AA217" s="625"/>
      <c r="AB217" s="625"/>
      <c r="AC217" s="625"/>
      <c r="AD217" s="625"/>
      <c r="AE217" s="625"/>
      <c r="AF217" s="625"/>
      <c r="AG217" s="625"/>
      <c r="AH217" s="625"/>
      <c r="AI217" s="625"/>
      <c r="AJ217" s="625"/>
      <c r="AK217" s="625" t="s">
        <v>606</v>
      </c>
      <c r="AL217" s="688"/>
      <c r="AM217" s="625">
        <f>SUM(AM225:AN225)/SUM(AM218:AN218)</f>
        <v>0.2418639503115261</v>
      </c>
      <c r="AN217" s="688"/>
      <c r="AO217" s="625">
        <f>SUM(AO225:AP225)/SUM(AO218:AP218)</f>
        <v>0.23515738186969448</v>
      </c>
      <c r="AP217" s="689"/>
      <c r="AQ217" s="625">
        <f>SUM(AQ225:AR225)/SUM(AQ218:AR218)</f>
        <v>0.24464763612291124</v>
      </c>
      <c r="AR217" s="625"/>
      <c r="AS217" s="625">
        <f>SUM(AS225:AT225)/SUM(AS218:AT218)</f>
        <v>0.24852407521887335</v>
      </c>
      <c r="AT217" s="625"/>
      <c r="AU217" s="625">
        <f>SUM(AU225:AV225)/SUM(AU218:AV218)</f>
        <v>0.25191063962172938</v>
      </c>
      <c r="AV217" s="625"/>
      <c r="AW217" s="625">
        <f>SUM(AW225:AX225)/SUM(AW218:AX218)</f>
        <v>0.25191063962172938</v>
      </c>
      <c r="AX217" s="625"/>
      <c r="AY217" s="625"/>
      <c r="AZ217" s="625"/>
      <c r="BA217" s="558"/>
      <c r="BB217" s="558"/>
      <c r="BC217" s="558"/>
      <c r="BD217" s="558"/>
      <c r="BE217" s="558"/>
      <c r="BF217" s="558"/>
      <c r="BG217" s="558"/>
      <c r="BH217" s="431"/>
      <c r="BI217" s="626"/>
      <c r="BJ217" s="83"/>
      <c r="BK217" s="83"/>
      <c r="BL217" s="83"/>
      <c r="BM217" s="83"/>
      <c r="BN217" s="83"/>
      <c r="BO217" s="83"/>
      <c r="BP217" s="83"/>
      <c r="BQ217" s="83"/>
      <c r="BR217" s="83"/>
      <c r="BS217" s="83"/>
      <c r="CC217" s="84"/>
    </row>
    <row r="218" spans="1:123" s="28" customFormat="1">
      <c r="A218" s="10" t="s">
        <v>536</v>
      </c>
      <c r="B218" s="28" t="s">
        <v>220</v>
      </c>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92">
        <f t="shared" ref="AG218:AG223" si="289">1/2*BQ218</f>
        <v>162.625</v>
      </c>
      <c r="AH218" s="92">
        <f t="shared" ref="AH218:AH223" si="290">BQ218-AG218</f>
        <v>162.625</v>
      </c>
      <c r="AI218" s="92">
        <f t="shared" ref="AI218:AI223" si="291">1/2*BR218</f>
        <v>170.75624999999999</v>
      </c>
      <c r="AJ218" s="92">
        <f t="shared" ref="AJ218:AL223" si="292">BR218-AI218</f>
        <v>170.75624999999999</v>
      </c>
      <c r="AK218" s="421">
        <v>90.823999999999998</v>
      </c>
      <c r="AL218" s="421">
        <f>BS218-AK218</f>
        <v>210.78300000000002</v>
      </c>
      <c r="AM218" s="421">
        <v>192.43899999999999</v>
      </c>
      <c r="AN218" s="421">
        <f>BT218-AM218</f>
        <v>218.602</v>
      </c>
      <c r="AO218" s="421">
        <v>204.63800000000001</v>
      </c>
      <c r="AP218" s="457">
        <f t="shared" ref="AP218:AP223" si="293">BU218-AO218</f>
        <v>261.26699999999994</v>
      </c>
      <c r="AQ218" s="92">
        <f t="shared" ref="AQ218:AZ218" si="294">AO218*(1+AQ230)</f>
        <v>237.38007999999999</v>
      </c>
      <c r="AR218" s="92">
        <f t="shared" si="294"/>
        <v>269.10500999999994</v>
      </c>
      <c r="AS218" s="92">
        <f t="shared" si="294"/>
        <v>244.50148239999999</v>
      </c>
      <c r="AT218" s="92">
        <f t="shared" si="294"/>
        <v>279.86921039999993</v>
      </c>
      <c r="AU218" s="92">
        <f t="shared" si="294"/>
        <v>254.28154169600001</v>
      </c>
      <c r="AV218" s="92">
        <f t="shared" si="294"/>
        <v>288.26528671199992</v>
      </c>
      <c r="AW218" s="92">
        <f t="shared" si="294"/>
        <v>261.90998794687999</v>
      </c>
      <c r="AX218" s="92">
        <f t="shared" si="294"/>
        <v>296.91324531335994</v>
      </c>
      <c r="AY218" s="92">
        <f t="shared" si="294"/>
        <v>269.7672875852864</v>
      </c>
      <c r="AZ218" s="92">
        <f t="shared" si="294"/>
        <v>305.82064267276075</v>
      </c>
      <c r="BA218" s="20"/>
      <c r="BB218" s="20"/>
      <c r="BC218" s="20"/>
      <c r="BD218" s="20"/>
      <c r="BE218" s="20"/>
      <c r="BF218" s="20"/>
      <c r="BG218" s="20"/>
      <c r="BH218" s="20"/>
      <c r="BI218" s="20"/>
      <c r="BJ218" s="20"/>
      <c r="BK218" s="20"/>
      <c r="BL218" s="20"/>
      <c r="BM218" s="20"/>
      <c r="BN218" s="20"/>
      <c r="BO218" s="92"/>
      <c r="BP218" s="92">
        <f t="shared" ref="BP218:BQ223" si="295">1/2*BO239+1/2*BP239</f>
        <v>345.9</v>
      </c>
      <c r="BQ218" s="92">
        <f t="shared" si="295"/>
        <v>325.25</v>
      </c>
      <c r="BR218" s="92">
        <f>BQ218*(1+BR230)</f>
        <v>341.51249999999999</v>
      </c>
      <c r="BS218" s="421">
        <v>301.60700000000003</v>
      </c>
      <c r="BT218" s="421">
        <v>411.041</v>
      </c>
      <c r="BU218" s="456">
        <v>465.90499999999997</v>
      </c>
      <c r="BV218" s="198">
        <f>SUM(AQ218:AR218)</f>
        <v>506.4850899999999</v>
      </c>
      <c r="BW218" s="198">
        <f>SUM(AS218:AT218)</f>
        <v>524.37069279999992</v>
      </c>
      <c r="BX218" s="198">
        <f>SUM(AU218:AV218)</f>
        <v>542.5468284079999</v>
      </c>
      <c r="BY218" s="198">
        <f>SUM(AW218:AX218)</f>
        <v>558.82323326023993</v>
      </c>
      <c r="BZ218" s="198">
        <f>SUM(AY218:AZ218)</f>
        <v>575.58793025804721</v>
      </c>
      <c r="CB218" s="173" t="s">
        <v>618</v>
      </c>
      <c r="DS218" s="198">
        <f>SUM(CU218:CV218)</f>
        <v>0</v>
      </c>
    </row>
    <row r="219" spans="1:123">
      <c r="B219" s="23" t="s">
        <v>459</v>
      </c>
      <c r="AG219" s="55">
        <f t="shared" si="289"/>
        <v>-83.025000000000006</v>
      </c>
      <c r="AH219" s="55">
        <f t="shared" si="290"/>
        <v>-83.025000000000006</v>
      </c>
      <c r="AI219" s="55">
        <f t="shared" si="291"/>
        <v>-86.346000000000004</v>
      </c>
      <c r="AJ219" s="55">
        <f t="shared" si="292"/>
        <v>-86.346000000000004</v>
      </c>
      <c r="AK219" s="55"/>
      <c r="AL219" s="55">
        <f t="shared" si="292"/>
        <v>0</v>
      </c>
      <c r="AM219" s="55"/>
      <c r="AN219" s="55">
        <f t="shared" ref="AN219:AN223" si="296">BT219-AM219</f>
        <v>0</v>
      </c>
      <c r="AO219" s="55"/>
      <c r="AP219" s="453">
        <f t="shared" si="293"/>
        <v>0</v>
      </c>
      <c r="AQ219" s="280"/>
      <c r="AR219" s="280"/>
      <c r="AS219" s="280"/>
      <c r="AT219" s="280"/>
      <c r="AU219" s="280"/>
      <c r="AV219" s="280"/>
      <c r="AW219" s="280"/>
      <c r="AX219" s="280"/>
      <c r="AY219" s="280"/>
      <c r="AZ219" s="280"/>
      <c r="BO219" s="55"/>
      <c r="BP219" s="55">
        <f t="shared" si="295"/>
        <v>-160.75</v>
      </c>
      <c r="BQ219" s="55">
        <f t="shared" si="295"/>
        <v>-166.05</v>
      </c>
      <c r="BR219" s="55">
        <f>BQ219/BQ$222*BR$222</f>
        <v>-172.69200000000001</v>
      </c>
      <c r="BS219" s="181"/>
      <c r="BT219" s="181"/>
      <c r="BU219" s="307"/>
      <c r="BV219" s="196"/>
      <c r="BW219" s="196"/>
      <c r="BX219" s="196"/>
      <c r="BY219" s="196"/>
      <c r="BZ219" s="196"/>
      <c r="DS219" s="196"/>
    </row>
    <row r="220" spans="1:123">
      <c r="B220" s="23" t="s">
        <v>460</v>
      </c>
      <c r="AG220" s="55">
        <f t="shared" si="289"/>
        <v>-14.8</v>
      </c>
      <c r="AH220" s="55">
        <f t="shared" si="290"/>
        <v>-14.8</v>
      </c>
      <c r="AI220" s="55">
        <f t="shared" si="291"/>
        <v>-15.392000000000001</v>
      </c>
      <c r="AJ220" s="55">
        <f t="shared" si="292"/>
        <v>-15.392000000000001</v>
      </c>
      <c r="AK220" s="55"/>
      <c r="AL220" s="55">
        <f t="shared" si="292"/>
        <v>0</v>
      </c>
      <c r="AM220" s="55"/>
      <c r="AN220" s="55">
        <f t="shared" si="296"/>
        <v>0</v>
      </c>
      <c r="AO220" s="55"/>
      <c r="AP220" s="453">
        <f t="shared" si="293"/>
        <v>0</v>
      </c>
      <c r="AQ220" s="280"/>
      <c r="AR220" s="280"/>
      <c r="AS220" s="280"/>
      <c r="AT220" s="280"/>
      <c r="AU220" s="280"/>
      <c r="AV220" s="280"/>
      <c r="AW220" s="280"/>
      <c r="AX220" s="280"/>
      <c r="AY220" s="280"/>
      <c r="AZ220" s="280"/>
      <c r="BO220" s="55"/>
      <c r="BP220" s="55">
        <f t="shared" si="295"/>
        <v>-37.799999999999997</v>
      </c>
      <c r="BQ220" s="55">
        <f t="shared" si="295"/>
        <v>-29.6</v>
      </c>
      <c r="BR220" s="55">
        <f>BQ220/BQ$222*BR$222</f>
        <v>-30.784000000000002</v>
      </c>
      <c r="BS220" s="181"/>
      <c r="BT220" s="181"/>
      <c r="BU220" s="307"/>
      <c r="BV220" s="196"/>
      <c r="BW220" s="196"/>
      <c r="BX220" s="196"/>
      <c r="BY220" s="196"/>
      <c r="BZ220" s="196"/>
      <c r="DS220" s="196"/>
    </row>
    <row r="221" spans="1:123">
      <c r="B221" s="23" t="s">
        <v>461</v>
      </c>
      <c r="AG221" s="55">
        <f t="shared" si="289"/>
        <v>-33.274999999999999</v>
      </c>
      <c r="AH221" s="55">
        <f t="shared" si="290"/>
        <v>-33.274999999999999</v>
      </c>
      <c r="AI221" s="55">
        <f t="shared" si="291"/>
        <v>-34.605999999999995</v>
      </c>
      <c r="AJ221" s="55">
        <f t="shared" si="292"/>
        <v>-34.605999999999995</v>
      </c>
      <c r="AK221" s="55"/>
      <c r="AL221" s="55">
        <f t="shared" si="292"/>
        <v>0</v>
      </c>
      <c r="AM221" s="55"/>
      <c r="AN221" s="55">
        <f t="shared" si="296"/>
        <v>0</v>
      </c>
      <c r="AO221" s="55"/>
      <c r="AP221" s="453">
        <f t="shared" si="293"/>
        <v>0</v>
      </c>
      <c r="AQ221" s="280"/>
      <c r="AR221" s="280"/>
      <c r="AS221" s="280"/>
      <c r="AT221" s="280"/>
      <c r="AU221" s="280"/>
      <c r="AV221" s="280"/>
      <c r="AW221" s="280"/>
      <c r="AX221" s="280"/>
      <c r="AY221" s="280"/>
      <c r="AZ221" s="280"/>
      <c r="BO221" s="55"/>
      <c r="BP221" s="55">
        <f t="shared" si="295"/>
        <v>-75.599999999999994</v>
      </c>
      <c r="BQ221" s="55">
        <f t="shared" si="295"/>
        <v>-66.55</v>
      </c>
      <c r="BR221" s="55">
        <f>BQ221/BQ$222*BR$222</f>
        <v>-69.211999999999989</v>
      </c>
      <c r="BS221" s="181"/>
      <c r="BT221" s="181"/>
      <c r="BU221" s="307"/>
      <c r="BV221" s="196"/>
      <c r="BW221" s="196"/>
      <c r="BX221" s="196"/>
      <c r="BY221" s="196"/>
      <c r="BZ221" s="196"/>
      <c r="DS221" s="196"/>
    </row>
    <row r="222" spans="1:123" s="28" customFormat="1">
      <c r="A222" s="10" t="s">
        <v>537</v>
      </c>
      <c r="B222" s="28" t="s">
        <v>462</v>
      </c>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92">
        <f t="shared" si="289"/>
        <v>-131.1</v>
      </c>
      <c r="AH222" s="92">
        <f t="shared" si="290"/>
        <v>-131.1</v>
      </c>
      <c r="AI222" s="92">
        <f t="shared" si="291"/>
        <v>-136.34399999999999</v>
      </c>
      <c r="AJ222" s="92">
        <f t="shared" si="292"/>
        <v>-136.34399999999999</v>
      </c>
      <c r="AK222" s="421">
        <v>-72.314999999999998</v>
      </c>
      <c r="AL222" s="421">
        <f>BS222-AK222</f>
        <v>-150.59399999999999</v>
      </c>
      <c r="AM222" s="421">
        <v>-153.221</v>
      </c>
      <c r="AN222" s="421">
        <f t="shared" si="296"/>
        <v>-158.404</v>
      </c>
      <c r="AO222" s="421">
        <v>-172.67099999999999</v>
      </c>
      <c r="AP222" s="457">
        <f t="shared" si="293"/>
        <v>-183.673</v>
      </c>
      <c r="AQ222" s="92">
        <f t="shared" ref="AQ222:AZ222" si="297">AO222*(1+AQ231)</f>
        <v>-193.39152000000001</v>
      </c>
      <c r="AR222" s="92">
        <f t="shared" si="297"/>
        <v>-189.18319</v>
      </c>
      <c r="AS222" s="92">
        <f t="shared" si="297"/>
        <v>-199.19326560000002</v>
      </c>
      <c r="AT222" s="92">
        <f t="shared" si="297"/>
        <v>-194.8586857</v>
      </c>
      <c r="AU222" s="92">
        <f t="shared" si="297"/>
        <v>-205.16906356800001</v>
      </c>
      <c r="AV222" s="92">
        <f t="shared" si="297"/>
        <v>-200.70444627099999</v>
      </c>
      <c r="AW222" s="92">
        <f t="shared" si="297"/>
        <v>-211.32413547504001</v>
      </c>
      <c r="AX222" s="92">
        <f t="shared" si="297"/>
        <v>-206.72557965913001</v>
      </c>
      <c r="AY222" s="92">
        <f t="shared" si="297"/>
        <v>-217.66385953929122</v>
      </c>
      <c r="AZ222" s="92">
        <f t="shared" si="297"/>
        <v>-212.9273470489039</v>
      </c>
      <c r="BA222" s="20"/>
      <c r="BB222" s="20"/>
      <c r="BC222" s="20"/>
      <c r="BD222" s="20"/>
      <c r="BE222" s="20"/>
      <c r="BF222" s="20"/>
      <c r="BG222" s="20"/>
      <c r="BH222" s="20"/>
      <c r="BI222" s="20"/>
      <c r="BJ222" s="20"/>
      <c r="BK222" s="20"/>
      <c r="BL222" s="20"/>
      <c r="BM222" s="20"/>
      <c r="BN222" s="20"/>
      <c r="BO222" s="92"/>
      <c r="BP222" s="92">
        <f t="shared" si="295"/>
        <v>-274.14999999999998</v>
      </c>
      <c r="BQ222" s="92">
        <f t="shared" si="295"/>
        <v>-262.2</v>
      </c>
      <c r="BR222" s="92">
        <f>BQ222*(1+BR231)</f>
        <v>-272.68799999999999</v>
      </c>
      <c r="BS222" s="421">
        <v>-222.90899999999999</v>
      </c>
      <c r="BT222" s="421">
        <v>-311.625</v>
      </c>
      <c r="BU222" s="456">
        <v>-356.34399999999999</v>
      </c>
      <c r="BV222" s="198">
        <f t="shared" ref="BV222:BV227" si="298">SUM(AQ222:AR222)</f>
        <v>-382.57470999999998</v>
      </c>
      <c r="BW222" s="198">
        <f t="shared" ref="BW222:BW227" si="299">SUM(AS222:AT222)</f>
        <v>-394.05195130000004</v>
      </c>
      <c r="BX222" s="198">
        <f t="shared" ref="BX222:BX227" si="300">SUM(AU222:AV222)</f>
        <v>-405.87350983900001</v>
      </c>
      <c r="BY222" s="198">
        <f t="shared" ref="BY222:BY227" si="301">SUM(AW222:AX222)</f>
        <v>-418.04971513417001</v>
      </c>
      <c r="BZ222" s="198">
        <f t="shared" ref="BZ222:BZ227" si="302">SUM(AY222:AZ222)</f>
        <v>-430.59120658819512</v>
      </c>
      <c r="CB222" s="173" t="s">
        <v>618</v>
      </c>
      <c r="DS222" s="198">
        <f t="shared" ref="DS222:DS227" si="303">SUM(CU222:CV222)</f>
        <v>0</v>
      </c>
    </row>
    <row r="223" spans="1:123" s="28" customFormat="1">
      <c r="A223" s="10" t="s">
        <v>538</v>
      </c>
      <c r="B223" s="28" t="s">
        <v>463</v>
      </c>
      <c r="C223" s="418"/>
      <c r="D223" s="418"/>
      <c r="E223" s="418"/>
      <c r="F223" s="418"/>
      <c r="G223" s="419"/>
      <c r="H223" s="419"/>
      <c r="I223" s="419"/>
      <c r="J223" s="419"/>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92">
        <f t="shared" si="289"/>
        <v>31.525000000000006</v>
      </c>
      <c r="AH223" s="92">
        <f t="shared" si="290"/>
        <v>31.525000000000006</v>
      </c>
      <c r="AI223" s="92">
        <f t="shared" si="291"/>
        <v>34.41225</v>
      </c>
      <c r="AJ223" s="92">
        <f t="shared" si="292"/>
        <v>34.41225</v>
      </c>
      <c r="AK223" s="92">
        <f>SUM(AK218:AK222)</f>
        <v>18.509</v>
      </c>
      <c r="AL223" s="92">
        <f>BS223-AK223</f>
        <v>60.189000000000036</v>
      </c>
      <c r="AM223" s="92">
        <f>SUM(AM218:AM222)</f>
        <v>39.217999999999989</v>
      </c>
      <c r="AN223" s="92">
        <f t="shared" si="296"/>
        <v>60.198000000000008</v>
      </c>
      <c r="AO223" s="92">
        <f>SUM(AO218:AO222)</f>
        <v>31.967000000000013</v>
      </c>
      <c r="AP223" s="457">
        <f t="shared" si="293"/>
        <v>77.593999999999966</v>
      </c>
      <c r="AQ223" s="92">
        <f>AQ218+AQ222</f>
        <v>43.988559999999978</v>
      </c>
      <c r="AR223" s="92">
        <f t="shared" ref="AR223:AZ223" si="304">AR218+AR222</f>
        <v>79.92181999999994</v>
      </c>
      <c r="AS223" s="92">
        <f t="shared" si="304"/>
        <v>45.308216799999968</v>
      </c>
      <c r="AT223" s="92">
        <f t="shared" si="304"/>
        <v>85.010524699999934</v>
      </c>
      <c r="AU223" s="92">
        <f t="shared" si="304"/>
        <v>49.112478127999992</v>
      </c>
      <c r="AV223" s="92">
        <f t="shared" si="304"/>
        <v>87.560840440999925</v>
      </c>
      <c r="AW223" s="92">
        <f t="shared" si="304"/>
        <v>50.585852471839985</v>
      </c>
      <c r="AX223" s="92">
        <f t="shared" si="304"/>
        <v>90.187665654229932</v>
      </c>
      <c r="AY223" s="92">
        <f t="shared" si="304"/>
        <v>52.103428045995173</v>
      </c>
      <c r="AZ223" s="92">
        <f t="shared" si="304"/>
        <v>92.893295623856858</v>
      </c>
      <c r="BA223" s="20"/>
      <c r="BB223" s="20"/>
      <c r="BC223" s="20"/>
      <c r="BD223" s="20"/>
      <c r="BE223" s="20"/>
      <c r="BF223" s="20"/>
      <c r="BG223" s="20"/>
      <c r="BH223" s="20"/>
      <c r="BI223" s="20"/>
      <c r="BJ223" s="20"/>
      <c r="BK223" s="20"/>
      <c r="BL223" s="20"/>
      <c r="BM223" s="20"/>
      <c r="BN223" s="20"/>
      <c r="BO223" s="92"/>
      <c r="BP223" s="92">
        <f t="shared" si="295"/>
        <v>71.75</v>
      </c>
      <c r="BQ223" s="92">
        <f t="shared" si="295"/>
        <v>63.050000000000011</v>
      </c>
      <c r="BR223" s="92">
        <f>BR218+BR222</f>
        <v>68.8245</v>
      </c>
      <c r="BS223" s="421">
        <f>BS218+BS222</f>
        <v>78.698000000000036</v>
      </c>
      <c r="BT223" s="421">
        <f>BT218+BT222</f>
        <v>99.415999999999997</v>
      </c>
      <c r="BU223" s="456">
        <f>BU218+BU222</f>
        <v>109.56099999999998</v>
      </c>
      <c r="BV223" s="198">
        <f t="shared" si="298"/>
        <v>123.91037999999992</v>
      </c>
      <c r="BW223" s="198">
        <f t="shared" si="299"/>
        <v>130.3187414999999</v>
      </c>
      <c r="BX223" s="198">
        <f t="shared" si="300"/>
        <v>136.67331856899992</v>
      </c>
      <c r="BY223" s="198">
        <f t="shared" si="301"/>
        <v>140.77351812606992</v>
      </c>
      <c r="BZ223" s="198">
        <f t="shared" si="302"/>
        <v>144.99672366985203</v>
      </c>
      <c r="CB223" s="28" t="s">
        <v>609</v>
      </c>
      <c r="DS223" s="198">
        <f t="shared" si="303"/>
        <v>0</v>
      </c>
    </row>
    <row r="224" spans="1:123">
      <c r="B224" s="23" t="s">
        <v>346</v>
      </c>
      <c r="AG224" s="55"/>
      <c r="AH224" s="55"/>
      <c r="AI224" s="55"/>
      <c r="AJ224" s="55"/>
      <c r="AK224" s="162">
        <f t="shared" ref="AK224:AP224" si="305">AK225-AK223</f>
        <v>-0.17000000000000171</v>
      </c>
      <c r="AL224" s="162">
        <f t="shared" si="305"/>
        <v>-6.0000000000030695E-2</v>
      </c>
      <c r="AM224" s="162">
        <f t="shared" si="305"/>
        <v>0</v>
      </c>
      <c r="AN224" s="162">
        <f t="shared" si="305"/>
        <v>0</v>
      </c>
      <c r="AO224" s="162">
        <f t="shared" si="305"/>
        <v>0</v>
      </c>
      <c r="AP224" s="458">
        <f t="shared" si="305"/>
        <v>0</v>
      </c>
      <c r="AQ224" s="285">
        <v>0</v>
      </c>
      <c r="AR224" s="285">
        <v>0</v>
      </c>
      <c r="AS224" s="285">
        <v>0</v>
      </c>
      <c r="AT224" s="285">
        <v>0</v>
      </c>
      <c r="AU224" s="285">
        <v>0</v>
      </c>
      <c r="AV224" s="285">
        <v>0</v>
      </c>
      <c r="AW224" s="285">
        <v>0</v>
      </c>
      <c r="AX224" s="285">
        <v>0</v>
      </c>
      <c r="AY224" s="285">
        <v>0</v>
      </c>
      <c r="AZ224" s="285">
        <v>0</v>
      </c>
      <c r="BO224" s="55"/>
      <c r="BP224" s="55"/>
      <c r="BQ224" s="55"/>
      <c r="BR224" s="196">
        <f>SUM(AI224:AJ224)</f>
        <v>0</v>
      </c>
      <c r="BS224" s="196">
        <f>BS225-BS223</f>
        <v>-0.2300000000000324</v>
      </c>
      <c r="BT224" s="196">
        <f>BT225-BT223</f>
        <v>0</v>
      </c>
      <c r="BU224" s="461">
        <f>BU225-BU223</f>
        <v>0</v>
      </c>
      <c r="BV224" s="196">
        <f t="shared" si="298"/>
        <v>0</v>
      </c>
      <c r="BW224" s="196">
        <f t="shared" si="299"/>
        <v>0</v>
      </c>
      <c r="BX224" s="196">
        <f t="shared" si="300"/>
        <v>0</v>
      </c>
      <c r="BY224" s="196">
        <f t="shared" si="301"/>
        <v>0</v>
      </c>
      <c r="BZ224" s="196">
        <f t="shared" si="302"/>
        <v>0</v>
      </c>
      <c r="CB224" s="23" t="s">
        <v>609</v>
      </c>
      <c r="DS224" s="196">
        <f t="shared" si="303"/>
        <v>0</v>
      </c>
    </row>
    <row r="225" spans="1:123">
      <c r="A225" s="10" t="s">
        <v>582</v>
      </c>
      <c r="B225" s="28" t="s">
        <v>176</v>
      </c>
      <c r="AG225" s="92">
        <f t="shared" ref="AG225:AI225" si="306">SUM(AG223:AG224)</f>
        <v>31.525000000000006</v>
      </c>
      <c r="AH225" s="92">
        <f t="shared" si="306"/>
        <v>31.525000000000006</v>
      </c>
      <c r="AI225" s="92">
        <f t="shared" si="306"/>
        <v>34.41225</v>
      </c>
      <c r="AJ225" s="92">
        <f>SUM(AJ223:AJ224)</f>
        <v>34.41225</v>
      </c>
      <c r="AK225" s="421">
        <v>18.338999999999999</v>
      </c>
      <c r="AL225" s="421">
        <f>BS225-AK225</f>
        <v>60.129000000000005</v>
      </c>
      <c r="AM225" s="421">
        <v>39.218000000000004</v>
      </c>
      <c r="AN225" s="421">
        <f>BT225-AM225</f>
        <v>60.197999999999993</v>
      </c>
      <c r="AO225" s="421">
        <v>31.966999999999999</v>
      </c>
      <c r="AP225" s="457">
        <f>BU225-AO225</f>
        <v>77.594000000000008</v>
      </c>
      <c r="AQ225" s="92">
        <f t="shared" ref="AQ225:AZ225" si="307">SUM(AQ223:AQ224)</f>
        <v>43.988559999999978</v>
      </c>
      <c r="AR225" s="92">
        <f t="shared" si="307"/>
        <v>79.92181999999994</v>
      </c>
      <c r="AS225" s="92">
        <f t="shared" si="307"/>
        <v>45.308216799999968</v>
      </c>
      <c r="AT225" s="92">
        <f t="shared" si="307"/>
        <v>85.010524699999934</v>
      </c>
      <c r="AU225" s="92">
        <f t="shared" si="307"/>
        <v>49.112478127999992</v>
      </c>
      <c r="AV225" s="92">
        <f t="shared" si="307"/>
        <v>87.560840440999925</v>
      </c>
      <c r="AW225" s="92">
        <f t="shared" si="307"/>
        <v>50.585852471839985</v>
      </c>
      <c r="AX225" s="92">
        <f t="shared" si="307"/>
        <v>90.187665654229932</v>
      </c>
      <c r="AY225" s="92">
        <f t="shared" si="307"/>
        <v>52.103428045995173</v>
      </c>
      <c r="AZ225" s="92">
        <f t="shared" si="307"/>
        <v>92.893295623856858</v>
      </c>
      <c r="BO225" s="55"/>
      <c r="BP225" s="55"/>
      <c r="BQ225" s="55"/>
      <c r="BR225" s="196">
        <f t="shared" ref="BR225:BR227" si="308">SUM(AI225:AJ225)</f>
        <v>68.8245</v>
      </c>
      <c r="BS225" s="427">
        <v>78.468000000000004</v>
      </c>
      <c r="BT225" s="427">
        <v>99.415999999999997</v>
      </c>
      <c r="BU225" s="527">
        <v>109.56100000000001</v>
      </c>
      <c r="BV225" s="198">
        <f>SUM(AQ228:AR228)</f>
        <v>117.42214799829875</v>
      </c>
      <c r="BW225" s="198">
        <f>SUM(AS228:AT228)</f>
        <v>123.49495297621584</v>
      </c>
      <c r="BX225" s="198">
        <f>SUM(AU228:AV228)</f>
        <v>129.51678979943205</v>
      </c>
      <c r="BY225" s="198">
        <f>SUM(AW228:AX228)</f>
        <v>133.40229349341502</v>
      </c>
      <c r="BZ225" s="198">
        <f>SUM(AY228:AZ228)</f>
        <v>137.40436229821748</v>
      </c>
      <c r="CB225" s="173" t="s">
        <v>618</v>
      </c>
      <c r="DS225" s="198">
        <f t="shared" si="303"/>
        <v>0</v>
      </c>
    </row>
    <row r="226" spans="1:123">
      <c r="A226" s="10" t="s">
        <v>586</v>
      </c>
      <c r="B226" s="243" t="s">
        <v>217</v>
      </c>
      <c r="AG226" s="55"/>
      <c r="AH226" s="55"/>
      <c r="AI226" s="55"/>
      <c r="AJ226" s="55"/>
      <c r="AK226" s="55"/>
      <c r="AL226" s="55"/>
      <c r="AM226" s="55"/>
      <c r="AN226" s="55"/>
      <c r="AO226" s="55"/>
      <c r="AP226" s="453"/>
      <c r="AQ226" s="55">
        <f>-AQ232*AQ228</f>
        <v>-10.421304499574704</v>
      </c>
      <c r="AR226" s="55">
        <f t="shared" ref="AR226:AZ226" si="309">-AR232*AR228</f>
        <v>-18.934232499999986</v>
      </c>
      <c r="AS226" s="55">
        <f t="shared" si="309"/>
        <v>-10.733943634561943</v>
      </c>
      <c r="AT226" s="55">
        <f t="shared" si="309"/>
        <v>-20.139794609492018</v>
      </c>
      <c r="AU226" s="55">
        <f t="shared" si="309"/>
        <v>-11.63520900208124</v>
      </c>
      <c r="AV226" s="55">
        <f t="shared" si="309"/>
        <v>-20.743988447776776</v>
      </c>
      <c r="AW226" s="55">
        <f t="shared" si="309"/>
        <v>-11.984265272143675</v>
      </c>
      <c r="AX226" s="55">
        <f t="shared" si="309"/>
        <v>-21.36630810121008</v>
      </c>
      <c r="AY226" s="55">
        <f t="shared" si="309"/>
        <v>-12.343793230307982</v>
      </c>
      <c r="AZ226" s="55">
        <f t="shared" si="309"/>
        <v>-22.007297344246389</v>
      </c>
      <c r="BO226" s="55"/>
      <c r="BP226" s="55"/>
      <c r="BQ226" s="55"/>
      <c r="BR226" s="196">
        <f t="shared" si="308"/>
        <v>0</v>
      </c>
      <c r="BS226" s="196"/>
      <c r="BT226" s="196">
        <f t="shared" ref="BT226:BU227" si="310">SUM(AM226:AN226)</f>
        <v>0</v>
      </c>
      <c r="BU226" s="461">
        <f t="shared" si="310"/>
        <v>0</v>
      </c>
      <c r="BV226" s="196">
        <f t="shared" si="298"/>
        <v>-29.355536999574689</v>
      </c>
      <c r="BW226" s="196">
        <f t="shared" si="299"/>
        <v>-30.87373824405396</v>
      </c>
      <c r="BX226" s="196">
        <f t="shared" si="300"/>
        <v>-32.379197449858012</v>
      </c>
      <c r="BY226" s="196">
        <f t="shared" si="301"/>
        <v>-33.350573373353754</v>
      </c>
      <c r="BZ226" s="196">
        <f t="shared" si="302"/>
        <v>-34.35109057455437</v>
      </c>
      <c r="DS226" s="196">
        <f t="shared" si="303"/>
        <v>0</v>
      </c>
    </row>
    <row r="227" spans="1:123">
      <c r="A227" s="10" t="s">
        <v>587</v>
      </c>
      <c r="B227" s="28" t="s">
        <v>89</v>
      </c>
      <c r="AG227" s="55"/>
      <c r="AH227" s="55"/>
      <c r="AI227" s="55"/>
      <c r="AJ227" s="55"/>
      <c r="AK227" s="421"/>
      <c r="AL227" s="421"/>
      <c r="AM227" s="421"/>
      <c r="AN227" s="421"/>
      <c r="AO227" s="421"/>
      <c r="AP227" s="457"/>
      <c r="AQ227" s="92">
        <f t="shared" ref="AQ227:AZ227" si="311">SUM(AQ225:AQ226)</f>
        <v>33.567255500425276</v>
      </c>
      <c r="AR227" s="92">
        <f t="shared" si="311"/>
        <v>60.987587499999954</v>
      </c>
      <c r="AS227" s="92">
        <f t="shared" si="311"/>
        <v>34.574273165438029</v>
      </c>
      <c r="AT227" s="92">
        <f t="shared" si="311"/>
        <v>64.870730090507919</v>
      </c>
      <c r="AU227" s="92">
        <f t="shared" si="311"/>
        <v>37.477269125918752</v>
      </c>
      <c r="AV227" s="92">
        <f t="shared" si="311"/>
        <v>66.816851993223153</v>
      </c>
      <c r="AW227" s="92">
        <f t="shared" si="311"/>
        <v>38.601587199696311</v>
      </c>
      <c r="AX227" s="92">
        <f t="shared" si="311"/>
        <v>68.821357553019851</v>
      </c>
      <c r="AY227" s="92">
        <f t="shared" si="311"/>
        <v>39.759634815687193</v>
      </c>
      <c r="AZ227" s="92">
        <f t="shared" si="311"/>
        <v>70.885998279610476</v>
      </c>
      <c r="BO227" s="55"/>
      <c r="BP227" s="55"/>
      <c r="BQ227" s="55"/>
      <c r="BR227" s="196">
        <f t="shared" si="308"/>
        <v>0</v>
      </c>
      <c r="BS227" s="196"/>
      <c r="BT227" s="196">
        <f t="shared" si="310"/>
        <v>0</v>
      </c>
      <c r="BU227" s="461">
        <f t="shared" si="310"/>
        <v>0</v>
      </c>
      <c r="BV227" s="198">
        <f t="shared" si="298"/>
        <v>94.554843000425222</v>
      </c>
      <c r="BW227" s="198">
        <f t="shared" si="299"/>
        <v>99.445003255945949</v>
      </c>
      <c r="BX227" s="198">
        <f t="shared" si="300"/>
        <v>104.29412111914191</v>
      </c>
      <c r="BY227" s="198">
        <f t="shared" si="301"/>
        <v>107.42294475271616</v>
      </c>
      <c r="BZ227" s="198">
        <f t="shared" si="302"/>
        <v>110.64563309529767</v>
      </c>
      <c r="DS227" s="198">
        <f t="shared" si="303"/>
        <v>0</v>
      </c>
    </row>
    <row r="228" spans="1:123">
      <c r="A228" s="10" t="s">
        <v>639</v>
      </c>
      <c r="B228" s="170" t="s">
        <v>282</v>
      </c>
      <c r="AG228" s="55"/>
      <c r="AH228" s="55"/>
      <c r="AI228" s="55"/>
      <c r="AJ228" s="55"/>
      <c r="AK228" s="421">
        <v>17.975000000000001</v>
      </c>
      <c r="AL228" s="421">
        <f>BS228-AK228</f>
        <v>58.954199999999993</v>
      </c>
      <c r="AM228" s="421">
        <v>38.198</v>
      </c>
      <c r="AN228" s="421">
        <f>BT228-AM228</f>
        <v>58.564</v>
      </c>
      <c r="AO228" s="421">
        <v>30.541</v>
      </c>
      <c r="AP228" s="457">
        <f>BU228-AO228</f>
        <v>73.531000000000006</v>
      </c>
      <c r="AQ228" s="92">
        <f>AP228/AP225*AQ225</f>
        <v>41.685217998298818</v>
      </c>
      <c r="AR228" s="92">
        <f t="shared" ref="AR228:AZ228" si="312">AQ228/AQ225*AR225</f>
        <v>75.736929999999944</v>
      </c>
      <c r="AS228" s="92">
        <f t="shared" si="312"/>
        <v>42.93577453824777</v>
      </c>
      <c r="AT228" s="92">
        <f t="shared" si="312"/>
        <v>80.559178437968072</v>
      </c>
      <c r="AU228" s="92">
        <f t="shared" si="312"/>
        <v>46.540836008324959</v>
      </c>
      <c r="AV228" s="92">
        <f t="shared" si="312"/>
        <v>82.975953791107102</v>
      </c>
      <c r="AW228" s="92">
        <f t="shared" si="312"/>
        <v>47.937061088574701</v>
      </c>
      <c r="AX228" s="92">
        <f t="shared" si="312"/>
        <v>85.465232404840322</v>
      </c>
      <c r="AY228" s="92">
        <f t="shared" si="312"/>
        <v>49.375172921231929</v>
      </c>
      <c r="AZ228" s="92">
        <f t="shared" si="312"/>
        <v>88.029189376985556</v>
      </c>
      <c r="BO228" s="55"/>
      <c r="BP228" s="55"/>
      <c r="BQ228" s="55"/>
      <c r="BR228" s="92"/>
      <c r="BS228" s="421">
        <v>76.929199999999994</v>
      </c>
      <c r="BT228" s="421">
        <v>96.762</v>
      </c>
      <c r="BU228" s="456">
        <v>104.072</v>
      </c>
      <c r="BV228" s="198">
        <f t="shared" ref="BV228:BZ228" si="313">BV225</f>
        <v>117.42214799829875</v>
      </c>
      <c r="BW228" s="198">
        <f t="shared" si="313"/>
        <v>123.49495297621584</v>
      </c>
      <c r="BX228" s="198">
        <f t="shared" si="313"/>
        <v>129.51678979943205</v>
      </c>
      <c r="BY228" s="198">
        <f t="shared" si="313"/>
        <v>133.40229349341502</v>
      </c>
      <c r="BZ228" s="198">
        <f t="shared" si="313"/>
        <v>137.40436229821748</v>
      </c>
      <c r="DS228" s="198"/>
    </row>
    <row r="229" spans="1:123">
      <c r="B229" s="355" t="s">
        <v>550</v>
      </c>
      <c r="AG229" s="55"/>
      <c r="AH229" s="55"/>
      <c r="AI229" s="55"/>
      <c r="AJ229" s="55"/>
      <c r="AK229" s="783"/>
      <c r="AL229" s="783"/>
      <c r="AM229" s="784"/>
      <c r="AN229" s="783"/>
      <c r="AO229" s="784"/>
      <c r="AP229" s="785"/>
      <c r="AQ229" s="784">
        <f>AQ228/SUM(AQ228:AR228)</f>
        <v>0.35500302718787569</v>
      </c>
      <c r="AR229" s="92"/>
      <c r="AS229" s="92"/>
      <c r="AT229" s="92"/>
      <c r="AU229" s="92"/>
      <c r="AV229" s="92"/>
      <c r="AW229" s="92"/>
      <c r="AX229" s="92"/>
      <c r="AY229" s="92"/>
      <c r="AZ229" s="92"/>
      <c r="BO229" s="55"/>
      <c r="BP229" s="55"/>
      <c r="BQ229" s="55"/>
      <c r="BR229" s="92"/>
      <c r="BS229" s="92"/>
      <c r="BT229" s="92"/>
      <c r="BU229" s="501"/>
      <c r="BV229" s="198"/>
      <c r="BW229" s="198"/>
      <c r="BX229" s="198"/>
      <c r="BY229" s="198"/>
      <c r="BZ229" s="198"/>
      <c r="CB229" s="173" t="s">
        <v>621</v>
      </c>
      <c r="DS229" s="198"/>
    </row>
    <row r="230" spans="1:123">
      <c r="B230" s="243" t="s">
        <v>512</v>
      </c>
      <c r="AG230" s="55"/>
      <c r="AH230" s="55"/>
      <c r="AI230" s="683">
        <f>AI218/AG218-1</f>
        <v>5.0000000000000044E-2</v>
      </c>
      <c r="AJ230" s="683">
        <f>AJ218/AH218-1</f>
        <v>5.0000000000000044E-2</v>
      </c>
      <c r="AK230" s="752"/>
      <c r="AL230" s="752">
        <f>AL218/AJ218-1</f>
        <v>0.23440869660700581</v>
      </c>
      <c r="AM230" s="752">
        <f>AM218/AK218-1</f>
        <v>1.1188122082269003</v>
      </c>
      <c r="AN230" s="752">
        <f>AN218/AL218-1</f>
        <v>3.7095021894554936E-2</v>
      </c>
      <c r="AO230" s="752">
        <f>AO218/AM218-1</f>
        <v>6.3391516272689019E-2</v>
      </c>
      <c r="AP230" s="753">
        <f>AP218/AN218-1</f>
        <v>0.195172047831218</v>
      </c>
      <c r="AQ230" s="752">
        <v>0.16</v>
      </c>
      <c r="AR230" s="752">
        <v>0.03</v>
      </c>
      <c r="AS230" s="752">
        <v>0.03</v>
      </c>
      <c r="AT230" s="752">
        <v>0.04</v>
      </c>
      <c r="AU230" s="752">
        <v>0.04</v>
      </c>
      <c r="AV230" s="752">
        <v>0.03</v>
      </c>
      <c r="AW230" s="752">
        <v>0.03</v>
      </c>
      <c r="AX230" s="752">
        <v>0.03</v>
      </c>
      <c r="AY230" s="752">
        <v>0.03</v>
      </c>
      <c r="AZ230" s="752">
        <v>0.03</v>
      </c>
      <c r="BO230" s="55"/>
      <c r="BP230" s="55"/>
      <c r="BQ230" s="55"/>
      <c r="BR230" s="786">
        <v>0.05</v>
      </c>
      <c r="BS230" s="786">
        <v>0.05</v>
      </c>
      <c r="BT230" s="786"/>
      <c r="BU230" s="501"/>
      <c r="BV230" s="198"/>
      <c r="BW230" s="198"/>
      <c r="BX230" s="198"/>
      <c r="BY230" s="198"/>
      <c r="BZ230" s="198"/>
      <c r="DS230" s="198"/>
    </row>
    <row r="231" spans="1:123">
      <c r="B231" s="23" t="s">
        <v>556</v>
      </c>
      <c r="AI231" s="683">
        <f>AI222/AG222-1</f>
        <v>4.0000000000000036E-2</v>
      </c>
      <c r="AJ231" s="683">
        <f>AJ222/AH222-1</f>
        <v>4.0000000000000036E-2</v>
      </c>
      <c r="AK231" s="752"/>
      <c r="AL231" s="752">
        <f>AL222/AJ222-1</f>
        <v>0.10451505016722407</v>
      </c>
      <c r="AM231" s="752">
        <f>AM222/AK222-1</f>
        <v>1.1187996957754271</v>
      </c>
      <c r="AN231" s="752">
        <f>AN222/AL222-1</f>
        <v>5.1861295934765073E-2</v>
      </c>
      <c r="AO231" s="752">
        <f>AO222/AM222-1</f>
        <v>0.12694082403848039</v>
      </c>
      <c r="AP231" s="753">
        <f>AP222/AN222-1</f>
        <v>0.15952248680588887</v>
      </c>
      <c r="AQ231" s="752">
        <v>0.12</v>
      </c>
      <c r="AR231" s="752">
        <v>0.03</v>
      </c>
      <c r="AS231" s="752">
        <v>0.03</v>
      </c>
      <c r="AT231" s="752">
        <v>0.03</v>
      </c>
      <c r="AU231" s="752">
        <v>0.03</v>
      </c>
      <c r="AV231" s="752">
        <v>0.03</v>
      </c>
      <c r="AW231" s="752">
        <v>0.03</v>
      </c>
      <c r="AX231" s="752">
        <v>0.03</v>
      </c>
      <c r="AY231" s="752">
        <v>0.03</v>
      </c>
      <c r="AZ231" s="752">
        <v>0.03</v>
      </c>
      <c r="BO231" s="55"/>
      <c r="BP231" s="683">
        <f>BP243/BO243-1</f>
        <v>-5.4984036892515076E-2</v>
      </c>
      <c r="BQ231" s="683">
        <f>BQ243/BP243-1</f>
        <v>-3.1531531531531432E-2</v>
      </c>
      <c r="BR231" s="279">
        <v>0.04</v>
      </c>
      <c r="BS231" s="279">
        <v>0.04</v>
      </c>
      <c r="BT231" s="279"/>
    </row>
    <row r="232" spans="1:123">
      <c r="B232" s="23" t="s">
        <v>217</v>
      </c>
      <c r="AI232" s="683"/>
      <c r="AJ232" s="683"/>
      <c r="AK232" s="752"/>
      <c r="AL232" s="752"/>
      <c r="AM232" s="752"/>
      <c r="AN232" s="752"/>
      <c r="AO232" s="752"/>
      <c r="AP232" s="753"/>
      <c r="AQ232" s="752">
        <v>0.25</v>
      </c>
      <c r="AR232" s="752">
        <v>0.25</v>
      </c>
      <c r="AS232" s="752">
        <v>0.25</v>
      </c>
      <c r="AT232" s="752">
        <v>0.25</v>
      </c>
      <c r="AU232" s="752">
        <v>0.25</v>
      </c>
      <c r="AV232" s="752">
        <v>0.25</v>
      </c>
      <c r="AW232" s="752">
        <v>0.25</v>
      </c>
      <c r="AX232" s="752">
        <v>0.25</v>
      </c>
      <c r="AY232" s="752">
        <v>0.25</v>
      </c>
      <c r="AZ232" s="752">
        <v>0.25</v>
      </c>
      <c r="BO232" s="55"/>
      <c r="BP232" s="683"/>
      <c r="BQ232" s="683"/>
      <c r="BR232" s="279"/>
      <c r="BS232" s="279"/>
      <c r="BT232" s="279"/>
    </row>
    <row r="233" spans="1:123">
      <c r="B233" s="243"/>
      <c r="AG233" s="55"/>
      <c r="AH233" s="55"/>
      <c r="AI233" s="55"/>
      <c r="AJ233" s="55"/>
      <c r="AK233" s="92"/>
      <c r="AL233" s="92"/>
      <c r="AM233" s="92"/>
      <c r="AN233" s="92"/>
      <c r="AO233" s="92"/>
      <c r="AP233" s="457"/>
      <c r="AQ233" s="92"/>
      <c r="AR233" s="92"/>
      <c r="AS233" s="92"/>
      <c r="AT233" s="92"/>
      <c r="AU233" s="92"/>
      <c r="AV233" s="92"/>
      <c r="AW233" s="92"/>
      <c r="AX233" s="92"/>
      <c r="AY233" s="92"/>
      <c r="AZ233" s="92"/>
      <c r="BO233" s="55"/>
      <c r="BP233" s="55"/>
      <c r="BQ233" s="55"/>
      <c r="BR233" s="92"/>
      <c r="BS233" s="92"/>
      <c r="BT233" s="92"/>
      <c r="BU233" s="501"/>
      <c r="BV233" s="198"/>
      <c r="BW233" s="198"/>
      <c r="BX233" s="198"/>
      <c r="BY233" s="198"/>
      <c r="BZ233" s="198"/>
      <c r="DS233" s="198"/>
    </row>
    <row r="234" spans="1:123">
      <c r="B234" s="355" t="s">
        <v>551</v>
      </c>
      <c r="AG234" s="55"/>
      <c r="AH234" s="55"/>
      <c r="AI234" s="55"/>
      <c r="AJ234" s="55"/>
      <c r="AK234" s="92"/>
      <c r="AL234" s="92"/>
      <c r="AM234" s="92"/>
      <c r="AN234" s="92"/>
      <c r="AO234" s="92"/>
      <c r="AP234" s="457"/>
      <c r="AQ234" s="92"/>
      <c r="AR234" s="92"/>
      <c r="AS234" s="92"/>
      <c r="AT234" s="92"/>
      <c r="AU234" s="92"/>
      <c r="AV234" s="92"/>
      <c r="AW234" s="92"/>
      <c r="AX234" s="92"/>
      <c r="AY234" s="92"/>
      <c r="AZ234" s="92"/>
      <c r="BO234" s="55"/>
      <c r="BP234" s="55"/>
      <c r="BQ234" s="55"/>
      <c r="BR234" s="92"/>
      <c r="BS234" s="92"/>
      <c r="BT234" s="92"/>
      <c r="BU234" s="501"/>
      <c r="BV234" s="198"/>
      <c r="BW234" s="198"/>
      <c r="BX234" s="198"/>
      <c r="BY234" s="198"/>
      <c r="BZ234" s="198"/>
      <c r="DS234" s="198"/>
    </row>
    <row r="235" spans="1:123">
      <c r="B235" s="243" t="s">
        <v>564</v>
      </c>
      <c r="AG235" s="683">
        <f>AG223/AG218</f>
        <v>0.19385088393543431</v>
      </c>
      <c r="AH235" s="683">
        <f t="shared" ref="AH235:AZ235" si="314">AH223/AH218</f>
        <v>0.19385088393543431</v>
      </c>
      <c r="AI235" s="683">
        <f t="shared" si="314"/>
        <v>0.20152849456462063</v>
      </c>
      <c r="AJ235" s="683">
        <f t="shared" si="314"/>
        <v>0.20152849456462063</v>
      </c>
      <c r="AK235" s="683">
        <f t="shared" si="314"/>
        <v>0.20378974720338239</v>
      </c>
      <c r="AL235" s="683">
        <f t="shared" si="314"/>
        <v>0.2855495936579327</v>
      </c>
      <c r="AM235" s="230">
        <f t="shared" si="314"/>
        <v>0.20379444915012024</v>
      </c>
      <c r="AN235" s="230">
        <f t="shared" si="314"/>
        <v>0.27537716946779994</v>
      </c>
      <c r="AO235" s="230">
        <f t="shared" si="314"/>
        <v>0.15621243366334706</v>
      </c>
      <c r="AP235" s="497">
        <f t="shared" si="314"/>
        <v>0.29699120057259426</v>
      </c>
      <c r="AQ235" s="230">
        <f t="shared" si="314"/>
        <v>0.18530855664047285</v>
      </c>
      <c r="AR235" s="230">
        <f t="shared" si="314"/>
        <v>0.29699120057259415</v>
      </c>
      <c r="AS235" s="230">
        <f t="shared" si="314"/>
        <v>0.18530855664047283</v>
      </c>
      <c r="AT235" s="230">
        <f t="shared" si="314"/>
        <v>0.30375090056708842</v>
      </c>
      <c r="AU235" s="230">
        <f t="shared" si="314"/>
        <v>0.19314212821123761</v>
      </c>
      <c r="AV235" s="230">
        <f t="shared" si="314"/>
        <v>0.30375090056708842</v>
      </c>
      <c r="AW235" s="230">
        <f t="shared" si="314"/>
        <v>0.19314212821123758</v>
      </c>
      <c r="AX235" s="230">
        <f t="shared" si="314"/>
        <v>0.30375090056708842</v>
      </c>
      <c r="AY235" s="230">
        <f t="shared" si="314"/>
        <v>0.19314212821123752</v>
      </c>
      <c r="AZ235" s="230">
        <f t="shared" si="314"/>
        <v>0.30375090056708853</v>
      </c>
      <c r="BO235" s="55"/>
      <c r="BP235" s="683">
        <f t="shared" ref="BP235:BZ235" si="315">BP223/BP218</f>
        <v>0.20742989303266843</v>
      </c>
      <c r="BQ235" s="683">
        <f t="shared" si="315"/>
        <v>0.19385088393543431</v>
      </c>
      <c r="BR235" s="683">
        <f t="shared" si="315"/>
        <v>0.20152849456462063</v>
      </c>
      <c r="BS235" s="683">
        <f t="shared" si="315"/>
        <v>0.26092895721916276</v>
      </c>
      <c r="BT235" s="230">
        <f t="shared" si="315"/>
        <v>0.2418639503115261</v>
      </c>
      <c r="BU235" s="684">
        <f t="shared" si="315"/>
        <v>0.23515738186969443</v>
      </c>
      <c r="BV235" s="683">
        <f t="shared" si="315"/>
        <v>0.24464763612291124</v>
      </c>
      <c r="BW235" s="683">
        <f t="shared" si="315"/>
        <v>0.24852407521887335</v>
      </c>
      <c r="BX235" s="683">
        <f t="shared" si="315"/>
        <v>0.25191063962172938</v>
      </c>
      <c r="BY235" s="683">
        <f t="shared" si="315"/>
        <v>0.25191063962172938</v>
      </c>
      <c r="BZ235" s="683">
        <f t="shared" si="315"/>
        <v>0.25191063962172938</v>
      </c>
      <c r="DS235" s="683" t="e">
        <f t="shared" ref="DS235" si="316">DS223/DS218</f>
        <v>#DIV/0!</v>
      </c>
    </row>
    <row r="236" spans="1:123">
      <c r="B236" s="243" t="s">
        <v>565</v>
      </c>
      <c r="AJ236" s="73"/>
      <c r="AK236" s="683"/>
      <c r="AL236" s="683"/>
      <c r="AM236" s="683"/>
      <c r="AN236" s="683"/>
      <c r="AO236" s="683"/>
      <c r="AP236" s="684"/>
      <c r="AQ236" s="683">
        <f t="shared" ref="AQ236:AZ236" si="317">AQ227/AQ218</f>
        <v>0.14140721285638322</v>
      </c>
      <c r="AR236" s="683">
        <f t="shared" si="317"/>
        <v>0.22663118572188592</v>
      </c>
      <c r="AS236" s="683">
        <f t="shared" si="317"/>
        <v>0.14140721285638319</v>
      </c>
      <c r="AT236" s="683">
        <f t="shared" si="317"/>
        <v>0.23178944907084334</v>
      </c>
      <c r="AU236" s="683">
        <f t="shared" si="317"/>
        <v>0.14738493748289355</v>
      </c>
      <c r="AV236" s="683">
        <f t="shared" si="317"/>
        <v>0.23178944907084331</v>
      </c>
      <c r="AW236" s="683">
        <f t="shared" si="317"/>
        <v>0.14738493748289355</v>
      </c>
      <c r="AX236" s="683">
        <f t="shared" si="317"/>
        <v>0.23178944907084331</v>
      </c>
      <c r="AY236" s="683">
        <f t="shared" si="317"/>
        <v>0.14738493748289352</v>
      </c>
      <c r="AZ236" s="683">
        <f t="shared" si="317"/>
        <v>0.2317894490708434</v>
      </c>
      <c r="BO236" s="55"/>
      <c r="BP236" s="683"/>
      <c r="BQ236" s="683"/>
      <c r="BR236" s="683"/>
      <c r="BS236" s="683"/>
      <c r="BT236" s="683">
        <f>BT227/BT218</f>
        <v>0</v>
      </c>
      <c r="BU236" s="684">
        <f>BU227/BU218</f>
        <v>0</v>
      </c>
      <c r="BV236" s="683">
        <f>BV227/BV218</f>
        <v>0.18668830508006709</v>
      </c>
      <c r="BW236" s="683">
        <f>BW227/BW218</f>
        <v>0.18964637921493305</v>
      </c>
      <c r="BX236" s="683">
        <f t="shared" ref="BX236:BZ236" si="318">BX227/BX218</f>
        <v>0.19223063458904202</v>
      </c>
      <c r="BY236" s="683">
        <f t="shared" si="318"/>
        <v>0.19223063458904199</v>
      </c>
      <c r="BZ236" s="683">
        <f t="shared" si="318"/>
        <v>0.19223063458904202</v>
      </c>
      <c r="DS236" s="683" t="e">
        <f>DS227/DS218</f>
        <v>#DIV/0!</v>
      </c>
    </row>
    <row r="238" spans="1:123">
      <c r="B238" s="212" t="s">
        <v>458</v>
      </c>
      <c r="BO238" s="20" t="s">
        <v>464</v>
      </c>
      <c r="BP238" s="20" t="s">
        <v>465</v>
      </c>
      <c r="BQ238" s="20" t="s">
        <v>466</v>
      </c>
    </row>
    <row r="239" spans="1:123">
      <c r="B239" s="23" t="s">
        <v>220</v>
      </c>
      <c r="AK239" s="55"/>
      <c r="AL239" s="55"/>
      <c r="AM239" s="55"/>
      <c r="AN239" s="55"/>
      <c r="AO239" s="55"/>
      <c r="AP239" s="453"/>
      <c r="BO239" s="27">
        <v>363.4</v>
      </c>
      <c r="BP239" s="27">
        <v>328.4</v>
      </c>
      <c r="BQ239" s="27">
        <v>322.10000000000002</v>
      </c>
    </row>
    <row r="240" spans="1:123">
      <c r="B240" s="23" t="s">
        <v>459</v>
      </c>
      <c r="AK240" s="55">
        <f>AVERAGE(9.8,19.7)</f>
        <v>14.75</v>
      </c>
      <c r="AL240" s="55"/>
      <c r="AM240" s="55"/>
      <c r="AN240" s="55"/>
      <c r="AO240" s="55"/>
      <c r="AP240" s="453"/>
      <c r="BO240" s="27">
        <v>-158</v>
      </c>
      <c r="BP240" s="27">
        <v>-163.5</v>
      </c>
      <c r="BQ240" s="27">
        <v>-168.6</v>
      </c>
    </row>
    <row r="241" spans="1:123">
      <c r="B241" s="23" t="s">
        <v>460</v>
      </c>
      <c r="AK241" s="55">
        <f>AVERAGE(8,16)</f>
        <v>12</v>
      </c>
      <c r="AL241" s="55"/>
      <c r="AM241" s="55"/>
      <c r="AN241" s="55"/>
      <c r="AO241" s="55"/>
      <c r="AP241" s="453"/>
      <c r="BO241" s="27">
        <v>-44.4</v>
      </c>
      <c r="BP241" s="27">
        <v>-31.2</v>
      </c>
      <c r="BQ241" s="27">
        <v>-28</v>
      </c>
    </row>
    <row r="242" spans="1:123">
      <c r="B242" s="23" t="s">
        <v>461</v>
      </c>
      <c r="AK242" s="27">
        <f>AVERAGE(11.9,13.9)</f>
        <v>12.9</v>
      </c>
      <c r="BO242" s="27">
        <v>-79.5</v>
      </c>
      <c r="BP242" s="27">
        <v>-71.7</v>
      </c>
      <c r="BQ242" s="27">
        <v>-61.4</v>
      </c>
    </row>
    <row r="243" spans="1:123">
      <c r="B243" s="23" t="s">
        <v>462</v>
      </c>
      <c r="BO243" s="20">
        <f>SUM(BO240:BO242)</f>
        <v>-281.89999999999998</v>
      </c>
      <c r="BP243" s="20">
        <f>SUM(BP240:BP242)</f>
        <v>-266.39999999999998</v>
      </c>
      <c r="BQ243" s="20">
        <f>SUM(BQ240:BQ242)</f>
        <v>-258</v>
      </c>
    </row>
    <row r="244" spans="1:123">
      <c r="B244" s="23" t="s">
        <v>463</v>
      </c>
      <c r="BO244" s="55">
        <f>BO239+BO243</f>
        <v>81.5</v>
      </c>
      <c r="BP244" s="55">
        <f>BP239+BP243</f>
        <v>62</v>
      </c>
      <c r="BQ244" s="55">
        <f>BQ239+BQ243</f>
        <v>64.100000000000023</v>
      </c>
    </row>
    <row r="245" spans="1:123">
      <c r="B245" s="23" t="s">
        <v>405</v>
      </c>
      <c r="BO245" s="683">
        <f>BO244/BO239</f>
        <v>0.22427077600440287</v>
      </c>
      <c r="BP245" s="683">
        <f>BP244/BP239</f>
        <v>0.18879415347137637</v>
      </c>
      <c r="BQ245" s="683">
        <f>BQ244/BQ239</f>
        <v>0.19900651971437447</v>
      </c>
    </row>
    <row r="246" spans="1:123">
      <c r="BO246" s="683"/>
      <c r="BP246" s="683"/>
      <c r="BQ246" s="683"/>
    </row>
    <row r="247" spans="1:123" s="40" customFormat="1">
      <c r="A247" s="10"/>
      <c r="B247" s="11" t="s">
        <v>514</v>
      </c>
      <c r="C247" s="11"/>
      <c r="D247" s="11"/>
      <c r="E247" s="11"/>
      <c r="F247" s="11"/>
      <c r="G247" s="12"/>
      <c r="H247" s="12"/>
      <c r="I247" s="12"/>
      <c r="J247" s="12"/>
      <c r="K247" s="12"/>
      <c r="L247" s="12"/>
      <c r="M247" s="12"/>
      <c r="N247" s="12"/>
      <c r="O247" s="12"/>
      <c r="P247" s="12"/>
      <c r="Q247" s="555"/>
      <c r="R247" s="555"/>
      <c r="S247" s="555"/>
      <c r="T247" s="555"/>
      <c r="U247" s="555"/>
      <c r="V247" s="555"/>
      <c r="W247" s="555"/>
      <c r="X247" s="12"/>
      <c r="Y247" s="12"/>
      <c r="Z247" s="12"/>
      <c r="AA247" s="12"/>
      <c r="AB247" s="12"/>
      <c r="AC247" s="12"/>
      <c r="AD247" s="12"/>
      <c r="AE247" s="12"/>
      <c r="AF247" s="12"/>
      <c r="AG247" s="12"/>
      <c r="AH247" s="12"/>
      <c r="AI247" s="12"/>
      <c r="AJ247" s="12"/>
      <c r="AK247" s="12"/>
      <c r="AL247" s="12"/>
      <c r="AM247" s="12"/>
      <c r="AN247" s="12"/>
      <c r="AO247" s="12"/>
      <c r="AP247" s="298"/>
      <c r="AQ247" s="12"/>
      <c r="AR247" s="12"/>
      <c r="AS247" s="12"/>
      <c r="AT247" s="12"/>
      <c r="AU247" s="12"/>
      <c r="AV247" s="12"/>
      <c r="AW247" s="12"/>
      <c r="AX247" s="12"/>
      <c r="AY247" s="12"/>
      <c r="AZ247" s="12"/>
      <c r="BA247" s="13"/>
      <c r="BB247" s="12"/>
      <c r="BC247" s="12"/>
      <c r="BD247" s="12"/>
      <c r="BE247" s="12"/>
      <c r="BF247" s="12"/>
      <c r="BG247" s="12"/>
      <c r="BH247" s="12"/>
      <c r="BI247" s="12"/>
      <c r="BJ247" s="26"/>
      <c r="BK247" s="12"/>
      <c r="BL247" s="12"/>
      <c r="BM247" s="12"/>
      <c r="BN247" s="12"/>
      <c r="BO247" s="12"/>
      <c r="BP247" s="12"/>
      <c r="BQ247" s="12"/>
      <c r="BR247" s="12"/>
      <c r="BS247" s="12"/>
      <c r="BT247" s="12"/>
      <c r="BU247" s="298"/>
      <c r="BV247" s="12"/>
      <c r="BW247" s="12"/>
      <c r="BX247" s="12"/>
      <c r="BY247" s="12"/>
      <c r="BZ247" s="12"/>
      <c r="CB247" s="28"/>
      <c r="CC247" s="84"/>
      <c r="CD247" s="23"/>
      <c r="CE247" s="23"/>
      <c r="CF247" s="23"/>
      <c r="CG247" s="23"/>
      <c r="CH247" s="23"/>
      <c r="DS247" s="12"/>
    </row>
    <row r="248" spans="1:123" ht="12.75" customHeight="1">
      <c r="A248" s="57" t="s">
        <v>527</v>
      </c>
      <c r="B248" s="60" t="s">
        <v>487</v>
      </c>
      <c r="C248" s="58"/>
      <c r="D248" s="58"/>
      <c r="E248" s="58"/>
      <c r="F248" s="58"/>
      <c r="G248" s="23"/>
      <c r="H248" s="606"/>
      <c r="I248" s="606"/>
      <c r="J248" s="606"/>
      <c r="K248" s="607"/>
      <c r="L248" s="606"/>
      <c r="M248" s="606"/>
      <c r="N248" s="606"/>
      <c r="O248" s="606"/>
      <c r="P248" s="624"/>
      <c r="Q248" s="624"/>
      <c r="R248" s="624"/>
      <c r="S248" s="624"/>
      <c r="T248" s="624"/>
      <c r="U248" s="625"/>
      <c r="V248" s="625"/>
      <c r="W248" s="625"/>
      <c r="X248" s="625"/>
      <c r="Y248" s="658"/>
      <c r="Z248" s="658"/>
      <c r="AA248" s="658"/>
      <c r="AB248" s="658"/>
      <c r="AC248" s="658"/>
      <c r="AD248" s="658"/>
      <c r="AE248" s="787">
        <f t="shared" ref="AE248:AJ248" si="319">AE45+AE87+AE124+AE149+AE208</f>
        <v>272.06599999999997</v>
      </c>
      <c r="AF248" s="787">
        <f t="shared" si="319"/>
        <v>311.80199999999996</v>
      </c>
      <c r="AG248" s="787">
        <f t="shared" si="319"/>
        <v>310.92600000000004</v>
      </c>
      <c r="AH248" s="787">
        <f t="shared" si="319"/>
        <v>340.88400000000007</v>
      </c>
      <c r="AI248" s="787">
        <f t="shared" si="319"/>
        <v>327.19200000000001</v>
      </c>
      <c r="AJ248" s="787">
        <f t="shared" si="319"/>
        <v>362.34500000000003</v>
      </c>
      <c r="AK248" s="667">
        <f t="shared" ref="AK248:AP248" si="320">AK45+AK87+AK124+AK149+AK208+AK218</f>
        <v>465.98600000000005</v>
      </c>
      <c r="AL248" s="667">
        <f t="shared" si="320"/>
        <v>645.37300000000005</v>
      </c>
      <c r="AM248" s="667">
        <f t="shared" si="320"/>
        <v>635.69699999999989</v>
      </c>
      <c r="AN248" s="667">
        <f t="shared" si="320"/>
        <v>695.97399999999993</v>
      </c>
      <c r="AO248" s="667">
        <f t="shared" si="320"/>
        <v>712.55100000000004</v>
      </c>
      <c r="AP248" s="666">
        <f t="shared" si="320"/>
        <v>788.70299999999986</v>
      </c>
      <c r="AQ248" s="667">
        <f t="shared" ref="AQ248:AZ248" si="321">AQ45+AQ87+AQ124+AQ149+AQ218</f>
        <v>769.82494551626985</v>
      </c>
      <c r="AR248" s="667">
        <f t="shared" si="321"/>
        <v>828.55800999999997</v>
      </c>
      <c r="AS248" s="667">
        <f t="shared" si="321"/>
        <v>804.90641055759966</v>
      </c>
      <c r="AT248" s="667">
        <f t="shared" si="321"/>
        <v>869.1554775625001</v>
      </c>
      <c r="AU248" s="667">
        <f t="shared" si="321"/>
        <v>844.28981874376211</v>
      </c>
      <c r="AV248" s="667">
        <f t="shared" si="321"/>
        <v>909.78768035675625</v>
      </c>
      <c r="AW248" s="667">
        <f t="shared" si="321"/>
        <v>883.59918750313636</v>
      </c>
      <c r="AX248" s="667">
        <f t="shared" si="321"/>
        <v>952.56874638406839</v>
      </c>
      <c r="AY248" s="667">
        <f t="shared" si="321"/>
        <v>925.00351817219394</v>
      </c>
      <c r="AZ248" s="667">
        <f t="shared" si="321"/>
        <v>997.62166155466116</v>
      </c>
      <c r="BA248" s="659"/>
      <c r="BB248" s="659"/>
      <c r="BC248" s="659"/>
      <c r="BD248" s="659"/>
      <c r="BE248" s="659"/>
      <c r="BF248" s="659"/>
      <c r="BG248" s="659"/>
      <c r="BH248" s="573"/>
      <c r="BI248" s="768"/>
      <c r="BJ248" s="316"/>
      <c r="BK248" s="316"/>
      <c r="BL248" s="316"/>
      <c r="BM248" s="316"/>
      <c r="BN248" s="316"/>
      <c r="BO248" s="316"/>
      <c r="BP248" s="316">
        <f t="shared" ref="BP248:BP255" si="322">SUM(AE248:AF248)</f>
        <v>583.86799999999994</v>
      </c>
      <c r="BQ248" s="316">
        <f t="shared" ref="BQ248:BQ255" si="323">SUM(AG248:AH248)</f>
        <v>651.81000000000017</v>
      </c>
      <c r="BR248" s="316">
        <f t="shared" ref="BR248:BR255" si="324">SUM(AI248:AJ248)</f>
        <v>689.53700000000003</v>
      </c>
      <c r="BS248" s="316">
        <f>SUM(AK248:AL248)</f>
        <v>1111.3590000000002</v>
      </c>
      <c r="BT248" s="316">
        <f t="shared" ref="BT248:BT256" si="325">SUM(AM248:AN248)</f>
        <v>1331.6709999999998</v>
      </c>
      <c r="BU248" s="461">
        <f t="shared" ref="BU248:BU256" si="326">SUM(AO248:AP248)</f>
        <v>1501.2539999999999</v>
      </c>
      <c r="BV248" s="196">
        <f t="shared" ref="BV248:BV258" si="327">SUM(AQ248:AR248)</f>
        <v>1598.3829555162697</v>
      </c>
      <c r="BW248" s="196">
        <f t="shared" ref="BW248:BW258" si="328">SUM(AS248:AT248)</f>
        <v>1674.0618881200999</v>
      </c>
      <c r="BX248" s="196">
        <f t="shared" ref="BX248:BX258" si="329">SUM(AU248:AV248)</f>
        <v>1754.0774991005183</v>
      </c>
      <c r="BY248" s="196">
        <f t="shared" ref="BY248:BY258" si="330">SUM(AW248:AX248)</f>
        <v>1836.1679338872048</v>
      </c>
      <c r="BZ248" s="196">
        <f t="shared" ref="BZ248:BZ258" si="331">SUM(AY248:AZ248)</f>
        <v>1922.6251797268551</v>
      </c>
      <c r="CB248" s="23" t="s">
        <v>609</v>
      </c>
      <c r="DS248" s="196">
        <f t="shared" ref="DS248:DS258" si="332">SUM(CU248:CV248)</f>
        <v>0</v>
      </c>
    </row>
    <row r="249" spans="1:123">
      <c r="A249" s="57" t="s">
        <v>528</v>
      </c>
      <c r="B249" s="60" t="s">
        <v>488</v>
      </c>
      <c r="C249" s="58"/>
      <c r="D249" s="58"/>
      <c r="E249" s="58"/>
      <c r="F249" s="58"/>
      <c r="G249" s="23"/>
      <c r="H249" s="606"/>
      <c r="I249" s="606"/>
      <c r="J249" s="606"/>
      <c r="K249" s="607"/>
      <c r="L249" s="606"/>
      <c r="M249" s="606"/>
      <c r="N249" s="606"/>
      <c r="O249" s="606"/>
      <c r="P249" s="624"/>
      <c r="Q249" s="624"/>
      <c r="R249" s="624"/>
      <c r="S249" s="624"/>
      <c r="T249" s="624"/>
      <c r="U249" s="625"/>
      <c r="V249" s="625"/>
      <c r="W249" s="625"/>
      <c r="X249" s="625"/>
      <c r="Y249" s="658"/>
      <c r="Z249" s="658"/>
      <c r="AA249" s="658"/>
      <c r="AB249" s="658"/>
      <c r="AC249" s="658"/>
      <c r="AD249" s="658"/>
      <c r="AE249" s="658">
        <f t="shared" ref="AE249:AJ249" si="333">AE150+AE125+AE46+AE88+AE209</f>
        <v>-204.773</v>
      </c>
      <c r="AF249" s="658">
        <f t="shared" si="333"/>
        <v>-214.64600000000002</v>
      </c>
      <c r="AG249" s="658">
        <f t="shared" si="333"/>
        <v>-214.93099999999995</v>
      </c>
      <c r="AH249" s="658">
        <f t="shared" si="333"/>
        <v>-231.83200000000002</v>
      </c>
      <c r="AI249" s="658">
        <f t="shared" si="333"/>
        <v>-225.02099999999999</v>
      </c>
      <c r="AJ249" s="658">
        <f t="shared" si="333"/>
        <v>-230.10399999999998</v>
      </c>
      <c r="AK249" s="658">
        <f t="shared" ref="AK249:AP249" si="334">AK150+AK125+AK46+AK88+AK209+AK222</f>
        <v>-320.11099999999999</v>
      </c>
      <c r="AL249" s="658">
        <f t="shared" si="334"/>
        <v>-424.05699999999996</v>
      </c>
      <c r="AM249" s="658">
        <f t="shared" si="334"/>
        <v>-428.80200000000002</v>
      </c>
      <c r="AN249" s="658">
        <f t="shared" si="334"/>
        <v>-449.87</v>
      </c>
      <c r="AO249" s="658">
        <f t="shared" si="334"/>
        <v>-484.25299999999999</v>
      </c>
      <c r="AP249" s="657">
        <f t="shared" si="334"/>
        <v>-496.72800000000001</v>
      </c>
      <c r="AQ249" s="658">
        <f t="shared" ref="AQ249:AZ249" si="335">AQ150+AQ125+AQ46+AQ88+AQ222</f>
        <v>-521.69198000000006</v>
      </c>
      <c r="AR249" s="658">
        <f t="shared" si="335"/>
        <v>-515.50949000000003</v>
      </c>
      <c r="AS249" s="658">
        <f t="shared" si="335"/>
        <v>-543.90802410000003</v>
      </c>
      <c r="AT249" s="658">
        <f t="shared" si="335"/>
        <v>-535.56698610000001</v>
      </c>
      <c r="AU249" s="658">
        <f t="shared" si="335"/>
        <v>-560.87726358300006</v>
      </c>
      <c r="AV249" s="658">
        <f t="shared" si="335"/>
        <v>-551.94205270900011</v>
      </c>
      <c r="AW249" s="658">
        <f t="shared" si="335"/>
        <v>-578.04452815599006</v>
      </c>
      <c r="AX249" s="658">
        <f t="shared" si="335"/>
        <v>-568.8343808335901</v>
      </c>
      <c r="AY249" s="658">
        <f t="shared" si="335"/>
        <v>-595.75416756041989</v>
      </c>
      <c r="AZ249" s="658">
        <f t="shared" si="335"/>
        <v>-586.2610009284241</v>
      </c>
      <c r="BA249" s="659"/>
      <c r="BB249" s="659"/>
      <c r="BC249" s="659"/>
      <c r="BD249" s="659"/>
      <c r="BE249" s="659"/>
      <c r="BF249" s="659"/>
      <c r="BG249" s="659"/>
      <c r="BH249" s="573"/>
      <c r="BI249" s="768"/>
      <c r="BJ249" s="316"/>
      <c r="BK249" s="316"/>
      <c r="BL249" s="316"/>
      <c r="BM249" s="316"/>
      <c r="BN249" s="316"/>
      <c r="BO249" s="316"/>
      <c r="BP249" s="316">
        <f t="shared" si="322"/>
        <v>-419.41899999999998</v>
      </c>
      <c r="BQ249" s="316">
        <f t="shared" si="323"/>
        <v>-446.76299999999998</v>
      </c>
      <c r="BR249" s="316">
        <f t="shared" si="324"/>
        <v>-455.125</v>
      </c>
      <c r="BS249" s="316">
        <f t="shared" ref="BS249:BS255" si="336">SUM(AK249:AL249)</f>
        <v>-744.16799999999989</v>
      </c>
      <c r="BT249" s="316">
        <f t="shared" si="325"/>
        <v>-878.67200000000003</v>
      </c>
      <c r="BU249" s="461">
        <f t="shared" si="326"/>
        <v>-980.98099999999999</v>
      </c>
      <c r="BV249" s="196">
        <f t="shared" si="327"/>
        <v>-1037.20147</v>
      </c>
      <c r="BW249" s="196">
        <f t="shared" si="328"/>
        <v>-1079.4750102</v>
      </c>
      <c r="BX249" s="196">
        <f t="shared" si="329"/>
        <v>-1112.8193162920002</v>
      </c>
      <c r="BY249" s="196">
        <f t="shared" si="330"/>
        <v>-1146.8789089895802</v>
      </c>
      <c r="BZ249" s="196">
        <f t="shared" si="331"/>
        <v>-1182.015168488844</v>
      </c>
      <c r="CB249" s="23" t="s">
        <v>609</v>
      </c>
      <c r="DS249" s="196">
        <f t="shared" si="332"/>
        <v>0</v>
      </c>
    </row>
    <row r="250" spans="1:123">
      <c r="A250" s="57" t="s">
        <v>535</v>
      </c>
      <c r="B250" s="61" t="s">
        <v>362</v>
      </c>
      <c r="C250" s="58"/>
      <c r="D250" s="58"/>
      <c r="E250" s="58"/>
      <c r="F250" s="58"/>
      <c r="G250" s="23"/>
      <c r="H250" s="606"/>
      <c r="I250" s="606"/>
      <c r="J250" s="606"/>
      <c r="K250" s="607"/>
      <c r="L250" s="606"/>
      <c r="M250" s="606"/>
      <c r="N250" s="606"/>
      <c r="O250" s="606"/>
      <c r="P250" s="624"/>
      <c r="Q250" s="624"/>
      <c r="R250" s="624"/>
      <c r="S250" s="624"/>
      <c r="T250" s="624"/>
      <c r="U250" s="625"/>
      <c r="V250" s="625"/>
      <c r="W250" s="625"/>
      <c r="X250" s="625"/>
      <c r="Y250" s="658"/>
      <c r="Z250" s="658"/>
      <c r="AA250" s="658"/>
      <c r="AB250" s="658"/>
      <c r="AC250" s="658"/>
      <c r="AD250" s="658"/>
      <c r="AE250" s="667">
        <f t="shared" ref="AE250:AI250" si="337">AE249+AE248</f>
        <v>67.292999999999978</v>
      </c>
      <c r="AF250" s="667">
        <f t="shared" si="337"/>
        <v>97.155999999999949</v>
      </c>
      <c r="AG250" s="667">
        <f t="shared" si="337"/>
        <v>95.99500000000009</v>
      </c>
      <c r="AH250" s="667">
        <f t="shared" si="337"/>
        <v>109.05200000000005</v>
      </c>
      <c r="AI250" s="667">
        <f t="shared" si="337"/>
        <v>102.17100000000002</v>
      </c>
      <c r="AJ250" s="667">
        <f>AJ249+AJ248</f>
        <v>132.24100000000004</v>
      </c>
      <c r="AK250" s="667">
        <f t="shared" ref="AK250:AP250" si="338">AK249+AK248</f>
        <v>145.87500000000006</v>
      </c>
      <c r="AL250" s="667">
        <f t="shared" si="338"/>
        <v>221.31600000000009</v>
      </c>
      <c r="AM250" s="667">
        <f t="shared" si="338"/>
        <v>206.89499999999987</v>
      </c>
      <c r="AN250" s="667">
        <f t="shared" si="338"/>
        <v>246.10399999999993</v>
      </c>
      <c r="AO250" s="667">
        <f t="shared" si="338"/>
        <v>228.29800000000006</v>
      </c>
      <c r="AP250" s="666">
        <f t="shared" si="338"/>
        <v>291.97499999999985</v>
      </c>
      <c r="AQ250" s="667">
        <f t="shared" ref="AQ250:AZ250" si="339">SUM(AQ248:AQ249)</f>
        <v>248.13296551626979</v>
      </c>
      <c r="AR250" s="667">
        <f t="shared" si="339"/>
        <v>313.04851999999994</v>
      </c>
      <c r="AS250" s="667">
        <f t="shared" si="339"/>
        <v>260.99838645759962</v>
      </c>
      <c r="AT250" s="667">
        <f t="shared" si="339"/>
        <v>333.58849146250009</v>
      </c>
      <c r="AU250" s="667">
        <f t="shared" si="339"/>
        <v>283.41255516076205</v>
      </c>
      <c r="AV250" s="667">
        <f t="shared" si="339"/>
        <v>357.84562764775615</v>
      </c>
      <c r="AW250" s="667">
        <f t="shared" si="339"/>
        <v>305.5546593471463</v>
      </c>
      <c r="AX250" s="667">
        <f t="shared" si="339"/>
        <v>383.73436555047829</v>
      </c>
      <c r="AY250" s="667">
        <f t="shared" si="339"/>
        <v>329.24935061177405</v>
      </c>
      <c r="AZ250" s="667">
        <f t="shared" si="339"/>
        <v>411.36066062623706</v>
      </c>
      <c r="BA250" s="659"/>
      <c r="BB250" s="659"/>
      <c r="BC250" s="659"/>
      <c r="BD250" s="659"/>
      <c r="BE250" s="659"/>
      <c r="BF250" s="659"/>
      <c r="BG250" s="659"/>
      <c r="BH250" s="573"/>
      <c r="BI250" s="768"/>
      <c r="BJ250" s="316"/>
      <c r="BK250" s="316"/>
      <c r="BL250" s="316"/>
      <c r="BM250" s="316"/>
      <c r="BN250" s="316"/>
      <c r="BO250" s="316"/>
      <c r="BP250" s="316">
        <f t="shared" si="322"/>
        <v>164.44899999999993</v>
      </c>
      <c r="BQ250" s="316">
        <f t="shared" si="323"/>
        <v>205.04700000000014</v>
      </c>
      <c r="BR250" s="316">
        <f t="shared" si="324"/>
        <v>234.41200000000006</v>
      </c>
      <c r="BS250" s="316">
        <f t="shared" si="336"/>
        <v>367.19100000000014</v>
      </c>
      <c r="BT250" s="316">
        <f t="shared" si="325"/>
        <v>452.9989999999998</v>
      </c>
      <c r="BU250" s="461">
        <f t="shared" si="326"/>
        <v>520.27299999999991</v>
      </c>
      <c r="BV250" s="196">
        <f t="shared" si="327"/>
        <v>561.18148551626973</v>
      </c>
      <c r="BW250" s="196">
        <f t="shared" si="328"/>
        <v>594.58687792009971</v>
      </c>
      <c r="BX250" s="196">
        <f t="shared" si="329"/>
        <v>641.2581828085182</v>
      </c>
      <c r="BY250" s="196">
        <f t="shared" si="330"/>
        <v>689.28902489762459</v>
      </c>
      <c r="BZ250" s="196">
        <f t="shared" si="331"/>
        <v>740.61001123801111</v>
      </c>
      <c r="CB250" s="23" t="s">
        <v>609</v>
      </c>
      <c r="DS250" s="196">
        <f t="shared" si="332"/>
        <v>0</v>
      </c>
    </row>
    <row r="251" spans="1:123">
      <c r="A251" s="57" t="s">
        <v>529</v>
      </c>
      <c r="B251" s="61" t="s">
        <v>364</v>
      </c>
      <c r="C251" s="58"/>
      <c r="D251" s="58"/>
      <c r="E251" s="58"/>
      <c r="F251" s="58"/>
      <c r="G251" s="23"/>
      <c r="H251" s="606"/>
      <c r="I251" s="606"/>
      <c r="J251" s="606"/>
      <c r="K251" s="607"/>
      <c r="L251" s="606"/>
      <c r="M251" s="606"/>
      <c r="N251" s="606"/>
      <c r="O251" s="606"/>
      <c r="P251" s="624"/>
      <c r="Q251" s="624"/>
      <c r="R251" s="624"/>
      <c r="S251" s="624"/>
      <c r="T251" s="624"/>
      <c r="U251" s="625"/>
      <c r="V251" s="625"/>
      <c r="W251" s="625"/>
      <c r="X251" s="625"/>
      <c r="Y251" s="658"/>
      <c r="Z251" s="658"/>
      <c r="AA251" s="658"/>
      <c r="AB251" s="658"/>
      <c r="AC251" s="658"/>
      <c r="AD251" s="658"/>
      <c r="AE251" s="658">
        <f>AE199</f>
        <v>-4.5220000000000002</v>
      </c>
      <c r="AF251" s="658">
        <f t="shared" ref="AF251:AZ251" si="340">AF199</f>
        <v>-6.87</v>
      </c>
      <c r="AG251" s="658">
        <f t="shared" si="340"/>
        <v>-5.1719999999999997</v>
      </c>
      <c r="AH251" s="658">
        <f t="shared" si="340"/>
        <v>-6.0399999999999991</v>
      </c>
      <c r="AI251" s="658">
        <f t="shared" si="340"/>
        <v>-9.3760000000000012</v>
      </c>
      <c r="AJ251" s="658">
        <f t="shared" si="340"/>
        <v>-8.6080000000000005</v>
      </c>
      <c r="AK251" s="658">
        <f t="shared" si="340"/>
        <v>-11.876999999999999</v>
      </c>
      <c r="AL251" s="658">
        <f t="shared" si="340"/>
        <v>-11.112000000000002</v>
      </c>
      <c r="AM251" s="658">
        <f t="shared" si="340"/>
        <v>-13.403</v>
      </c>
      <c r="AN251" s="658">
        <f t="shared" si="340"/>
        <v>-9.2059999999999995</v>
      </c>
      <c r="AO251" s="658">
        <f t="shared" si="340"/>
        <v>-13.956999999999999</v>
      </c>
      <c r="AP251" s="657">
        <f t="shared" si="340"/>
        <v>-9.7540000000000013</v>
      </c>
      <c r="AQ251" s="658">
        <f t="shared" si="340"/>
        <v>-14.276300000000001</v>
      </c>
      <c r="AR251" s="658">
        <f t="shared" si="340"/>
        <v>-9.2007800000000017</v>
      </c>
      <c r="AS251" s="658">
        <f t="shared" si="340"/>
        <v>-14.593826000000002</v>
      </c>
      <c r="AT251" s="658">
        <f t="shared" si="340"/>
        <v>-9.4167956000000022</v>
      </c>
      <c r="AU251" s="658">
        <f t="shared" si="340"/>
        <v>-14.917702520000001</v>
      </c>
      <c r="AV251" s="658">
        <f t="shared" si="340"/>
        <v>-9.6371315120000016</v>
      </c>
      <c r="AW251" s="658">
        <f t="shared" si="340"/>
        <v>-15.248056570400001</v>
      </c>
      <c r="AX251" s="658">
        <f t="shared" si="340"/>
        <v>-9.8618741422400014</v>
      </c>
      <c r="AY251" s="658">
        <f t="shared" si="340"/>
        <v>-15.585017701808001</v>
      </c>
      <c r="AZ251" s="658">
        <f t="shared" si="340"/>
        <v>-10.091111625084801</v>
      </c>
      <c r="BA251" s="659"/>
      <c r="BB251" s="659"/>
      <c r="BC251" s="659"/>
      <c r="BD251" s="659"/>
      <c r="BE251" s="659"/>
      <c r="BF251" s="659"/>
      <c r="BG251" s="659"/>
      <c r="BH251" s="573"/>
      <c r="BI251" s="768"/>
      <c r="BJ251" s="316"/>
      <c r="BK251" s="316"/>
      <c r="BL251" s="316"/>
      <c r="BM251" s="316"/>
      <c r="BN251" s="316"/>
      <c r="BO251" s="316"/>
      <c r="BP251" s="316">
        <f t="shared" si="322"/>
        <v>-11.391999999999999</v>
      </c>
      <c r="BQ251" s="316">
        <f t="shared" si="323"/>
        <v>-11.212</v>
      </c>
      <c r="BR251" s="316">
        <f t="shared" si="324"/>
        <v>-17.984000000000002</v>
      </c>
      <c r="BS251" s="316">
        <f t="shared" si="336"/>
        <v>-22.989000000000001</v>
      </c>
      <c r="BT251" s="316">
        <f t="shared" si="325"/>
        <v>-22.609000000000002</v>
      </c>
      <c r="BU251" s="461">
        <f t="shared" si="326"/>
        <v>-23.710999999999999</v>
      </c>
      <c r="BV251" s="196">
        <f t="shared" si="327"/>
        <v>-23.477080000000001</v>
      </c>
      <c r="BW251" s="196">
        <f t="shared" si="328"/>
        <v>-24.010621600000004</v>
      </c>
      <c r="BX251" s="196">
        <f t="shared" si="329"/>
        <v>-24.554834032000002</v>
      </c>
      <c r="BY251" s="196">
        <f t="shared" si="330"/>
        <v>-25.109930712640001</v>
      </c>
      <c r="BZ251" s="196">
        <f t="shared" si="331"/>
        <v>-25.676129326892802</v>
      </c>
      <c r="CB251" s="23" t="s">
        <v>609</v>
      </c>
      <c r="DS251" s="196">
        <f t="shared" si="332"/>
        <v>0</v>
      </c>
    </row>
    <row r="252" spans="1:123" s="28" customFormat="1">
      <c r="A252" s="57" t="s">
        <v>530</v>
      </c>
      <c r="B252" s="60" t="s">
        <v>359</v>
      </c>
      <c r="C252" s="91"/>
      <c r="D252" s="91"/>
      <c r="E252" s="91"/>
      <c r="F252" s="91"/>
      <c r="H252" s="617"/>
      <c r="I252" s="617"/>
      <c r="J252" s="617"/>
      <c r="K252" s="618"/>
      <c r="L252" s="617"/>
      <c r="M252" s="617"/>
      <c r="N252" s="617"/>
      <c r="O252" s="617"/>
      <c r="P252" s="619"/>
      <c r="Q252" s="619"/>
      <c r="R252" s="619"/>
      <c r="S252" s="619"/>
      <c r="T252" s="619"/>
      <c r="U252" s="620"/>
      <c r="V252" s="620"/>
      <c r="W252" s="620"/>
      <c r="X252" s="620"/>
      <c r="Y252" s="667"/>
      <c r="Z252" s="667"/>
      <c r="AA252" s="667"/>
      <c r="AB252" s="667"/>
      <c r="AC252" s="667"/>
      <c r="AD252" s="667"/>
      <c r="AE252" s="667">
        <f>AE250+AE251</f>
        <v>62.770999999999979</v>
      </c>
      <c r="AF252" s="667">
        <f t="shared" ref="AF252:AP252" si="341">AF250+AF251</f>
        <v>90.285999999999945</v>
      </c>
      <c r="AG252" s="667">
        <f t="shared" si="341"/>
        <v>90.823000000000093</v>
      </c>
      <c r="AH252" s="667">
        <f t="shared" si="341"/>
        <v>103.01200000000006</v>
      </c>
      <c r="AI252" s="667">
        <f t="shared" si="341"/>
        <v>92.795000000000016</v>
      </c>
      <c r="AJ252" s="667">
        <f t="shared" si="341"/>
        <v>123.63300000000004</v>
      </c>
      <c r="AK252" s="667">
        <f t="shared" si="341"/>
        <v>133.99800000000005</v>
      </c>
      <c r="AL252" s="667">
        <f t="shared" si="341"/>
        <v>210.20400000000009</v>
      </c>
      <c r="AM252" s="667">
        <f t="shared" si="341"/>
        <v>193.49199999999988</v>
      </c>
      <c r="AN252" s="667">
        <f t="shared" si="341"/>
        <v>236.89799999999994</v>
      </c>
      <c r="AO252" s="667">
        <f t="shared" si="341"/>
        <v>214.34100000000007</v>
      </c>
      <c r="AP252" s="666">
        <f t="shared" si="341"/>
        <v>282.22099999999983</v>
      </c>
      <c r="AQ252" s="667">
        <f t="shared" ref="AQ252:AZ252" si="342">SUM(AQ250:AQ251)</f>
        <v>233.8566655162698</v>
      </c>
      <c r="AR252" s="667">
        <f t="shared" si="342"/>
        <v>303.84773999999993</v>
      </c>
      <c r="AS252" s="667">
        <f t="shared" si="342"/>
        <v>246.40456045759962</v>
      </c>
      <c r="AT252" s="667">
        <f t="shared" si="342"/>
        <v>324.17169586250009</v>
      </c>
      <c r="AU252" s="667">
        <f t="shared" si="342"/>
        <v>268.49485264076208</v>
      </c>
      <c r="AV252" s="667">
        <f t="shared" si="342"/>
        <v>348.20849613575615</v>
      </c>
      <c r="AW252" s="667">
        <f t="shared" si="342"/>
        <v>290.30660277674627</v>
      </c>
      <c r="AX252" s="667">
        <f t="shared" si="342"/>
        <v>373.87249140823826</v>
      </c>
      <c r="AY252" s="667">
        <f t="shared" si="342"/>
        <v>313.66433290996605</v>
      </c>
      <c r="AZ252" s="667">
        <f t="shared" si="342"/>
        <v>401.26954900115226</v>
      </c>
      <c r="BA252" s="668"/>
      <c r="BB252" s="668"/>
      <c r="BC252" s="668"/>
      <c r="BD252" s="668"/>
      <c r="BE252" s="668"/>
      <c r="BF252" s="668"/>
      <c r="BG252" s="668"/>
      <c r="BH252" s="598"/>
      <c r="BI252" s="775"/>
      <c r="BJ252" s="317"/>
      <c r="BK252" s="317"/>
      <c r="BL252" s="317"/>
      <c r="BM252" s="317"/>
      <c r="BN252" s="317"/>
      <c r="BO252" s="317"/>
      <c r="BP252" s="317">
        <f t="shared" si="322"/>
        <v>153.05699999999993</v>
      </c>
      <c r="BQ252" s="317">
        <f t="shared" si="323"/>
        <v>193.83500000000015</v>
      </c>
      <c r="BR252" s="317">
        <f t="shared" si="324"/>
        <v>216.42800000000005</v>
      </c>
      <c r="BS252" s="317">
        <f t="shared" si="336"/>
        <v>344.20200000000011</v>
      </c>
      <c r="BT252" s="317">
        <f t="shared" si="325"/>
        <v>430.38999999999982</v>
      </c>
      <c r="BU252" s="501">
        <f t="shared" si="326"/>
        <v>496.5619999999999</v>
      </c>
      <c r="BV252" s="198">
        <f t="shared" si="327"/>
        <v>537.70440551626973</v>
      </c>
      <c r="BW252" s="198">
        <f t="shared" si="328"/>
        <v>570.57625632009967</v>
      </c>
      <c r="BX252" s="198">
        <f t="shared" si="329"/>
        <v>616.70334877651817</v>
      </c>
      <c r="BY252" s="198">
        <f t="shared" si="330"/>
        <v>664.17909418498448</v>
      </c>
      <c r="BZ252" s="198">
        <f t="shared" si="331"/>
        <v>714.93388191111831</v>
      </c>
      <c r="CB252" s="23" t="s">
        <v>609</v>
      </c>
      <c r="DS252" s="198">
        <f t="shared" si="332"/>
        <v>0</v>
      </c>
    </row>
    <row r="253" spans="1:123">
      <c r="A253" s="57" t="s">
        <v>531</v>
      </c>
      <c r="B253" s="61" t="s">
        <v>360</v>
      </c>
      <c r="C253" s="58"/>
      <c r="D253" s="58"/>
      <c r="E253" s="58"/>
      <c r="F253" s="58"/>
      <c r="G253" s="23"/>
      <c r="H253" s="606"/>
      <c r="I253" s="606"/>
      <c r="J253" s="606"/>
      <c r="K253" s="607"/>
      <c r="L253" s="606"/>
      <c r="M253" s="606"/>
      <c r="N253" s="606"/>
      <c r="O253" s="606"/>
      <c r="P253" s="624"/>
      <c r="Q253" s="624"/>
      <c r="R253" s="624"/>
      <c r="S253" s="624"/>
      <c r="T253" s="624"/>
      <c r="U253" s="625"/>
      <c r="V253" s="625"/>
      <c r="W253" s="625"/>
      <c r="X253" s="625"/>
      <c r="Y253" s="658"/>
      <c r="Z253" s="658"/>
      <c r="AA253" s="658"/>
      <c r="AB253" s="658"/>
      <c r="AC253" s="658"/>
      <c r="AD253" s="658"/>
      <c r="AE253" s="658">
        <f t="shared" ref="AE253:AP253" si="343">AE254-AE252</f>
        <v>-7.2889999999999873</v>
      </c>
      <c r="AF253" s="658">
        <f t="shared" si="343"/>
        <v>-5.8209999999999269</v>
      </c>
      <c r="AG253" s="658">
        <f t="shared" si="343"/>
        <v>-6.1510000000000957</v>
      </c>
      <c r="AH253" s="658">
        <f t="shared" si="343"/>
        <v>-5.2000000000000455</v>
      </c>
      <c r="AI253" s="658">
        <f t="shared" si="343"/>
        <v>-4.9190000000000111</v>
      </c>
      <c r="AJ253" s="658">
        <f t="shared" si="343"/>
        <v>-4.7320000000000562</v>
      </c>
      <c r="AK253" s="658">
        <f t="shared" si="343"/>
        <v>-15.676000000000045</v>
      </c>
      <c r="AL253" s="658">
        <f t="shared" si="343"/>
        <v>-31.752000000000095</v>
      </c>
      <c r="AM253" s="658">
        <f t="shared" si="343"/>
        <v>-30.165999999999883</v>
      </c>
      <c r="AN253" s="658">
        <f t="shared" si="343"/>
        <v>-28.768999999999949</v>
      </c>
      <c r="AO253" s="658">
        <f t="shared" si="343"/>
        <v>-28.638000000000062</v>
      </c>
      <c r="AP253" s="657">
        <f t="shared" si="343"/>
        <v>-30.846999999999809</v>
      </c>
      <c r="AQ253" s="658">
        <f t="shared" ref="AQ253:AZ253" si="344">AQ190+AQ152+AQ127+AQ90+AQ48</f>
        <v>-32.016999999999996</v>
      </c>
      <c r="AR253" s="658">
        <f t="shared" si="344"/>
        <v>-32.016999999999996</v>
      </c>
      <c r="AS253" s="658">
        <f t="shared" si="344"/>
        <v>-31.516999999999996</v>
      </c>
      <c r="AT253" s="658">
        <f t="shared" si="344"/>
        <v>-31.516999999999996</v>
      </c>
      <c r="AU253" s="658">
        <f t="shared" si="344"/>
        <v>-31.516999999999996</v>
      </c>
      <c r="AV253" s="658">
        <f t="shared" si="344"/>
        <v>-31.516999999999996</v>
      </c>
      <c r="AW253" s="658">
        <f t="shared" si="344"/>
        <v>-31.516999999999996</v>
      </c>
      <c r="AX253" s="658">
        <f t="shared" si="344"/>
        <v>-31.516999999999996</v>
      </c>
      <c r="AY253" s="658">
        <f t="shared" si="344"/>
        <v>-31.516999999999996</v>
      </c>
      <c r="AZ253" s="658">
        <f t="shared" si="344"/>
        <v>-31.516999999999996</v>
      </c>
      <c r="BA253" s="659"/>
      <c r="BB253" s="659"/>
      <c r="BC253" s="659"/>
      <c r="BD253" s="659"/>
      <c r="BE253" s="659"/>
      <c r="BF253" s="659"/>
      <c r="BG253" s="659"/>
      <c r="BH253" s="573"/>
      <c r="BI253" s="768"/>
      <c r="BJ253" s="316"/>
      <c r="BK253" s="316"/>
      <c r="BL253" s="316"/>
      <c r="BM253" s="316"/>
      <c r="BN253" s="316"/>
      <c r="BO253" s="316"/>
      <c r="BP253" s="316">
        <f t="shared" si="322"/>
        <v>-13.109999999999914</v>
      </c>
      <c r="BQ253" s="316">
        <f t="shared" si="323"/>
        <v>-11.351000000000141</v>
      </c>
      <c r="BR253" s="316">
        <f t="shared" si="324"/>
        <v>-9.6510000000000673</v>
      </c>
      <c r="BS253" s="316">
        <f t="shared" si="336"/>
        <v>-47.428000000000139</v>
      </c>
      <c r="BT253" s="316">
        <f t="shared" si="325"/>
        <v>-58.934999999999832</v>
      </c>
      <c r="BU253" s="461">
        <f t="shared" si="326"/>
        <v>-59.484999999999872</v>
      </c>
      <c r="BV253" s="196">
        <f t="shared" si="327"/>
        <v>-64.033999999999992</v>
      </c>
      <c r="BW253" s="196">
        <f t="shared" si="328"/>
        <v>-63.033999999999992</v>
      </c>
      <c r="BX253" s="196">
        <f t="shared" si="329"/>
        <v>-63.033999999999992</v>
      </c>
      <c r="BY253" s="196">
        <f t="shared" si="330"/>
        <v>-63.033999999999992</v>
      </c>
      <c r="BZ253" s="196">
        <f t="shared" si="331"/>
        <v>-63.033999999999992</v>
      </c>
      <c r="CB253" s="23" t="s">
        <v>609</v>
      </c>
      <c r="DS253" s="196">
        <f t="shared" si="332"/>
        <v>0</v>
      </c>
    </row>
    <row r="254" spans="1:123" s="28" customFormat="1">
      <c r="A254" s="57" t="s">
        <v>508</v>
      </c>
      <c r="B254" s="60" t="s">
        <v>509</v>
      </c>
      <c r="C254" s="91"/>
      <c r="D254" s="91"/>
      <c r="E254" s="91"/>
      <c r="F254" s="91"/>
      <c r="H254" s="617"/>
      <c r="I254" s="617"/>
      <c r="J254" s="617"/>
      <c r="K254" s="618"/>
      <c r="L254" s="617"/>
      <c r="M254" s="617"/>
      <c r="N254" s="617"/>
      <c r="O254" s="617"/>
      <c r="P254" s="619"/>
      <c r="Q254" s="619"/>
      <c r="R254" s="619"/>
      <c r="S254" s="619"/>
      <c r="T254" s="619"/>
      <c r="U254" s="620"/>
      <c r="V254" s="620"/>
      <c r="W254" s="620"/>
      <c r="X254" s="620"/>
      <c r="Y254" s="665">
        <v>45.11</v>
      </c>
      <c r="Z254" s="665">
        <v>70.742000000000004</v>
      </c>
      <c r="AA254" s="665">
        <v>49.357999999999997</v>
      </c>
      <c r="AB254" s="665">
        <v>75.643000000000001</v>
      </c>
      <c r="AC254" s="665">
        <v>51.137999999999998</v>
      </c>
      <c r="AD254" s="665">
        <v>72.174999999999997</v>
      </c>
      <c r="AE254" s="667">
        <f t="shared" ref="AE254:AP254" si="345">AE256-AE255</f>
        <v>55.481999999999992</v>
      </c>
      <c r="AF254" s="667">
        <f t="shared" si="345"/>
        <v>84.465000000000018</v>
      </c>
      <c r="AG254" s="667">
        <f t="shared" si="345"/>
        <v>84.671999999999997</v>
      </c>
      <c r="AH254" s="667">
        <f t="shared" si="345"/>
        <v>97.812000000000012</v>
      </c>
      <c r="AI254" s="667">
        <f t="shared" si="345"/>
        <v>87.876000000000005</v>
      </c>
      <c r="AJ254" s="667">
        <f t="shared" si="345"/>
        <v>118.90099999999998</v>
      </c>
      <c r="AK254" s="667">
        <f t="shared" si="345"/>
        <v>118.322</v>
      </c>
      <c r="AL254" s="667">
        <f t="shared" si="345"/>
        <v>178.452</v>
      </c>
      <c r="AM254" s="667">
        <f t="shared" si="345"/>
        <v>163.32599999999999</v>
      </c>
      <c r="AN254" s="667">
        <f t="shared" si="345"/>
        <v>208.12899999999999</v>
      </c>
      <c r="AO254" s="667">
        <f t="shared" si="345"/>
        <v>185.703</v>
      </c>
      <c r="AP254" s="666">
        <f t="shared" si="345"/>
        <v>251.37400000000002</v>
      </c>
      <c r="AQ254" s="667">
        <f t="shared" ref="AQ254:AT254" si="346">SUM(AQ252:AQ253)</f>
        <v>201.8396655162698</v>
      </c>
      <c r="AR254" s="667">
        <f t="shared" si="346"/>
        <v>271.83073999999993</v>
      </c>
      <c r="AS254" s="667">
        <f t="shared" si="346"/>
        <v>214.88756045759962</v>
      </c>
      <c r="AT254" s="667">
        <f t="shared" si="346"/>
        <v>292.65469586250009</v>
      </c>
      <c r="AU254" s="667">
        <f t="shared" ref="AU254:AZ254" si="347">SUM(AU252:AU253)</f>
        <v>236.97785264076208</v>
      </c>
      <c r="AV254" s="667">
        <f t="shared" si="347"/>
        <v>316.69149613575615</v>
      </c>
      <c r="AW254" s="667">
        <f t="shared" si="347"/>
        <v>258.78960277674628</v>
      </c>
      <c r="AX254" s="667">
        <f t="shared" si="347"/>
        <v>342.35549140823827</v>
      </c>
      <c r="AY254" s="667">
        <f t="shared" si="347"/>
        <v>282.14733290996605</v>
      </c>
      <c r="AZ254" s="667">
        <f t="shared" si="347"/>
        <v>369.75254900115226</v>
      </c>
      <c r="BA254" s="668"/>
      <c r="BB254" s="668"/>
      <c r="BC254" s="668"/>
      <c r="BD254" s="668"/>
      <c r="BE254" s="668"/>
      <c r="BF254" s="668"/>
      <c r="BG254" s="668"/>
      <c r="BH254" s="598"/>
      <c r="BI254" s="775"/>
      <c r="BJ254" s="317"/>
      <c r="BK254" s="317"/>
      <c r="BL254" s="317"/>
      <c r="BM254" s="317">
        <f>SUM(Y254:Z254)</f>
        <v>115.852</v>
      </c>
      <c r="BN254" s="317">
        <f>SUM(AA254:AB254)</f>
        <v>125.001</v>
      </c>
      <c r="BO254" s="317">
        <f>SUM(AC254:AD254)</f>
        <v>123.31299999999999</v>
      </c>
      <c r="BP254" s="317">
        <f t="shared" si="322"/>
        <v>139.947</v>
      </c>
      <c r="BQ254" s="317">
        <f t="shared" si="323"/>
        <v>182.48400000000001</v>
      </c>
      <c r="BR254" s="317">
        <f t="shared" si="324"/>
        <v>206.77699999999999</v>
      </c>
      <c r="BS254" s="317">
        <f t="shared" si="336"/>
        <v>296.774</v>
      </c>
      <c r="BT254" s="317">
        <f t="shared" si="325"/>
        <v>371.45499999999998</v>
      </c>
      <c r="BU254" s="501">
        <f t="shared" si="326"/>
        <v>437.077</v>
      </c>
      <c r="BV254" s="198">
        <f t="shared" si="327"/>
        <v>473.67040551626974</v>
      </c>
      <c r="BW254" s="198">
        <f t="shared" si="328"/>
        <v>507.54225632009968</v>
      </c>
      <c r="BX254" s="198">
        <f t="shared" si="329"/>
        <v>553.66934877651829</v>
      </c>
      <c r="BY254" s="198">
        <f t="shared" si="330"/>
        <v>601.1450941849846</v>
      </c>
      <c r="BZ254" s="198">
        <f t="shared" si="331"/>
        <v>651.89988191111831</v>
      </c>
      <c r="CB254" s="23" t="s">
        <v>609</v>
      </c>
      <c r="DS254" s="198">
        <f t="shared" si="332"/>
        <v>0</v>
      </c>
    </row>
    <row r="255" spans="1:123">
      <c r="A255" s="57" t="s">
        <v>507</v>
      </c>
      <c r="B255" s="61" t="s">
        <v>361</v>
      </c>
      <c r="C255" s="58"/>
      <c r="D255" s="58"/>
      <c r="E255" s="58"/>
      <c r="F255" s="58"/>
      <c r="G255" s="23"/>
      <c r="H255" s="606"/>
      <c r="I255" s="606"/>
      <c r="J255" s="606"/>
      <c r="K255" s="607"/>
      <c r="L255" s="606"/>
      <c r="M255" s="606"/>
      <c r="N255" s="606"/>
      <c r="O255" s="606"/>
      <c r="P255" s="624"/>
      <c r="Q255" s="624"/>
      <c r="R255" s="624"/>
      <c r="S255" s="624"/>
      <c r="T255" s="624"/>
      <c r="U255" s="625"/>
      <c r="V255" s="625"/>
      <c r="W255" s="625"/>
      <c r="X255" s="625"/>
      <c r="Y255" s="656">
        <v>-23.927</v>
      </c>
      <c r="Z255" s="656">
        <v>-34.484000000000002</v>
      </c>
      <c r="AA255" s="665">
        <v>-26.364000000000001</v>
      </c>
      <c r="AB255" s="665">
        <v>-35.779000000000003</v>
      </c>
      <c r="AC255" s="665">
        <v>-26.824999999999999</v>
      </c>
      <c r="AD255" s="665">
        <v>-29.177</v>
      </c>
      <c r="AE255" s="168">
        <f t="shared" ref="AE255:AJ255" si="348">AE154+AE211+AE129+AE92+AE50</f>
        <v>-25.039999999999996</v>
      </c>
      <c r="AF255" s="168">
        <f t="shared" si="348"/>
        <v>-38.670999999999992</v>
      </c>
      <c r="AG255" s="168">
        <f t="shared" si="348"/>
        <v>-40.924999999999997</v>
      </c>
      <c r="AH255" s="168">
        <f t="shared" si="348"/>
        <v>-47.161000000000008</v>
      </c>
      <c r="AI255" s="168">
        <f t="shared" si="348"/>
        <v>-43.96200000000001</v>
      </c>
      <c r="AJ255" s="168">
        <f t="shared" si="348"/>
        <v>-56.727999999999994</v>
      </c>
      <c r="AK255" s="168">
        <f t="shared" ref="AK255:AZ255" si="349">AK154+AK211+AK129+AK92+AK50+AK228-AK225</f>
        <v>-52.373999999999988</v>
      </c>
      <c r="AL255" s="168">
        <f t="shared" si="349"/>
        <v>-63.755800000000015</v>
      </c>
      <c r="AM255" s="168">
        <f t="shared" si="349"/>
        <v>-62.332999999999991</v>
      </c>
      <c r="AN255" s="168">
        <f t="shared" si="349"/>
        <v>-69.096000000000004</v>
      </c>
      <c r="AO255" s="168">
        <f t="shared" si="349"/>
        <v>-71.356000000000009</v>
      </c>
      <c r="AP255" s="302">
        <f t="shared" si="349"/>
        <v>-81.796000000000006</v>
      </c>
      <c r="AQ255" s="168">
        <f t="shared" si="349"/>
        <v>-75.531281835856817</v>
      </c>
      <c r="AR255" s="168">
        <f t="shared" si="349"/>
        <v>-88.177241721569601</v>
      </c>
      <c r="AS255" s="168">
        <f t="shared" si="349"/>
        <v>-79.852997412600459</v>
      </c>
      <c r="AT255" s="168">
        <f t="shared" si="349"/>
        <v>-94.020610661288359</v>
      </c>
      <c r="AU255" s="168">
        <f t="shared" si="349"/>
        <v>-86.822707476738799</v>
      </c>
      <c r="AV255" s="168">
        <f t="shared" si="349"/>
        <v>-102.01857740635229</v>
      </c>
      <c r="AW255" s="168">
        <f t="shared" si="349"/>
        <v>-94.385444244187738</v>
      </c>
      <c r="AX255" s="168">
        <f t="shared" si="349"/>
        <v>-110.58295602701949</v>
      </c>
      <c r="AY255" s="168">
        <f t="shared" si="349"/>
        <v>-102.49564389853248</v>
      </c>
      <c r="AZ255" s="168">
        <f t="shared" si="349"/>
        <v>-119.7514983533718</v>
      </c>
      <c r="BA255" s="659"/>
      <c r="BB255" s="659"/>
      <c r="BC255" s="659"/>
      <c r="BD255" s="659"/>
      <c r="BE255" s="659"/>
      <c r="BF255" s="659"/>
      <c r="BG255" s="659"/>
      <c r="BH255" s="573"/>
      <c r="BI255" s="768"/>
      <c r="BJ255" s="316"/>
      <c r="BK255" s="316"/>
      <c r="BL255" s="316"/>
      <c r="BM255" s="317">
        <f>SUM(Y255:Z255)</f>
        <v>-58.411000000000001</v>
      </c>
      <c r="BN255" s="317">
        <f>SUM(AA255:AB255)</f>
        <v>-62.143000000000001</v>
      </c>
      <c r="BO255" s="317">
        <f>SUM(AC255:AD255)</f>
        <v>-56.001999999999995</v>
      </c>
      <c r="BP255" s="316">
        <f t="shared" si="322"/>
        <v>-63.710999999999984</v>
      </c>
      <c r="BQ255" s="316">
        <f t="shared" si="323"/>
        <v>-88.086000000000013</v>
      </c>
      <c r="BR255" s="316">
        <f t="shared" si="324"/>
        <v>-100.69</v>
      </c>
      <c r="BS255" s="316">
        <f t="shared" si="336"/>
        <v>-116.1298</v>
      </c>
      <c r="BT255" s="316">
        <f t="shared" si="325"/>
        <v>-131.429</v>
      </c>
      <c r="BU255" s="461">
        <f t="shared" si="326"/>
        <v>-153.15200000000002</v>
      </c>
      <c r="BV255" s="196">
        <f t="shared" si="327"/>
        <v>-163.70852355742642</v>
      </c>
      <c r="BW255" s="196">
        <f t="shared" si="328"/>
        <v>-173.87360807388882</v>
      </c>
      <c r="BX255" s="196">
        <f t="shared" si="329"/>
        <v>-188.84128488309108</v>
      </c>
      <c r="BY255" s="196">
        <f t="shared" si="330"/>
        <v>-204.96840027120723</v>
      </c>
      <c r="BZ255" s="196">
        <f t="shared" si="331"/>
        <v>-222.24714225190428</v>
      </c>
      <c r="CB255" s="23" t="s">
        <v>609</v>
      </c>
      <c r="DS255" s="196">
        <f t="shared" si="332"/>
        <v>0</v>
      </c>
    </row>
    <row r="256" spans="1:123" s="209" customFormat="1">
      <c r="A256" s="57" t="s">
        <v>510</v>
      </c>
      <c r="B256" s="60" t="s">
        <v>295</v>
      </c>
      <c r="C256" s="91"/>
      <c r="D256" s="91"/>
      <c r="E256" s="91"/>
      <c r="F256" s="91"/>
      <c r="G256" s="28"/>
      <c r="H256" s="617"/>
      <c r="I256" s="617"/>
      <c r="J256" s="617"/>
      <c r="K256" s="618"/>
      <c r="L256" s="617"/>
      <c r="M256" s="617"/>
      <c r="N256" s="617"/>
      <c r="O256" s="617"/>
      <c r="P256" s="619"/>
      <c r="Q256" s="619"/>
      <c r="R256" s="619"/>
      <c r="S256" s="619"/>
      <c r="T256" s="619"/>
      <c r="U256" s="620"/>
      <c r="V256" s="620"/>
      <c r="W256" s="620"/>
      <c r="X256" s="620"/>
      <c r="Y256" s="667">
        <f>Y51+Y93+Y130+Y155+Y192+Y212</f>
        <v>21.183</v>
      </c>
      <c r="Z256" s="183">
        <f>BM256-Y256</f>
        <v>36.256000000000007</v>
      </c>
      <c r="AA256" s="667">
        <f>AA51+AA93+AA130+AA155+AA192+AA212</f>
        <v>22.993999999999996</v>
      </c>
      <c r="AB256" s="183">
        <f>BN256-AA256</f>
        <v>39.864000000000004</v>
      </c>
      <c r="AC256" s="667">
        <f>AC51+AC93+AC130+AC155+AC192+AC212</f>
        <v>24.314</v>
      </c>
      <c r="AD256" s="183">
        <f>BO256-AC256</f>
        <v>42.997999999999998</v>
      </c>
      <c r="AE256" s="667">
        <f>AE51+AE93+AE130+AE155+AE192+AE212</f>
        <v>30.441999999999997</v>
      </c>
      <c r="AF256" s="183">
        <f>BP256-AE256</f>
        <v>45.794000000000025</v>
      </c>
      <c r="AG256" s="667">
        <f>AG51+AG93+AG130+AG155+AG192+AG212</f>
        <v>43.747</v>
      </c>
      <c r="AH256" s="183">
        <f>BQ256-AG256</f>
        <v>50.650999999999996</v>
      </c>
      <c r="AI256" s="667">
        <f>AI51+AI93+AI130+AI155+AI192</f>
        <v>43.913999999999994</v>
      </c>
      <c r="AJ256" s="183">
        <f>BR256-AI256</f>
        <v>62.172999999999995</v>
      </c>
      <c r="AK256" s="667">
        <f t="shared" ref="AK256:AP256" si="350">AK51+AK93+AK130+AK155+AK192+AK228</f>
        <v>65.948000000000008</v>
      </c>
      <c r="AL256" s="667">
        <f t="shared" si="350"/>
        <v>114.69619999999998</v>
      </c>
      <c r="AM256" s="667">
        <f t="shared" si="350"/>
        <v>100.99299999999999</v>
      </c>
      <c r="AN256" s="667">
        <f t="shared" si="350"/>
        <v>139.03299999999999</v>
      </c>
      <c r="AO256" s="667">
        <f t="shared" si="350"/>
        <v>114.34699999999999</v>
      </c>
      <c r="AP256" s="666">
        <f t="shared" si="350"/>
        <v>169.578</v>
      </c>
      <c r="AQ256" s="667">
        <f t="shared" ref="AQ256:AT256" si="351">SUM(AQ254:AQ255)</f>
        <v>126.30838368041299</v>
      </c>
      <c r="AR256" s="667">
        <f t="shared" si="351"/>
        <v>183.65349827843033</v>
      </c>
      <c r="AS256" s="667">
        <f t="shared" si="351"/>
        <v>135.03456304499917</v>
      </c>
      <c r="AT256" s="667">
        <f t="shared" si="351"/>
        <v>198.63408520121175</v>
      </c>
      <c r="AU256" s="667">
        <f t="shared" ref="AU256:AZ256" si="352">SUM(AU254:AU255)</f>
        <v>150.15514516402328</v>
      </c>
      <c r="AV256" s="667">
        <f t="shared" si="352"/>
        <v>214.67291872940388</v>
      </c>
      <c r="AW256" s="667">
        <f t="shared" si="352"/>
        <v>164.40415853255854</v>
      </c>
      <c r="AX256" s="667">
        <f t="shared" si="352"/>
        <v>231.77253538121877</v>
      </c>
      <c r="AY256" s="667">
        <f t="shared" si="352"/>
        <v>179.65168901143358</v>
      </c>
      <c r="AZ256" s="667">
        <f t="shared" si="352"/>
        <v>250.00105064778046</v>
      </c>
      <c r="BA256" s="668"/>
      <c r="BB256" s="668"/>
      <c r="BC256" s="668"/>
      <c r="BD256" s="668"/>
      <c r="BE256" s="668"/>
      <c r="BF256" s="668"/>
      <c r="BG256" s="668"/>
      <c r="BH256" s="598"/>
      <c r="BI256" s="775"/>
      <c r="BJ256" s="317"/>
      <c r="BK256" s="317"/>
      <c r="BL256" s="317"/>
      <c r="BM256" s="667">
        <f t="shared" ref="BM256:BR256" si="353">BM51+BM93+BM130+BM155+BM192+BM212</f>
        <v>57.439000000000007</v>
      </c>
      <c r="BN256" s="667">
        <f t="shared" si="353"/>
        <v>62.857999999999997</v>
      </c>
      <c r="BO256" s="667">
        <f t="shared" si="353"/>
        <v>67.311999999999998</v>
      </c>
      <c r="BP256" s="667">
        <f t="shared" si="353"/>
        <v>76.236000000000018</v>
      </c>
      <c r="BQ256" s="667">
        <f t="shared" si="353"/>
        <v>94.397999999999996</v>
      </c>
      <c r="BR256" s="667">
        <f t="shared" si="353"/>
        <v>106.08699999999999</v>
      </c>
      <c r="BS256" s="667">
        <f>BS51+BS93+BS130+BS155+BS192+BS212+BS228</f>
        <v>180.64419999999996</v>
      </c>
      <c r="BT256" s="667">
        <f t="shared" si="325"/>
        <v>240.02599999999998</v>
      </c>
      <c r="BU256" s="501">
        <f t="shared" si="326"/>
        <v>283.92500000000001</v>
      </c>
      <c r="BV256" s="198">
        <f t="shared" si="327"/>
        <v>309.96188195884332</v>
      </c>
      <c r="BW256" s="198">
        <f t="shared" si="328"/>
        <v>333.66864824621092</v>
      </c>
      <c r="BX256" s="198">
        <f t="shared" si="329"/>
        <v>364.82806389342716</v>
      </c>
      <c r="BY256" s="198">
        <f t="shared" si="330"/>
        <v>396.17669391377729</v>
      </c>
      <c r="BZ256" s="198">
        <f t="shared" si="331"/>
        <v>429.65273965921403</v>
      </c>
      <c r="CB256" s="23" t="s">
        <v>609</v>
      </c>
      <c r="DS256" s="198">
        <f t="shared" si="332"/>
        <v>0</v>
      </c>
    </row>
    <row r="257" spans="1:123" s="777" customFormat="1">
      <c r="A257" s="711" t="s">
        <v>532</v>
      </c>
      <c r="B257" s="704" t="s">
        <v>217</v>
      </c>
      <c r="C257" s="705"/>
      <c r="D257" s="705"/>
      <c r="E257" s="705"/>
      <c r="F257" s="705"/>
      <c r="G257" s="706"/>
      <c r="H257" s="707"/>
      <c r="I257" s="707"/>
      <c r="J257" s="707"/>
      <c r="K257" s="732"/>
      <c r="L257" s="707"/>
      <c r="M257" s="603"/>
      <c r="N257" s="603"/>
      <c r="O257" s="603"/>
      <c r="P257" s="603"/>
      <c r="Q257" s="603"/>
      <c r="R257" s="603"/>
      <c r="S257" s="603"/>
      <c r="T257" s="603"/>
      <c r="U257" s="603"/>
      <c r="V257" s="603"/>
      <c r="W257" s="603"/>
      <c r="X257" s="603"/>
      <c r="Y257" s="656">
        <v>-6.665</v>
      </c>
      <c r="Z257" s="566">
        <f>BM257-Y257</f>
        <v>-10.853000000000002</v>
      </c>
      <c r="AA257" s="656">
        <v>-7.0220000000000002</v>
      </c>
      <c r="AB257" s="566">
        <f>BN257-AA257</f>
        <v>-12.305999999999999</v>
      </c>
      <c r="AC257" s="656">
        <v>-7.4139999999999997</v>
      </c>
      <c r="AD257" s="566">
        <f>BO257-AC257</f>
        <v>-13.179</v>
      </c>
      <c r="AE257" s="656">
        <v>-9.359</v>
      </c>
      <c r="AF257" s="566">
        <f>BP257-AE257</f>
        <v>-13.725</v>
      </c>
      <c r="AG257" s="656">
        <v>-13.74</v>
      </c>
      <c r="AH257" s="566">
        <f>BQ257-AG257</f>
        <v>-15.357999999999999</v>
      </c>
      <c r="AI257" s="656">
        <v>-13.292999999999999</v>
      </c>
      <c r="AJ257" s="566">
        <f>BR257-AI257</f>
        <v>-18.774999999999999</v>
      </c>
      <c r="AK257" s="656">
        <v>-19.29</v>
      </c>
      <c r="AL257" s="656">
        <f>BS257-AK257</f>
        <v>-32.249000000000002</v>
      </c>
      <c r="AM257" s="656">
        <v>-30.791</v>
      </c>
      <c r="AN257" s="656">
        <f>BT257-AM257</f>
        <v>-38.22</v>
      </c>
      <c r="AO257" s="656">
        <v>-35.000999999999998</v>
      </c>
      <c r="AP257" s="774">
        <f>BU257-AO257</f>
        <v>-48.704000000000001</v>
      </c>
      <c r="AQ257" s="662">
        <f>-AQ18*(AQ51+AQ93+AQ130)+AQ226-0.28*AQ155-AQ192*0.3</f>
        <v>-35.616824015688195</v>
      </c>
      <c r="AR257" s="662">
        <f t="shared" ref="AR257:AZ257" si="354">-AR18*(AR51+AR93+AR130)+AR226-0.28*AR155-AR192*0.3</f>
        <v>-51.095936696464712</v>
      </c>
      <c r="AS257" s="662">
        <f t="shared" si="354"/>
        <v>-38.153120572676499</v>
      </c>
      <c r="AT257" s="662">
        <f t="shared" si="354"/>
        <v>-55.328115050527018</v>
      </c>
      <c r="AU257" s="662">
        <f t="shared" si="354"/>
        <v>-42.489156051769761</v>
      </c>
      <c r="AV257" s="662">
        <f t="shared" si="354"/>
        <v>-59.991740995344884</v>
      </c>
      <c r="AW257" s="662">
        <f t="shared" si="354"/>
        <v>-46.667797528810539</v>
      </c>
      <c r="AX257" s="662">
        <f t="shared" si="354"/>
        <v>-64.968292836727258</v>
      </c>
      <c r="AY257" s="662">
        <f t="shared" si="354"/>
        <v>-51.142273112864665</v>
      </c>
      <c r="AZ257" s="662">
        <f t="shared" si="354"/>
        <v>-70.27800560757359</v>
      </c>
      <c r="BA257" s="788"/>
      <c r="BB257" s="659"/>
      <c r="BC257" s="659"/>
      <c r="BD257" s="659"/>
      <c r="BE257" s="659"/>
      <c r="BF257" s="659"/>
      <c r="BG257" s="659"/>
      <c r="BH257" s="573"/>
      <c r="BI257" s="658"/>
      <c r="BJ257" s="658"/>
      <c r="BK257" s="658"/>
      <c r="BL257" s="658"/>
      <c r="BM257" s="656">
        <v>-17.518000000000001</v>
      </c>
      <c r="BN257" s="656">
        <v>-19.327999999999999</v>
      </c>
      <c r="BO257" s="656">
        <v>-20.593</v>
      </c>
      <c r="BP257" s="656">
        <v>-23.084</v>
      </c>
      <c r="BQ257" s="656">
        <v>-29.097999999999999</v>
      </c>
      <c r="BR257" s="656">
        <v>-32.067999999999998</v>
      </c>
      <c r="BS257" s="656">
        <v>-51.539000000000001</v>
      </c>
      <c r="BT257" s="656">
        <v>-69.010999999999996</v>
      </c>
      <c r="BU257" s="774">
        <v>-83.704999999999998</v>
      </c>
      <c r="BV257" s="196">
        <f t="shared" si="327"/>
        <v>-86.712760712152914</v>
      </c>
      <c r="BW257" s="196">
        <f t="shared" si="328"/>
        <v>-93.481235623203517</v>
      </c>
      <c r="BX257" s="196">
        <f t="shared" si="329"/>
        <v>-102.48089704711464</v>
      </c>
      <c r="BY257" s="196">
        <f t="shared" si="330"/>
        <v>-111.6360903655378</v>
      </c>
      <c r="BZ257" s="196">
        <f t="shared" si="331"/>
        <v>-121.42027872043826</v>
      </c>
      <c r="CB257" s="173" t="s">
        <v>619</v>
      </c>
      <c r="DS257" s="196">
        <f t="shared" si="332"/>
        <v>0</v>
      </c>
    </row>
    <row r="258" spans="1:123" s="790" customFormat="1">
      <c r="A258" s="711" t="s">
        <v>533</v>
      </c>
      <c r="B258" s="712" t="s">
        <v>289</v>
      </c>
      <c r="C258" s="713"/>
      <c r="D258" s="713"/>
      <c r="E258" s="713"/>
      <c r="F258" s="713"/>
      <c r="G258" s="714"/>
      <c r="H258" s="715"/>
      <c r="I258" s="715"/>
      <c r="J258" s="715"/>
      <c r="K258" s="716"/>
      <c r="L258" s="715"/>
      <c r="M258" s="673"/>
      <c r="N258" s="673"/>
      <c r="O258" s="673"/>
      <c r="P258" s="673"/>
      <c r="Q258" s="673"/>
      <c r="R258" s="673"/>
      <c r="S258" s="673"/>
      <c r="T258" s="673"/>
      <c r="U258" s="673"/>
      <c r="V258" s="673"/>
      <c r="W258" s="673"/>
      <c r="X258" s="673"/>
      <c r="Y258" s="667">
        <f>SUM(Y256:Y257)</f>
        <v>14.518000000000001</v>
      </c>
      <c r="Z258" s="183">
        <f>BM258-Y258</f>
        <v>25.403000000000006</v>
      </c>
      <c r="AA258" s="667">
        <f>SUM(AA256:AA257)</f>
        <v>15.971999999999996</v>
      </c>
      <c r="AB258" s="183">
        <f>BN258-AA258</f>
        <v>27.558000000000007</v>
      </c>
      <c r="AC258" s="667">
        <f>SUM(AC256:AC257)</f>
        <v>16.899999999999999</v>
      </c>
      <c r="AD258" s="183">
        <f>BO258-AC258</f>
        <v>29.818999999999996</v>
      </c>
      <c r="AE258" s="667">
        <f>SUM(AE256:AE257)</f>
        <v>21.082999999999998</v>
      </c>
      <c r="AF258" s="183">
        <f>BP258-AE258</f>
        <v>32.069000000000017</v>
      </c>
      <c r="AG258" s="667">
        <f>SUM(AG256:AG257)</f>
        <v>30.006999999999998</v>
      </c>
      <c r="AH258" s="183">
        <f>BQ258-AG258</f>
        <v>35.292999999999999</v>
      </c>
      <c r="AI258" s="667">
        <f>SUM(AI256:AI257)</f>
        <v>30.620999999999995</v>
      </c>
      <c r="AJ258" s="183">
        <f>BR258-AI258</f>
        <v>43.397999999999996</v>
      </c>
      <c r="AK258" s="667">
        <f>SUM(AK256:AK257)</f>
        <v>46.658000000000008</v>
      </c>
      <c r="AL258" s="667">
        <f>BS258-AK258</f>
        <v>82.447199999999953</v>
      </c>
      <c r="AM258" s="789">
        <f>SUM(AM256:AM257)</f>
        <v>70.201999999999998</v>
      </c>
      <c r="AN258" s="667">
        <f>BT258-AM258</f>
        <v>100.81299999999999</v>
      </c>
      <c r="AO258" s="789">
        <f>SUM(AO256:AO257)</f>
        <v>79.346000000000004</v>
      </c>
      <c r="AP258" s="666">
        <f>BU258-AO258</f>
        <v>120.87400000000002</v>
      </c>
      <c r="AQ258" s="667">
        <f t="shared" ref="AQ258:AZ258" si="355">SUM(AQ256:AQ257)</f>
        <v>90.691559664724792</v>
      </c>
      <c r="AR258" s="667">
        <f t="shared" si="355"/>
        <v>132.55756158196562</v>
      </c>
      <c r="AS258" s="667">
        <f t="shared" si="355"/>
        <v>96.881442472322675</v>
      </c>
      <c r="AT258" s="667">
        <f t="shared" si="355"/>
        <v>143.30597015068474</v>
      </c>
      <c r="AU258" s="667">
        <f t="shared" si="355"/>
        <v>107.66598911225353</v>
      </c>
      <c r="AV258" s="667">
        <f t="shared" si="355"/>
        <v>154.68117773405899</v>
      </c>
      <c r="AW258" s="667">
        <f t="shared" si="355"/>
        <v>117.736361003748</v>
      </c>
      <c r="AX258" s="667">
        <f t="shared" si="355"/>
        <v>166.8042425444915</v>
      </c>
      <c r="AY258" s="667">
        <f t="shared" si="355"/>
        <v>128.5094158985689</v>
      </c>
      <c r="AZ258" s="667">
        <f t="shared" si="355"/>
        <v>179.72304504020687</v>
      </c>
      <c r="BA258" s="763"/>
      <c r="BB258" s="668"/>
      <c r="BC258" s="668"/>
      <c r="BD258" s="668"/>
      <c r="BE258" s="668"/>
      <c r="BF258" s="668"/>
      <c r="BG258" s="668"/>
      <c r="BH258" s="598"/>
      <c r="BI258" s="667"/>
      <c r="BJ258" s="667"/>
      <c r="BK258" s="667"/>
      <c r="BL258" s="667"/>
      <c r="BM258" s="667">
        <f t="shared" ref="BM258:BU258" si="356">SUM(BM256:BM257)</f>
        <v>39.921000000000006</v>
      </c>
      <c r="BN258" s="667">
        <f t="shared" si="356"/>
        <v>43.53</v>
      </c>
      <c r="BO258" s="667">
        <f t="shared" si="356"/>
        <v>46.718999999999994</v>
      </c>
      <c r="BP258" s="667">
        <f t="shared" si="356"/>
        <v>53.152000000000015</v>
      </c>
      <c r="BQ258" s="667">
        <f t="shared" si="356"/>
        <v>65.3</v>
      </c>
      <c r="BR258" s="720">
        <f t="shared" si="356"/>
        <v>74.018999999999991</v>
      </c>
      <c r="BS258" s="720">
        <f t="shared" si="356"/>
        <v>129.10519999999997</v>
      </c>
      <c r="BT258" s="720">
        <f t="shared" si="356"/>
        <v>171.01499999999999</v>
      </c>
      <c r="BU258" s="501">
        <f t="shared" si="356"/>
        <v>200.22000000000003</v>
      </c>
      <c r="BV258" s="198">
        <f t="shared" si="327"/>
        <v>223.24912124669041</v>
      </c>
      <c r="BW258" s="198">
        <f t="shared" si="328"/>
        <v>240.18741262300742</v>
      </c>
      <c r="BX258" s="198">
        <f t="shared" si="329"/>
        <v>262.34716684631252</v>
      </c>
      <c r="BY258" s="198">
        <f t="shared" si="330"/>
        <v>284.54060354823952</v>
      </c>
      <c r="BZ258" s="198">
        <f t="shared" si="331"/>
        <v>308.23246093877577</v>
      </c>
      <c r="CB258" s="23" t="s">
        <v>609</v>
      </c>
      <c r="DS258" s="198">
        <f t="shared" si="332"/>
        <v>0</v>
      </c>
    </row>
    <row r="259" spans="1:123" s="790" customFormat="1">
      <c r="A259" s="711"/>
      <c r="B259" s="712"/>
      <c r="C259" s="713"/>
      <c r="D259" s="713"/>
      <c r="E259" s="713"/>
      <c r="F259" s="713"/>
      <c r="G259" s="714"/>
      <c r="H259" s="715"/>
      <c r="I259" s="715"/>
      <c r="J259" s="715"/>
      <c r="K259" s="716"/>
      <c r="L259" s="715"/>
      <c r="M259" s="673"/>
      <c r="N259" s="673"/>
      <c r="O259" s="673"/>
      <c r="P259" s="673"/>
      <c r="Q259" s="673"/>
      <c r="R259" s="673"/>
      <c r="S259" s="673"/>
      <c r="T259" s="673"/>
      <c r="U259" s="673"/>
      <c r="V259" s="673"/>
      <c r="W259" s="673"/>
      <c r="X259" s="673"/>
      <c r="Y259" s="667"/>
      <c r="Z259" s="183"/>
      <c r="AA259" s="673">
        <f>AA258/SUM(AA258:AB258)</f>
        <v>0.36691936595451402</v>
      </c>
      <c r="AB259" s="183"/>
      <c r="AC259" s="673">
        <f>AC258/SUM(AC258:AD258)</f>
        <v>0.36173719471735272</v>
      </c>
      <c r="AD259" s="183"/>
      <c r="AE259" s="673">
        <f>AE258/SUM(AE258:AF258)</f>
        <v>0.39665487658037313</v>
      </c>
      <c r="AF259" s="183"/>
      <c r="AG259" s="673">
        <f>AG258/SUM(AG258:AH258)</f>
        <v>0.45952526799387439</v>
      </c>
      <c r="AH259" s="791"/>
      <c r="AI259" s="673">
        <f>AI258/SUM(AI258:AJ258)</f>
        <v>0.41369107931747251</v>
      </c>
      <c r="AJ259" s="791"/>
      <c r="AK259" s="673">
        <f>AK258/SUM(AK258:AL258)</f>
        <v>0.36139520329157943</v>
      </c>
      <c r="AL259" s="673"/>
      <c r="AM259" s="673">
        <f>AM258/SUM(AM258:AN258)</f>
        <v>0.41050200274829696</v>
      </c>
      <c r="AN259" s="667"/>
      <c r="AO259" s="673">
        <f>AO258/SUM(AO258:AP258)</f>
        <v>0.39629407651583254</v>
      </c>
      <c r="AP259" s="666"/>
      <c r="AQ259" s="667"/>
      <c r="AR259" s="667"/>
      <c r="AS259" s="667"/>
      <c r="AT259" s="667"/>
      <c r="AU259" s="667"/>
      <c r="AV259" s="667"/>
      <c r="AW259" s="667"/>
      <c r="AX259" s="667"/>
      <c r="AY259" s="667"/>
      <c r="AZ259" s="667"/>
      <c r="BA259" s="763"/>
      <c r="BB259" s="668"/>
      <c r="BC259" s="668"/>
      <c r="BD259" s="668"/>
      <c r="BE259" s="668"/>
      <c r="BF259" s="668"/>
      <c r="BG259" s="668"/>
      <c r="BH259" s="598"/>
      <c r="BI259" s="667"/>
      <c r="BJ259" s="667"/>
      <c r="BK259" s="667"/>
      <c r="BL259" s="667"/>
      <c r="BM259" s="667"/>
      <c r="BN259" s="667"/>
      <c r="BO259" s="667"/>
      <c r="BP259" s="667"/>
      <c r="BQ259" s="667"/>
      <c r="BR259" s="720"/>
      <c r="BS259" s="720"/>
      <c r="BT259" s="198"/>
      <c r="BU259" s="501"/>
      <c r="BV259" s="198"/>
      <c r="BW259" s="198"/>
      <c r="BX259" s="198"/>
      <c r="BY259" s="198"/>
      <c r="BZ259" s="198"/>
      <c r="DS259" s="198"/>
    </row>
    <row r="260" spans="1:123" s="790" customFormat="1">
      <c r="A260" s="711"/>
      <c r="B260" s="712"/>
      <c r="C260" s="713"/>
      <c r="D260" s="713"/>
      <c r="E260" s="713"/>
      <c r="F260" s="713"/>
      <c r="G260" s="714"/>
      <c r="H260" s="715"/>
      <c r="I260" s="715"/>
      <c r="J260" s="715"/>
      <c r="K260" s="716"/>
      <c r="L260" s="715"/>
      <c r="M260" s="673"/>
      <c r="N260" s="673"/>
      <c r="O260" s="673"/>
      <c r="P260" s="673"/>
      <c r="Q260" s="673"/>
      <c r="R260" s="673"/>
      <c r="S260" s="673"/>
      <c r="T260" s="673"/>
      <c r="U260" s="673"/>
      <c r="V260" s="673"/>
      <c r="W260" s="673"/>
      <c r="X260" s="673"/>
      <c r="Y260" s="667"/>
      <c r="Z260" s="183"/>
      <c r="AA260" s="667"/>
      <c r="AB260" s="183"/>
      <c r="AC260" s="667"/>
      <c r="AD260" s="183"/>
      <c r="AE260" s="667"/>
      <c r="AF260" s="183"/>
      <c r="AG260" s="667"/>
      <c r="AH260" s="183"/>
      <c r="AI260" s="667"/>
      <c r="AJ260" s="183"/>
      <c r="AK260" s="667"/>
      <c r="AL260" s="667"/>
      <c r="AM260" s="667"/>
      <c r="AN260" s="667"/>
      <c r="AO260" s="667"/>
      <c r="AP260" s="666"/>
      <c r="AQ260" s="667"/>
      <c r="AR260" s="667"/>
      <c r="AS260" s="667"/>
      <c r="AT260" s="667"/>
      <c r="AU260" s="667"/>
      <c r="AV260" s="667"/>
      <c r="AW260" s="667"/>
      <c r="AX260" s="667"/>
      <c r="AY260" s="667"/>
      <c r="AZ260" s="667"/>
      <c r="BA260" s="763"/>
      <c r="BB260" s="668"/>
      <c r="BC260" s="668"/>
      <c r="BD260" s="668"/>
      <c r="BE260" s="668"/>
      <c r="BF260" s="668"/>
      <c r="BG260" s="668"/>
      <c r="BH260" s="598"/>
      <c r="BI260" s="667"/>
      <c r="BJ260" s="667"/>
      <c r="BK260" s="667"/>
      <c r="BL260" s="667"/>
      <c r="BM260" s="667"/>
      <c r="BN260" s="667"/>
      <c r="BO260" s="667"/>
      <c r="BP260" s="667"/>
      <c r="BQ260" s="667"/>
      <c r="BR260" s="720"/>
      <c r="BS260" s="720"/>
      <c r="BT260" s="198"/>
      <c r="BU260" s="501"/>
      <c r="BV260" s="198"/>
      <c r="BW260" s="198"/>
      <c r="BX260" s="198"/>
      <c r="BY260" s="198"/>
      <c r="BZ260" s="198"/>
      <c r="DS260" s="198"/>
    </row>
    <row r="261" spans="1:123" s="790" customFormat="1">
      <c r="A261" s="711"/>
      <c r="B261" s="704" t="s">
        <v>517</v>
      </c>
      <c r="C261" s="713"/>
      <c r="D261" s="713"/>
      <c r="E261" s="713"/>
      <c r="F261" s="713"/>
      <c r="G261" s="714"/>
      <c r="H261" s="715"/>
      <c r="I261" s="715"/>
      <c r="J261" s="715"/>
      <c r="K261" s="716"/>
      <c r="L261" s="715"/>
      <c r="M261" s="673"/>
      <c r="N261" s="673"/>
      <c r="O261" s="673"/>
      <c r="P261" s="673"/>
      <c r="Q261" s="673"/>
      <c r="R261" s="673"/>
      <c r="S261" s="673"/>
      <c r="T261" s="673"/>
      <c r="U261" s="673"/>
      <c r="V261" s="673"/>
      <c r="W261" s="673"/>
      <c r="X261" s="673"/>
      <c r="Y261" s="658">
        <f>Y262-Y258</f>
        <v>-2.1140000000000008</v>
      </c>
      <c r="Z261" s="658">
        <f t="shared" ref="Z261:AP261" si="357">Z262-Z258</f>
        <v>-4.8190000000000062</v>
      </c>
      <c r="AA261" s="658">
        <f t="shared" si="357"/>
        <v>7.7800000000000207</v>
      </c>
      <c r="AB261" s="658">
        <f t="shared" si="357"/>
        <v>-4.7900000000000205</v>
      </c>
      <c r="AC261" s="658">
        <f t="shared" si="357"/>
        <v>2.9259999999999877</v>
      </c>
      <c r="AD261" s="658">
        <f t="shared" si="357"/>
        <v>-1.2839999999999847</v>
      </c>
      <c r="AE261" s="658">
        <f t="shared" si="357"/>
        <v>-4.4869999999999983</v>
      </c>
      <c r="AF261" s="658">
        <f t="shared" si="357"/>
        <v>-1.6810000000000151</v>
      </c>
      <c r="AG261" s="658">
        <f t="shared" si="357"/>
        <v>-6.7659999999999982</v>
      </c>
      <c r="AH261" s="658">
        <f t="shared" si="357"/>
        <v>12.086999999999996</v>
      </c>
      <c r="AI261" s="658">
        <f t="shared" si="357"/>
        <v>-0.93699999999999406</v>
      </c>
      <c r="AJ261" s="658">
        <f t="shared" si="357"/>
        <v>7.7540000000000049</v>
      </c>
      <c r="AK261" s="667">
        <f t="shared" si="357"/>
        <v>-46.294000000000032</v>
      </c>
      <c r="AL261" s="667">
        <f t="shared" si="357"/>
        <v>-17.558199999999928</v>
      </c>
      <c r="AM261" s="667">
        <f t="shared" si="357"/>
        <v>-17.07799999999996</v>
      </c>
      <c r="AN261" s="667">
        <f t="shared" si="357"/>
        <v>-16.865000000000023</v>
      </c>
      <c r="AO261" s="667">
        <f t="shared" si="357"/>
        <v>-52.965999999999966</v>
      </c>
      <c r="AP261" s="666">
        <f t="shared" si="357"/>
        <v>32.800999999999959</v>
      </c>
      <c r="AQ261" s="792"/>
      <c r="AR261" s="792"/>
      <c r="AS261" s="792"/>
      <c r="AT261" s="792"/>
      <c r="AU261" s="792"/>
      <c r="AV261" s="792"/>
      <c r="AW261" s="792"/>
      <c r="AX261" s="792"/>
      <c r="AY261" s="792"/>
      <c r="AZ261" s="792"/>
      <c r="BA261" s="763"/>
      <c r="BB261" s="668"/>
      <c r="BC261" s="668"/>
      <c r="BD261" s="668"/>
      <c r="BE261" s="668"/>
      <c r="BF261" s="668"/>
      <c r="BG261" s="668"/>
      <c r="BH261" s="598"/>
      <c r="BI261" s="667"/>
      <c r="BJ261" s="667"/>
      <c r="BK261" s="667"/>
      <c r="BL261" s="667"/>
      <c r="BM261" s="658">
        <f t="shared" ref="BM261:BU261" si="358">BM262-BM258</f>
        <v>-6.9330000000000069</v>
      </c>
      <c r="BN261" s="658">
        <f t="shared" si="358"/>
        <v>2.990000000000002</v>
      </c>
      <c r="BO261" s="658">
        <f t="shared" si="358"/>
        <v>1.642000000000003</v>
      </c>
      <c r="BP261" s="658">
        <f t="shared" si="358"/>
        <v>-6.1680000000000135</v>
      </c>
      <c r="BQ261" s="658">
        <f t="shared" si="358"/>
        <v>5.320999999999998</v>
      </c>
      <c r="BR261" s="658">
        <f t="shared" si="358"/>
        <v>6.8170000000000073</v>
      </c>
      <c r="BS261" s="658">
        <f t="shared" si="358"/>
        <v>-63.852199999999968</v>
      </c>
      <c r="BT261" s="658">
        <f t="shared" si="358"/>
        <v>-33.942999999999984</v>
      </c>
      <c r="BU261" s="657">
        <f t="shared" si="358"/>
        <v>-20.16500000000002</v>
      </c>
      <c r="BV261" s="792"/>
      <c r="BW261" s="792"/>
      <c r="BX261" s="792"/>
      <c r="BY261" s="792"/>
      <c r="BZ261" s="792"/>
      <c r="CB261" s="23" t="s">
        <v>609</v>
      </c>
      <c r="DS261" s="792"/>
    </row>
    <row r="262" spans="1:123" s="790" customFormat="1">
      <c r="A262" s="711" t="s">
        <v>534</v>
      </c>
      <c r="B262" s="712" t="s">
        <v>515</v>
      </c>
      <c r="C262" s="713"/>
      <c r="D262" s="713"/>
      <c r="E262" s="713"/>
      <c r="F262" s="713"/>
      <c r="G262" s="714"/>
      <c r="H262" s="715"/>
      <c r="I262" s="715"/>
      <c r="J262" s="715"/>
      <c r="K262" s="716"/>
      <c r="L262" s="715"/>
      <c r="M262" s="673"/>
      <c r="N262" s="673"/>
      <c r="O262" s="673"/>
      <c r="P262" s="673"/>
      <c r="Q262" s="673"/>
      <c r="R262" s="673"/>
      <c r="S262" s="673"/>
      <c r="T262" s="673"/>
      <c r="U262" s="673"/>
      <c r="V262" s="673"/>
      <c r="W262" s="673"/>
      <c r="X262" s="673"/>
      <c r="Y262" s="667">
        <f>'Statutory P&amp;L'!Y24</f>
        <v>12.404</v>
      </c>
      <c r="Z262" s="667">
        <f>'Statutory P&amp;L'!Z24</f>
        <v>20.584</v>
      </c>
      <c r="AA262" s="667">
        <f>'Statutory P&amp;L'!AA24</f>
        <v>23.752000000000017</v>
      </c>
      <c r="AB262" s="667">
        <f>'Statutory P&amp;L'!AB24</f>
        <v>22.767999999999986</v>
      </c>
      <c r="AC262" s="667">
        <f>'Statutory P&amp;L'!AC24</f>
        <v>19.825999999999986</v>
      </c>
      <c r="AD262" s="667">
        <f>'Statutory P&amp;L'!AD24</f>
        <v>28.535000000000011</v>
      </c>
      <c r="AE262" s="667">
        <f>'Statutory P&amp;L'!AE24</f>
        <v>16.596</v>
      </c>
      <c r="AF262" s="667">
        <f>'Statutory P&amp;L'!AF24</f>
        <v>30.388000000000002</v>
      </c>
      <c r="AG262" s="667">
        <f>'Statutory P&amp;L'!AG24</f>
        <v>23.241</v>
      </c>
      <c r="AH262" s="667">
        <f>'Statutory P&amp;L'!AH24</f>
        <v>47.379999999999995</v>
      </c>
      <c r="AI262" s="667">
        <f>'Statutory P&amp;L'!AI24</f>
        <v>29.684000000000001</v>
      </c>
      <c r="AJ262" s="667">
        <f>'Statutory P&amp;L'!AJ24</f>
        <v>51.152000000000001</v>
      </c>
      <c r="AK262" s="667">
        <f>'Statutory P&amp;L'!AK24</f>
        <v>0.36399999999997767</v>
      </c>
      <c r="AL262" s="667">
        <f>'Statutory P&amp;L'!AL24</f>
        <v>64.889000000000024</v>
      </c>
      <c r="AM262" s="667">
        <f>'Statutory P&amp;L'!AM24</f>
        <v>53.124000000000038</v>
      </c>
      <c r="AN262" s="667">
        <f>'Statutory P&amp;L'!AN24</f>
        <v>83.947999999999965</v>
      </c>
      <c r="AO262" s="667">
        <f>'Statutory P&amp;L'!AO24</f>
        <v>26.380000000000035</v>
      </c>
      <c r="AP262" s="666">
        <f>'Statutory P&amp;L'!AP24</f>
        <v>153.67499999999998</v>
      </c>
      <c r="AQ262" s="792"/>
      <c r="AR262" s="792"/>
      <c r="AS262" s="792"/>
      <c r="AT262" s="792"/>
      <c r="AU262" s="792"/>
      <c r="AV262" s="792"/>
      <c r="AW262" s="792"/>
      <c r="AX262" s="792"/>
      <c r="AY262" s="792"/>
      <c r="AZ262" s="792"/>
      <c r="BA262" s="763"/>
      <c r="BB262" s="668"/>
      <c r="BC262" s="668"/>
      <c r="BD262" s="668"/>
      <c r="BE262" s="668"/>
      <c r="BF262" s="668"/>
      <c r="BG262" s="668"/>
      <c r="BH262" s="598"/>
      <c r="BI262" s="667"/>
      <c r="BJ262" s="667"/>
      <c r="BK262" s="667"/>
      <c r="BL262" s="667"/>
      <c r="BM262" s="667">
        <f>'Statutory P&amp;L'!BG24</f>
        <v>32.988</v>
      </c>
      <c r="BN262" s="667">
        <f>'Statutory P&amp;L'!BH24</f>
        <v>46.52</v>
      </c>
      <c r="BO262" s="667">
        <f>'Statutory P&amp;L'!BI24</f>
        <v>48.360999999999997</v>
      </c>
      <c r="BP262" s="667">
        <f>'Statutory P&amp;L'!BJ24</f>
        <v>46.984000000000002</v>
      </c>
      <c r="BQ262" s="667">
        <f>'Statutory P&amp;L'!BK24</f>
        <v>70.620999999999995</v>
      </c>
      <c r="BR262" s="667">
        <f>'Statutory P&amp;L'!BL24</f>
        <v>80.835999999999999</v>
      </c>
      <c r="BS262" s="667">
        <f>'Statutory P&amp;L'!BM24</f>
        <v>65.253</v>
      </c>
      <c r="BT262" s="667">
        <f>'Statutory P&amp;L'!BN24</f>
        <v>137.072</v>
      </c>
      <c r="BU262" s="666">
        <f>'Statutory P&amp;L'!BO24</f>
        <v>180.05500000000001</v>
      </c>
      <c r="BV262" s="792"/>
      <c r="BW262" s="792"/>
      <c r="BX262" s="792"/>
      <c r="BY262" s="792"/>
      <c r="BZ262" s="792"/>
      <c r="CB262" s="23" t="s">
        <v>609</v>
      </c>
      <c r="DS262" s="792"/>
    </row>
    <row r="263" spans="1:123" s="790" customFormat="1">
      <c r="A263" s="711"/>
      <c r="B263" s="793"/>
      <c r="C263" s="713"/>
      <c r="D263" s="713"/>
      <c r="E263" s="713"/>
      <c r="F263" s="713"/>
      <c r="G263" s="714"/>
      <c r="H263" s="715"/>
      <c r="I263" s="715"/>
      <c r="J263" s="715"/>
      <c r="K263" s="716"/>
      <c r="L263" s="715"/>
      <c r="M263" s="673"/>
      <c r="N263" s="673"/>
      <c r="O263" s="673"/>
      <c r="P263" s="673"/>
      <c r="Q263" s="673"/>
      <c r="R263" s="673"/>
      <c r="S263" s="673"/>
      <c r="T263" s="673"/>
      <c r="U263" s="673"/>
      <c r="V263" s="673"/>
      <c r="W263" s="673"/>
      <c r="X263" s="673"/>
      <c r="Y263" s="667"/>
      <c r="Z263" s="667"/>
      <c r="AA263" s="667"/>
      <c r="AB263" s="667"/>
      <c r="AC263" s="667"/>
      <c r="AD263" s="667"/>
      <c r="AE263" s="667"/>
      <c r="AF263" s="667"/>
      <c r="AG263" s="667"/>
      <c r="AH263" s="667"/>
      <c r="AI263" s="667"/>
      <c r="AJ263" s="667"/>
      <c r="AK263" s="667"/>
      <c r="AL263" s="667"/>
      <c r="AM263" s="667"/>
      <c r="AN263" s="667"/>
      <c r="AO263" s="667"/>
      <c r="AP263" s="666"/>
      <c r="AQ263" s="667"/>
      <c r="AR263" s="667"/>
      <c r="AS263" s="667"/>
      <c r="AT263" s="667"/>
      <c r="AU263" s="667"/>
      <c r="AV263" s="667"/>
      <c r="AW263" s="667"/>
      <c r="AX263" s="667"/>
      <c r="AY263" s="667"/>
      <c r="AZ263" s="667"/>
      <c r="BA263" s="763"/>
      <c r="BB263" s="668"/>
      <c r="BC263" s="668"/>
      <c r="BD263" s="668"/>
      <c r="BE263" s="668"/>
      <c r="BF263" s="668"/>
      <c r="BG263" s="668"/>
      <c r="BH263" s="598"/>
      <c r="BI263" s="667"/>
      <c r="BJ263" s="667"/>
      <c r="BK263" s="667"/>
      <c r="BL263" s="667"/>
      <c r="BM263" s="667"/>
      <c r="BN263" s="667"/>
      <c r="BO263" s="667"/>
      <c r="BP263" s="667"/>
      <c r="BQ263" s="667"/>
      <c r="BR263" s="667"/>
      <c r="BS263" s="667"/>
      <c r="BT263" s="667"/>
      <c r="BU263" s="666"/>
      <c r="BV263" s="667"/>
      <c r="BW263" s="667"/>
      <c r="BX263" s="667"/>
      <c r="BY263" s="667"/>
      <c r="BZ263" s="667"/>
      <c r="DS263" s="667"/>
    </row>
    <row r="264" spans="1:123" s="790" customFormat="1">
      <c r="A264" s="711" t="s">
        <v>601</v>
      </c>
      <c r="B264" s="794" t="s">
        <v>607</v>
      </c>
      <c r="C264" s="713"/>
      <c r="D264" s="713"/>
      <c r="E264" s="713"/>
      <c r="F264" s="713"/>
      <c r="G264" s="714"/>
      <c r="H264" s="715"/>
      <c r="I264" s="715"/>
      <c r="J264" s="715"/>
      <c r="K264" s="716"/>
      <c r="L264" s="715"/>
      <c r="M264" s="673"/>
      <c r="N264" s="673"/>
      <c r="O264" s="673"/>
      <c r="P264" s="673"/>
      <c r="Q264" s="673"/>
      <c r="R264" s="673"/>
      <c r="S264" s="673"/>
      <c r="T264" s="673"/>
      <c r="U264" s="673"/>
      <c r="V264" s="673"/>
      <c r="W264" s="673"/>
      <c r="X264" s="673"/>
      <c r="Y264" s="667"/>
      <c r="Z264" s="667"/>
      <c r="AA264" s="667"/>
      <c r="AB264" s="667"/>
      <c r="AC264" s="667"/>
      <c r="AD264" s="667"/>
      <c r="AE264" s="625">
        <f t="shared" ref="AE264:AJ264" si="359">AE250/AE248</f>
        <v>0.24734071879617439</v>
      </c>
      <c r="AF264" s="625">
        <f t="shared" si="359"/>
        <v>0.31159517899179595</v>
      </c>
      <c r="AG264" s="625">
        <f t="shared" si="359"/>
        <v>0.308739056881702</v>
      </c>
      <c r="AH264" s="625">
        <f t="shared" si="359"/>
        <v>0.31990941199938988</v>
      </c>
      <c r="AI264" s="625">
        <f t="shared" si="359"/>
        <v>0.31226619232744085</v>
      </c>
      <c r="AJ264" s="603">
        <f t="shared" si="359"/>
        <v>0.36495880997392</v>
      </c>
      <c r="AK264" s="625">
        <f>AK250/AK248</f>
        <v>0.31304588549870604</v>
      </c>
      <c r="AL264" s="625">
        <f t="shared" ref="AL264:AN264" si="360">AL250/AL248</f>
        <v>0.3429272684168691</v>
      </c>
      <c r="AM264" s="625">
        <f>AM250/AM248</f>
        <v>0.32546165862038029</v>
      </c>
      <c r="AN264" s="625">
        <f t="shared" si="360"/>
        <v>0.35361091075241308</v>
      </c>
      <c r="AO264" s="625">
        <f>AO250/AO248</f>
        <v>0.3203953120548565</v>
      </c>
      <c r="AP264" s="628">
        <f t="shared" ref="AP264:AZ264" si="361">AP250/AP248</f>
        <v>0.37019638571173169</v>
      </c>
      <c r="AQ264" s="603">
        <f t="shared" si="361"/>
        <v>0.32232388280151625</v>
      </c>
      <c r="AR264" s="603">
        <f t="shared" si="361"/>
        <v>0.37782329809351545</v>
      </c>
      <c r="AS264" s="603">
        <f t="shared" si="361"/>
        <v>0.32425929652714874</v>
      </c>
      <c r="AT264" s="603">
        <f t="shared" si="361"/>
        <v>0.38380761563860949</v>
      </c>
      <c r="AU264" s="603">
        <f t="shared" si="361"/>
        <v>0.3356815975614369</v>
      </c>
      <c r="AV264" s="603">
        <f t="shared" si="361"/>
        <v>0.39332872424413756</v>
      </c>
      <c r="AW264" s="603">
        <f t="shared" si="361"/>
        <v>0.34580685866244271</v>
      </c>
      <c r="AX264" s="603">
        <f t="shared" si="361"/>
        <v>0.40284165001961919</v>
      </c>
      <c r="AY264" s="603">
        <f t="shared" si="361"/>
        <v>0.35594389009716465</v>
      </c>
      <c r="AZ264" s="603">
        <f t="shared" si="361"/>
        <v>0.41234134790656607</v>
      </c>
      <c r="BA264" s="763"/>
      <c r="BB264" s="668"/>
      <c r="BC264" s="668"/>
      <c r="BD264" s="668"/>
      <c r="BE264" s="668"/>
      <c r="BF264" s="668"/>
      <c r="BG264" s="668"/>
      <c r="BH264" s="598"/>
      <c r="BI264" s="667"/>
      <c r="BJ264" s="667"/>
      <c r="BK264" s="667"/>
      <c r="BL264" s="667"/>
      <c r="BM264" s="667"/>
      <c r="BN264" s="667"/>
      <c r="BO264" s="667"/>
      <c r="BP264" s="603">
        <f t="shared" ref="BP264:BZ264" si="362">BP250/BP248</f>
        <v>0.28165441503901556</v>
      </c>
      <c r="BQ264" s="603">
        <f t="shared" si="362"/>
        <v>0.31458093616237875</v>
      </c>
      <c r="BR264" s="603">
        <f t="shared" si="362"/>
        <v>0.33995565140086759</v>
      </c>
      <c r="BS264" s="603">
        <f t="shared" si="362"/>
        <v>0.33039818816422067</v>
      </c>
      <c r="BT264" s="603">
        <f t="shared" si="362"/>
        <v>0.34017336113799868</v>
      </c>
      <c r="BU264" s="604">
        <f t="shared" si="362"/>
        <v>0.3465589433899926</v>
      </c>
      <c r="BV264" s="603">
        <f t="shared" si="362"/>
        <v>0.35109326183662343</v>
      </c>
      <c r="BW264" s="603">
        <f t="shared" si="362"/>
        <v>0.35517616292417686</v>
      </c>
      <c r="BX264" s="603">
        <f t="shared" si="362"/>
        <v>0.36558144274546139</v>
      </c>
      <c r="BY264" s="603">
        <f t="shared" si="362"/>
        <v>0.3753954157332362</v>
      </c>
      <c r="BZ264" s="603">
        <f t="shared" si="362"/>
        <v>0.38520769365104673</v>
      </c>
      <c r="CB264" s="23" t="s">
        <v>609</v>
      </c>
      <c r="DS264" s="603" t="e">
        <f t="shared" ref="DS264" si="363">DS250/DS248</f>
        <v>#DIV/0!</v>
      </c>
    </row>
    <row r="265" spans="1:123" s="790" customFormat="1">
      <c r="A265" s="711"/>
      <c r="B265" s="794" t="s">
        <v>523</v>
      </c>
      <c r="C265" s="713"/>
      <c r="D265" s="713"/>
      <c r="E265" s="713"/>
      <c r="F265" s="713"/>
      <c r="G265" s="714"/>
      <c r="H265" s="715"/>
      <c r="I265" s="715"/>
      <c r="J265" s="715"/>
      <c r="K265" s="716"/>
      <c r="L265" s="715"/>
      <c r="M265" s="673"/>
      <c r="N265" s="673"/>
      <c r="O265" s="673"/>
      <c r="P265" s="673"/>
      <c r="Q265" s="673"/>
      <c r="R265" s="673"/>
      <c r="S265" s="673"/>
      <c r="T265" s="673"/>
      <c r="U265" s="673"/>
      <c r="V265" s="673"/>
      <c r="W265" s="673"/>
      <c r="X265" s="673"/>
      <c r="Y265" s="667"/>
      <c r="Z265" s="667"/>
      <c r="AA265" s="667"/>
      <c r="AB265" s="667"/>
      <c r="AC265" s="667"/>
      <c r="AD265" s="667"/>
      <c r="AE265" s="603">
        <f>AE254/AE248</f>
        <v>0.20392845853579644</v>
      </c>
      <c r="AF265" s="603">
        <f t="shared" ref="AF265:AZ265" si="364">AF254/AF248</f>
        <v>0.27089306675390162</v>
      </c>
      <c r="AG265" s="603">
        <f t="shared" si="364"/>
        <v>0.27232203160880719</v>
      </c>
      <c r="AH265" s="603">
        <f t="shared" si="364"/>
        <v>0.28693631851304252</v>
      </c>
      <c r="AI265" s="603">
        <f t="shared" si="364"/>
        <v>0.26857624880803932</v>
      </c>
      <c r="AJ265" s="603">
        <f t="shared" si="364"/>
        <v>0.32814306807048521</v>
      </c>
      <c r="AK265" s="603">
        <f t="shared" si="364"/>
        <v>0.25391749966737198</v>
      </c>
      <c r="AL265" s="603">
        <f t="shared" si="364"/>
        <v>0.27650986328836191</v>
      </c>
      <c r="AM265" s="603">
        <f t="shared" si="364"/>
        <v>0.2569242894020265</v>
      </c>
      <c r="AN265" s="603">
        <f t="shared" si="364"/>
        <v>0.29904709083960035</v>
      </c>
      <c r="AO265" s="603">
        <f t="shared" si="364"/>
        <v>0.26061713477351095</v>
      </c>
      <c r="AP265" s="604">
        <f t="shared" si="364"/>
        <v>0.31871819937289458</v>
      </c>
      <c r="AQ265" s="603">
        <f t="shared" si="364"/>
        <v>0.26218904270620835</v>
      </c>
      <c r="AR265" s="603">
        <f t="shared" si="364"/>
        <v>0.32807689590738487</v>
      </c>
      <c r="AS265" s="603">
        <f t="shared" si="364"/>
        <v>0.26697210711582736</v>
      </c>
      <c r="AT265" s="603">
        <f t="shared" si="364"/>
        <v>0.33671155899889682</v>
      </c>
      <c r="AU265" s="603">
        <f t="shared" si="364"/>
        <v>0.28068306330327042</v>
      </c>
      <c r="AV265" s="603">
        <f t="shared" si="364"/>
        <v>0.34809384977775421</v>
      </c>
      <c r="AW265" s="603">
        <f t="shared" si="364"/>
        <v>0.29288121405818712</v>
      </c>
      <c r="AX265" s="603">
        <f t="shared" si="364"/>
        <v>0.35940239768291027</v>
      </c>
      <c r="AY265" s="603">
        <f t="shared" si="364"/>
        <v>0.30502298355306684</v>
      </c>
      <c r="AZ265" s="603">
        <f t="shared" si="364"/>
        <v>0.37063404219285084</v>
      </c>
      <c r="BA265" s="763"/>
      <c r="BB265" s="668"/>
      <c r="BC265" s="668"/>
      <c r="BD265" s="668"/>
      <c r="BE265" s="668"/>
      <c r="BF265" s="668"/>
      <c r="BG265" s="668"/>
      <c r="BH265" s="598"/>
      <c r="BI265" s="667"/>
      <c r="BJ265" s="667"/>
      <c r="BK265" s="667"/>
      <c r="BL265" s="667"/>
      <c r="BM265" s="667"/>
      <c r="BN265" s="667"/>
      <c r="BO265" s="667"/>
      <c r="BP265" s="603">
        <f t="shared" ref="BP265:BZ265" si="365">BP254/BP248</f>
        <v>0.2396894503552173</v>
      </c>
      <c r="BQ265" s="603">
        <f t="shared" si="365"/>
        <v>0.27996502048142857</v>
      </c>
      <c r="BR265" s="603">
        <f t="shared" si="365"/>
        <v>0.29987803410114322</v>
      </c>
      <c r="BS265" s="603">
        <f t="shared" si="365"/>
        <v>0.26703702403993668</v>
      </c>
      <c r="BT265" s="603">
        <f t="shared" si="365"/>
        <v>0.2789390172197187</v>
      </c>
      <c r="BU265" s="604">
        <f t="shared" si="365"/>
        <v>0.2911412725628042</v>
      </c>
      <c r="BV265" s="603">
        <f t="shared" si="365"/>
        <v>0.29634350384027747</v>
      </c>
      <c r="BW265" s="603">
        <f t="shared" si="365"/>
        <v>0.30318010338915724</v>
      </c>
      <c r="BX265" s="603">
        <f t="shared" si="365"/>
        <v>0.31564702760307745</v>
      </c>
      <c r="BY265" s="603">
        <f t="shared" si="365"/>
        <v>0.32739112969495565</v>
      </c>
      <c r="BZ265" s="603">
        <f t="shared" si="365"/>
        <v>0.33906758778834517</v>
      </c>
      <c r="CB265" s="23" t="s">
        <v>609</v>
      </c>
      <c r="DS265" s="603" t="e">
        <f t="shared" ref="DS265" si="366">DS254/DS248</f>
        <v>#DIV/0!</v>
      </c>
    </row>
    <row r="266" spans="1:123" s="790" customFormat="1">
      <c r="A266" s="711"/>
      <c r="B266" s="794" t="s">
        <v>524</v>
      </c>
      <c r="C266" s="713"/>
      <c r="D266" s="713"/>
      <c r="E266" s="713"/>
      <c r="F266" s="713"/>
      <c r="G266" s="714"/>
      <c r="H266" s="715"/>
      <c r="I266" s="715"/>
      <c r="J266" s="715"/>
      <c r="K266" s="716"/>
      <c r="L266" s="715"/>
      <c r="M266" s="673"/>
      <c r="N266" s="673"/>
      <c r="O266" s="673"/>
      <c r="P266" s="673"/>
      <c r="Q266" s="673"/>
      <c r="R266" s="673"/>
      <c r="S266" s="673"/>
      <c r="T266" s="673"/>
      <c r="U266" s="673"/>
      <c r="V266" s="673"/>
      <c r="W266" s="673"/>
      <c r="X266" s="673"/>
      <c r="Y266" s="667"/>
      <c r="Z266" s="667"/>
      <c r="AA266" s="667"/>
      <c r="AB266" s="667"/>
      <c r="AC266" s="667"/>
      <c r="AD266" s="667"/>
      <c r="AE266" s="603">
        <f>AE256/AE248</f>
        <v>0.11189196739026559</v>
      </c>
      <c r="AF266" s="603">
        <f t="shared" ref="AF266:AZ266" si="367">AF256/AF248</f>
        <v>0.14686884625499524</v>
      </c>
      <c r="AG266" s="603">
        <f t="shared" si="367"/>
        <v>0.14069907309134647</v>
      </c>
      <c r="AH266" s="603">
        <f t="shared" si="367"/>
        <v>0.14858720268478423</v>
      </c>
      <c r="AI266" s="603">
        <f t="shared" si="367"/>
        <v>0.13421477297733439</v>
      </c>
      <c r="AJ266" s="603">
        <f t="shared" si="367"/>
        <v>0.1715850915563896</v>
      </c>
      <c r="AK266" s="603">
        <f t="shared" si="367"/>
        <v>0.14152356508564634</v>
      </c>
      <c r="AL266" s="603">
        <f t="shared" si="367"/>
        <v>0.17772079092245874</v>
      </c>
      <c r="AM266" s="603">
        <f t="shared" si="367"/>
        <v>0.15886971308658057</v>
      </c>
      <c r="AN266" s="603">
        <f t="shared" si="367"/>
        <v>0.1997675200510364</v>
      </c>
      <c r="AO266" s="603">
        <f t="shared" si="367"/>
        <v>0.16047553087428126</v>
      </c>
      <c r="AP266" s="604">
        <f t="shared" si="367"/>
        <v>0.21500869148462734</v>
      </c>
      <c r="AQ266" s="603">
        <f t="shared" si="367"/>
        <v>0.16407416311471493</v>
      </c>
      <c r="AR266" s="603">
        <f t="shared" si="367"/>
        <v>0.22165436343851211</v>
      </c>
      <c r="AS266" s="603">
        <f t="shared" si="367"/>
        <v>0.16776430312122109</v>
      </c>
      <c r="AT266" s="603">
        <f t="shared" si="367"/>
        <v>0.22853688474502903</v>
      </c>
      <c r="AU266" s="603">
        <f t="shared" si="367"/>
        <v>0.17784786909718101</v>
      </c>
      <c r="AV266" s="603">
        <f t="shared" si="367"/>
        <v>0.23595935993024647</v>
      </c>
      <c r="AW266" s="603">
        <f t="shared" si="367"/>
        <v>0.18606191682580625</v>
      </c>
      <c r="AX266" s="603">
        <f t="shared" si="367"/>
        <v>0.24331318475545477</v>
      </c>
      <c r="AY266" s="603">
        <f t="shared" si="367"/>
        <v>0.19421730348272095</v>
      </c>
      <c r="AZ266" s="603">
        <f t="shared" si="367"/>
        <v>0.25059705525859066</v>
      </c>
      <c r="BA266" s="763"/>
      <c r="BB266" s="668"/>
      <c r="BC266" s="668"/>
      <c r="BD266" s="668"/>
      <c r="BE266" s="668"/>
      <c r="BF266" s="668"/>
      <c r="BG266" s="668"/>
      <c r="BH266" s="598"/>
      <c r="BI266" s="667"/>
      <c r="BJ266" s="667"/>
      <c r="BK266" s="667"/>
      <c r="BL266" s="667"/>
      <c r="BM266" s="667"/>
      <c r="BN266" s="667"/>
      <c r="BO266" s="667"/>
      <c r="BP266" s="603">
        <f t="shared" ref="BP266:BZ266" si="368">BP256/BP248</f>
        <v>0.13057060842519205</v>
      </c>
      <c r="BQ266" s="603">
        <f t="shared" si="368"/>
        <v>0.14482441202190818</v>
      </c>
      <c r="BR266" s="603">
        <f t="shared" si="368"/>
        <v>0.15385251262803878</v>
      </c>
      <c r="BS266" s="603">
        <f t="shared" si="368"/>
        <v>0.16254351654145954</v>
      </c>
      <c r="BT266" s="603">
        <f t="shared" si="368"/>
        <v>0.18024421948063749</v>
      </c>
      <c r="BU266" s="604">
        <f t="shared" si="368"/>
        <v>0.18912522464552969</v>
      </c>
      <c r="BV266" s="603">
        <f t="shared" si="368"/>
        <v>0.19392216420296299</v>
      </c>
      <c r="BW266" s="603">
        <f t="shared" si="368"/>
        <v>0.1993167938497821</v>
      </c>
      <c r="BX266" s="603">
        <f t="shared" si="368"/>
        <v>0.20798856611552743</v>
      </c>
      <c r="BY266" s="603">
        <f t="shared" si="368"/>
        <v>0.21576277779509154</v>
      </c>
      <c r="BZ266" s="603">
        <f t="shared" si="368"/>
        <v>0.22347191963867563</v>
      </c>
      <c r="CB266" s="23" t="s">
        <v>609</v>
      </c>
      <c r="DS266" s="603" t="e">
        <f t="shared" ref="DS266" si="369">DS256/DS248</f>
        <v>#DIV/0!</v>
      </c>
    </row>
    <row r="267" spans="1:123" s="790" customFormat="1">
      <c r="A267" s="711"/>
      <c r="B267" s="794" t="s">
        <v>525</v>
      </c>
      <c r="C267" s="713"/>
      <c r="D267" s="713"/>
      <c r="E267" s="713"/>
      <c r="F267" s="713"/>
      <c r="G267" s="714"/>
      <c r="H267" s="715"/>
      <c r="I267" s="715"/>
      <c r="J267" s="715"/>
      <c r="K267" s="716"/>
      <c r="L267" s="715"/>
      <c r="M267" s="673"/>
      <c r="N267" s="673"/>
      <c r="O267" s="673"/>
      <c r="P267" s="673"/>
      <c r="Q267" s="673"/>
      <c r="R267" s="673"/>
      <c r="S267" s="673"/>
      <c r="T267" s="673"/>
      <c r="U267" s="673"/>
      <c r="V267" s="673"/>
      <c r="W267" s="673"/>
      <c r="X267" s="673"/>
      <c r="Y267" s="667"/>
      <c r="Z267" s="667"/>
      <c r="AA267" s="667"/>
      <c r="AB267" s="667"/>
      <c r="AC267" s="667"/>
      <c r="AD267" s="667"/>
      <c r="AE267" s="603">
        <f>AE258/AE248</f>
        <v>7.7492226151007482E-2</v>
      </c>
      <c r="AF267" s="603">
        <f t="shared" ref="AF267:AZ267" si="370">AF258/AF248</f>
        <v>0.10285052693696647</v>
      </c>
      <c r="AG267" s="603">
        <f t="shared" si="370"/>
        <v>9.6508493982490992E-2</v>
      </c>
      <c r="AH267" s="603">
        <f t="shared" si="370"/>
        <v>0.10353375341758485</v>
      </c>
      <c r="AI267" s="603">
        <f t="shared" si="370"/>
        <v>9.3587251522042086E-2</v>
      </c>
      <c r="AJ267" s="603">
        <f t="shared" si="370"/>
        <v>0.11976983261808495</v>
      </c>
      <c r="AK267" s="603">
        <f t="shared" si="370"/>
        <v>0.10012747164077891</v>
      </c>
      <c r="AL267" s="603">
        <f t="shared" si="370"/>
        <v>0.12775123843110875</v>
      </c>
      <c r="AM267" s="603">
        <f t="shared" si="370"/>
        <v>0.11043311514762538</v>
      </c>
      <c r="AN267" s="603">
        <f t="shared" si="370"/>
        <v>0.14485167549362477</v>
      </c>
      <c r="AO267" s="603">
        <f t="shared" si="370"/>
        <v>0.11135483635557314</v>
      </c>
      <c r="AP267" s="604">
        <f t="shared" si="370"/>
        <v>0.15325667583361549</v>
      </c>
      <c r="AQ267" s="603">
        <f t="shared" si="370"/>
        <v>0.1178080292057879</v>
      </c>
      <c r="AR267" s="603">
        <f t="shared" si="370"/>
        <v>0.15998585492157105</v>
      </c>
      <c r="AS267" s="603">
        <f t="shared" si="370"/>
        <v>0.12036361147280213</v>
      </c>
      <c r="AT267" s="603">
        <f t="shared" si="370"/>
        <v>0.16487955705298971</v>
      </c>
      <c r="AU267" s="603">
        <f t="shared" si="370"/>
        <v>0.1275225482079746</v>
      </c>
      <c r="AV267" s="603">
        <f t="shared" si="370"/>
        <v>0.17001898472993573</v>
      </c>
      <c r="AW267" s="603">
        <f t="shared" si="370"/>
        <v>0.13324634366906329</v>
      </c>
      <c r="AX267" s="603">
        <f t="shared" si="370"/>
        <v>0.17510992584805771</v>
      </c>
      <c r="AY267" s="603">
        <f t="shared" si="370"/>
        <v>0.13892856986371618</v>
      </c>
      <c r="AZ267" s="603">
        <f t="shared" si="370"/>
        <v>0.18015150629361065</v>
      </c>
      <c r="BA267" s="763"/>
      <c r="BB267" s="668"/>
      <c r="BC267" s="668"/>
      <c r="BD267" s="668"/>
      <c r="BE267" s="668"/>
      <c r="BF267" s="668"/>
      <c r="BG267" s="668"/>
      <c r="BH267" s="598"/>
      <c r="BI267" s="667"/>
      <c r="BJ267" s="667"/>
      <c r="BK267" s="667"/>
      <c r="BL267" s="667"/>
      <c r="BM267" s="667"/>
      <c r="BN267" s="667"/>
      <c r="BO267" s="667"/>
      <c r="BP267" s="603">
        <f t="shared" ref="BP267:BZ267" si="371">BP258/BP248</f>
        <v>9.1034274870347445E-2</v>
      </c>
      <c r="BQ267" s="603">
        <f t="shared" si="371"/>
        <v>0.10018256853991191</v>
      </c>
      <c r="BR267" s="603">
        <f t="shared" si="371"/>
        <v>0.10734594372745768</v>
      </c>
      <c r="BS267" s="603">
        <f t="shared" si="371"/>
        <v>0.11616876274903065</v>
      </c>
      <c r="BT267" s="603">
        <f t="shared" si="371"/>
        <v>0.12842135932974436</v>
      </c>
      <c r="BU267" s="604">
        <f t="shared" si="371"/>
        <v>0.13336850393071395</v>
      </c>
      <c r="BV267" s="603">
        <f t="shared" si="371"/>
        <v>0.13967186053643951</v>
      </c>
      <c r="BW267" s="603">
        <f t="shared" si="371"/>
        <v>0.14347582626872155</v>
      </c>
      <c r="BX267" s="603">
        <f t="shared" si="371"/>
        <v>0.14956418230143353</v>
      </c>
      <c r="BY267" s="603">
        <f t="shared" si="371"/>
        <v>0.15496436807163999</v>
      </c>
      <c r="BZ267" s="603">
        <f t="shared" si="371"/>
        <v>0.16031853956191605</v>
      </c>
      <c r="CB267" s="23" t="s">
        <v>609</v>
      </c>
      <c r="DS267" s="603" t="e">
        <f t="shared" ref="DS267" si="372">DS258/DS248</f>
        <v>#DIV/0!</v>
      </c>
    </row>
    <row r="268" spans="1:123" s="790" customFormat="1">
      <c r="A268" s="711"/>
      <c r="B268" s="712"/>
      <c r="C268" s="713"/>
      <c r="D268" s="713"/>
      <c r="E268" s="713"/>
      <c r="F268" s="713"/>
      <c r="G268" s="714"/>
      <c r="H268" s="715"/>
      <c r="I268" s="715"/>
      <c r="J268" s="715"/>
      <c r="K268" s="716"/>
      <c r="L268" s="715"/>
      <c r="M268" s="673"/>
      <c r="N268" s="673"/>
      <c r="O268" s="673"/>
      <c r="P268" s="673"/>
      <c r="Q268" s="673"/>
      <c r="R268" s="673"/>
      <c r="S268" s="673"/>
      <c r="T268" s="673"/>
      <c r="U268" s="673"/>
      <c r="V268" s="673"/>
      <c r="W268" s="673"/>
      <c r="X268" s="673"/>
      <c r="Y268" s="720"/>
      <c r="Z268" s="183"/>
      <c r="AA268" s="720"/>
      <c r="AB268" s="183"/>
      <c r="AC268" s="720"/>
      <c r="AD268" s="206"/>
      <c r="AE268" s="667"/>
      <c r="AF268" s="183"/>
      <c r="AG268" s="667"/>
      <c r="AH268" s="183"/>
      <c r="AI268" s="667"/>
      <c r="AJ268" s="183"/>
      <c r="AK268" s="720"/>
      <c r="AL268" s="720"/>
      <c r="AM268" s="720"/>
      <c r="AN268" s="720"/>
      <c r="AO268" s="720"/>
      <c r="AP268" s="733"/>
      <c r="AQ268" s="720"/>
      <c r="AR268" s="720"/>
      <c r="AS268" s="720"/>
      <c r="AT268" s="720"/>
      <c r="AU268" s="720"/>
      <c r="AV268" s="720"/>
      <c r="AW268" s="720"/>
      <c r="AX268" s="720"/>
      <c r="AY268" s="720"/>
      <c r="AZ268" s="720"/>
      <c r="BA268" s="724"/>
      <c r="BB268" s="702"/>
      <c r="BC268" s="702"/>
      <c r="BD268" s="702"/>
      <c r="BE268" s="702"/>
      <c r="BF268" s="702"/>
      <c r="BG268" s="702"/>
      <c r="BH268" s="600"/>
      <c r="BI268" s="720"/>
      <c r="BJ268" s="720"/>
      <c r="BK268" s="720"/>
      <c r="BL268" s="720"/>
      <c r="BM268" s="720"/>
      <c r="BN268" s="720"/>
      <c r="BO268" s="720"/>
      <c r="BP268" s="720"/>
      <c r="BQ268" s="720"/>
      <c r="BR268" s="720"/>
      <c r="BS268" s="720"/>
      <c r="BT268" s="263"/>
      <c r="BU268" s="509"/>
      <c r="BV268" s="263"/>
      <c r="BW268" s="263"/>
      <c r="BX268" s="263"/>
      <c r="BY268" s="263"/>
      <c r="BZ268" s="263"/>
      <c r="DS268" s="263"/>
    </row>
    <row r="269" spans="1:123" s="70" customFormat="1">
      <c r="A269" s="67"/>
      <c r="B269" s="95" t="s">
        <v>82</v>
      </c>
      <c r="C269" s="96"/>
      <c r="D269" s="96"/>
      <c r="E269" s="96"/>
      <c r="F269" s="96"/>
      <c r="G269" s="97"/>
      <c r="H269" s="560"/>
      <c r="I269" s="560"/>
      <c r="J269" s="560"/>
      <c r="K269" s="560"/>
      <c r="L269" s="560"/>
      <c r="M269" s="560"/>
      <c r="N269" s="560"/>
      <c r="O269" s="560"/>
      <c r="P269" s="561"/>
      <c r="Q269" s="561"/>
      <c r="R269" s="561"/>
      <c r="S269" s="561"/>
      <c r="T269" s="561"/>
      <c r="U269" s="562"/>
      <c r="V269" s="562"/>
      <c r="W269" s="562"/>
      <c r="X269" s="562"/>
      <c r="Y269" s="562"/>
      <c r="Z269" s="562"/>
      <c r="AA269" s="562"/>
      <c r="AB269" s="562"/>
      <c r="AC269" s="562"/>
      <c r="AD269" s="562"/>
      <c r="AE269" s="562"/>
      <c r="AF269" s="562"/>
      <c r="AG269" s="562"/>
      <c r="AH269" s="562"/>
      <c r="AI269" s="562"/>
      <c r="AJ269" s="562"/>
      <c r="AK269" s="562"/>
      <c r="AL269" s="562"/>
      <c r="AM269" s="562"/>
      <c r="AN269" s="562"/>
      <c r="AO269" s="562"/>
      <c r="AP269" s="563"/>
      <c r="AQ269" s="562"/>
      <c r="AR269" s="562"/>
      <c r="AS269" s="562"/>
      <c r="AT269" s="562"/>
      <c r="AU269" s="562"/>
      <c r="AV269" s="562"/>
      <c r="AW269" s="562"/>
      <c r="AX269" s="562"/>
      <c r="AY269" s="562"/>
      <c r="AZ269" s="562"/>
      <c r="BA269" s="564"/>
      <c r="BB269" s="565"/>
      <c r="BC269" s="565"/>
      <c r="BD269" s="565"/>
      <c r="BE269" s="565"/>
      <c r="BF269" s="565"/>
      <c r="BG269" s="565"/>
      <c r="BH269" s="565"/>
      <c r="BI269" s="562"/>
      <c r="BJ269" s="98"/>
      <c r="BK269" s="98"/>
      <c r="BL269" s="98"/>
      <c r="BM269" s="98"/>
      <c r="BN269" s="98"/>
      <c r="BO269" s="98"/>
      <c r="BP269" s="98"/>
      <c r="BQ269" s="98"/>
      <c r="BR269" s="98"/>
      <c r="BS269" s="98"/>
      <c r="BT269" s="97"/>
      <c r="BU269" s="510"/>
      <c r="BV269" s="97"/>
      <c r="BW269" s="97"/>
      <c r="BX269" s="97"/>
      <c r="BY269" s="97"/>
      <c r="BZ269" s="97"/>
      <c r="DS269" s="97"/>
    </row>
    <row r="270" spans="1:123" s="70" customFormat="1">
      <c r="A270" s="78"/>
      <c r="B270" s="75"/>
      <c r="S270" s="93"/>
      <c r="T270" s="93"/>
      <c r="U270" s="93"/>
      <c r="V270" s="93"/>
      <c r="W270" s="93"/>
      <c r="X270" s="93"/>
      <c r="Y270" s="93"/>
      <c r="Z270" s="93"/>
      <c r="AA270" s="93"/>
      <c r="AB270" s="93"/>
      <c r="AC270" s="93"/>
      <c r="AD270" s="93"/>
      <c r="AE270" s="93"/>
      <c r="AF270" s="93"/>
      <c r="AG270" s="93"/>
      <c r="AH270" s="93"/>
      <c r="AI270" s="93"/>
      <c r="AJ270" s="93"/>
      <c r="AK270" s="93"/>
      <c r="AL270" s="93"/>
      <c r="AM270" s="93"/>
      <c r="AN270" s="93"/>
      <c r="AO270" s="93"/>
      <c r="AP270" s="459"/>
      <c r="AQ270" s="93"/>
      <c r="AR270" s="93"/>
      <c r="AS270" s="93"/>
      <c r="AT270" s="93"/>
      <c r="AU270" s="93"/>
      <c r="AV270" s="93"/>
      <c r="AW270" s="93"/>
      <c r="AX270" s="93"/>
      <c r="AY270" s="93"/>
      <c r="AZ270" s="93"/>
      <c r="BA270" s="564"/>
      <c r="BB270" s="580"/>
      <c r="BC270" s="580"/>
      <c r="BD270" s="580"/>
      <c r="BE270" s="580"/>
      <c r="BF270" s="580"/>
      <c r="BG270" s="580"/>
      <c r="BH270" s="580"/>
      <c r="BI270" s="580"/>
      <c r="BK270" s="75"/>
      <c r="BL270" s="75"/>
      <c r="BM270" s="75"/>
      <c r="BN270" s="75"/>
      <c r="BO270" s="75"/>
      <c r="BP270" s="75"/>
      <c r="BQ270" s="75"/>
      <c r="BR270" s="75"/>
      <c r="BS270" s="75"/>
      <c r="BT270" s="75"/>
      <c r="BU270" s="308"/>
      <c r="BV270" s="75"/>
      <c r="BW270" s="75"/>
      <c r="BX270" s="75"/>
      <c r="BY270" s="75"/>
      <c r="BZ270" s="75"/>
      <c r="DS270" s="75"/>
    </row>
    <row r="271" spans="1:123" s="104" customFormat="1">
      <c r="A271" s="103" t="s">
        <v>159</v>
      </c>
      <c r="B271" s="104" t="s">
        <v>152</v>
      </c>
      <c r="C271" s="105"/>
      <c r="D271" s="105"/>
      <c r="E271" s="105"/>
      <c r="F271" s="105"/>
      <c r="G271" s="105"/>
      <c r="H271" s="105"/>
      <c r="I271" s="105"/>
      <c r="J271" s="105"/>
      <c r="K271" s="105"/>
      <c r="L271" s="105"/>
      <c r="M271" s="105"/>
      <c r="Y271" s="162">
        <f t="shared" ref="Y271:AZ271" si="373">X272</f>
        <v>63.846476000000003</v>
      </c>
      <c r="Z271" s="162">
        <f t="shared" si="373"/>
        <v>63.846476000000003</v>
      </c>
      <c r="AA271" s="162">
        <f t="shared" si="373"/>
        <v>63.846476000000003</v>
      </c>
      <c r="AB271" s="162">
        <f t="shared" si="373"/>
        <v>63.846469999999997</v>
      </c>
      <c r="AC271" s="162">
        <f t="shared" si="373"/>
        <v>63.846476000000003</v>
      </c>
      <c r="AD271" s="162">
        <f t="shared" si="373"/>
        <v>73.352698000000004</v>
      </c>
      <c r="AE271" s="162">
        <f t="shared" si="373"/>
        <v>73.502778000000006</v>
      </c>
      <c r="AF271" s="162">
        <f t="shared" si="373"/>
        <v>73.796870999999996</v>
      </c>
      <c r="AG271" s="162">
        <f t="shared" si="373"/>
        <v>73.818757000000005</v>
      </c>
      <c r="AH271" s="162">
        <f t="shared" si="373"/>
        <v>74.379200999999995</v>
      </c>
      <c r="AI271" s="162">
        <f t="shared" si="373"/>
        <v>74.403507000000005</v>
      </c>
      <c r="AJ271" s="162">
        <f t="shared" si="373"/>
        <v>74.459057000000001</v>
      </c>
      <c r="AK271" s="51">
        <f t="shared" si="373"/>
        <v>92.409126000000001</v>
      </c>
      <c r="AL271" s="51">
        <f t="shared" si="373"/>
        <v>101.530518</v>
      </c>
      <c r="AM271" s="51">
        <f t="shared" si="373"/>
        <v>108.40562</v>
      </c>
      <c r="AN271" s="51">
        <f t="shared" si="373"/>
        <v>108.40562</v>
      </c>
      <c r="AO271" s="51">
        <f t="shared" si="373"/>
        <v>115.678348</v>
      </c>
      <c r="AP271" s="443">
        <f t="shared" si="373"/>
        <v>116.587434</v>
      </c>
      <c r="AQ271" s="51">
        <f t="shared" si="373"/>
        <v>116.587434</v>
      </c>
      <c r="AR271" s="51">
        <f t="shared" si="373"/>
        <v>116.587434</v>
      </c>
      <c r="AS271" s="51">
        <f t="shared" si="373"/>
        <v>116.587434</v>
      </c>
      <c r="AT271" s="51">
        <f t="shared" si="373"/>
        <v>116.587434</v>
      </c>
      <c r="AU271" s="51">
        <f t="shared" si="373"/>
        <v>116.587434</v>
      </c>
      <c r="AV271" s="51">
        <f t="shared" si="373"/>
        <v>116.587434</v>
      </c>
      <c r="AW271" s="51">
        <f t="shared" si="373"/>
        <v>116.587434</v>
      </c>
      <c r="AX271" s="51">
        <f t="shared" si="373"/>
        <v>116.587434</v>
      </c>
      <c r="AY271" s="51">
        <f t="shared" si="373"/>
        <v>116.587434</v>
      </c>
      <c r="AZ271" s="51">
        <f t="shared" si="373"/>
        <v>116.587434</v>
      </c>
      <c r="BA271" s="51"/>
      <c r="BB271" s="51"/>
      <c r="BC271" s="51"/>
      <c r="BD271" s="51"/>
      <c r="BE271" s="51"/>
      <c r="BF271" s="51"/>
      <c r="BG271" s="51"/>
      <c r="BH271" s="51"/>
      <c r="BI271" s="51"/>
      <c r="BJ271" s="51"/>
      <c r="BK271" s="51"/>
      <c r="BL271" s="51"/>
      <c r="BM271" s="51">
        <f t="shared" ref="BM271:BS271" si="374">BL272</f>
        <v>0</v>
      </c>
      <c r="BN271" s="51">
        <f t="shared" si="374"/>
        <v>63.846476000000003</v>
      </c>
      <c r="BO271" s="51">
        <f t="shared" si="374"/>
        <v>63.846476000000003</v>
      </c>
      <c r="BP271" s="51">
        <f t="shared" si="374"/>
        <v>73.502778000000006</v>
      </c>
      <c r="BQ271" s="51">
        <f t="shared" si="374"/>
        <v>73.818757000000005</v>
      </c>
      <c r="BR271" s="51">
        <f t="shared" si="374"/>
        <v>74.403507000000005</v>
      </c>
      <c r="BS271" s="51">
        <f t="shared" si="374"/>
        <v>92.409126000000001</v>
      </c>
      <c r="BT271" s="51">
        <f>AN271</f>
        <v>108.40562</v>
      </c>
      <c r="BU271" s="443">
        <f>AP271</f>
        <v>116.587434</v>
      </c>
      <c r="BV271" s="51">
        <f>AR271</f>
        <v>116.587434</v>
      </c>
      <c r="BW271" s="51">
        <f>AT271</f>
        <v>116.587434</v>
      </c>
      <c r="BX271" s="51">
        <f>AV271</f>
        <v>116.587434</v>
      </c>
      <c r="BY271" s="51">
        <f>AX271</f>
        <v>116.587434</v>
      </c>
      <c r="BZ271" s="51">
        <f>AZ271</f>
        <v>116.587434</v>
      </c>
      <c r="CB271" s="23" t="s">
        <v>609</v>
      </c>
      <c r="DS271" s="51">
        <f>CV271</f>
        <v>0</v>
      </c>
    </row>
    <row r="272" spans="1:123" s="104" customFormat="1">
      <c r="A272" s="103" t="s">
        <v>113</v>
      </c>
      <c r="B272" s="104" t="s">
        <v>4</v>
      </c>
      <c r="C272" s="106"/>
      <c r="D272" s="106"/>
      <c r="E272" s="106"/>
      <c r="F272" s="106"/>
      <c r="G272" s="106"/>
      <c r="H272" s="106"/>
      <c r="I272" s="106"/>
      <c r="J272" s="106"/>
      <c r="K272" s="106"/>
      <c r="L272" s="106"/>
      <c r="X272" s="242">
        <v>63.846476000000003</v>
      </c>
      <c r="Y272" s="107">
        <v>63.846476000000003</v>
      </c>
      <c r="Z272" s="51">
        <f>BM272</f>
        <v>63.846476000000003</v>
      </c>
      <c r="AA272" s="107">
        <v>63.846469999999997</v>
      </c>
      <c r="AB272" s="162">
        <f>BN272</f>
        <v>63.846476000000003</v>
      </c>
      <c r="AC272" s="107">
        <v>73.352698000000004</v>
      </c>
      <c r="AD272" s="162">
        <f>BO272</f>
        <v>73.502778000000006</v>
      </c>
      <c r="AE272" s="174">
        <v>73.796870999999996</v>
      </c>
      <c r="AF272" s="162">
        <f>BP272</f>
        <v>73.818757000000005</v>
      </c>
      <c r="AG272" s="174">
        <v>74.379200999999995</v>
      </c>
      <c r="AH272" s="162">
        <f>BQ272</f>
        <v>74.403507000000005</v>
      </c>
      <c r="AI272" s="107">
        <v>74.459057000000001</v>
      </c>
      <c r="AJ272" s="162">
        <f>BR272</f>
        <v>92.409126000000001</v>
      </c>
      <c r="AK272" s="107">
        <v>101.530518</v>
      </c>
      <c r="AL272" s="107">
        <f>BS272</f>
        <v>108.40562</v>
      </c>
      <c r="AM272" s="107">
        <v>108.40562</v>
      </c>
      <c r="AN272" s="107">
        <f>BT272</f>
        <v>115.678348</v>
      </c>
      <c r="AO272" s="107">
        <v>116.587434</v>
      </c>
      <c r="AP272" s="443">
        <f>BU272</f>
        <v>116.587434</v>
      </c>
      <c r="AQ272" s="51">
        <f t="shared" ref="AQ272:AZ272" si="375">AP272+AQ33</f>
        <v>116.587434</v>
      </c>
      <c r="AR272" s="51">
        <f t="shared" si="375"/>
        <v>116.587434</v>
      </c>
      <c r="AS272" s="51">
        <f t="shared" si="375"/>
        <v>116.587434</v>
      </c>
      <c r="AT272" s="51">
        <f t="shared" si="375"/>
        <v>116.587434</v>
      </c>
      <c r="AU272" s="51">
        <f t="shared" si="375"/>
        <v>116.587434</v>
      </c>
      <c r="AV272" s="51">
        <f t="shared" si="375"/>
        <v>116.587434</v>
      </c>
      <c r="AW272" s="51">
        <f t="shared" si="375"/>
        <v>116.587434</v>
      </c>
      <c r="AX272" s="51">
        <f t="shared" si="375"/>
        <v>116.587434</v>
      </c>
      <c r="AY272" s="51">
        <f t="shared" si="375"/>
        <v>116.587434</v>
      </c>
      <c r="AZ272" s="51">
        <f t="shared" si="375"/>
        <v>116.587434</v>
      </c>
      <c r="BA272" s="51"/>
      <c r="BB272" s="51"/>
      <c r="BC272" s="51"/>
      <c r="BD272" s="51"/>
      <c r="BE272" s="51"/>
      <c r="BF272" s="51"/>
      <c r="BG272" s="51"/>
      <c r="BH272" s="39"/>
      <c r="BI272" s="51"/>
      <c r="BJ272" s="51"/>
      <c r="BK272" s="51"/>
      <c r="BL272" s="51"/>
      <c r="BM272" s="107">
        <v>63.846476000000003</v>
      </c>
      <c r="BN272" s="107">
        <v>63.846476000000003</v>
      </c>
      <c r="BO272" s="174">
        <v>73.502778000000006</v>
      </c>
      <c r="BP272" s="218">
        <v>73.818757000000005</v>
      </c>
      <c r="BQ272" s="218">
        <v>74.403507000000005</v>
      </c>
      <c r="BR272" s="218">
        <v>92.409126000000001</v>
      </c>
      <c r="BS272" s="218">
        <v>108.40562</v>
      </c>
      <c r="BT272" s="218">
        <v>115.678348</v>
      </c>
      <c r="BU272" s="528">
        <v>116.587434</v>
      </c>
      <c r="BV272" s="51">
        <f>AR272</f>
        <v>116.587434</v>
      </c>
      <c r="BW272" s="51">
        <f>AT272</f>
        <v>116.587434</v>
      </c>
      <c r="BX272" s="51">
        <f>AV272</f>
        <v>116.587434</v>
      </c>
      <c r="BY272" s="51">
        <f>AX272</f>
        <v>116.587434</v>
      </c>
      <c r="BZ272" s="51">
        <f>AZ272</f>
        <v>116.587434</v>
      </c>
      <c r="CB272" s="104" t="s">
        <v>622</v>
      </c>
      <c r="DS272" s="51">
        <f>CV272</f>
        <v>0</v>
      </c>
    </row>
    <row r="273" spans="1:123" s="104" customFormat="1">
      <c r="A273" s="103" t="s">
        <v>114</v>
      </c>
      <c r="B273" s="104" t="s">
        <v>5</v>
      </c>
      <c r="C273" s="105"/>
      <c r="D273" s="105"/>
      <c r="E273" s="105"/>
      <c r="F273" s="105"/>
      <c r="G273" s="105"/>
      <c r="H273" s="105"/>
      <c r="I273" s="105"/>
      <c r="J273" s="105"/>
      <c r="K273" s="105"/>
      <c r="L273" s="105"/>
      <c r="M273" s="105"/>
      <c r="N273" s="105"/>
      <c r="O273" s="105"/>
      <c r="P273" s="105"/>
      <c r="Q273" s="105"/>
      <c r="R273" s="105"/>
      <c r="S273" s="105"/>
      <c r="T273" s="108"/>
      <c r="U273" s="105"/>
      <c r="V273" s="108"/>
      <c r="W273" s="105"/>
      <c r="X273" s="108"/>
      <c r="Y273" s="51">
        <f>'Statutory P&amp;L'!Y24/Y276</f>
        <v>63.938144329896907</v>
      </c>
      <c r="Z273" s="51">
        <f>BM273</f>
        <v>63.846476000000003</v>
      </c>
      <c r="AA273" s="51">
        <f>'Statutory P&amp;L'!AA24/AA276</f>
        <v>63.849462365591442</v>
      </c>
      <c r="AB273" s="162">
        <f>BN273</f>
        <v>63.846476000000003</v>
      </c>
      <c r="AC273" s="107">
        <v>65.794313000000002</v>
      </c>
      <c r="AD273" s="162">
        <f>BO273</f>
        <v>69.593000000000004</v>
      </c>
      <c r="AE273" s="174">
        <v>73.638636000000005</v>
      </c>
      <c r="AF273" s="162">
        <f>BP273</f>
        <v>73.724000000000004</v>
      </c>
      <c r="AG273" s="174">
        <v>74.139223000000001</v>
      </c>
      <c r="AH273" s="162">
        <f>BQ273</f>
        <v>74.266000000000005</v>
      </c>
      <c r="AI273" s="107">
        <v>74.418903999999998</v>
      </c>
      <c r="AJ273" s="162">
        <f>BR273</f>
        <v>76.546000000000006</v>
      </c>
      <c r="AK273" s="107">
        <v>96.838915</v>
      </c>
      <c r="AL273" s="107">
        <f>BS273</f>
        <v>99.837000000000003</v>
      </c>
      <c r="AM273" s="107">
        <v>108.40562</v>
      </c>
      <c r="AN273" s="107">
        <f>BT273</f>
        <v>109.08122899999999</v>
      </c>
      <c r="AO273" s="107">
        <v>116.567671</v>
      </c>
      <c r="AP273" s="443">
        <f>BU273</f>
        <v>116.577471</v>
      </c>
      <c r="AQ273" s="51">
        <f t="shared" ref="AQ273:AZ273" si="376">AVERAGE(AP272:AQ272)</f>
        <v>116.587434</v>
      </c>
      <c r="AR273" s="51">
        <f t="shared" si="376"/>
        <v>116.587434</v>
      </c>
      <c r="AS273" s="51">
        <f t="shared" si="376"/>
        <v>116.587434</v>
      </c>
      <c r="AT273" s="51">
        <f t="shared" si="376"/>
        <v>116.587434</v>
      </c>
      <c r="AU273" s="51">
        <f t="shared" si="376"/>
        <v>116.587434</v>
      </c>
      <c r="AV273" s="51">
        <f t="shared" si="376"/>
        <v>116.587434</v>
      </c>
      <c r="AW273" s="51">
        <f t="shared" si="376"/>
        <v>116.587434</v>
      </c>
      <c r="AX273" s="51">
        <f t="shared" si="376"/>
        <v>116.587434</v>
      </c>
      <c r="AY273" s="51">
        <f t="shared" si="376"/>
        <v>116.587434</v>
      </c>
      <c r="AZ273" s="51">
        <f t="shared" si="376"/>
        <v>116.587434</v>
      </c>
      <c r="BA273" s="51"/>
      <c r="BB273" s="51"/>
      <c r="BC273" s="51"/>
      <c r="BD273" s="51"/>
      <c r="BE273" s="51"/>
      <c r="BF273" s="51"/>
      <c r="BG273" s="51"/>
      <c r="BH273" s="51"/>
      <c r="BI273" s="107"/>
      <c r="BJ273" s="109"/>
      <c r="BK273" s="107"/>
      <c r="BL273" s="107"/>
      <c r="BM273" s="107">
        <v>63.846476000000003</v>
      </c>
      <c r="BN273" s="107">
        <v>63.846476000000003</v>
      </c>
      <c r="BO273" s="188">
        <v>69.593000000000004</v>
      </c>
      <c r="BP273" s="218">
        <v>73.724000000000004</v>
      </c>
      <c r="BQ273" s="218">
        <v>74.266000000000005</v>
      </c>
      <c r="BR273" s="218">
        <v>76.546000000000006</v>
      </c>
      <c r="BS273" s="218">
        <v>99.837000000000003</v>
      </c>
      <c r="BT273" s="218">
        <v>109.08122899999999</v>
      </c>
      <c r="BU273" s="528">
        <v>116.577471</v>
      </c>
      <c r="BV273" s="51">
        <f>SUMPRODUCT(AQ$273:AR$273,AQ$5:AR$5)/SUM(AQ$5:AR$5)</f>
        <v>116.587434</v>
      </c>
      <c r="BW273" s="51">
        <f>SUMPRODUCT(AS$273:AT$273,AS$5:AT$5)/SUM(AS$5:AT$5)</f>
        <v>116.587434</v>
      </c>
      <c r="BX273" s="51">
        <f>SUMPRODUCT(AU$273:AV$273,AU$5:AV$5)/SUM(AU$5:AV$5)</f>
        <v>116.587434</v>
      </c>
      <c r="BY273" s="51">
        <f>SUMPRODUCT(AW$273:AX$273,AW$5:AX$5)/SUM(AW$5:AX$5)</f>
        <v>116.587434</v>
      </c>
      <c r="BZ273" s="51">
        <f>SUMPRODUCT(AY$273:AZ$273,AY$5:AZ$5)/SUM(AY$5:AZ$5)</f>
        <v>116.587434</v>
      </c>
      <c r="CB273" s="104" t="s">
        <v>622</v>
      </c>
      <c r="DS273" s="51" t="e">
        <f>SUMPRODUCT(CU$273:CV$273,CU$5:CV$5)/SUM(CU$5:CV$5)</f>
        <v>#DIV/0!</v>
      </c>
    </row>
    <row r="274" spans="1:123" s="104" customFormat="1">
      <c r="A274" s="103" t="s">
        <v>115</v>
      </c>
      <c r="B274" s="104" t="s">
        <v>35</v>
      </c>
      <c r="C274" s="105"/>
      <c r="D274" s="105"/>
      <c r="E274" s="105"/>
      <c r="F274" s="105"/>
      <c r="G274" s="105"/>
      <c r="H274" s="105"/>
      <c r="I274" s="105"/>
      <c r="J274" s="105"/>
      <c r="K274" s="105"/>
      <c r="L274" s="105"/>
      <c r="M274" s="105"/>
      <c r="N274" s="105"/>
      <c r="O274" s="105"/>
      <c r="P274" s="105"/>
      <c r="Q274" s="105"/>
      <c r="R274" s="105"/>
      <c r="S274" s="105"/>
      <c r="T274" s="108"/>
      <c r="U274" s="105"/>
      <c r="V274" s="108"/>
      <c r="W274" s="105"/>
      <c r="X274" s="108"/>
      <c r="Y274" s="51">
        <f>'Statutory P&amp;L'!Y24/Y277</f>
        <v>64.269430051813472</v>
      </c>
      <c r="Z274" s="51">
        <f>BM274</f>
        <v>64.058999999999997</v>
      </c>
      <c r="AA274" s="51">
        <f>'Statutory P&amp;L'!AA24/AA277</f>
        <v>64.194594594594633</v>
      </c>
      <c r="AB274" s="162">
        <f>BN274</f>
        <v>64.087999999999994</v>
      </c>
      <c r="AC274" s="107">
        <v>65.891801830781105</v>
      </c>
      <c r="AD274" s="162">
        <f>BO274</f>
        <v>69.674000000000007</v>
      </c>
      <c r="AE274" s="174">
        <v>73.72372</v>
      </c>
      <c r="AF274" s="162">
        <f>BP274</f>
        <v>73.896000000000001</v>
      </c>
      <c r="AG274" s="174">
        <v>74.265625999999997</v>
      </c>
      <c r="AH274" s="162">
        <f>BQ274</f>
        <v>74.488</v>
      </c>
      <c r="AI274" s="51">
        <f>'Statutory P&amp;L'!AI24/AI277</f>
        <v>74.789619551524325</v>
      </c>
      <c r="AJ274" s="162">
        <f>BR274</f>
        <v>76.814999999999998</v>
      </c>
      <c r="AK274" s="51">
        <f>AK273</f>
        <v>96.838915</v>
      </c>
      <c r="AL274" s="51">
        <f>BS274</f>
        <v>100.267</v>
      </c>
      <c r="AM274" s="51">
        <f>AM273</f>
        <v>108.40562</v>
      </c>
      <c r="AN274" s="51">
        <f>BT274</f>
        <v>109.839</v>
      </c>
      <c r="AO274" s="51">
        <f>AO273</f>
        <v>116.567671</v>
      </c>
      <c r="AP274" s="443">
        <f>BU274</f>
        <v>117.495</v>
      </c>
      <c r="AQ274" s="51">
        <f t="shared" ref="AQ274:AZ274" si="377">AP274*AQ273/AP273+0</f>
        <v>117.50504141430552</v>
      </c>
      <c r="AR274" s="51">
        <f t="shared" si="377"/>
        <v>117.50504141430552</v>
      </c>
      <c r="AS274" s="51">
        <f t="shared" si="377"/>
        <v>117.50504141430552</v>
      </c>
      <c r="AT274" s="51">
        <f t="shared" si="377"/>
        <v>117.50504141430552</v>
      </c>
      <c r="AU274" s="51">
        <f t="shared" si="377"/>
        <v>117.50504141430552</v>
      </c>
      <c r="AV274" s="51">
        <f t="shared" si="377"/>
        <v>117.50504141430552</v>
      </c>
      <c r="AW274" s="51">
        <f t="shared" si="377"/>
        <v>117.50504141430552</v>
      </c>
      <c r="AX274" s="51">
        <f t="shared" si="377"/>
        <v>117.50504141430552</v>
      </c>
      <c r="AY274" s="51">
        <f t="shared" si="377"/>
        <v>117.50504141430552</v>
      </c>
      <c r="AZ274" s="51">
        <f t="shared" si="377"/>
        <v>117.50504141430552</v>
      </c>
      <c r="BA274" s="51"/>
      <c r="BB274" s="51"/>
      <c r="BC274" s="51"/>
      <c r="BD274" s="51"/>
      <c r="BE274" s="51"/>
      <c r="BF274" s="51"/>
      <c r="BG274" s="51"/>
      <c r="BH274" s="51"/>
      <c r="BI274" s="107"/>
      <c r="BJ274" s="109"/>
      <c r="BK274" s="107"/>
      <c r="BL274" s="107"/>
      <c r="BM274" s="107">
        <v>64.058999999999997</v>
      </c>
      <c r="BN274" s="107">
        <v>64.087999999999994</v>
      </c>
      <c r="BO274" s="188">
        <v>69.674000000000007</v>
      </c>
      <c r="BP274" s="218">
        <v>73.896000000000001</v>
      </c>
      <c r="BQ274" s="242">
        <v>74.488</v>
      </c>
      <c r="BR274" s="242">
        <v>76.814999999999998</v>
      </c>
      <c r="BS274" s="242">
        <v>100.267</v>
      </c>
      <c r="BT274" s="242">
        <v>109.839</v>
      </c>
      <c r="BU274" s="529">
        <v>117.495</v>
      </c>
      <c r="BV274" s="51">
        <f>SUMPRODUCT(AQ$273:AR$273,AQ$5:AR$5)/SUM(AQ$5:AR$5)</f>
        <v>116.587434</v>
      </c>
      <c r="BW274" s="51">
        <f>SUMPRODUCT(AS$273:AT$273,AS$5:AT$5)/SUM(AS$5:AT$5)</f>
        <v>116.587434</v>
      </c>
      <c r="BX274" s="51">
        <f>SUMPRODUCT(AU$273:AV$273,AU$5:AV$5)/SUM(AU$5:AV$5)</f>
        <v>116.587434</v>
      </c>
      <c r="BY274" s="51">
        <f>SUMPRODUCT(AW$273:AX$273,AW$5:AX$5)/SUM(AW$5:AX$5)</f>
        <v>116.587434</v>
      </c>
      <c r="BZ274" s="51">
        <f>SUMPRODUCT(AY$273:AZ$273,AY$5:AZ$5)/SUM(AY$5:AZ$5)</f>
        <v>116.587434</v>
      </c>
      <c r="CB274" s="104" t="s">
        <v>609</v>
      </c>
      <c r="DS274" s="51" t="e">
        <f>SUMPRODUCT(CU$273:CV$273,CU$5:CV$5)/SUM(CU$5:CV$5)</f>
        <v>#DIV/0!</v>
      </c>
    </row>
    <row r="275" spans="1:123" s="70" customFormat="1">
      <c r="A275" s="78"/>
      <c r="B275" s="75"/>
      <c r="C275" s="110"/>
      <c r="D275" s="110"/>
      <c r="E275" s="110"/>
      <c r="F275" s="110"/>
      <c r="G275" s="110"/>
      <c r="H275" s="110"/>
      <c r="I275" s="110"/>
      <c r="J275" s="110"/>
      <c r="K275" s="111"/>
      <c r="L275" s="110"/>
      <c r="M275" s="110"/>
      <c r="N275" s="110"/>
      <c r="O275" s="110"/>
      <c r="P275" s="111"/>
      <c r="Q275" s="110"/>
      <c r="R275" s="110"/>
      <c r="S275" s="110"/>
      <c r="T275" s="110"/>
      <c r="U275" s="110"/>
      <c r="V275" s="110"/>
      <c r="W275" s="111"/>
      <c r="X275" s="111"/>
      <c r="Y275" s="75"/>
      <c r="Z275" s="75"/>
      <c r="AA275" s="75"/>
      <c r="AB275" s="75"/>
      <c r="AC275" s="75"/>
      <c r="AD275" s="75"/>
      <c r="AE275" s="162"/>
      <c r="AF275" s="162"/>
      <c r="AG275" s="162"/>
      <c r="AH275" s="162"/>
      <c r="AI275" s="75"/>
      <c r="AJ275" s="162"/>
      <c r="AK275" s="75"/>
      <c r="AL275" s="75"/>
      <c r="AM275" s="75"/>
      <c r="AN275" s="75"/>
      <c r="AO275" s="75"/>
      <c r="AP275" s="308"/>
      <c r="AQ275" s="75"/>
      <c r="AR275" s="75"/>
      <c r="AS275" s="75"/>
      <c r="AT275" s="75"/>
      <c r="AU275" s="75"/>
      <c r="AV275" s="75"/>
      <c r="AW275" s="75"/>
      <c r="AX275" s="75"/>
      <c r="AY275" s="75"/>
      <c r="AZ275" s="75"/>
      <c r="BA275" s="564"/>
      <c r="BB275" s="88"/>
      <c r="BC275" s="88"/>
      <c r="BD275" s="88"/>
      <c r="BE275" s="88"/>
      <c r="BF275" s="88"/>
      <c r="BG275" s="88"/>
      <c r="BH275" s="88"/>
      <c r="BI275" s="88"/>
      <c r="BJ275" s="88"/>
      <c r="BK275" s="88"/>
      <c r="BL275" s="88"/>
      <c r="BM275" s="88"/>
      <c r="BN275" s="88"/>
      <c r="BO275" s="131"/>
      <c r="BP275" s="131"/>
      <c r="BQ275" s="131"/>
      <c r="BR275" s="131"/>
      <c r="BS275" s="131"/>
      <c r="BT275" s="51"/>
      <c r="BU275" s="443"/>
      <c r="BV275" s="51"/>
      <c r="BW275" s="51"/>
      <c r="BX275" s="51"/>
      <c r="BY275" s="51"/>
      <c r="BZ275" s="51"/>
      <c r="DS275" s="51"/>
    </row>
    <row r="276" spans="1:123" s="75" customFormat="1">
      <c r="A276" s="78" t="s">
        <v>66</v>
      </c>
      <c r="B276" s="75" t="s">
        <v>122</v>
      </c>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201">
        <v>0.19400000000000001</v>
      </c>
      <c r="Z276" s="219">
        <f>Z262/Z273</f>
        <v>0.3223983732477263</v>
      </c>
      <c r="AA276" s="201">
        <v>0.372</v>
      </c>
      <c r="AB276" s="219">
        <f t="shared" ref="AB276:AP276" si="378">AB262/AB273</f>
        <v>0.35660542956200098</v>
      </c>
      <c r="AC276" s="219">
        <f t="shared" si="378"/>
        <v>0.30133303466516909</v>
      </c>
      <c r="AD276" s="219">
        <f t="shared" si="378"/>
        <v>0.41002687051858677</v>
      </c>
      <c r="AE276" s="219">
        <f t="shared" si="378"/>
        <v>0.2253708230011213</v>
      </c>
      <c r="AF276" s="219">
        <f t="shared" si="378"/>
        <v>0.412185990993435</v>
      </c>
      <c r="AG276" s="219">
        <f t="shared" si="378"/>
        <v>0.31347779298954886</v>
      </c>
      <c r="AH276" s="219">
        <f t="shared" si="378"/>
        <v>0.63797700158888304</v>
      </c>
      <c r="AI276" s="219">
        <f t="shared" si="378"/>
        <v>0.39887714551668219</v>
      </c>
      <c r="AJ276" s="219">
        <f t="shared" si="378"/>
        <v>0.66825177017740967</v>
      </c>
      <c r="AK276" s="720">
        <f t="shared" si="378"/>
        <v>3.7588194787186295E-3</v>
      </c>
      <c r="AL276" s="720">
        <f t="shared" si="378"/>
        <v>0.64994941755060776</v>
      </c>
      <c r="AM276" s="720">
        <f t="shared" si="378"/>
        <v>0.49004839416997054</v>
      </c>
      <c r="AN276" s="720">
        <f t="shared" si="378"/>
        <v>0.76959162240462076</v>
      </c>
      <c r="AO276" s="720">
        <f t="shared" si="378"/>
        <v>0.22630631438111201</v>
      </c>
      <c r="AP276" s="733">
        <f t="shared" si="378"/>
        <v>1.3182221117148782</v>
      </c>
      <c r="AQ276" s="795"/>
      <c r="AR276" s="795"/>
      <c r="AS276" s="795"/>
      <c r="AT276" s="795"/>
      <c r="AU276" s="795"/>
      <c r="AV276" s="795"/>
      <c r="AW276" s="795"/>
      <c r="AX276" s="795"/>
      <c r="AY276" s="795"/>
      <c r="AZ276" s="795"/>
      <c r="BA276" s="577"/>
      <c r="BB276" s="112"/>
      <c r="BC276" s="112"/>
      <c r="BD276" s="112"/>
      <c r="BE276" s="112"/>
      <c r="BF276" s="112"/>
      <c r="BG276" s="112"/>
      <c r="BH276" s="112"/>
      <c r="BI276" s="112"/>
      <c r="BJ276" s="112"/>
      <c r="BK276" s="112"/>
      <c r="BL276" s="112"/>
      <c r="BM276" s="219">
        <f t="shared" ref="BM276:BU276" si="379">BM262/BM273</f>
        <v>0.51667691103264646</v>
      </c>
      <c r="BN276" s="219">
        <f t="shared" si="379"/>
        <v>0.72862282955131308</v>
      </c>
      <c r="BO276" s="219">
        <f t="shared" si="379"/>
        <v>0.69491184458207</v>
      </c>
      <c r="BP276" s="219">
        <f t="shared" si="379"/>
        <v>0.6372958602354728</v>
      </c>
      <c r="BQ276" s="219">
        <f t="shared" si="379"/>
        <v>0.95091966714243381</v>
      </c>
      <c r="BR276" s="219">
        <f t="shared" si="379"/>
        <v>1.0560447312726986</v>
      </c>
      <c r="BS276" s="219">
        <f t="shared" si="379"/>
        <v>0.6535953604375131</v>
      </c>
      <c r="BT276" s="219">
        <f t="shared" si="379"/>
        <v>1.2566048371163843</v>
      </c>
      <c r="BU276" s="530">
        <f t="shared" si="379"/>
        <v>1.5445094018208716</v>
      </c>
      <c r="BV276" s="795"/>
      <c r="BW276" s="795"/>
      <c r="BX276" s="795"/>
      <c r="BY276" s="795"/>
      <c r="BZ276" s="795"/>
      <c r="CB276" s="104" t="s">
        <v>609</v>
      </c>
      <c r="DS276" s="795"/>
    </row>
    <row r="277" spans="1:123" s="75" customFormat="1">
      <c r="A277" s="78" t="s">
        <v>67</v>
      </c>
      <c r="B277" s="75" t="s">
        <v>121</v>
      </c>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201">
        <v>0.193</v>
      </c>
      <c r="Z277" s="219">
        <f>Z262/Z274</f>
        <v>0.32132877503551416</v>
      </c>
      <c r="AA277" s="201">
        <v>0.37</v>
      </c>
      <c r="AB277" s="219">
        <f t="shared" ref="AB277:AH277" si="380">AB262/AB274</f>
        <v>0.35526151541630241</v>
      </c>
      <c r="AC277" s="219">
        <f t="shared" si="380"/>
        <v>0.30088720370579314</v>
      </c>
      <c r="AD277" s="219">
        <f t="shared" si="380"/>
        <v>0.40955019088899747</v>
      </c>
      <c r="AE277" s="219">
        <f t="shared" si="380"/>
        <v>0.22511072420111194</v>
      </c>
      <c r="AF277" s="219">
        <f t="shared" si="380"/>
        <v>0.41122658871928119</v>
      </c>
      <c r="AG277" s="219">
        <f t="shared" si="380"/>
        <v>0.3129442415256824</v>
      </c>
      <c r="AH277" s="219">
        <f t="shared" si="380"/>
        <v>0.63607560949414665</v>
      </c>
      <c r="AI277" s="264">
        <v>0.39689999999999998</v>
      </c>
      <c r="AJ277" s="219">
        <f>AJ262/AJ274</f>
        <v>0.66591160580615771</v>
      </c>
      <c r="AK277" s="718">
        <v>3.8E-3</v>
      </c>
      <c r="AL277" s="718">
        <f>AL262/AL274</f>
        <v>0.64716207725373276</v>
      </c>
      <c r="AM277" s="718">
        <f t="shared" ref="AM277:AP277" si="381">AM262/AM274</f>
        <v>0.49004839416997054</v>
      </c>
      <c r="AN277" s="718">
        <f t="shared" si="381"/>
        <v>0.76428226768269891</v>
      </c>
      <c r="AO277" s="718">
        <f t="shared" si="381"/>
        <v>0.22630631438111201</v>
      </c>
      <c r="AP277" s="721">
        <f t="shared" si="381"/>
        <v>1.3079279969360396</v>
      </c>
      <c r="AQ277" s="795"/>
      <c r="AR277" s="795"/>
      <c r="AS277" s="795"/>
      <c r="AT277" s="795"/>
      <c r="AU277" s="795"/>
      <c r="AV277" s="795"/>
      <c r="AW277" s="795"/>
      <c r="AX277" s="795"/>
      <c r="AY277" s="795"/>
      <c r="AZ277" s="795"/>
      <c r="BA277" s="577"/>
      <c r="BB277" s="112"/>
      <c r="BC277" s="112"/>
      <c r="BD277" s="112"/>
      <c r="BE277" s="112"/>
      <c r="BF277" s="112"/>
      <c r="BG277" s="112"/>
      <c r="BH277" s="112"/>
      <c r="BI277" s="112"/>
      <c r="BJ277" s="112"/>
      <c r="BK277" s="112"/>
      <c r="BL277" s="112"/>
      <c r="BM277" s="219">
        <f t="shared" ref="BM277:BU277" si="382">BM262/BM274</f>
        <v>0.51496276869760693</v>
      </c>
      <c r="BN277" s="219">
        <f t="shared" si="382"/>
        <v>0.72587691923605058</v>
      </c>
      <c r="BO277" s="219">
        <f t="shared" si="382"/>
        <v>0.69410396991704215</v>
      </c>
      <c r="BP277" s="219">
        <f t="shared" si="382"/>
        <v>0.6358124932337339</v>
      </c>
      <c r="BQ277" s="219">
        <f t="shared" si="382"/>
        <v>0.94808559768016321</v>
      </c>
      <c r="BR277" s="219">
        <f t="shared" si="382"/>
        <v>1.0523465468983924</v>
      </c>
      <c r="BS277" s="219">
        <f t="shared" si="382"/>
        <v>0.65079238433382869</v>
      </c>
      <c r="BT277" s="219">
        <f t="shared" si="382"/>
        <v>1.2479356148544689</v>
      </c>
      <c r="BU277" s="530">
        <f t="shared" si="382"/>
        <v>1.5324481892846504</v>
      </c>
      <c r="BV277" s="795"/>
      <c r="BW277" s="795"/>
      <c r="BX277" s="795"/>
      <c r="BY277" s="795"/>
      <c r="BZ277" s="795"/>
      <c r="CB277" s="75" t="s">
        <v>623</v>
      </c>
      <c r="DS277" s="795"/>
    </row>
    <row r="278" spans="1:123" s="75" customFormat="1">
      <c r="A278" s="78" t="s">
        <v>172</v>
      </c>
      <c r="B278" s="75" t="s">
        <v>171</v>
      </c>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f t="shared" ref="Y278:AZ278" si="383">Y258/Y274</f>
        <v>0.22589277652370204</v>
      </c>
      <c r="Z278" s="112">
        <f t="shared" si="383"/>
        <v>0.39655629966124989</v>
      </c>
      <c r="AA278" s="112">
        <f t="shared" si="383"/>
        <v>0.2488059952846074</v>
      </c>
      <c r="AB278" s="112">
        <f t="shared" si="383"/>
        <v>0.43000249656722023</v>
      </c>
      <c r="AC278" s="112">
        <f t="shared" si="383"/>
        <v>0.25648107246181312</v>
      </c>
      <c r="AD278" s="112">
        <f t="shared" si="383"/>
        <v>0.42797887303728782</v>
      </c>
      <c r="AE278" s="112">
        <f t="shared" si="383"/>
        <v>0.28597308980067743</v>
      </c>
      <c r="AF278" s="112">
        <f t="shared" si="383"/>
        <v>0.43397477535996559</v>
      </c>
      <c r="AG278" s="112">
        <f t="shared" si="383"/>
        <v>0.40404964741022986</v>
      </c>
      <c r="AH278" s="112">
        <f t="shared" si="383"/>
        <v>0.47380786166899364</v>
      </c>
      <c r="AI278" s="112">
        <f t="shared" si="383"/>
        <v>0.40942847662040144</v>
      </c>
      <c r="AJ278" s="112">
        <f>AJ258/AJ274</f>
        <v>0.56496777973052137</v>
      </c>
      <c r="AK278" s="112">
        <f t="shared" ref="AK278:AM278" si="384">AK258/AK274</f>
        <v>0.48181043746721047</v>
      </c>
      <c r="AL278" s="112">
        <f>AL258/AL274</f>
        <v>0.82227652168709497</v>
      </c>
      <c r="AM278" s="112">
        <f t="shared" si="384"/>
        <v>0.64758635207289073</v>
      </c>
      <c r="AN278" s="112">
        <f>AN258/AN274</f>
        <v>0.91782518049144646</v>
      </c>
      <c r="AO278" s="112">
        <f>AO258/AO273</f>
        <v>0.68068615697057211</v>
      </c>
      <c r="AP278" s="460">
        <f>AP258/AP274</f>
        <v>1.0287586705817271</v>
      </c>
      <c r="AQ278" s="112">
        <f t="shared" si="383"/>
        <v>0.77180994596614516</v>
      </c>
      <c r="AR278" s="112">
        <f t="shared" si="383"/>
        <v>1.1281010583587399</v>
      </c>
      <c r="AS278" s="112">
        <f t="shared" si="383"/>
        <v>0.82448753948124598</v>
      </c>
      <c r="AT278" s="112">
        <f t="shared" si="383"/>
        <v>1.2195729513035014</v>
      </c>
      <c r="AU278" s="112">
        <f t="shared" si="383"/>
        <v>0.91626697728346018</v>
      </c>
      <c r="AV278" s="112">
        <f t="shared" si="383"/>
        <v>1.3163790750787949</v>
      </c>
      <c r="AW278" s="112">
        <f t="shared" si="383"/>
        <v>1.0019685928931923</v>
      </c>
      <c r="AX278" s="112">
        <f t="shared" si="383"/>
        <v>1.4195496681403161</v>
      </c>
      <c r="AY278" s="112">
        <f t="shared" si="383"/>
        <v>1.0936502328054467</v>
      </c>
      <c r="AZ278" s="112">
        <f t="shared" si="383"/>
        <v>1.5294922062665364</v>
      </c>
      <c r="BA278" s="577"/>
      <c r="BB278" s="112"/>
      <c r="BC278" s="112"/>
      <c r="BD278" s="112"/>
      <c r="BE278" s="112"/>
      <c r="BF278" s="112"/>
      <c r="BG278" s="112"/>
      <c r="BH278" s="112"/>
      <c r="BI278" s="112"/>
      <c r="BJ278" s="112"/>
      <c r="BK278" s="112"/>
      <c r="BL278" s="112"/>
      <c r="BM278" s="112">
        <f t="shared" ref="BM278:BZ278" si="385">BM258/BM274</f>
        <v>0.62319112068561811</v>
      </c>
      <c r="BN278" s="112">
        <f t="shared" si="385"/>
        <v>0.67922231931094756</v>
      </c>
      <c r="BO278" s="112">
        <f t="shared" si="385"/>
        <v>0.67053707265263929</v>
      </c>
      <c r="BP278" s="112">
        <f t="shared" si="385"/>
        <v>0.71928115188914166</v>
      </c>
      <c r="BQ278" s="112">
        <f>BQ258/BQ274</f>
        <v>0.87665127268821819</v>
      </c>
      <c r="BR278" s="219">
        <f t="shared" si="385"/>
        <v>0.96360085920718597</v>
      </c>
      <c r="BS278" s="219">
        <f t="shared" si="385"/>
        <v>1.2876140704319465</v>
      </c>
      <c r="BT278" s="219">
        <f>BT258/BT273</f>
        <v>1.5677766153514827</v>
      </c>
      <c r="BU278" s="530">
        <f t="shared" si="385"/>
        <v>1.7040725137239885</v>
      </c>
      <c r="BV278" s="112">
        <f t="shared" si="385"/>
        <v>1.9148643519051154</v>
      </c>
      <c r="BW278" s="112">
        <f t="shared" si="385"/>
        <v>2.060148374335157</v>
      </c>
      <c r="BX278" s="112">
        <f t="shared" si="385"/>
        <v>2.2502182083046147</v>
      </c>
      <c r="BY278" s="112">
        <f t="shared" si="385"/>
        <v>2.4405769454385582</v>
      </c>
      <c r="BZ278" s="112">
        <f t="shared" si="385"/>
        <v>2.6437880169725303</v>
      </c>
      <c r="CB278" s="104" t="s">
        <v>609</v>
      </c>
      <c r="DS278" s="112" t="e">
        <f t="shared" ref="DS278" si="386">DS258/DS274</f>
        <v>#DIV/0!</v>
      </c>
    </row>
    <row r="279" spans="1:123">
      <c r="B279" s="28"/>
      <c r="G279" s="23"/>
      <c r="H279" s="23"/>
      <c r="I279" s="23"/>
      <c r="J279" s="23"/>
      <c r="K279" s="23"/>
      <c r="L279" s="23"/>
      <c r="M279" s="23"/>
      <c r="N279" s="23"/>
      <c r="O279" s="23"/>
      <c r="P279" s="23"/>
      <c r="Q279" s="23"/>
      <c r="R279" s="23"/>
      <c r="S279" s="23"/>
      <c r="T279" s="23"/>
      <c r="U279" s="23"/>
      <c r="V279" s="23"/>
      <c r="W279" s="23"/>
      <c r="X279" s="230"/>
      <c r="Y279" s="556"/>
      <c r="Z279" s="230"/>
      <c r="AA279" s="230"/>
      <c r="AB279" s="230"/>
      <c r="AC279" s="230"/>
      <c r="AD279" s="230"/>
      <c r="AE279" s="230"/>
      <c r="AF279" s="230"/>
      <c r="AG279" s="230"/>
      <c r="AH279" s="230"/>
      <c r="AI279" s="230"/>
      <c r="AJ279" s="230"/>
      <c r="AK279" s="230"/>
      <c r="AL279" s="230"/>
      <c r="AM279" s="230"/>
      <c r="AN279" s="230"/>
      <c r="AO279" s="230"/>
      <c r="AP279" s="497"/>
      <c r="AQ279" s="557"/>
      <c r="AR279" s="557"/>
      <c r="AS279" s="557"/>
      <c r="AT279" s="557"/>
      <c r="AU279" s="557"/>
      <c r="AV279" s="557"/>
      <c r="AW279" s="557"/>
      <c r="AX279" s="557"/>
      <c r="AY279" s="557"/>
      <c r="AZ279" s="557"/>
      <c r="BA279" s="558"/>
      <c r="BB279" s="557"/>
      <c r="BC279" s="557"/>
      <c r="BD279" s="557"/>
      <c r="BE279" s="557"/>
      <c r="BF279" s="557"/>
      <c r="BG279" s="557"/>
      <c r="BH279" s="230"/>
      <c r="BI279" s="230"/>
      <c r="BJ279" s="23"/>
      <c r="BK279" s="230"/>
      <c r="BL279" s="230"/>
      <c r="BM279" s="230"/>
      <c r="BN279" s="230"/>
      <c r="BO279" s="112"/>
      <c r="BP279" s="112"/>
      <c r="BQ279" s="112"/>
      <c r="BR279" s="112"/>
      <c r="BS279" s="112"/>
      <c r="BT279" s="112"/>
      <c r="BU279" s="460"/>
      <c r="BV279" s="112"/>
      <c r="BW279" s="112"/>
      <c r="BX279" s="112"/>
      <c r="BY279" s="112"/>
      <c r="BZ279" s="112"/>
      <c r="DS279" s="112"/>
    </row>
    <row r="280" spans="1:123" s="40" customFormat="1">
      <c r="A280" s="10"/>
      <c r="B280" s="11" t="s">
        <v>119</v>
      </c>
      <c r="C280" s="11"/>
      <c r="D280" s="11"/>
      <c r="E280" s="11"/>
      <c r="F280" s="11"/>
      <c r="G280" s="12"/>
      <c r="H280" s="12"/>
      <c r="I280" s="12"/>
      <c r="J280" s="12"/>
      <c r="K280" s="12"/>
      <c r="L280" s="12"/>
      <c r="M280" s="12"/>
      <c r="N280" s="12"/>
      <c r="O280" s="12"/>
      <c r="P280" s="12"/>
      <c r="Q280" s="555"/>
      <c r="R280" s="555"/>
      <c r="S280" s="555"/>
      <c r="T280" s="555"/>
      <c r="U280" s="555"/>
      <c r="V280" s="555"/>
      <c r="W280" s="555"/>
      <c r="X280" s="12"/>
      <c r="Y280" s="12"/>
      <c r="Z280" s="12"/>
      <c r="AA280" s="12"/>
      <c r="AB280" s="12"/>
      <c r="AC280" s="12"/>
      <c r="AD280" s="12"/>
      <c r="AE280" s="12"/>
      <c r="AF280" s="12"/>
      <c r="AG280" s="12"/>
      <c r="AH280" s="12"/>
      <c r="AI280" s="12"/>
      <c r="AJ280" s="12"/>
      <c r="AK280" s="12"/>
      <c r="AL280" s="12"/>
      <c r="AM280" s="12"/>
      <c r="AN280" s="12"/>
      <c r="AO280" s="12"/>
      <c r="AP280" s="298"/>
      <c r="AQ280" s="12"/>
      <c r="AR280" s="12"/>
      <c r="AS280" s="12"/>
      <c r="AT280" s="12"/>
      <c r="AU280" s="12"/>
      <c r="AV280" s="12"/>
      <c r="AW280" s="12"/>
      <c r="AX280" s="12"/>
      <c r="AY280" s="12"/>
      <c r="AZ280" s="12"/>
      <c r="BA280" s="13"/>
      <c r="BB280" s="12"/>
      <c r="BC280" s="12"/>
      <c r="BD280" s="12"/>
      <c r="BE280" s="12"/>
      <c r="BF280" s="12"/>
      <c r="BG280" s="12"/>
      <c r="BH280" s="12"/>
      <c r="BI280" s="12"/>
      <c r="BJ280" s="26"/>
      <c r="BK280" s="12"/>
      <c r="BL280" s="12"/>
      <c r="BM280" s="12"/>
      <c r="BN280" s="12"/>
      <c r="BO280" s="12"/>
      <c r="BP280" s="12"/>
      <c r="BQ280" s="12"/>
      <c r="BR280" s="12"/>
      <c r="BS280" s="12"/>
      <c r="BT280" s="12"/>
      <c r="BU280" s="298"/>
      <c r="BV280" s="12"/>
      <c r="BW280" s="12"/>
      <c r="BX280" s="12"/>
      <c r="BY280" s="12"/>
      <c r="BZ280" s="12"/>
      <c r="CB280" s="28"/>
      <c r="DS280" s="12"/>
    </row>
    <row r="281" spans="1:123">
      <c r="B281" s="28"/>
      <c r="C281" s="28"/>
      <c r="D281" s="28"/>
      <c r="E281" s="28"/>
      <c r="F281" s="28"/>
      <c r="G281" s="558"/>
      <c r="H281" s="558"/>
      <c r="I281" s="558"/>
      <c r="J281" s="558"/>
      <c r="K281" s="431"/>
      <c r="L281" s="558"/>
      <c r="M281" s="558"/>
      <c r="N281" s="558"/>
      <c r="O281" s="558"/>
      <c r="P281" s="431"/>
      <c r="Q281" s="431"/>
      <c r="R281" s="230"/>
      <c r="S281" s="113"/>
      <c r="T281" s="113"/>
      <c r="U281" s="113"/>
      <c r="V281" s="113"/>
      <c r="W281" s="23"/>
      <c r="X281" s="23"/>
      <c r="Y281" s="23"/>
      <c r="Z281" s="23"/>
      <c r="AA281" s="230"/>
      <c r="AB281" s="230"/>
      <c r="AC281" s="230"/>
      <c r="AD281" s="230"/>
      <c r="AE281" s="685"/>
      <c r="AF281" s="230"/>
      <c r="AG281" s="230"/>
      <c r="AH281" s="685"/>
      <c r="AI281" s="230"/>
      <c r="AJ281" s="685"/>
      <c r="AK281" s="685"/>
      <c r="AL281" s="685"/>
      <c r="AM281" s="685"/>
      <c r="AN281" s="685"/>
      <c r="AO281" s="685"/>
      <c r="AP281" s="692"/>
      <c r="AQ281" s="230"/>
      <c r="AR281" s="230"/>
      <c r="AS281" s="230"/>
      <c r="AT281" s="230"/>
      <c r="AU281" s="230"/>
      <c r="AV281" s="230"/>
      <c r="AW281" s="230"/>
      <c r="AX281" s="230"/>
      <c r="AY281" s="230"/>
      <c r="AZ281" s="230"/>
      <c r="BA281" s="558"/>
      <c r="BB281" s="557"/>
      <c r="BC281" s="557"/>
      <c r="BD281" s="557"/>
      <c r="BE281" s="557"/>
      <c r="BF281" s="557"/>
      <c r="BG281" s="557"/>
      <c r="BH281" s="230"/>
      <c r="BI281" s="230"/>
      <c r="BJ281" s="114"/>
      <c r="BK281" s="230"/>
      <c r="BL281" s="230"/>
      <c r="BM281" s="230"/>
      <c r="BN281" s="230"/>
      <c r="BO281" s="230"/>
      <c r="BQ281" s="685"/>
      <c r="BR281" s="685"/>
      <c r="BS281" s="685"/>
    </row>
    <row r="282" spans="1:123" s="70" customFormat="1">
      <c r="A282" s="78" t="s">
        <v>103</v>
      </c>
      <c r="B282" s="75" t="s">
        <v>17</v>
      </c>
      <c r="C282" s="75"/>
      <c r="D282" s="25"/>
      <c r="E282" s="25"/>
      <c r="F282" s="25"/>
      <c r="G282" s="25"/>
      <c r="H282" s="25"/>
      <c r="I282" s="25"/>
      <c r="J282" s="25"/>
      <c r="K282" s="25"/>
      <c r="L282" s="25"/>
      <c r="M282" s="25"/>
      <c r="N282" s="25"/>
      <c r="O282" s="25"/>
      <c r="P282" s="25"/>
      <c r="Q282" s="25"/>
      <c r="R282" s="25"/>
      <c r="S282" s="25"/>
      <c r="T282" s="25"/>
      <c r="U282" s="25"/>
      <c r="V282" s="25"/>
      <c r="W282" s="25"/>
      <c r="X282" s="25"/>
      <c r="Y282" s="55">
        <f t="shared" ref="Y282:AZ282" si="387">X288</f>
        <v>351.23500000000001</v>
      </c>
      <c r="Z282" s="55">
        <f t="shared" si="387"/>
        <v>354.35399999999998</v>
      </c>
      <c r="AA282" s="55">
        <f t="shared" si="387"/>
        <v>345.7808</v>
      </c>
      <c r="AB282" s="55">
        <f t="shared" si="387"/>
        <v>372.68299999999999</v>
      </c>
      <c r="AC282" s="55">
        <f t="shared" si="387"/>
        <v>357.23</v>
      </c>
      <c r="AD282" s="55">
        <f t="shared" si="387"/>
        <v>474.25799999999998</v>
      </c>
      <c r="AE282" s="55">
        <f t="shared" si="387"/>
        <v>483.39800000000008</v>
      </c>
      <c r="AF282" s="55">
        <f t="shared" si="387"/>
        <v>475.096</v>
      </c>
      <c r="AG282" s="55">
        <f t="shared" si="387"/>
        <v>490.41800000000001</v>
      </c>
      <c r="AH282" s="55">
        <f t="shared" si="387"/>
        <v>555.34299999999996</v>
      </c>
      <c r="AI282" s="55">
        <f t="shared" si="387"/>
        <v>598.28700000000003</v>
      </c>
      <c r="AJ282" s="55">
        <f t="shared" si="387"/>
        <v>614.35300000000007</v>
      </c>
      <c r="AK282" s="55">
        <f t="shared" si="387"/>
        <v>997.67700000000013</v>
      </c>
      <c r="AL282" s="55">
        <f t="shared" si="387"/>
        <v>1201.729</v>
      </c>
      <c r="AM282" s="55">
        <f t="shared" si="387"/>
        <v>1513.3680000000002</v>
      </c>
      <c r="AN282" s="55">
        <f t="shared" si="387"/>
        <v>1485.8390000000002</v>
      </c>
      <c r="AO282" s="55">
        <f t="shared" si="387"/>
        <v>1749.2110000000002</v>
      </c>
      <c r="AP282" s="453">
        <f t="shared" si="387"/>
        <v>1863.7929999999999</v>
      </c>
      <c r="AQ282" s="55">
        <f t="shared" si="387"/>
        <v>2073.8470000000002</v>
      </c>
      <c r="AR282" s="55">
        <f t="shared" si="387"/>
        <v>2087.5908532247254</v>
      </c>
      <c r="AS282" s="55">
        <f t="shared" si="387"/>
        <v>2188.4063689240375</v>
      </c>
      <c r="AT282" s="55">
        <f t="shared" si="387"/>
        <v>2199.1253963680824</v>
      </c>
      <c r="AU282" s="55">
        <f t="shared" si="387"/>
        <v>2308.5228616534546</v>
      </c>
      <c r="AV282" s="55">
        <f t="shared" si="387"/>
        <v>2323.0399701677629</v>
      </c>
      <c r="AW282" s="55">
        <f t="shared" si="387"/>
        <v>2440.0380517125332</v>
      </c>
      <c r="AX282" s="55">
        <f t="shared" si="387"/>
        <v>2457.2316471891427</v>
      </c>
      <c r="AY282" s="55">
        <f t="shared" si="387"/>
        <v>2582.8281633823221</v>
      </c>
      <c r="AZ282" s="55">
        <f t="shared" si="387"/>
        <v>2602.9148216269714</v>
      </c>
      <c r="BA282" s="573"/>
      <c r="BB282" s="573"/>
      <c r="BC282" s="55"/>
      <c r="BD282" s="55"/>
      <c r="BE282" s="55"/>
      <c r="BF282" s="55"/>
      <c r="BG282" s="55"/>
      <c r="BH282" s="55"/>
      <c r="BI282" s="55"/>
      <c r="BJ282" s="55"/>
      <c r="BK282" s="55"/>
      <c r="BL282" s="55"/>
      <c r="BM282" s="55">
        <f>BL288</f>
        <v>325.36</v>
      </c>
      <c r="BN282" s="55">
        <f>BM288</f>
        <v>345.7808</v>
      </c>
      <c r="BO282" s="55">
        <f>BN288-4.814</f>
        <v>352.416</v>
      </c>
      <c r="BP282" s="55">
        <f t="shared" ref="BP282:BZ282" si="388">BO288</f>
        <v>483.39800000000002</v>
      </c>
      <c r="BQ282" s="55">
        <f t="shared" si="388"/>
        <v>490.41800000000001</v>
      </c>
      <c r="BR282" s="55">
        <f t="shared" si="388"/>
        <v>598.28699999999992</v>
      </c>
      <c r="BS282" s="55">
        <f t="shared" si="388"/>
        <v>997.67700000000002</v>
      </c>
      <c r="BT282" s="55">
        <f t="shared" si="388"/>
        <v>1513.3679999999999</v>
      </c>
      <c r="BU282" s="453">
        <f t="shared" si="388"/>
        <v>1749.211</v>
      </c>
      <c r="BV282" s="55">
        <f t="shared" si="388"/>
        <v>2073.8470000000002</v>
      </c>
      <c r="BW282" s="55">
        <f t="shared" si="388"/>
        <v>2188.406368924037</v>
      </c>
      <c r="BX282" s="55">
        <f t="shared" si="388"/>
        <v>2308.5228616534537</v>
      </c>
      <c r="BY282" s="55">
        <f t="shared" si="388"/>
        <v>2440.0380517125323</v>
      </c>
      <c r="BZ282" s="55">
        <f t="shared" si="388"/>
        <v>2582.8281633823217</v>
      </c>
      <c r="CB282" s="104" t="s">
        <v>609</v>
      </c>
      <c r="DS282" s="55">
        <f>DT288</f>
        <v>0</v>
      </c>
    </row>
    <row r="283" spans="1:123" s="70" customFormat="1">
      <c r="A283" s="78" t="s">
        <v>104</v>
      </c>
      <c r="B283" s="70" t="s">
        <v>240</v>
      </c>
      <c r="Y283" s="55">
        <f>'Statutory P&amp;L'!Y47</f>
        <v>16.834</v>
      </c>
      <c r="Z283" s="55">
        <f>'Statutory P&amp;L'!Z47</f>
        <v>26.22480000000002</v>
      </c>
      <c r="AA283" s="55">
        <f>'Statutory P&amp;L'!AA47</f>
        <v>27.248000000000015</v>
      </c>
      <c r="AB283" s="55">
        <f>'Statutory P&amp;L'!AB47</f>
        <v>26.933999999999951</v>
      </c>
      <c r="AC283" s="55">
        <f>'Statutory P&amp;L'!AC47</f>
        <v>24.721999999999987</v>
      </c>
      <c r="AD283" s="55">
        <f>'Statutory P&amp;L'!AD47</f>
        <v>25.422000000000061</v>
      </c>
      <c r="AE283" s="55">
        <f>'Statutory P&amp;L'!AE47</f>
        <v>19.158999999999995</v>
      </c>
      <c r="AF283" s="55">
        <f>'Statutory P&amp;L'!AF47</f>
        <v>34.551000000000009</v>
      </c>
      <c r="AG283" s="55">
        <f>'Statutory P&amp;L'!AG47</f>
        <v>28.714000000000016</v>
      </c>
      <c r="AH283" s="55">
        <f>'Statutory P&amp;L'!AH47</f>
        <v>54.804999999999893</v>
      </c>
      <c r="AI283" s="55">
        <f>'Statutory P&amp;L'!AI47</f>
        <v>37.83700000000001</v>
      </c>
      <c r="AJ283" s="55">
        <f>'Statutory P&amp;L'!AJ47</f>
        <v>56.809000000000005</v>
      </c>
      <c r="AK283" s="55">
        <f>'Statutory P&amp;L'!AK47</f>
        <v>35.41699999999998</v>
      </c>
      <c r="AL283" s="55">
        <f>'Statutory P&amp;L'!AL47</f>
        <v>125.47700000000003</v>
      </c>
      <c r="AM283" s="55">
        <f>'Statutory P&amp;L'!AM47</f>
        <v>49.414000000000037</v>
      </c>
      <c r="AN283" s="55">
        <f>'Statutory P&amp;L'!AN47</f>
        <v>105.745</v>
      </c>
      <c r="AO283" s="55">
        <f>'Statutory P&amp;L'!AO47</f>
        <v>97.41100000000003</v>
      </c>
      <c r="AP283" s="453">
        <f>'Statutory P&amp;L'!AP47</f>
        <v>212.79199999999994</v>
      </c>
      <c r="AQ283" s="55">
        <f t="shared" ref="AQ283:AZ283" si="389">AQ258</f>
        <v>90.691559664724792</v>
      </c>
      <c r="AR283" s="55">
        <f t="shared" si="389"/>
        <v>132.55756158196562</v>
      </c>
      <c r="AS283" s="55">
        <f t="shared" si="389"/>
        <v>96.881442472322675</v>
      </c>
      <c r="AT283" s="55">
        <f t="shared" si="389"/>
        <v>143.30597015068474</v>
      </c>
      <c r="AU283" s="55">
        <f t="shared" si="389"/>
        <v>107.66598911225353</v>
      </c>
      <c r="AV283" s="55">
        <f t="shared" si="389"/>
        <v>154.68117773405899</v>
      </c>
      <c r="AW283" s="55">
        <f t="shared" si="389"/>
        <v>117.736361003748</v>
      </c>
      <c r="AX283" s="55">
        <f t="shared" si="389"/>
        <v>166.8042425444915</v>
      </c>
      <c r="AY283" s="55">
        <f t="shared" si="389"/>
        <v>128.5094158985689</v>
      </c>
      <c r="AZ283" s="55">
        <f t="shared" si="389"/>
        <v>179.72304504020687</v>
      </c>
      <c r="BA283" s="573"/>
      <c r="BB283" s="55"/>
      <c r="BC283" s="55"/>
      <c r="BD283" s="55"/>
      <c r="BE283" s="55"/>
      <c r="BF283" s="55"/>
      <c r="BG283" s="55"/>
      <c r="BH283" s="55"/>
      <c r="BI283" s="55"/>
      <c r="BJ283" s="55"/>
      <c r="BK283" s="55"/>
      <c r="BL283" s="55"/>
      <c r="BM283" s="55">
        <f>'Statutory P&amp;L'!BG47</f>
        <v>43.058800000000019</v>
      </c>
      <c r="BN283" s="55">
        <f>'Statutory P&amp;L'!BH47</f>
        <v>54.181999999999967</v>
      </c>
      <c r="BO283" s="55">
        <f>'Statutory P&amp;L'!BI47</f>
        <v>50.144000000000048</v>
      </c>
      <c r="BP283" s="55">
        <f>'Statutory P&amp;L'!BJ47</f>
        <v>53.71</v>
      </c>
      <c r="BQ283" s="55">
        <f>'Statutory P&amp;L'!BK47</f>
        <v>83.518999999999906</v>
      </c>
      <c r="BR283" s="55">
        <f>'Statutory P&amp;L'!BL47</f>
        <v>94.646000000000015</v>
      </c>
      <c r="BS283" s="55">
        <f>'Statutory P&amp;L'!BM47</f>
        <v>160.89400000000001</v>
      </c>
      <c r="BT283" s="55">
        <f>SUM(AM283:AN283)</f>
        <v>155.15900000000005</v>
      </c>
      <c r="BU283" s="453">
        <f>SUM(AO283:AP283)</f>
        <v>310.20299999999997</v>
      </c>
      <c r="BV283" s="55">
        <f>SUM(AQ283:AR283)</f>
        <v>223.24912124669041</v>
      </c>
      <c r="BW283" s="55">
        <f>SUM(AS283:AT283)</f>
        <v>240.18741262300742</v>
      </c>
      <c r="BX283" s="55">
        <f>SUM(AU283:AV283)</f>
        <v>262.34716684631252</v>
      </c>
      <c r="BY283" s="55">
        <f>SUM(AW283:AX283)</f>
        <v>284.54060354823952</v>
      </c>
      <c r="BZ283" s="55">
        <f>SUM(AY283:AZ283)</f>
        <v>308.23246093877577</v>
      </c>
      <c r="CB283" s="104" t="s">
        <v>609</v>
      </c>
      <c r="DS283" s="55">
        <f>SUM(CU283:CV283)</f>
        <v>0</v>
      </c>
    </row>
    <row r="284" spans="1:123" s="70" customFormat="1">
      <c r="A284" s="78" t="s">
        <v>106</v>
      </c>
      <c r="B284" s="70" t="s">
        <v>31</v>
      </c>
      <c r="C284" s="102"/>
      <c r="M284" s="102"/>
      <c r="N284" s="102"/>
      <c r="O284" s="102"/>
      <c r="P284" s="102"/>
      <c r="Q284" s="102"/>
      <c r="R284" s="102"/>
      <c r="S284" s="102"/>
      <c r="T284" s="102"/>
      <c r="U284" s="102"/>
      <c r="V284" s="102"/>
      <c r="W284" s="102"/>
      <c r="X284" s="102"/>
      <c r="Y284" s="171">
        <v>0</v>
      </c>
      <c r="Z284" s="168">
        <f>BM284-Y284</f>
        <v>0</v>
      </c>
      <c r="AA284" s="171">
        <v>0</v>
      </c>
      <c r="AB284" s="168">
        <f>BN284-AA284</f>
        <v>0</v>
      </c>
      <c r="AC284" s="171">
        <v>116.35299999999999</v>
      </c>
      <c r="AD284" s="168">
        <f>BO284-AC284</f>
        <v>0</v>
      </c>
      <c r="AE284" s="171">
        <v>0</v>
      </c>
      <c r="AF284" s="252">
        <f>BP284-AE284</f>
        <v>0</v>
      </c>
      <c r="AG284" s="171">
        <v>5.6040000000000001</v>
      </c>
      <c r="AH284" s="252">
        <f>BQ284-AG284</f>
        <v>0</v>
      </c>
      <c r="AI284" s="181">
        <v>0</v>
      </c>
      <c r="AJ284" s="252">
        <f>BR284-AI284</f>
        <v>341.86099999999999</v>
      </c>
      <c r="AK284" s="171">
        <v>175.54499999999999</v>
      </c>
      <c r="AL284" s="171">
        <f>BS284-AK284</f>
        <v>161.62199999999999</v>
      </c>
      <c r="AM284" s="171">
        <v>3.0169999999999999</v>
      </c>
      <c r="AN284" s="171">
        <f>BT284-AM284</f>
        <v>192.72400000000002</v>
      </c>
      <c r="AO284" s="171">
        <v>24.847999999999999</v>
      </c>
      <c r="AP284" s="302">
        <f>BU284-AO284</f>
        <v>0</v>
      </c>
      <c r="AQ284" s="168">
        <f t="shared" ref="AQ284:AZ284" si="390">AQ32</f>
        <v>0</v>
      </c>
      <c r="AR284" s="168">
        <f t="shared" si="390"/>
        <v>0</v>
      </c>
      <c r="AS284" s="168">
        <f t="shared" si="390"/>
        <v>0</v>
      </c>
      <c r="AT284" s="168">
        <f t="shared" si="390"/>
        <v>0</v>
      </c>
      <c r="AU284" s="168">
        <f t="shared" si="390"/>
        <v>0</v>
      </c>
      <c r="AV284" s="168">
        <f t="shared" si="390"/>
        <v>0</v>
      </c>
      <c r="AW284" s="168">
        <f t="shared" si="390"/>
        <v>0</v>
      </c>
      <c r="AX284" s="168">
        <f t="shared" si="390"/>
        <v>0</v>
      </c>
      <c r="AY284" s="168">
        <f t="shared" si="390"/>
        <v>0</v>
      </c>
      <c r="AZ284" s="168">
        <f t="shared" si="390"/>
        <v>0</v>
      </c>
      <c r="BA284" s="573"/>
      <c r="BB284" s="55"/>
      <c r="BC284" s="55"/>
      <c r="BD284" s="55"/>
      <c r="BE284" s="55"/>
      <c r="BF284" s="55"/>
      <c r="BG284" s="55"/>
      <c r="BH284" s="55"/>
      <c r="BI284" s="55"/>
      <c r="BJ284" s="55"/>
      <c r="BK284" s="55"/>
      <c r="BL284" s="55"/>
      <c r="BM284" s="181">
        <v>0</v>
      </c>
      <c r="BN284" s="181">
        <v>0</v>
      </c>
      <c r="BO284" s="181">
        <f>116.353</f>
        <v>116.35299999999999</v>
      </c>
      <c r="BP284" s="181">
        <v>0</v>
      </c>
      <c r="BQ284" s="181">
        <v>5.6040000000000001</v>
      </c>
      <c r="BR284" s="181">
        <v>341.86099999999999</v>
      </c>
      <c r="BS284" s="181">
        <v>337.16699999999997</v>
      </c>
      <c r="BT284" s="181">
        <v>195.74100000000001</v>
      </c>
      <c r="BU284" s="307">
        <v>24.847999999999999</v>
      </c>
      <c r="BV284" s="55">
        <f>SUM(AQ284:AR284)</f>
        <v>0</v>
      </c>
      <c r="BW284" s="55">
        <f>SUM(AS284:AT284)</f>
        <v>0</v>
      </c>
      <c r="BX284" s="55">
        <f>SUM(AU284:AV284)</f>
        <v>0</v>
      </c>
      <c r="BY284" s="55">
        <f>SUM(AW284:AX284)</f>
        <v>0</v>
      </c>
      <c r="BZ284" s="55">
        <f>SUM(AY284:AZ284)</f>
        <v>0</v>
      </c>
      <c r="CB284" s="70" t="s">
        <v>625</v>
      </c>
      <c r="DS284" s="55">
        <f>SUM(CU284:CV284)</f>
        <v>0</v>
      </c>
    </row>
    <row r="285" spans="1:123" s="70" customFormat="1">
      <c r="A285" s="78" t="s">
        <v>105</v>
      </c>
      <c r="B285" s="70" t="s">
        <v>241</v>
      </c>
      <c r="C285" s="102"/>
      <c r="D285" s="102"/>
      <c r="E285" s="102"/>
      <c r="F285" s="102"/>
      <c r="G285" s="102"/>
      <c r="H285" s="102"/>
      <c r="I285" s="102"/>
      <c r="J285" s="102"/>
      <c r="K285" s="102"/>
      <c r="L285" s="102"/>
      <c r="M285" s="102"/>
      <c r="N285" s="102"/>
      <c r="O285" s="102"/>
      <c r="P285" s="102"/>
      <c r="Q285" s="102"/>
      <c r="R285" s="102"/>
      <c r="S285" s="102"/>
      <c r="T285" s="102"/>
      <c r="U285" s="102"/>
      <c r="V285" s="102"/>
      <c r="W285" s="102"/>
      <c r="X285" s="102"/>
      <c r="Y285" s="171">
        <v>-22.263999999999999</v>
      </c>
      <c r="Z285" s="168">
        <f>BM285-Y285</f>
        <v>-12.098000000000003</v>
      </c>
      <c r="AA285" s="171">
        <v>-21.766999999999999</v>
      </c>
      <c r="AB285" s="168">
        <f>BN285-AA285</f>
        <v>-11.178000000000001</v>
      </c>
      <c r="AC285" s="171">
        <v>-26.922999999999998</v>
      </c>
      <c r="AD285" s="168">
        <f>BO285-AC285</f>
        <v>-13.400000000000002</v>
      </c>
      <c r="AE285" s="171">
        <v>-28.529</v>
      </c>
      <c r="AF285" s="252">
        <f>BP285-AE285</f>
        <v>-14.431999999999999</v>
      </c>
      <c r="AG285" s="171">
        <v>-31.893999999999998</v>
      </c>
      <c r="AH285" s="252">
        <f>BQ285-AG285</f>
        <v>-19.871000000000002</v>
      </c>
      <c r="AI285" s="181">
        <v>-35.847000000000001</v>
      </c>
      <c r="AJ285" s="252">
        <f>BR285-AI285</f>
        <v>-20.817999999999998</v>
      </c>
      <c r="AK285" s="171">
        <v>-45.536000000000001</v>
      </c>
      <c r="AL285" s="171">
        <f>BS285-AK285</f>
        <v>-29.016999999999996</v>
      </c>
      <c r="AM285" s="171">
        <v>-65.22</v>
      </c>
      <c r="AN285" s="171">
        <f t="shared" ref="AN285:AN286" si="391">BT285-AM285</f>
        <v>-35.519999999999996</v>
      </c>
      <c r="AO285" s="171">
        <v>-81.397000000000006</v>
      </c>
      <c r="AP285" s="302">
        <f>BU285-AO285</f>
        <v>-48.009</v>
      </c>
      <c r="AQ285" s="168">
        <f t="shared" ref="AQ285:AZ285" si="392">-(AP272*(AP25*(1-AP31)))</f>
        <v>-76.947706440000005</v>
      </c>
      <c r="AR285" s="168">
        <f t="shared" si="392"/>
        <v>-31.742045882653674</v>
      </c>
      <c r="AS285" s="168">
        <f t="shared" si="392"/>
        <v>-86.16241502827765</v>
      </c>
      <c r="AT285" s="168">
        <f t="shared" si="392"/>
        <v>-33.908504865312935</v>
      </c>
      <c r="AU285" s="168">
        <f t="shared" si="392"/>
        <v>-93.14888059794508</v>
      </c>
      <c r="AV285" s="168">
        <f t="shared" si="392"/>
        <v>-37.683096189288733</v>
      </c>
      <c r="AW285" s="168">
        <f t="shared" si="392"/>
        <v>-100.54276552713834</v>
      </c>
      <c r="AX285" s="168">
        <f t="shared" si="392"/>
        <v>-41.207726351311798</v>
      </c>
      <c r="AY285" s="168">
        <f t="shared" si="392"/>
        <v>-108.42275765391948</v>
      </c>
      <c r="AZ285" s="168">
        <f t="shared" si="392"/>
        <v>-44.978295564499113</v>
      </c>
      <c r="BA285" s="168"/>
      <c r="BB285" s="55"/>
      <c r="BC285" s="55"/>
      <c r="BD285" s="55"/>
      <c r="BE285" s="55"/>
      <c r="BF285" s="55"/>
      <c r="BG285" s="55"/>
      <c r="BH285" s="55"/>
      <c r="BI285" s="55"/>
      <c r="BJ285" s="55"/>
      <c r="BK285" s="55"/>
      <c r="BL285" s="55"/>
      <c r="BM285" s="181">
        <v>-34.362000000000002</v>
      </c>
      <c r="BN285" s="181">
        <v>-32.945</v>
      </c>
      <c r="BO285" s="181">
        <v>-40.323</v>
      </c>
      <c r="BP285" s="181">
        <v>-42.960999999999999</v>
      </c>
      <c r="BQ285" s="181">
        <v>-51.765000000000001</v>
      </c>
      <c r="BR285" s="181">
        <v>-56.664999999999999</v>
      </c>
      <c r="BS285" s="181">
        <v>-74.552999999999997</v>
      </c>
      <c r="BT285" s="181">
        <v>-100.74</v>
      </c>
      <c r="BU285" s="307">
        <v>-129.40600000000001</v>
      </c>
      <c r="BV285" s="55">
        <f>SUM(AQ285:AR285)</f>
        <v>-108.68975232265367</v>
      </c>
      <c r="BW285" s="55">
        <f>SUM(AS285:AT285)</f>
        <v>-120.07091989359058</v>
      </c>
      <c r="BX285" s="55">
        <f>SUM(AU285:AV285)</f>
        <v>-130.83197678723383</v>
      </c>
      <c r="BY285" s="55">
        <f>SUM(AW285:AX285)</f>
        <v>-141.75049187845013</v>
      </c>
      <c r="BZ285" s="55">
        <f>SUM(AY285:AZ285)</f>
        <v>-153.40105321841858</v>
      </c>
      <c r="CB285" s="70" t="s">
        <v>625</v>
      </c>
      <c r="DS285" s="55">
        <f>SUM(CU285:CV285)</f>
        <v>0</v>
      </c>
    </row>
    <row r="286" spans="1:123" s="70" customFormat="1">
      <c r="A286" s="78" t="s">
        <v>107</v>
      </c>
      <c r="B286" s="70" t="s">
        <v>18</v>
      </c>
      <c r="C286" s="796"/>
      <c r="D286" s="796"/>
      <c r="E286" s="796"/>
      <c r="F286" s="796"/>
      <c r="G286" s="796"/>
      <c r="H286" s="796"/>
      <c r="I286" s="796"/>
      <c r="J286" s="796"/>
      <c r="K286" s="796"/>
      <c r="L286" s="796"/>
      <c r="M286" s="796"/>
      <c r="N286" s="796"/>
      <c r="O286" s="796"/>
      <c r="P286" s="796"/>
      <c r="Q286" s="796"/>
      <c r="R286" s="796"/>
      <c r="S286" s="796"/>
      <c r="T286" s="796"/>
      <c r="U286" s="796"/>
      <c r="V286" s="796"/>
      <c r="W286" s="796"/>
      <c r="X286" s="796"/>
      <c r="Y286" s="171">
        <f>5.619+2.582+0.296+0.052</f>
        <v>8.5489999999999995</v>
      </c>
      <c r="Z286" s="168">
        <f>BM286-Y286</f>
        <v>3.1750000000000007</v>
      </c>
      <c r="AA286" s="171">
        <f>-4.491+1.639-1.973-0.142+0.403+0.11</f>
        <v>-4.4539999999999997</v>
      </c>
      <c r="AB286" s="168">
        <f>BN286-AA286</f>
        <v>-5.3337999999999477</v>
      </c>
      <c r="AC286" s="171">
        <f>-5.998+3.262+12.998+0.173+0.338-3.083</f>
        <v>7.6899999999999977</v>
      </c>
      <c r="AD286" s="168">
        <f>BO286-AC286</f>
        <v>-2.881999999999997</v>
      </c>
      <c r="AE286" s="171">
        <f>-3.973+1.008+0.462+3.285</f>
        <v>0.78200000000000047</v>
      </c>
      <c r="AF286" s="252">
        <f>BP286-AE286</f>
        <v>-3.608000000000001</v>
      </c>
      <c r="AG286" s="171">
        <f>-20.295+77.068+0.583+0.902+1.985</f>
        <v>60.242999999999995</v>
      </c>
      <c r="AH286" s="252">
        <f>BQ286-AG286</f>
        <v>10.268000000000015</v>
      </c>
      <c r="AI286" s="181">
        <f>4.046+8.041+1.989</f>
        <v>14.076000000000001</v>
      </c>
      <c r="AJ286" s="252">
        <f>BR286-AI286</f>
        <v>5.472000000000115</v>
      </c>
      <c r="AK286" s="196">
        <f>-15.047+50.279+3.394</f>
        <v>38.625999999999998</v>
      </c>
      <c r="AL286" s="196">
        <f>BS286-AK286</f>
        <v>53.556999999999995</v>
      </c>
      <c r="AM286" s="196">
        <f>-43.574+28.681+4.735-4.582</f>
        <v>-14.739999999999998</v>
      </c>
      <c r="AN286" s="196">
        <f t="shared" si="391"/>
        <v>0.42299999999999116</v>
      </c>
      <c r="AO286" s="196">
        <f>-43.574+28.681+4.735-4.582</f>
        <v>-14.739999999999998</v>
      </c>
      <c r="AP286" s="461">
        <f>BU286-AO286</f>
        <v>133.73100000000045</v>
      </c>
      <c r="AQ286" s="363">
        <v>0</v>
      </c>
      <c r="AR286" s="363">
        <v>0</v>
      </c>
      <c r="AS286" s="363">
        <v>0</v>
      </c>
      <c r="AT286" s="363">
        <v>0</v>
      </c>
      <c r="AU286" s="363">
        <v>0</v>
      </c>
      <c r="AV286" s="363">
        <v>0</v>
      </c>
      <c r="AW286" s="363">
        <v>0</v>
      </c>
      <c r="AX286" s="363">
        <v>0</v>
      </c>
      <c r="AY286" s="363">
        <v>0</v>
      </c>
      <c r="AZ286" s="363">
        <v>0</v>
      </c>
      <c r="BA286" s="797" t="s">
        <v>566</v>
      </c>
      <c r="BB286" s="55"/>
      <c r="BC286" s="55"/>
      <c r="BD286" s="55"/>
      <c r="BE286" s="55"/>
      <c r="BF286" s="55"/>
      <c r="BG286" s="55"/>
      <c r="BH286" s="55"/>
      <c r="BI286" s="55"/>
      <c r="BJ286" s="55"/>
      <c r="BK286" s="55"/>
      <c r="BL286" s="55"/>
      <c r="BM286" s="171">
        <f>6.132+4.886+0.58+0.126</f>
        <v>11.724</v>
      </c>
      <c r="BN286" s="171">
        <f>357.23-SUM(BN282:BN285)</f>
        <v>-9.7877999999999474</v>
      </c>
      <c r="BO286" s="171">
        <f>-8.274+14.32+0.773+0.186+0.202-2.399</f>
        <v>4.8080000000000007</v>
      </c>
      <c r="BP286" s="181">
        <f>-2.685-5.355+1.28+0.649+3.285</f>
        <v>-2.8260000000000005</v>
      </c>
      <c r="BQ286" s="181">
        <f>-18.96+80.045-7.66+13.308+1.67+2.108</f>
        <v>70.51100000000001</v>
      </c>
      <c r="BR286" s="181">
        <f>997.677-SUM(BR282:BR285)</f>
        <v>19.548000000000116</v>
      </c>
      <c r="BS286" s="181">
        <f>1513.368-SUM(BS282:BS285)</f>
        <v>92.182999999999993</v>
      </c>
      <c r="BT286" s="181">
        <f>1749.211-SUM(BT282:BT285)</f>
        <v>-14.317000000000007</v>
      </c>
      <c r="BU286" s="307">
        <f>2073.847-SUM(BU282:BU285)</f>
        <v>118.99100000000044</v>
      </c>
      <c r="BV286" s="55">
        <f>SUM(AQ286:AR286)</f>
        <v>0</v>
      </c>
      <c r="BW286" s="55">
        <f>SUM(AS286:AT286)</f>
        <v>0</v>
      </c>
      <c r="BX286" s="55">
        <f>SUM(AU286:AV286)</f>
        <v>0</v>
      </c>
      <c r="BY286" s="55">
        <f>SUM(AW286:AX286)</f>
        <v>0</v>
      </c>
      <c r="BZ286" s="55">
        <f>SUM(AY286:AZ286)</f>
        <v>0</v>
      </c>
      <c r="CB286" s="104" t="s">
        <v>609</v>
      </c>
      <c r="DS286" s="55">
        <f>SUM(CU286:CV286)</f>
        <v>0</v>
      </c>
    </row>
    <row r="287" spans="1:123" s="70" customFormat="1">
      <c r="A287" s="78"/>
      <c r="B287" s="70" t="s">
        <v>242</v>
      </c>
      <c r="C287" s="796"/>
      <c r="D287" s="796"/>
      <c r="E287" s="796"/>
      <c r="F287" s="796"/>
      <c r="G287" s="796"/>
      <c r="H287" s="796"/>
      <c r="I287" s="796"/>
      <c r="J287" s="796"/>
      <c r="K287" s="796"/>
      <c r="L287" s="796"/>
      <c r="M287" s="796"/>
      <c r="N287" s="796"/>
      <c r="O287" s="796"/>
      <c r="P287" s="796"/>
      <c r="Q287" s="796"/>
      <c r="R287" s="796"/>
      <c r="S287" s="796"/>
      <c r="T287" s="796"/>
      <c r="U287" s="796"/>
      <c r="V287" s="796"/>
      <c r="W287" s="796"/>
      <c r="X287" s="796"/>
      <c r="Y287" s="566"/>
      <c r="Z287" s="566">
        <f>BM288-SUM(Z282:Z286)</f>
        <v>-25.875</v>
      </c>
      <c r="AA287" s="566">
        <f>372.683-SUM(AA282:AA286)</f>
        <v>25.875200000000007</v>
      </c>
      <c r="AB287" s="566">
        <f>357.23-SUM(AB282:AB286)</f>
        <v>-25.875200000000007</v>
      </c>
      <c r="AC287" s="566">
        <f>474.258-SUM(AC282:AC286)</f>
        <v>-4.8140000000000214</v>
      </c>
      <c r="AD287" s="171"/>
      <c r="AE287" s="171">
        <f>475.096-SUM(AE282:AE286)</f>
        <v>0.28599999999994452</v>
      </c>
      <c r="AF287" s="168">
        <f>490.418-SUM(AF282:AF286)</f>
        <v>-1.1889999999999645</v>
      </c>
      <c r="AG287" s="171">
        <f>(491.856-AG282)+(29.534-AG283)</f>
        <v>2.2579999999999707</v>
      </c>
      <c r="AH287" s="566">
        <f>598.287-SUM(AH282:AH286)</f>
        <v>-2.2579999999999245</v>
      </c>
      <c r="AI287" s="181"/>
      <c r="AJ287" s="566"/>
      <c r="AK287" s="319"/>
      <c r="AL287" s="319"/>
      <c r="AM287" s="319"/>
      <c r="AN287" s="319"/>
      <c r="AO287" s="196">
        <f t="shared" ref="AO287" si="393">1863.793-SUM(AO282:AO286)</f>
        <v>88.459999999999582</v>
      </c>
      <c r="AP287" s="461">
        <f>2073.847-SUM(AP282:AP286)</f>
        <v>-88.460000000000491</v>
      </c>
      <c r="AQ287" s="319"/>
      <c r="AR287" s="319"/>
      <c r="AS287" s="319"/>
      <c r="AT287" s="319"/>
      <c r="AU287" s="319"/>
      <c r="AV287" s="319"/>
      <c r="AW287" s="319"/>
      <c r="AX287" s="319"/>
      <c r="AY287" s="319"/>
      <c r="AZ287" s="319"/>
      <c r="BA287" s="573"/>
      <c r="BB287" s="55"/>
      <c r="BC287" s="55"/>
      <c r="BD287" s="55"/>
      <c r="BE287" s="55"/>
      <c r="BF287" s="55"/>
      <c r="BG287" s="55"/>
      <c r="BH287" s="55"/>
      <c r="BI287" s="55"/>
      <c r="BJ287" s="55"/>
      <c r="BK287" s="55"/>
      <c r="BL287" s="55"/>
      <c r="BM287" s="55"/>
      <c r="BN287" s="55"/>
      <c r="BO287" s="171"/>
      <c r="BP287" s="168">
        <f>490.418-SUM(BP282:BP286)</f>
        <v>-0.90300000000002001</v>
      </c>
      <c r="BQ287" s="168"/>
      <c r="BR287" s="168"/>
      <c r="BS287" s="168"/>
      <c r="BT287" s="168"/>
      <c r="BU287" s="453"/>
      <c r="BV287" s="55"/>
      <c r="BW287" s="55"/>
      <c r="BX287" s="55"/>
      <c r="BY287" s="55"/>
      <c r="BZ287" s="55"/>
      <c r="DS287" s="55"/>
    </row>
    <row r="288" spans="1:123" s="51" customFormat="1">
      <c r="A288" s="228" t="s">
        <v>71</v>
      </c>
      <c r="B288" s="119" t="s">
        <v>3</v>
      </c>
      <c r="C288" s="119"/>
      <c r="D288" s="119"/>
      <c r="E288" s="119"/>
      <c r="F288" s="119"/>
      <c r="G288" s="119"/>
      <c r="H288" s="119"/>
      <c r="I288" s="119"/>
      <c r="J288" s="119"/>
      <c r="K288" s="119"/>
      <c r="L288" s="229"/>
      <c r="M288" s="119"/>
      <c r="N288" s="119"/>
      <c r="O288" s="119"/>
      <c r="P288" s="119"/>
      <c r="Q288" s="119"/>
      <c r="R288" s="119"/>
      <c r="S288" s="119"/>
      <c r="T288" s="119"/>
      <c r="U288" s="119"/>
      <c r="V288" s="119"/>
      <c r="W288" s="119"/>
      <c r="X288" s="240">
        <v>351.23500000000001</v>
      </c>
      <c r="Y288" s="183">
        <f t="shared" ref="Y288:AP288" si="394">SUM(Y282:Y287)</f>
        <v>354.35399999999998</v>
      </c>
      <c r="Z288" s="183">
        <f t="shared" si="394"/>
        <v>345.7808</v>
      </c>
      <c r="AA288" s="183">
        <f t="shared" si="394"/>
        <v>372.68299999999999</v>
      </c>
      <c r="AB288" s="183">
        <f t="shared" si="394"/>
        <v>357.23</v>
      </c>
      <c r="AC288" s="183">
        <f t="shared" si="394"/>
        <v>474.25799999999998</v>
      </c>
      <c r="AD288" s="183">
        <f t="shared" si="394"/>
        <v>483.39800000000008</v>
      </c>
      <c r="AE288" s="183">
        <f t="shared" si="394"/>
        <v>475.096</v>
      </c>
      <c r="AF288" s="183">
        <f t="shared" si="394"/>
        <v>490.41800000000001</v>
      </c>
      <c r="AG288" s="92">
        <f t="shared" si="394"/>
        <v>555.34299999999996</v>
      </c>
      <c r="AH288" s="92">
        <f t="shared" si="394"/>
        <v>598.28700000000003</v>
      </c>
      <c r="AI288" s="92">
        <f t="shared" si="394"/>
        <v>614.35300000000007</v>
      </c>
      <c r="AJ288" s="92">
        <f t="shared" si="394"/>
        <v>997.67700000000013</v>
      </c>
      <c r="AK288" s="92">
        <f t="shared" si="394"/>
        <v>1201.729</v>
      </c>
      <c r="AL288" s="92">
        <f t="shared" si="394"/>
        <v>1513.3680000000002</v>
      </c>
      <c r="AM288" s="92">
        <f t="shared" si="394"/>
        <v>1485.8390000000002</v>
      </c>
      <c r="AN288" s="92">
        <f t="shared" si="394"/>
        <v>1749.2110000000002</v>
      </c>
      <c r="AO288" s="92">
        <f t="shared" si="394"/>
        <v>1863.7929999999999</v>
      </c>
      <c r="AP288" s="457">
        <f t="shared" si="394"/>
        <v>2073.8470000000002</v>
      </c>
      <c r="AQ288" s="92">
        <f t="shared" ref="AQ288:AZ288" si="395">SUM(AQ282:AQ286)</f>
        <v>2087.5908532247254</v>
      </c>
      <c r="AR288" s="92">
        <f t="shared" si="395"/>
        <v>2188.4063689240375</v>
      </c>
      <c r="AS288" s="92">
        <f t="shared" si="395"/>
        <v>2199.1253963680824</v>
      </c>
      <c r="AT288" s="92">
        <f t="shared" si="395"/>
        <v>2308.5228616534546</v>
      </c>
      <c r="AU288" s="92">
        <f t="shared" si="395"/>
        <v>2323.0399701677629</v>
      </c>
      <c r="AV288" s="92">
        <f t="shared" si="395"/>
        <v>2440.0380517125332</v>
      </c>
      <c r="AW288" s="92">
        <f t="shared" si="395"/>
        <v>2457.2316471891427</v>
      </c>
      <c r="AX288" s="92">
        <f t="shared" si="395"/>
        <v>2582.8281633823221</v>
      </c>
      <c r="AY288" s="92">
        <f t="shared" si="395"/>
        <v>2602.9148216269714</v>
      </c>
      <c r="AZ288" s="92">
        <f t="shared" si="395"/>
        <v>2737.6595711026789</v>
      </c>
      <c r="BA288" s="573"/>
      <c r="BB288" s="92"/>
      <c r="BC288" s="200"/>
      <c r="BD288" s="200"/>
      <c r="BE288" s="200"/>
      <c r="BF288" s="200"/>
      <c r="BG288" s="200"/>
      <c r="BH288" s="207"/>
      <c r="BI288" s="200"/>
      <c r="BJ288" s="200"/>
      <c r="BK288" s="200"/>
      <c r="BL288" s="320">
        <v>325.36</v>
      </c>
      <c r="BM288" s="200">
        <f t="shared" ref="BM288:BS288" si="396">SUM(BM282:BM287)</f>
        <v>345.7808</v>
      </c>
      <c r="BN288" s="200">
        <f t="shared" si="396"/>
        <v>357.23</v>
      </c>
      <c r="BO288" s="92">
        <f t="shared" si="396"/>
        <v>483.39800000000002</v>
      </c>
      <c r="BP288" s="92">
        <f t="shared" si="396"/>
        <v>490.41800000000001</v>
      </c>
      <c r="BQ288" s="92">
        <f t="shared" si="396"/>
        <v>598.28699999999992</v>
      </c>
      <c r="BR288" s="92">
        <f t="shared" si="396"/>
        <v>997.67700000000002</v>
      </c>
      <c r="BS288" s="92">
        <f t="shared" si="396"/>
        <v>1513.3679999999999</v>
      </c>
      <c r="BT288" s="92">
        <f>SUM(BT282:BT287)</f>
        <v>1749.211</v>
      </c>
      <c r="BU288" s="457">
        <f>SUM(BU282:BU287)</f>
        <v>2073.8470000000002</v>
      </c>
      <c r="BV288" s="92">
        <f>SUM(BV282:BV287)</f>
        <v>2188.406368924037</v>
      </c>
      <c r="BW288" s="92">
        <f>SUM(BW282:BW287)</f>
        <v>2308.5228616534537</v>
      </c>
      <c r="BX288" s="92">
        <f t="shared" ref="BX288:BZ288" si="397">SUM(BX282:BX287)</f>
        <v>2440.0380517125323</v>
      </c>
      <c r="BY288" s="92">
        <f t="shared" si="397"/>
        <v>2582.8281633823217</v>
      </c>
      <c r="BZ288" s="92">
        <f t="shared" si="397"/>
        <v>2737.6595711026789</v>
      </c>
      <c r="CB288" s="104" t="s">
        <v>609</v>
      </c>
      <c r="DS288" s="92">
        <f>SUM(DS282:DS287)</f>
        <v>0</v>
      </c>
    </row>
    <row r="289" spans="1:123" s="40" customFormat="1">
      <c r="A289" s="10"/>
      <c r="B289" s="121" t="s">
        <v>120</v>
      </c>
      <c r="C289" s="122"/>
      <c r="D289" s="122"/>
      <c r="E289" s="122"/>
      <c r="F289" s="122"/>
      <c r="G289" s="122"/>
      <c r="H289" s="122"/>
      <c r="I289" s="122"/>
      <c r="J289" s="122"/>
      <c r="K289" s="122"/>
      <c r="L289" s="122"/>
      <c r="M289" s="122"/>
      <c r="N289" s="122"/>
      <c r="O289" s="122"/>
      <c r="P289" s="122"/>
      <c r="Q289" s="123"/>
      <c r="R289" s="123"/>
      <c r="S289" s="123"/>
      <c r="T289" s="123"/>
      <c r="U289" s="123"/>
      <c r="V289" s="123"/>
      <c r="W289" s="123"/>
      <c r="X289" s="123"/>
      <c r="Y289" s="321" t="str">
        <f t="shared" ref="Y289:AZ289" si="398">IF(ROUND(Y288,0)=ROUND(Y409,0),"OK","Error")</f>
        <v>OK</v>
      </c>
      <c r="Z289" s="321" t="str">
        <f t="shared" si="398"/>
        <v>OK</v>
      </c>
      <c r="AA289" s="321" t="str">
        <f t="shared" si="398"/>
        <v>OK</v>
      </c>
      <c r="AB289" s="321" t="str">
        <f t="shared" si="398"/>
        <v>OK</v>
      </c>
      <c r="AC289" s="321" t="str">
        <f t="shared" si="398"/>
        <v>OK</v>
      </c>
      <c r="AD289" s="321" t="str">
        <f t="shared" si="398"/>
        <v>OK</v>
      </c>
      <c r="AE289" s="321" t="str">
        <f t="shared" si="398"/>
        <v>OK</v>
      </c>
      <c r="AF289" s="321" t="str">
        <f t="shared" si="398"/>
        <v>OK</v>
      </c>
      <c r="AG289" s="321" t="str">
        <f t="shared" si="398"/>
        <v>OK</v>
      </c>
      <c r="AH289" s="321" t="str">
        <f t="shared" si="398"/>
        <v>OK</v>
      </c>
      <c r="AI289" s="321" t="str">
        <f t="shared" si="398"/>
        <v>OK</v>
      </c>
      <c r="AJ289" s="321" t="str">
        <f t="shared" si="398"/>
        <v>OK</v>
      </c>
      <c r="AK289" s="321" t="str">
        <f>IF(ROUND(AK288,0)=ROUND(AK409,0),"OK","Error")</f>
        <v>OK</v>
      </c>
      <c r="AL289" s="321" t="str">
        <f t="shared" ref="AL289:AN289" si="399">IF(ROUND(AL288,0)=ROUND(AL409,0),"OK","Error")</f>
        <v>OK</v>
      </c>
      <c r="AM289" s="321" t="str">
        <f>IF(ROUND(AM288,0)=ROUND(AM409,0),"OK","Error")</f>
        <v>OK</v>
      </c>
      <c r="AN289" s="321" t="str">
        <f t="shared" si="399"/>
        <v>OK</v>
      </c>
      <c r="AO289" s="321" t="str">
        <f>IF(ROUND(AO288,0)=ROUND(AO409,0),"OK","Error")</f>
        <v>OK</v>
      </c>
      <c r="AP289" s="462" t="str">
        <f t="shared" ref="AP289" si="400">IF(ROUND(AP288,0)=ROUND(AP409,0),"OK","Error")</f>
        <v>OK</v>
      </c>
      <c r="AQ289" s="321" t="str">
        <f t="shared" si="398"/>
        <v>OK</v>
      </c>
      <c r="AR289" s="321" t="str">
        <f t="shared" si="398"/>
        <v>OK</v>
      </c>
      <c r="AS289" s="321" t="str">
        <f t="shared" si="398"/>
        <v>OK</v>
      </c>
      <c r="AT289" s="321" t="str">
        <f t="shared" si="398"/>
        <v>OK</v>
      </c>
      <c r="AU289" s="321" t="str">
        <f t="shared" si="398"/>
        <v>OK</v>
      </c>
      <c r="AV289" s="321" t="str">
        <f t="shared" si="398"/>
        <v>OK</v>
      </c>
      <c r="AW289" s="321" t="str">
        <f t="shared" si="398"/>
        <v>OK</v>
      </c>
      <c r="AX289" s="321" t="str">
        <f t="shared" si="398"/>
        <v>OK</v>
      </c>
      <c r="AY289" s="321" t="str">
        <f t="shared" si="398"/>
        <v>OK</v>
      </c>
      <c r="AZ289" s="321" t="str">
        <f t="shared" si="398"/>
        <v>OK</v>
      </c>
      <c r="BA289" s="322"/>
      <c r="BB289" s="321"/>
      <c r="BC289" s="321"/>
      <c r="BD289" s="321"/>
      <c r="BE289" s="321"/>
      <c r="BF289" s="321"/>
      <c r="BG289" s="321"/>
      <c r="BH289" s="321"/>
      <c r="BI289" s="321"/>
      <c r="BJ289" s="321"/>
      <c r="BK289" s="321"/>
      <c r="BL289" s="321"/>
      <c r="BM289" s="321" t="str">
        <f t="shared" ref="BM289:BZ289" si="401">IF(ROUND(BM288,0)=ROUND(BM409,0),"OK","Error")</f>
        <v>OK</v>
      </c>
      <c r="BN289" s="321" t="str">
        <f t="shared" si="401"/>
        <v>OK</v>
      </c>
      <c r="BO289" s="321" t="str">
        <f t="shared" si="401"/>
        <v>OK</v>
      </c>
      <c r="BP289" s="321" t="str">
        <f t="shared" si="401"/>
        <v>OK</v>
      </c>
      <c r="BQ289" s="321" t="str">
        <f t="shared" si="401"/>
        <v>OK</v>
      </c>
      <c r="BR289" s="321" t="str">
        <f t="shared" si="401"/>
        <v>OK</v>
      </c>
      <c r="BS289" s="321" t="str">
        <f t="shared" si="401"/>
        <v>OK</v>
      </c>
      <c r="BT289" s="321" t="str">
        <f t="shared" si="401"/>
        <v>OK</v>
      </c>
      <c r="BU289" s="462" t="str">
        <f t="shared" si="401"/>
        <v>OK</v>
      </c>
      <c r="BV289" s="321" t="str">
        <f t="shared" si="401"/>
        <v>OK</v>
      </c>
      <c r="BW289" s="321" t="str">
        <f t="shared" si="401"/>
        <v>OK</v>
      </c>
      <c r="BX289" s="321" t="str">
        <f t="shared" si="401"/>
        <v>OK</v>
      </c>
      <c r="BY289" s="321" t="str">
        <f t="shared" si="401"/>
        <v>OK</v>
      </c>
      <c r="BZ289" s="321" t="str">
        <f t="shared" si="401"/>
        <v>OK</v>
      </c>
      <c r="CB289" s="28"/>
      <c r="DS289" s="321" t="str">
        <f t="shared" ref="DS289" si="402">IF(ROUND(DS288,0)=ROUND(DS409,0),"OK","Error")</f>
        <v>OK</v>
      </c>
    </row>
    <row r="290" spans="1:123" s="70" customFormat="1">
      <c r="A290" s="78"/>
      <c r="B290" s="75"/>
      <c r="C290" s="110"/>
      <c r="D290" s="110"/>
      <c r="E290" s="110"/>
      <c r="F290" s="110"/>
      <c r="G290" s="110"/>
      <c r="H290" s="110"/>
      <c r="I290" s="110"/>
      <c r="J290" s="110"/>
      <c r="K290" s="111"/>
      <c r="L290" s="110"/>
      <c r="M290" s="110"/>
      <c r="N290" s="110"/>
      <c r="O290" s="110"/>
      <c r="P290" s="111"/>
      <c r="Q290" s="110"/>
      <c r="R290" s="110"/>
      <c r="S290" s="110"/>
      <c r="T290" s="110"/>
      <c r="U290" s="110"/>
      <c r="V290" s="110"/>
      <c r="W290" s="111"/>
      <c r="X290" s="111"/>
      <c r="Y290" s="200"/>
      <c r="Z290" s="207"/>
      <c r="AA290" s="207"/>
      <c r="AB290" s="207"/>
      <c r="AC290" s="207"/>
      <c r="AD290" s="207"/>
      <c r="AE290" s="207"/>
      <c r="AF290" s="207"/>
      <c r="AG290" s="207"/>
      <c r="AH290" s="207"/>
      <c r="AI290" s="200"/>
      <c r="AJ290" s="207"/>
      <c r="AK290" s="200"/>
      <c r="AL290" s="200"/>
      <c r="AM290" s="200"/>
      <c r="AN290" s="200"/>
      <c r="AO290" s="200"/>
      <c r="AP290" s="463"/>
      <c r="AQ290" s="200"/>
      <c r="AR290" s="200"/>
      <c r="AS290" s="200"/>
      <c r="AT290" s="200"/>
      <c r="AU290" s="200"/>
      <c r="AV290" s="200"/>
      <c r="AW290" s="200"/>
      <c r="AX290" s="200"/>
      <c r="AY290" s="200"/>
      <c r="AZ290" s="200"/>
      <c r="BA290" s="573"/>
      <c r="BB290" s="92"/>
      <c r="BC290" s="92"/>
      <c r="BD290" s="92"/>
      <c r="BE290" s="92"/>
      <c r="BF290" s="92"/>
      <c r="BG290" s="92"/>
      <c r="BH290" s="92"/>
      <c r="BI290" s="92"/>
      <c r="BJ290" s="92"/>
      <c r="BK290" s="92"/>
      <c r="BL290" s="92"/>
      <c r="BM290" s="92"/>
      <c r="BN290" s="92"/>
      <c r="BO290" s="92"/>
      <c r="BP290" s="92"/>
      <c r="BQ290" s="92"/>
      <c r="BR290" s="92"/>
      <c r="BS290" s="92"/>
      <c r="BT290" s="168"/>
      <c r="BU290" s="302"/>
      <c r="BV290" s="168"/>
      <c r="BW290" s="168"/>
      <c r="BX290" s="168"/>
      <c r="BY290" s="168"/>
      <c r="BZ290" s="168"/>
      <c r="DS290" s="168"/>
    </row>
    <row r="291" spans="1:123" s="70" customFormat="1">
      <c r="A291" s="78"/>
      <c r="B291" s="75" t="s">
        <v>145</v>
      </c>
      <c r="C291" s="110"/>
      <c r="D291" s="110"/>
      <c r="E291" s="110"/>
      <c r="F291" s="110"/>
      <c r="G291" s="110"/>
      <c r="H291" s="110"/>
      <c r="J291" s="110"/>
      <c r="K291" s="564"/>
      <c r="L291" s="110"/>
      <c r="M291" s="110"/>
      <c r="O291" s="110"/>
      <c r="P291" s="564"/>
      <c r="Q291" s="110"/>
      <c r="R291" s="110"/>
      <c r="S291" s="110"/>
      <c r="T291" s="110"/>
      <c r="U291" s="564"/>
      <c r="V291" s="564"/>
      <c r="W291" s="564"/>
      <c r="X291" s="564"/>
      <c r="Y291" s="573"/>
      <c r="Z291" s="573"/>
      <c r="AA291" s="573"/>
      <c r="AB291" s="573"/>
      <c r="AC291" s="573"/>
      <c r="AD291" s="573"/>
      <c r="AE291" s="573"/>
      <c r="AF291" s="573"/>
      <c r="AG291" s="573"/>
      <c r="AH291" s="573"/>
      <c r="AI291" s="573"/>
      <c r="AJ291" s="573"/>
      <c r="AK291" s="573"/>
      <c r="AL291" s="573"/>
      <c r="AM291" s="573"/>
      <c r="AN291" s="573"/>
      <c r="AO291" s="573"/>
      <c r="AP291" s="697"/>
      <c r="AQ291" s="573"/>
      <c r="AR291" s="573"/>
      <c r="AS291" s="573"/>
      <c r="AT291" s="573"/>
      <c r="AU291" s="573"/>
      <c r="AV291" s="573"/>
      <c r="AW291" s="573"/>
      <c r="AX291" s="573"/>
      <c r="AY291" s="573"/>
      <c r="AZ291" s="573"/>
      <c r="BA291" s="573"/>
      <c r="BB291" s="573"/>
      <c r="BC291" s="573"/>
      <c r="BD291" s="573"/>
      <c r="BE291" s="573"/>
      <c r="BF291" s="573"/>
      <c r="BG291" s="573"/>
      <c r="BH291" s="573"/>
      <c r="BI291" s="573"/>
      <c r="BJ291" s="92"/>
      <c r="BK291" s="573"/>
      <c r="BL291" s="573"/>
      <c r="BM291" s="573"/>
      <c r="BN291" s="573"/>
      <c r="BO291" s="573"/>
      <c r="BP291" s="573"/>
      <c r="BQ291" s="573"/>
      <c r="BR291" s="573"/>
      <c r="BS291" s="573"/>
      <c r="BT291" s="168"/>
      <c r="BU291" s="302"/>
      <c r="BV291" s="168"/>
      <c r="BW291" s="168"/>
      <c r="BX291" s="168"/>
      <c r="BY291" s="168"/>
      <c r="BZ291" s="168"/>
      <c r="DS291" s="168"/>
    </row>
    <row r="292" spans="1:123" s="70" customFormat="1">
      <c r="A292" s="78" t="s">
        <v>156</v>
      </c>
      <c r="B292" s="70" t="s">
        <v>196</v>
      </c>
      <c r="C292" s="102"/>
      <c r="D292" s="102"/>
      <c r="E292" s="102"/>
      <c r="F292" s="102"/>
      <c r="G292" s="102"/>
      <c r="H292" s="102"/>
      <c r="I292" s="102"/>
      <c r="J292" s="102"/>
      <c r="K292" s="102"/>
      <c r="L292" s="102"/>
      <c r="M292" s="102"/>
      <c r="N292" s="102"/>
      <c r="O292" s="102"/>
      <c r="P292" s="102"/>
      <c r="Q292" s="102"/>
      <c r="R292" s="102"/>
      <c r="S292" s="102"/>
      <c r="T292" s="102"/>
      <c r="U292" s="116"/>
      <c r="V292" s="116"/>
      <c r="W292" s="116"/>
      <c r="X292" s="116"/>
      <c r="Y292" s="171">
        <v>61.027000000000001</v>
      </c>
      <c r="Z292" s="168">
        <f t="shared" ref="Z292:Z297" si="403">BM292</f>
        <v>60.231000000000002</v>
      </c>
      <c r="AA292" s="171">
        <v>65.474000000000004</v>
      </c>
      <c r="AB292" s="168">
        <f t="shared" ref="AB292:AB297" si="404">BN292</f>
        <v>58.688000000000002</v>
      </c>
      <c r="AC292" s="171">
        <v>71.34</v>
      </c>
      <c r="AD292" s="168">
        <f>BO292</f>
        <v>70.016000000000005</v>
      </c>
      <c r="AE292" s="171">
        <v>49.972000000000001</v>
      </c>
      <c r="AF292" s="168">
        <f>BP292</f>
        <v>84.373999999999995</v>
      </c>
      <c r="AG292" s="171">
        <v>66.302999999999997</v>
      </c>
      <c r="AH292" s="168">
        <f>BQ292</f>
        <v>76.587999999999994</v>
      </c>
      <c r="AI292" s="257">
        <v>75.766999999999996</v>
      </c>
      <c r="AJ292" s="168">
        <f>BR292</f>
        <v>259.32900000000001</v>
      </c>
      <c r="AK292" s="798">
        <v>192.94399999999999</v>
      </c>
      <c r="AL292" s="798">
        <f>BS292</f>
        <v>260.35199999999998</v>
      </c>
      <c r="AM292" s="798">
        <v>208.77600000000001</v>
      </c>
      <c r="AN292" s="798">
        <f>BT292</f>
        <v>377.36599999999999</v>
      </c>
      <c r="AO292" s="798">
        <v>210.892</v>
      </c>
      <c r="AP292" s="799">
        <f t="shared" ref="AP292:AP297" si="405">BU292</f>
        <v>279.26600000000002</v>
      </c>
      <c r="AQ292" s="761">
        <f t="shared" ref="AQ292:AZ292" si="406">AP292+AQ258+AQ498</f>
        <v>293.00985322472485</v>
      </c>
      <c r="AR292" s="761">
        <f t="shared" si="406"/>
        <v>393.82536892403681</v>
      </c>
      <c r="AS292" s="761">
        <f t="shared" si="406"/>
        <v>404.54439636808183</v>
      </c>
      <c r="AT292" s="761">
        <f t="shared" si="406"/>
        <v>513.94186165345366</v>
      </c>
      <c r="AU292" s="761">
        <f t="shared" si="406"/>
        <v>528.45897016776212</v>
      </c>
      <c r="AV292" s="761">
        <f t="shared" si="406"/>
        <v>645.45705171253235</v>
      </c>
      <c r="AW292" s="761">
        <f t="shared" si="406"/>
        <v>662.65064718914198</v>
      </c>
      <c r="AX292" s="761">
        <f t="shared" si="406"/>
        <v>788.24716338232179</v>
      </c>
      <c r="AY292" s="761">
        <f t="shared" si="406"/>
        <v>808.33382162697126</v>
      </c>
      <c r="AZ292" s="761">
        <f t="shared" si="406"/>
        <v>943.07857110267901</v>
      </c>
      <c r="BA292" s="573"/>
      <c r="BB292" s="168"/>
      <c r="BC292" s="168"/>
      <c r="BD292" s="168"/>
      <c r="BE292" s="168"/>
      <c r="BF292" s="168"/>
      <c r="BG292" s="168"/>
      <c r="BH292" s="168"/>
      <c r="BI292" s="55"/>
      <c r="BJ292" s="55"/>
      <c r="BK292" s="55"/>
      <c r="BL292" s="55"/>
      <c r="BM292" s="181">
        <v>60.231000000000002</v>
      </c>
      <c r="BN292" s="181">
        <v>58.688000000000002</v>
      </c>
      <c r="BO292" s="181">
        <v>70.016000000000005</v>
      </c>
      <c r="BP292" s="181">
        <v>84.373999999999995</v>
      </c>
      <c r="BQ292" s="181">
        <v>76.587999999999994</v>
      </c>
      <c r="BR292" s="181">
        <v>259.32900000000001</v>
      </c>
      <c r="BS292" s="181">
        <v>260.35199999999998</v>
      </c>
      <c r="BT292" s="181">
        <v>377.36599999999999</v>
      </c>
      <c r="BU292" s="307">
        <v>279.26600000000002</v>
      </c>
      <c r="BV292" s="55">
        <f t="shared" ref="BV292:BV297" si="407">AR292</f>
        <v>393.82536892403681</v>
      </c>
      <c r="BW292" s="55">
        <f t="shared" ref="BW292:BW297" si="408">AT292</f>
        <v>513.94186165345366</v>
      </c>
      <c r="BX292" s="55">
        <f t="shared" ref="BX292:BX297" si="409">AV292</f>
        <v>645.45705171253235</v>
      </c>
      <c r="BY292" s="55">
        <f t="shared" ref="BY292:BY297" si="410">AX292</f>
        <v>788.24716338232179</v>
      </c>
      <c r="BZ292" s="55">
        <f t="shared" ref="BZ292:BZ297" si="411">AZ292</f>
        <v>943.07857110267901</v>
      </c>
      <c r="CB292" s="70" t="s">
        <v>624</v>
      </c>
      <c r="DS292" s="55">
        <f t="shared" ref="DS292:DS297" si="412">CV292</f>
        <v>0</v>
      </c>
    </row>
    <row r="293" spans="1:123" s="70" customFormat="1">
      <c r="A293" s="78" t="s">
        <v>223</v>
      </c>
      <c r="B293" s="70" t="s">
        <v>222</v>
      </c>
      <c r="C293" s="102"/>
      <c r="D293" s="102"/>
      <c r="E293" s="102"/>
      <c r="F293" s="102"/>
      <c r="G293" s="102"/>
      <c r="H293" s="102"/>
      <c r="I293" s="102"/>
      <c r="J293" s="102"/>
      <c r="K293" s="102"/>
      <c r="L293" s="102"/>
      <c r="M293" s="102"/>
      <c r="N293" s="102"/>
      <c r="O293" s="102"/>
      <c r="P293" s="102"/>
      <c r="Q293" s="102"/>
      <c r="R293" s="102"/>
      <c r="S293" s="102"/>
      <c r="T293" s="102"/>
      <c r="U293" s="116"/>
      <c r="V293" s="116"/>
      <c r="W293" s="116"/>
      <c r="X293" s="116"/>
      <c r="Y293" s="171">
        <v>86.097999999999999</v>
      </c>
      <c r="Z293" s="168">
        <f t="shared" si="403"/>
        <v>93.087000000000003</v>
      </c>
      <c r="AA293" s="171">
        <v>93.626999999999995</v>
      </c>
      <c r="AB293" s="168">
        <f t="shared" si="404"/>
        <v>99.968999999999994</v>
      </c>
      <c r="AC293" s="171">
        <v>114.08799999999999</v>
      </c>
      <c r="AD293" s="168">
        <f>BO293</f>
        <v>149.98099999999999</v>
      </c>
      <c r="AE293" s="171">
        <v>134.80500000000001</v>
      </c>
      <c r="AF293" s="168">
        <f>BP293</f>
        <v>158.77699999999999</v>
      </c>
      <c r="AG293" s="171">
        <v>159.84700000000001</v>
      </c>
      <c r="AH293" s="168">
        <f>BQ293</f>
        <v>205.232</v>
      </c>
      <c r="AI293" s="257">
        <v>196.785</v>
      </c>
      <c r="AJ293" s="168">
        <f>BR293</f>
        <v>333.13099999999997</v>
      </c>
      <c r="AK293" s="171">
        <v>834.43399999999997</v>
      </c>
      <c r="AL293" s="171">
        <f t="shared" ref="AL293:AL297" si="413">BS293</f>
        <v>936.36900000000003</v>
      </c>
      <c r="AM293" s="171">
        <v>884.351</v>
      </c>
      <c r="AN293" s="171">
        <f t="shared" ref="AN293:AN297" si="414">BT293</f>
        <v>908.95</v>
      </c>
      <c r="AO293" s="171">
        <v>1029.251</v>
      </c>
      <c r="AP293" s="302">
        <f t="shared" si="405"/>
        <v>1063.3720000000001</v>
      </c>
      <c r="AQ293" s="168">
        <f t="shared" ref="AQ293:AZ293" si="415">AP293</f>
        <v>1063.3720000000001</v>
      </c>
      <c r="AR293" s="168">
        <f t="shared" si="415"/>
        <v>1063.3720000000001</v>
      </c>
      <c r="AS293" s="168">
        <f t="shared" si="415"/>
        <v>1063.3720000000001</v>
      </c>
      <c r="AT293" s="168">
        <f t="shared" si="415"/>
        <v>1063.3720000000001</v>
      </c>
      <c r="AU293" s="168">
        <f t="shared" si="415"/>
        <v>1063.3720000000001</v>
      </c>
      <c r="AV293" s="168">
        <f t="shared" si="415"/>
        <v>1063.3720000000001</v>
      </c>
      <c r="AW293" s="168">
        <f t="shared" si="415"/>
        <v>1063.3720000000001</v>
      </c>
      <c r="AX293" s="168">
        <f t="shared" si="415"/>
        <v>1063.3720000000001</v>
      </c>
      <c r="AY293" s="168">
        <f t="shared" si="415"/>
        <v>1063.3720000000001</v>
      </c>
      <c r="AZ293" s="168">
        <f t="shared" si="415"/>
        <v>1063.3720000000001</v>
      </c>
      <c r="BA293" s="573"/>
      <c r="BB293" s="168"/>
      <c r="BC293" s="168"/>
      <c r="BD293" s="168"/>
      <c r="BE293" s="168"/>
      <c r="BF293" s="168"/>
      <c r="BG293" s="168"/>
      <c r="BH293" s="168"/>
      <c r="BI293" s="55"/>
      <c r="BJ293" s="55"/>
      <c r="BK293" s="55"/>
      <c r="BL293" s="55"/>
      <c r="BM293" s="181">
        <v>93.087000000000003</v>
      </c>
      <c r="BN293" s="181">
        <v>99.968999999999994</v>
      </c>
      <c r="BO293" s="181">
        <v>149.98099999999999</v>
      </c>
      <c r="BP293" s="181">
        <v>158.77699999999999</v>
      </c>
      <c r="BQ293" s="181">
        <v>205.232</v>
      </c>
      <c r="BR293" s="181">
        <v>333.13099999999997</v>
      </c>
      <c r="BS293" s="181">
        <v>936.36900000000003</v>
      </c>
      <c r="BT293" s="181">
        <v>908.95</v>
      </c>
      <c r="BU293" s="307">
        <v>1063.3720000000001</v>
      </c>
      <c r="BV293" s="55">
        <f t="shared" si="407"/>
        <v>1063.3720000000001</v>
      </c>
      <c r="BW293" s="55">
        <f t="shared" si="408"/>
        <v>1063.3720000000001</v>
      </c>
      <c r="BX293" s="55">
        <f t="shared" si="409"/>
        <v>1063.3720000000001</v>
      </c>
      <c r="BY293" s="55">
        <f t="shared" si="410"/>
        <v>1063.3720000000001</v>
      </c>
      <c r="BZ293" s="55">
        <f t="shared" si="411"/>
        <v>1063.3720000000001</v>
      </c>
      <c r="CB293" s="70" t="s">
        <v>624</v>
      </c>
      <c r="DS293" s="55">
        <f t="shared" si="412"/>
        <v>0</v>
      </c>
    </row>
    <row r="294" spans="1:123" s="70" customFormat="1" ht="12.75" customHeight="1">
      <c r="A294" s="78" t="s">
        <v>180</v>
      </c>
      <c r="B294" s="70" t="s">
        <v>197</v>
      </c>
      <c r="C294" s="102"/>
      <c r="D294" s="102"/>
      <c r="E294" s="102"/>
      <c r="F294" s="102"/>
      <c r="G294" s="102"/>
      <c r="H294" s="102"/>
      <c r="I294" s="102"/>
      <c r="J294" s="102"/>
      <c r="K294" s="102"/>
      <c r="L294" s="102"/>
      <c r="M294" s="102"/>
      <c r="N294" s="102"/>
      <c r="O294" s="102"/>
      <c r="P294" s="102"/>
      <c r="Q294" s="102"/>
      <c r="R294" s="102"/>
      <c r="S294" s="102"/>
      <c r="T294" s="102"/>
      <c r="U294" s="116"/>
      <c r="V294" s="116"/>
      <c r="W294" s="116"/>
      <c r="X294" s="116"/>
      <c r="Y294" s="171">
        <v>123.572</v>
      </c>
      <c r="Z294" s="168">
        <f t="shared" si="403"/>
        <v>0</v>
      </c>
      <c r="AA294" s="171">
        <v>115.77500000000001</v>
      </c>
      <c r="AB294" s="168">
        <f t="shared" si="404"/>
        <v>0</v>
      </c>
      <c r="AC294" s="171">
        <v>139.40299999999999</v>
      </c>
      <c r="AD294" s="168">
        <f>BO294</f>
        <v>79.591999999999999</v>
      </c>
      <c r="AE294" s="171">
        <v>68.495000000000005</v>
      </c>
      <c r="AF294" s="168">
        <f>BP294</f>
        <v>68.677000000000007</v>
      </c>
      <c r="AG294" s="171">
        <v>57.67</v>
      </c>
      <c r="AH294" s="168">
        <f>BQ294</f>
        <v>64.081000000000003</v>
      </c>
      <c r="AI294" s="257">
        <v>62.613</v>
      </c>
      <c r="AJ294" s="168">
        <f>BR294</f>
        <v>117.679</v>
      </c>
      <c r="AK294" s="800">
        <v>269.12099999999998</v>
      </c>
      <c r="AL294" s="800">
        <f t="shared" si="413"/>
        <v>313.07900000000001</v>
      </c>
      <c r="AM294" s="800">
        <v>235.28</v>
      </c>
      <c r="AN294" s="800">
        <f t="shared" si="414"/>
        <v>286.94</v>
      </c>
      <c r="AO294" s="800">
        <v>250.309</v>
      </c>
      <c r="AP294" s="801">
        <f t="shared" si="405"/>
        <v>301.05099999999999</v>
      </c>
      <c r="AQ294" s="802">
        <f t="shared" ref="AQ294:AZ294" si="416">AP294+3</f>
        <v>304.05099999999999</v>
      </c>
      <c r="AR294" s="802">
        <f t="shared" si="416"/>
        <v>307.05099999999999</v>
      </c>
      <c r="AS294" s="802">
        <f t="shared" si="416"/>
        <v>310.05099999999999</v>
      </c>
      <c r="AT294" s="802">
        <f t="shared" si="416"/>
        <v>313.05099999999999</v>
      </c>
      <c r="AU294" s="802">
        <f t="shared" si="416"/>
        <v>316.05099999999999</v>
      </c>
      <c r="AV294" s="802">
        <f t="shared" si="416"/>
        <v>319.05099999999999</v>
      </c>
      <c r="AW294" s="802">
        <f t="shared" si="416"/>
        <v>322.05099999999999</v>
      </c>
      <c r="AX294" s="802">
        <f t="shared" si="416"/>
        <v>325.05099999999999</v>
      </c>
      <c r="AY294" s="802">
        <f t="shared" si="416"/>
        <v>328.05099999999999</v>
      </c>
      <c r="AZ294" s="802">
        <f t="shared" si="416"/>
        <v>331.05099999999999</v>
      </c>
      <c r="BA294" s="573"/>
      <c r="BB294" s="168"/>
      <c r="BC294" s="168"/>
      <c r="BD294" s="168"/>
      <c r="BE294" s="168"/>
      <c r="BF294" s="168"/>
      <c r="BG294" s="168"/>
      <c r="BH294" s="168"/>
      <c r="BI294" s="55"/>
      <c r="BJ294" s="55"/>
      <c r="BK294" s="55"/>
      <c r="BL294" s="55"/>
      <c r="BM294" s="235"/>
      <c r="BN294" s="235"/>
      <c r="BO294" s="181">
        <v>79.591999999999999</v>
      </c>
      <c r="BP294" s="181">
        <v>68.677000000000007</v>
      </c>
      <c r="BQ294" s="181">
        <v>64.081000000000003</v>
      </c>
      <c r="BR294" s="181">
        <v>117.679</v>
      </c>
      <c r="BS294" s="181">
        <v>313.07900000000001</v>
      </c>
      <c r="BT294" s="181">
        <v>286.94</v>
      </c>
      <c r="BU294" s="307">
        <v>301.05099999999999</v>
      </c>
      <c r="BV294" s="55">
        <f t="shared" si="407"/>
        <v>307.05099999999999</v>
      </c>
      <c r="BW294" s="55">
        <f t="shared" si="408"/>
        <v>313.05099999999999</v>
      </c>
      <c r="BX294" s="55">
        <f t="shared" si="409"/>
        <v>319.05099999999999</v>
      </c>
      <c r="BY294" s="55">
        <f t="shared" si="410"/>
        <v>325.05099999999999</v>
      </c>
      <c r="BZ294" s="55">
        <f t="shared" si="411"/>
        <v>331.05099999999999</v>
      </c>
      <c r="CB294" s="70" t="s">
        <v>624</v>
      </c>
      <c r="DS294" s="55">
        <f t="shared" si="412"/>
        <v>0</v>
      </c>
    </row>
    <row r="295" spans="1:123" s="70" customFormat="1">
      <c r="A295" s="78" t="s">
        <v>224</v>
      </c>
      <c r="B295" s="70" t="s">
        <v>308</v>
      </c>
      <c r="C295" s="102"/>
      <c r="D295" s="102"/>
      <c r="E295" s="102"/>
      <c r="F295" s="102"/>
      <c r="G295" s="102"/>
      <c r="H295" s="102"/>
      <c r="I295" s="102"/>
      <c r="J295" s="102"/>
      <c r="K295" s="102"/>
      <c r="L295" s="102"/>
      <c r="M295" s="102"/>
      <c r="N295" s="102"/>
      <c r="O295" s="102"/>
      <c r="P295" s="102"/>
      <c r="Q295" s="102"/>
      <c r="R295" s="102"/>
      <c r="S295" s="102"/>
      <c r="T295" s="102"/>
      <c r="U295" s="116"/>
      <c r="V295" s="116"/>
      <c r="W295" s="116"/>
      <c r="X295" s="116"/>
      <c r="Y295" s="171">
        <v>0</v>
      </c>
      <c r="Z295" s="168">
        <f t="shared" si="403"/>
        <v>0</v>
      </c>
      <c r="AA295" s="171">
        <v>0</v>
      </c>
      <c r="AB295" s="168">
        <f t="shared" si="404"/>
        <v>0</v>
      </c>
      <c r="AC295" s="171">
        <v>0</v>
      </c>
      <c r="AD295" s="168">
        <f>BO295</f>
        <v>0</v>
      </c>
      <c r="AE295" s="171">
        <v>0</v>
      </c>
      <c r="AF295" s="168">
        <f>BP295</f>
        <v>0.52900000000000003</v>
      </c>
      <c r="AG295" s="171">
        <v>0.753</v>
      </c>
      <c r="AH295" s="168">
        <f>BQ295</f>
        <v>1.0449999999999999</v>
      </c>
      <c r="AI295" s="257">
        <v>0.872</v>
      </c>
      <c r="AJ295" s="168">
        <f>BR295</f>
        <v>1.02</v>
      </c>
      <c r="AK295" s="798">
        <v>0.75700000000000001</v>
      </c>
      <c r="AL295" s="798">
        <f t="shared" si="413"/>
        <v>1.804</v>
      </c>
      <c r="AM295" s="798">
        <v>1.2999999999999999E-2</v>
      </c>
      <c r="AN295" s="798">
        <f t="shared" si="414"/>
        <v>1.147</v>
      </c>
      <c r="AO295" s="798">
        <v>1.28</v>
      </c>
      <c r="AP295" s="799">
        <f t="shared" si="405"/>
        <v>1.381</v>
      </c>
      <c r="AQ295" s="802">
        <f t="shared" ref="AQ295:AZ296" si="417">AP295</f>
        <v>1.381</v>
      </c>
      <c r="AR295" s="802">
        <f t="shared" si="417"/>
        <v>1.381</v>
      </c>
      <c r="AS295" s="802">
        <f t="shared" si="417"/>
        <v>1.381</v>
      </c>
      <c r="AT295" s="802">
        <f t="shared" si="417"/>
        <v>1.381</v>
      </c>
      <c r="AU295" s="802">
        <f t="shared" si="417"/>
        <v>1.381</v>
      </c>
      <c r="AV295" s="802">
        <f t="shared" si="417"/>
        <v>1.381</v>
      </c>
      <c r="AW295" s="802">
        <f t="shared" si="417"/>
        <v>1.381</v>
      </c>
      <c r="AX295" s="802">
        <f t="shared" si="417"/>
        <v>1.381</v>
      </c>
      <c r="AY295" s="802">
        <f t="shared" si="417"/>
        <v>1.381</v>
      </c>
      <c r="AZ295" s="802">
        <f t="shared" si="417"/>
        <v>1.381</v>
      </c>
      <c r="BA295" s="573"/>
      <c r="BB295" s="168"/>
      <c r="BC295" s="168"/>
      <c r="BD295" s="168"/>
      <c r="BE295" s="168"/>
      <c r="BF295" s="168"/>
      <c r="BG295" s="168"/>
      <c r="BH295" s="168"/>
      <c r="BI295" s="55"/>
      <c r="BJ295" s="55"/>
      <c r="BK295" s="55"/>
      <c r="BL295" s="55"/>
      <c r="BM295" s="181"/>
      <c r="BN295" s="181"/>
      <c r="BO295" s="181">
        <v>0</v>
      </c>
      <c r="BP295" s="181">
        <v>0.52900000000000003</v>
      </c>
      <c r="BQ295" s="181">
        <v>1.0449999999999999</v>
      </c>
      <c r="BR295" s="181">
        <v>1.02</v>
      </c>
      <c r="BS295" s="181">
        <v>1.804</v>
      </c>
      <c r="BT295" s="181">
        <v>1.147</v>
      </c>
      <c r="BU295" s="307">
        <v>1.381</v>
      </c>
      <c r="BV295" s="55">
        <f t="shared" si="407"/>
        <v>1.381</v>
      </c>
      <c r="BW295" s="55">
        <f t="shared" si="408"/>
        <v>1.381</v>
      </c>
      <c r="BX295" s="55">
        <f t="shared" si="409"/>
        <v>1.381</v>
      </c>
      <c r="BY295" s="55">
        <f t="shared" si="410"/>
        <v>1.381</v>
      </c>
      <c r="BZ295" s="55">
        <f t="shared" si="411"/>
        <v>1.381</v>
      </c>
      <c r="CB295" s="70" t="s">
        <v>624</v>
      </c>
      <c r="DS295" s="55">
        <f t="shared" si="412"/>
        <v>0</v>
      </c>
    </row>
    <row r="296" spans="1:123" s="70" customFormat="1">
      <c r="A296" s="78" t="s">
        <v>225</v>
      </c>
      <c r="B296" s="70" t="s">
        <v>182</v>
      </c>
      <c r="C296" s="102"/>
      <c r="D296" s="102"/>
      <c r="E296" s="102"/>
      <c r="F296" s="102"/>
      <c r="G296" s="102"/>
      <c r="H296" s="102"/>
      <c r="I296" s="102"/>
      <c r="J296" s="102"/>
      <c r="K296" s="102"/>
      <c r="L296" s="102"/>
      <c r="Y296" s="171">
        <v>0.63500000000000001</v>
      </c>
      <c r="Z296" s="168">
        <f t="shared" si="403"/>
        <v>176.08699999999996</v>
      </c>
      <c r="AA296" s="171">
        <v>0.1</v>
      </c>
      <c r="AB296" s="168">
        <f t="shared" si="404"/>
        <v>179.71300000000002</v>
      </c>
      <c r="AC296" s="171">
        <v>0.104</v>
      </c>
      <c r="AD296" s="168">
        <f>BO296</f>
        <v>8.0000000000000002E-3</v>
      </c>
      <c r="AE296" s="171">
        <v>0.48499999999999999</v>
      </c>
      <c r="AF296" s="168">
        <f>BP296</f>
        <v>0.34799999999999998</v>
      </c>
      <c r="AG296" s="171">
        <v>0.68100000000000005</v>
      </c>
      <c r="AH296" s="168">
        <f>BQ296</f>
        <v>0.55400000000000005</v>
      </c>
      <c r="AI296" s="171">
        <v>0.92600000000000005</v>
      </c>
      <c r="AJ296" s="168">
        <f>BR296</f>
        <v>1.8680000000000001</v>
      </c>
      <c r="AK296" s="798">
        <f>11.28+10.327</f>
        <v>21.606999999999999</v>
      </c>
      <c r="AL296" s="798">
        <f t="shared" si="413"/>
        <v>25.54</v>
      </c>
      <c r="AM296" s="798">
        <f>13.394+12.627</f>
        <v>26.021000000000001</v>
      </c>
      <c r="AN296" s="798">
        <f t="shared" si="414"/>
        <v>32.981999999999999</v>
      </c>
      <c r="AO296" s="798">
        <f>15.436+14.966</f>
        <v>30.402000000000001</v>
      </c>
      <c r="AP296" s="799">
        <f t="shared" si="405"/>
        <v>30.213999999999999</v>
      </c>
      <c r="AQ296" s="802">
        <f t="shared" si="417"/>
        <v>30.213999999999999</v>
      </c>
      <c r="AR296" s="802">
        <f t="shared" si="417"/>
        <v>30.213999999999999</v>
      </c>
      <c r="AS296" s="802">
        <f t="shared" si="417"/>
        <v>30.213999999999999</v>
      </c>
      <c r="AT296" s="802">
        <f t="shared" si="417"/>
        <v>30.213999999999999</v>
      </c>
      <c r="AU296" s="802">
        <f t="shared" si="417"/>
        <v>30.213999999999999</v>
      </c>
      <c r="AV296" s="802">
        <f t="shared" si="417"/>
        <v>30.213999999999999</v>
      </c>
      <c r="AW296" s="802">
        <f t="shared" si="417"/>
        <v>30.213999999999999</v>
      </c>
      <c r="AX296" s="802">
        <f t="shared" si="417"/>
        <v>30.213999999999999</v>
      </c>
      <c r="AY296" s="802">
        <f t="shared" si="417"/>
        <v>30.213999999999999</v>
      </c>
      <c r="AZ296" s="802">
        <f t="shared" si="417"/>
        <v>30.213999999999999</v>
      </c>
      <c r="BA296" s="573"/>
      <c r="BB296" s="168"/>
      <c r="BC296" s="168"/>
      <c r="BD296" s="168"/>
      <c r="BE296" s="168"/>
      <c r="BF296" s="168"/>
      <c r="BG296" s="168"/>
      <c r="BH296" s="168"/>
      <c r="BI296" s="55"/>
      <c r="BJ296" s="55"/>
      <c r="BK296" s="55"/>
      <c r="BL296" s="55"/>
      <c r="BM296" s="181">
        <f>329.405-SUM(BM292:BM295)</f>
        <v>176.08699999999996</v>
      </c>
      <c r="BN296" s="181">
        <f>338.37-SUM(BN292:BN295)</f>
        <v>179.71300000000002</v>
      </c>
      <c r="BO296" s="181">
        <v>8.0000000000000002E-3</v>
      </c>
      <c r="BP296" s="181">
        <v>0.34799999999999998</v>
      </c>
      <c r="BQ296" s="181">
        <v>0.55400000000000005</v>
      </c>
      <c r="BR296" s="181">
        <v>1.8680000000000001</v>
      </c>
      <c r="BS296" s="181">
        <f>11.718+13.822</f>
        <v>25.54</v>
      </c>
      <c r="BT296" s="181">
        <f>18.798+14.184</f>
        <v>32.981999999999999</v>
      </c>
      <c r="BU296" s="307">
        <f>12.533+17.681</f>
        <v>30.213999999999999</v>
      </c>
      <c r="BV296" s="55">
        <f t="shared" si="407"/>
        <v>30.213999999999999</v>
      </c>
      <c r="BW296" s="55">
        <f t="shared" si="408"/>
        <v>30.213999999999999</v>
      </c>
      <c r="BX296" s="55">
        <f t="shared" si="409"/>
        <v>30.213999999999999</v>
      </c>
      <c r="BY296" s="55">
        <f t="shared" si="410"/>
        <v>30.213999999999999</v>
      </c>
      <c r="BZ296" s="55">
        <f t="shared" si="411"/>
        <v>30.213999999999999</v>
      </c>
      <c r="CB296" s="70" t="s">
        <v>624</v>
      </c>
      <c r="DS296" s="55">
        <f t="shared" si="412"/>
        <v>0</v>
      </c>
    </row>
    <row r="297" spans="1:123" s="70" customFormat="1">
      <c r="A297" s="78" t="s">
        <v>157</v>
      </c>
      <c r="B297" s="75" t="s">
        <v>146</v>
      </c>
      <c r="C297" s="115"/>
      <c r="D297" s="102"/>
      <c r="E297" s="102"/>
      <c r="F297" s="102"/>
      <c r="G297" s="102"/>
      <c r="H297" s="102"/>
      <c r="I297" s="102"/>
      <c r="J297" s="102"/>
      <c r="K297" s="102"/>
      <c r="L297" s="102"/>
      <c r="M297" s="111"/>
      <c r="N297" s="111"/>
      <c r="O297" s="111"/>
      <c r="P297" s="111"/>
      <c r="Q297" s="111"/>
      <c r="R297" s="111"/>
      <c r="S297" s="111"/>
      <c r="T297" s="111"/>
      <c r="U297" s="117"/>
      <c r="V297" s="117"/>
      <c r="W297" s="117"/>
      <c r="X297" s="117"/>
      <c r="Y297" s="183">
        <f t="shared" ref="Y297:AR297" si="418">SUM(Y292:Y296)</f>
        <v>271.33199999999999</v>
      </c>
      <c r="Z297" s="183">
        <f t="shared" si="403"/>
        <v>329.40499999999997</v>
      </c>
      <c r="AA297" s="183">
        <f t="shared" si="418"/>
        <v>274.976</v>
      </c>
      <c r="AB297" s="168">
        <f t="shared" si="404"/>
        <v>338.37</v>
      </c>
      <c r="AC297" s="183">
        <f t="shared" si="418"/>
        <v>324.935</v>
      </c>
      <c r="AD297" s="183">
        <f>SUM(AD292:AD296)</f>
        <v>299.59699999999998</v>
      </c>
      <c r="AE297" s="183">
        <f t="shared" si="418"/>
        <v>253.75700000000003</v>
      </c>
      <c r="AF297" s="183">
        <f t="shared" si="418"/>
        <v>312.70499999999998</v>
      </c>
      <c r="AG297" s="183">
        <f t="shared" si="418"/>
        <v>285.25399999999996</v>
      </c>
      <c r="AH297" s="183">
        <f t="shared" si="418"/>
        <v>347.5</v>
      </c>
      <c r="AI297" s="183">
        <f t="shared" si="418"/>
        <v>336.96300000000002</v>
      </c>
      <c r="AJ297" s="183">
        <f>SUM(AJ292:AJ296)</f>
        <v>713.02700000000004</v>
      </c>
      <c r="AK297" s="183">
        <f t="shared" ref="AK297:AM297" si="419">SUM(AK292:AK296)</f>
        <v>1318.8629999999998</v>
      </c>
      <c r="AL297" s="183">
        <f t="shared" si="413"/>
        <v>1537.144</v>
      </c>
      <c r="AM297" s="183">
        <f t="shared" si="419"/>
        <v>1354.4409999999998</v>
      </c>
      <c r="AN297" s="183">
        <f t="shared" si="414"/>
        <v>1607.385</v>
      </c>
      <c r="AO297" s="183">
        <f t="shared" ref="AO297" si="420">SUM(AO292:AO296)</f>
        <v>1522.134</v>
      </c>
      <c r="AP297" s="464">
        <f t="shared" si="405"/>
        <v>1675.2840000000001</v>
      </c>
      <c r="AQ297" s="183">
        <f t="shared" si="418"/>
        <v>1692.0278532247248</v>
      </c>
      <c r="AR297" s="183">
        <f t="shared" si="418"/>
        <v>1795.8433689240369</v>
      </c>
      <c r="AS297" s="183">
        <f t="shared" ref="AS297:AZ297" si="421">SUM(AS292:AS296)</f>
        <v>1809.5623963680819</v>
      </c>
      <c r="AT297" s="183">
        <f t="shared" si="421"/>
        <v>1921.9598616534538</v>
      </c>
      <c r="AU297" s="183">
        <f t="shared" si="421"/>
        <v>1939.4769701677621</v>
      </c>
      <c r="AV297" s="183">
        <f t="shared" si="421"/>
        <v>2059.4750517125326</v>
      </c>
      <c r="AW297" s="183">
        <f t="shared" si="421"/>
        <v>2079.6686471891417</v>
      </c>
      <c r="AX297" s="183">
        <f t="shared" si="421"/>
        <v>2208.2651633823216</v>
      </c>
      <c r="AY297" s="183">
        <f t="shared" si="421"/>
        <v>2231.3518216269713</v>
      </c>
      <c r="AZ297" s="183">
        <f t="shared" si="421"/>
        <v>2369.0965711026788</v>
      </c>
      <c r="BA297" s="573"/>
      <c r="BB297" s="168"/>
      <c r="BC297" s="168"/>
      <c r="BD297" s="168"/>
      <c r="BE297" s="168"/>
      <c r="BF297" s="168"/>
      <c r="BG297" s="168"/>
      <c r="BH297" s="168"/>
      <c r="BI297" s="92"/>
      <c r="BJ297" s="92"/>
      <c r="BK297" s="92"/>
      <c r="BL297" s="92"/>
      <c r="BM297" s="92">
        <f t="shared" ref="BM297:BU297" si="422">SUM(BM292:BM296)</f>
        <v>329.40499999999997</v>
      </c>
      <c r="BN297" s="92">
        <f t="shared" si="422"/>
        <v>338.37</v>
      </c>
      <c r="BO297" s="92">
        <f t="shared" si="422"/>
        <v>299.59699999999998</v>
      </c>
      <c r="BP297" s="92">
        <f t="shared" si="422"/>
        <v>312.70499999999998</v>
      </c>
      <c r="BQ297" s="92">
        <f t="shared" si="422"/>
        <v>347.5</v>
      </c>
      <c r="BR297" s="92">
        <f t="shared" si="422"/>
        <v>713.02700000000004</v>
      </c>
      <c r="BS297" s="92">
        <f t="shared" si="422"/>
        <v>1537.144</v>
      </c>
      <c r="BT297" s="92">
        <f t="shared" si="422"/>
        <v>1607.385</v>
      </c>
      <c r="BU297" s="457">
        <f t="shared" si="422"/>
        <v>1675.2840000000001</v>
      </c>
      <c r="BV297" s="92">
        <f t="shared" si="407"/>
        <v>1795.8433689240369</v>
      </c>
      <c r="BW297" s="92">
        <f t="shared" si="408"/>
        <v>1921.9598616534538</v>
      </c>
      <c r="BX297" s="92">
        <f t="shared" si="409"/>
        <v>2059.4750517125326</v>
      </c>
      <c r="BY297" s="92">
        <f t="shared" si="410"/>
        <v>2208.2651633823216</v>
      </c>
      <c r="BZ297" s="92">
        <f t="shared" si="411"/>
        <v>2369.0965711026788</v>
      </c>
      <c r="CB297" s="70" t="s">
        <v>609</v>
      </c>
      <c r="DS297" s="92">
        <f t="shared" si="412"/>
        <v>0</v>
      </c>
    </row>
    <row r="298" spans="1:123" s="70" customFormat="1">
      <c r="A298" s="78"/>
      <c r="C298" s="102"/>
      <c r="D298" s="102"/>
      <c r="E298" s="102"/>
      <c r="F298" s="102"/>
      <c r="G298" s="102"/>
      <c r="H298" s="102"/>
      <c r="I298" s="102"/>
      <c r="J298" s="102"/>
      <c r="K298" s="102"/>
      <c r="L298" s="102"/>
      <c r="M298" s="102"/>
      <c r="N298" s="102"/>
      <c r="O298" s="102"/>
      <c r="P298" s="102"/>
      <c r="Q298" s="102"/>
      <c r="R298" s="102"/>
      <c r="S298" s="102"/>
      <c r="T298" s="102"/>
      <c r="U298" s="102"/>
      <c r="V298" s="102"/>
      <c r="W298" s="102"/>
      <c r="X298" s="102"/>
      <c r="Y298" s="171"/>
      <c r="Z298" s="171"/>
      <c r="AA298" s="171"/>
      <c r="AB298" s="171"/>
      <c r="AC298" s="171"/>
      <c r="AD298" s="171"/>
      <c r="AE298" s="171"/>
      <c r="AF298" s="171"/>
      <c r="AG298" s="171"/>
      <c r="AH298" s="171"/>
      <c r="AI298" s="171"/>
      <c r="AJ298" s="171"/>
      <c r="AK298" s="323"/>
      <c r="AL298" s="323"/>
      <c r="AM298" s="323"/>
      <c r="AN298" s="323"/>
      <c r="AO298" s="323"/>
      <c r="AP298" s="465"/>
      <c r="AQ298" s="323"/>
      <c r="AR298" s="323"/>
      <c r="AS298" s="323"/>
      <c r="AT298" s="323"/>
      <c r="AU298" s="323"/>
      <c r="AV298" s="323"/>
      <c r="AW298" s="323"/>
      <c r="AX298" s="323"/>
      <c r="AY298" s="323"/>
      <c r="AZ298" s="323"/>
      <c r="BA298" s="573"/>
      <c r="BB298" s="168"/>
      <c r="BC298" s="168"/>
      <c r="BD298" s="168"/>
      <c r="BE298" s="168"/>
      <c r="BF298" s="168"/>
      <c r="BG298" s="168"/>
      <c r="BH298" s="168"/>
      <c r="BI298" s="168"/>
      <c r="BJ298" s="168"/>
      <c r="BK298" s="168"/>
      <c r="BL298" s="178"/>
      <c r="BM298" s="55"/>
      <c r="BN298" s="55"/>
      <c r="BO298" s="55"/>
      <c r="BP298" s="55"/>
      <c r="BQ298" s="55"/>
      <c r="BR298" s="55"/>
      <c r="BS298" s="55"/>
      <c r="BT298" s="55"/>
      <c r="BU298" s="453"/>
      <c r="BV298" s="55"/>
      <c r="BW298" s="55"/>
      <c r="BX298" s="55"/>
      <c r="BY298" s="55"/>
      <c r="BZ298" s="55"/>
      <c r="DS298" s="55"/>
    </row>
    <row r="299" spans="1:123" s="70" customFormat="1">
      <c r="A299" s="78"/>
      <c r="B299" s="75" t="s">
        <v>147</v>
      </c>
      <c r="C299" s="102"/>
      <c r="D299" s="102"/>
      <c r="E299" s="102"/>
      <c r="F299" s="102"/>
      <c r="G299" s="102"/>
      <c r="H299" s="102"/>
      <c r="I299" s="102"/>
      <c r="J299" s="102"/>
      <c r="K299" s="102"/>
      <c r="L299" s="102"/>
      <c r="M299" s="102"/>
      <c r="N299" s="102"/>
      <c r="O299" s="102"/>
      <c r="P299" s="102"/>
      <c r="Q299" s="102"/>
      <c r="R299" s="102"/>
      <c r="S299" s="102"/>
      <c r="T299" s="102"/>
      <c r="U299" s="102"/>
      <c r="V299" s="102"/>
      <c r="W299" s="102"/>
      <c r="X299" s="102"/>
      <c r="Y299" s="171"/>
      <c r="Z299" s="171"/>
      <c r="AA299" s="171"/>
      <c r="AB299" s="171"/>
      <c r="AC299" s="171"/>
      <c r="AD299" s="171"/>
      <c r="AE299" s="171"/>
      <c r="AF299" s="171"/>
      <c r="AG299" s="171"/>
      <c r="AH299" s="171"/>
      <c r="AI299" s="171"/>
      <c r="AJ299" s="171"/>
      <c r="AK299" s="168"/>
      <c r="AL299" s="168"/>
      <c r="AM299" s="168"/>
      <c r="AN299" s="168"/>
      <c r="AO299" s="168"/>
      <c r="AP299" s="302"/>
      <c r="AQ299" s="168"/>
      <c r="AR299" s="168"/>
      <c r="AS299" s="168"/>
      <c r="AT299" s="168"/>
      <c r="AU299" s="168"/>
      <c r="AV299" s="168"/>
      <c r="AW299" s="168"/>
      <c r="AX299" s="168"/>
      <c r="AY299" s="168"/>
      <c r="AZ299" s="168"/>
      <c r="BA299" s="573"/>
      <c r="BB299" s="168"/>
      <c r="BC299" s="168"/>
      <c r="BD299" s="168"/>
      <c r="BE299" s="168"/>
      <c r="BF299" s="168"/>
      <c r="BG299" s="168"/>
      <c r="BH299" s="168"/>
      <c r="BI299" s="168"/>
      <c r="BJ299" s="168"/>
      <c r="BK299" s="168"/>
      <c r="BL299" s="178"/>
      <c r="BM299" s="55"/>
      <c r="BN299" s="55"/>
      <c r="BO299" s="55"/>
      <c r="BP299" s="55"/>
      <c r="BQ299" s="55"/>
      <c r="BR299" s="55"/>
      <c r="BS299" s="55"/>
      <c r="BT299" s="55"/>
      <c r="BU299" s="453"/>
      <c r="BV299" s="55"/>
      <c r="BW299" s="55"/>
      <c r="BX299" s="55"/>
      <c r="BY299" s="55"/>
      <c r="BZ299" s="55"/>
      <c r="DS299" s="55"/>
    </row>
    <row r="300" spans="1:123" s="70" customFormat="1">
      <c r="A300" s="78" t="s">
        <v>540</v>
      </c>
      <c r="B300" s="70" t="s">
        <v>226</v>
      </c>
      <c r="C300" s="102"/>
      <c r="D300" s="102"/>
      <c r="E300" s="102"/>
      <c r="F300" s="102"/>
      <c r="G300" s="102"/>
      <c r="H300" s="102"/>
      <c r="I300" s="102"/>
      <c r="J300" s="102"/>
      <c r="K300" s="102"/>
      <c r="L300" s="102"/>
      <c r="M300" s="102"/>
      <c r="N300" s="102"/>
      <c r="O300" s="102"/>
      <c r="P300" s="102"/>
      <c r="Q300" s="102"/>
      <c r="R300" s="102"/>
      <c r="S300" s="102"/>
      <c r="T300" s="102"/>
      <c r="U300" s="102"/>
      <c r="V300" s="102"/>
      <c r="W300" s="102"/>
      <c r="X300" s="102"/>
      <c r="Y300" s="171">
        <v>252.12799999999999</v>
      </c>
      <c r="Z300" s="168">
        <f t="shared" ref="Z300:Z308" si="423">BM300</f>
        <v>263.85899999999998</v>
      </c>
      <c r="AA300" s="171">
        <v>271.75099999999998</v>
      </c>
      <c r="AB300" s="168">
        <f t="shared" ref="AB300:AB308" si="424">BN300</f>
        <v>267.09699999999998</v>
      </c>
      <c r="AC300" s="171">
        <v>328.113</v>
      </c>
      <c r="AD300" s="168">
        <f>BO300</f>
        <v>401.14600000000002</v>
      </c>
      <c r="AE300" s="171">
        <v>395.73899999999998</v>
      </c>
      <c r="AF300" s="168">
        <f>BP300</f>
        <v>382.99599999999998</v>
      </c>
      <c r="AG300" s="171">
        <v>510.73500000000001</v>
      </c>
      <c r="AH300" s="168">
        <f t="shared" ref="AH300:AH306" si="425">BQ300</f>
        <v>469.67700000000002</v>
      </c>
      <c r="AI300" s="171">
        <v>514.83600000000001</v>
      </c>
      <c r="AJ300" s="168">
        <f t="shared" ref="AJ300:AJ306" si="426">BR300</f>
        <v>622.51</v>
      </c>
      <c r="AK300" s="798">
        <v>1806.8510000000001</v>
      </c>
      <c r="AL300" s="798">
        <f t="shared" ref="AL300:AL306" si="427">BS300</f>
        <v>1956.8409999999999</v>
      </c>
      <c r="AM300" s="798">
        <v>2005.4269999999999</v>
      </c>
      <c r="AN300" s="798">
        <f>BT300</f>
        <v>2042.894</v>
      </c>
      <c r="AO300" s="798">
        <v>2462.299</v>
      </c>
      <c r="AP300" s="799">
        <f t="shared" ref="AP300:AP306" si="428">BU300</f>
        <v>2601.65</v>
      </c>
      <c r="AQ300" s="802">
        <f t="shared" ref="AQ300:AZ300" si="429">AP300</f>
        <v>2601.65</v>
      </c>
      <c r="AR300" s="802">
        <f t="shared" si="429"/>
        <v>2601.65</v>
      </c>
      <c r="AS300" s="802">
        <f t="shared" si="429"/>
        <v>2601.65</v>
      </c>
      <c r="AT300" s="802">
        <f t="shared" si="429"/>
        <v>2601.65</v>
      </c>
      <c r="AU300" s="802">
        <f t="shared" si="429"/>
        <v>2601.65</v>
      </c>
      <c r="AV300" s="802">
        <f t="shared" si="429"/>
        <v>2601.65</v>
      </c>
      <c r="AW300" s="802">
        <f t="shared" si="429"/>
        <v>2601.65</v>
      </c>
      <c r="AX300" s="802">
        <f t="shared" si="429"/>
        <v>2601.65</v>
      </c>
      <c r="AY300" s="802">
        <f t="shared" si="429"/>
        <v>2601.65</v>
      </c>
      <c r="AZ300" s="802">
        <f t="shared" si="429"/>
        <v>2601.65</v>
      </c>
      <c r="BA300" s="573"/>
      <c r="BB300" s="168"/>
      <c r="BC300" s="168"/>
      <c r="BD300" s="168"/>
      <c r="BE300" s="168"/>
      <c r="BF300" s="168"/>
      <c r="BG300" s="168"/>
      <c r="BH300" s="168"/>
      <c r="BI300" s="55"/>
      <c r="BJ300" s="55"/>
      <c r="BK300" s="55"/>
      <c r="BL300" s="55"/>
      <c r="BM300" s="171">
        <v>263.85899999999998</v>
      </c>
      <c r="BN300" s="171">
        <v>267.09699999999998</v>
      </c>
      <c r="BO300" s="171">
        <v>401.14600000000002</v>
      </c>
      <c r="BP300" s="171">
        <v>382.99599999999998</v>
      </c>
      <c r="BQ300" s="171">
        <v>469.67700000000002</v>
      </c>
      <c r="BR300" s="171">
        <v>622.51</v>
      </c>
      <c r="BS300" s="171">
        <v>1956.8409999999999</v>
      </c>
      <c r="BT300" s="171">
        <v>2042.894</v>
      </c>
      <c r="BU300" s="314">
        <v>2601.65</v>
      </c>
      <c r="BV300" s="55">
        <f t="shared" ref="BV300:BV306" si="430">AR300</f>
        <v>2601.65</v>
      </c>
      <c r="BW300" s="55">
        <f t="shared" ref="BW300:BW306" si="431">AT300</f>
        <v>2601.65</v>
      </c>
      <c r="BX300" s="55">
        <f t="shared" ref="BX300:BX306" si="432">AV300</f>
        <v>2601.65</v>
      </c>
      <c r="BY300" s="55">
        <f t="shared" ref="BY300:BY306" si="433">AX300</f>
        <v>2601.65</v>
      </c>
      <c r="BZ300" s="55">
        <f t="shared" ref="BZ300:BZ306" si="434">AZ300</f>
        <v>2601.65</v>
      </c>
      <c r="CB300" s="70" t="s">
        <v>624</v>
      </c>
      <c r="DS300" s="55">
        <f t="shared" ref="DS300:DS306" si="435">CV300</f>
        <v>0</v>
      </c>
    </row>
    <row r="301" spans="1:123" s="70" customFormat="1">
      <c r="A301" s="78" t="s">
        <v>263</v>
      </c>
      <c r="B301" s="70" t="s">
        <v>227</v>
      </c>
      <c r="C301" s="102"/>
      <c r="D301" s="102"/>
      <c r="E301" s="102"/>
      <c r="F301" s="102"/>
      <c r="G301" s="102"/>
      <c r="H301" s="102"/>
      <c r="I301" s="102"/>
      <c r="J301" s="102"/>
      <c r="K301" s="102"/>
      <c r="L301" s="102"/>
      <c r="M301" s="102"/>
      <c r="N301" s="102"/>
      <c r="O301" s="102"/>
      <c r="P301" s="102"/>
      <c r="Q301" s="102"/>
      <c r="R301" s="102"/>
      <c r="S301" s="102"/>
      <c r="T301" s="102"/>
      <c r="U301" s="102"/>
      <c r="V301" s="102"/>
      <c r="W301" s="102"/>
      <c r="X301" s="102"/>
      <c r="Y301" s="171">
        <v>132.18600000000001</v>
      </c>
      <c r="Z301" s="168">
        <f t="shared" si="423"/>
        <v>141.71299999999999</v>
      </c>
      <c r="AA301" s="171">
        <v>145.11600000000001</v>
      </c>
      <c r="AB301" s="168">
        <f t="shared" si="424"/>
        <v>155.88800000000001</v>
      </c>
      <c r="AC301" s="171">
        <v>134.851</v>
      </c>
      <c r="AD301" s="168">
        <f t="shared" ref="AD301:AD306" si="436">BO301</f>
        <v>127.453</v>
      </c>
      <c r="AE301" s="171">
        <v>127.371</v>
      </c>
      <c r="AF301" s="168">
        <f t="shared" ref="AF301:AF306" si="437">BP301</f>
        <v>271.041</v>
      </c>
      <c r="AG301" s="171">
        <v>267.33100000000002</v>
      </c>
      <c r="AH301" s="168">
        <f t="shared" si="425"/>
        <v>280.64299999999997</v>
      </c>
      <c r="AI301" s="171">
        <v>275.59899999999999</v>
      </c>
      <c r="AJ301" s="168">
        <f t="shared" si="426"/>
        <v>250.1</v>
      </c>
      <c r="AK301" s="798">
        <v>249.798</v>
      </c>
      <c r="AL301" s="798">
        <f t="shared" si="427"/>
        <v>238.52600000000001</v>
      </c>
      <c r="AM301" s="798">
        <v>248.78399999999999</v>
      </c>
      <c r="AN301" s="798">
        <f t="shared" ref="AN301:AN306" si="438">BT301</f>
        <v>250.911</v>
      </c>
      <c r="AO301" s="798">
        <v>313.18900000000002</v>
      </c>
      <c r="AP301" s="799">
        <f t="shared" si="428"/>
        <v>301.85500000000002</v>
      </c>
      <c r="AQ301" s="802">
        <f t="shared" ref="AQ301:AZ301" si="439">AQ317</f>
        <v>301.85500000000002</v>
      </c>
      <c r="AR301" s="802">
        <f t="shared" si="439"/>
        <v>301.85500000000002</v>
      </c>
      <c r="AS301" s="802">
        <f t="shared" si="439"/>
        <v>301.85500000000002</v>
      </c>
      <c r="AT301" s="802">
        <f t="shared" si="439"/>
        <v>301.85500000000002</v>
      </c>
      <c r="AU301" s="802">
        <f t="shared" si="439"/>
        <v>301.85500000000002</v>
      </c>
      <c r="AV301" s="802">
        <f t="shared" si="439"/>
        <v>301.85500000000002</v>
      </c>
      <c r="AW301" s="802">
        <f t="shared" si="439"/>
        <v>301.85500000000002</v>
      </c>
      <c r="AX301" s="802">
        <f t="shared" si="439"/>
        <v>301.85500000000002</v>
      </c>
      <c r="AY301" s="802">
        <f t="shared" si="439"/>
        <v>301.85500000000002</v>
      </c>
      <c r="AZ301" s="802">
        <f t="shared" si="439"/>
        <v>301.85500000000002</v>
      </c>
      <c r="BA301" s="573"/>
      <c r="BB301" s="168"/>
      <c r="BC301" s="168"/>
      <c r="BD301" s="168"/>
      <c r="BE301" s="168"/>
      <c r="BF301" s="168"/>
      <c r="BG301" s="168"/>
      <c r="BH301" s="168"/>
      <c r="BI301" s="55"/>
      <c r="BJ301" s="55"/>
      <c r="BK301" s="55"/>
      <c r="BL301" s="55"/>
      <c r="BM301" s="171">
        <v>141.71299999999999</v>
      </c>
      <c r="BN301" s="171">
        <v>155.88800000000001</v>
      </c>
      <c r="BO301" s="171">
        <v>127.453</v>
      </c>
      <c r="BP301" s="171">
        <v>271.041</v>
      </c>
      <c r="BQ301" s="171">
        <v>280.64299999999997</v>
      </c>
      <c r="BR301" s="171">
        <v>250.1</v>
      </c>
      <c r="BS301" s="171">
        <v>238.52600000000001</v>
      </c>
      <c r="BT301" s="171">
        <v>250.911</v>
      </c>
      <c r="BU301" s="314">
        <v>301.85500000000002</v>
      </c>
      <c r="BV301" s="55">
        <f t="shared" si="430"/>
        <v>301.85500000000002</v>
      </c>
      <c r="BW301" s="55">
        <f t="shared" si="431"/>
        <v>301.85500000000002</v>
      </c>
      <c r="BX301" s="55">
        <f t="shared" si="432"/>
        <v>301.85500000000002</v>
      </c>
      <c r="BY301" s="55">
        <f t="shared" si="433"/>
        <v>301.85500000000002</v>
      </c>
      <c r="BZ301" s="55">
        <f t="shared" si="434"/>
        <v>301.85500000000002</v>
      </c>
      <c r="CB301" s="70" t="s">
        <v>624</v>
      </c>
      <c r="DS301" s="55">
        <f t="shared" si="435"/>
        <v>0</v>
      </c>
    </row>
    <row r="302" spans="1:123" s="70" customFormat="1">
      <c r="A302" s="78"/>
      <c r="B302" s="70" t="s">
        <v>228</v>
      </c>
      <c r="C302" s="102"/>
      <c r="D302" s="102"/>
      <c r="E302" s="102"/>
      <c r="F302" s="102"/>
      <c r="G302" s="102"/>
      <c r="H302" s="102"/>
      <c r="I302" s="102"/>
      <c r="J302" s="102"/>
      <c r="K302" s="102"/>
      <c r="L302" s="102"/>
      <c r="M302" s="102"/>
      <c r="N302" s="102"/>
      <c r="O302" s="102"/>
      <c r="P302" s="102"/>
      <c r="Q302" s="102"/>
      <c r="R302" s="102"/>
      <c r="S302" s="102"/>
      <c r="T302" s="102"/>
      <c r="U302" s="102"/>
      <c r="V302" s="102"/>
      <c r="W302" s="102"/>
      <c r="X302" s="102"/>
      <c r="Y302" s="171">
        <v>11.558</v>
      </c>
      <c r="Z302" s="168">
        <f t="shared" si="423"/>
        <v>11.648</v>
      </c>
      <c r="AA302" s="171">
        <v>12.131</v>
      </c>
      <c r="AB302" s="168">
        <f t="shared" si="424"/>
        <v>11.996</v>
      </c>
      <c r="AC302" s="171">
        <v>13.862</v>
      </c>
      <c r="AD302" s="168">
        <f t="shared" si="436"/>
        <v>14.558999999999999</v>
      </c>
      <c r="AE302" s="171">
        <v>14.029</v>
      </c>
      <c r="AF302" s="168">
        <f t="shared" si="437"/>
        <v>11.676</v>
      </c>
      <c r="AG302" s="171">
        <v>11.994</v>
      </c>
      <c r="AH302" s="168">
        <f t="shared" si="425"/>
        <v>7.5339999999999998</v>
      </c>
      <c r="AI302" s="171">
        <v>6.8979999999999997</v>
      </c>
      <c r="AJ302" s="168">
        <f t="shared" si="426"/>
        <v>6.3470000000000004</v>
      </c>
      <c r="AK302" s="181">
        <v>15.385</v>
      </c>
      <c r="AL302" s="181">
        <f t="shared" si="427"/>
        <v>12.885</v>
      </c>
      <c r="AM302" s="181">
        <v>12.484</v>
      </c>
      <c r="AN302" s="181">
        <f t="shared" si="438"/>
        <v>11.598000000000001</v>
      </c>
      <c r="AO302" s="181">
        <v>12.519</v>
      </c>
      <c r="AP302" s="453">
        <f t="shared" si="428"/>
        <v>12.811999999999999</v>
      </c>
      <c r="AQ302" s="245">
        <f t="shared" ref="AQ302:AZ306" si="440">AP302</f>
        <v>12.811999999999999</v>
      </c>
      <c r="AR302" s="245">
        <f t="shared" si="440"/>
        <v>12.811999999999999</v>
      </c>
      <c r="AS302" s="245">
        <f t="shared" si="440"/>
        <v>12.811999999999999</v>
      </c>
      <c r="AT302" s="245">
        <f t="shared" si="440"/>
        <v>12.811999999999999</v>
      </c>
      <c r="AU302" s="245">
        <f t="shared" si="440"/>
        <v>12.811999999999999</v>
      </c>
      <c r="AV302" s="245">
        <f t="shared" si="440"/>
        <v>12.811999999999999</v>
      </c>
      <c r="AW302" s="245">
        <f t="shared" si="440"/>
        <v>12.811999999999999</v>
      </c>
      <c r="AX302" s="245">
        <f t="shared" si="440"/>
        <v>12.811999999999999</v>
      </c>
      <c r="AY302" s="245">
        <f t="shared" si="440"/>
        <v>12.811999999999999</v>
      </c>
      <c r="AZ302" s="245">
        <f t="shared" si="440"/>
        <v>12.811999999999999</v>
      </c>
      <c r="BA302" s="573"/>
      <c r="BB302" s="168"/>
      <c r="BC302" s="168"/>
      <c r="BD302" s="168"/>
      <c r="BE302" s="168"/>
      <c r="BF302" s="168"/>
      <c r="BG302" s="168"/>
      <c r="BH302" s="168"/>
      <c r="BI302" s="55"/>
      <c r="BJ302" s="55"/>
      <c r="BK302" s="55"/>
      <c r="BL302" s="55"/>
      <c r="BM302" s="171">
        <v>11.648</v>
      </c>
      <c r="BN302" s="171">
        <v>11.996</v>
      </c>
      <c r="BO302" s="171">
        <v>14.558999999999999</v>
      </c>
      <c r="BP302" s="171">
        <v>11.676</v>
      </c>
      <c r="BQ302" s="171">
        <v>7.5339999999999998</v>
      </c>
      <c r="BR302" s="171">
        <v>6.3470000000000004</v>
      </c>
      <c r="BS302" s="171">
        <v>12.885</v>
      </c>
      <c r="BT302" s="171">
        <v>11.598000000000001</v>
      </c>
      <c r="BU302" s="314">
        <v>12.811999999999999</v>
      </c>
      <c r="BV302" s="55">
        <f t="shared" si="430"/>
        <v>12.811999999999999</v>
      </c>
      <c r="BW302" s="55">
        <f t="shared" si="431"/>
        <v>12.811999999999999</v>
      </c>
      <c r="BX302" s="55">
        <f t="shared" si="432"/>
        <v>12.811999999999999</v>
      </c>
      <c r="BY302" s="55">
        <f t="shared" si="433"/>
        <v>12.811999999999999</v>
      </c>
      <c r="BZ302" s="55">
        <f t="shared" si="434"/>
        <v>12.811999999999999</v>
      </c>
      <c r="CB302" s="70" t="s">
        <v>624</v>
      </c>
      <c r="DS302" s="55">
        <f t="shared" si="435"/>
        <v>0</v>
      </c>
    </row>
    <row r="303" spans="1:123" s="70" customFormat="1">
      <c r="A303" s="78"/>
      <c r="B303" s="70" t="s">
        <v>229</v>
      </c>
      <c r="C303" s="102"/>
      <c r="D303" s="102"/>
      <c r="E303" s="102"/>
      <c r="F303" s="102"/>
      <c r="G303" s="102"/>
      <c r="H303" s="102"/>
      <c r="I303" s="102"/>
      <c r="J303" s="102"/>
      <c r="K303" s="102"/>
      <c r="L303" s="102"/>
      <c r="Y303" s="171">
        <v>0</v>
      </c>
      <c r="Z303" s="168">
        <f t="shared" si="423"/>
        <v>0</v>
      </c>
      <c r="AA303" s="171">
        <v>0</v>
      </c>
      <c r="AB303" s="168">
        <f t="shared" si="424"/>
        <v>0</v>
      </c>
      <c r="AC303" s="171">
        <v>0</v>
      </c>
      <c r="AD303" s="168">
        <f t="shared" si="436"/>
        <v>0</v>
      </c>
      <c r="AE303" s="171">
        <v>32.29</v>
      </c>
      <c r="AF303" s="168">
        <f t="shared" si="437"/>
        <v>26.321999999999999</v>
      </c>
      <c r="AG303" s="171">
        <v>25.059000000000001</v>
      </c>
      <c r="AH303" s="168">
        <f t="shared" si="425"/>
        <v>22.617999999999999</v>
      </c>
      <c r="AI303" s="171">
        <v>23.527999999999999</v>
      </c>
      <c r="AJ303" s="168">
        <f t="shared" si="426"/>
        <v>23.850999999999999</v>
      </c>
      <c r="AK303" s="181">
        <v>62.765000000000001</v>
      </c>
      <c r="AL303" s="181">
        <f t="shared" si="427"/>
        <v>70.36</v>
      </c>
      <c r="AM303" s="181">
        <v>69.817999999999998</v>
      </c>
      <c r="AN303" s="181">
        <f t="shared" si="438"/>
        <v>72.751000000000005</v>
      </c>
      <c r="AO303" s="181">
        <v>75.929000000000002</v>
      </c>
      <c r="AP303" s="453">
        <f t="shared" si="428"/>
        <v>77.602999999999994</v>
      </c>
      <c r="AQ303" s="245">
        <f t="shared" si="440"/>
        <v>77.602999999999994</v>
      </c>
      <c r="AR303" s="245">
        <f t="shared" si="440"/>
        <v>77.602999999999994</v>
      </c>
      <c r="AS303" s="245">
        <f t="shared" si="440"/>
        <v>77.602999999999994</v>
      </c>
      <c r="AT303" s="245">
        <f t="shared" si="440"/>
        <v>77.602999999999994</v>
      </c>
      <c r="AU303" s="245">
        <f t="shared" si="440"/>
        <v>77.602999999999994</v>
      </c>
      <c r="AV303" s="245">
        <f t="shared" si="440"/>
        <v>77.602999999999994</v>
      </c>
      <c r="AW303" s="245">
        <f t="shared" si="440"/>
        <v>77.602999999999994</v>
      </c>
      <c r="AX303" s="245">
        <f t="shared" si="440"/>
        <v>77.602999999999994</v>
      </c>
      <c r="AY303" s="245">
        <f t="shared" si="440"/>
        <v>77.602999999999994</v>
      </c>
      <c r="AZ303" s="245">
        <f t="shared" si="440"/>
        <v>77.602999999999994</v>
      </c>
      <c r="BA303" s="573"/>
      <c r="BB303" s="168"/>
      <c r="BC303" s="168"/>
      <c r="BD303" s="168"/>
      <c r="BE303" s="168"/>
      <c r="BF303" s="168"/>
      <c r="BG303" s="168"/>
      <c r="BH303" s="168"/>
      <c r="BI303" s="55"/>
      <c r="BJ303" s="55"/>
      <c r="BK303" s="55"/>
      <c r="BL303" s="55"/>
      <c r="BM303" s="171">
        <v>0</v>
      </c>
      <c r="BN303" s="171">
        <v>0</v>
      </c>
      <c r="BO303" s="171">
        <v>0</v>
      </c>
      <c r="BP303" s="171">
        <v>26.321999999999999</v>
      </c>
      <c r="BQ303" s="171">
        <v>22.617999999999999</v>
      </c>
      <c r="BR303" s="171">
        <v>23.850999999999999</v>
      </c>
      <c r="BS303" s="171">
        <v>70.36</v>
      </c>
      <c r="BT303" s="171">
        <v>72.751000000000005</v>
      </c>
      <c r="BU303" s="314">
        <v>77.602999999999994</v>
      </c>
      <c r="BV303" s="55">
        <f t="shared" si="430"/>
        <v>77.602999999999994</v>
      </c>
      <c r="BW303" s="55">
        <f t="shared" si="431"/>
        <v>77.602999999999994</v>
      </c>
      <c r="BX303" s="55">
        <f t="shared" si="432"/>
        <v>77.602999999999994</v>
      </c>
      <c r="BY303" s="55">
        <f t="shared" si="433"/>
        <v>77.602999999999994</v>
      </c>
      <c r="BZ303" s="55">
        <f t="shared" si="434"/>
        <v>77.602999999999994</v>
      </c>
      <c r="CB303" s="70" t="s">
        <v>624</v>
      </c>
      <c r="DS303" s="55">
        <f t="shared" si="435"/>
        <v>0</v>
      </c>
    </row>
    <row r="304" spans="1:123" s="70" customFormat="1">
      <c r="A304" s="78" t="s">
        <v>262</v>
      </c>
      <c r="B304" s="70" t="s">
        <v>230</v>
      </c>
      <c r="C304" s="75"/>
      <c r="D304" s="75"/>
      <c r="E304" s="75"/>
      <c r="F304" s="75"/>
      <c r="G304" s="75"/>
      <c r="H304" s="75"/>
      <c r="I304" s="75"/>
      <c r="J304" s="75"/>
      <c r="K304" s="75"/>
      <c r="L304" s="75"/>
      <c r="M304" s="75"/>
      <c r="N304" s="75"/>
      <c r="O304" s="75"/>
      <c r="P304" s="75"/>
      <c r="Q304" s="75"/>
      <c r="R304" s="75"/>
      <c r="S304" s="75"/>
      <c r="T304" s="75"/>
      <c r="U304" s="75"/>
      <c r="V304" s="75"/>
      <c r="W304" s="75"/>
      <c r="X304" s="75"/>
      <c r="Y304" s="171">
        <v>1.2999999999999999E-2</v>
      </c>
      <c r="Z304" s="168">
        <f t="shared" si="423"/>
        <v>5.0999999999999997E-2</v>
      </c>
      <c r="AA304" s="171">
        <v>0.03</v>
      </c>
      <c r="AB304" s="168">
        <f t="shared" si="424"/>
        <v>1.7999999999999999E-2</v>
      </c>
      <c r="AC304" s="171">
        <v>0.751</v>
      </c>
      <c r="AD304" s="168">
        <f t="shared" si="436"/>
        <v>0.39300000000000002</v>
      </c>
      <c r="AE304" s="171">
        <v>0.04</v>
      </c>
      <c r="AF304" s="168">
        <f t="shared" si="437"/>
        <v>0.04</v>
      </c>
      <c r="AG304" s="171">
        <v>0.04</v>
      </c>
      <c r="AH304" s="168">
        <f t="shared" si="425"/>
        <v>0.04</v>
      </c>
      <c r="AI304" s="171">
        <v>10.717000000000001</v>
      </c>
      <c r="AJ304" s="168">
        <f t="shared" si="426"/>
        <v>9.2140000000000004</v>
      </c>
      <c r="AK304" s="798">
        <v>8.6479999999999997</v>
      </c>
      <c r="AL304" s="798">
        <f t="shared" si="427"/>
        <v>29.890999999999998</v>
      </c>
      <c r="AM304" s="798">
        <v>29.408999999999999</v>
      </c>
      <c r="AN304" s="798">
        <f t="shared" si="438"/>
        <v>24.395</v>
      </c>
      <c r="AO304" s="798">
        <v>20.826000000000001</v>
      </c>
      <c r="AP304" s="799">
        <f t="shared" si="428"/>
        <v>24.457000000000001</v>
      </c>
      <c r="AQ304" s="802">
        <f t="shared" si="440"/>
        <v>24.457000000000001</v>
      </c>
      <c r="AR304" s="802">
        <f t="shared" si="440"/>
        <v>24.457000000000001</v>
      </c>
      <c r="AS304" s="802">
        <f t="shared" si="440"/>
        <v>24.457000000000001</v>
      </c>
      <c r="AT304" s="802">
        <f t="shared" si="440"/>
        <v>24.457000000000001</v>
      </c>
      <c r="AU304" s="802">
        <f t="shared" si="440"/>
        <v>24.457000000000001</v>
      </c>
      <c r="AV304" s="802">
        <f t="shared" si="440"/>
        <v>24.457000000000001</v>
      </c>
      <c r="AW304" s="802">
        <f t="shared" si="440"/>
        <v>24.457000000000001</v>
      </c>
      <c r="AX304" s="802">
        <f t="shared" si="440"/>
        <v>24.457000000000001</v>
      </c>
      <c r="AY304" s="802">
        <f t="shared" si="440"/>
        <v>24.457000000000001</v>
      </c>
      <c r="AZ304" s="802">
        <f t="shared" si="440"/>
        <v>24.457000000000001</v>
      </c>
      <c r="BA304" s="573"/>
      <c r="BB304" s="200"/>
      <c r="BC304" s="200"/>
      <c r="BD304" s="200"/>
      <c r="BE304" s="200"/>
      <c r="BF304" s="200"/>
      <c r="BG304" s="200"/>
      <c r="BH304" s="168"/>
      <c r="BI304" s="92"/>
      <c r="BJ304" s="92"/>
      <c r="BK304" s="92"/>
      <c r="BL304" s="92"/>
      <c r="BM304" s="171">
        <v>5.0999999999999997E-2</v>
      </c>
      <c r="BN304" s="171">
        <v>1.7999999999999999E-2</v>
      </c>
      <c r="BO304" s="171">
        <v>0.39300000000000002</v>
      </c>
      <c r="BP304" s="171">
        <v>0.04</v>
      </c>
      <c r="BQ304" s="171">
        <v>0.04</v>
      </c>
      <c r="BR304" s="171">
        <v>9.2140000000000004</v>
      </c>
      <c r="BS304" s="171">
        <v>29.890999999999998</v>
      </c>
      <c r="BT304" s="171">
        <v>24.395</v>
      </c>
      <c r="BU304" s="314">
        <v>24.457000000000001</v>
      </c>
      <c r="BV304" s="55">
        <f t="shared" si="430"/>
        <v>24.457000000000001</v>
      </c>
      <c r="BW304" s="55">
        <f t="shared" si="431"/>
        <v>24.457000000000001</v>
      </c>
      <c r="BX304" s="55">
        <f t="shared" si="432"/>
        <v>24.457000000000001</v>
      </c>
      <c r="BY304" s="55">
        <f t="shared" si="433"/>
        <v>24.457000000000001</v>
      </c>
      <c r="BZ304" s="55">
        <f t="shared" si="434"/>
        <v>24.457000000000001</v>
      </c>
      <c r="CB304" s="70" t="s">
        <v>624</v>
      </c>
      <c r="DS304" s="55">
        <f t="shared" si="435"/>
        <v>0</v>
      </c>
    </row>
    <row r="305" spans="1:123" s="70" customFormat="1">
      <c r="A305" s="78" t="s">
        <v>265</v>
      </c>
      <c r="B305" s="70" t="s">
        <v>167</v>
      </c>
      <c r="C305" s="75"/>
      <c r="D305" s="75"/>
      <c r="E305" s="75"/>
      <c r="F305" s="75"/>
      <c r="G305" s="75"/>
      <c r="H305" s="75"/>
      <c r="I305" s="75"/>
      <c r="J305" s="75"/>
      <c r="K305" s="75"/>
      <c r="L305" s="75"/>
      <c r="M305" s="75"/>
      <c r="N305" s="75"/>
      <c r="O305" s="75"/>
      <c r="P305" s="75"/>
      <c r="Q305" s="75"/>
      <c r="R305" s="75"/>
      <c r="S305" s="75"/>
      <c r="T305" s="75"/>
      <c r="U305" s="75"/>
      <c r="V305" s="75"/>
      <c r="W305" s="75"/>
      <c r="X305" s="75"/>
      <c r="Y305" s="171">
        <v>5.4249999999999998</v>
      </c>
      <c r="Z305" s="168">
        <f t="shared" si="423"/>
        <v>7.21</v>
      </c>
      <c r="AA305" s="171">
        <v>7.0750000000000002</v>
      </c>
      <c r="AB305" s="168">
        <f t="shared" si="424"/>
        <v>7.343</v>
      </c>
      <c r="AC305" s="171">
        <v>12.234999999999999</v>
      </c>
      <c r="AD305" s="168">
        <f t="shared" si="436"/>
        <v>12.645</v>
      </c>
      <c r="AE305" s="171">
        <v>13.019</v>
      </c>
      <c r="AF305" s="168">
        <f t="shared" si="437"/>
        <v>15.256</v>
      </c>
      <c r="AG305" s="171">
        <v>14.875</v>
      </c>
      <c r="AH305" s="168">
        <f t="shared" si="425"/>
        <v>14.574</v>
      </c>
      <c r="AI305" s="171">
        <v>14.785</v>
      </c>
      <c r="AJ305" s="168">
        <f t="shared" si="426"/>
        <v>14.694000000000001</v>
      </c>
      <c r="AK305" s="181">
        <v>16.940000000000001</v>
      </c>
      <c r="AL305" s="181">
        <f t="shared" si="427"/>
        <v>21.385000000000002</v>
      </c>
      <c r="AM305" s="181">
        <v>20.015000000000001</v>
      </c>
      <c r="AN305" s="181">
        <f t="shared" si="438"/>
        <v>24.756</v>
      </c>
      <c r="AO305" s="181">
        <v>19.916</v>
      </c>
      <c r="AP305" s="453">
        <f t="shared" si="428"/>
        <v>29.733000000000001</v>
      </c>
      <c r="AQ305" s="245">
        <f t="shared" si="440"/>
        <v>29.733000000000001</v>
      </c>
      <c r="AR305" s="245">
        <f t="shared" si="440"/>
        <v>29.733000000000001</v>
      </c>
      <c r="AS305" s="245">
        <f t="shared" si="440"/>
        <v>29.733000000000001</v>
      </c>
      <c r="AT305" s="245">
        <f t="shared" si="440"/>
        <v>29.733000000000001</v>
      </c>
      <c r="AU305" s="245">
        <f t="shared" si="440"/>
        <v>29.733000000000001</v>
      </c>
      <c r="AV305" s="245">
        <f t="shared" si="440"/>
        <v>29.733000000000001</v>
      </c>
      <c r="AW305" s="245">
        <f t="shared" si="440"/>
        <v>29.733000000000001</v>
      </c>
      <c r="AX305" s="245">
        <f t="shared" si="440"/>
        <v>29.733000000000001</v>
      </c>
      <c r="AY305" s="245">
        <f t="shared" si="440"/>
        <v>29.733000000000001</v>
      </c>
      <c r="AZ305" s="245">
        <f t="shared" si="440"/>
        <v>29.733000000000001</v>
      </c>
      <c r="BA305" s="573"/>
      <c r="BB305" s="200"/>
      <c r="BC305" s="200"/>
      <c r="BD305" s="200"/>
      <c r="BE305" s="200"/>
      <c r="BF305" s="200"/>
      <c r="BG305" s="200"/>
      <c r="BH305" s="168"/>
      <c r="BI305" s="92"/>
      <c r="BJ305" s="92"/>
      <c r="BK305" s="92"/>
      <c r="BL305" s="92"/>
      <c r="BM305" s="171">
        <v>7.21</v>
      </c>
      <c r="BN305" s="171">
        <v>7.343</v>
      </c>
      <c r="BO305" s="171">
        <v>12.645</v>
      </c>
      <c r="BP305" s="171">
        <v>15.256</v>
      </c>
      <c r="BQ305" s="171">
        <v>14.574</v>
      </c>
      <c r="BR305" s="171">
        <v>14.694000000000001</v>
      </c>
      <c r="BS305" s="171">
        <v>21.385000000000002</v>
      </c>
      <c r="BT305" s="171">
        <v>24.756</v>
      </c>
      <c r="BU305" s="314">
        <v>29.733000000000001</v>
      </c>
      <c r="BV305" s="55">
        <f t="shared" si="430"/>
        <v>29.733000000000001</v>
      </c>
      <c r="BW305" s="55">
        <f t="shared" si="431"/>
        <v>29.733000000000001</v>
      </c>
      <c r="BX305" s="55">
        <f t="shared" si="432"/>
        <v>29.733000000000001</v>
      </c>
      <c r="BY305" s="55">
        <f t="shared" si="433"/>
        <v>29.733000000000001</v>
      </c>
      <c r="BZ305" s="55">
        <f t="shared" si="434"/>
        <v>29.733000000000001</v>
      </c>
      <c r="CB305" s="70" t="s">
        <v>624</v>
      </c>
      <c r="DS305" s="55">
        <f t="shared" si="435"/>
        <v>0</v>
      </c>
    </row>
    <row r="306" spans="1:123" s="70" customFormat="1">
      <c r="A306" s="78" t="s">
        <v>266</v>
      </c>
      <c r="B306" s="70" t="s">
        <v>197</v>
      </c>
      <c r="C306" s="75"/>
      <c r="D306" s="75"/>
      <c r="E306" s="75"/>
      <c r="F306" s="75"/>
      <c r="G306" s="75"/>
      <c r="H306" s="75"/>
      <c r="I306" s="75"/>
      <c r="J306" s="75"/>
      <c r="K306" s="75"/>
      <c r="L306" s="75"/>
      <c r="M306" s="75"/>
      <c r="N306" s="75"/>
      <c r="O306" s="75"/>
      <c r="P306" s="75"/>
      <c r="Q306" s="75"/>
      <c r="R306" s="75"/>
      <c r="S306" s="75"/>
      <c r="T306" s="75"/>
      <c r="U306" s="75"/>
      <c r="V306" s="75"/>
      <c r="W306" s="75"/>
      <c r="X306" s="75"/>
      <c r="Y306" s="171">
        <v>4.2999999999999997E-2</v>
      </c>
      <c r="Z306" s="168">
        <f t="shared" si="423"/>
        <v>0.47599999999999998</v>
      </c>
      <c r="AA306" s="171">
        <v>0.438</v>
      </c>
      <c r="AB306" s="168">
        <f t="shared" si="424"/>
        <v>0.42899999999999999</v>
      </c>
      <c r="AC306" s="171">
        <v>0.15</v>
      </c>
      <c r="AD306" s="168">
        <f t="shared" si="436"/>
        <v>0.13300000000000001</v>
      </c>
      <c r="AE306" s="171">
        <v>0.23499999999999999</v>
      </c>
      <c r="AF306" s="168">
        <f t="shared" si="437"/>
        <v>0.318</v>
      </c>
      <c r="AG306" s="171">
        <v>4.7E-2</v>
      </c>
      <c r="AH306" s="168">
        <f t="shared" si="425"/>
        <v>3.532</v>
      </c>
      <c r="AI306" s="171">
        <v>2.62</v>
      </c>
      <c r="AJ306" s="168">
        <f t="shared" si="426"/>
        <v>0.73899999999999999</v>
      </c>
      <c r="AK306" s="181">
        <v>4.234</v>
      </c>
      <c r="AL306" s="181">
        <f t="shared" si="427"/>
        <v>17.286000000000001</v>
      </c>
      <c r="AM306" s="181">
        <v>16.744</v>
      </c>
      <c r="AN306" s="181">
        <f t="shared" si="438"/>
        <v>14.56</v>
      </c>
      <c r="AO306" s="181">
        <v>4.6840000000000002</v>
      </c>
      <c r="AP306" s="453">
        <f t="shared" si="428"/>
        <v>9.9629999999999992</v>
      </c>
      <c r="AQ306" s="245">
        <f t="shared" si="440"/>
        <v>9.9629999999999992</v>
      </c>
      <c r="AR306" s="245">
        <f t="shared" si="440"/>
        <v>9.9629999999999992</v>
      </c>
      <c r="AS306" s="245">
        <f t="shared" si="440"/>
        <v>9.9629999999999992</v>
      </c>
      <c r="AT306" s="245">
        <f t="shared" si="440"/>
        <v>9.9629999999999992</v>
      </c>
      <c r="AU306" s="245">
        <f t="shared" si="440"/>
        <v>9.9629999999999992</v>
      </c>
      <c r="AV306" s="245">
        <f t="shared" si="440"/>
        <v>9.9629999999999992</v>
      </c>
      <c r="AW306" s="245">
        <f t="shared" si="440"/>
        <v>9.9629999999999992</v>
      </c>
      <c r="AX306" s="245">
        <f t="shared" si="440"/>
        <v>9.9629999999999992</v>
      </c>
      <c r="AY306" s="245">
        <f t="shared" si="440"/>
        <v>9.9629999999999992</v>
      </c>
      <c r="AZ306" s="245">
        <f t="shared" si="440"/>
        <v>9.9629999999999992</v>
      </c>
      <c r="BA306" s="573"/>
      <c r="BB306" s="200"/>
      <c r="BC306" s="200"/>
      <c r="BD306" s="200"/>
      <c r="BE306" s="200"/>
      <c r="BF306" s="200"/>
      <c r="BG306" s="200"/>
      <c r="BH306" s="168"/>
      <c r="BI306" s="92"/>
      <c r="BJ306" s="92"/>
      <c r="BK306" s="92"/>
      <c r="BL306" s="92"/>
      <c r="BM306" s="171">
        <v>0.47599999999999998</v>
      </c>
      <c r="BN306" s="171">
        <v>0.42899999999999999</v>
      </c>
      <c r="BO306" s="171">
        <v>0.13300000000000001</v>
      </c>
      <c r="BP306" s="171">
        <v>0.318</v>
      </c>
      <c r="BQ306" s="171">
        <v>3.532</v>
      </c>
      <c r="BR306" s="171">
        <v>0.73899999999999999</v>
      </c>
      <c r="BS306" s="171">
        <v>17.286000000000001</v>
      </c>
      <c r="BT306" s="171">
        <v>14.56</v>
      </c>
      <c r="BU306" s="314">
        <v>9.9629999999999992</v>
      </c>
      <c r="BV306" s="55">
        <f t="shared" si="430"/>
        <v>9.9629999999999992</v>
      </c>
      <c r="BW306" s="55">
        <f t="shared" si="431"/>
        <v>9.9629999999999992</v>
      </c>
      <c r="BX306" s="55">
        <f t="shared" si="432"/>
        <v>9.9629999999999992</v>
      </c>
      <c r="BY306" s="55">
        <f t="shared" si="433"/>
        <v>9.9629999999999992</v>
      </c>
      <c r="BZ306" s="55">
        <f t="shared" si="434"/>
        <v>9.9629999999999992</v>
      </c>
      <c r="CB306" s="70" t="s">
        <v>624</v>
      </c>
      <c r="DS306" s="55">
        <f t="shared" si="435"/>
        <v>0</v>
      </c>
    </row>
    <row r="307" spans="1:123" s="70" customFormat="1">
      <c r="A307" s="78" t="s">
        <v>261</v>
      </c>
      <c r="B307" s="75" t="s">
        <v>148</v>
      </c>
      <c r="C307" s="75"/>
      <c r="D307" s="75"/>
      <c r="E307" s="75"/>
      <c r="F307" s="75"/>
      <c r="G307" s="75"/>
      <c r="H307" s="75"/>
      <c r="I307" s="75"/>
      <c r="J307" s="75"/>
      <c r="K307" s="75"/>
      <c r="L307" s="75"/>
      <c r="M307" s="75"/>
      <c r="N307" s="75"/>
      <c r="O307" s="75"/>
      <c r="P307" s="75"/>
      <c r="Q307" s="75"/>
      <c r="R307" s="75"/>
      <c r="S307" s="75"/>
      <c r="T307" s="75"/>
      <c r="U307" s="75"/>
      <c r="V307" s="75"/>
      <c r="W307" s="75"/>
      <c r="X307" s="75"/>
      <c r="Y307" s="183">
        <f>SUM(Y300:Y306)</f>
        <v>401.35299999999995</v>
      </c>
      <c r="Z307" s="183">
        <f t="shared" si="423"/>
        <v>424.95699999999999</v>
      </c>
      <c r="AA307" s="183">
        <f t="shared" ref="AA307:AI307" si="441">SUM(AA300:AA306)</f>
        <v>436.54099999999988</v>
      </c>
      <c r="AB307" s="168">
        <f t="shared" si="424"/>
        <v>442.77099999999996</v>
      </c>
      <c r="AC307" s="183">
        <f t="shared" si="441"/>
        <v>489.96199999999999</v>
      </c>
      <c r="AD307" s="183">
        <f t="shared" si="441"/>
        <v>556.32900000000006</v>
      </c>
      <c r="AE307" s="183">
        <f t="shared" si="441"/>
        <v>582.72299999999996</v>
      </c>
      <c r="AF307" s="183">
        <f t="shared" si="441"/>
        <v>707.649</v>
      </c>
      <c r="AG307" s="183">
        <f t="shared" si="441"/>
        <v>830.08100000000002</v>
      </c>
      <c r="AH307" s="183">
        <f t="shared" si="441"/>
        <v>798.61799999999994</v>
      </c>
      <c r="AI307" s="183">
        <f t="shared" si="441"/>
        <v>848.98299999999995</v>
      </c>
      <c r="AJ307" s="183">
        <f>SUM(AJ300:AJ306)</f>
        <v>927.45500000000004</v>
      </c>
      <c r="AK307" s="183">
        <f t="shared" ref="AK307:AM307" si="442">SUM(AK300:AK306)</f>
        <v>2164.6210000000005</v>
      </c>
      <c r="AL307" s="183">
        <f>SUM(AL300:AL306)</f>
        <v>2347.1740000000004</v>
      </c>
      <c r="AM307" s="183">
        <f t="shared" si="442"/>
        <v>2402.681</v>
      </c>
      <c r="AN307" s="183">
        <f>SUM(AN300:AN306)</f>
        <v>2441.8649999999998</v>
      </c>
      <c r="AO307" s="183">
        <f t="shared" ref="AO307" si="443">SUM(AO300:AO306)</f>
        <v>2909.3620000000001</v>
      </c>
      <c r="AP307" s="464">
        <f>SUM(AP300:AP306)</f>
        <v>3058.0730000000003</v>
      </c>
      <c r="AQ307" s="183">
        <f t="shared" ref="AQ307:AZ307" si="444">SUM(AQ300:AQ306)</f>
        <v>3058.0730000000003</v>
      </c>
      <c r="AR307" s="183">
        <f t="shared" si="444"/>
        <v>3058.0730000000003</v>
      </c>
      <c r="AS307" s="183">
        <f t="shared" si="444"/>
        <v>3058.0730000000003</v>
      </c>
      <c r="AT307" s="183">
        <f t="shared" si="444"/>
        <v>3058.0730000000003</v>
      </c>
      <c r="AU307" s="183">
        <f t="shared" si="444"/>
        <v>3058.0730000000003</v>
      </c>
      <c r="AV307" s="183">
        <f t="shared" si="444"/>
        <v>3058.0730000000003</v>
      </c>
      <c r="AW307" s="183">
        <f t="shared" si="444"/>
        <v>3058.0730000000003</v>
      </c>
      <c r="AX307" s="183">
        <f t="shared" si="444"/>
        <v>3058.0730000000003</v>
      </c>
      <c r="AY307" s="183">
        <f t="shared" si="444"/>
        <v>3058.0730000000003</v>
      </c>
      <c r="AZ307" s="183">
        <f t="shared" si="444"/>
        <v>3058.0730000000003</v>
      </c>
      <c r="BA307" s="573"/>
      <c r="BB307" s="200"/>
      <c r="BC307" s="200"/>
      <c r="BD307" s="200"/>
      <c r="BE307" s="200"/>
      <c r="BF307" s="200"/>
      <c r="BG307" s="200"/>
      <c r="BH307" s="168"/>
      <c r="BI307" s="92"/>
      <c r="BJ307" s="92"/>
      <c r="BK307" s="92"/>
      <c r="BL307" s="92"/>
      <c r="BM307" s="182">
        <f>SUM(BM300:BM306)</f>
        <v>424.95699999999999</v>
      </c>
      <c r="BN307" s="182">
        <f t="shared" ref="BN307:BV307" si="445">SUM(BN300:BN306)</f>
        <v>442.77099999999996</v>
      </c>
      <c r="BO307" s="182">
        <f t="shared" si="445"/>
        <v>556.32900000000006</v>
      </c>
      <c r="BP307" s="182">
        <f t="shared" si="445"/>
        <v>707.649</v>
      </c>
      <c r="BQ307" s="182">
        <f t="shared" si="445"/>
        <v>798.61799999999994</v>
      </c>
      <c r="BR307" s="182">
        <f>SUM(BR300:BR306)</f>
        <v>927.45500000000004</v>
      </c>
      <c r="BS307" s="182">
        <f>SUM(BS300:BS306)</f>
        <v>2347.1740000000004</v>
      </c>
      <c r="BT307" s="182">
        <f t="shared" si="445"/>
        <v>2441.8649999999998</v>
      </c>
      <c r="BU307" s="466">
        <f t="shared" si="445"/>
        <v>3058.0730000000003</v>
      </c>
      <c r="BV307" s="182">
        <f t="shared" si="445"/>
        <v>3058.0730000000003</v>
      </c>
      <c r="BW307" s="182">
        <f>SUM(BW300:BW306)</f>
        <v>3058.0730000000003</v>
      </c>
      <c r="BX307" s="182">
        <f t="shared" ref="BX307:BZ307" si="446">SUM(BX300:BX306)</f>
        <v>3058.0730000000003</v>
      </c>
      <c r="BY307" s="182">
        <f t="shared" si="446"/>
        <v>3058.0730000000003</v>
      </c>
      <c r="BZ307" s="182">
        <f t="shared" si="446"/>
        <v>3058.0730000000003</v>
      </c>
      <c r="CB307" s="70" t="s">
        <v>609</v>
      </c>
      <c r="DS307" s="182">
        <f>SUM(DS300:DS306)</f>
        <v>0</v>
      </c>
    </row>
    <row r="308" spans="1:123" s="70" customFormat="1">
      <c r="A308" s="78" t="s">
        <v>158</v>
      </c>
      <c r="B308" s="75" t="s">
        <v>231</v>
      </c>
      <c r="C308" s="75"/>
      <c r="D308" s="75"/>
      <c r="E308" s="75"/>
      <c r="F308" s="75"/>
      <c r="G308" s="75"/>
      <c r="H308" s="75"/>
      <c r="I308" s="75"/>
      <c r="J308" s="75"/>
      <c r="K308" s="75"/>
      <c r="L308" s="75"/>
      <c r="M308" s="75"/>
      <c r="N308" s="75"/>
      <c r="O308" s="75"/>
      <c r="P308" s="75"/>
      <c r="Q308" s="75"/>
      <c r="R308" s="75"/>
      <c r="S308" s="75"/>
      <c r="T308" s="75"/>
      <c r="U308" s="75"/>
      <c r="V308" s="75"/>
      <c r="W308" s="75"/>
      <c r="X308" s="75"/>
      <c r="Y308" s="182">
        <f>SUM(Y297,Y307)</f>
        <v>672.68499999999995</v>
      </c>
      <c r="Z308" s="182">
        <f t="shared" si="423"/>
        <v>754.36199999999997</v>
      </c>
      <c r="AA308" s="182">
        <f t="shared" ref="AA308:AI308" si="447">SUM(AA297,AA307)</f>
        <v>711.51699999999983</v>
      </c>
      <c r="AB308" s="168">
        <f t="shared" si="424"/>
        <v>781.14099999999996</v>
      </c>
      <c r="AC308" s="182">
        <f t="shared" si="447"/>
        <v>814.89699999999993</v>
      </c>
      <c r="AD308" s="182">
        <f t="shared" si="447"/>
        <v>855.92600000000004</v>
      </c>
      <c r="AE308" s="182">
        <f t="shared" si="447"/>
        <v>836.48</v>
      </c>
      <c r="AF308" s="182">
        <f t="shared" si="447"/>
        <v>1020.354</v>
      </c>
      <c r="AG308" s="182">
        <f t="shared" si="447"/>
        <v>1115.335</v>
      </c>
      <c r="AH308" s="182">
        <f t="shared" si="447"/>
        <v>1146.1179999999999</v>
      </c>
      <c r="AI308" s="182">
        <f t="shared" si="447"/>
        <v>1185.9459999999999</v>
      </c>
      <c r="AJ308" s="182">
        <f>SUM(AJ297,AJ307)</f>
        <v>1640.482</v>
      </c>
      <c r="AK308" s="182">
        <f t="shared" ref="AK308:AM308" si="448">SUM(AK297,AK307)</f>
        <v>3483.4840000000004</v>
      </c>
      <c r="AL308" s="182">
        <f>SUM(AL297,AL307)</f>
        <v>3884.3180000000002</v>
      </c>
      <c r="AM308" s="182">
        <f t="shared" si="448"/>
        <v>3757.1219999999998</v>
      </c>
      <c r="AN308" s="182">
        <f>SUM(AN297,AN307)</f>
        <v>4049.25</v>
      </c>
      <c r="AO308" s="182">
        <f t="shared" ref="AO308" si="449">SUM(AO297,AO307)</f>
        <v>4431.4960000000001</v>
      </c>
      <c r="AP308" s="466">
        <f>SUM(AP297,AP307)</f>
        <v>4733.357</v>
      </c>
      <c r="AQ308" s="182">
        <f t="shared" ref="AQ308:AZ308" si="450">SUM(AQ297,AQ307)</f>
        <v>4750.1008532247251</v>
      </c>
      <c r="AR308" s="182">
        <f t="shared" si="450"/>
        <v>4853.9163689240377</v>
      </c>
      <c r="AS308" s="182">
        <f t="shared" si="450"/>
        <v>4867.6353963680822</v>
      </c>
      <c r="AT308" s="182">
        <f t="shared" si="450"/>
        <v>4980.0328616534543</v>
      </c>
      <c r="AU308" s="182">
        <f t="shared" si="450"/>
        <v>4997.5499701677627</v>
      </c>
      <c r="AV308" s="182">
        <f t="shared" si="450"/>
        <v>5117.5480517125325</v>
      </c>
      <c r="AW308" s="182">
        <f t="shared" si="450"/>
        <v>5137.741647189142</v>
      </c>
      <c r="AX308" s="182">
        <f t="shared" si="450"/>
        <v>5266.3381633823219</v>
      </c>
      <c r="AY308" s="182">
        <f t="shared" si="450"/>
        <v>5289.4248216269716</v>
      </c>
      <c r="AZ308" s="182">
        <f t="shared" si="450"/>
        <v>5427.1695711026787</v>
      </c>
      <c r="BA308" s="573"/>
      <c r="BB308" s="200"/>
      <c r="BC308" s="200"/>
      <c r="BD308" s="200"/>
      <c r="BE308" s="200"/>
      <c r="BF308" s="200"/>
      <c r="BG308" s="200"/>
      <c r="BH308" s="168"/>
      <c r="BI308" s="92"/>
      <c r="BJ308" s="92"/>
      <c r="BK308" s="92"/>
      <c r="BL308" s="92"/>
      <c r="BM308" s="182">
        <f>SUM(BM297,BM307)</f>
        <v>754.36199999999997</v>
      </c>
      <c r="BN308" s="182">
        <f t="shared" ref="BN308:BV308" si="451">SUM(BN297,BN307)</f>
        <v>781.14099999999996</v>
      </c>
      <c r="BO308" s="182">
        <f t="shared" si="451"/>
        <v>855.92600000000004</v>
      </c>
      <c r="BP308" s="182">
        <f t="shared" si="451"/>
        <v>1020.354</v>
      </c>
      <c r="BQ308" s="182">
        <f t="shared" si="451"/>
        <v>1146.1179999999999</v>
      </c>
      <c r="BR308" s="182">
        <f>SUM(BR297,BR307)</f>
        <v>1640.482</v>
      </c>
      <c r="BS308" s="182">
        <f>SUM(BS297,BS307)</f>
        <v>3884.3180000000002</v>
      </c>
      <c r="BT308" s="182">
        <f t="shared" si="451"/>
        <v>4049.25</v>
      </c>
      <c r="BU308" s="466">
        <f t="shared" si="451"/>
        <v>4733.357</v>
      </c>
      <c r="BV308" s="182">
        <f t="shared" si="451"/>
        <v>4853.9163689240377</v>
      </c>
      <c r="BW308" s="182">
        <f>SUM(BW297,BW307)</f>
        <v>4980.0328616534543</v>
      </c>
      <c r="BX308" s="182">
        <f t="shared" ref="BX308:BZ308" si="452">SUM(BX297,BX307)</f>
        <v>5117.5480517125325</v>
      </c>
      <c r="BY308" s="182">
        <f t="shared" si="452"/>
        <v>5266.3381633823219</v>
      </c>
      <c r="BZ308" s="182">
        <f t="shared" si="452"/>
        <v>5427.1695711026787</v>
      </c>
      <c r="CB308" s="70" t="s">
        <v>609</v>
      </c>
      <c r="DS308" s="182">
        <f>SUM(DS297,DS307)</f>
        <v>0</v>
      </c>
    </row>
    <row r="309" spans="1:123" s="70" customFormat="1">
      <c r="A309" s="78"/>
      <c r="B309" s="75"/>
      <c r="C309" s="75"/>
      <c r="D309" s="75"/>
      <c r="E309" s="75"/>
      <c r="F309" s="75"/>
      <c r="G309" s="75"/>
      <c r="H309" s="75"/>
      <c r="I309" s="75"/>
      <c r="J309" s="75"/>
      <c r="K309" s="75"/>
      <c r="L309" s="75"/>
      <c r="M309" s="75"/>
      <c r="N309" s="75"/>
      <c r="O309" s="75"/>
      <c r="P309" s="75"/>
      <c r="Q309" s="75"/>
      <c r="R309" s="75"/>
      <c r="S309" s="75"/>
      <c r="T309" s="75"/>
      <c r="U309" s="75"/>
      <c r="V309" s="75"/>
      <c r="W309" s="75"/>
      <c r="X309" s="75"/>
      <c r="Y309" s="182"/>
      <c r="Z309" s="182"/>
      <c r="AA309" s="182"/>
      <c r="AB309" s="168"/>
      <c r="AC309" s="182"/>
      <c r="AD309" s="182"/>
      <c r="AE309" s="182"/>
      <c r="AF309" s="182"/>
      <c r="AG309" s="182"/>
      <c r="AH309" s="182"/>
      <c r="AI309" s="182"/>
      <c r="AJ309" s="182"/>
      <c r="AK309" s="182"/>
      <c r="AL309" s="182"/>
      <c r="AM309" s="182"/>
      <c r="AN309" s="182"/>
      <c r="AO309" s="182"/>
      <c r="AP309" s="466"/>
      <c r="AQ309" s="182"/>
      <c r="AR309" s="182"/>
      <c r="AS309" s="182"/>
      <c r="AT309" s="182"/>
      <c r="AU309" s="182"/>
      <c r="AV309" s="182"/>
      <c r="AW309" s="182"/>
      <c r="AX309" s="182"/>
      <c r="AY309" s="182"/>
      <c r="AZ309" s="182"/>
      <c r="BA309" s="573"/>
      <c r="BB309" s="200"/>
      <c r="BC309" s="200"/>
      <c r="BD309" s="200"/>
      <c r="BE309" s="200"/>
      <c r="BF309" s="200"/>
      <c r="BG309" s="200"/>
      <c r="BH309" s="168"/>
      <c r="BI309" s="92"/>
      <c r="BJ309" s="92"/>
      <c r="BK309" s="92"/>
      <c r="BL309" s="92"/>
      <c r="BM309" s="182"/>
      <c r="BN309" s="182"/>
      <c r="BO309" s="182"/>
      <c r="BP309" s="182"/>
      <c r="BQ309" s="182"/>
      <c r="BR309" s="182"/>
      <c r="BS309" s="182"/>
      <c r="BT309" s="182"/>
      <c r="BU309" s="466"/>
      <c r="BV309" s="182"/>
      <c r="BW309" s="182"/>
      <c r="BX309" s="182"/>
      <c r="BY309" s="182"/>
      <c r="BZ309" s="182"/>
      <c r="DS309" s="182"/>
    </row>
    <row r="310" spans="1:123" s="75" customFormat="1" hidden="1" outlineLevel="1">
      <c r="A310" s="10"/>
      <c r="B310" s="95" t="s">
        <v>393</v>
      </c>
      <c r="C310" s="96"/>
      <c r="D310" s="96"/>
      <c r="E310" s="96"/>
      <c r="F310" s="96"/>
      <c r="G310" s="97"/>
      <c r="H310" s="560"/>
      <c r="I310" s="560"/>
      <c r="J310" s="560"/>
      <c r="K310" s="560"/>
      <c r="L310" s="560"/>
      <c r="M310" s="560"/>
      <c r="N310" s="560"/>
      <c r="O310" s="560"/>
      <c r="P310" s="561"/>
      <c r="Q310" s="561"/>
      <c r="R310" s="561"/>
      <c r="S310" s="561"/>
      <c r="T310" s="561"/>
      <c r="U310" s="562"/>
      <c r="V310" s="562"/>
      <c r="W310" s="562"/>
      <c r="X310" s="562"/>
      <c r="Y310" s="694"/>
      <c r="Z310" s="694"/>
      <c r="AA310" s="694"/>
      <c r="AB310" s="694"/>
      <c r="AC310" s="694"/>
      <c r="AD310" s="694"/>
      <c r="AE310" s="694"/>
      <c r="AF310" s="694"/>
      <c r="AG310" s="694"/>
      <c r="AH310" s="694"/>
      <c r="AI310" s="694"/>
      <c r="AJ310" s="694"/>
      <c r="AK310" s="694"/>
      <c r="AL310" s="694"/>
      <c r="AM310" s="694"/>
      <c r="AN310" s="694"/>
      <c r="AO310" s="694"/>
      <c r="AP310" s="764"/>
      <c r="AQ310" s="694"/>
      <c r="AR310" s="694"/>
      <c r="AS310" s="694"/>
      <c r="AT310" s="694"/>
      <c r="AU310" s="694"/>
      <c r="AV310" s="694"/>
      <c r="AW310" s="694"/>
      <c r="AX310" s="694"/>
      <c r="AY310" s="694"/>
      <c r="AZ310" s="694"/>
      <c r="BA310" s="573"/>
      <c r="BB310" s="766"/>
      <c r="BC310" s="766"/>
      <c r="BD310" s="766"/>
      <c r="BE310" s="766"/>
      <c r="BF310" s="766"/>
      <c r="BG310" s="766"/>
      <c r="BH310" s="766"/>
      <c r="BI310" s="694"/>
      <c r="BJ310" s="324"/>
      <c r="BK310" s="324"/>
      <c r="BL310" s="324"/>
      <c r="BM310" s="324"/>
      <c r="BN310" s="324"/>
      <c r="BO310" s="324"/>
      <c r="BP310" s="324"/>
      <c r="BQ310" s="324"/>
      <c r="BR310" s="324"/>
      <c r="BS310" s="324"/>
      <c r="BT310" s="324"/>
      <c r="BU310" s="538"/>
      <c r="BV310" s="325"/>
      <c r="BW310" s="325"/>
      <c r="BX310" s="325"/>
      <c r="BY310" s="325"/>
      <c r="BZ310" s="325"/>
      <c r="DS310" s="325"/>
    </row>
    <row r="311" spans="1:123" s="75" customFormat="1" hidden="1" outlineLevel="1">
      <c r="A311" s="10"/>
      <c r="B311" s="70" t="s">
        <v>394</v>
      </c>
      <c r="S311" s="194"/>
      <c r="T311" s="194"/>
      <c r="U311" s="194"/>
      <c r="V311" s="194"/>
      <c r="W311" s="100"/>
      <c r="X311" s="100"/>
      <c r="Y311" s="598"/>
      <c r="Z311" s="566"/>
      <c r="AA311" s="598"/>
      <c r="AB311" s="566"/>
      <c r="AC311" s="598"/>
      <c r="AD311" s="168"/>
      <c r="AE311" s="598"/>
      <c r="AF311" s="177"/>
      <c r="AG311" s="598">
        <f t="shared" ref="AG311:AZ311" si="453">AF317</f>
        <v>271.041</v>
      </c>
      <c r="AH311" s="598">
        <f t="shared" si="453"/>
        <v>267.33100000000002</v>
      </c>
      <c r="AI311" s="598">
        <f t="shared" si="453"/>
        <v>280.64299999999997</v>
      </c>
      <c r="AJ311" s="598">
        <f t="shared" si="453"/>
        <v>275.59899999999999</v>
      </c>
      <c r="AK311" s="598">
        <f t="shared" si="453"/>
        <v>250.1</v>
      </c>
      <c r="AL311" s="598">
        <f t="shared" si="453"/>
        <v>249.798</v>
      </c>
      <c r="AM311" s="598">
        <f t="shared" si="453"/>
        <v>250.911</v>
      </c>
      <c r="AN311" s="598">
        <f t="shared" si="453"/>
        <v>248.78399999999999</v>
      </c>
      <c r="AO311" s="598">
        <f t="shared" si="453"/>
        <v>301.85500000000002</v>
      </c>
      <c r="AP311" s="601">
        <f t="shared" si="453"/>
        <v>313.18900000000002</v>
      </c>
      <c r="AQ311" s="598">
        <f t="shared" si="453"/>
        <v>301.85500000000002</v>
      </c>
      <c r="AR311" s="598">
        <f t="shared" si="453"/>
        <v>301.85500000000002</v>
      </c>
      <c r="AS311" s="598">
        <f t="shared" si="453"/>
        <v>301.85500000000002</v>
      </c>
      <c r="AT311" s="598">
        <f t="shared" si="453"/>
        <v>301.85500000000002</v>
      </c>
      <c r="AU311" s="598">
        <f t="shared" si="453"/>
        <v>301.85500000000002</v>
      </c>
      <c r="AV311" s="598">
        <f t="shared" si="453"/>
        <v>301.85500000000002</v>
      </c>
      <c r="AW311" s="598">
        <f t="shared" si="453"/>
        <v>301.85500000000002</v>
      </c>
      <c r="AX311" s="598">
        <f t="shared" si="453"/>
        <v>301.85500000000002</v>
      </c>
      <c r="AY311" s="598">
        <f t="shared" si="453"/>
        <v>301.85500000000002</v>
      </c>
      <c r="AZ311" s="598">
        <f t="shared" si="453"/>
        <v>301.85500000000002</v>
      </c>
      <c r="BA311" s="598"/>
      <c r="BB311" s="803"/>
      <c r="BC311" s="803"/>
      <c r="BD311" s="803"/>
      <c r="BE311" s="803"/>
      <c r="BF311" s="803"/>
      <c r="BG311" s="803"/>
      <c r="BH311" s="803"/>
      <c r="BI311" s="803"/>
      <c r="BJ311" s="200"/>
      <c r="BK311" s="803"/>
      <c r="BL311" s="803"/>
      <c r="BM311" s="598"/>
      <c r="BN311" s="598"/>
      <c r="BO311" s="598"/>
      <c r="BP311" s="804">
        <v>127.453</v>
      </c>
      <c r="BQ311" s="573">
        <f t="shared" ref="BQ311:BZ311" si="454">BP317</f>
        <v>271.041</v>
      </c>
      <c r="BR311" s="573">
        <f t="shared" si="454"/>
        <v>280.64299999999997</v>
      </c>
      <c r="BS311" s="573">
        <f t="shared" si="454"/>
        <v>250.1</v>
      </c>
      <c r="BT311" s="573">
        <f t="shared" si="454"/>
        <v>238.52600000000001</v>
      </c>
      <c r="BU311" s="697">
        <f t="shared" si="454"/>
        <v>250.911</v>
      </c>
      <c r="BV311" s="196">
        <f t="shared" si="454"/>
        <v>301.85500000000002</v>
      </c>
      <c r="BW311" s="196">
        <f t="shared" si="454"/>
        <v>301.85500000000002</v>
      </c>
      <c r="BX311" s="196">
        <f t="shared" si="454"/>
        <v>301.85500000000002</v>
      </c>
      <c r="BY311" s="196">
        <f t="shared" si="454"/>
        <v>301.85500000000002</v>
      </c>
      <c r="BZ311" s="196">
        <f t="shared" si="454"/>
        <v>301.85500000000002</v>
      </c>
      <c r="DS311" s="196">
        <f>DT317</f>
        <v>0</v>
      </c>
    </row>
    <row r="312" spans="1:123" s="75" customFormat="1" hidden="1" outlineLevel="1">
      <c r="A312" s="10"/>
      <c r="B312" s="70" t="s">
        <v>395</v>
      </c>
      <c r="S312" s="194"/>
      <c r="T312" s="194"/>
      <c r="U312" s="194"/>
      <c r="V312" s="194"/>
      <c r="W312" s="100"/>
      <c r="X312" s="100"/>
      <c r="Y312" s="598"/>
      <c r="Z312" s="566"/>
      <c r="AA312" s="598"/>
      <c r="AB312" s="566"/>
      <c r="AC312" s="598"/>
      <c r="AD312" s="168"/>
      <c r="AE312" s="598"/>
      <c r="AF312" s="177"/>
      <c r="AG312" s="598"/>
      <c r="AH312" s="177"/>
      <c r="AI312" s="598"/>
      <c r="AJ312" s="177"/>
      <c r="AK312" s="805"/>
      <c r="AL312" s="805"/>
      <c r="AM312" s="805"/>
      <c r="AN312" s="805"/>
      <c r="AO312" s="805"/>
      <c r="AP312" s="806"/>
      <c r="AQ312" s="805">
        <v>0</v>
      </c>
      <c r="AR312" s="805">
        <v>0</v>
      </c>
      <c r="AS312" s="805">
        <v>0</v>
      </c>
      <c r="AT312" s="805">
        <v>0</v>
      </c>
      <c r="AU312" s="805">
        <v>0</v>
      </c>
      <c r="AV312" s="805">
        <v>0</v>
      </c>
      <c r="AW312" s="805">
        <v>0</v>
      </c>
      <c r="AX312" s="805">
        <v>0</v>
      </c>
      <c r="AY312" s="805">
        <v>0</v>
      </c>
      <c r="AZ312" s="805">
        <v>0</v>
      </c>
      <c r="BA312" s="598"/>
      <c r="BB312" s="803"/>
      <c r="BC312" s="803"/>
      <c r="BD312" s="803"/>
      <c r="BE312" s="803"/>
      <c r="BF312" s="803"/>
      <c r="BG312" s="803"/>
      <c r="BH312" s="803"/>
      <c r="BI312" s="803"/>
      <c r="BJ312" s="200"/>
      <c r="BK312" s="803"/>
      <c r="BL312" s="803"/>
      <c r="BM312" s="598"/>
      <c r="BN312" s="598"/>
      <c r="BO312" s="598"/>
      <c r="BP312" s="804">
        <v>142.02699999999999</v>
      </c>
      <c r="BQ312" s="804">
        <v>11.231</v>
      </c>
      <c r="BR312" s="804">
        <v>9.5519999999999996</v>
      </c>
      <c r="BS312" s="804">
        <v>9.5519999999999996</v>
      </c>
      <c r="BT312" s="804">
        <f t="shared" ref="BT312:BU315" si="455">SUM(AM312:AN312)</f>
        <v>0</v>
      </c>
      <c r="BU312" s="807">
        <f t="shared" si="455"/>
        <v>0</v>
      </c>
      <c r="BV312" s="196">
        <f>SUM(AQ312:AR312)</f>
        <v>0</v>
      </c>
      <c r="BW312" s="196">
        <f>SUM(AS312:AT312)</f>
        <v>0</v>
      </c>
      <c r="BX312" s="196">
        <f>SUM(AU312:AV312)</f>
        <v>0</v>
      </c>
      <c r="BY312" s="196">
        <f>SUM(AW312:AX312)</f>
        <v>0</v>
      </c>
      <c r="BZ312" s="196">
        <f>SUM(AY312:AZ312)</f>
        <v>0</v>
      </c>
      <c r="DS312" s="196">
        <f>SUM(CU312:CV312)</f>
        <v>0</v>
      </c>
    </row>
    <row r="313" spans="1:123" s="75" customFormat="1" hidden="1" outlineLevel="1">
      <c r="A313" s="10"/>
      <c r="B313" s="70" t="s">
        <v>396</v>
      </c>
      <c r="S313" s="194"/>
      <c r="T313" s="194"/>
      <c r="U313" s="194"/>
      <c r="V313" s="194"/>
      <c r="W313" s="100"/>
      <c r="X313" s="100"/>
      <c r="Y313" s="598"/>
      <c r="Z313" s="566"/>
      <c r="AA313" s="598"/>
      <c r="AB313" s="566"/>
      <c r="AC313" s="598"/>
      <c r="AD313" s="168"/>
      <c r="AE313" s="598"/>
      <c r="AF313" s="177"/>
      <c r="AG313" s="598"/>
      <c r="AH313" s="177"/>
      <c r="AI313" s="598"/>
      <c r="AJ313" s="177"/>
      <c r="AK313" s="805"/>
      <c r="AL313" s="805"/>
      <c r="AM313" s="805"/>
      <c r="AN313" s="805"/>
      <c r="AO313" s="805"/>
      <c r="AP313" s="806"/>
      <c r="AQ313" s="805">
        <v>0</v>
      </c>
      <c r="AR313" s="805">
        <v>0</v>
      </c>
      <c r="AS313" s="805">
        <v>0</v>
      </c>
      <c r="AT313" s="805">
        <v>0</v>
      </c>
      <c r="AU313" s="805">
        <v>0</v>
      </c>
      <c r="AV313" s="805">
        <v>0</v>
      </c>
      <c r="AW313" s="805">
        <v>0</v>
      </c>
      <c r="AX313" s="805">
        <v>0</v>
      </c>
      <c r="AY313" s="805">
        <v>0</v>
      </c>
      <c r="AZ313" s="805">
        <v>0</v>
      </c>
      <c r="BA313" s="598"/>
      <c r="BB313" s="803"/>
      <c r="BC313" s="803"/>
      <c r="BD313" s="803"/>
      <c r="BE313" s="803"/>
      <c r="BF313" s="803"/>
      <c r="BG313" s="803"/>
      <c r="BH313" s="803"/>
      <c r="BI313" s="803"/>
      <c r="BJ313" s="200"/>
      <c r="BK313" s="803"/>
      <c r="BL313" s="803"/>
      <c r="BM313" s="598"/>
      <c r="BN313" s="598"/>
      <c r="BO313" s="598"/>
      <c r="BP313" s="804">
        <v>-7.891</v>
      </c>
      <c r="BQ313" s="804">
        <v>-2.1059999999999999</v>
      </c>
      <c r="BR313" s="804">
        <v>-6.048</v>
      </c>
      <c r="BS313" s="804">
        <v>-6.048</v>
      </c>
      <c r="BT313" s="804">
        <f t="shared" si="455"/>
        <v>0</v>
      </c>
      <c r="BU313" s="807">
        <f t="shared" si="455"/>
        <v>0</v>
      </c>
      <c r="BV313" s="196">
        <f>SUM(AQ313:AR313)</f>
        <v>0</v>
      </c>
      <c r="BW313" s="196">
        <f>SUM(AS313:AT313)</f>
        <v>0</v>
      </c>
      <c r="BX313" s="196">
        <f>SUM(AU313:AV313)</f>
        <v>0</v>
      </c>
      <c r="BY313" s="196">
        <f>SUM(AW313:AX313)</f>
        <v>0</v>
      </c>
      <c r="BZ313" s="196">
        <f>SUM(AY313:AZ313)</f>
        <v>0</v>
      </c>
      <c r="DS313" s="196">
        <f>SUM(CU313:CV313)</f>
        <v>0</v>
      </c>
    </row>
    <row r="314" spans="1:123" s="75" customFormat="1" hidden="1" outlineLevel="1">
      <c r="A314" s="10"/>
      <c r="B314" s="70" t="s">
        <v>397</v>
      </c>
      <c r="S314" s="194"/>
      <c r="T314" s="194"/>
      <c r="U314" s="194"/>
      <c r="V314" s="194"/>
      <c r="W314" s="100"/>
      <c r="X314" s="100"/>
      <c r="Y314" s="598"/>
      <c r="Z314" s="566"/>
      <c r="AA314" s="598"/>
      <c r="AB314" s="566"/>
      <c r="AC314" s="598"/>
      <c r="AD314" s="168"/>
      <c r="AE314" s="598"/>
      <c r="AF314" s="177"/>
      <c r="AG314" s="573">
        <f>'Statutory P&amp;L'!AG12</f>
        <v>18.190999999999999</v>
      </c>
      <c r="AH314" s="573">
        <f>'Statutory P&amp;L'!AH12</f>
        <v>19.137000000000004</v>
      </c>
      <c r="AI314" s="573">
        <f>'Statutory P&amp;L'!AI12</f>
        <v>17.966000000000001</v>
      </c>
      <c r="AJ314" s="573">
        <f>'Statutory P&amp;L'!AJ12</f>
        <v>21.086999999999996</v>
      </c>
      <c r="AK314" s="573">
        <f>'Statutory P&amp;L'!AK12</f>
        <v>16.565000000000001</v>
      </c>
      <c r="AL314" s="573">
        <f>'Statutory P&amp;L'!AL12</f>
        <v>19.124999999999996</v>
      </c>
      <c r="AM314" s="573">
        <f>'Statutory P&amp;L'!AM12</f>
        <v>20.872</v>
      </c>
      <c r="AN314" s="573">
        <f>'Statutory P&amp;L'!AN12</f>
        <v>15.281999999999996</v>
      </c>
      <c r="AO314" s="573">
        <f>'Statutory P&amp;L'!AO12</f>
        <v>24.449000000000002</v>
      </c>
      <c r="AP314" s="697">
        <f>'Statutory P&amp;L'!AP12</f>
        <v>22.741000000000003</v>
      </c>
      <c r="AQ314" s="573">
        <f>'Statutory P&amp;L'!AQ33</f>
        <v>0</v>
      </c>
      <c r="AR314" s="573">
        <f>'Statutory P&amp;L'!AR33</f>
        <v>0</v>
      </c>
      <c r="AS314" s="573">
        <f>'Statutory P&amp;L'!AS33</f>
        <v>0</v>
      </c>
      <c r="AT314" s="573">
        <f>'Statutory P&amp;L'!AT33</f>
        <v>0</v>
      </c>
      <c r="AU314" s="573">
        <f>'Statutory P&amp;L'!AU33</f>
        <v>0</v>
      </c>
      <c r="AV314" s="573">
        <f>'Statutory P&amp;L'!AV33</f>
        <v>0</v>
      </c>
      <c r="AW314" s="573">
        <f>'Statutory P&amp;L'!AW33</f>
        <v>0</v>
      </c>
      <c r="AX314" s="573">
        <f>'Statutory P&amp;L'!AX33</f>
        <v>0</v>
      </c>
      <c r="AY314" s="573">
        <f>'Statutory P&amp;L'!AY33</f>
        <v>0</v>
      </c>
      <c r="AZ314" s="573">
        <f>'Statutory P&amp;L'!AZ33</f>
        <v>0</v>
      </c>
      <c r="BA314" s="598"/>
      <c r="BB314" s="803"/>
      <c r="BC314" s="803"/>
      <c r="BD314" s="803"/>
      <c r="BE314" s="803"/>
      <c r="BF314" s="803"/>
      <c r="BG314" s="803"/>
      <c r="BH314" s="803"/>
      <c r="BI314" s="803"/>
      <c r="BJ314" s="200"/>
      <c r="BK314" s="803"/>
      <c r="BL314" s="803"/>
      <c r="BM314" s="598"/>
      <c r="BN314" s="598"/>
      <c r="BO314" s="598"/>
      <c r="BP314" s="573">
        <f>'Statutory P&amp;L'!BJ33</f>
        <v>29.570999999999998</v>
      </c>
      <c r="BQ314" s="573">
        <f>'Statutory P&amp;L'!BK33</f>
        <v>37.328000000000003</v>
      </c>
      <c r="BR314" s="573">
        <f>'Statutory P&amp;L'!BL33</f>
        <v>39.052999999999997</v>
      </c>
      <c r="BS314" s="573">
        <f>'Statutory P&amp;L'!BM33</f>
        <v>35.69</v>
      </c>
      <c r="BT314" s="573">
        <f t="shared" si="455"/>
        <v>36.153999999999996</v>
      </c>
      <c r="BU314" s="697">
        <f t="shared" si="455"/>
        <v>39.730999999999995</v>
      </c>
      <c r="BV314" s="196">
        <f>SUM(AQ314:AR314)</f>
        <v>0</v>
      </c>
      <c r="BW314" s="196">
        <f>SUM(AS314:AT314)</f>
        <v>0</v>
      </c>
      <c r="BX314" s="196">
        <f>SUM(AU314:AV314)</f>
        <v>0</v>
      </c>
      <c r="BY314" s="196">
        <f>SUM(AW314:AX314)</f>
        <v>0</v>
      </c>
      <c r="BZ314" s="196">
        <f>SUM(AY314:AZ314)</f>
        <v>0</v>
      </c>
      <c r="DS314" s="196">
        <f>SUM(CU314:CV314)</f>
        <v>0</v>
      </c>
    </row>
    <row r="315" spans="1:123" s="75" customFormat="1" hidden="1" outlineLevel="1">
      <c r="A315" s="10"/>
      <c r="B315" s="70" t="s">
        <v>398</v>
      </c>
      <c r="S315" s="194"/>
      <c r="T315" s="194"/>
      <c r="U315" s="194"/>
      <c r="V315" s="194"/>
      <c r="W315" s="100"/>
      <c r="X315" s="100"/>
      <c r="Y315" s="598"/>
      <c r="Z315" s="566"/>
      <c r="AA315" s="598"/>
      <c r="AB315" s="566"/>
      <c r="AC315" s="598"/>
      <c r="AD315" s="168"/>
      <c r="AE315" s="598"/>
      <c r="AF315" s="177"/>
      <c r="AG315" s="573">
        <f t="shared" ref="AG315:AP315" si="456">-AG512</f>
        <v>-21.486999999999998</v>
      </c>
      <c r="AH315" s="573">
        <f t="shared" si="456"/>
        <v>-12.765000000000004</v>
      </c>
      <c r="AI315" s="573">
        <f t="shared" si="456"/>
        <v>-22.9</v>
      </c>
      <c r="AJ315" s="573">
        <f t="shared" si="456"/>
        <v>-20.249000000000002</v>
      </c>
      <c r="AK315" s="573">
        <f t="shared" si="456"/>
        <v>0</v>
      </c>
      <c r="AL315" s="573">
        <f t="shared" si="456"/>
        <v>-38.203000000000003</v>
      </c>
      <c r="AM315" s="573">
        <f t="shared" si="456"/>
        <v>0</v>
      </c>
      <c r="AN315" s="573">
        <f t="shared" si="456"/>
        <v>-37.972999999999999</v>
      </c>
      <c r="AO315" s="573">
        <f t="shared" si="456"/>
        <v>0</v>
      </c>
      <c r="AP315" s="697">
        <f t="shared" si="456"/>
        <v>-43.953000000000003</v>
      </c>
      <c r="AQ315" s="573">
        <f t="shared" ref="AQ315:AZ315" si="457">-AQ314</f>
        <v>0</v>
      </c>
      <c r="AR315" s="573">
        <f t="shared" si="457"/>
        <v>0</v>
      </c>
      <c r="AS315" s="573">
        <f t="shared" si="457"/>
        <v>0</v>
      </c>
      <c r="AT315" s="573">
        <f t="shared" si="457"/>
        <v>0</v>
      </c>
      <c r="AU315" s="573">
        <f t="shared" si="457"/>
        <v>0</v>
      </c>
      <c r="AV315" s="573">
        <f t="shared" si="457"/>
        <v>0</v>
      </c>
      <c r="AW315" s="573">
        <f t="shared" si="457"/>
        <v>0</v>
      </c>
      <c r="AX315" s="573">
        <f t="shared" si="457"/>
        <v>0</v>
      </c>
      <c r="AY315" s="573">
        <f t="shared" si="457"/>
        <v>0</v>
      </c>
      <c r="AZ315" s="573">
        <f t="shared" si="457"/>
        <v>0</v>
      </c>
      <c r="BA315" s="598"/>
      <c r="BB315" s="803"/>
      <c r="BC315" s="803"/>
      <c r="BD315" s="803"/>
      <c r="BE315" s="803"/>
      <c r="BF315" s="803"/>
      <c r="BG315" s="803"/>
      <c r="BH315" s="803"/>
      <c r="BI315" s="803"/>
      <c r="BJ315" s="200"/>
      <c r="BK315" s="803"/>
      <c r="BL315" s="803"/>
      <c r="BM315" s="598"/>
      <c r="BN315" s="598"/>
      <c r="BO315" s="598"/>
      <c r="BP315" s="573">
        <f>-BP512</f>
        <v>-24.4</v>
      </c>
      <c r="BQ315" s="573">
        <f>-BQ512</f>
        <v>-34.252000000000002</v>
      </c>
      <c r="BR315" s="573">
        <f>-BR512</f>
        <v>-43.149000000000001</v>
      </c>
      <c r="BS315" s="573">
        <f>-BS512</f>
        <v>-38.203000000000003</v>
      </c>
      <c r="BT315" s="573">
        <f t="shared" si="455"/>
        <v>-37.972999999999999</v>
      </c>
      <c r="BU315" s="697">
        <f t="shared" si="455"/>
        <v>-37.972999999999999</v>
      </c>
      <c r="BV315" s="196">
        <f>SUM(AQ315:AR315)</f>
        <v>0</v>
      </c>
      <c r="BW315" s="196">
        <f>SUM(AS315:AT315)</f>
        <v>0</v>
      </c>
      <c r="BX315" s="196">
        <f>SUM(AU315:AV315)</f>
        <v>0</v>
      </c>
      <c r="BY315" s="196">
        <f>SUM(AW315:AX315)</f>
        <v>0</v>
      </c>
      <c r="BZ315" s="196">
        <f>SUM(AY315:AZ315)</f>
        <v>0</v>
      </c>
      <c r="DS315" s="196">
        <f>SUM(CU315:CV315)</f>
        <v>0</v>
      </c>
    </row>
    <row r="316" spans="1:123" s="75" customFormat="1" hidden="1" outlineLevel="1">
      <c r="A316" s="10"/>
      <c r="B316" s="70" t="s">
        <v>18</v>
      </c>
      <c r="S316" s="194"/>
      <c r="T316" s="194"/>
      <c r="U316" s="194"/>
      <c r="V316" s="194"/>
      <c r="W316" s="100"/>
      <c r="X316" s="100"/>
      <c r="Y316" s="598"/>
      <c r="Z316" s="566"/>
      <c r="AA316" s="598"/>
      <c r="AB316" s="566"/>
      <c r="AC316" s="598"/>
      <c r="AD316" s="168"/>
      <c r="AE316" s="598"/>
      <c r="AF316" s="177"/>
      <c r="AG316" s="573">
        <f t="shared" ref="AG316:AL316" si="458">AG317-SUM(AG311:AG315)</f>
        <v>-0.41399999999993042</v>
      </c>
      <c r="AH316" s="573">
        <f t="shared" si="458"/>
        <v>6.9399999999999409</v>
      </c>
      <c r="AI316" s="573">
        <f t="shared" si="458"/>
        <v>-0.11000000000001364</v>
      </c>
      <c r="AJ316" s="573">
        <f t="shared" si="458"/>
        <v>-26.336999999999961</v>
      </c>
      <c r="AK316" s="805">
        <f t="shared" si="458"/>
        <v>-16.867000000000019</v>
      </c>
      <c r="AL316" s="805">
        <f t="shared" si="458"/>
        <v>20.191000000000003</v>
      </c>
      <c r="AM316" s="805">
        <f t="shared" ref="AM316:AO316" si="459">AM317-SUM(AM311:AM315)</f>
        <v>-22.999000000000024</v>
      </c>
      <c r="AN316" s="805">
        <f t="shared" ref="AN316:AP316" si="460">AN317-SUM(AN311:AN315)</f>
        <v>75.762000000000057</v>
      </c>
      <c r="AO316" s="805">
        <f t="shared" si="459"/>
        <v>-13.115000000000009</v>
      </c>
      <c r="AP316" s="806">
        <f t="shared" si="460"/>
        <v>9.8780000000000427</v>
      </c>
      <c r="AQ316" s="805">
        <v>0</v>
      </c>
      <c r="AR316" s="805">
        <v>0</v>
      </c>
      <c r="AS316" s="805">
        <v>0</v>
      </c>
      <c r="AT316" s="805">
        <v>0</v>
      </c>
      <c r="AU316" s="805">
        <v>0</v>
      </c>
      <c r="AV316" s="805">
        <v>0</v>
      </c>
      <c r="AW316" s="805">
        <v>0</v>
      </c>
      <c r="AX316" s="805">
        <v>0</v>
      </c>
      <c r="AY316" s="805">
        <v>0</v>
      </c>
      <c r="AZ316" s="805">
        <v>0</v>
      </c>
      <c r="BA316" s="598"/>
      <c r="BB316" s="803"/>
      <c r="BC316" s="803"/>
      <c r="BD316" s="803"/>
      <c r="BE316" s="803"/>
      <c r="BF316" s="803"/>
      <c r="BG316" s="803"/>
      <c r="BH316" s="803"/>
      <c r="BI316" s="803"/>
      <c r="BJ316" s="200"/>
      <c r="BK316" s="803"/>
      <c r="BL316" s="803"/>
      <c r="BM316" s="598"/>
      <c r="BN316" s="598"/>
      <c r="BO316" s="598"/>
      <c r="BP316" s="573">
        <f>BP317-SUM(BP311:BP315)</f>
        <v>4.2810000000000059</v>
      </c>
      <c r="BQ316" s="573">
        <f>BQ317-SUM(BQ311:BQ315)</f>
        <v>-2.5990000000000464</v>
      </c>
      <c r="BR316" s="573">
        <f>BR317-SUM(BR311:BR315)</f>
        <v>-29.950999999999993</v>
      </c>
      <c r="BS316" s="573">
        <f>BS317-SUM(BS311:BS315)</f>
        <v>-12.564999999999969</v>
      </c>
      <c r="BT316" s="573">
        <f t="shared" ref="BT316:BZ316" si="461">BT317-SUM(BT311:BT315)</f>
        <v>14.204000000000008</v>
      </c>
      <c r="BU316" s="697">
        <f t="shared" si="461"/>
        <v>49.186000000000035</v>
      </c>
      <c r="BV316" s="196">
        <f t="shared" si="461"/>
        <v>0</v>
      </c>
      <c r="BW316" s="196">
        <f t="shared" si="461"/>
        <v>0</v>
      </c>
      <c r="BX316" s="196">
        <f t="shared" si="461"/>
        <v>0</v>
      </c>
      <c r="BY316" s="196">
        <f t="shared" si="461"/>
        <v>0</v>
      </c>
      <c r="BZ316" s="196">
        <f t="shared" si="461"/>
        <v>0</v>
      </c>
      <c r="DS316" s="196">
        <f>SUM(CU316:CV316)</f>
        <v>0</v>
      </c>
    </row>
    <row r="317" spans="1:123" s="75" customFormat="1" hidden="1" outlineLevel="1">
      <c r="A317" s="10"/>
      <c r="B317" s="70" t="s">
        <v>399</v>
      </c>
      <c r="S317" s="194"/>
      <c r="T317" s="194"/>
      <c r="U317" s="194"/>
      <c r="V317" s="194"/>
      <c r="W317" s="100"/>
      <c r="X317" s="100"/>
      <c r="Y317" s="598"/>
      <c r="Z317" s="566"/>
      <c r="AA317" s="598"/>
      <c r="AB317" s="566"/>
      <c r="AC317" s="598"/>
      <c r="AD317" s="168"/>
      <c r="AE317" s="598"/>
      <c r="AF317" s="177">
        <f>BP317</f>
        <v>271.041</v>
      </c>
      <c r="AG317" s="177">
        <f>AG301</f>
        <v>267.33100000000002</v>
      </c>
      <c r="AH317" s="177">
        <f>BQ317</f>
        <v>280.64299999999997</v>
      </c>
      <c r="AI317" s="177">
        <f>AI301</f>
        <v>275.59899999999999</v>
      </c>
      <c r="AJ317" s="177">
        <f>BR317</f>
        <v>250.1</v>
      </c>
      <c r="AK317" s="598">
        <f>AK301</f>
        <v>249.798</v>
      </c>
      <c r="AL317" s="598">
        <f>BT317</f>
        <v>250.911</v>
      </c>
      <c r="AM317" s="598">
        <f>AM301</f>
        <v>248.78399999999999</v>
      </c>
      <c r="AN317" s="598">
        <f>BV317</f>
        <v>301.85500000000002</v>
      </c>
      <c r="AO317" s="598">
        <f t="shared" ref="AO317:AP317" si="462">AO301</f>
        <v>313.18900000000002</v>
      </c>
      <c r="AP317" s="601">
        <f t="shared" si="462"/>
        <v>301.85500000000002</v>
      </c>
      <c r="AQ317" s="598">
        <f t="shared" ref="AQ317:AZ317" si="463">SUM(AQ311:AQ316)</f>
        <v>301.85500000000002</v>
      </c>
      <c r="AR317" s="598">
        <f t="shared" si="463"/>
        <v>301.85500000000002</v>
      </c>
      <c r="AS317" s="598">
        <f t="shared" si="463"/>
        <v>301.85500000000002</v>
      </c>
      <c r="AT317" s="598">
        <f t="shared" si="463"/>
        <v>301.85500000000002</v>
      </c>
      <c r="AU317" s="598">
        <f t="shared" si="463"/>
        <v>301.85500000000002</v>
      </c>
      <c r="AV317" s="598">
        <f t="shared" si="463"/>
        <v>301.85500000000002</v>
      </c>
      <c r="AW317" s="598">
        <f t="shared" si="463"/>
        <v>301.85500000000002</v>
      </c>
      <c r="AX317" s="598">
        <f t="shared" si="463"/>
        <v>301.85500000000002</v>
      </c>
      <c r="AY317" s="598">
        <f t="shared" si="463"/>
        <v>301.85500000000002</v>
      </c>
      <c r="AZ317" s="598">
        <f t="shared" si="463"/>
        <v>301.85500000000002</v>
      </c>
      <c r="BA317" s="598"/>
      <c r="BB317" s="803"/>
      <c r="BC317" s="803"/>
      <c r="BD317" s="803"/>
      <c r="BE317" s="803"/>
      <c r="BF317" s="803"/>
      <c r="BG317" s="803"/>
      <c r="BH317" s="803"/>
      <c r="BI317" s="803"/>
      <c r="BJ317" s="200"/>
      <c r="BK317" s="803"/>
      <c r="BL317" s="803"/>
      <c r="BM317" s="598"/>
      <c r="BN317" s="598"/>
      <c r="BO317" s="598"/>
      <c r="BP317" s="797">
        <v>271.041</v>
      </c>
      <c r="BQ317" s="797">
        <v>280.64299999999997</v>
      </c>
      <c r="BR317" s="797">
        <v>250.1</v>
      </c>
      <c r="BS317" s="797">
        <f>BS301</f>
        <v>238.52600000000001</v>
      </c>
      <c r="BT317" s="797">
        <f t="shared" ref="BT317:BZ317" si="464">BT301</f>
        <v>250.911</v>
      </c>
      <c r="BU317" s="808">
        <f t="shared" si="464"/>
        <v>301.85500000000002</v>
      </c>
      <c r="BV317" s="198">
        <f t="shared" si="464"/>
        <v>301.85500000000002</v>
      </c>
      <c r="BW317" s="198">
        <f t="shared" si="464"/>
        <v>301.85500000000002</v>
      </c>
      <c r="BX317" s="198">
        <f t="shared" si="464"/>
        <v>301.85500000000002</v>
      </c>
      <c r="BY317" s="198">
        <f t="shared" si="464"/>
        <v>301.85500000000002</v>
      </c>
      <c r="BZ317" s="198">
        <f t="shared" si="464"/>
        <v>301.85500000000002</v>
      </c>
      <c r="DS317" s="198">
        <f>SUM(DS311:DS316)</f>
        <v>0</v>
      </c>
    </row>
    <row r="318" spans="1:123" s="70" customFormat="1" hidden="1" outlineLevel="1">
      <c r="A318" s="78"/>
      <c r="B318" s="75"/>
      <c r="C318" s="75"/>
      <c r="D318" s="75"/>
      <c r="E318" s="75"/>
      <c r="F318" s="75"/>
      <c r="G318" s="75"/>
      <c r="H318" s="75"/>
      <c r="I318" s="75"/>
      <c r="J318" s="75"/>
      <c r="K318" s="75"/>
      <c r="L318" s="75"/>
      <c r="M318" s="75"/>
      <c r="N318" s="75"/>
      <c r="O318" s="75"/>
      <c r="P318" s="75"/>
      <c r="Q318" s="75"/>
      <c r="R318" s="75"/>
      <c r="S318" s="75"/>
      <c r="T318" s="75"/>
      <c r="U318" s="75"/>
      <c r="V318" s="75"/>
      <c r="W318" s="75"/>
      <c r="X318" s="75"/>
      <c r="Y318" s="182"/>
      <c r="Z318" s="182"/>
      <c r="AA318" s="182"/>
      <c r="AB318" s="168"/>
      <c r="AC318" s="182"/>
      <c r="AD318" s="182"/>
      <c r="AE318" s="182"/>
      <c r="AF318" s="182"/>
      <c r="AG318" s="182"/>
      <c r="AH318" s="182"/>
      <c r="AI318" s="182"/>
      <c r="AJ318" s="182"/>
      <c r="AK318" s="182"/>
      <c r="AL318" s="182"/>
      <c r="AM318" s="182"/>
      <c r="AN318" s="182"/>
      <c r="AO318" s="182"/>
      <c r="AP318" s="466"/>
      <c r="AQ318" s="182"/>
      <c r="AR318" s="182"/>
      <c r="AS318" s="182"/>
      <c r="AT318" s="182"/>
      <c r="AU318" s="182"/>
      <c r="AV318" s="182"/>
      <c r="AW318" s="182"/>
      <c r="AX318" s="182"/>
      <c r="AY318" s="182"/>
      <c r="AZ318" s="182"/>
      <c r="BA318" s="573"/>
      <c r="BB318" s="200"/>
      <c r="BC318" s="200"/>
      <c r="BD318" s="200"/>
      <c r="BE318" s="200"/>
      <c r="BF318" s="200"/>
      <c r="BG318" s="200"/>
      <c r="BH318" s="168"/>
      <c r="BI318" s="92"/>
      <c r="BJ318" s="92"/>
      <c r="BK318" s="92"/>
      <c r="BL318" s="92"/>
      <c r="BM318" s="182"/>
      <c r="BN318" s="182"/>
      <c r="BO318" s="182"/>
      <c r="BP318" s="182"/>
      <c r="BQ318" s="182"/>
      <c r="BR318" s="182"/>
      <c r="BS318" s="182"/>
      <c r="BT318" s="182"/>
      <c r="BU318" s="466"/>
      <c r="BV318" s="182"/>
      <c r="BW318" s="182"/>
      <c r="BX318" s="182"/>
      <c r="BY318" s="182"/>
      <c r="BZ318" s="182"/>
      <c r="DS318" s="182"/>
    </row>
    <row r="319" spans="1:123" s="70" customFormat="1" hidden="1" outlineLevel="1">
      <c r="A319" s="67"/>
      <c r="B319" s="95" t="s">
        <v>387</v>
      </c>
      <c r="C319" s="96"/>
      <c r="D319" s="96"/>
      <c r="E319" s="96"/>
      <c r="F319" s="96"/>
      <c r="G319" s="97"/>
      <c r="H319" s="560"/>
      <c r="I319" s="560"/>
      <c r="J319" s="560"/>
      <c r="K319" s="560"/>
      <c r="L319" s="560"/>
      <c r="M319" s="560"/>
      <c r="N319" s="560"/>
      <c r="O319" s="560"/>
      <c r="P319" s="561"/>
      <c r="Q319" s="561"/>
      <c r="R319" s="561"/>
      <c r="S319" s="561"/>
      <c r="T319" s="561"/>
      <c r="U319" s="562"/>
      <c r="V319" s="562"/>
      <c r="W319" s="562"/>
      <c r="X319" s="562"/>
      <c r="Y319" s="694"/>
      <c r="Z319" s="694"/>
      <c r="AA319" s="694"/>
      <c r="AB319" s="694"/>
      <c r="AC319" s="694"/>
      <c r="AD319" s="694"/>
      <c r="AE319" s="694"/>
      <c r="AF319" s="694"/>
      <c r="AG319" s="694"/>
      <c r="AH319" s="694"/>
      <c r="AI319" s="694"/>
      <c r="AJ319" s="694"/>
      <c r="AK319" s="694"/>
      <c r="AL319" s="694"/>
      <c r="AM319" s="694"/>
      <c r="AN319" s="694"/>
      <c r="AO319" s="694"/>
      <c r="AP319" s="764"/>
      <c r="AQ319" s="694"/>
      <c r="AR319" s="694"/>
      <c r="AS319" s="694"/>
      <c r="AT319" s="694"/>
      <c r="AU319" s="694"/>
      <c r="AV319" s="694"/>
      <c r="AW319" s="694"/>
      <c r="AX319" s="694"/>
      <c r="AY319" s="694"/>
      <c r="AZ319" s="694"/>
      <c r="BA319" s="573"/>
      <c r="BB319" s="766"/>
      <c r="BC319" s="766"/>
      <c r="BD319" s="766"/>
      <c r="BE319" s="766"/>
      <c r="BF319" s="766"/>
      <c r="BG319" s="766"/>
      <c r="BH319" s="766"/>
      <c r="BI319" s="694"/>
      <c r="BJ319" s="324"/>
      <c r="BK319" s="324"/>
      <c r="BL319" s="324"/>
      <c r="BM319" s="324"/>
      <c r="BN319" s="324"/>
      <c r="BO319" s="324"/>
      <c r="BP319" s="324"/>
      <c r="BQ319" s="324"/>
      <c r="BR319" s="324"/>
      <c r="BS319" s="324"/>
      <c r="BT319" s="324"/>
      <c r="BU319" s="538"/>
      <c r="BV319" s="325"/>
      <c r="BW319" s="325"/>
      <c r="BX319" s="325"/>
      <c r="BY319" s="325"/>
      <c r="BZ319" s="325"/>
      <c r="DS319" s="325"/>
    </row>
    <row r="320" spans="1:123" s="70" customFormat="1" hidden="1" outlineLevel="1">
      <c r="A320" s="176"/>
      <c r="B320" s="250" t="s">
        <v>365</v>
      </c>
      <c r="C320" s="69"/>
      <c r="D320" s="69"/>
      <c r="E320" s="69"/>
      <c r="F320" s="69"/>
      <c r="H320" s="630"/>
      <c r="I320" s="630"/>
      <c r="J320" s="630"/>
      <c r="K320" s="630"/>
      <c r="L320" s="630"/>
      <c r="M320" s="86"/>
      <c r="N320" s="86"/>
      <c r="O320" s="86"/>
      <c r="P320" s="86"/>
      <c r="Q320" s="86"/>
      <c r="R320" s="86"/>
      <c r="S320" s="86"/>
      <c r="T320" s="86"/>
      <c r="U320" s="86"/>
      <c r="V320" s="86"/>
      <c r="W320" s="86"/>
      <c r="X320" s="86"/>
      <c r="Y320" s="177"/>
      <c r="Z320" s="168"/>
      <c r="AA320" s="168"/>
      <c r="AB320" s="177"/>
      <c r="AC320" s="183"/>
      <c r="AD320" s="809"/>
      <c r="AE320" s="809"/>
      <c r="AF320" s="168"/>
      <c r="AG320" s="809"/>
      <c r="AH320" s="168"/>
      <c r="AI320" s="810">
        <f>BQ325</f>
        <v>2.2399999999999998</v>
      </c>
      <c r="AJ320" s="168"/>
      <c r="AK320" s="810">
        <f>BS325</f>
        <v>2.9859999999999993</v>
      </c>
      <c r="AL320" s="810"/>
      <c r="AM320" s="810">
        <f>BU325</f>
        <v>0</v>
      </c>
      <c r="AN320" s="810"/>
      <c r="AO320" s="810">
        <f>BW325</f>
        <v>0</v>
      </c>
      <c r="AP320" s="811"/>
      <c r="AQ320" s="810">
        <f t="shared" ref="AQ320:AZ320" si="465">AP325</f>
        <v>0</v>
      </c>
      <c r="AR320" s="810">
        <f t="shared" si="465"/>
        <v>0</v>
      </c>
      <c r="AS320" s="810">
        <f t="shared" si="465"/>
        <v>0</v>
      </c>
      <c r="AT320" s="810">
        <f t="shared" si="465"/>
        <v>0</v>
      </c>
      <c r="AU320" s="810">
        <f t="shared" si="465"/>
        <v>0</v>
      </c>
      <c r="AV320" s="810">
        <f t="shared" si="465"/>
        <v>0</v>
      </c>
      <c r="AW320" s="810">
        <f t="shared" si="465"/>
        <v>0</v>
      </c>
      <c r="AX320" s="810">
        <f t="shared" si="465"/>
        <v>0</v>
      </c>
      <c r="AY320" s="810">
        <f t="shared" si="465"/>
        <v>0</v>
      </c>
      <c r="AZ320" s="810">
        <f t="shared" si="465"/>
        <v>0</v>
      </c>
      <c r="BA320" s="573"/>
      <c r="BB320" s="573"/>
      <c r="BC320" s="573"/>
      <c r="BD320" s="573"/>
      <c r="BE320" s="573"/>
      <c r="BF320" s="573"/>
      <c r="BG320" s="573"/>
      <c r="BH320" s="55"/>
      <c r="BI320" s="92"/>
      <c r="BJ320" s="92"/>
      <c r="BK320" s="92"/>
      <c r="BL320" s="92"/>
      <c r="BM320" s="92"/>
      <c r="BN320" s="92"/>
      <c r="BO320" s="171"/>
      <c r="BP320" s="798">
        <v>1.675</v>
      </c>
      <c r="BQ320" s="761">
        <f>BP325</f>
        <v>1.867</v>
      </c>
      <c r="BR320" s="761">
        <f>BQ325</f>
        <v>2.2399999999999998</v>
      </c>
      <c r="BS320" s="761">
        <f>BR325</f>
        <v>2.6129999999999995</v>
      </c>
      <c r="BT320" s="761"/>
      <c r="BU320" s="799"/>
      <c r="BV320" s="182"/>
      <c r="BW320" s="182"/>
      <c r="BX320" s="182"/>
      <c r="BY320" s="182"/>
      <c r="BZ320" s="182"/>
      <c r="CC320" s="87"/>
      <c r="CD320" s="87"/>
      <c r="DS320" s="182"/>
    </row>
    <row r="321" spans="1:123" s="70" customFormat="1" hidden="1" outlineLevel="1">
      <c r="A321" s="176"/>
      <c r="B321" s="186" t="s">
        <v>367</v>
      </c>
      <c r="C321" s="69"/>
      <c r="D321" s="69"/>
      <c r="E321" s="69"/>
      <c r="F321" s="69"/>
      <c r="H321" s="630"/>
      <c r="I321" s="630"/>
      <c r="J321" s="630"/>
      <c r="K321" s="630"/>
      <c r="L321" s="630"/>
      <c r="M321" s="86"/>
      <c r="N321" s="86"/>
      <c r="O321" s="86"/>
      <c r="P321" s="86"/>
      <c r="Q321" s="86"/>
      <c r="R321" s="86"/>
      <c r="S321" s="86"/>
      <c r="T321" s="86"/>
      <c r="U321" s="86"/>
      <c r="V321" s="86"/>
      <c r="W321" s="86"/>
      <c r="X321" s="86"/>
      <c r="Y321" s="177"/>
      <c r="Z321" s="168"/>
      <c r="AA321" s="168"/>
      <c r="AB321" s="177"/>
      <c r="AC321" s="183"/>
      <c r="AD321" s="809"/>
      <c r="AE321" s="809"/>
      <c r="AF321" s="168"/>
      <c r="AG321" s="809"/>
      <c r="AH321" s="168"/>
      <c r="AI321" s="761">
        <f>AI328</f>
        <v>0.16799999999999998</v>
      </c>
      <c r="AJ321" s="168"/>
      <c r="AK321" s="761">
        <f>AK328</f>
        <v>0.22394999999999995</v>
      </c>
      <c r="AL321" s="761"/>
      <c r="AM321" s="761">
        <f>AM328</f>
        <v>0</v>
      </c>
      <c r="AN321" s="761"/>
      <c r="AO321" s="761">
        <f>AO328</f>
        <v>0</v>
      </c>
      <c r="AP321" s="799"/>
      <c r="AQ321" s="761">
        <f t="shared" ref="AQ321:AZ321" si="466">AQ328</f>
        <v>0</v>
      </c>
      <c r="AR321" s="761">
        <f t="shared" si="466"/>
        <v>0</v>
      </c>
      <c r="AS321" s="761">
        <f t="shared" si="466"/>
        <v>0</v>
      </c>
      <c r="AT321" s="761">
        <f t="shared" si="466"/>
        <v>0</v>
      </c>
      <c r="AU321" s="761">
        <f t="shared" si="466"/>
        <v>0</v>
      </c>
      <c r="AV321" s="761">
        <f t="shared" si="466"/>
        <v>0</v>
      </c>
      <c r="AW321" s="761">
        <f t="shared" si="466"/>
        <v>0</v>
      </c>
      <c r="AX321" s="761">
        <f t="shared" si="466"/>
        <v>0</v>
      </c>
      <c r="AY321" s="761">
        <f t="shared" si="466"/>
        <v>0</v>
      </c>
      <c r="AZ321" s="761">
        <f t="shared" si="466"/>
        <v>0</v>
      </c>
      <c r="BA321" s="573"/>
      <c r="BB321" s="573"/>
      <c r="BC321" s="573"/>
      <c r="BD321" s="573"/>
      <c r="BE321" s="573"/>
      <c r="BF321" s="573"/>
      <c r="BG321" s="573"/>
      <c r="BH321" s="55"/>
      <c r="BI321" s="92"/>
      <c r="BJ321" s="92"/>
      <c r="BK321" s="92"/>
      <c r="BL321" s="92"/>
      <c r="BM321" s="92"/>
      <c r="BN321" s="92"/>
      <c r="BO321" s="171"/>
      <c r="BP321" s="798">
        <v>0.31</v>
      </c>
      <c r="BQ321" s="798">
        <v>0.38</v>
      </c>
      <c r="BR321" s="798">
        <v>0.38</v>
      </c>
      <c r="BS321" s="798">
        <v>0.38</v>
      </c>
      <c r="BT321" s="798"/>
      <c r="BU321" s="812"/>
      <c r="BV321" s="182"/>
      <c r="BW321" s="182"/>
      <c r="BX321" s="182"/>
      <c r="BY321" s="182"/>
      <c r="BZ321" s="182"/>
      <c r="CC321" s="87"/>
      <c r="CD321" s="87"/>
      <c r="DS321" s="182"/>
    </row>
    <row r="322" spans="1:123" s="70" customFormat="1" hidden="1" outlineLevel="1">
      <c r="A322" s="176"/>
      <c r="B322" s="186" t="s">
        <v>368</v>
      </c>
      <c r="C322" s="69"/>
      <c r="D322" s="69"/>
      <c r="E322" s="69"/>
      <c r="F322" s="69"/>
      <c r="H322" s="630"/>
      <c r="I322" s="630"/>
      <c r="J322" s="630"/>
      <c r="K322" s="630"/>
      <c r="L322" s="630"/>
      <c r="M322" s="86"/>
      <c r="N322" s="86"/>
      <c r="O322" s="86"/>
      <c r="P322" s="86"/>
      <c r="Q322" s="86"/>
      <c r="R322" s="86"/>
      <c r="S322" s="86"/>
      <c r="T322" s="86"/>
      <c r="U322" s="86"/>
      <c r="V322" s="86"/>
      <c r="W322" s="86"/>
      <c r="X322" s="86"/>
      <c r="Y322" s="177"/>
      <c r="Z322" s="168"/>
      <c r="AA322" s="168"/>
      <c r="AB322" s="177"/>
      <c r="AC322" s="183"/>
      <c r="AD322" s="809"/>
      <c r="AE322" s="809"/>
      <c r="AF322" s="168"/>
      <c r="AG322" s="809"/>
      <c r="AH322" s="168"/>
      <c r="AI322" s="802">
        <v>0</v>
      </c>
      <c r="AJ322" s="168"/>
      <c r="AK322" s="802">
        <v>0</v>
      </c>
      <c r="AL322" s="802"/>
      <c r="AM322" s="802">
        <v>0</v>
      </c>
      <c r="AN322" s="802"/>
      <c r="AO322" s="802">
        <v>0</v>
      </c>
      <c r="AP322" s="813"/>
      <c r="AQ322" s="802">
        <v>0</v>
      </c>
      <c r="AR322" s="802">
        <v>0</v>
      </c>
      <c r="AS322" s="802">
        <v>0</v>
      </c>
      <c r="AT322" s="802">
        <v>0</v>
      </c>
      <c r="AU322" s="802">
        <v>0</v>
      </c>
      <c r="AV322" s="802">
        <v>0</v>
      </c>
      <c r="AW322" s="802">
        <v>0</v>
      </c>
      <c r="AX322" s="802">
        <v>0</v>
      </c>
      <c r="AY322" s="802">
        <v>0</v>
      </c>
      <c r="AZ322" s="802">
        <v>0</v>
      </c>
      <c r="BA322" s="573"/>
      <c r="BB322" s="573"/>
      <c r="BC322" s="573"/>
      <c r="BD322" s="573"/>
      <c r="BE322" s="573"/>
      <c r="BF322" s="573"/>
      <c r="BG322" s="573"/>
      <c r="BH322" s="55"/>
      <c r="BI322" s="92"/>
      <c r="BJ322" s="92"/>
      <c r="BK322" s="92"/>
      <c r="BL322" s="92"/>
      <c r="BM322" s="92"/>
      <c r="BN322" s="92"/>
      <c r="BO322" s="171"/>
      <c r="BP322" s="798">
        <v>0</v>
      </c>
      <c r="BQ322" s="798">
        <v>0</v>
      </c>
      <c r="BR322" s="798">
        <v>0</v>
      </c>
      <c r="BS322" s="798">
        <v>0</v>
      </c>
      <c r="BT322" s="798"/>
      <c r="BU322" s="812"/>
      <c r="BV322" s="182"/>
      <c r="BW322" s="182"/>
      <c r="BX322" s="182"/>
      <c r="BY322" s="182"/>
      <c r="BZ322" s="182"/>
      <c r="CC322" s="87"/>
      <c r="CD322" s="87"/>
      <c r="DS322" s="182"/>
    </row>
    <row r="323" spans="1:123" s="70" customFormat="1" hidden="1" outlineLevel="1">
      <c r="A323" s="176"/>
      <c r="B323" s="186" t="s">
        <v>369</v>
      </c>
      <c r="C323" s="69"/>
      <c r="D323" s="69"/>
      <c r="E323" s="69"/>
      <c r="F323" s="69"/>
      <c r="H323" s="630"/>
      <c r="I323" s="630"/>
      <c r="J323" s="630"/>
      <c r="K323" s="630"/>
      <c r="L323" s="630"/>
      <c r="M323" s="86"/>
      <c r="N323" s="86"/>
      <c r="O323" s="86"/>
      <c r="P323" s="86"/>
      <c r="Q323" s="86"/>
      <c r="R323" s="86"/>
      <c r="S323" s="86"/>
      <c r="T323" s="86"/>
      <c r="U323" s="86"/>
      <c r="V323" s="86"/>
      <c r="W323" s="86"/>
      <c r="X323" s="86"/>
      <c r="Y323" s="177"/>
      <c r="Z323" s="168"/>
      <c r="AA323" s="168"/>
      <c r="AB323" s="177"/>
      <c r="AC323" s="183"/>
      <c r="AD323" s="809"/>
      <c r="AE323" s="809"/>
      <c r="AF323" s="168"/>
      <c r="AG323" s="809"/>
      <c r="AH323" s="168"/>
      <c r="AI323" s="802">
        <v>0</v>
      </c>
      <c r="AJ323" s="168"/>
      <c r="AK323" s="802">
        <v>0</v>
      </c>
      <c r="AL323" s="802"/>
      <c r="AM323" s="802">
        <v>0</v>
      </c>
      <c r="AN323" s="802"/>
      <c r="AO323" s="802">
        <v>0</v>
      </c>
      <c r="AP323" s="813"/>
      <c r="AQ323" s="802">
        <v>0</v>
      </c>
      <c r="AR323" s="802">
        <v>0</v>
      </c>
      <c r="AS323" s="802">
        <v>0</v>
      </c>
      <c r="AT323" s="802">
        <v>0</v>
      </c>
      <c r="AU323" s="802">
        <v>0</v>
      </c>
      <c r="AV323" s="802">
        <v>0</v>
      </c>
      <c r="AW323" s="802">
        <v>0</v>
      </c>
      <c r="AX323" s="802">
        <v>0</v>
      </c>
      <c r="AY323" s="802">
        <v>0</v>
      </c>
      <c r="AZ323" s="802">
        <v>0</v>
      </c>
      <c r="BA323" s="573"/>
      <c r="BB323" s="573"/>
      <c r="BC323" s="573"/>
      <c r="BD323" s="573"/>
      <c r="BE323" s="573"/>
      <c r="BF323" s="573"/>
      <c r="BG323" s="573"/>
      <c r="BH323" s="55"/>
      <c r="BI323" s="92"/>
      <c r="BJ323" s="92"/>
      <c r="BK323" s="92"/>
      <c r="BL323" s="92"/>
      <c r="BM323" s="92"/>
      <c r="BN323" s="92"/>
      <c r="BO323" s="171"/>
      <c r="BP323" s="798">
        <f>-82/1000</f>
        <v>-8.2000000000000003E-2</v>
      </c>
      <c r="BQ323" s="798">
        <v>0</v>
      </c>
      <c r="BR323" s="798">
        <v>0</v>
      </c>
      <c r="BS323" s="798">
        <v>0</v>
      </c>
      <c r="BT323" s="798"/>
      <c r="BU323" s="812"/>
      <c r="BV323" s="182"/>
      <c r="BW323" s="182"/>
      <c r="BX323" s="182"/>
      <c r="BY323" s="182"/>
      <c r="BZ323" s="182"/>
      <c r="CC323" s="87"/>
      <c r="CD323" s="87"/>
      <c r="DS323" s="182"/>
    </row>
    <row r="324" spans="1:123" s="70" customFormat="1" hidden="1" outlineLevel="1">
      <c r="A324" s="176"/>
      <c r="B324" s="186" t="s">
        <v>370</v>
      </c>
      <c r="C324" s="69"/>
      <c r="D324" s="69"/>
      <c r="E324" s="69"/>
      <c r="F324" s="69"/>
      <c r="H324" s="630"/>
      <c r="I324" s="630"/>
      <c r="J324" s="630"/>
      <c r="K324" s="630"/>
      <c r="L324" s="630"/>
      <c r="M324" s="86"/>
      <c r="N324" s="86"/>
      <c r="O324" s="86"/>
      <c r="P324" s="86"/>
      <c r="Q324" s="86"/>
      <c r="R324" s="86"/>
      <c r="S324" s="86"/>
      <c r="T324" s="86"/>
      <c r="U324" s="86"/>
      <c r="V324" s="86"/>
      <c r="W324" s="86"/>
      <c r="X324" s="86"/>
      <c r="Y324" s="177"/>
      <c r="Z324" s="168"/>
      <c r="AA324" s="168"/>
      <c r="AB324" s="177"/>
      <c r="AC324" s="183"/>
      <c r="AD324" s="809"/>
      <c r="AE324" s="809"/>
      <c r="AF324" s="168"/>
      <c r="AG324" s="809"/>
      <c r="AH324" s="168"/>
      <c r="AI324" s="802">
        <v>0</v>
      </c>
      <c r="AJ324" s="168"/>
      <c r="AK324" s="802">
        <v>0</v>
      </c>
      <c r="AL324" s="802"/>
      <c r="AM324" s="802">
        <v>0</v>
      </c>
      <c r="AN324" s="802"/>
      <c r="AO324" s="802">
        <v>0</v>
      </c>
      <c r="AP324" s="813"/>
      <c r="AQ324" s="802">
        <v>0</v>
      </c>
      <c r="AR324" s="802">
        <v>0</v>
      </c>
      <c r="AS324" s="802">
        <v>0</v>
      </c>
      <c r="AT324" s="802">
        <v>0</v>
      </c>
      <c r="AU324" s="802">
        <v>0</v>
      </c>
      <c r="AV324" s="802">
        <v>0</v>
      </c>
      <c r="AW324" s="802">
        <v>0</v>
      </c>
      <c r="AX324" s="802">
        <v>0</v>
      </c>
      <c r="AY324" s="802">
        <v>0</v>
      </c>
      <c r="AZ324" s="802">
        <v>0</v>
      </c>
      <c r="BA324" s="573"/>
      <c r="BB324" s="573"/>
      <c r="BC324" s="573"/>
      <c r="BD324" s="573"/>
      <c r="BE324" s="573"/>
      <c r="BF324" s="573"/>
      <c r="BG324" s="573"/>
      <c r="BH324" s="55"/>
      <c r="BI324" s="92"/>
      <c r="BJ324" s="92"/>
      <c r="BK324" s="92"/>
      <c r="BL324" s="92"/>
      <c r="BM324" s="92"/>
      <c r="BN324" s="92"/>
      <c r="BO324" s="171"/>
      <c r="BP324" s="798">
        <v>-3.5999999999999997E-2</v>
      </c>
      <c r="BQ324" s="798">
        <v>-7.0000000000000001E-3</v>
      </c>
      <c r="BR324" s="798">
        <v>-7.0000000000000001E-3</v>
      </c>
      <c r="BS324" s="798">
        <v>-7.0000000000000001E-3</v>
      </c>
      <c r="BT324" s="798"/>
      <c r="BU324" s="812"/>
      <c r="BV324" s="182"/>
      <c r="BW324" s="182"/>
      <c r="BX324" s="182"/>
      <c r="BY324" s="182"/>
      <c r="BZ324" s="182"/>
      <c r="CC324" s="87"/>
      <c r="CD324" s="87"/>
      <c r="DS324" s="182"/>
    </row>
    <row r="325" spans="1:123" s="75" customFormat="1" hidden="1" outlineLevel="1">
      <c r="A325" s="176"/>
      <c r="B325" s="185" t="s">
        <v>371</v>
      </c>
      <c r="C325" s="74"/>
      <c r="D325" s="74"/>
      <c r="E325" s="74"/>
      <c r="F325" s="74"/>
      <c r="H325" s="814"/>
      <c r="I325" s="814"/>
      <c r="J325" s="814"/>
      <c r="K325" s="814"/>
      <c r="L325" s="814"/>
      <c r="M325" s="86"/>
      <c r="N325" s="86"/>
      <c r="O325" s="86"/>
      <c r="P325" s="86"/>
      <c r="Q325" s="86"/>
      <c r="R325" s="86"/>
      <c r="S325" s="86"/>
      <c r="T325" s="86"/>
      <c r="U325" s="86"/>
      <c r="V325" s="86"/>
      <c r="W325" s="86"/>
      <c r="X325" s="86"/>
      <c r="Y325" s="177"/>
      <c r="Z325" s="200"/>
      <c r="AA325" s="200"/>
      <c r="AB325" s="177"/>
      <c r="AC325" s="183"/>
      <c r="AD325" s="815"/>
      <c r="AE325" s="815"/>
      <c r="AF325" s="200"/>
      <c r="AG325" s="815"/>
      <c r="AH325" s="200"/>
      <c r="AI325" s="816">
        <f>SUM(AI320:AI324)</f>
        <v>2.4079999999999999</v>
      </c>
      <c r="AJ325" s="200"/>
      <c r="AK325" s="816">
        <f>SUM(AK320:AK324)</f>
        <v>3.2099499999999992</v>
      </c>
      <c r="AL325" s="816"/>
      <c r="AM325" s="816">
        <f>SUM(AM320:AM324)</f>
        <v>0</v>
      </c>
      <c r="AN325" s="816"/>
      <c r="AO325" s="816">
        <f>SUM(AO320:AO324)</f>
        <v>0</v>
      </c>
      <c r="AP325" s="817"/>
      <c r="AQ325" s="816">
        <f t="shared" ref="AQ325:AZ325" si="467">SUM(AQ320:AQ324)</f>
        <v>0</v>
      </c>
      <c r="AR325" s="816">
        <f t="shared" si="467"/>
        <v>0</v>
      </c>
      <c r="AS325" s="816">
        <f t="shared" si="467"/>
        <v>0</v>
      </c>
      <c r="AT325" s="816">
        <f t="shared" si="467"/>
        <v>0</v>
      </c>
      <c r="AU325" s="816">
        <f t="shared" si="467"/>
        <v>0</v>
      </c>
      <c r="AV325" s="816">
        <f t="shared" si="467"/>
        <v>0</v>
      </c>
      <c r="AW325" s="816">
        <f t="shared" si="467"/>
        <v>0</v>
      </c>
      <c r="AX325" s="816">
        <f t="shared" si="467"/>
        <v>0</v>
      </c>
      <c r="AY325" s="816">
        <f t="shared" si="467"/>
        <v>0</v>
      </c>
      <c r="AZ325" s="816">
        <f t="shared" si="467"/>
        <v>0</v>
      </c>
      <c r="BA325" s="598"/>
      <c r="BB325" s="598"/>
      <c r="BC325" s="598"/>
      <c r="BD325" s="598"/>
      <c r="BE325" s="598"/>
      <c r="BF325" s="598"/>
      <c r="BG325" s="598"/>
      <c r="BH325" s="92"/>
      <c r="BI325" s="92"/>
      <c r="BJ325" s="92"/>
      <c r="BK325" s="92"/>
      <c r="BL325" s="92"/>
      <c r="BM325" s="92"/>
      <c r="BN325" s="92"/>
      <c r="BO325" s="207"/>
      <c r="BP325" s="816">
        <f>SUM(BP320:BP324)</f>
        <v>1.867</v>
      </c>
      <c r="BQ325" s="816">
        <f>SUM(BQ320:BQ324)</f>
        <v>2.2399999999999998</v>
      </c>
      <c r="BR325" s="816">
        <f>SUM(BR320:BR324)</f>
        <v>2.6129999999999995</v>
      </c>
      <c r="BS325" s="816">
        <f>SUM(BS320:BS324)</f>
        <v>2.9859999999999993</v>
      </c>
      <c r="BT325" s="816"/>
      <c r="BU325" s="817"/>
      <c r="BV325" s="182"/>
      <c r="BW325" s="182"/>
      <c r="BX325" s="182"/>
      <c r="BY325" s="182"/>
      <c r="BZ325" s="182"/>
      <c r="CC325" s="87"/>
      <c r="CD325" s="87"/>
      <c r="DS325" s="182"/>
    </row>
    <row r="326" spans="1:123" s="70" customFormat="1" hidden="1" outlineLevel="1">
      <c r="A326" s="176"/>
      <c r="B326" s="186"/>
      <c r="C326" s="69"/>
      <c r="D326" s="69"/>
      <c r="E326" s="69"/>
      <c r="F326" s="69"/>
      <c r="H326" s="630"/>
      <c r="I326" s="630"/>
      <c r="J326" s="630"/>
      <c r="K326" s="630"/>
      <c r="L326" s="630"/>
      <c r="M326" s="86"/>
      <c r="N326" s="86"/>
      <c r="O326" s="86"/>
      <c r="P326" s="86"/>
      <c r="Q326" s="86"/>
      <c r="R326" s="86"/>
      <c r="S326" s="86"/>
      <c r="T326" s="86"/>
      <c r="U326" s="86"/>
      <c r="V326" s="86"/>
      <c r="W326" s="86"/>
      <c r="X326" s="86"/>
      <c r="Y326" s="177"/>
      <c r="Z326" s="168"/>
      <c r="AA326" s="168"/>
      <c r="AB326" s="177"/>
      <c r="AC326" s="183"/>
      <c r="AD326" s="809"/>
      <c r="AE326" s="809"/>
      <c r="AF326" s="168"/>
      <c r="AG326" s="809"/>
      <c r="AH326" s="168"/>
      <c r="AI326" s="810"/>
      <c r="AJ326" s="168"/>
      <c r="AK326" s="663"/>
      <c r="AL326" s="663"/>
      <c r="AM326" s="663"/>
      <c r="AN326" s="663"/>
      <c r="AO326" s="663"/>
      <c r="AP326" s="762"/>
      <c r="AQ326" s="663"/>
      <c r="AR326" s="663"/>
      <c r="AS326" s="663"/>
      <c r="AT326" s="663"/>
      <c r="AU326" s="663"/>
      <c r="AV326" s="663"/>
      <c r="AW326" s="663"/>
      <c r="AX326" s="663"/>
      <c r="AY326" s="663"/>
      <c r="AZ326" s="663"/>
      <c r="BA326" s="573"/>
      <c r="BB326" s="573"/>
      <c r="BC326" s="573"/>
      <c r="BD326" s="573"/>
      <c r="BE326" s="573"/>
      <c r="BF326" s="573"/>
      <c r="BG326" s="573"/>
      <c r="BH326" s="55"/>
      <c r="BI326" s="92"/>
      <c r="BJ326" s="92"/>
      <c r="BK326" s="92"/>
      <c r="BL326" s="92"/>
      <c r="BM326" s="92"/>
      <c r="BN326" s="92"/>
      <c r="BO326" s="171"/>
      <c r="BP326" s="810"/>
      <c r="BQ326" s="810"/>
      <c r="BR326" s="810"/>
      <c r="BS326" s="810"/>
      <c r="BT326" s="810"/>
      <c r="BU326" s="811"/>
      <c r="BV326" s="182"/>
      <c r="BW326" s="182"/>
      <c r="BX326" s="182"/>
      <c r="BY326" s="182"/>
      <c r="BZ326" s="182"/>
      <c r="CC326" s="87"/>
      <c r="CD326" s="87"/>
      <c r="DS326" s="182"/>
    </row>
    <row r="327" spans="1:123" s="70" customFormat="1" hidden="1" outlineLevel="1">
      <c r="A327" s="176"/>
      <c r="B327" s="186" t="s">
        <v>372</v>
      </c>
      <c r="C327" s="69"/>
      <c r="D327" s="69"/>
      <c r="E327" s="69"/>
      <c r="F327" s="69"/>
      <c r="H327" s="630"/>
      <c r="I327" s="630"/>
      <c r="J327" s="630"/>
      <c r="K327" s="630"/>
      <c r="L327" s="630"/>
      <c r="M327" s="86"/>
      <c r="N327" s="86"/>
      <c r="O327" s="86"/>
      <c r="P327" s="86"/>
      <c r="Q327" s="86"/>
      <c r="R327" s="86"/>
      <c r="S327" s="86"/>
      <c r="T327" s="86"/>
      <c r="U327" s="86"/>
      <c r="V327" s="86"/>
      <c r="W327" s="86"/>
      <c r="X327" s="86"/>
      <c r="Y327" s="177"/>
      <c r="Z327" s="168"/>
      <c r="AA327" s="168"/>
      <c r="AB327" s="177"/>
      <c r="AC327" s="183"/>
      <c r="AD327" s="809"/>
      <c r="AE327" s="809"/>
      <c r="AF327" s="168"/>
      <c r="AG327" s="809"/>
      <c r="AH327" s="168"/>
      <c r="AI327" s="810">
        <f>BQ332</f>
        <v>1.696</v>
      </c>
      <c r="AJ327" s="168"/>
      <c r="AK327" s="810">
        <f>BS332</f>
        <v>1.696</v>
      </c>
      <c r="AL327" s="810"/>
      <c r="AM327" s="810">
        <f>BU332</f>
        <v>0</v>
      </c>
      <c r="AN327" s="810"/>
      <c r="AO327" s="810">
        <f>BW332</f>
        <v>0</v>
      </c>
      <c r="AP327" s="811"/>
      <c r="AQ327" s="810">
        <f t="shared" ref="AQ327:AZ327" si="468">AP332</f>
        <v>0</v>
      </c>
      <c r="AR327" s="810">
        <f t="shared" si="468"/>
        <v>0</v>
      </c>
      <c r="AS327" s="810">
        <f t="shared" si="468"/>
        <v>0</v>
      </c>
      <c r="AT327" s="810">
        <f t="shared" si="468"/>
        <v>0</v>
      </c>
      <c r="AU327" s="810">
        <f t="shared" si="468"/>
        <v>0</v>
      </c>
      <c r="AV327" s="810">
        <f t="shared" si="468"/>
        <v>0</v>
      </c>
      <c r="AW327" s="810">
        <f t="shared" si="468"/>
        <v>0</v>
      </c>
      <c r="AX327" s="810">
        <f t="shared" si="468"/>
        <v>0</v>
      </c>
      <c r="AY327" s="810">
        <f t="shared" si="468"/>
        <v>0</v>
      </c>
      <c r="AZ327" s="810">
        <f t="shared" si="468"/>
        <v>0</v>
      </c>
      <c r="BA327" s="573"/>
      <c r="BB327" s="573"/>
      <c r="BC327" s="573"/>
      <c r="BD327" s="573"/>
      <c r="BE327" s="573"/>
      <c r="BF327" s="573"/>
      <c r="BG327" s="573"/>
      <c r="BH327" s="55"/>
      <c r="BI327" s="92"/>
      <c r="BJ327" s="92"/>
      <c r="BK327" s="92"/>
      <c r="BL327" s="92"/>
      <c r="BM327" s="92"/>
      <c r="BN327" s="92"/>
      <c r="BO327" s="171"/>
      <c r="BP327" s="798">
        <v>1.202</v>
      </c>
      <c r="BQ327" s="761">
        <f>BP332</f>
        <v>1.42</v>
      </c>
      <c r="BR327" s="761">
        <f>BQ332</f>
        <v>1.696</v>
      </c>
      <c r="BS327" s="761">
        <f>BR332</f>
        <v>1.696</v>
      </c>
      <c r="BT327" s="761"/>
      <c r="BU327" s="799"/>
      <c r="BV327" s="182"/>
      <c r="BW327" s="182"/>
      <c r="BX327" s="182"/>
      <c r="BY327" s="182"/>
      <c r="BZ327" s="182"/>
      <c r="CC327" s="87"/>
      <c r="CD327" s="87"/>
      <c r="DS327" s="182"/>
    </row>
    <row r="328" spans="1:123" s="70" customFormat="1" hidden="1" outlineLevel="1">
      <c r="A328" s="176"/>
      <c r="B328" s="186" t="s">
        <v>373</v>
      </c>
      <c r="C328" s="69"/>
      <c r="D328" s="69"/>
      <c r="E328" s="69"/>
      <c r="F328" s="69"/>
      <c r="H328" s="630"/>
      <c r="I328" s="630"/>
      <c r="J328" s="630"/>
      <c r="K328" s="630"/>
      <c r="L328" s="630"/>
      <c r="M328" s="86"/>
      <c r="N328" s="86"/>
      <c r="O328" s="86"/>
      <c r="P328" s="86"/>
      <c r="Q328" s="86"/>
      <c r="R328" s="86"/>
      <c r="S328" s="86"/>
      <c r="T328" s="86"/>
      <c r="U328" s="86"/>
      <c r="V328" s="86"/>
      <c r="W328" s="86"/>
      <c r="X328" s="86"/>
      <c r="Y328" s="177"/>
      <c r="Z328" s="168"/>
      <c r="AA328" s="168"/>
      <c r="AB328" s="177"/>
      <c r="AC328" s="183"/>
      <c r="AD328" s="809"/>
      <c r="AE328" s="809"/>
      <c r="AF328" s="168"/>
      <c r="AG328" s="809"/>
      <c r="AH328" s="168"/>
      <c r="AI328" s="810">
        <f>AI333*AI320</f>
        <v>0.16799999999999998</v>
      </c>
      <c r="AJ328" s="168"/>
      <c r="AK328" s="810">
        <f>AK333*AK320</f>
        <v>0.22394999999999995</v>
      </c>
      <c r="AL328" s="810"/>
      <c r="AM328" s="810">
        <f>AM333*AM320</f>
        <v>0</v>
      </c>
      <c r="AN328" s="810"/>
      <c r="AO328" s="810">
        <f>AO333*AO320</f>
        <v>0</v>
      </c>
      <c r="AP328" s="811"/>
      <c r="AQ328" s="810">
        <f t="shared" ref="AQ328:AZ328" si="469">AQ333*AQ320</f>
        <v>0</v>
      </c>
      <c r="AR328" s="810">
        <f t="shared" si="469"/>
        <v>0</v>
      </c>
      <c r="AS328" s="810">
        <f t="shared" si="469"/>
        <v>0</v>
      </c>
      <c r="AT328" s="810">
        <f t="shared" si="469"/>
        <v>0</v>
      </c>
      <c r="AU328" s="810">
        <f t="shared" si="469"/>
        <v>0</v>
      </c>
      <c r="AV328" s="810">
        <f t="shared" si="469"/>
        <v>0</v>
      </c>
      <c r="AW328" s="810">
        <f t="shared" si="469"/>
        <v>0</v>
      </c>
      <c r="AX328" s="810">
        <f t="shared" si="469"/>
        <v>0</v>
      </c>
      <c r="AY328" s="810">
        <f t="shared" si="469"/>
        <v>0</v>
      </c>
      <c r="AZ328" s="810">
        <f t="shared" si="469"/>
        <v>0</v>
      </c>
      <c r="BA328" s="573"/>
      <c r="BB328" s="573"/>
      <c r="BC328" s="573"/>
      <c r="BD328" s="573"/>
      <c r="BE328" s="573"/>
      <c r="BF328" s="573"/>
      <c r="BG328" s="573"/>
      <c r="BH328" s="55"/>
      <c r="BI328" s="92"/>
      <c r="BJ328" s="92"/>
      <c r="BK328" s="92"/>
      <c r="BL328" s="92"/>
      <c r="BM328" s="92"/>
      <c r="BN328" s="92"/>
      <c r="BO328" s="171"/>
      <c r="BP328" s="798">
        <v>0.26</v>
      </c>
      <c r="BQ328" s="656">
        <v>0.28100000000000003</v>
      </c>
      <c r="BR328" s="656">
        <v>0.28100000000000003</v>
      </c>
      <c r="BS328" s="656">
        <v>0.28100000000000003</v>
      </c>
      <c r="BT328" s="656"/>
      <c r="BU328" s="774"/>
      <c r="BV328" s="182"/>
      <c r="BW328" s="182"/>
      <c r="BX328" s="182"/>
      <c r="BY328" s="182"/>
      <c r="BZ328" s="182"/>
      <c r="CC328" s="87"/>
      <c r="CD328" s="87"/>
      <c r="DS328" s="182"/>
    </row>
    <row r="329" spans="1:123" s="70" customFormat="1" hidden="1" outlineLevel="1">
      <c r="A329" s="176"/>
      <c r="B329" s="186" t="s">
        <v>374</v>
      </c>
      <c r="C329" s="69"/>
      <c r="D329" s="69"/>
      <c r="E329" s="69"/>
      <c r="F329" s="69"/>
      <c r="H329" s="630"/>
      <c r="I329" s="630"/>
      <c r="J329" s="630"/>
      <c r="K329" s="630"/>
      <c r="L329" s="630"/>
      <c r="M329" s="86"/>
      <c r="N329" s="86"/>
      <c r="O329" s="86"/>
      <c r="P329" s="86"/>
      <c r="Q329" s="86"/>
      <c r="R329" s="86"/>
      <c r="S329" s="86"/>
      <c r="T329" s="86"/>
      <c r="U329" s="86"/>
      <c r="V329" s="86"/>
      <c r="W329" s="86"/>
      <c r="X329" s="86"/>
      <c r="Y329" s="177"/>
      <c r="Z329" s="168"/>
      <c r="AA329" s="168"/>
      <c r="AB329" s="177"/>
      <c r="AC329" s="183"/>
      <c r="AD329" s="809"/>
      <c r="AE329" s="809"/>
      <c r="AF329" s="168"/>
      <c r="AG329" s="809"/>
      <c r="AH329" s="168"/>
      <c r="AI329" s="802">
        <v>0</v>
      </c>
      <c r="AJ329" s="168"/>
      <c r="AK329" s="802">
        <v>0</v>
      </c>
      <c r="AL329" s="802"/>
      <c r="AM329" s="802">
        <v>0</v>
      </c>
      <c r="AN329" s="802"/>
      <c r="AO329" s="802">
        <v>0</v>
      </c>
      <c r="AP329" s="813"/>
      <c r="AQ329" s="802">
        <v>0</v>
      </c>
      <c r="AR329" s="802">
        <v>0</v>
      </c>
      <c r="AS329" s="802">
        <v>0</v>
      </c>
      <c r="AT329" s="802">
        <v>0</v>
      </c>
      <c r="AU329" s="802">
        <v>0</v>
      </c>
      <c r="AV329" s="802">
        <v>0</v>
      </c>
      <c r="AW329" s="802">
        <v>0</v>
      </c>
      <c r="AX329" s="802">
        <v>0</v>
      </c>
      <c r="AY329" s="802">
        <v>0</v>
      </c>
      <c r="AZ329" s="802">
        <v>0</v>
      </c>
      <c r="BA329" s="573"/>
      <c r="BB329" s="573"/>
      <c r="BC329" s="573"/>
      <c r="BD329" s="573"/>
      <c r="BE329" s="573"/>
      <c r="BF329" s="573"/>
      <c r="BG329" s="573"/>
      <c r="BH329" s="55"/>
      <c r="BI329" s="92"/>
      <c r="BJ329" s="92"/>
      <c r="BK329" s="92"/>
      <c r="BL329" s="92"/>
      <c r="BM329" s="92"/>
      <c r="BN329" s="92"/>
      <c r="BO329" s="171"/>
      <c r="BP329" s="798">
        <v>0</v>
      </c>
      <c r="BQ329" s="656">
        <v>0</v>
      </c>
      <c r="BR329" s="656">
        <v>0</v>
      </c>
      <c r="BS329" s="656">
        <v>0</v>
      </c>
      <c r="BT329" s="656"/>
      <c r="BU329" s="774"/>
      <c r="BV329" s="182"/>
      <c r="BW329" s="182"/>
      <c r="BX329" s="182"/>
      <c r="BY329" s="182"/>
      <c r="BZ329" s="182"/>
      <c r="CC329" s="87"/>
      <c r="CD329" s="87"/>
      <c r="DS329" s="182"/>
    </row>
    <row r="330" spans="1:123" s="70" customFormat="1" hidden="1" outlineLevel="1">
      <c r="A330" s="176"/>
      <c r="B330" s="186" t="s">
        <v>370</v>
      </c>
      <c r="C330" s="69"/>
      <c r="D330" s="69"/>
      <c r="E330" s="69"/>
      <c r="F330" s="69"/>
      <c r="H330" s="630"/>
      <c r="I330" s="630"/>
      <c r="J330" s="630"/>
      <c r="K330" s="630"/>
      <c r="L330" s="630"/>
      <c r="M330" s="86"/>
      <c r="N330" s="86"/>
      <c r="O330" s="86"/>
      <c r="P330" s="86"/>
      <c r="Q330" s="86"/>
      <c r="R330" s="86"/>
      <c r="S330" s="86"/>
      <c r="T330" s="86"/>
      <c r="U330" s="86"/>
      <c r="V330" s="86"/>
      <c r="W330" s="86"/>
      <c r="X330" s="86"/>
      <c r="Y330" s="177"/>
      <c r="Z330" s="168"/>
      <c r="AA330" s="168"/>
      <c r="AB330" s="177"/>
      <c r="AC330" s="183"/>
      <c r="AD330" s="809"/>
      <c r="AE330" s="809"/>
      <c r="AF330" s="168"/>
      <c r="AG330" s="809"/>
      <c r="AH330" s="168"/>
      <c r="AI330" s="802">
        <v>0</v>
      </c>
      <c r="AJ330" s="168"/>
      <c r="AK330" s="802">
        <v>0</v>
      </c>
      <c r="AL330" s="802"/>
      <c r="AM330" s="802">
        <v>0</v>
      </c>
      <c r="AN330" s="802"/>
      <c r="AO330" s="802">
        <v>0</v>
      </c>
      <c r="AP330" s="813"/>
      <c r="AQ330" s="802">
        <v>0</v>
      </c>
      <c r="AR330" s="802">
        <v>0</v>
      </c>
      <c r="AS330" s="802">
        <v>0</v>
      </c>
      <c r="AT330" s="802">
        <v>0</v>
      </c>
      <c r="AU330" s="802">
        <v>0</v>
      </c>
      <c r="AV330" s="802">
        <v>0</v>
      </c>
      <c r="AW330" s="802">
        <v>0</v>
      </c>
      <c r="AX330" s="802">
        <v>0</v>
      </c>
      <c r="AY330" s="802">
        <v>0</v>
      </c>
      <c r="AZ330" s="802">
        <v>0</v>
      </c>
      <c r="BA330" s="573"/>
      <c r="BB330" s="573"/>
      <c r="BC330" s="573"/>
      <c r="BD330" s="573"/>
      <c r="BE330" s="573"/>
      <c r="BF330" s="573"/>
      <c r="BG330" s="573"/>
      <c r="BH330" s="55"/>
      <c r="BI330" s="92"/>
      <c r="BJ330" s="92"/>
      <c r="BK330" s="92"/>
      <c r="BL330" s="92"/>
      <c r="BM330" s="92"/>
      <c r="BN330" s="92"/>
      <c r="BO330" s="171"/>
      <c r="BP330" s="798">
        <v>-2.5999999999999999E-2</v>
      </c>
      <c r="BQ330" s="656">
        <v>-5.0000000000000001E-3</v>
      </c>
      <c r="BR330" s="656">
        <v>-5.0000000000000001E-3</v>
      </c>
      <c r="BS330" s="656">
        <v>-5.0000000000000001E-3</v>
      </c>
      <c r="BT330" s="656"/>
      <c r="BU330" s="774"/>
      <c r="BV330" s="182"/>
      <c r="BW330" s="182"/>
      <c r="BX330" s="182"/>
      <c r="BY330" s="182"/>
      <c r="BZ330" s="182"/>
      <c r="CC330" s="87"/>
      <c r="CD330" s="87"/>
      <c r="DS330" s="182"/>
    </row>
    <row r="331" spans="1:123" s="70" customFormat="1" hidden="1" outlineLevel="1">
      <c r="A331" s="176"/>
      <c r="B331" s="186" t="s">
        <v>18</v>
      </c>
      <c r="C331" s="69"/>
      <c r="D331" s="69"/>
      <c r="E331" s="69"/>
      <c r="F331" s="69"/>
      <c r="H331" s="630"/>
      <c r="I331" s="630"/>
      <c r="J331" s="630"/>
      <c r="K331" s="630"/>
      <c r="L331" s="630"/>
      <c r="M331" s="86"/>
      <c r="N331" s="86"/>
      <c r="O331" s="86"/>
      <c r="P331" s="86"/>
      <c r="Q331" s="86"/>
      <c r="R331" s="86"/>
      <c r="S331" s="86"/>
      <c r="T331" s="86"/>
      <c r="U331" s="86"/>
      <c r="V331" s="86"/>
      <c r="W331" s="86"/>
      <c r="X331" s="86"/>
      <c r="Y331" s="177"/>
      <c r="Z331" s="168"/>
      <c r="AA331" s="168"/>
      <c r="AB331" s="177"/>
      <c r="AC331" s="183"/>
      <c r="AD331" s="809"/>
      <c r="AE331" s="809"/>
      <c r="AF331" s="168"/>
      <c r="AG331" s="809"/>
      <c r="AH331" s="168"/>
      <c r="AI331" s="802">
        <v>0</v>
      </c>
      <c r="AJ331" s="168"/>
      <c r="AK331" s="802">
        <v>0</v>
      </c>
      <c r="AL331" s="802"/>
      <c r="AM331" s="802">
        <v>0</v>
      </c>
      <c r="AN331" s="802"/>
      <c r="AO331" s="802">
        <v>0</v>
      </c>
      <c r="AP331" s="813"/>
      <c r="AQ331" s="802">
        <v>0</v>
      </c>
      <c r="AR331" s="802">
        <v>0</v>
      </c>
      <c r="AS331" s="802">
        <v>0</v>
      </c>
      <c r="AT331" s="802">
        <v>0</v>
      </c>
      <c r="AU331" s="802">
        <v>0</v>
      </c>
      <c r="AV331" s="802">
        <v>0</v>
      </c>
      <c r="AW331" s="802">
        <v>0</v>
      </c>
      <c r="AX331" s="802">
        <v>0</v>
      </c>
      <c r="AY331" s="802">
        <v>0</v>
      </c>
      <c r="AZ331" s="802">
        <v>0</v>
      </c>
      <c r="BA331" s="573"/>
      <c r="BB331" s="573"/>
      <c r="BC331" s="573"/>
      <c r="BD331" s="573"/>
      <c r="BE331" s="573"/>
      <c r="BF331" s="573"/>
      <c r="BG331" s="573"/>
      <c r="BH331" s="55"/>
      <c r="BI331" s="92"/>
      <c r="BJ331" s="92"/>
      <c r="BK331" s="92"/>
      <c r="BL331" s="92"/>
      <c r="BM331" s="92"/>
      <c r="BN331" s="92"/>
      <c r="BO331" s="171"/>
      <c r="BP331" s="810">
        <f>BP332-SUM(BP327:BP330)</f>
        <v>-1.6000000000000014E-2</v>
      </c>
      <c r="BQ331" s="818">
        <f>BQ332-SUM(BQ327:BQ330)</f>
        <v>0</v>
      </c>
      <c r="BR331" s="818">
        <f>BR332-SUM(BR327:BR330)</f>
        <v>-0.27600000000000002</v>
      </c>
      <c r="BS331" s="818">
        <f>BS332-SUM(BS327:BS330)</f>
        <v>-0.27600000000000002</v>
      </c>
      <c r="BT331" s="818"/>
      <c r="BU331" s="819"/>
      <c r="BV331" s="182"/>
      <c r="BW331" s="182"/>
      <c r="BX331" s="182"/>
      <c r="BY331" s="182"/>
      <c r="BZ331" s="182"/>
      <c r="CC331" s="87"/>
      <c r="CD331" s="87"/>
      <c r="DS331" s="182"/>
    </row>
    <row r="332" spans="1:123" s="75" customFormat="1" hidden="1" outlineLevel="1">
      <c r="A332" s="176"/>
      <c r="B332" s="185" t="s">
        <v>375</v>
      </c>
      <c r="C332" s="74"/>
      <c r="D332" s="74"/>
      <c r="E332" s="74"/>
      <c r="F332" s="74"/>
      <c r="H332" s="814"/>
      <c r="I332" s="814"/>
      <c r="J332" s="814"/>
      <c r="K332" s="814"/>
      <c r="L332" s="814"/>
      <c r="M332" s="86"/>
      <c r="N332" s="86"/>
      <c r="O332" s="86"/>
      <c r="P332" s="86"/>
      <c r="Q332" s="86"/>
      <c r="R332" s="86"/>
      <c r="S332" s="86"/>
      <c r="T332" s="86"/>
      <c r="U332" s="86"/>
      <c r="V332" s="86"/>
      <c r="W332" s="86"/>
      <c r="X332" s="86"/>
      <c r="Y332" s="177"/>
      <c r="Z332" s="200"/>
      <c r="AA332" s="200"/>
      <c r="AB332" s="177"/>
      <c r="AC332" s="183"/>
      <c r="AD332" s="815"/>
      <c r="AE332" s="815"/>
      <c r="AF332" s="200"/>
      <c r="AG332" s="815"/>
      <c r="AH332" s="200"/>
      <c r="AI332" s="816">
        <f>SUM(AI327:AI331)</f>
        <v>1.8639999999999999</v>
      </c>
      <c r="AJ332" s="200"/>
      <c r="AK332" s="816">
        <f>SUM(AK327:AK331)</f>
        <v>1.9199499999999998</v>
      </c>
      <c r="AL332" s="816"/>
      <c r="AM332" s="816">
        <f>SUM(AM327:AM331)</f>
        <v>0</v>
      </c>
      <c r="AN332" s="816"/>
      <c r="AO332" s="816">
        <f>SUM(AO327:AO331)</f>
        <v>0</v>
      </c>
      <c r="AP332" s="817"/>
      <c r="AQ332" s="816">
        <f t="shared" ref="AQ332:AZ332" si="470">SUM(AQ327:AQ331)</f>
        <v>0</v>
      </c>
      <c r="AR332" s="816">
        <f t="shared" si="470"/>
        <v>0</v>
      </c>
      <c r="AS332" s="816">
        <f t="shared" si="470"/>
        <v>0</v>
      </c>
      <c r="AT332" s="816">
        <f t="shared" si="470"/>
        <v>0</v>
      </c>
      <c r="AU332" s="816">
        <f t="shared" si="470"/>
        <v>0</v>
      </c>
      <c r="AV332" s="816">
        <f t="shared" si="470"/>
        <v>0</v>
      </c>
      <c r="AW332" s="816">
        <f t="shared" si="470"/>
        <v>0</v>
      </c>
      <c r="AX332" s="816">
        <f t="shared" si="470"/>
        <v>0</v>
      </c>
      <c r="AY332" s="816">
        <f t="shared" si="470"/>
        <v>0</v>
      </c>
      <c r="AZ332" s="816">
        <f t="shared" si="470"/>
        <v>0</v>
      </c>
      <c r="BA332" s="598"/>
      <c r="BB332" s="598"/>
      <c r="BC332" s="598"/>
      <c r="BD332" s="598"/>
      <c r="BE332" s="598"/>
      <c r="BF332" s="598"/>
      <c r="BG332" s="598"/>
      <c r="BH332" s="92"/>
      <c r="BI332" s="92"/>
      <c r="BJ332" s="92"/>
      <c r="BK332" s="92"/>
      <c r="BL332" s="92"/>
      <c r="BM332" s="92"/>
      <c r="BN332" s="92"/>
      <c r="BO332" s="207"/>
      <c r="BP332" s="820">
        <v>1.42</v>
      </c>
      <c r="BQ332" s="665">
        <v>1.696</v>
      </c>
      <c r="BR332" s="665">
        <v>1.696</v>
      </c>
      <c r="BS332" s="665">
        <v>1.696</v>
      </c>
      <c r="BT332" s="665"/>
      <c r="BU332" s="821"/>
      <c r="BV332" s="182"/>
      <c r="BW332" s="182"/>
      <c r="BX332" s="182"/>
      <c r="BY332" s="182"/>
      <c r="BZ332" s="182"/>
      <c r="CC332" s="87"/>
      <c r="CD332" s="87"/>
      <c r="DS332" s="182"/>
    </row>
    <row r="333" spans="1:123" s="70" customFormat="1" hidden="1" outlineLevel="1">
      <c r="A333" s="176"/>
      <c r="B333" s="186" t="s">
        <v>426</v>
      </c>
      <c r="C333" s="69"/>
      <c r="D333" s="69"/>
      <c r="E333" s="69"/>
      <c r="F333" s="69"/>
      <c r="H333" s="630"/>
      <c r="I333" s="630"/>
      <c r="J333" s="630"/>
      <c r="K333" s="630"/>
      <c r="L333" s="630"/>
      <c r="M333" s="86"/>
      <c r="N333" s="86"/>
      <c r="O333" s="86"/>
      <c r="P333" s="86"/>
      <c r="Q333" s="86"/>
      <c r="R333" s="86"/>
      <c r="S333" s="86"/>
      <c r="T333" s="86"/>
      <c r="U333" s="86"/>
      <c r="V333" s="86"/>
      <c r="W333" s="86"/>
      <c r="X333" s="86"/>
      <c r="Y333" s="177"/>
      <c r="Z333" s="168"/>
      <c r="AA333" s="168"/>
      <c r="AB333" s="177"/>
      <c r="AC333" s="183"/>
      <c r="AD333" s="809"/>
      <c r="AE333" s="809"/>
      <c r="AF333" s="168"/>
      <c r="AG333" s="809"/>
      <c r="AH333" s="168"/>
      <c r="AI333" s="802">
        <v>7.4999999999999997E-2</v>
      </c>
      <c r="AJ333" s="168"/>
      <c r="AK333" s="802">
        <v>7.4999999999999997E-2</v>
      </c>
      <c r="AL333" s="802"/>
      <c r="AM333" s="802">
        <v>7.4999999999999997E-2</v>
      </c>
      <c r="AN333" s="802"/>
      <c r="AO333" s="802">
        <v>7.4999999999999997E-2</v>
      </c>
      <c r="AP333" s="813"/>
      <c r="AQ333" s="802">
        <v>7.4999999999999997E-2</v>
      </c>
      <c r="AR333" s="802">
        <v>7.4999999999999997E-2</v>
      </c>
      <c r="AS333" s="802">
        <v>7.4999999999999997E-2</v>
      </c>
      <c r="AT333" s="802">
        <v>7.4999999999999997E-2</v>
      </c>
      <c r="AU333" s="802">
        <v>7.4999999999999997E-2</v>
      </c>
      <c r="AV333" s="802">
        <v>7.4999999999999997E-2</v>
      </c>
      <c r="AW333" s="802">
        <v>7.4999999999999997E-2</v>
      </c>
      <c r="AX333" s="802">
        <v>7.4999999999999997E-2</v>
      </c>
      <c r="AY333" s="802">
        <v>7.4999999999999997E-2</v>
      </c>
      <c r="AZ333" s="802">
        <v>7.4999999999999997E-2</v>
      </c>
      <c r="BA333" s="573"/>
      <c r="BB333" s="573"/>
      <c r="BC333" s="573"/>
      <c r="BD333" s="573"/>
      <c r="BE333" s="573"/>
      <c r="BF333" s="573"/>
      <c r="BG333" s="573"/>
      <c r="BH333" s="55"/>
      <c r="BI333" s="92"/>
      <c r="BJ333" s="92"/>
      <c r="BK333" s="92"/>
      <c r="BL333" s="92"/>
      <c r="BM333" s="92"/>
      <c r="BN333" s="92"/>
      <c r="BO333" s="171"/>
      <c r="BP333" s="761">
        <f>BP328/BP320</f>
        <v>0.15522388059701492</v>
      </c>
      <c r="BQ333" s="761">
        <f>BQ328/BQ320</f>
        <v>0.15050883770755225</v>
      </c>
      <c r="BR333" s="761">
        <f>BR328/BR320</f>
        <v>0.1254464285714286</v>
      </c>
      <c r="BS333" s="761">
        <f>BS328/BS320</f>
        <v>0.10753922694221205</v>
      </c>
      <c r="BT333" s="761"/>
      <c r="BU333" s="799"/>
      <c r="BV333" s="182"/>
      <c r="BW333" s="182"/>
      <c r="BX333" s="182"/>
      <c r="BY333" s="182"/>
      <c r="BZ333" s="182"/>
      <c r="CC333" s="87"/>
      <c r="CD333" s="87"/>
      <c r="DS333" s="182"/>
    </row>
    <row r="334" spans="1:123" s="70" customFormat="1" hidden="1" outlineLevel="1">
      <c r="A334" s="176"/>
      <c r="B334" s="185"/>
      <c r="C334" s="69"/>
      <c r="D334" s="69"/>
      <c r="E334" s="69"/>
      <c r="F334" s="69"/>
      <c r="H334" s="630"/>
      <c r="I334" s="630"/>
      <c r="J334" s="630"/>
      <c r="K334" s="630"/>
      <c r="L334" s="630"/>
      <c r="M334" s="86"/>
      <c r="N334" s="86"/>
      <c r="O334" s="86"/>
      <c r="P334" s="86"/>
      <c r="Q334" s="86"/>
      <c r="R334" s="86"/>
      <c r="S334" s="86"/>
      <c r="T334" s="86"/>
      <c r="U334" s="86"/>
      <c r="V334" s="86"/>
      <c r="W334" s="86"/>
      <c r="X334" s="86"/>
      <c r="Y334" s="177"/>
      <c r="Z334" s="168"/>
      <c r="AA334" s="168"/>
      <c r="AB334" s="177"/>
      <c r="AC334" s="183"/>
      <c r="AD334" s="809"/>
      <c r="AE334" s="809"/>
      <c r="AF334" s="168"/>
      <c r="AG334" s="809"/>
      <c r="AH334" s="168"/>
      <c r="AI334" s="810"/>
      <c r="AJ334" s="168"/>
      <c r="AK334" s="810"/>
      <c r="AL334" s="810"/>
      <c r="AM334" s="810"/>
      <c r="AN334" s="810"/>
      <c r="AO334" s="810"/>
      <c r="AP334" s="811"/>
      <c r="AQ334" s="810"/>
      <c r="AR334" s="810"/>
      <c r="AS334" s="810"/>
      <c r="AT334" s="810"/>
      <c r="AU334" s="810"/>
      <c r="AV334" s="810"/>
      <c r="AW334" s="810"/>
      <c r="AX334" s="810"/>
      <c r="AY334" s="810"/>
      <c r="AZ334" s="810"/>
      <c r="BA334" s="573"/>
      <c r="BB334" s="573"/>
      <c r="BC334" s="573"/>
      <c r="BD334" s="573"/>
      <c r="BE334" s="573"/>
      <c r="BF334" s="573"/>
      <c r="BG334" s="573"/>
      <c r="BH334" s="55"/>
      <c r="BI334" s="92"/>
      <c r="BJ334" s="92"/>
      <c r="BK334" s="92"/>
      <c r="BL334" s="92"/>
      <c r="BM334" s="92"/>
      <c r="BN334" s="92"/>
      <c r="BO334" s="171"/>
      <c r="BP334" s="820"/>
      <c r="BQ334" s="665"/>
      <c r="BR334" s="665"/>
      <c r="BS334" s="665"/>
      <c r="BT334" s="665"/>
      <c r="BU334" s="821"/>
      <c r="BV334" s="182"/>
      <c r="BW334" s="182"/>
      <c r="BX334" s="182"/>
      <c r="BY334" s="182"/>
      <c r="BZ334" s="182"/>
      <c r="CC334" s="87"/>
      <c r="CD334" s="87"/>
      <c r="DS334" s="182"/>
    </row>
    <row r="335" spans="1:123" s="75" customFormat="1" hidden="1" outlineLevel="1">
      <c r="A335" s="176"/>
      <c r="B335" s="185" t="s">
        <v>376</v>
      </c>
      <c r="C335" s="74"/>
      <c r="D335" s="74"/>
      <c r="E335" s="74"/>
      <c r="F335" s="74"/>
      <c r="H335" s="814"/>
      <c r="I335" s="814"/>
      <c r="J335" s="814"/>
      <c r="K335" s="814"/>
      <c r="L335" s="814"/>
      <c r="M335" s="86"/>
      <c r="N335" s="86"/>
      <c r="O335" s="86"/>
      <c r="P335" s="86"/>
      <c r="Q335" s="86"/>
      <c r="R335" s="86"/>
      <c r="S335" s="86"/>
      <c r="T335" s="86"/>
      <c r="U335" s="86"/>
      <c r="V335" s="86"/>
      <c r="W335" s="86"/>
      <c r="X335" s="86"/>
      <c r="Y335" s="177"/>
      <c r="Z335" s="200"/>
      <c r="AA335" s="200"/>
      <c r="AB335" s="177"/>
      <c r="AC335" s="183"/>
      <c r="AD335" s="815"/>
      <c r="AE335" s="815"/>
      <c r="AF335" s="200"/>
      <c r="AG335" s="815"/>
      <c r="AH335" s="200"/>
      <c r="AI335" s="816">
        <f>BQ336</f>
        <v>0.54399999999999982</v>
      </c>
      <c r="AJ335" s="200"/>
      <c r="AK335" s="816">
        <f>BS336</f>
        <v>1.2899999999999994</v>
      </c>
      <c r="AL335" s="816"/>
      <c r="AM335" s="816">
        <f>BU336</f>
        <v>0</v>
      </c>
      <c r="AN335" s="816"/>
      <c r="AO335" s="816">
        <f>BW336</f>
        <v>0</v>
      </c>
      <c r="AP335" s="817"/>
      <c r="AQ335" s="816">
        <f t="shared" ref="AQ335:AZ335" si="471">AP336</f>
        <v>0</v>
      </c>
      <c r="AR335" s="816">
        <f t="shared" si="471"/>
        <v>0</v>
      </c>
      <c r="AS335" s="816">
        <f t="shared" si="471"/>
        <v>0</v>
      </c>
      <c r="AT335" s="816">
        <f t="shared" si="471"/>
        <v>0</v>
      </c>
      <c r="AU335" s="816">
        <f t="shared" si="471"/>
        <v>0</v>
      </c>
      <c r="AV335" s="816">
        <f t="shared" si="471"/>
        <v>0</v>
      </c>
      <c r="AW335" s="816">
        <f t="shared" si="471"/>
        <v>0</v>
      </c>
      <c r="AX335" s="816">
        <f t="shared" si="471"/>
        <v>0</v>
      </c>
      <c r="AY335" s="816">
        <f t="shared" si="471"/>
        <v>0</v>
      </c>
      <c r="AZ335" s="816">
        <f t="shared" si="471"/>
        <v>0</v>
      </c>
      <c r="BA335" s="598"/>
      <c r="BB335" s="598"/>
      <c r="BC335" s="598"/>
      <c r="BD335" s="598"/>
      <c r="BE335" s="598"/>
      <c r="BF335" s="598"/>
      <c r="BG335" s="598"/>
      <c r="BH335" s="92"/>
      <c r="BI335" s="92"/>
      <c r="BJ335" s="92"/>
      <c r="BK335" s="92"/>
      <c r="BL335" s="92"/>
      <c r="BM335" s="92"/>
      <c r="BN335" s="92"/>
      <c r="BO335" s="207"/>
      <c r="BP335" s="820">
        <v>0.47299999999999998</v>
      </c>
      <c r="BQ335" s="667">
        <f>BP336</f>
        <v>0.44700000000000006</v>
      </c>
      <c r="BR335" s="667">
        <f>BQ336</f>
        <v>0.54399999999999982</v>
      </c>
      <c r="BS335" s="667">
        <f>BR336</f>
        <v>0.91699999999999959</v>
      </c>
      <c r="BT335" s="667"/>
      <c r="BU335" s="666"/>
      <c r="BV335" s="182"/>
      <c r="BW335" s="182"/>
      <c r="BX335" s="182"/>
      <c r="BY335" s="182"/>
      <c r="BZ335" s="182"/>
      <c r="CC335" s="87"/>
      <c r="CD335" s="87"/>
      <c r="DS335" s="182"/>
    </row>
    <row r="336" spans="1:123" s="75" customFormat="1" hidden="1" outlineLevel="1">
      <c r="A336" s="176"/>
      <c r="B336" s="185" t="s">
        <v>377</v>
      </c>
      <c r="C336" s="74"/>
      <c r="D336" s="74"/>
      <c r="E336" s="74"/>
      <c r="F336" s="74"/>
      <c r="H336" s="814"/>
      <c r="I336" s="814"/>
      <c r="J336" s="814"/>
      <c r="K336" s="814"/>
      <c r="L336" s="814"/>
      <c r="M336" s="86"/>
      <c r="N336" s="86"/>
      <c r="O336" s="86"/>
      <c r="P336" s="86"/>
      <c r="Q336" s="86"/>
      <c r="R336" s="86"/>
      <c r="S336" s="86"/>
      <c r="T336" s="86"/>
      <c r="U336" s="86"/>
      <c r="V336" s="86"/>
      <c r="W336" s="86"/>
      <c r="X336" s="86"/>
      <c r="Y336" s="177"/>
      <c r="Z336" s="200"/>
      <c r="AA336" s="200"/>
      <c r="AB336" s="177"/>
      <c r="AC336" s="183"/>
      <c r="AD336" s="815"/>
      <c r="AE336" s="815"/>
      <c r="AF336" s="200"/>
      <c r="AG336" s="815"/>
      <c r="AH336" s="200"/>
      <c r="AI336" s="816">
        <f>AI325-AI332</f>
        <v>0.54400000000000004</v>
      </c>
      <c r="AJ336" s="200"/>
      <c r="AK336" s="816">
        <f>AK325-AK332</f>
        <v>1.2899999999999994</v>
      </c>
      <c r="AL336" s="816"/>
      <c r="AM336" s="816">
        <f>AM325-AM332</f>
        <v>0</v>
      </c>
      <c r="AN336" s="816"/>
      <c r="AO336" s="816">
        <f>AO325-AO332</f>
        <v>0</v>
      </c>
      <c r="AP336" s="817"/>
      <c r="AQ336" s="816">
        <f t="shared" ref="AQ336:AZ336" si="472">AQ325-AQ332</f>
        <v>0</v>
      </c>
      <c r="AR336" s="816">
        <f t="shared" si="472"/>
        <v>0</v>
      </c>
      <c r="AS336" s="816">
        <f t="shared" si="472"/>
        <v>0</v>
      </c>
      <c r="AT336" s="816">
        <f t="shared" si="472"/>
        <v>0</v>
      </c>
      <c r="AU336" s="816">
        <f t="shared" si="472"/>
        <v>0</v>
      </c>
      <c r="AV336" s="816">
        <f t="shared" si="472"/>
        <v>0</v>
      </c>
      <c r="AW336" s="816">
        <f t="shared" si="472"/>
        <v>0</v>
      </c>
      <c r="AX336" s="816">
        <f t="shared" si="472"/>
        <v>0</v>
      </c>
      <c r="AY336" s="816">
        <f t="shared" si="472"/>
        <v>0</v>
      </c>
      <c r="AZ336" s="816">
        <f t="shared" si="472"/>
        <v>0</v>
      </c>
      <c r="BA336" s="598"/>
      <c r="BB336" s="598"/>
      <c r="BC336" s="598"/>
      <c r="BD336" s="598"/>
      <c r="BE336" s="598"/>
      <c r="BF336" s="598"/>
      <c r="BG336" s="598"/>
      <c r="BH336" s="92"/>
      <c r="BI336" s="92"/>
      <c r="BJ336" s="92"/>
      <c r="BK336" s="92"/>
      <c r="BL336" s="92"/>
      <c r="BM336" s="92"/>
      <c r="BN336" s="92"/>
      <c r="BO336" s="207"/>
      <c r="BP336" s="816">
        <f>BP325-BP332</f>
        <v>0.44700000000000006</v>
      </c>
      <c r="BQ336" s="822">
        <f>BQ325-BQ332</f>
        <v>0.54399999999999982</v>
      </c>
      <c r="BR336" s="822">
        <f>BR325-BR332</f>
        <v>0.91699999999999959</v>
      </c>
      <c r="BS336" s="822">
        <f>BS325-BS332</f>
        <v>1.2899999999999994</v>
      </c>
      <c r="BT336" s="822"/>
      <c r="BU336" s="823"/>
      <c r="BV336" s="182"/>
      <c r="BW336" s="182"/>
      <c r="BX336" s="182"/>
      <c r="BY336" s="182"/>
      <c r="BZ336" s="182"/>
      <c r="CC336" s="87"/>
      <c r="CD336" s="87"/>
      <c r="DS336" s="182"/>
    </row>
    <row r="337" spans="1:123" s="70" customFormat="1" hidden="1" outlineLevel="1">
      <c r="A337" s="176"/>
      <c r="B337" s="186"/>
      <c r="C337" s="69"/>
      <c r="D337" s="69"/>
      <c r="E337" s="69"/>
      <c r="F337" s="69"/>
      <c r="H337" s="630"/>
      <c r="I337" s="630"/>
      <c r="J337" s="630"/>
      <c r="K337" s="630"/>
      <c r="L337" s="630"/>
      <c r="M337" s="86"/>
      <c r="N337" s="86"/>
      <c r="O337" s="86"/>
      <c r="P337" s="86"/>
      <c r="Q337" s="86"/>
      <c r="R337" s="86"/>
      <c r="S337" s="86"/>
      <c r="T337" s="86"/>
      <c r="U337" s="86"/>
      <c r="V337" s="86"/>
      <c r="W337" s="86"/>
      <c r="X337" s="86"/>
      <c r="Y337" s="177"/>
      <c r="Z337" s="168"/>
      <c r="AA337" s="168"/>
      <c r="AB337" s="177"/>
      <c r="AC337" s="183"/>
      <c r="AD337" s="809"/>
      <c r="AE337" s="809"/>
      <c r="AF337" s="168"/>
      <c r="AG337" s="809"/>
      <c r="AH337" s="168"/>
      <c r="AI337" s="810"/>
      <c r="AJ337" s="168"/>
      <c r="AK337" s="663"/>
      <c r="AL337" s="663"/>
      <c r="AM337" s="663"/>
      <c r="AN337" s="663"/>
      <c r="AO337" s="663"/>
      <c r="AP337" s="762"/>
      <c r="AQ337" s="663"/>
      <c r="AR337" s="663"/>
      <c r="AS337" s="663"/>
      <c r="AT337" s="663"/>
      <c r="AU337" s="663"/>
      <c r="AV337" s="663"/>
      <c r="AW337" s="663"/>
      <c r="AX337" s="663"/>
      <c r="AY337" s="663"/>
      <c r="AZ337" s="663"/>
      <c r="BA337" s="573"/>
      <c r="BB337" s="573"/>
      <c r="BC337" s="573"/>
      <c r="BD337" s="573"/>
      <c r="BE337" s="573"/>
      <c r="BF337" s="573"/>
      <c r="BG337" s="573"/>
      <c r="BH337" s="55"/>
      <c r="BI337" s="92"/>
      <c r="BJ337" s="92"/>
      <c r="BK337" s="92"/>
      <c r="BL337" s="92"/>
      <c r="BM337" s="92"/>
      <c r="BN337" s="92"/>
      <c r="BO337" s="171"/>
      <c r="BP337" s="810"/>
      <c r="BQ337" s="818"/>
      <c r="BR337" s="818"/>
      <c r="BS337" s="818"/>
      <c r="BT337" s="818"/>
      <c r="BU337" s="819"/>
      <c r="BV337" s="182"/>
      <c r="BW337" s="182"/>
      <c r="BX337" s="182"/>
      <c r="BY337" s="182"/>
      <c r="BZ337" s="182"/>
      <c r="CC337" s="87"/>
      <c r="CD337" s="87"/>
      <c r="DS337" s="182"/>
    </row>
    <row r="338" spans="1:123" s="70" customFormat="1" hidden="1" outlineLevel="1">
      <c r="A338" s="176"/>
      <c r="B338" s="250" t="s">
        <v>378</v>
      </c>
      <c r="C338" s="69"/>
      <c r="D338" s="69"/>
      <c r="E338" s="69"/>
      <c r="F338" s="69"/>
      <c r="H338" s="630"/>
      <c r="I338" s="630"/>
      <c r="J338" s="630"/>
      <c r="K338" s="630"/>
      <c r="L338" s="630"/>
      <c r="M338" s="86"/>
      <c r="N338" s="86"/>
      <c r="O338" s="86"/>
      <c r="P338" s="86"/>
      <c r="Q338" s="86"/>
      <c r="R338" s="86"/>
      <c r="S338" s="86"/>
      <c r="T338" s="86"/>
      <c r="U338" s="86"/>
      <c r="V338" s="86"/>
      <c r="W338" s="86"/>
      <c r="X338" s="86"/>
      <c r="Y338" s="177"/>
      <c r="Z338" s="168"/>
      <c r="AA338" s="168"/>
      <c r="AB338" s="177"/>
      <c r="AC338" s="183"/>
      <c r="AD338" s="809"/>
      <c r="AE338" s="809"/>
      <c r="AF338" s="168"/>
      <c r="AG338" s="809"/>
      <c r="AH338" s="168"/>
      <c r="AI338" s="810">
        <f>BQ343</f>
        <v>419.2410000000001</v>
      </c>
      <c r="AJ338" s="168"/>
      <c r="AK338" s="810">
        <f>BS343</f>
        <v>592.88100000000009</v>
      </c>
      <c r="AL338" s="810"/>
      <c r="AM338" s="810">
        <f>BU343</f>
        <v>0</v>
      </c>
      <c r="AN338" s="810"/>
      <c r="AO338" s="810">
        <f>BW343</f>
        <v>0</v>
      </c>
      <c r="AP338" s="811"/>
      <c r="AQ338" s="810">
        <f t="shared" ref="AQ338:AZ338" si="473">AP343</f>
        <v>0</v>
      </c>
      <c r="AR338" s="810">
        <f t="shared" si="473"/>
        <v>0</v>
      </c>
      <c r="AS338" s="810">
        <f t="shared" si="473"/>
        <v>0</v>
      </c>
      <c r="AT338" s="810">
        <f t="shared" si="473"/>
        <v>0</v>
      </c>
      <c r="AU338" s="810">
        <f t="shared" si="473"/>
        <v>0</v>
      </c>
      <c r="AV338" s="810">
        <f t="shared" si="473"/>
        <v>0</v>
      </c>
      <c r="AW338" s="810">
        <f t="shared" si="473"/>
        <v>0</v>
      </c>
      <c r="AX338" s="810">
        <f t="shared" si="473"/>
        <v>0</v>
      </c>
      <c r="AY338" s="810">
        <f t="shared" si="473"/>
        <v>0</v>
      </c>
      <c r="AZ338" s="810">
        <f t="shared" si="473"/>
        <v>0</v>
      </c>
      <c r="BA338" s="573"/>
      <c r="BB338" s="573"/>
      <c r="BC338" s="573"/>
      <c r="BD338" s="573"/>
      <c r="BE338" s="573"/>
      <c r="BF338" s="573"/>
      <c r="BG338" s="573"/>
      <c r="BH338" s="55"/>
      <c r="BI338" s="92"/>
      <c r="BJ338" s="92"/>
      <c r="BK338" s="92"/>
      <c r="BL338" s="92"/>
      <c r="BM338" s="92"/>
      <c r="BN338" s="92"/>
      <c r="BO338" s="171"/>
      <c r="BP338" s="798">
        <f>340910/1000</f>
        <v>340.91</v>
      </c>
      <c r="BQ338" s="658">
        <f>BP353</f>
        <v>329.42100000000005</v>
      </c>
      <c r="BR338" s="658">
        <f>BQ353</f>
        <v>416.2410000000001</v>
      </c>
      <c r="BS338" s="658">
        <f>BR353</f>
        <v>503.06100000000009</v>
      </c>
      <c r="BT338" s="658"/>
      <c r="BU338" s="657"/>
      <c r="BV338" s="182"/>
      <c r="BW338" s="182"/>
      <c r="BX338" s="182"/>
      <c r="BY338" s="182"/>
      <c r="BZ338" s="182"/>
      <c r="CC338" s="87"/>
      <c r="CD338" s="87"/>
      <c r="DS338" s="182"/>
    </row>
    <row r="339" spans="1:123" s="70" customFormat="1" hidden="1" outlineLevel="1">
      <c r="A339" s="176"/>
      <c r="B339" s="186" t="s">
        <v>367</v>
      </c>
      <c r="C339" s="69"/>
      <c r="D339" s="69"/>
      <c r="E339" s="69"/>
      <c r="F339" s="69"/>
      <c r="H339" s="630"/>
      <c r="I339" s="630"/>
      <c r="J339" s="630"/>
      <c r="K339" s="630"/>
      <c r="L339" s="630"/>
      <c r="M339" s="86"/>
      <c r="N339" s="86"/>
      <c r="O339" s="86"/>
      <c r="P339" s="86"/>
      <c r="Q339" s="86"/>
      <c r="R339" s="86"/>
      <c r="S339" s="86"/>
      <c r="T339" s="86"/>
      <c r="U339" s="86"/>
      <c r="V339" s="86"/>
      <c r="W339" s="86"/>
      <c r="X339" s="86"/>
      <c r="Y339" s="177"/>
      <c r="Z339" s="168"/>
      <c r="AA339" s="168"/>
      <c r="AB339" s="177"/>
      <c r="AC339" s="183"/>
      <c r="AD339" s="809"/>
      <c r="AE339" s="809"/>
      <c r="AF339" s="168"/>
      <c r="AG339" s="809"/>
      <c r="AH339" s="168"/>
      <c r="AI339" s="810"/>
      <c r="AJ339" s="168"/>
      <c r="AK339" s="663"/>
      <c r="AL339" s="663"/>
      <c r="AM339" s="663"/>
      <c r="AN339" s="663"/>
      <c r="AO339" s="663"/>
      <c r="AP339" s="762"/>
      <c r="AQ339" s="663"/>
      <c r="AR339" s="663"/>
      <c r="AS339" s="663"/>
      <c r="AT339" s="663"/>
      <c r="AU339" s="663"/>
      <c r="AV339" s="663"/>
      <c r="AW339" s="663"/>
      <c r="AX339" s="663"/>
      <c r="AY339" s="663"/>
      <c r="AZ339" s="663"/>
      <c r="BA339" s="573"/>
      <c r="BB339" s="573"/>
      <c r="BC339" s="573"/>
      <c r="BD339" s="573"/>
      <c r="BE339" s="573"/>
      <c r="BF339" s="573"/>
      <c r="BG339" s="573"/>
      <c r="BH339" s="55"/>
      <c r="BI339" s="92"/>
      <c r="BJ339" s="92"/>
      <c r="BK339" s="92"/>
      <c r="BL339" s="92"/>
      <c r="BM339" s="92"/>
      <c r="BN339" s="92"/>
      <c r="BO339" s="171"/>
      <c r="BP339" s="798">
        <v>1.323</v>
      </c>
      <c r="BQ339" s="656">
        <v>0</v>
      </c>
      <c r="BR339" s="656">
        <v>0</v>
      </c>
      <c r="BS339" s="656">
        <v>0</v>
      </c>
      <c r="BT339" s="656"/>
      <c r="BU339" s="774"/>
      <c r="BV339" s="182"/>
      <c r="BW339" s="182"/>
      <c r="BX339" s="182"/>
      <c r="BY339" s="182"/>
      <c r="BZ339" s="182"/>
      <c r="CC339" s="87"/>
      <c r="CD339" s="87"/>
      <c r="DS339" s="182"/>
    </row>
    <row r="340" spans="1:123" s="70" customFormat="1" hidden="1" outlineLevel="1">
      <c r="A340" s="176"/>
      <c r="B340" s="186" t="s">
        <v>368</v>
      </c>
      <c r="C340" s="69"/>
      <c r="D340" s="69"/>
      <c r="E340" s="69"/>
      <c r="F340" s="69"/>
      <c r="H340" s="630"/>
      <c r="I340" s="630"/>
      <c r="J340" s="630"/>
      <c r="K340" s="630"/>
      <c r="L340" s="630"/>
      <c r="M340" s="86"/>
      <c r="N340" s="86"/>
      <c r="O340" s="86"/>
      <c r="P340" s="86"/>
      <c r="Q340" s="86"/>
      <c r="R340" s="86"/>
      <c r="S340" s="86"/>
      <c r="T340" s="86"/>
      <c r="U340" s="86"/>
      <c r="V340" s="86"/>
      <c r="W340" s="86"/>
      <c r="X340" s="86"/>
      <c r="Y340" s="177"/>
      <c r="Z340" s="168"/>
      <c r="AA340" s="168"/>
      <c r="AB340" s="177"/>
      <c r="AC340" s="183"/>
      <c r="AD340" s="809"/>
      <c r="AE340" s="809"/>
      <c r="AF340" s="168"/>
      <c r="AG340" s="809"/>
      <c r="AH340" s="168"/>
      <c r="AI340" s="802">
        <v>0</v>
      </c>
      <c r="AJ340" s="168"/>
      <c r="AK340" s="802">
        <v>0</v>
      </c>
      <c r="AL340" s="802"/>
      <c r="AM340" s="802">
        <v>0</v>
      </c>
      <c r="AN340" s="802"/>
      <c r="AO340" s="802">
        <v>0</v>
      </c>
      <c r="AP340" s="813"/>
      <c r="AQ340" s="802">
        <v>0</v>
      </c>
      <c r="AR340" s="802">
        <v>0</v>
      </c>
      <c r="AS340" s="802">
        <v>0</v>
      </c>
      <c r="AT340" s="802">
        <v>0</v>
      </c>
      <c r="AU340" s="802">
        <v>0</v>
      </c>
      <c r="AV340" s="802">
        <v>0</v>
      </c>
      <c r="AW340" s="802">
        <v>0</v>
      </c>
      <c r="AX340" s="802">
        <v>0</v>
      </c>
      <c r="AY340" s="802">
        <v>0</v>
      </c>
      <c r="AZ340" s="802">
        <v>0</v>
      </c>
      <c r="BA340" s="573"/>
      <c r="BB340" s="573"/>
      <c r="BC340" s="573"/>
      <c r="BD340" s="573"/>
      <c r="BE340" s="573"/>
      <c r="BF340" s="573"/>
      <c r="BG340" s="573"/>
      <c r="BH340" s="55"/>
      <c r="BI340" s="92"/>
      <c r="BJ340" s="92"/>
      <c r="BK340" s="92"/>
      <c r="BL340" s="92"/>
      <c r="BM340" s="92"/>
      <c r="BN340" s="92"/>
      <c r="BO340" s="171"/>
      <c r="BP340" s="798">
        <v>6.218</v>
      </c>
      <c r="BQ340" s="656">
        <f>129786/1000</f>
        <v>129.786</v>
      </c>
      <c r="BR340" s="656">
        <f>129786/1000</f>
        <v>129.786</v>
      </c>
      <c r="BS340" s="656">
        <f>129786/1000</f>
        <v>129.786</v>
      </c>
      <c r="BT340" s="656"/>
      <c r="BU340" s="774"/>
      <c r="BV340" s="182"/>
      <c r="BW340" s="182"/>
      <c r="BX340" s="182"/>
      <c r="BY340" s="182"/>
      <c r="BZ340" s="182"/>
      <c r="CC340" s="87"/>
      <c r="CD340" s="87"/>
      <c r="DS340" s="182"/>
    </row>
    <row r="341" spans="1:123" s="70" customFormat="1" hidden="1" outlineLevel="1">
      <c r="A341" s="176"/>
      <c r="B341" s="186" t="s">
        <v>369</v>
      </c>
      <c r="C341" s="69"/>
      <c r="D341" s="69"/>
      <c r="E341" s="69"/>
      <c r="F341" s="69"/>
      <c r="H341" s="630"/>
      <c r="I341" s="630"/>
      <c r="J341" s="630"/>
      <c r="K341" s="630"/>
      <c r="L341" s="630"/>
      <c r="M341" s="86"/>
      <c r="N341" s="86"/>
      <c r="O341" s="86"/>
      <c r="P341" s="86"/>
      <c r="Q341" s="86"/>
      <c r="R341" s="86"/>
      <c r="S341" s="86"/>
      <c r="T341" s="86"/>
      <c r="U341" s="86"/>
      <c r="V341" s="86"/>
      <c r="W341" s="86"/>
      <c r="X341" s="86"/>
      <c r="Y341" s="177"/>
      <c r="Z341" s="168"/>
      <c r="AA341" s="168"/>
      <c r="AB341" s="177"/>
      <c r="AC341" s="183"/>
      <c r="AD341" s="809"/>
      <c r="AE341" s="809"/>
      <c r="AF341" s="168"/>
      <c r="AG341" s="809"/>
      <c r="AH341" s="168"/>
      <c r="AI341" s="802">
        <v>0</v>
      </c>
      <c r="AJ341" s="168"/>
      <c r="AK341" s="802">
        <v>0</v>
      </c>
      <c r="AL341" s="802"/>
      <c r="AM341" s="802">
        <v>0</v>
      </c>
      <c r="AN341" s="802"/>
      <c r="AO341" s="802">
        <v>0</v>
      </c>
      <c r="AP341" s="813"/>
      <c r="AQ341" s="802">
        <v>0</v>
      </c>
      <c r="AR341" s="802">
        <v>0</v>
      </c>
      <c r="AS341" s="802">
        <v>0</v>
      </c>
      <c r="AT341" s="802">
        <v>0</v>
      </c>
      <c r="AU341" s="802">
        <v>0</v>
      </c>
      <c r="AV341" s="802">
        <v>0</v>
      </c>
      <c r="AW341" s="802">
        <v>0</v>
      </c>
      <c r="AX341" s="802">
        <v>0</v>
      </c>
      <c r="AY341" s="802">
        <v>0</v>
      </c>
      <c r="AZ341" s="802">
        <v>0</v>
      </c>
      <c r="BA341" s="573"/>
      <c r="BB341" s="573"/>
      <c r="BC341" s="573"/>
      <c r="BD341" s="573"/>
      <c r="BE341" s="573"/>
      <c r="BF341" s="573"/>
      <c r="BG341" s="573"/>
      <c r="BH341" s="55"/>
      <c r="BI341" s="92"/>
      <c r="BJ341" s="92"/>
      <c r="BK341" s="92"/>
      <c r="BL341" s="92"/>
      <c r="BM341" s="92"/>
      <c r="BN341" s="92"/>
      <c r="BO341" s="171"/>
      <c r="BP341" s="798">
        <v>-11.496</v>
      </c>
      <c r="BQ341" s="656">
        <f>-39573/1000</f>
        <v>-39.573</v>
      </c>
      <c r="BR341" s="656">
        <f>-39573/1000</f>
        <v>-39.573</v>
      </c>
      <c r="BS341" s="656">
        <f>-39573/1000</f>
        <v>-39.573</v>
      </c>
      <c r="BT341" s="656"/>
      <c r="BU341" s="774"/>
      <c r="BV341" s="182"/>
      <c r="BW341" s="182"/>
      <c r="BX341" s="182"/>
      <c r="BY341" s="182"/>
      <c r="BZ341" s="182"/>
      <c r="CC341" s="87"/>
      <c r="CD341" s="87"/>
      <c r="DS341" s="182"/>
    </row>
    <row r="342" spans="1:123" s="70" customFormat="1" hidden="1" outlineLevel="1">
      <c r="A342" s="176"/>
      <c r="B342" s="186" t="s">
        <v>370</v>
      </c>
      <c r="C342" s="69"/>
      <c r="D342" s="69"/>
      <c r="E342" s="69"/>
      <c r="F342" s="69"/>
      <c r="H342" s="630"/>
      <c r="I342" s="630"/>
      <c r="J342" s="630"/>
      <c r="K342" s="630"/>
      <c r="L342" s="630"/>
      <c r="M342" s="86"/>
      <c r="N342" s="86"/>
      <c r="O342" s="86"/>
      <c r="P342" s="86"/>
      <c r="Q342" s="86"/>
      <c r="R342" s="86"/>
      <c r="S342" s="86"/>
      <c r="T342" s="86"/>
      <c r="U342" s="86"/>
      <c r="V342" s="86"/>
      <c r="W342" s="86"/>
      <c r="X342" s="86"/>
      <c r="Y342" s="177"/>
      <c r="Z342" s="168"/>
      <c r="AA342" s="168"/>
      <c r="AB342" s="177"/>
      <c r="AC342" s="183"/>
      <c r="AD342" s="809"/>
      <c r="AE342" s="809"/>
      <c r="AF342" s="168"/>
      <c r="AG342" s="809"/>
      <c r="AH342" s="168"/>
      <c r="AI342" s="802">
        <v>0</v>
      </c>
      <c r="AJ342" s="168"/>
      <c r="AK342" s="802">
        <v>0</v>
      </c>
      <c r="AL342" s="802"/>
      <c r="AM342" s="802">
        <v>0</v>
      </c>
      <c r="AN342" s="802"/>
      <c r="AO342" s="802">
        <v>0</v>
      </c>
      <c r="AP342" s="813"/>
      <c r="AQ342" s="802">
        <v>0</v>
      </c>
      <c r="AR342" s="802">
        <v>0</v>
      </c>
      <c r="AS342" s="802">
        <v>0</v>
      </c>
      <c r="AT342" s="802">
        <v>0</v>
      </c>
      <c r="AU342" s="802">
        <v>0</v>
      </c>
      <c r="AV342" s="802">
        <v>0</v>
      </c>
      <c r="AW342" s="802">
        <v>0</v>
      </c>
      <c r="AX342" s="802">
        <v>0</v>
      </c>
      <c r="AY342" s="802">
        <v>0</v>
      </c>
      <c r="AZ342" s="802">
        <v>0</v>
      </c>
      <c r="BA342" s="573"/>
      <c r="BB342" s="573"/>
      <c r="BC342" s="573"/>
      <c r="BD342" s="573"/>
      <c r="BE342" s="573"/>
      <c r="BF342" s="573"/>
      <c r="BG342" s="573"/>
      <c r="BH342" s="55"/>
      <c r="BI342" s="92"/>
      <c r="BJ342" s="92"/>
      <c r="BK342" s="92"/>
      <c r="BL342" s="92"/>
      <c r="BM342" s="92"/>
      <c r="BN342" s="92"/>
      <c r="BO342" s="171"/>
      <c r="BP342" s="798">
        <v>-2.085</v>
      </c>
      <c r="BQ342" s="656">
        <f>-393/1000</f>
        <v>-0.39300000000000002</v>
      </c>
      <c r="BR342" s="656">
        <f>-393/1000</f>
        <v>-0.39300000000000002</v>
      </c>
      <c r="BS342" s="656">
        <f>-393/1000</f>
        <v>-0.39300000000000002</v>
      </c>
      <c r="BT342" s="656"/>
      <c r="BU342" s="774"/>
      <c r="BV342" s="182"/>
      <c r="BW342" s="182"/>
      <c r="BX342" s="182"/>
      <c r="BY342" s="182"/>
      <c r="BZ342" s="182"/>
      <c r="CC342" s="87"/>
      <c r="CD342" s="87"/>
      <c r="DS342" s="182"/>
    </row>
    <row r="343" spans="1:123" s="70" customFormat="1" hidden="1" outlineLevel="1">
      <c r="A343" s="176"/>
      <c r="B343" s="186" t="s">
        <v>371</v>
      </c>
      <c r="C343" s="69"/>
      <c r="D343" s="69"/>
      <c r="E343" s="69"/>
      <c r="F343" s="69"/>
      <c r="H343" s="630"/>
      <c r="I343" s="630"/>
      <c r="J343" s="630"/>
      <c r="K343" s="630"/>
      <c r="L343" s="630"/>
      <c r="M343" s="86"/>
      <c r="N343" s="86"/>
      <c r="O343" s="86"/>
      <c r="P343" s="86"/>
      <c r="Q343" s="86"/>
      <c r="R343" s="86"/>
      <c r="S343" s="86"/>
      <c r="T343" s="86"/>
      <c r="U343" s="86"/>
      <c r="V343" s="86"/>
      <c r="W343" s="86"/>
      <c r="X343" s="86"/>
      <c r="Y343" s="177"/>
      <c r="Z343" s="168"/>
      <c r="AA343" s="168"/>
      <c r="AB343" s="177"/>
      <c r="AC343" s="183"/>
      <c r="AD343" s="809"/>
      <c r="AE343" s="809"/>
      <c r="AF343" s="168"/>
      <c r="AG343" s="809"/>
      <c r="AH343" s="168"/>
      <c r="AI343" s="810">
        <f>SUM(AI338:AI342)</f>
        <v>419.2410000000001</v>
      </c>
      <c r="AJ343" s="168"/>
      <c r="AK343" s="810">
        <f>SUM(AK338:AK342)</f>
        <v>592.88100000000009</v>
      </c>
      <c r="AL343" s="810"/>
      <c r="AM343" s="810">
        <f>SUM(AM338:AM342)</f>
        <v>0</v>
      </c>
      <c r="AN343" s="810"/>
      <c r="AO343" s="810">
        <f>SUM(AO338:AO342)</f>
        <v>0</v>
      </c>
      <c r="AP343" s="811"/>
      <c r="AQ343" s="810">
        <f t="shared" ref="AQ343:AZ343" si="474">SUM(AQ338:AQ342)</f>
        <v>0</v>
      </c>
      <c r="AR343" s="810">
        <f t="shared" si="474"/>
        <v>0</v>
      </c>
      <c r="AS343" s="810">
        <f t="shared" si="474"/>
        <v>0</v>
      </c>
      <c r="AT343" s="810">
        <f t="shared" si="474"/>
        <v>0</v>
      </c>
      <c r="AU343" s="810">
        <f t="shared" si="474"/>
        <v>0</v>
      </c>
      <c r="AV343" s="810">
        <f t="shared" si="474"/>
        <v>0</v>
      </c>
      <c r="AW343" s="810">
        <f t="shared" si="474"/>
        <v>0</v>
      </c>
      <c r="AX343" s="810">
        <f t="shared" si="474"/>
        <v>0</v>
      </c>
      <c r="AY343" s="810">
        <f t="shared" si="474"/>
        <v>0</v>
      </c>
      <c r="AZ343" s="810">
        <f t="shared" si="474"/>
        <v>0</v>
      </c>
      <c r="BA343" s="573"/>
      <c r="BB343" s="573"/>
      <c r="BC343" s="573"/>
      <c r="BD343" s="573"/>
      <c r="BE343" s="573"/>
      <c r="BF343" s="573"/>
      <c r="BG343" s="573"/>
      <c r="BH343" s="55"/>
      <c r="BI343" s="92"/>
      <c r="BJ343" s="92"/>
      <c r="BK343" s="92"/>
      <c r="BL343" s="92"/>
      <c r="BM343" s="92"/>
      <c r="BN343" s="92"/>
      <c r="BO343" s="171"/>
      <c r="BP343" s="816">
        <f>SUM(BP338:BP342)</f>
        <v>334.87000000000006</v>
      </c>
      <c r="BQ343" s="822">
        <f>SUM(BQ338:BQ342)</f>
        <v>419.2410000000001</v>
      </c>
      <c r="BR343" s="822">
        <f>SUM(BR338:BR342)</f>
        <v>506.06100000000009</v>
      </c>
      <c r="BS343" s="822">
        <f>SUM(BS338:BS342)</f>
        <v>592.88100000000009</v>
      </c>
      <c r="BT343" s="822"/>
      <c r="BU343" s="823"/>
      <c r="BV343" s="182"/>
      <c r="BW343" s="182"/>
      <c r="BX343" s="182"/>
      <c r="BY343" s="182"/>
      <c r="BZ343" s="182"/>
      <c r="CC343" s="87"/>
      <c r="CD343" s="87"/>
      <c r="DS343" s="182"/>
    </row>
    <row r="344" spans="1:123" s="70" customFormat="1" hidden="1" outlineLevel="1">
      <c r="A344" s="176"/>
      <c r="B344" s="186"/>
      <c r="C344" s="69"/>
      <c r="D344" s="69"/>
      <c r="E344" s="69"/>
      <c r="F344" s="69"/>
      <c r="H344" s="630"/>
      <c r="I344" s="630"/>
      <c r="J344" s="630"/>
      <c r="K344" s="630"/>
      <c r="L344" s="630"/>
      <c r="M344" s="86"/>
      <c r="N344" s="86"/>
      <c r="O344" s="86"/>
      <c r="P344" s="86"/>
      <c r="Q344" s="86"/>
      <c r="R344" s="86"/>
      <c r="S344" s="86"/>
      <c r="T344" s="86"/>
      <c r="U344" s="86"/>
      <c r="V344" s="86"/>
      <c r="W344" s="86"/>
      <c r="X344" s="86"/>
      <c r="Y344" s="177"/>
      <c r="Z344" s="168"/>
      <c r="AA344" s="168"/>
      <c r="AB344" s="177"/>
      <c r="AC344" s="183"/>
      <c r="AD344" s="809"/>
      <c r="AE344" s="809"/>
      <c r="AF344" s="168"/>
      <c r="AG344" s="809"/>
      <c r="AH344" s="168"/>
      <c r="AI344" s="810"/>
      <c r="AJ344" s="168"/>
      <c r="AK344" s="663"/>
      <c r="AL344" s="663"/>
      <c r="AM344" s="663"/>
      <c r="AN344" s="663"/>
      <c r="AO344" s="663"/>
      <c r="AP344" s="762"/>
      <c r="AQ344" s="663"/>
      <c r="AR344" s="663"/>
      <c r="AS344" s="663"/>
      <c r="AT344" s="663"/>
      <c r="AU344" s="663"/>
      <c r="AV344" s="663"/>
      <c r="AW344" s="663"/>
      <c r="AX344" s="663"/>
      <c r="AY344" s="663"/>
      <c r="AZ344" s="663"/>
      <c r="BA344" s="573"/>
      <c r="BB344" s="573"/>
      <c r="BC344" s="573"/>
      <c r="BD344" s="573"/>
      <c r="BE344" s="573"/>
      <c r="BF344" s="573"/>
      <c r="BG344" s="573"/>
      <c r="BH344" s="55"/>
      <c r="BI344" s="92"/>
      <c r="BJ344" s="92"/>
      <c r="BK344" s="92"/>
      <c r="BL344" s="92"/>
      <c r="BM344" s="92"/>
      <c r="BN344" s="92"/>
      <c r="BO344" s="171"/>
      <c r="BP344" s="810"/>
      <c r="BQ344" s="818"/>
      <c r="BR344" s="818"/>
      <c r="BS344" s="818"/>
      <c r="BT344" s="818"/>
      <c r="BU344" s="819"/>
      <c r="BV344" s="182"/>
      <c r="BW344" s="182"/>
      <c r="BX344" s="182"/>
      <c r="BY344" s="182"/>
      <c r="BZ344" s="182"/>
      <c r="CC344" s="87"/>
      <c r="CD344" s="87"/>
      <c r="DS344" s="182"/>
    </row>
    <row r="345" spans="1:123" s="70" customFormat="1" hidden="1" outlineLevel="1">
      <c r="A345" s="176"/>
      <c r="B345" s="186" t="s">
        <v>372</v>
      </c>
      <c r="C345" s="69"/>
      <c r="D345" s="69"/>
      <c r="E345" s="69"/>
      <c r="F345" s="69"/>
      <c r="H345" s="630"/>
      <c r="I345" s="630"/>
      <c r="J345" s="630"/>
      <c r="K345" s="630"/>
      <c r="L345" s="630"/>
      <c r="M345" s="86"/>
      <c r="N345" s="86"/>
      <c r="O345" s="86"/>
      <c r="P345" s="86"/>
      <c r="Q345" s="86"/>
      <c r="R345" s="86"/>
      <c r="S345" s="86"/>
      <c r="T345" s="86"/>
      <c r="U345" s="86"/>
      <c r="V345" s="86"/>
      <c r="W345" s="86"/>
      <c r="X345" s="86"/>
      <c r="Y345" s="177"/>
      <c r="Z345" s="168"/>
      <c r="AA345" s="168"/>
      <c r="AB345" s="177"/>
      <c r="AC345" s="183"/>
      <c r="AD345" s="809"/>
      <c r="AE345" s="809"/>
      <c r="AF345" s="168"/>
      <c r="AG345" s="809"/>
      <c r="AH345" s="168"/>
      <c r="AI345" s="802">
        <v>0</v>
      </c>
      <c r="AJ345" s="168"/>
      <c r="AK345" s="802">
        <v>0</v>
      </c>
      <c r="AL345" s="802"/>
      <c r="AM345" s="802">
        <v>0</v>
      </c>
      <c r="AN345" s="802"/>
      <c r="AO345" s="802">
        <v>0</v>
      </c>
      <c r="AP345" s="813"/>
      <c r="AQ345" s="802">
        <v>0</v>
      </c>
      <c r="AR345" s="802">
        <v>0</v>
      </c>
      <c r="AS345" s="802">
        <v>0</v>
      </c>
      <c r="AT345" s="802">
        <v>0</v>
      </c>
      <c r="AU345" s="802">
        <v>0</v>
      </c>
      <c r="AV345" s="802">
        <v>0</v>
      </c>
      <c r="AW345" s="802">
        <v>0</v>
      </c>
      <c r="AX345" s="802">
        <v>0</v>
      </c>
      <c r="AY345" s="802">
        <v>0</v>
      </c>
      <c r="AZ345" s="802">
        <v>0</v>
      </c>
      <c r="BA345" s="573"/>
      <c r="BB345" s="573"/>
      <c r="BC345" s="573"/>
      <c r="BD345" s="573"/>
      <c r="BE345" s="573"/>
      <c r="BF345" s="573"/>
      <c r="BG345" s="573"/>
      <c r="BH345" s="55"/>
      <c r="BI345" s="92"/>
      <c r="BJ345" s="92"/>
      <c r="BK345" s="92"/>
      <c r="BL345" s="92"/>
      <c r="BM345" s="92"/>
      <c r="BN345" s="92"/>
      <c r="BO345" s="171"/>
      <c r="BP345" s="798">
        <v>0</v>
      </c>
      <c r="BQ345" s="656">
        <v>0</v>
      </c>
      <c r="BR345" s="656">
        <v>0</v>
      </c>
      <c r="BS345" s="656">
        <v>0</v>
      </c>
      <c r="BT345" s="656"/>
      <c r="BU345" s="774"/>
      <c r="BV345" s="182"/>
      <c r="BW345" s="182"/>
      <c r="BX345" s="182"/>
      <c r="BY345" s="182"/>
      <c r="BZ345" s="182"/>
      <c r="CC345" s="87"/>
      <c r="CD345" s="87"/>
      <c r="DS345" s="182"/>
    </row>
    <row r="346" spans="1:123" s="70" customFormat="1" hidden="1" outlineLevel="1">
      <c r="A346" s="176"/>
      <c r="B346" s="186" t="s">
        <v>373</v>
      </c>
      <c r="C346" s="69"/>
      <c r="D346" s="69"/>
      <c r="E346" s="69"/>
      <c r="F346" s="69"/>
      <c r="H346" s="630"/>
      <c r="I346" s="630"/>
      <c r="J346" s="630"/>
      <c r="K346" s="630"/>
      <c r="L346" s="630"/>
      <c r="M346" s="86"/>
      <c r="N346" s="86"/>
      <c r="O346" s="86"/>
      <c r="P346" s="86"/>
      <c r="Q346" s="86"/>
      <c r="R346" s="86"/>
      <c r="S346" s="86"/>
      <c r="T346" s="86"/>
      <c r="U346" s="86"/>
      <c r="V346" s="86"/>
      <c r="W346" s="86"/>
      <c r="X346" s="86"/>
      <c r="Y346" s="177"/>
      <c r="Z346" s="168"/>
      <c r="AA346" s="168"/>
      <c r="AB346" s="177"/>
      <c r="AC346" s="183"/>
      <c r="AD346" s="809"/>
      <c r="AE346" s="809"/>
      <c r="AF346" s="168"/>
      <c r="AG346" s="809"/>
      <c r="AH346" s="168"/>
      <c r="AI346" s="802">
        <v>0</v>
      </c>
      <c r="AJ346" s="168"/>
      <c r="AK346" s="802">
        <v>0</v>
      </c>
      <c r="AL346" s="802"/>
      <c r="AM346" s="802">
        <v>0</v>
      </c>
      <c r="AN346" s="802"/>
      <c r="AO346" s="802">
        <v>0</v>
      </c>
      <c r="AP346" s="813"/>
      <c r="AQ346" s="802">
        <v>0</v>
      </c>
      <c r="AR346" s="802">
        <v>0</v>
      </c>
      <c r="AS346" s="802">
        <v>0</v>
      </c>
      <c r="AT346" s="802">
        <v>0</v>
      </c>
      <c r="AU346" s="802">
        <v>0</v>
      </c>
      <c r="AV346" s="802">
        <v>0</v>
      </c>
      <c r="AW346" s="802">
        <v>0</v>
      </c>
      <c r="AX346" s="802">
        <v>0</v>
      </c>
      <c r="AY346" s="802">
        <v>0</v>
      </c>
      <c r="AZ346" s="802">
        <v>0</v>
      </c>
      <c r="BA346" s="573"/>
      <c r="BB346" s="573"/>
      <c r="BC346" s="573"/>
      <c r="BD346" s="573"/>
      <c r="BE346" s="573"/>
      <c r="BF346" s="573"/>
      <c r="BG346" s="573"/>
      <c r="BH346" s="55"/>
      <c r="BI346" s="92"/>
      <c r="BJ346" s="92"/>
      <c r="BK346" s="92"/>
      <c r="BL346" s="92"/>
      <c r="BM346" s="92"/>
      <c r="BN346" s="92"/>
      <c r="BO346" s="171"/>
      <c r="BP346" s="798">
        <v>0</v>
      </c>
      <c r="BQ346" s="656">
        <v>0</v>
      </c>
      <c r="BR346" s="656">
        <v>0</v>
      </c>
      <c r="BS346" s="656">
        <v>0</v>
      </c>
      <c r="BT346" s="656"/>
      <c r="BU346" s="774"/>
      <c r="BV346" s="182"/>
      <c r="BW346" s="182"/>
      <c r="BX346" s="182"/>
      <c r="BY346" s="182"/>
      <c r="BZ346" s="182"/>
      <c r="CC346" s="87"/>
      <c r="CD346" s="87"/>
      <c r="DS346" s="182"/>
    </row>
    <row r="347" spans="1:123" s="70" customFormat="1" hidden="1" outlineLevel="1">
      <c r="A347" s="176"/>
      <c r="B347" s="186" t="s">
        <v>374</v>
      </c>
      <c r="C347" s="69"/>
      <c r="D347" s="69"/>
      <c r="E347" s="69"/>
      <c r="F347" s="69"/>
      <c r="H347" s="630"/>
      <c r="I347" s="630"/>
      <c r="J347" s="630"/>
      <c r="K347" s="630"/>
      <c r="L347" s="630"/>
      <c r="M347" s="86"/>
      <c r="N347" s="86"/>
      <c r="O347" s="86"/>
      <c r="P347" s="86"/>
      <c r="Q347" s="86"/>
      <c r="R347" s="86"/>
      <c r="S347" s="86"/>
      <c r="T347" s="86"/>
      <c r="U347" s="86"/>
      <c r="V347" s="86"/>
      <c r="W347" s="86"/>
      <c r="X347" s="86"/>
      <c r="Y347" s="177"/>
      <c r="Z347" s="168"/>
      <c r="AA347" s="168"/>
      <c r="AB347" s="177"/>
      <c r="AC347" s="183"/>
      <c r="AD347" s="809"/>
      <c r="AE347" s="809"/>
      <c r="AF347" s="168"/>
      <c r="AG347" s="809"/>
      <c r="AH347" s="168"/>
      <c r="AI347" s="802">
        <v>0</v>
      </c>
      <c r="AJ347" s="168"/>
      <c r="AK347" s="802">
        <v>0</v>
      </c>
      <c r="AL347" s="802"/>
      <c r="AM347" s="802">
        <v>0</v>
      </c>
      <c r="AN347" s="802"/>
      <c r="AO347" s="802">
        <v>0</v>
      </c>
      <c r="AP347" s="813"/>
      <c r="AQ347" s="802">
        <v>0</v>
      </c>
      <c r="AR347" s="802">
        <v>0</v>
      </c>
      <c r="AS347" s="802">
        <v>0</v>
      </c>
      <c r="AT347" s="802">
        <v>0</v>
      </c>
      <c r="AU347" s="802">
        <v>0</v>
      </c>
      <c r="AV347" s="802">
        <v>0</v>
      </c>
      <c r="AW347" s="802">
        <v>0</v>
      </c>
      <c r="AX347" s="802">
        <v>0</v>
      </c>
      <c r="AY347" s="802">
        <v>0</v>
      </c>
      <c r="AZ347" s="802">
        <v>0</v>
      </c>
      <c r="BA347" s="573"/>
      <c r="BB347" s="573"/>
      <c r="BC347" s="573"/>
      <c r="BD347" s="573"/>
      <c r="BE347" s="573"/>
      <c r="BF347" s="573"/>
      <c r="BG347" s="573"/>
      <c r="BH347" s="55"/>
      <c r="BI347" s="92"/>
      <c r="BJ347" s="92"/>
      <c r="BK347" s="92"/>
      <c r="BL347" s="92"/>
      <c r="BM347" s="92"/>
      <c r="BN347" s="92"/>
      <c r="BO347" s="171"/>
      <c r="BP347" s="798">
        <f>5449/1000</f>
        <v>5.4489999999999998</v>
      </c>
      <c r="BQ347" s="656">
        <f>3000/1000</f>
        <v>3</v>
      </c>
      <c r="BR347" s="656">
        <f>3000/1000</f>
        <v>3</v>
      </c>
      <c r="BS347" s="656">
        <f>3000/1000</f>
        <v>3</v>
      </c>
      <c r="BT347" s="656"/>
      <c r="BU347" s="774"/>
      <c r="BV347" s="182"/>
      <c r="BW347" s="182"/>
      <c r="BX347" s="182"/>
      <c r="BY347" s="182"/>
      <c r="BZ347" s="182"/>
      <c r="CC347" s="87"/>
      <c r="CD347" s="87"/>
      <c r="DS347" s="182"/>
    </row>
    <row r="348" spans="1:123" s="70" customFormat="1" hidden="1" outlineLevel="1">
      <c r="A348" s="176"/>
      <c r="B348" s="186" t="s">
        <v>370</v>
      </c>
      <c r="C348" s="69"/>
      <c r="D348" s="69"/>
      <c r="E348" s="69"/>
      <c r="F348" s="69"/>
      <c r="H348" s="630"/>
      <c r="I348" s="630"/>
      <c r="J348" s="630"/>
      <c r="K348" s="630"/>
      <c r="L348" s="630"/>
      <c r="M348" s="86"/>
      <c r="N348" s="86"/>
      <c r="O348" s="86"/>
      <c r="P348" s="86"/>
      <c r="Q348" s="86"/>
      <c r="R348" s="86"/>
      <c r="S348" s="86"/>
      <c r="T348" s="86"/>
      <c r="U348" s="86"/>
      <c r="V348" s="86"/>
      <c r="W348" s="86"/>
      <c r="X348" s="86"/>
      <c r="Y348" s="177"/>
      <c r="Z348" s="168"/>
      <c r="AA348" s="168"/>
      <c r="AB348" s="177"/>
      <c r="AC348" s="183"/>
      <c r="AD348" s="809"/>
      <c r="AE348" s="809"/>
      <c r="AF348" s="168"/>
      <c r="AG348" s="809"/>
      <c r="AH348" s="168"/>
      <c r="AI348" s="802">
        <v>0</v>
      </c>
      <c r="AJ348" s="168"/>
      <c r="AK348" s="802">
        <v>0</v>
      </c>
      <c r="AL348" s="802"/>
      <c r="AM348" s="802">
        <v>0</v>
      </c>
      <c r="AN348" s="802"/>
      <c r="AO348" s="802">
        <v>0</v>
      </c>
      <c r="AP348" s="813"/>
      <c r="AQ348" s="802">
        <v>0</v>
      </c>
      <c r="AR348" s="802">
        <v>0</v>
      </c>
      <c r="AS348" s="802">
        <v>0</v>
      </c>
      <c r="AT348" s="802">
        <v>0</v>
      </c>
      <c r="AU348" s="802">
        <v>0</v>
      </c>
      <c r="AV348" s="802">
        <v>0</v>
      </c>
      <c r="AW348" s="802">
        <v>0</v>
      </c>
      <c r="AX348" s="802">
        <v>0</v>
      </c>
      <c r="AY348" s="802">
        <v>0</v>
      </c>
      <c r="AZ348" s="802">
        <v>0</v>
      </c>
      <c r="BA348" s="573"/>
      <c r="BB348" s="573"/>
      <c r="BC348" s="573"/>
      <c r="BD348" s="573"/>
      <c r="BE348" s="573"/>
      <c r="BF348" s="573"/>
      <c r="BG348" s="573"/>
      <c r="BH348" s="55"/>
      <c r="BI348" s="92"/>
      <c r="BJ348" s="92"/>
      <c r="BK348" s="92"/>
      <c r="BL348" s="92"/>
      <c r="BM348" s="92"/>
      <c r="BN348" s="92"/>
      <c r="BO348" s="171"/>
      <c r="BP348" s="798">
        <v>0</v>
      </c>
      <c r="BQ348" s="656">
        <v>0</v>
      </c>
      <c r="BR348" s="656">
        <v>0</v>
      </c>
      <c r="BS348" s="656">
        <v>0</v>
      </c>
      <c r="BT348" s="656"/>
      <c r="BU348" s="774"/>
      <c r="BV348" s="182"/>
      <c r="BW348" s="182"/>
      <c r="BX348" s="182"/>
      <c r="BY348" s="182"/>
      <c r="BZ348" s="182"/>
      <c r="CC348" s="87"/>
      <c r="CD348" s="87"/>
      <c r="DS348" s="182"/>
    </row>
    <row r="349" spans="1:123" s="70" customFormat="1" hidden="1" outlineLevel="1">
      <c r="A349" s="176"/>
      <c r="B349" s="186" t="s">
        <v>18</v>
      </c>
      <c r="C349" s="69"/>
      <c r="D349" s="69"/>
      <c r="E349" s="69"/>
      <c r="F349" s="69"/>
      <c r="H349" s="630"/>
      <c r="I349" s="630"/>
      <c r="J349" s="630"/>
      <c r="K349" s="630"/>
      <c r="L349" s="630"/>
      <c r="M349" s="86"/>
      <c r="N349" s="86"/>
      <c r="O349" s="86"/>
      <c r="P349" s="86"/>
      <c r="Q349" s="86"/>
      <c r="R349" s="86"/>
      <c r="S349" s="86"/>
      <c r="T349" s="86"/>
      <c r="U349" s="86"/>
      <c r="V349" s="86"/>
      <c r="W349" s="86"/>
      <c r="X349" s="86"/>
      <c r="Y349" s="177"/>
      <c r="Z349" s="168"/>
      <c r="AA349" s="168"/>
      <c r="AB349" s="177"/>
      <c r="AC349" s="183"/>
      <c r="AD349" s="809"/>
      <c r="AE349" s="809"/>
      <c r="AF349" s="168"/>
      <c r="AG349" s="809"/>
      <c r="AH349" s="168"/>
      <c r="AI349" s="802">
        <v>0</v>
      </c>
      <c r="AJ349" s="168"/>
      <c r="AK349" s="802">
        <v>0</v>
      </c>
      <c r="AL349" s="802"/>
      <c r="AM349" s="802">
        <v>0</v>
      </c>
      <c r="AN349" s="802"/>
      <c r="AO349" s="802">
        <v>0</v>
      </c>
      <c r="AP349" s="813"/>
      <c r="AQ349" s="802">
        <v>0</v>
      </c>
      <c r="AR349" s="802">
        <v>0</v>
      </c>
      <c r="AS349" s="802">
        <v>0</v>
      </c>
      <c r="AT349" s="802">
        <v>0</v>
      </c>
      <c r="AU349" s="802">
        <v>0</v>
      </c>
      <c r="AV349" s="802">
        <v>0</v>
      </c>
      <c r="AW349" s="802">
        <v>0</v>
      </c>
      <c r="AX349" s="802">
        <v>0</v>
      </c>
      <c r="AY349" s="802">
        <v>0</v>
      </c>
      <c r="AZ349" s="802">
        <v>0</v>
      </c>
      <c r="BA349" s="573"/>
      <c r="BB349" s="573"/>
      <c r="BC349" s="573"/>
      <c r="BD349" s="573"/>
      <c r="BE349" s="573"/>
      <c r="BF349" s="573"/>
      <c r="BG349" s="573"/>
      <c r="BH349" s="55"/>
      <c r="BI349" s="92"/>
      <c r="BJ349" s="92"/>
      <c r="BK349" s="92"/>
      <c r="BL349" s="92"/>
      <c r="BM349" s="92"/>
      <c r="BN349" s="92"/>
      <c r="BO349" s="171"/>
      <c r="BP349" s="810">
        <f>BP350-SUM(BP345:BP348)</f>
        <v>0</v>
      </c>
      <c r="BQ349" s="818">
        <f>BQ350-SUM(BQ345:BQ348)</f>
        <v>0</v>
      </c>
      <c r="BR349" s="818">
        <f>BR350-SUM(BR345:BR348)</f>
        <v>0</v>
      </c>
      <c r="BS349" s="818">
        <f>BS350-SUM(BS345:BS348)</f>
        <v>0</v>
      </c>
      <c r="BT349" s="818"/>
      <c r="BU349" s="819"/>
      <c r="BV349" s="182"/>
      <c r="BW349" s="182"/>
      <c r="BX349" s="182"/>
      <c r="BY349" s="182"/>
      <c r="BZ349" s="182"/>
      <c r="CC349" s="87"/>
      <c r="CD349" s="87"/>
      <c r="DS349" s="182"/>
    </row>
    <row r="350" spans="1:123" s="70" customFormat="1" hidden="1" outlineLevel="1">
      <c r="A350" s="176"/>
      <c r="B350" s="185" t="s">
        <v>388</v>
      </c>
      <c r="C350" s="69"/>
      <c r="D350" s="69"/>
      <c r="E350" s="69"/>
      <c r="F350" s="69"/>
      <c r="H350" s="630"/>
      <c r="I350" s="630"/>
      <c r="J350" s="630"/>
      <c r="K350" s="630"/>
      <c r="L350" s="630"/>
      <c r="M350" s="86"/>
      <c r="N350" s="86"/>
      <c r="O350" s="86"/>
      <c r="P350" s="86"/>
      <c r="Q350" s="86"/>
      <c r="R350" s="86"/>
      <c r="S350" s="86"/>
      <c r="T350" s="86"/>
      <c r="U350" s="86"/>
      <c r="V350" s="86"/>
      <c r="W350" s="86"/>
      <c r="X350" s="86"/>
      <c r="Y350" s="177"/>
      <c r="Z350" s="168"/>
      <c r="AA350" s="168"/>
      <c r="AB350" s="177"/>
      <c r="AC350" s="183"/>
      <c r="AD350" s="809"/>
      <c r="AE350" s="809"/>
      <c r="AF350" s="168"/>
      <c r="AG350" s="809"/>
      <c r="AH350" s="168"/>
      <c r="AI350" s="816">
        <f>SUM(AI345:AI349)</f>
        <v>0</v>
      </c>
      <c r="AJ350" s="168"/>
      <c r="AK350" s="816">
        <f>SUM(AK345:AK349)</f>
        <v>0</v>
      </c>
      <c r="AL350" s="816"/>
      <c r="AM350" s="816">
        <f>SUM(AM345:AM349)</f>
        <v>0</v>
      </c>
      <c r="AN350" s="816"/>
      <c r="AO350" s="816">
        <f>SUM(AO345:AO349)</f>
        <v>0</v>
      </c>
      <c r="AP350" s="817"/>
      <c r="AQ350" s="816">
        <f t="shared" ref="AQ350:AZ350" si="475">SUM(AQ345:AQ349)</f>
        <v>0</v>
      </c>
      <c r="AR350" s="816">
        <f t="shared" si="475"/>
        <v>0</v>
      </c>
      <c r="AS350" s="816">
        <f t="shared" si="475"/>
        <v>0</v>
      </c>
      <c r="AT350" s="816">
        <f t="shared" si="475"/>
        <v>0</v>
      </c>
      <c r="AU350" s="816">
        <f t="shared" si="475"/>
        <v>0</v>
      </c>
      <c r="AV350" s="816">
        <f t="shared" si="475"/>
        <v>0</v>
      </c>
      <c r="AW350" s="816">
        <f t="shared" si="475"/>
        <v>0</v>
      </c>
      <c r="AX350" s="816">
        <f t="shared" si="475"/>
        <v>0</v>
      </c>
      <c r="AY350" s="816">
        <f t="shared" si="475"/>
        <v>0</v>
      </c>
      <c r="AZ350" s="816">
        <f t="shared" si="475"/>
        <v>0</v>
      </c>
      <c r="BA350" s="573"/>
      <c r="BB350" s="573"/>
      <c r="BC350" s="573"/>
      <c r="BD350" s="573"/>
      <c r="BE350" s="573"/>
      <c r="BF350" s="573"/>
      <c r="BG350" s="573"/>
      <c r="BH350" s="55"/>
      <c r="BI350" s="92"/>
      <c r="BJ350" s="92"/>
      <c r="BK350" s="92"/>
      <c r="BL350" s="92"/>
      <c r="BM350" s="92"/>
      <c r="BN350" s="92"/>
      <c r="BO350" s="171"/>
      <c r="BP350" s="820">
        <f>5449/1000</f>
        <v>5.4489999999999998</v>
      </c>
      <c r="BQ350" s="665">
        <f>3000/1000</f>
        <v>3</v>
      </c>
      <c r="BR350" s="665">
        <f>3000/1000</f>
        <v>3</v>
      </c>
      <c r="BS350" s="665">
        <f>3000/1000</f>
        <v>3</v>
      </c>
      <c r="BT350" s="665"/>
      <c r="BU350" s="821"/>
      <c r="BV350" s="182"/>
      <c r="BW350" s="182"/>
      <c r="BX350" s="182"/>
      <c r="BY350" s="182"/>
      <c r="BZ350" s="182"/>
      <c r="CC350" s="87"/>
      <c r="CD350" s="87"/>
      <c r="DS350" s="182"/>
    </row>
    <row r="351" spans="1:123" s="70" customFormat="1" hidden="1" outlineLevel="1">
      <c r="A351" s="176"/>
      <c r="B351" s="185"/>
      <c r="C351" s="69"/>
      <c r="D351" s="69"/>
      <c r="E351" s="69"/>
      <c r="F351" s="69"/>
      <c r="H351" s="630"/>
      <c r="I351" s="630"/>
      <c r="J351" s="630"/>
      <c r="K351" s="630"/>
      <c r="L351" s="630"/>
      <c r="M351" s="86"/>
      <c r="N351" s="86"/>
      <c r="O351" s="86"/>
      <c r="P351" s="86"/>
      <c r="Q351" s="86"/>
      <c r="R351" s="86"/>
      <c r="S351" s="86"/>
      <c r="T351" s="86"/>
      <c r="U351" s="86"/>
      <c r="V351" s="86"/>
      <c r="W351" s="86"/>
      <c r="X351" s="86"/>
      <c r="Y351" s="177"/>
      <c r="Z351" s="168"/>
      <c r="AA351" s="168"/>
      <c r="AB351" s="177"/>
      <c r="AC351" s="183"/>
      <c r="AD351" s="809"/>
      <c r="AE351" s="809"/>
      <c r="AF351" s="168"/>
      <c r="AG351" s="809"/>
      <c r="AH351" s="168"/>
      <c r="AI351" s="810"/>
      <c r="AJ351" s="168"/>
      <c r="AK351" s="663"/>
      <c r="AL351" s="663"/>
      <c r="AM351" s="663"/>
      <c r="AN351" s="663"/>
      <c r="AO351" s="663"/>
      <c r="AP351" s="762"/>
      <c r="AQ351" s="663"/>
      <c r="AR351" s="663"/>
      <c r="AS351" s="663"/>
      <c r="AT351" s="663"/>
      <c r="AU351" s="663"/>
      <c r="AV351" s="663"/>
      <c r="AW351" s="663"/>
      <c r="AX351" s="663"/>
      <c r="AY351" s="663"/>
      <c r="AZ351" s="663"/>
      <c r="BA351" s="573"/>
      <c r="BB351" s="573"/>
      <c r="BC351" s="573"/>
      <c r="BD351" s="573"/>
      <c r="BE351" s="573"/>
      <c r="BF351" s="573"/>
      <c r="BG351" s="573"/>
      <c r="BH351" s="55"/>
      <c r="BI351" s="92"/>
      <c r="BJ351" s="92"/>
      <c r="BK351" s="92"/>
      <c r="BL351" s="92"/>
      <c r="BM351" s="92"/>
      <c r="BN351" s="92"/>
      <c r="BO351" s="171"/>
      <c r="BP351" s="810"/>
      <c r="BQ351" s="818"/>
      <c r="BR351" s="818"/>
      <c r="BS351" s="818"/>
      <c r="BT351" s="818"/>
      <c r="BU351" s="819"/>
      <c r="BV351" s="182"/>
      <c r="BW351" s="182"/>
      <c r="BX351" s="182"/>
      <c r="BY351" s="182"/>
      <c r="BZ351" s="182"/>
      <c r="CC351" s="87"/>
      <c r="CD351" s="87"/>
      <c r="DS351" s="182"/>
    </row>
    <row r="352" spans="1:123" s="70" customFormat="1" hidden="1" outlineLevel="1">
      <c r="A352" s="176"/>
      <c r="B352" s="186" t="s">
        <v>379</v>
      </c>
      <c r="C352" s="69"/>
      <c r="D352" s="69"/>
      <c r="E352" s="69"/>
      <c r="F352" s="69"/>
      <c r="H352" s="630"/>
      <c r="I352" s="630"/>
      <c r="J352" s="630"/>
      <c r="K352" s="630"/>
      <c r="L352" s="630"/>
      <c r="M352" s="86"/>
      <c r="N352" s="86"/>
      <c r="O352" s="86"/>
      <c r="P352" s="86"/>
      <c r="Q352" s="86"/>
      <c r="R352" s="86"/>
      <c r="S352" s="86"/>
      <c r="T352" s="86"/>
      <c r="U352" s="86"/>
      <c r="V352" s="86"/>
      <c r="W352" s="86"/>
      <c r="X352" s="86"/>
      <c r="Y352" s="177"/>
      <c r="Z352" s="168"/>
      <c r="AA352" s="168"/>
      <c r="AB352" s="177"/>
      <c r="AC352" s="183"/>
      <c r="AD352" s="809"/>
      <c r="AE352" s="809"/>
      <c r="AF352" s="168"/>
      <c r="AG352" s="809"/>
      <c r="AH352" s="168"/>
      <c r="AI352" s="810">
        <f>BQ353</f>
        <v>416.2410000000001</v>
      </c>
      <c r="AJ352" s="168"/>
      <c r="AK352" s="810">
        <f>BS353</f>
        <v>589.88100000000009</v>
      </c>
      <c r="AL352" s="810"/>
      <c r="AM352" s="810">
        <f>BU353</f>
        <v>0</v>
      </c>
      <c r="AN352" s="810"/>
      <c r="AO352" s="810">
        <f>BW353</f>
        <v>0</v>
      </c>
      <c r="AP352" s="811"/>
      <c r="AQ352" s="810">
        <f t="shared" ref="AQ352:AZ352" si="476">AP353</f>
        <v>0</v>
      </c>
      <c r="AR352" s="810">
        <f t="shared" si="476"/>
        <v>0</v>
      </c>
      <c r="AS352" s="810">
        <f t="shared" si="476"/>
        <v>0</v>
      </c>
      <c r="AT352" s="810">
        <f t="shared" si="476"/>
        <v>0</v>
      </c>
      <c r="AU352" s="810">
        <f t="shared" si="476"/>
        <v>0</v>
      </c>
      <c r="AV352" s="810">
        <f t="shared" si="476"/>
        <v>0</v>
      </c>
      <c r="AW352" s="810">
        <f t="shared" si="476"/>
        <v>0</v>
      </c>
      <c r="AX352" s="810">
        <f t="shared" si="476"/>
        <v>0</v>
      </c>
      <c r="AY352" s="810">
        <f t="shared" si="476"/>
        <v>0</v>
      </c>
      <c r="AZ352" s="810">
        <f t="shared" si="476"/>
        <v>0</v>
      </c>
      <c r="BA352" s="573"/>
      <c r="BB352" s="573"/>
      <c r="BC352" s="573"/>
      <c r="BD352" s="573"/>
      <c r="BE352" s="573"/>
      <c r="BF352" s="573"/>
      <c r="BG352" s="573"/>
      <c r="BH352" s="55"/>
      <c r="BI352" s="92"/>
      <c r="BJ352" s="92"/>
      <c r="BK352" s="92"/>
      <c r="BL352" s="92"/>
      <c r="BM352" s="92"/>
      <c r="BN352" s="92"/>
      <c r="BO352" s="171"/>
      <c r="BP352" s="798">
        <f>340910/1000</f>
        <v>340.91</v>
      </c>
      <c r="BQ352" s="658">
        <f>BP353</f>
        <v>329.42100000000005</v>
      </c>
      <c r="BR352" s="658">
        <f>BQ353</f>
        <v>416.2410000000001</v>
      </c>
      <c r="BS352" s="658">
        <f>BR353</f>
        <v>503.06100000000009</v>
      </c>
      <c r="BT352" s="658"/>
      <c r="BU352" s="657"/>
      <c r="BV352" s="182"/>
      <c r="BW352" s="182"/>
      <c r="BX352" s="182"/>
      <c r="BY352" s="182"/>
      <c r="BZ352" s="182"/>
      <c r="CC352" s="87"/>
      <c r="CD352" s="87"/>
      <c r="DS352" s="182"/>
    </row>
    <row r="353" spans="1:123" s="70" customFormat="1" hidden="1" outlineLevel="1">
      <c r="A353" s="176"/>
      <c r="B353" s="186" t="s">
        <v>380</v>
      </c>
      <c r="C353" s="69"/>
      <c r="D353" s="69"/>
      <c r="E353" s="69"/>
      <c r="F353" s="69"/>
      <c r="H353" s="630"/>
      <c r="I353" s="630"/>
      <c r="J353" s="630"/>
      <c r="K353" s="630"/>
      <c r="L353" s="630"/>
      <c r="M353" s="86"/>
      <c r="N353" s="86"/>
      <c r="O353" s="86"/>
      <c r="P353" s="86"/>
      <c r="Q353" s="86"/>
      <c r="R353" s="86"/>
      <c r="S353" s="86"/>
      <c r="T353" s="86"/>
      <c r="U353" s="86"/>
      <c r="V353" s="86"/>
      <c r="W353" s="86"/>
      <c r="X353" s="86"/>
      <c r="Y353" s="177"/>
      <c r="Z353" s="168"/>
      <c r="AA353" s="168"/>
      <c r="AB353" s="177"/>
      <c r="AC353" s="183"/>
      <c r="AD353" s="809"/>
      <c r="AE353" s="809"/>
      <c r="AF353" s="168"/>
      <c r="AG353" s="809"/>
      <c r="AH353" s="168"/>
      <c r="AI353" s="810">
        <f>AI343-AI350</f>
        <v>419.2410000000001</v>
      </c>
      <c r="AJ353" s="168"/>
      <c r="AK353" s="810">
        <f>AK343-AK350</f>
        <v>592.88100000000009</v>
      </c>
      <c r="AL353" s="810"/>
      <c r="AM353" s="810">
        <f>AM343-AM350</f>
        <v>0</v>
      </c>
      <c r="AN353" s="810"/>
      <c r="AO353" s="810">
        <f>AO343-AO350</f>
        <v>0</v>
      </c>
      <c r="AP353" s="811"/>
      <c r="AQ353" s="810">
        <f t="shared" ref="AQ353:AZ353" si="477">AQ343-AQ350</f>
        <v>0</v>
      </c>
      <c r="AR353" s="810">
        <f t="shared" si="477"/>
        <v>0</v>
      </c>
      <c r="AS353" s="810">
        <f t="shared" si="477"/>
        <v>0</v>
      </c>
      <c r="AT353" s="810">
        <f t="shared" si="477"/>
        <v>0</v>
      </c>
      <c r="AU353" s="810">
        <f t="shared" si="477"/>
        <v>0</v>
      </c>
      <c r="AV353" s="810">
        <f t="shared" si="477"/>
        <v>0</v>
      </c>
      <c r="AW353" s="810">
        <f t="shared" si="477"/>
        <v>0</v>
      </c>
      <c r="AX353" s="810">
        <f t="shared" si="477"/>
        <v>0</v>
      </c>
      <c r="AY353" s="810">
        <f t="shared" si="477"/>
        <v>0</v>
      </c>
      <c r="AZ353" s="810">
        <f t="shared" si="477"/>
        <v>0</v>
      </c>
      <c r="BA353" s="573"/>
      <c r="BB353" s="573"/>
      <c r="BC353" s="573"/>
      <c r="BD353" s="573"/>
      <c r="BE353" s="573"/>
      <c r="BF353" s="573"/>
      <c r="BG353" s="573"/>
      <c r="BH353" s="55"/>
      <c r="BI353" s="92"/>
      <c r="BJ353" s="92"/>
      <c r="BK353" s="92"/>
      <c r="BL353" s="92"/>
      <c r="BM353" s="92"/>
      <c r="BN353" s="92"/>
      <c r="BO353" s="171"/>
      <c r="BP353" s="810">
        <f>BP343-BP350</f>
        <v>329.42100000000005</v>
      </c>
      <c r="BQ353" s="818">
        <f>BQ343-BQ350</f>
        <v>416.2410000000001</v>
      </c>
      <c r="BR353" s="818">
        <f>BR343-BR350</f>
        <v>503.06100000000009</v>
      </c>
      <c r="BS353" s="818">
        <f>BS343-BS350</f>
        <v>589.88100000000009</v>
      </c>
      <c r="BT353" s="818"/>
      <c r="BU353" s="819"/>
      <c r="BV353" s="182"/>
      <c r="BW353" s="182"/>
      <c r="BX353" s="182"/>
      <c r="BY353" s="182"/>
      <c r="BZ353" s="182"/>
      <c r="CC353" s="87"/>
      <c r="CD353" s="87"/>
      <c r="DS353" s="182"/>
    </row>
    <row r="354" spans="1:123" s="70" customFormat="1" hidden="1" outlineLevel="1">
      <c r="A354" s="176"/>
      <c r="B354" s="186"/>
      <c r="C354" s="69"/>
      <c r="D354" s="69"/>
      <c r="E354" s="69"/>
      <c r="F354" s="69"/>
      <c r="H354" s="630"/>
      <c r="I354" s="630"/>
      <c r="J354" s="630"/>
      <c r="K354" s="630"/>
      <c r="L354" s="630"/>
      <c r="M354" s="86"/>
      <c r="N354" s="86"/>
      <c r="O354" s="86"/>
      <c r="P354" s="86"/>
      <c r="Q354" s="86"/>
      <c r="R354" s="86"/>
      <c r="S354" s="86"/>
      <c r="T354" s="86"/>
      <c r="U354" s="86"/>
      <c r="V354" s="86"/>
      <c r="W354" s="86"/>
      <c r="X354" s="86"/>
      <c r="Y354" s="177"/>
      <c r="Z354" s="168"/>
      <c r="AA354" s="168"/>
      <c r="AB354" s="177"/>
      <c r="AC354" s="183"/>
      <c r="AD354" s="809"/>
      <c r="AE354" s="809"/>
      <c r="AF354" s="168"/>
      <c r="AG354" s="809"/>
      <c r="AH354" s="168"/>
      <c r="AI354" s="810"/>
      <c r="AJ354" s="168"/>
      <c r="AK354" s="663"/>
      <c r="AL354" s="663"/>
      <c r="AM354" s="663"/>
      <c r="AN354" s="663"/>
      <c r="AO354" s="663"/>
      <c r="AP354" s="762"/>
      <c r="AQ354" s="663"/>
      <c r="AR354" s="663"/>
      <c r="AS354" s="663"/>
      <c r="AT354" s="663"/>
      <c r="AU354" s="663"/>
      <c r="AV354" s="663"/>
      <c r="AW354" s="663"/>
      <c r="AX354" s="663"/>
      <c r="AY354" s="663"/>
      <c r="AZ354" s="663"/>
      <c r="BA354" s="573"/>
      <c r="BB354" s="573"/>
      <c r="BC354" s="573"/>
      <c r="BD354" s="573"/>
      <c r="BE354" s="573"/>
      <c r="BF354" s="573"/>
      <c r="BG354" s="573"/>
      <c r="BH354" s="55"/>
      <c r="BI354" s="92"/>
      <c r="BJ354" s="92"/>
      <c r="BK354" s="92"/>
      <c r="BL354" s="92"/>
      <c r="BM354" s="92"/>
      <c r="BN354" s="92"/>
      <c r="BO354" s="171"/>
      <c r="BP354" s="810"/>
      <c r="BQ354" s="818"/>
      <c r="BR354" s="818"/>
      <c r="BS354" s="818"/>
      <c r="BT354" s="818"/>
      <c r="BU354" s="819"/>
      <c r="BV354" s="182"/>
      <c r="BW354" s="182"/>
      <c r="BX354" s="182"/>
      <c r="BY354" s="182"/>
      <c r="BZ354" s="182"/>
      <c r="CC354" s="87"/>
      <c r="CD354" s="87"/>
      <c r="DS354" s="182"/>
    </row>
    <row r="355" spans="1:123" s="70" customFormat="1" hidden="1" outlineLevel="1">
      <c r="A355" s="176"/>
      <c r="B355" s="250" t="s">
        <v>381</v>
      </c>
      <c r="C355" s="69"/>
      <c r="D355" s="69"/>
      <c r="E355" s="69"/>
      <c r="F355" s="69"/>
      <c r="H355" s="630"/>
      <c r="I355" s="630"/>
      <c r="J355" s="630"/>
      <c r="K355" s="630"/>
      <c r="L355" s="630"/>
      <c r="M355" s="86"/>
      <c r="N355" s="86"/>
      <c r="O355" s="86"/>
      <c r="P355" s="86"/>
      <c r="Q355" s="86"/>
      <c r="R355" s="86"/>
      <c r="S355" s="86"/>
      <c r="T355" s="86"/>
      <c r="U355" s="86"/>
      <c r="V355" s="86"/>
      <c r="W355" s="86"/>
      <c r="X355" s="86"/>
      <c r="Y355" s="177"/>
      <c r="Z355" s="168"/>
      <c r="AA355" s="168"/>
      <c r="AB355" s="177"/>
      <c r="AC355" s="183"/>
      <c r="AD355" s="809"/>
      <c r="AE355" s="809"/>
      <c r="AF355" s="168"/>
      <c r="AG355" s="809"/>
      <c r="AH355" s="168"/>
      <c r="AI355" s="810">
        <f>BQ360</f>
        <v>107.709</v>
      </c>
      <c r="AJ355" s="168"/>
      <c r="AK355" s="810">
        <f>BS360</f>
        <v>126.21699999999998</v>
      </c>
      <c r="AL355" s="810"/>
      <c r="AM355" s="810">
        <f>BU360</f>
        <v>0</v>
      </c>
      <c r="AN355" s="810"/>
      <c r="AO355" s="810">
        <f>BW360</f>
        <v>0</v>
      </c>
      <c r="AP355" s="811"/>
      <c r="AQ355" s="810">
        <f t="shared" ref="AQ355:AZ355" si="478">AP360</f>
        <v>0</v>
      </c>
      <c r="AR355" s="810">
        <f t="shared" si="478"/>
        <v>0</v>
      </c>
      <c r="AS355" s="810">
        <f t="shared" si="478"/>
        <v>0</v>
      </c>
      <c r="AT355" s="810">
        <f t="shared" si="478"/>
        <v>0</v>
      </c>
      <c r="AU355" s="810">
        <f t="shared" si="478"/>
        <v>0</v>
      </c>
      <c r="AV355" s="810">
        <f t="shared" si="478"/>
        <v>0</v>
      </c>
      <c r="AW355" s="810">
        <f t="shared" si="478"/>
        <v>0</v>
      </c>
      <c r="AX355" s="810">
        <f t="shared" si="478"/>
        <v>0</v>
      </c>
      <c r="AY355" s="810">
        <f t="shared" si="478"/>
        <v>0</v>
      </c>
      <c r="AZ355" s="810">
        <f t="shared" si="478"/>
        <v>0</v>
      </c>
      <c r="BA355" s="573"/>
      <c r="BB355" s="573"/>
      <c r="BC355" s="573"/>
      <c r="BD355" s="573"/>
      <c r="BE355" s="573"/>
      <c r="BF355" s="573"/>
      <c r="BG355" s="573"/>
      <c r="BH355" s="55"/>
      <c r="BI355" s="92"/>
      <c r="BJ355" s="92"/>
      <c r="BK355" s="92"/>
      <c r="BL355" s="92"/>
      <c r="BM355" s="92"/>
      <c r="BN355" s="92"/>
      <c r="BO355" s="171"/>
      <c r="BP355" s="798">
        <f>96530/1000</f>
        <v>96.53</v>
      </c>
      <c r="BQ355" s="658">
        <f>BP360</f>
        <v>98.454999999999998</v>
      </c>
      <c r="BR355" s="658">
        <f>BQ360</f>
        <v>107.709</v>
      </c>
      <c r="BS355" s="658">
        <f>BR360</f>
        <v>116.96299999999999</v>
      </c>
      <c r="BT355" s="658"/>
      <c r="BU355" s="657"/>
      <c r="BV355" s="182"/>
      <c r="BW355" s="182"/>
      <c r="BX355" s="182"/>
      <c r="BY355" s="182"/>
      <c r="BZ355" s="182"/>
      <c r="CC355" s="87"/>
      <c r="CD355" s="87"/>
      <c r="DS355" s="182"/>
    </row>
    <row r="356" spans="1:123" s="70" customFormat="1" hidden="1" outlineLevel="1">
      <c r="A356" s="176"/>
      <c r="B356" s="186" t="s">
        <v>367</v>
      </c>
      <c r="C356" s="69"/>
      <c r="D356" s="69"/>
      <c r="E356" s="69"/>
      <c r="F356" s="69"/>
      <c r="H356" s="630"/>
      <c r="I356" s="630"/>
      <c r="J356" s="630"/>
      <c r="K356" s="630"/>
      <c r="L356" s="630"/>
      <c r="M356" s="86"/>
      <c r="N356" s="86"/>
      <c r="O356" s="86"/>
      <c r="P356" s="86"/>
      <c r="Q356" s="86"/>
      <c r="R356" s="86"/>
      <c r="S356" s="86"/>
      <c r="T356" s="86"/>
      <c r="U356" s="86"/>
      <c r="V356" s="86"/>
      <c r="W356" s="86"/>
      <c r="X356" s="86"/>
      <c r="Y356" s="177"/>
      <c r="Z356" s="168"/>
      <c r="AA356" s="168"/>
      <c r="AB356" s="177"/>
      <c r="AC356" s="183"/>
      <c r="AD356" s="809"/>
      <c r="AE356" s="809"/>
      <c r="AF356" s="168"/>
      <c r="AG356" s="809"/>
      <c r="AH356" s="168"/>
      <c r="AI356" s="761">
        <f>AI363</f>
        <v>5.3854500000000005</v>
      </c>
      <c r="AJ356" s="168"/>
      <c r="AK356" s="761">
        <f>AK363</f>
        <v>6.3108499999999994</v>
      </c>
      <c r="AL356" s="761"/>
      <c r="AM356" s="761">
        <f>AM363</f>
        <v>0</v>
      </c>
      <c r="AN356" s="761"/>
      <c r="AO356" s="761">
        <f>AO363</f>
        <v>0</v>
      </c>
      <c r="AP356" s="799"/>
      <c r="AQ356" s="761">
        <f t="shared" ref="AQ356:AZ356" si="479">AQ363</f>
        <v>0</v>
      </c>
      <c r="AR356" s="761">
        <f t="shared" si="479"/>
        <v>0</v>
      </c>
      <c r="AS356" s="761">
        <f t="shared" si="479"/>
        <v>0</v>
      </c>
      <c r="AT356" s="761">
        <f t="shared" si="479"/>
        <v>0</v>
      </c>
      <c r="AU356" s="761">
        <f t="shared" si="479"/>
        <v>0</v>
      </c>
      <c r="AV356" s="761">
        <f t="shared" si="479"/>
        <v>0</v>
      </c>
      <c r="AW356" s="761">
        <f t="shared" si="479"/>
        <v>0</v>
      </c>
      <c r="AX356" s="761">
        <f t="shared" si="479"/>
        <v>0</v>
      </c>
      <c r="AY356" s="761">
        <f t="shared" si="479"/>
        <v>0</v>
      </c>
      <c r="AZ356" s="761">
        <f t="shared" si="479"/>
        <v>0</v>
      </c>
      <c r="BA356" s="573"/>
      <c r="BB356" s="573"/>
      <c r="BC356" s="573"/>
      <c r="BD356" s="573"/>
      <c r="BE356" s="573"/>
      <c r="BF356" s="573"/>
      <c r="BG356" s="573"/>
      <c r="BH356" s="55"/>
      <c r="BI356" s="92"/>
      <c r="BJ356" s="92"/>
      <c r="BK356" s="92"/>
      <c r="BL356" s="92"/>
      <c r="BM356" s="92"/>
      <c r="BN356" s="92"/>
      <c r="BO356" s="171"/>
      <c r="BP356" s="798">
        <f>1032/1000</f>
        <v>1.032</v>
      </c>
      <c r="BQ356" s="656">
        <v>0</v>
      </c>
      <c r="BR356" s="656">
        <v>0</v>
      </c>
      <c r="BS356" s="656">
        <v>0</v>
      </c>
      <c r="BT356" s="656"/>
      <c r="BU356" s="774"/>
      <c r="BV356" s="182"/>
      <c r="BW356" s="182"/>
      <c r="BX356" s="182"/>
      <c r="BY356" s="182"/>
      <c r="BZ356" s="182"/>
      <c r="CC356" s="87"/>
      <c r="CD356" s="87"/>
      <c r="DS356" s="182"/>
    </row>
    <row r="357" spans="1:123" s="70" customFormat="1" hidden="1" outlineLevel="1">
      <c r="A357" s="176"/>
      <c r="B357" s="186" t="s">
        <v>368</v>
      </c>
      <c r="C357" s="69"/>
      <c r="D357" s="69"/>
      <c r="E357" s="69"/>
      <c r="F357" s="69"/>
      <c r="H357" s="630"/>
      <c r="I357" s="630"/>
      <c r="J357" s="630"/>
      <c r="K357" s="630"/>
      <c r="L357" s="630"/>
      <c r="M357" s="86"/>
      <c r="N357" s="86"/>
      <c r="O357" s="86"/>
      <c r="P357" s="86"/>
      <c r="Q357" s="86"/>
      <c r="R357" s="86"/>
      <c r="S357" s="86"/>
      <c r="T357" s="86"/>
      <c r="U357" s="86"/>
      <c r="V357" s="86"/>
      <c r="W357" s="86"/>
      <c r="X357" s="86"/>
      <c r="Y357" s="177"/>
      <c r="Z357" s="168"/>
      <c r="AA357" s="168"/>
      <c r="AB357" s="177"/>
      <c r="AC357" s="183"/>
      <c r="AD357" s="809"/>
      <c r="AE357" s="809"/>
      <c r="AF357" s="168"/>
      <c r="AG357" s="809"/>
      <c r="AH357" s="168"/>
      <c r="AI357" s="802">
        <v>0</v>
      </c>
      <c r="AJ357" s="168"/>
      <c r="AK357" s="802">
        <v>0</v>
      </c>
      <c r="AL357" s="802"/>
      <c r="AM357" s="802">
        <v>0</v>
      </c>
      <c r="AN357" s="802"/>
      <c r="AO357" s="802">
        <v>0</v>
      </c>
      <c r="AP357" s="813"/>
      <c r="AQ357" s="802">
        <v>0</v>
      </c>
      <c r="AR357" s="802">
        <v>0</v>
      </c>
      <c r="AS357" s="802">
        <v>0</v>
      </c>
      <c r="AT357" s="802">
        <v>0</v>
      </c>
      <c r="AU357" s="802">
        <v>0</v>
      </c>
      <c r="AV357" s="802">
        <v>0</v>
      </c>
      <c r="AW357" s="802">
        <v>0</v>
      </c>
      <c r="AX357" s="802">
        <v>0</v>
      </c>
      <c r="AY357" s="802">
        <v>0</v>
      </c>
      <c r="AZ357" s="802">
        <v>0</v>
      </c>
      <c r="BA357" s="573"/>
      <c r="BB357" s="573"/>
      <c r="BC357" s="573"/>
      <c r="BD357" s="573"/>
      <c r="BE357" s="573"/>
      <c r="BF357" s="573"/>
      <c r="BG357" s="573"/>
      <c r="BH357" s="55"/>
      <c r="BI357" s="92"/>
      <c r="BJ357" s="92"/>
      <c r="BK357" s="92"/>
      <c r="BL357" s="92"/>
      <c r="BM357" s="92"/>
      <c r="BN357" s="92"/>
      <c r="BO357" s="171"/>
      <c r="BP357" s="798">
        <f>2360/1000</f>
        <v>2.36</v>
      </c>
      <c r="BQ357" s="656">
        <f>9451/1000</f>
        <v>9.4510000000000005</v>
      </c>
      <c r="BR357" s="656">
        <f>9451/1000</f>
        <v>9.4510000000000005</v>
      </c>
      <c r="BS357" s="656">
        <f>9451/1000</f>
        <v>9.4510000000000005</v>
      </c>
      <c r="BT357" s="656"/>
      <c r="BU357" s="774"/>
      <c r="BV357" s="182"/>
      <c r="BW357" s="182"/>
      <c r="BX357" s="182"/>
      <c r="BY357" s="182"/>
      <c r="BZ357" s="182"/>
      <c r="CC357" s="87"/>
      <c r="CD357" s="87"/>
      <c r="DS357" s="182"/>
    </row>
    <row r="358" spans="1:123" s="70" customFormat="1" hidden="1" outlineLevel="1">
      <c r="A358" s="176"/>
      <c r="B358" s="186" t="s">
        <v>369</v>
      </c>
      <c r="C358" s="69"/>
      <c r="D358" s="69"/>
      <c r="E358" s="69"/>
      <c r="F358" s="69"/>
      <c r="H358" s="630"/>
      <c r="I358" s="630"/>
      <c r="J358" s="630"/>
      <c r="K358" s="630"/>
      <c r="L358" s="630"/>
      <c r="M358" s="86"/>
      <c r="N358" s="86"/>
      <c r="O358" s="86"/>
      <c r="P358" s="86"/>
      <c r="Q358" s="86"/>
      <c r="R358" s="86"/>
      <c r="S358" s="86"/>
      <c r="T358" s="86"/>
      <c r="U358" s="86"/>
      <c r="V358" s="86"/>
      <c r="W358" s="86"/>
      <c r="X358" s="86"/>
      <c r="Y358" s="177"/>
      <c r="Z358" s="168"/>
      <c r="AA358" s="168"/>
      <c r="AB358" s="177"/>
      <c r="AC358" s="183"/>
      <c r="AD358" s="809"/>
      <c r="AE358" s="809"/>
      <c r="AF358" s="168"/>
      <c r="AG358" s="809"/>
      <c r="AH358" s="168"/>
      <c r="AI358" s="802">
        <v>0</v>
      </c>
      <c r="AJ358" s="168"/>
      <c r="AK358" s="802">
        <v>0</v>
      </c>
      <c r="AL358" s="802"/>
      <c r="AM358" s="802">
        <v>0</v>
      </c>
      <c r="AN358" s="802"/>
      <c r="AO358" s="802">
        <v>0</v>
      </c>
      <c r="AP358" s="813"/>
      <c r="AQ358" s="802">
        <v>0</v>
      </c>
      <c r="AR358" s="802">
        <v>0</v>
      </c>
      <c r="AS358" s="802">
        <v>0</v>
      </c>
      <c r="AT358" s="802">
        <v>0</v>
      </c>
      <c r="AU358" s="802">
        <v>0</v>
      </c>
      <c r="AV358" s="802">
        <v>0</v>
      </c>
      <c r="AW358" s="802">
        <v>0</v>
      </c>
      <c r="AX358" s="802">
        <v>0</v>
      </c>
      <c r="AY358" s="802">
        <v>0</v>
      </c>
      <c r="AZ358" s="802">
        <v>0</v>
      </c>
      <c r="BA358" s="573"/>
      <c r="BB358" s="573"/>
      <c r="BC358" s="573"/>
      <c r="BD358" s="573"/>
      <c r="BE358" s="573"/>
      <c r="BF358" s="573"/>
      <c r="BG358" s="573"/>
      <c r="BH358" s="55"/>
      <c r="BI358" s="92"/>
      <c r="BJ358" s="92"/>
      <c r="BK358" s="92"/>
      <c r="BL358" s="92"/>
      <c r="BM358" s="92"/>
      <c r="BN358" s="92"/>
      <c r="BO358" s="171"/>
      <c r="BP358" s="798">
        <f>-655/1000</f>
        <v>-0.65500000000000003</v>
      </c>
      <c r="BQ358" s="656">
        <v>0</v>
      </c>
      <c r="BR358" s="656">
        <v>0</v>
      </c>
      <c r="BS358" s="656">
        <v>0</v>
      </c>
      <c r="BT358" s="656"/>
      <c r="BU358" s="774"/>
      <c r="BV358" s="182"/>
      <c r="BW358" s="182"/>
      <c r="BX358" s="182"/>
      <c r="BY358" s="182"/>
      <c r="BZ358" s="182"/>
      <c r="CC358" s="87"/>
      <c r="CD358" s="87"/>
      <c r="DS358" s="182"/>
    </row>
    <row r="359" spans="1:123" s="70" customFormat="1" hidden="1" outlineLevel="1">
      <c r="A359" s="176"/>
      <c r="B359" s="186" t="s">
        <v>370</v>
      </c>
      <c r="C359" s="69"/>
      <c r="D359" s="69"/>
      <c r="E359" s="69"/>
      <c r="F359" s="69"/>
      <c r="H359" s="630"/>
      <c r="I359" s="630"/>
      <c r="J359" s="630"/>
      <c r="K359" s="630"/>
      <c r="L359" s="630"/>
      <c r="M359" s="86"/>
      <c r="N359" s="86"/>
      <c r="O359" s="86"/>
      <c r="P359" s="86"/>
      <c r="Q359" s="86"/>
      <c r="R359" s="86"/>
      <c r="S359" s="86"/>
      <c r="T359" s="86"/>
      <c r="U359" s="86"/>
      <c r="V359" s="86"/>
      <c r="W359" s="86"/>
      <c r="X359" s="86"/>
      <c r="Y359" s="177"/>
      <c r="Z359" s="168"/>
      <c r="AA359" s="168"/>
      <c r="AB359" s="177"/>
      <c r="AC359" s="183"/>
      <c r="AD359" s="809"/>
      <c r="AE359" s="809"/>
      <c r="AF359" s="168"/>
      <c r="AG359" s="809"/>
      <c r="AH359" s="168"/>
      <c r="AI359" s="802">
        <v>0</v>
      </c>
      <c r="AJ359" s="168"/>
      <c r="AK359" s="802">
        <v>0</v>
      </c>
      <c r="AL359" s="802"/>
      <c r="AM359" s="802">
        <v>0</v>
      </c>
      <c r="AN359" s="802"/>
      <c r="AO359" s="802">
        <v>0</v>
      </c>
      <c r="AP359" s="813"/>
      <c r="AQ359" s="802">
        <v>0</v>
      </c>
      <c r="AR359" s="802">
        <v>0</v>
      </c>
      <c r="AS359" s="802">
        <v>0</v>
      </c>
      <c r="AT359" s="802">
        <v>0</v>
      </c>
      <c r="AU359" s="802">
        <v>0</v>
      </c>
      <c r="AV359" s="802">
        <v>0</v>
      </c>
      <c r="AW359" s="802">
        <v>0</v>
      </c>
      <c r="AX359" s="802">
        <v>0</v>
      </c>
      <c r="AY359" s="802">
        <v>0</v>
      </c>
      <c r="AZ359" s="802">
        <v>0</v>
      </c>
      <c r="BA359" s="573"/>
      <c r="BB359" s="573"/>
      <c r="BC359" s="573"/>
      <c r="BD359" s="573"/>
      <c r="BE359" s="573"/>
      <c r="BF359" s="573"/>
      <c r="BG359" s="573"/>
      <c r="BH359" s="55"/>
      <c r="BI359" s="92"/>
      <c r="BJ359" s="92"/>
      <c r="BK359" s="92"/>
      <c r="BL359" s="92"/>
      <c r="BM359" s="92"/>
      <c r="BN359" s="92"/>
      <c r="BO359" s="171"/>
      <c r="BP359" s="798">
        <f>-812/1000</f>
        <v>-0.81200000000000006</v>
      </c>
      <c r="BQ359" s="656">
        <f>-197/1000</f>
        <v>-0.19700000000000001</v>
      </c>
      <c r="BR359" s="656">
        <f>-197/1000</f>
        <v>-0.19700000000000001</v>
      </c>
      <c r="BS359" s="656">
        <f>-197/1000</f>
        <v>-0.19700000000000001</v>
      </c>
      <c r="BT359" s="656"/>
      <c r="BU359" s="774"/>
      <c r="BV359" s="182"/>
      <c r="BW359" s="182"/>
      <c r="BX359" s="182"/>
      <c r="BY359" s="182"/>
      <c r="BZ359" s="182"/>
      <c r="CC359" s="87"/>
      <c r="CD359" s="87"/>
      <c r="DS359" s="182"/>
    </row>
    <row r="360" spans="1:123" s="70" customFormat="1" hidden="1" outlineLevel="1">
      <c r="A360" s="176"/>
      <c r="B360" s="186" t="s">
        <v>371</v>
      </c>
      <c r="C360" s="69"/>
      <c r="D360" s="69"/>
      <c r="E360" s="69"/>
      <c r="F360" s="69"/>
      <c r="H360" s="630"/>
      <c r="I360" s="630"/>
      <c r="J360" s="630"/>
      <c r="K360" s="630"/>
      <c r="L360" s="630"/>
      <c r="M360" s="86"/>
      <c r="N360" s="86"/>
      <c r="O360" s="86"/>
      <c r="P360" s="86"/>
      <c r="Q360" s="86"/>
      <c r="R360" s="86"/>
      <c r="S360" s="86"/>
      <c r="T360" s="86"/>
      <c r="U360" s="86"/>
      <c r="V360" s="86"/>
      <c r="W360" s="86"/>
      <c r="X360" s="86"/>
      <c r="Y360" s="177"/>
      <c r="Z360" s="168"/>
      <c r="AA360" s="168"/>
      <c r="AB360" s="177"/>
      <c r="AC360" s="183"/>
      <c r="AD360" s="809"/>
      <c r="AE360" s="809"/>
      <c r="AF360" s="168"/>
      <c r="AG360" s="809"/>
      <c r="AH360" s="168"/>
      <c r="AI360" s="810">
        <f>SUM(AI355:AI359)</f>
        <v>113.09445000000001</v>
      </c>
      <c r="AJ360" s="168"/>
      <c r="AK360" s="810">
        <f>SUM(AK355:AK359)</f>
        <v>132.52784999999997</v>
      </c>
      <c r="AL360" s="810"/>
      <c r="AM360" s="810">
        <f>SUM(AM355:AM359)</f>
        <v>0</v>
      </c>
      <c r="AN360" s="810"/>
      <c r="AO360" s="810">
        <f>SUM(AO355:AO359)</f>
        <v>0</v>
      </c>
      <c r="AP360" s="811"/>
      <c r="AQ360" s="810">
        <f t="shared" ref="AQ360:AZ360" si="480">SUM(AQ355:AQ359)</f>
        <v>0</v>
      </c>
      <c r="AR360" s="810">
        <f t="shared" si="480"/>
        <v>0</v>
      </c>
      <c r="AS360" s="810">
        <f t="shared" si="480"/>
        <v>0</v>
      </c>
      <c r="AT360" s="810">
        <f t="shared" si="480"/>
        <v>0</v>
      </c>
      <c r="AU360" s="810">
        <f t="shared" si="480"/>
        <v>0</v>
      </c>
      <c r="AV360" s="810">
        <f t="shared" si="480"/>
        <v>0</v>
      </c>
      <c r="AW360" s="810">
        <f t="shared" si="480"/>
        <v>0</v>
      </c>
      <c r="AX360" s="810">
        <f t="shared" si="480"/>
        <v>0</v>
      </c>
      <c r="AY360" s="810">
        <f t="shared" si="480"/>
        <v>0</v>
      </c>
      <c r="AZ360" s="810">
        <f t="shared" si="480"/>
        <v>0</v>
      </c>
      <c r="BA360" s="573"/>
      <c r="BB360" s="573"/>
      <c r="BC360" s="573"/>
      <c r="BD360" s="573"/>
      <c r="BE360" s="573"/>
      <c r="BF360" s="573"/>
      <c r="BG360" s="573"/>
      <c r="BH360" s="55"/>
      <c r="BI360" s="92"/>
      <c r="BJ360" s="92"/>
      <c r="BK360" s="92"/>
      <c r="BL360" s="92"/>
      <c r="BM360" s="92"/>
      <c r="BN360" s="92"/>
      <c r="BO360" s="171"/>
      <c r="BP360" s="816">
        <f>SUM(BP355:BP359)</f>
        <v>98.454999999999998</v>
      </c>
      <c r="BQ360" s="822">
        <f>SUM(BQ355:BQ359)</f>
        <v>107.709</v>
      </c>
      <c r="BR360" s="822">
        <f>SUM(BR355:BR359)</f>
        <v>116.96299999999999</v>
      </c>
      <c r="BS360" s="822">
        <f>SUM(BS355:BS359)</f>
        <v>126.21699999999998</v>
      </c>
      <c r="BT360" s="822"/>
      <c r="BU360" s="823"/>
      <c r="BV360" s="182"/>
      <c r="BW360" s="182"/>
      <c r="BX360" s="182"/>
      <c r="BY360" s="182"/>
      <c r="BZ360" s="182"/>
      <c r="CC360" s="87"/>
      <c r="CD360" s="87"/>
      <c r="DS360" s="182"/>
    </row>
    <row r="361" spans="1:123" s="70" customFormat="1" hidden="1" outlineLevel="1">
      <c r="A361" s="176"/>
      <c r="B361" s="186"/>
      <c r="C361" s="69"/>
      <c r="D361" s="69"/>
      <c r="E361" s="69"/>
      <c r="F361" s="69"/>
      <c r="H361" s="630"/>
      <c r="I361" s="630"/>
      <c r="J361" s="630"/>
      <c r="K361" s="630"/>
      <c r="L361" s="630"/>
      <c r="M361" s="86"/>
      <c r="N361" s="86"/>
      <c r="O361" s="86"/>
      <c r="P361" s="86"/>
      <c r="Q361" s="86"/>
      <c r="R361" s="86"/>
      <c r="S361" s="86"/>
      <c r="T361" s="86"/>
      <c r="U361" s="86"/>
      <c r="V361" s="86"/>
      <c r="W361" s="86"/>
      <c r="X361" s="86"/>
      <c r="Y361" s="177"/>
      <c r="Z361" s="168"/>
      <c r="AA361" s="168"/>
      <c r="AB361" s="177"/>
      <c r="AC361" s="183"/>
      <c r="AD361" s="809"/>
      <c r="AE361" s="809"/>
      <c r="AF361" s="168"/>
      <c r="AG361" s="809"/>
      <c r="AH361" s="168"/>
      <c r="AI361" s="810"/>
      <c r="AJ361" s="168"/>
      <c r="AK361" s="663"/>
      <c r="AL361" s="663"/>
      <c r="AM361" s="663"/>
      <c r="AN361" s="663"/>
      <c r="AO361" s="663"/>
      <c r="AP361" s="762"/>
      <c r="AQ361" s="663"/>
      <c r="AR361" s="663"/>
      <c r="AS361" s="663"/>
      <c r="AT361" s="663"/>
      <c r="AU361" s="663"/>
      <c r="AV361" s="663"/>
      <c r="AW361" s="663"/>
      <c r="AX361" s="663"/>
      <c r="AY361" s="663"/>
      <c r="AZ361" s="663"/>
      <c r="BA361" s="573"/>
      <c r="BB361" s="573"/>
      <c r="BC361" s="573"/>
      <c r="BD361" s="573"/>
      <c r="BE361" s="573"/>
      <c r="BF361" s="573"/>
      <c r="BG361" s="573"/>
      <c r="BH361" s="55"/>
      <c r="BI361" s="92"/>
      <c r="BJ361" s="92"/>
      <c r="BK361" s="92"/>
      <c r="BL361" s="92"/>
      <c r="BM361" s="92"/>
      <c r="BN361" s="92"/>
      <c r="BO361" s="171"/>
      <c r="BP361" s="810"/>
      <c r="BQ361" s="818"/>
      <c r="BR361" s="818"/>
      <c r="BS361" s="818"/>
      <c r="BT361" s="818"/>
      <c r="BU361" s="819"/>
      <c r="BV361" s="182"/>
      <c r="BW361" s="182"/>
      <c r="BX361" s="182"/>
      <c r="BY361" s="182"/>
      <c r="BZ361" s="182"/>
      <c r="CC361" s="87"/>
      <c r="CD361" s="87"/>
      <c r="DS361" s="182"/>
    </row>
    <row r="362" spans="1:123" s="70" customFormat="1" hidden="1" outlineLevel="1">
      <c r="A362" s="176"/>
      <c r="B362" s="186" t="s">
        <v>372</v>
      </c>
      <c r="C362" s="69"/>
      <c r="D362" s="69"/>
      <c r="E362" s="69"/>
      <c r="F362" s="69"/>
      <c r="H362" s="630"/>
      <c r="I362" s="630"/>
      <c r="J362" s="630"/>
      <c r="K362" s="630"/>
      <c r="L362" s="630"/>
      <c r="M362" s="86"/>
      <c r="N362" s="86"/>
      <c r="O362" s="86"/>
      <c r="P362" s="86"/>
      <c r="Q362" s="86"/>
      <c r="R362" s="86"/>
      <c r="S362" s="86"/>
      <c r="T362" s="86"/>
      <c r="U362" s="86"/>
      <c r="V362" s="86"/>
      <c r="W362" s="86"/>
      <c r="X362" s="86"/>
      <c r="Y362" s="177"/>
      <c r="Z362" s="168"/>
      <c r="AA362" s="168"/>
      <c r="AB362" s="177"/>
      <c r="AC362" s="183"/>
      <c r="AD362" s="809"/>
      <c r="AE362" s="809"/>
      <c r="AF362" s="168"/>
      <c r="AG362" s="809"/>
      <c r="AH362" s="168"/>
      <c r="AI362" s="810">
        <f>BQ367</f>
        <v>54.817</v>
      </c>
      <c r="AJ362" s="168"/>
      <c r="AK362" s="810">
        <f>BS367</f>
        <v>54.817</v>
      </c>
      <c r="AL362" s="810"/>
      <c r="AM362" s="810">
        <f>BU367</f>
        <v>0</v>
      </c>
      <c r="AN362" s="810"/>
      <c r="AO362" s="810">
        <f>BW367</f>
        <v>0</v>
      </c>
      <c r="AP362" s="811"/>
      <c r="AQ362" s="810">
        <f t="shared" ref="AQ362:AZ362" si="481">AP367</f>
        <v>0</v>
      </c>
      <c r="AR362" s="810">
        <f t="shared" si="481"/>
        <v>0</v>
      </c>
      <c r="AS362" s="810">
        <f t="shared" si="481"/>
        <v>0</v>
      </c>
      <c r="AT362" s="810">
        <f t="shared" si="481"/>
        <v>0</v>
      </c>
      <c r="AU362" s="810">
        <f t="shared" si="481"/>
        <v>0</v>
      </c>
      <c r="AV362" s="810">
        <f t="shared" si="481"/>
        <v>0</v>
      </c>
      <c r="AW362" s="810">
        <f t="shared" si="481"/>
        <v>0</v>
      </c>
      <c r="AX362" s="810">
        <f t="shared" si="481"/>
        <v>0</v>
      </c>
      <c r="AY362" s="810">
        <f t="shared" si="481"/>
        <v>0</v>
      </c>
      <c r="AZ362" s="810">
        <f t="shared" si="481"/>
        <v>0</v>
      </c>
      <c r="BA362" s="573"/>
      <c r="BB362" s="573"/>
      <c r="BC362" s="573"/>
      <c r="BD362" s="573"/>
      <c r="BE362" s="573"/>
      <c r="BF362" s="573"/>
      <c r="BG362" s="573"/>
      <c r="BH362" s="55"/>
      <c r="BI362" s="92"/>
      <c r="BJ362" s="92"/>
      <c r="BK362" s="92"/>
      <c r="BL362" s="92"/>
      <c r="BM362" s="92"/>
      <c r="BN362" s="92"/>
      <c r="BO362" s="171"/>
      <c r="BP362" s="798">
        <f>38867/1000</f>
        <v>38.866999999999997</v>
      </c>
      <c r="BQ362" s="658">
        <f>BP367</f>
        <v>45.326999999999998</v>
      </c>
      <c r="BR362" s="658">
        <f>BQ367</f>
        <v>54.817</v>
      </c>
      <c r="BS362" s="658">
        <f>BR367</f>
        <v>54.817</v>
      </c>
      <c r="BT362" s="658"/>
      <c r="BU362" s="657"/>
      <c r="BV362" s="182"/>
      <c r="BW362" s="182"/>
      <c r="BX362" s="182"/>
      <c r="BY362" s="182"/>
      <c r="BZ362" s="182"/>
      <c r="CC362" s="87"/>
      <c r="CD362" s="87"/>
      <c r="DS362" s="182"/>
    </row>
    <row r="363" spans="1:123" s="70" customFormat="1" hidden="1" outlineLevel="1">
      <c r="A363" s="176"/>
      <c r="B363" s="186" t="s">
        <v>373</v>
      </c>
      <c r="C363" s="69"/>
      <c r="D363" s="69"/>
      <c r="E363" s="69"/>
      <c r="F363" s="69"/>
      <c r="H363" s="630"/>
      <c r="I363" s="630"/>
      <c r="J363" s="630"/>
      <c r="K363" s="630"/>
      <c r="L363" s="630"/>
      <c r="M363" s="86"/>
      <c r="N363" s="86"/>
      <c r="O363" s="86"/>
      <c r="P363" s="86"/>
      <c r="Q363" s="86"/>
      <c r="R363" s="86"/>
      <c r="S363" s="86"/>
      <c r="T363" s="86"/>
      <c r="U363" s="86"/>
      <c r="V363" s="86"/>
      <c r="W363" s="86"/>
      <c r="X363" s="86"/>
      <c r="Y363" s="177"/>
      <c r="Z363" s="168"/>
      <c r="AA363" s="168"/>
      <c r="AB363" s="177"/>
      <c r="AC363" s="183"/>
      <c r="AD363" s="809"/>
      <c r="AE363" s="809"/>
      <c r="AF363" s="168"/>
      <c r="AG363" s="809"/>
      <c r="AH363" s="168"/>
      <c r="AI363" s="810">
        <f>AI368*AI355</f>
        <v>5.3854500000000005</v>
      </c>
      <c r="AJ363" s="168"/>
      <c r="AK363" s="810">
        <f>AK368*AK355</f>
        <v>6.3108499999999994</v>
      </c>
      <c r="AL363" s="810"/>
      <c r="AM363" s="810">
        <f>AM368*AM355</f>
        <v>0</v>
      </c>
      <c r="AN363" s="810"/>
      <c r="AO363" s="810">
        <f>AO368*AO355</f>
        <v>0</v>
      </c>
      <c r="AP363" s="811"/>
      <c r="AQ363" s="810">
        <f t="shared" ref="AQ363:AZ363" si="482">AQ368*AQ355</f>
        <v>0</v>
      </c>
      <c r="AR363" s="810">
        <f t="shared" si="482"/>
        <v>0</v>
      </c>
      <c r="AS363" s="810">
        <f t="shared" si="482"/>
        <v>0</v>
      </c>
      <c r="AT363" s="810">
        <f t="shared" si="482"/>
        <v>0</v>
      </c>
      <c r="AU363" s="810">
        <f t="shared" si="482"/>
        <v>0</v>
      </c>
      <c r="AV363" s="810">
        <f t="shared" si="482"/>
        <v>0</v>
      </c>
      <c r="AW363" s="810">
        <f t="shared" si="482"/>
        <v>0</v>
      </c>
      <c r="AX363" s="810">
        <f t="shared" si="482"/>
        <v>0</v>
      </c>
      <c r="AY363" s="810">
        <f t="shared" si="482"/>
        <v>0</v>
      </c>
      <c r="AZ363" s="810">
        <f t="shared" si="482"/>
        <v>0</v>
      </c>
      <c r="BA363" s="573"/>
      <c r="BB363" s="573"/>
      <c r="BC363" s="573"/>
      <c r="BD363" s="573"/>
      <c r="BE363" s="573"/>
      <c r="BF363" s="573"/>
      <c r="BG363" s="573"/>
      <c r="BH363" s="55"/>
      <c r="BI363" s="92"/>
      <c r="BJ363" s="92"/>
      <c r="BK363" s="92"/>
      <c r="BL363" s="92"/>
      <c r="BM363" s="92"/>
      <c r="BN363" s="92"/>
      <c r="BO363" s="171"/>
      <c r="BP363" s="798">
        <f>7266/1000</f>
        <v>7.266</v>
      </c>
      <c r="BQ363" s="656">
        <f>9530/1000</f>
        <v>9.5299999999999994</v>
      </c>
      <c r="BR363" s="656">
        <f>9530/1000</f>
        <v>9.5299999999999994</v>
      </c>
      <c r="BS363" s="656">
        <f>9530/1000</f>
        <v>9.5299999999999994</v>
      </c>
      <c r="BT363" s="656"/>
      <c r="BU363" s="774"/>
      <c r="BV363" s="182"/>
      <c r="BW363" s="182"/>
      <c r="BX363" s="182"/>
      <c r="BY363" s="182"/>
      <c r="BZ363" s="182"/>
      <c r="CC363" s="87"/>
      <c r="CD363" s="87"/>
      <c r="DS363" s="182"/>
    </row>
    <row r="364" spans="1:123" s="70" customFormat="1" hidden="1" outlineLevel="1">
      <c r="A364" s="176"/>
      <c r="B364" s="186" t="s">
        <v>374</v>
      </c>
      <c r="C364" s="69"/>
      <c r="D364" s="69"/>
      <c r="E364" s="69"/>
      <c r="F364" s="69"/>
      <c r="H364" s="630"/>
      <c r="I364" s="630"/>
      <c r="J364" s="630"/>
      <c r="K364" s="630"/>
      <c r="L364" s="630"/>
      <c r="M364" s="86"/>
      <c r="N364" s="86"/>
      <c r="O364" s="86"/>
      <c r="P364" s="86"/>
      <c r="Q364" s="86"/>
      <c r="R364" s="86"/>
      <c r="S364" s="86"/>
      <c r="T364" s="86"/>
      <c r="U364" s="86"/>
      <c r="V364" s="86"/>
      <c r="W364" s="86"/>
      <c r="X364" s="86"/>
      <c r="Y364" s="177"/>
      <c r="Z364" s="168"/>
      <c r="AA364" s="168"/>
      <c r="AB364" s="177"/>
      <c r="AC364" s="183"/>
      <c r="AD364" s="809"/>
      <c r="AE364" s="809"/>
      <c r="AF364" s="168"/>
      <c r="AG364" s="809"/>
      <c r="AH364" s="168"/>
      <c r="AI364" s="802">
        <v>0</v>
      </c>
      <c r="AJ364" s="168"/>
      <c r="AK364" s="802">
        <v>0</v>
      </c>
      <c r="AL364" s="802"/>
      <c r="AM364" s="802">
        <v>0</v>
      </c>
      <c r="AN364" s="802"/>
      <c r="AO364" s="802">
        <v>0</v>
      </c>
      <c r="AP364" s="813"/>
      <c r="AQ364" s="802">
        <v>0</v>
      </c>
      <c r="AR364" s="802">
        <v>0</v>
      </c>
      <c r="AS364" s="802">
        <v>0</v>
      </c>
      <c r="AT364" s="802">
        <v>0</v>
      </c>
      <c r="AU364" s="802">
        <v>0</v>
      </c>
      <c r="AV364" s="802">
        <v>0</v>
      </c>
      <c r="AW364" s="802">
        <v>0</v>
      </c>
      <c r="AX364" s="802">
        <v>0</v>
      </c>
      <c r="AY364" s="802">
        <v>0</v>
      </c>
      <c r="AZ364" s="802">
        <v>0</v>
      </c>
      <c r="BA364" s="573"/>
      <c r="BB364" s="573"/>
      <c r="BC364" s="573"/>
      <c r="BD364" s="573"/>
      <c r="BE364" s="573"/>
      <c r="BF364" s="573"/>
      <c r="BG364" s="573"/>
      <c r="BH364" s="55"/>
      <c r="BI364" s="92"/>
      <c r="BJ364" s="92"/>
      <c r="BK364" s="92"/>
      <c r="BL364" s="92"/>
      <c r="BM364" s="92"/>
      <c r="BN364" s="92"/>
      <c r="BO364" s="171"/>
      <c r="BP364" s="798">
        <v>0</v>
      </c>
      <c r="BQ364" s="798">
        <v>0</v>
      </c>
      <c r="BR364" s="798">
        <v>0</v>
      </c>
      <c r="BS364" s="798">
        <v>0</v>
      </c>
      <c r="BT364" s="798"/>
      <c r="BU364" s="812"/>
      <c r="BV364" s="182"/>
      <c r="BW364" s="182"/>
      <c r="BX364" s="182"/>
      <c r="BY364" s="182"/>
      <c r="BZ364" s="182"/>
      <c r="CC364" s="87"/>
      <c r="CD364" s="87"/>
      <c r="DS364" s="182"/>
    </row>
    <row r="365" spans="1:123" s="70" customFormat="1" hidden="1" outlineLevel="1">
      <c r="A365" s="176"/>
      <c r="B365" s="186" t="s">
        <v>370</v>
      </c>
      <c r="C365" s="69"/>
      <c r="D365" s="69"/>
      <c r="E365" s="69"/>
      <c r="F365" s="69"/>
      <c r="H365" s="630"/>
      <c r="I365" s="630"/>
      <c r="J365" s="630"/>
      <c r="K365" s="630"/>
      <c r="L365" s="630"/>
      <c r="M365" s="86"/>
      <c r="N365" s="86"/>
      <c r="O365" s="86"/>
      <c r="P365" s="86"/>
      <c r="Q365" s="86"/>
      <c r="R365" s="86"/>
      <c r="S365" s="86"/>
      <c r="T365" s="86"/>
      <c r="U365" s="86"/>
      <c r="V365" s="86"/>
      <c r="W365" s="86"/>
      <c r="X365" s="86"/>
      <c r="Y365" s="177"/>
      <c r="Z365" s="168"/>
      <c r="AA365" s="168"/>
      <c r="AB365" s="177"/>
      <c r="AC365" s="183"/>
      <c r="AD365" s="809"/>
      <c r="AE365" s="809"/>
      <c r="AF365" s="168"/>
      <c r="AG365" s="809"/>
      <c r="AH365" s="168"/>
      <c r="AI365" s="802">
        <v>0</v>
      </c>
      <c r="AJ365" s="168"/>
      <c r="AK365" s="802">
        <v>0</v>
      </c>
      <c r="AL365" s="802"/>
      <c r="AM365" s="802">
        <v>0</v>
      </c>
      <c r="AN365" s="802"/>
      <c r="AO365" s="802">
        <v>0</v>
      </c>
      <c r="AP365" s="813"/>
      <c r="AQ365" s="802">
        <v>0</v>
      </c>
      <c r="AR365" s="802">
        <v>0</v>
      </c>
      <c r="AS365" s="802">
        <v>0</v>
      </c>
      <c r="AT365" s="802">
        <v>0</v>
      </c>
      <c r="AU365" s="802">
        <v>0</v>
      </c>
      <c r="AV365" s="802">
        <v>0</v>
      </c>
      <c r="AW365" s="802">
        <v>0</v>
      </c>
      <c r="AX365" s="802">
        <v>0</v>
      </c>
      <c r="AY365" s="802">
        <v>0</v>
      </c>
      <c r="AZ365" s="802">
        <v>0</v>
      </c>
      <c r="BA365" s="573"/>
      <c r="BB365" s="573"/>
      <c r="BC365" s="573"/>
      <c r="BD365" s="573"/>
      <c r="BE365" s="573"/>
      <c r="BF365" s="573"/>
      <c r="BG365" s="573"/>
      <c r="BH365" s="55"/>
      <c r="BI365" s="92"/>
      <c r="BJ365" s="92"/>
      <c r="BK365" s="92"/>
      <c r="BL365" s="92"/>
      <c r="BM365" s="92"/>
      <c r="BN365" s="92"/>
      <c r="BO365" s="171"/>
      <c r="BP365" s="798">
        <v>-0.151</v>
      </c>
      <c r="BQ365" s="798">
        <f>-40/1000</f>
        <v>-0.04</v>
      </c>
      <c r="BR365" s="798">
        <f>-40/1000</f>
        <v>-0.04</v>
      </c>
      <c r="BS365" s="798">
        <f>-40/1000</f>
        <v>-0.04</v>
      </c>
      <c r="BT365" s="798"/>
      <c r="BU365" s="812"/>
      <c r="BV365" s="182"/>
      <c r="BW365" s="182"/>
      <c r="BX365" s="182"/>
      <c r="BY365" s="182"/>
      <c r="BZ365" s="182"/>
      <c r="CC365" s="87"/>
      <c r="CD365" s="87"/>
      <c r="DS365" s="182"/>
    </row>
    <row r="366" spans="1:123" s="70" customFormat="1" hidden="1" outlineLevel="1">
      <c r="A366" s="176"/>
      <c r="B366" s="186" t="s">
        <v>18</v>
      </c>
      <c r="C366" s="69"/>
      <c r="D366" s="69"/>
      <c r="E366" s="69"/>
      <c r="F366" s="69"/>
      <c r="H366" s="630"/>
      <c r="I366" s="630"/>
      <c r="J366" s="630"/>
      <c r="K366" s="630"/>
      <c r="L366" s="630"/>
      <c r="M366" s="86"/>
      <c r="N366" s="86"/>
      <c r="O366" s="86"/>
      <c r="P366" s="86"/>
      <c r="Q366" s="86"/>
      <c r="R366" s="86"/>
      <c r="S366" s="86"/>
      <c r="T366" s="86"/>
      <c r="U366" s="86"/>
      <c r="V366" s="86"/>
      <c r="W366" s="86"/>
      <c r="X366" s="86"/>
      <c r="Y366" s="177"/>
      <c r="Z366" s="168"/>
      <c r="AA366" s="168"/>
      <c r="AB366" s="177"/>
      <c r="AC366" s="183"/>
      <c r="AD366" s="809"/>
      <c r="AE366" s="809"/>
      <c r="AF366" s="168"/>
      <c r="AG366" s="809"/>
      <c r="AH366" s="168"/>
      <c r="AI366" s="802">
        <v>0</v>
      </c>
      <c r="AJ366" s="168"/>
      <c r="AK366" s="802">
        <v>0</v>
      </c>
      <c r="AL366" s="802"/>
      <c r="AM366" s="802">
        <v>0</v>
      </c>
      <c r="AN366" s="802"/>
      <c r="AO366" s="802">
        <v>0</v>
      </c>
      <c r="AP366" s="813"/>
      <c r="AQ366" s="802">
        <v>0</v>
      </c>
      <c r="AR366" s="802">
        <v>0</v>
      </c>
      <c r="AS366" s="802">
        <v>0</v>
      </c>
      <c r="AT366" s="802">
        <v>0</v>
      </c>
      <c r="AU366" s="802">
        <v>0</v>
      </c>
      <c r="AV366" s="802">
        <v>0</v>
      </c>
      <c r="AW366" s="802">
        <v>0</v>
      </c>
      <c r="AX366" s="802">
        <v>0</v>
      </c>
      <c r="AY366" s="802">
        <v>0</v>
      </c>
      <c r="AZ366" s="802">
        <v>0</v>
      </c>
      <c r="BA366" s="573"/>
      <c r="BB366" s="573"/>
      <c r="BC366" s="573"/>
      <c r="BD366" s="573"/>
      <c r="BE366" s="573"/>
      <c r="BF366" s="573"/>
      <c r="BG366" s="573"/>
      <c r="BH366" s="55"/>
      <c r="BI366" s="92"/>
      <c r="BJ366" s="92"/>
      <c r="BK366" s="92"/>
      <c r="BL366" s="92"/>
      <c r="BM366" s="92"/>
      <c r="BN366" s="92"/>
      <c r="BO366" s="171"/>
      <c r="BP366" s="810">
        <f>BP367-SUM(BP362:BP365)</f>
        <v>-0.65499999999999403</v>
      </c>
      <c r="BQ366" s="810">
        <f>BQ367-SUM(BQ362:BQ365)</f>
        <v>0</v>
      </c>
      <c r="BR366" s="810">
        <f>BR367-SUM(BR362:BR365)</f>
        <v>-9.4899999999999878</v>
      </c>
      <c r="BS366" s="810">
        <f>BS367-SUM(BS362:BS365)</f>
        <v>-9.4899999999999878</v>
      </c>
      <c r="BT366" s="810"/>
      <c r="BU366" s="811"/>
      <c r="BV366" s="182"/>
      <c r="BW366" s="182"/>
      <c r="BX366" s="182"/>
      <c r="BY366" s="182"/>
      <c r="BZ366" s="182"/>
      <c r="CC366" s="87"/>
      <c r="CD366" s="87"/>
      <c r="DS366" s="182"/>
    </row>
    <row r="367" spans="1:123" s="70" customFormat="1" hidden="1" outlineLevel="1">
      <c r="A367" s="176"/>
      <c r="B367" s="185" t="s">
        <v>375</v>
      </c>
      <c r="C367" s="69"/>
      <c r="D367" s="69"/>
      <c r="E367" s="69"/>
      <c r="F367" s="69"/>
      <c r="H367" s="630"/>
      <c r="I367" s="630"/>
      <c r="J367" s="630"/>
      <c r="K367" s="630"/>
      <c r="L367" s="630"/>
      <c r="M367" s="86"/>
      <c r="N367" s="86"/>
      <c r="O367" s="86"/>
      <c r="P367" s="86"/>
      <c r="Q367" s="86"/>
      <c r="R367" s="86"/>
      <c r="S367" s="86"/>
      <c r="T367" s="86"/>
      <c r="U367" s="86"/>
      <c r="V367" s="86"/>
      <c r="W367" s="86"/>
      <c r="X367" s="86"/>
      <c r="Y367" s="177"/>
      <c r="Z367" s="168"/>
      <c r="AA367" s="168"/>
      <c r="AB367" s="177"/>
      <c r="AC367" s="183"/>
      <c r="AD367" s="809"/>
      <c r="AE367" s="809"/>
      <c r="AF367" s="168"/>
      <c r="AG367" s="809"/>
      <c r="AH367" s="168"/>
      <c r="AI367" s="810">
        <f>SUM(AI362:AI366)</f>
        <v>60.202449999999999</v>
      </c>
      <c r="AJ367" s="168"/>
      <c r="AK367" s="810">
        <f>SUM(AK362:AK366)</f>
        <v>61.127850000000002</v>
      </c>
      <c r="AL367" s="810"/>
      <c r="AM367" s="810">
        <f>SUM(AM362:AM366)</f>
        <v>0</v>
      </c>
      <c r="AN367" s="810"/>
      <c r="AO367" s="810">
        <f>SUM(AO362:AO366)</f>
        <v>0</v>
      </c>
      <c r="AP367" s="811"/>
      <c r="AQ367" s="810">
        <f t="shared" ref="AQ367:AZ367" si="483">SUM(AQ362:AQ366)</f>
        <v>0</v>
      </c>
      <c r="AR367" s="810">
        <f t="shared" si="483"/>
        <v>0</v>
      </c>
      <c r="AS367" s="810">
        <f t="shared" si="483"/>
        <v>0</v>
      </c>
      <c r="AT367" s="810">
        <f t="shared" si="483"/>
        <v>0</v>
      </c>
      <c r="AU367" s="810">
        <f t="shared" si="483"/>
        <v>0</v>
      </c>
      <c r="AV367" s="810">
        <f t="shared" si="483"/>
        <v>0</v>
      </c>
      <c r="AW367" s="810">
        <f t="shared" si="483"/>
        <v>0</v>
      </c>
      <c r="AX367" s="810">
        <f t="shared" si="483"/>
        <v>0</v>
      </c>
      <c r="AY367" s="810">
        <f t="shared" si="483"/>
        <v>0</v>
      </c>
      <c r="AZ367" s="810">
        <f t="shared" si="483"/>
        <v>0</v>
      </c>
      <c r="BA367" s="573"/>
      <c r="BB367" s="573"/>
      <c r="BC367" s="573"/>
      <c r="BD367" s="573"/>
      <c r="BE367" s="573"/>
      <c r="BF367" s="573"/>
      <c r="BG367" s="573"/>
      <c r="BH367" s="55"/>
      <c r="BI367" s="92"/>
      <c r="BJ367" s="92"/>
      <c r="BK367" s="92"/>
      <c r="BL367" s="92"/>
      <c r="BM367" s="92"/>
      <c r="BN367" s="92"/>
      <c r="BO367" s="171"/>
      <c r="BP367" s="820">
        <f>45327/1000</f>
        <v>45.326999999999998</v>
      </c>
      <c r="BQ367" s="820">
        <f>54817/1000</f>
        <v>54.817</v>
      </c>
      <c r="BR367" s="820">
        <f>54817/1000</f>
        <v>54.817</v>
      </c>
      <c r="BS367" s="820">
        <f>54817/1000</f>
        <v>54.817</v>
      </c>
      <c r="BT367" s="820"/>
      <c r="BU367" s="824"/>
      <c r="BV367" s="182"/>
      <c r="BW367" s="182"/>
      <c r="BX367" s="182"/>
      <c r="BY367" s="182"/>
      <c r="BZ367" s="182"/>
      <c r="CC367" s="87"/>
      <c r="CD367" s="87"/>
      <c r="DS367" s="182"/>
    </row>
    <row r="368" spans="1:123" s="70" customFormat="1" hidden="1" outlineLevel="1">
      <c r="A368" s="176"/>
      <c r="B368" s="186" t="s">
        <v>426</v>
      </c>
      <c r="C368" s="69"/>
      <c r="D368" s="69"/>
      <c r="E368" s="69"/>
      <c r="F368" s="69"/>
      <c r="H368" s="630"/>
      <c r="I368" s="630"/>
      <c r="J368" s="630"/>
      <c r="K368" s="630"/>
      <c r="L368" s="630"/>
      <c r="M368" s="86"/>
      <c r="N368" s="86"/>
      <c r="O368" s="86"/>
      <c r="P368" s="86"/>
      <c r="Q368" s="86"/>
      <c r="R368" s="86"/>
      <c r="S368" s="86"/>
      <c r="T368" s="86"/>
      <c r="U368" s="86"/>
      <c r="V368" s="86"/>
      <c r="W368" s="86"/>
      <c r="X368" s="86"/>
      <c r="Y368" s="177"/>
      <c r="Z368" s="168"/>
      <c r="AA368" s="168"/>
      <c r="AB368" s="177"/>
      <c r="AC368" s="183"/>
      <c r="AD368" s="809"/>
      <c r="AE368" s="809"/>
      <c r="AF368" s="168"/>
      <c r="AG368" s="809"/>
      <c r="AH368" s="168"/>
      <c r="AI368" s="802">
        <v>0.05</v>
      </c>
      <c r="AJ368" s="168"/>
      <c r="AK368" s="802">
        <v>0.05</v>
      </c>
      <c r="AL368" s="802"/>
      <c r="AM368" s="802">
        <v>0.05</v>
      </c>
      <c r="AN368" s="802"/>
      <c r="AO368" s="802">
        <v>0.05</v>
      </c>
      <c r="AP368" s="813"/>
      <c r="AQ368" s="802">
        <v>0.05</v>
      </c>
      <c r="AR368" s="802">
        <v>0.05</v>
      </c>
      <c r="AS368" s="802">
        <v>0.05</v>
      </c>
      <c r="AT368" s="802">
        <v>0.05</v>
      </c>
      <c r="AU368" s="802">
        <v>0.05</v>
      </c>
      <c r="AV368" s="802">
        <v>0.05</v>
      </c>
      <c r="AW368" s="802">
        <v>0.05</v>
      </c>
      <c r="AX368" s="802">
        <v>0.05</v>
      </c>
      <c r="AY368" s="802">
        <v>0.05</v>
      </c>
      <c r="AZ368" s="802">
        <v>0.05</v>
      </c>
      <c r="BA368" s="573"/>
      <c r="BB368" s="573"/>
      <c r="BC368" s="573"/>
      <c r="BD368" s="573"/>
      <c r="BE368" s="573"/>
      <c r="BF368" s="573"/>
      <c r="BG368" s="573"/>
      <c r="BH368" s="55"/>
      <c r="BI368" s="92"/>
      <c r="BJ368" s="92"/>
      <c r="BK368" s="92"/>
      <c r="BL368" s="92"/>
      <c r="BM368" s="92"/>
      <c r="BN368" s="92"/>
      <c r="BO368" s="171"/>
      <c r="BP368" s="761">
        <f>BP363/BP355</f>
        <v>7.5271936185641763E-2</v>
      </c>
      <c r="BQ368" s="761">
        <f>BQ363/BQ355</f>
        <v>9.6795490325529421E-2</v>
      </c>
      <c r="BR368" s="761">
        <f>BR363/BR355</f>
        <v>8.8479142875711403E-2</v>
      </c>
      <c r="BS368" s="761">
        <f>BS363/BS355</f>
        <v>8.1478758239785232E-2</v>
      </c>
      <c r="BT368" s="761"/>
      <c r="BU368" s="799"/>
      <c r="BV368" s="182"/>
      <c r="BW368" s="182"/>
      <c r="BX368" s="182"/>
      <c r="BY368" s="182"/>
      <c r="BZ368" s="182"/>
      <c r="CC368" s="87"/>
      <c r="CD368" s="87"/>
      <c r="DS368" s="182"/>
    </row>
    <row r="369" spans="1:123" s="70" customFormat="1" hidden="1" outlineLevel="1">
      <c r="A369" s="176"/>
      <c r="B369" s="185"/>
      <c r="C369" s="69"/>
      <c r="D369" s="69"/>
      <c r="E369" s="69"/>
      <c r="F369" s="69"/>
      <c r="H369" s="630"/>
      <c r="I369" s="630"/>
      <c r="J369" s="630"/>
      <c r="K369" s="630"/>
      <c r="L369" s="630"/>
      <c r="M369" s="86"/>
      <c r="N369" s="86"/>
      <c r="O369" s="86"/>
      <c r="P369" s="86"/>
      <c r="Q369" s="86"/>
      <c r="R369" s="86"/>
      <c r="S369" s="86"/>
      <c r="T369" s="86"/>
      <c r="U369" s="86"/>
      <c r="V369" s="86"/>
      <c r="W369" s="86"/>
      <c r="X369" s="86"/>
      <c r="Y369" s="177"/>
      <c r="Z369" s="168"/>
      <c r="AA369" s="168"/>
      <c r="AB369" s="177"/>
      <c r="AC369" s="183"/>
      <c r="AD369" s="809"/>
      <c r="AE369" s="809"/>
      <c r="AF369" s="168"/>
      <c r="AG369" s="809"/>
      <c r="AH369" s="168"/>
      <c r="AI369" s="810"/>
      <c r="AJ369" s="168"/>
      <c r="AK369" s="663"/>
      <c r="AL369" s="663"/>
      <c r="AM369" s="663"/>
      <c r="AN369" s="663"/>
      <c r="AO369" s="663"/>
      <c r="AP369" s="762"/>
      <c r="AQ369" s="663"/>
      <c r="AR369" s="663"/>
      <c r="AS369" s="663"/>
      <c r="AT369" s="663"/>
      <c r="AU369" s="663"/>
      <c r="AV369" s="663"/>
      <c r="AW369" s="663"/>
      <c r="AX369" s="663"/>
      <c r="AY369" s="663"/>
      <c r="AZ369" s="663"/>
      <c r="BA369" s="573"/>
      <c r="BB369" s="573"/>
      <c r="BC369" s="573"/>
      <c r="BD369" s="573"/>
      <c r="BE369" s="573"/>
      <c r="BF369" s="573"/>
      <c r="BG369" s="573"/>
      <c r="BH369" s="55"/>
      <c r="BI369" s="92"/>
      <c r="BJ369" s="92"/>
      <c r="BK369" s="92"/>
      <c r="BL369" s="92"/>
      <c r="BM369" s="92"/>
      <c r="BN369" s="92"/>
      <c r="BO369" s="171"/>
      <c r="BP369" s="810"/>
      <c r="BQ369" s="810"/>
      <c r="BR369" s="810"/>
      <c r="BS369" s="810"/>
      <c r="BT369" s="810"/>
      <c r="BU369" s="811"/>
      <c r="BV369" s="182"/>
      <c r="BW369" s="182"/>
      <c r="BX369" s="182"/>
      <c r="BY369" s="182"/>
      <c r="BZ369" s="182"/>
      <c r="CC369" s="87"/>
      <c r="CD369" s="87"/>
      <c r="DS369" s="182"/>
    </row>
    <row r="370" spans="1:123" s="70" customFormat="1" hidden="1" outlineLevel="1">
      <c r="A370" s="176"/>
      <c r="B370" s="186" t="s">
        <v>382</v>
      </c>
      <c r="C370" s="69"/>
      <c r="D370" s="69"/>
      <c r="E370" s="69"/>
      <c r="F370" s="69"/>
      <c r="H370" s="630"/>
      <c r="I370" s="630"/>
      <c r="J370" s="630"/>
      <c r="K370" s="630"/>
      <c r="L370" s="630"/>
      <c r="M370" s="86"/>
      <c r="N370" s="86"/>
      <c r="O370" s="86"/>
      <c r="P370" s="86"/>
      <c r="Q370" s="86"/>
      <c r="R370" s="86"/>
      <c r="S370" s="86"/>
      <c r="T370" s="86"/>
      <c r="U370" s="86"/>
      <c r="V370" s="86"/>
      <c r="W370" s="86"/>
      <c r="X370" s="86"/>
      <c r="Y370" s="177"/>
      <c r="Z370" s="168"/>
      <c r="AA370" s="168"/>
      <c r="AB370" s="177"/>
      <c r="AC370" s="183"/>
      <c r="AD370" s="809"/>
      <c r="AE370" s="809"/>
      <c r="AF370" s="168"/>
      <c r="AG370" s="809"/>
      <c r="AH370" s="168"/>
      <c r="AI370" s="810">
        <f>BQ371</f>
        <v>52.892000000000003</v>
      </c>
      <c r="AJ370" s="168"/>
      <c r="AK370" s="810">
        <f>BS371</f>
        <v>71.399999999999977</v>
      </c>
      <c r="AL370" s="810"/>
      <c r="AM370" s="810">
        <f>BU371</f>
        <v>0</v>
      </c>
      <c r="AN370" s="810"/>
      <c r="AO370" s="810">
        <f>BW371</f>
        <v>0</v>
      </c>
      <c r="AP370" s="811"/>
      <c r="AQ370" s="810">
        <f t="shared" ref="AQ370:AZ370" si="484">AP371</f>
        <v>0</v>
      </c>
      <c r="AR370" s="810">
        <f t="shared" si="484"/>
        <v>0</v>
      </c>
      <c r="AS370" s="810">
        <f t="shared" si="484"/>
        <v>0</v>
      </c>
      <c r="AT370" s="810">
        <f t="shared" si="484"/>
        <v>0</v>
      </c>
      <c r="AU370" s="810">
        <f t="shared" si="484"/>
        <v>0</v>
      </c>
      <c r="AV370" s="810">
        <f t="shared" si="484"/>
        <v>0</v>
      </c>
      <c r="AW370" s="810">
        <f t="shared" si="484"/>
        <v>0</v>
      </c>
      <c r="AX370" s="810">
        <f t="shared" si="484"/>
        <v>0</v>
      </c>
      <c r="AY370" s="810">
        <f t="shared" si="484"/>
        <v>0</v>
      </c>
      <c r="AZ370" s="810">
        <f t="shared" si="484"/>
        <v>0</v>
      </c>
      <c r="BA370" s="573"/>
      <c r="BB370" s="573"/>
      <c r="BC370" s="573"/>
      <c r="BD370" s="573"/>
      <c r="BE370" s="573"/>
      <c r="BF370" s="573"/>
      <c r="BG370" s="573"/>
      <c r="BH370" s="55"/>
      <c r="BI370" s="92"/>
      <c r="BJ370" s="92"/>
      <c r="BK370" s="92"/>
      <c r="BL370" s="92"/>
      <c r="BM370" s="92"/>
      <c r="BN370" s="92"/>
      <c r="BO370" s="171"/>
      <c r="BP370" s="798">
        <f>57663/1000</f>
        <v>57.662999999999997</v>
      </c>
      <c r="BQ370" s="761">
        <f>BP371</f>
        <v>53.128</v>
      </c>
      <c r="BR370" s="761">
        <f>BQ371</f>
        <v>52.892000000000003</v>
      </c>
      <c r="BS370" s="761">
        <f>BR371</f>
        <v>62.145999999999994</v>
      </c>
      <c r="BT370" s="761"/>
      <c r="BU370" s="799"/>
      <c r="BV370" s="182"/>
      <c r="BW370" s="182"/>
      <c r="BX370" s="182"/>
      <c r="BY370" s="182"/>
      <c r="BZ370" s="182"/>
      <c r="CC370" s="87"/>
      <c r="CD370" s="87"/>
      <c r="DS370" s="182"/>
    </row>
    <row r="371" spans="1:123" s="70" customFormat="1" hidden="1" outlineLevel="1">
      <c r="A371" s="176"/>
      <c r="B371" s="186" t="s">
        <v>383</v>
      </c>
      <c r="C371" s="69"/>
      <c r="D371" s="69"/>
      <c r="E371" s="69"/>
      <c r="F371" s="69"/>
      <c r="H371" s="630"/>
      <c r="I371" s="630"/>
      <c r="J371" s="630"/>
      <c r="K371" s="630"/>
      <c r="L371" s="630"/>
      <c r="M371" s="86"/>
      <c r="N371" s="86"/>
      <c r="O371" s="86"/>
      <c r="P371" s="86"/>
      <c r="Q371" s="86"/>
      <c r="R371" s="86"/>
      <c r="S371" s="86"/>
      <c r="T371" s="86"/>
      <c r="U371" s="86"/>
      <c r="V371" s="86"/>
      <c r="W371" s="86"/>
      <c r="X371" s="86"/>
      <c r="Y371" s="177"/>
      <c r="Z371" s="168"/>
      <c r="AA371" s="168"/>
      <c r="AB371" s="177"/>
      <c r="AC371" s="183"/>
      <c r="AD371" s="809"/>
      <c r="AE371" s="809"/>
      <c r="AF371" s="168"/>
      <c r="AG371" s="809"/>
      <c r="AH371" s="168"/>
      <c r="AI371" s="810">
        <f>AI360-AI367</f>
        <v>52.89200000000001</v>
      </c>
      <c r="AJ371" s="168"/>
      <c r="AK371" s="810">
        <f>AK360-AK367</f>
        <v>71.399999999999977</v>
      </c>
      <c r="AL371" s="810"/>
      <c r="AM371" s="810">
        <f>AM360-AM367</f>
        <v>0</v>
      </c>
      <c r="AN371" s="810"/>
      <c r="AO371" s="810">
        <f>AO360-AO367</f>
        <v>0</v>
      </c>
      <c r="AP371" s="811"/>
      <c r="AQ371" s="810">
        <f t="shared" ref="AQ371:AZ371" si="485">AQ360-AQ367</f>
        <v>0</v>
      </c>
      <c r="AR371" s="810">
        <f t="shared" si="485"/>
        <v>0</v>
      </c>
      <c r="AS371" s="810">
        <f t="shared" si="485"/>
        <v>0</v>
      </c>
      <c r="AT371" s="810">
        <f t="shared" si="485"/>
        <v>0</v>
      </c>
      <c r="AU371" s="810">
        <f t="shared" si="485"/>
        <v>0</v>
      </c>
      <c r="AV371" s="810">
        <f t="shared" si="485"/>
        <v>0</v>
      </c>
      <c r="AW371" s="810">
        <f t="shared" si="485"/>
        <v>0</v>
      </c>
      <c r="AX371" s="810">
        <f t="shared" si="485"/>
        <v>0</v>
      </c>
      <c r="AY371" s="810">
        <f t="shared" si="485"/>
        <v>0</v>
      </c>
      <c r="AZ371" s="810">
        <f t="shared" si="485"/>
        <v>0</v>
      </c>
      <c r="BA371" s="573"/>
      <c r="BB371" s="573"/>
      <c r="BC371" s="573"/>
      <c r="BD371" s="573"/>
      <c r="BE371" s="573"/>
      <c r="BF371" s="573"/>
      <c r="BG371" s="573"/>
      <c r="BH371" s="55"/>
      <c r="BI371" s="92"/>
      <c r="BJ371" s="92"/>
      <c r="BK371" s="92"/>
      <c r="BL371" s="92"/>
      <c r="BM371" s="92"/>
      <c r="BN371" s="92"/>
      <c r="BO371" s="171"/>
      <c r="BP371" s="810">
        <f>BP360-BP367</f>
        <v>53.128</v>
      </c>
      <c r="BQ371" s="810">
        <f>BQ360-BQ367</f>
        <v>52.892000000000003</v>
      </c>
      <c r="BR371" s="810">
        <f>BR360-BR367</f>
        <v>62.145999999999994</v>
      </c>
      <c r="BS371" s="810">
        <f>BS360-BS367</f>
        <v>71.399999999999977</v>
      </c>
      <c r="BT371" s="810"/>
      <c r="BU371" s="811"/>
      <c r="BV371" s="182"/>
      <c r="BW371" s="182"/>
      <c r="BX371" s="182"/>
      <c r="BY371" s="182"/>
      <c r="BZ371" s="182"/>
      <c r="CC371" s="87"/>
      <c r="CD371" s="87"/>
      <c r="DS371" s="182"/>
    </row>
    <row r="372" spans="1:123" s="70" customFormat="1" hidden="1" outlineLevel="1">
      <c r="A372" s="176"/>
      <c r="B372" s="186"/>
      <c r="C372" s="69"/>
      <c r="D372" s="69"/>
      <c r="E372" s="69"/>
      <c r="F372" s="69"/>
      <c r="H372" s="630"/>
      <c r="I372" s="630"/>
      <c r="J372" s="630"/>
      <c r="K372" s="630"/>
      <c r="L372" s="630"/>
      <c r="M372" s="86"/>
      <c r="N372" s="86"/>
      <c r="O372" s="86"/>
      <c r="P372" s="86"/>
      <c r="Q372" s="86"/>
      <c r="R372" s="86"/>
      <c r="S372" s="86"/>
      <c r="T372" s="86"/>
      <c r="U372" s="86"/>
      <c r="V372" s="86"/>
      <c r="W372" s="86"/>
      <c r="X372" s="86"/>
      <c r="Y372" s="177"/>
      <c r="Z372" s="168"/>
      <c r="AA372" s="168"/>
      <c r="AB372" s="177"/>
      <c r="AC372" s="183"/>
      <c r="AD372" s="809"/>
      <c r="AE372" s="809"/>
      <c r="AF372" s="168"/>
      <c r="AG372" s="809"/>
      <c r="AH372" s="168"/>
      <c r="AI372" s="810"/>
      <c r="AJ372" s="168"/>
      <c r="AK372" s="663"/>
      <c r="AL372" s="663"/>
      <c r="AM372" s="663"/>
      <c r="AN372" s="663"/>
      <c r="AO372" s="663"/>
      <c r="AP372" s="762"/>
      <c r="AQ372" s="663"/>
      <c r="AR372" s="663"/>
      <c r="AS372" s="663"/>
      <c r="AT372" s="663"/>
      <c r="AU372" s="663"/>
      <c r="AV372" s="663"/>
      <c r="AW372" s="663"/>
      <c r="AX372" s="663"/>
      <c r="AY372" s="663"/>
      <c r="AZ372" s="663"/>
      <c r="BA372" s="573"/>
      <c r="BB372" s="573"/>
      <c r="BC372" s="573"/>
      <c r="BD372" s="573"/>
      <c r="BE372" s="573"/>
      <c r="BF372" s="573"/>
      <c r="BG372" s="573"/>
      <c r="BH372" s="55"/>
      <c r="BI372" s="92"/>
      <c r="BJ372" s="92"/>
      <c r="BK372" s="92"/>
      <c r="BL372" s="92"/>
      <c r="BM372" s="92"/>
      <c r="BN372" s="92"/>
      <c r="BO372" s="171"/>
      <c r="BP372" s="810"/>
      <c r="BQ372" s="810"/>
      <c r="BR372" s="810"/>
      <c r="BS372" s="810"/>
      <c r="BT372" s="810"/>
      <c r="BU372" s="811"/>
      <c r="BV372" s="182"/>
      <c r="BW372" s="182"/>
      <c r="BX372" s="182"/>
      <c r="BY372" s="182"/>
      <c r="BZ372" s="182"/>
      <c r="CC372" s="87"/>
      <c r="CD372" s="87"/>
      <c r="DS372" s="182"/>
    </row>
    <row r="373" spans="1:123" s="70" customFormat="1" hidden="1" outlineLevel="1">
      <c r="A373" s="176"/>
      <c r="B373" s="250" t="s">
        <v>384</v>
      </c>
      <c r="C373" s="69"/>
      <c r="D373" s="69"/>
      <c r="E373" s="69"/>
      <c r="F373" s="69"/>
      <c r="H373" s="630"/>
      <c r="I373" s="630"/>
      <c r="J373" s="630"/>
      <c r="K373" s="630"/>
      <c r="L373" s="630"/>
      <c r="M373" s="86"/>
      <c r="N373" s="86"/>
      <c r="O373" s="86"/>
      <c r="P373" s="86"/>
      <c r="Q373" s="86"/>
      <c r="R373" s="86"/>
      <c r="S373" s="86"/>
      <c r="T373" s="86"/>
      <c r="U373" s="86"/>
      <c r="V373" s="86"/>
      <c r="W373" s="86"/>
      <c r="X373" s="86"/>
      <c r="Y373" s="177"/>
      <c r="Z373" s="168"/>
      <c r="AA373" s="168"/>
      <c r="AB373" s="177"/>
      <c r="AC373" s="183"/>
      <c r="AD373" s="809"/>
      <c r="AE373" s="809"/>
      <c r="AF373" s="168"/>
      <c r="AG373" s="809"/>
      <c r="AH373" s="168"/>
      <c r="AI373" s="810">
        <f t="shared" ref="AI373:AK378" si="486">AI320+AI338+AI355</f>
        <v>529.19000000000005</v>
      </c>
      <c r="AJ373" s="168"/>
      <c r="AK373" s="810">
        <f t="shared" si="486"/>
        <v>722.08400000000006</v>
      </c>
      <c r="AL373" s="810"/>
      <c r="AM373" s="810">
        <f t="shared" ref="AM373:AO378" si="487">AM320+AM338+AM355</f>
        <v>0</v>
      </c>
      <c r="AN373" s="810"/>
      <c r="AO373" s="810">
        <f t="shared" si="487"/>
        <v>0</v>
      </c>
      <c r="AP373" s="811"/>
      <c r="AQ373" s="809">
        <f t="shared" ref="AQ373:AZ378" si="488">AQ320+AQ338+AQ355</f>
        <v>0</v>
      </c>
      <c r="AR373" s="809">
        <f t="shared" si="488"/>
        <v>0</v>
      </c>
      <c r="AS373" s="809">
        <f t="shared" si="488"/>
        <v>0</v>
      </c>
      <c r="AT373" s="809">
        <f t="shared" si="488"/>
        <v>0</v>
      </c>
      <c r="AU373" s="809">
        <f t="shared" si="488"/>
        <v>0</v>
      </c>
      <c r="AV373" s="809">
        <f t="shared" si="488"/>
        <v>0</v>
      </c>
      <c r="AW373" s="809">
        <f t="shared" si="488"/>
        <v>0</v>
      </c>
      <c r="AX373" s="809">
        <f t="shared" si="488"/>
        <v>0</v>
      </c>
      <c r="AY373" s="809">
        <f t="shared" si="488"/>
        <v>0</v>
      </c>
      <c r="AZ373" s="809">
        <f t="shared" si="488"/>
        <v>0</v>
      </c>
      <c r="BA373" s="573"/>
      <c r="BB373" s="573"/>
      <c r="BC373" s="573"/>
      <c r="BD373" s="573"/>
      <c r="BE373" s="573"/>
      <c r="BF373" s="573"/>
      <c r="BG373" s="573"/>
      <c r="BH373" s="55"/>
      <c r="BI373" s="92"/>
      <c r="BJ373" s="92"/>
      <c r="BK373" s="92"/>
      <c r="BL373" s="92"/>
      <c r="BM373" s="92"/>
      <c r="BN373" s="92"/>
      <c r="BO373" s="171"/>
      <c r="BP373" s="810">
        <f t="shared" ref="BP373:BS378" si="489">BP320+BP338+BP355</f>
        <v>439.11500000000001</v>
      </c>
      <c r="BQ373" s="810">
        <f t="shared" si="489"/>
        <v>429.74300000000005</v>
      </c>
      <c r="BR373" s="810">
        <f t="shared" si="489"/>
        <v>526.19000000000005</v>
      </c>
      <c r="BS373" s="810">
        <f t="shared" si="489"/>
        <v>622.63700000000006</v>
      </c>
      <c r="BT373" s="810"/>
      <c r="BU373" s="811"/>
      <c r="BV373" s="182"/>
      <c r="BW373" s="182"/>
      <c r="BX373" s="182"/>
      <c r="BY373" s="182"/>
      <c r="BZ373" s="182"/>
      <c r="CC373" s="87"/>
      <c r="CD373" s="87"/>
      <c r="DS373" s="182"/>
    </row>
    <row r="374" spans="1:123" s="70" customFormat="1" hidden="1" outlineLevel="1">
      <c r="A374" s="176"/>
      <c r="B374" s="186" t="s">
        <v>367</v>
      </c>
      <c r="C374" s="69"/>
      <c r="D374" s="69"/>
      <c r="E374" s="69"/>
      <c r="F374" s="69"/>
      <c r="H374" s="630"/>
      <c r="I374" s="630"/>
      <c r="J374" s="630"/>
      <c r="K374" s="630"/>
      <c r="L374" s="630"/>
      <c r="M374" s="86"/>
      <c r="N374" s="86"/>
      <c r="O374" s="86"/>
      <c r="P374" s="86"/>
      <c r="Q374" s="86"/>
      <c r="R374" s="86"/>
      <c r="S374" s="86"/>
      <c r="T374" s="86"/>
      <c r="U374" s="86"/>
      <c r="V374" s="86"/>
      <c r="W374" s="86"/>
      <c r="X374" s="86"/>
      <c r="Y374" s="177"/>
      <c r="Z374" s="168"/>
      <c r="AA374" s="168"/>
      <c r="AB374" s="177"/>
      <c r="AC374" s="183"/>
      <c r="AD374" s="809"/>
      <c r="AE374" s="809"/>
      <c r="AF374" s="168"/>
      <c r="AG374" s="809"/>
      <c r="AH374" s="168"/>
      <c r="AI374" s="810">
        <f t="shared" si="486"/>
        <v>5.5534500000000007</v>
      </c>
      <c r="AJ374" s="168"/>
      <c r="AK374" s="810">
        <f t="shared" si="486"/>
        <v>6.5347999999999997</v>
      </c>
      <c r="AL374" s="810"/>
      <c r="AM374" s="810">
        <f t="shared" si="487"/>
        <v>0</v>
      </c>
      <c r="AN374" s="810"/>
      <c r="AO374" s="810">
        <f t="shared" si="487"/>
        <v>0</v>
      </c>
      <c r="AP374" s="811"/>
      <c r="AQ374" s="809">
        <f t="shared" si="488"/>
        <v>0</v>
      </c>
      <c r="AR374" s="809">
        <f t="shared" si="488"/>
        <v>0</v>
      </c>
      <c r="AS374" s="809">
        <f t="shared" si="488"/>
        <v>0</v>
      </c>
      <c r="AT374" s="809">
        <f t="shared" si="488"/>
        <v>0</v>
      </c>
      <c r="AU374" s="809">
        <f t="shared" si="488"/>
        <v>0</v>
      </c>
      <c r="AV374" s="809">
        <f t="shared" si="488"/>
        <v>0</v>
      </c>
      <c r="AW374" s="809">
        <f t="shared" si="488"/>
        <v>0</v>
      </c>
      <c r="AX374" s="809">
        <f t="shared" si="488"/>
        <v>0</v>
      </c>
      <c r="AY374" s="809">
        <f t="shared" si="488"/>
        <v>0</v>
      </c>
      <c r="AZ374" s="809">
        <f t="shared" si="488"/>
        <v>0</v>
      </c>
      <c r="BA374" s="573"/>
      <c r="BB374" s="573"/>
      <c r="BC374" s="573"/>
      <c r="BD374" s="573"/>
      <c r="BE374" s="573"/>
      <c r="BF374" s="573"/>
      <c r="BG374" s="573"/>
      <c r="BH374" s="55"/>
      <c r="BI374" s="92"/>
      <c r="BJ374" s="92"/>
      <c r="BK374" s="92"/>
      <c r="BL374" s="92"/>
      <c r="BM374" s="92"/>
      <c r="BN374" s="92"/>
      <c r="BO374" s="171"/>
      <c r="BP374" s="810">
        <f t="shared" si="489"/>
        <v>2.665</v>
      </c>
      <c r="BQ374" s="810">
        <f t="shared" si="489"/>
        <v>0.38</v>
      </c>
      <c r="BR374" s="810">
        <f t="shared" si="489"/>
        <v>0.38</v>
      </c>
      <c r="BS374" s="810">
        <f t="shared" si="489"/>
        <v>0.38</v>
      </c>
      <c r="BT374" s="810"/>
      <c r="BU374" s="811"/>
      <c r="BV374" s="182"/>
      <c r="BW374" s="182"/>
      <c r="BX374" s="182"/>
      <c r="BY374" s="182"/>
      <c r="BZ374" s="182"/>
      <c r="CC374" s="87"/>
      <c r="CD374" s="87"/>
      <c r="DS374" s="182"/>
    </row>
    <row r="375" spans="1:123" s="70" customFormat="1" hidden="1" outlineLevel="1">
      <c r="A375" s="176"/>
      <c r="B375" s="186" t="s">
        <v>368</v>
      </c>
      <c r="C375" s="69"/>
      <c r="D375" s="69"/>
      <c r="E375" s="69"/>
      <c r="F375" s="69"/>
      <c r="H375" s="630"/>
      <c r="I375" s="630"/>
      <c r="J375" s="630"/>
      <c r="K375" s="630"/>
      <c r="L375" s="630"/>
      <c r="M375" s="86"/>
      <c r="N375" s="86"/>
      <c r="O375" s="86"/>
      <c r="P375" s="86"/>
      <c r="Q375" s="86"/>
      <c r="R375" s="86"/>
      <c r="S375" s="86"/>
      <c r="T375" s="86"/>
      <c r="U375" s="86"/>
      <c r="V375" s="86"/>
      <c r="W375" s="86"/>
      <c r="X375" s="86"/>
      <c r="Y375" s="177"/>
      <c r="Z375" s="168"/>
      <c r="AA375" s="168"/>
      <c r="AB375" s="177"/>
      <c r="AC375" s="183"/>
      <c r="AD375" s="809"/>
      <c r="AE375" s="809"/>
      <c r="AF375" s="168"/>
      <c r="AG375" s="809"/>
      <c r="AH375" s="168"/>
      <c r="AI375" s="810">
        <f t="shared" si="486"/>
        <v>0</v>
      </c>
      <c r="AJ375" s="168"/>
      <c r="AK375" s="810">
        <f t="shared" si="486"/>
        <v>0</v>
      </c>
      <c r="AL375" s="810"/>
      <c r="AM375" s="810">
        <f t="shared" si="487"/>
        <v>0</v>
      </c>
      <c r="AN375" s="810"/>
      <c r="AO375" s="810">
        <f t="shared" si="487"/>
        <v>0</v>
      </c>
      <c r="AP375" s="811"/>
      <c r="AQ375" s="809">
        <f t="shared" si="488"/>
        <v>0</v>
      </c>
      <c r="AR375" s="809">
        <f t="shared" si="488"/>
        <v>0</v>
      </c>
      <c r="AS375" s="809">
        <f t="shared" si="488"/>
        <v>0</v>
      </c>
      <c r="AT375" s="809">
        <f t="shared" si="488"/>
        <v>0</v>
      </c>
      <c r="AU375" s="809">
        <f t="shared" si="488"/>
        <v>0</v>
      </c>
      <c r="AV375" s="809">
        <f t="shared" si="488"/>
        <v>0</v>
      </c>
      <c r="AW375" s="809">
        <f t="shared" si="488"/>
        <v>0</v>
      </c>
      <c r="AX375" s="809">
        <f t="shared" si="488"/>
        <v>0</v>
      </c>
      <c r="AY375" s="809">
        <f t="shared" si="488"/>
        <v>0</v>
      </c>
      <c r="AZ375" s="809">
        <f t="shared" si="488"/>
        <v>0</v>
      </c>
      <c r="BA375" s="573"/>
      <c r="BB375" s="573"/>
      <c r="BC375" s="573"/>
      <c r="BD375" s="573"/>
      <c r="BE375" s="573"/>
      <c r="BF375" s="573"/>
      <c r="BG375" s="573"/>
      <c r="BH375" s="55"/>
      <c r="BI375" s="92"/>
      <c r="BJ375" s="92"/>
      <c r="BK375" s="92"/>
      <c r="BL375" s="92"/>
      <c r="BM375" s="92"/>
      <c r="BN375" s="92"/>
      <c r="BO375" s="171"/>
      <c r="BP375" s="810">
        <f t="shared" si="489"/>
        <v>8.5779999999999994</v>
      </c>
      <c r="BQ375" s="810">
        <f t="shared" si="489"/>
        <v>139.23699999999999</v>
      </c>
      <c r="BR375" s="810">
        <f t="shared" si="489"/>
        <v>139.23699999999999</v>
      </c>
      <c r="BS375" s="810">
        <f t="shared" si="489"/>
        <v>139.23699999999999</v>
      </c>
      <c r="BT375" s="810"/>
      <c r="BU375" s="811"/>
      <c r="BV375" s="182"/>
      <c r="BW375" s="182"/>
      <c r="BX375" s="182"/>
      <c r="BY375" s="182"/>
      <c r="BZ375" s="182"/>
      <c r="CC375" s="87"/>
      <c r="CD375" s="87"/>
      <c r="DS375" s="182"/>
    </row>
    <row r="376" spans="1:123" s="70" customFormat="1" hidden="1" outlineLevel="1">
      <c r="A376" s="176"/>
      <c r="B376" s="186" t="s">
        <v>369</v>
      </c>
      <c r="C376" s="69"/>
      <c r="D376" s="69"/>
      <c r="E376" s="69"/>
      <c r="F376" s="69"/>
      <c r="H376" s="630"/>
      <c r="I376" s="630"/>
      <c r="J376" s="630"/>
      <c r="K376" s="630"/>
      <c r="L376" s="630"/>
      <c r="M376" s="86"/>
      <c r="N376" s="86"/>
      <c r="O376" s="86"/>
      <c r="P376" s="86"/>
      <c r="Q376" s="86"/>
      <c r="R376" s="86"/>
      <c r="S376" s="86"/>
      <c r="T376" s="86"/>
      <c r="U376" s="86"/>
      <c r="V376" s="86"/>
      <c r="W376" s="86"/>
      <c r="X376" s="86"/>
      <c r="Y376" s="177"/>
      <c r="Z376" s="168"/>
      <c r="AA376" s="168"/>
      <c r="AB376" s="177"/>
      <c r="AC376" s="183"/>
      <c r="AD376" s="809"/>
      <c r="AE376" s="809"/>
      <c r="AF376" s="168"/>
      <c r="AG376" s="809"/>
      <c r="AH376" s="168"/>
      <c r="AI376" s="810">
        <f t="shared" si="486"/>
        <v>0</v>
      </c>
      <c r="AJ376" s="168"/>
      <c r="AK376" s="810">
        <f t="shared" si="486"/>
        <v>0</v>
      </c>
      <c r="AL376" s="810"/>
      <c r="AM376" s="810">
        <f t="shared" si="487"/>
        <v>0</v>
      </c>
      <c r="AN376" s="810"/>
      <c r="AO376" s="810">
        <f t="shared" si="487"/>
        <v>0</v>
      </c>
      <c r="AP376" s="811"/>
      <c r="AQ376" s="809">
        <f t="shared" si="488"/>
        <v>0</v>
      </c>
      <c r="AR376" s="809">
        <f t="shared" si="488"/>
        <v>0</v>
      </c>
      <c r="AS376" s="809">
        <f t="shared" si="488"/>
        <v>0</v>
      </c>
      <c r="AT376" s="809">
        <f t="shared" si="488"/>
        <v>0</v>
      </c>
      <c r="AU376" s="809">
        <f t="shared" si="488"/>
        <v>0</v>
      </c>
      <c r="AV376" s="809">
        <f t="shared" si="488"/>
        <v>0</v>
      </c>
      <c r="AW376" s="809">
        <f t="shared" si="488"/>
        <v>0</v>
      </c>
      <c r="AX376" s="809">
        <f t="shared" si="488"/>
        <v>0</v>
      </c>
      <c r="AY376" s="809">
        <f t="shared" si="488"/>
        <v>0</v>
      </c>
      <c r="AZ376" s="809">
        <f t="shared" si="488"/>
        <v>0</v>
      </c>
      <c r="BA376" s="573"/>
      <c r="BB376" s="573"/>
      <c r="BC376" s="573"/>
      <c r="BD376" s="573"/>
      <c r="BE376" s="573"/>
      <c r="BF376" s="573"/>
      <c r="BG376" s="573"/>
      <c r="BH376" s="55"/>
      <c r="BI376" s="92"/>
      <c r="BJ376" s="92"/>
      <c r="BK376" s="92"/>
      <c r="BL376" s="92"/>
      <c r="BM376" s="92"/>
      <c r="BN376" s="92"/>
      <c r="BO376" s="171"/>
      <c r="BP376" s="810">
        <f t="shared" si="489"/>
        <v>-12.233000000000001</v>
      </c>
      <c r="BQ376" s="810">
        <f t="shared" si="489"/>
        <v>-39.573</v>
      </c>
      <c r="BR376" s="810">
        <f t="shared" si="489"/>
        <v>-39.573</v>
      </c>
      <c r="BS376" s="810">
        <f t="shared" si="489"/>
        <v>-39.573</v>
      </c>
      <c r="BT376" s="810"/>
      <c r="BU376" s="811"/>
      <c r="BV376" s="182"/>
      <c r="BW376" s="182"/>
      <c r="BX376" s="182"/>
      <c r="BY376" s="182"/>
      <c r="BZ376" s="182"/>
      <c r="CC376" s="87"/>
      <c r="CD376" s="87"/>
      <c r="DS376" s="182"/>
    </row>
    <row r="377" spans="1:123" s="70" customFormat="1" hidden="1" outlineLevel="1">
      <c r="A377" s="176"/>
      <c r="B377" s="186" t="s">
        <v>370</v>
      </c>
      <c r="C377" s="69"/>
      <c r="D377" s="69"/>
      <c r="E377" s="69"/>
      <c r="F377" s="69"/>
      <c r="H377" s="630"/>
      <c r="I377" s="630"/>
      <c r="J377" s="630"/>
      <c r="K377" s="630"/>
      <c r="L377" s="630"/>
      <c r="M377" s="86"/>
      <c r="N377" s="86"/>
      <c r="O377" s="86"/>
      <c r="P377" s="86"/>
      <c r="Q377" s="86"/>
      <c r="R377" s="86"/>
      <c r="S377" s="86"/>
      <c r="T377" s="86"/>
      <c r="U377" s="86"/>
      <c r="V377" s="86"/>
      <c r="W377" s="86"/>
      <c r="X377" s="86"/>
      <c r="Y377" s="177"/>
      <c r="Z377" s="168"/>
      <c r="AA377" s="168"/>
      <c r="AB377" s="177"/>
      <c r="AC377" s="183"/>
      <c r="AD377" s="809"/>
      <c r="AE377" s="809"/>
      <c r="AF377" s="168"/>
      <c r="AG377" s="809"/>
      <c r="AH377" s="168"/>
      <c r="AI377" s="810">
        <f t="shared" si="486"/>
        <v>0</v>
      </c>
      <c r="AJ377" s="168"/>
      <c r="AK377" s="810">
        <f t="shared" si="486"/>
        <v>0</v>
      </c>
      <c r="AL377" s="810"/>
      <c r="AM377" s="810">
        <f t="shared" si="487"/>
        <v>0</v>
      </c>
      <c r="AN377" s="810"/>
      <c r="AO377" s="810">
        <f t="shared" si="487"/>
        <v>0</v>
      </c>
      <c r="AP377" s="811"/>
      <c r="AQ377" s="809">
        <f t="shared" si="488"/>
        <v>0</v>
      </c>
      <c r="AR377" s="809">
        <f t="shared" si="488"/>
        <v>0</v>
      </c>
      <c r="AS377" s="809">
        <f t="shared" si="488"/>
        <v>0</v>
      </c>
      <c r="AT377" s="809">
        <f t="shared" si="488"/>
        <v>0</v>
      </c>
      <c r="AU377" s="809">
        <f t="shared" si="488"/>
        <v>0</v>
      </c>
      <c r="AV377" s="809">
        <f t="shared" si="488"/>
        <v>0</v>
      </c>
      <c r="AW377" s="809">
        <f t="shared" si="488"/>
        <v>0</v>
      </c>
      <c r="AX377" s="809">
        <f t="shared" si="488"/>
        <v>0</v>
      </c>
      <c r="AY377" s="809">
        <f t="shared" si="488"/>
        <v>0</v>
      </c>
      <c r="AZ377" s="809">
        <f t="shared" si="488"/>
        <v>0</v>
      </c>
      <c r="BA377" s="573"/>
      <c r="BB377" s="573"/>
      <c r="BC377" s="573"/>
      <c r="BD377" s="573"/>
      <c r="BE377" s="573"/>
      <c r="BF377" s="573"/>
      <c r="BG377" s="573"/>
      <c r="BH377" s="55"/>
      <c r="BI377" s="92"/>
      <c r="BJ377" s="92"/>
      <c r="BK377" s="92"/>
      <c r="BL377" s="92"/>
      <c r="BM377" s="92"/>
      <c r="BN377" s="92"/>
      <c r="BO377" s="171"/>
      <c r="BP377" s="810">
        <f t="shared" si="489"/>
        <v>-2.9329999999999998</v>
      </c>
      <c r="BQ377" s="810">
        <f t="shared" si="489"/>
        <v>-0.59699999999999998</v>
      </c>
      <c r="BR377" s="810">
        <f t="shared" si="489"/>
        <v>-0.59699999999999998</v>
      </c>
      <c r="BS377" s="810">
        <f t="shared" si="489"/>
        <v>-0.59699999999999998</v>
      </c>
      <c r="BT377" s="810"/>
      <c r="BU377" s="811"/>
      <c r="BV377" s="182"/>
      <c r="BW377" s="182"/>
      <c r="BX377" s="182"/>
      <c r="BY377" s="182"/>
      <c r="BZ377" s="182"/>
      <c r="CC377" s="87"/>
      <c r="CD377" s="87"/>
      <c r="DS377" s="182"/>
    </row>
    <row r="378" spans="1:123" s="70" customFormat="1" hidden="1" outlineLevel="1">
      <c r="A378" s="176"/>
      <c r="B378" s="186" t="s">
        <v>371</v>
      </c>
      <c r="C378" s="69"/>
      <c r="D378" s="69"/>
      <c r="E378" s="69"/>
      <c r="F378" s="69"/>
      <c r="H378" s="630"/>
      <c r="I378" s="630"/>
      <c r="J378" s="630"/>
      <c r="K378" s="630"/>
      <c r="L378" s="630"/>
      <c r="M378" s="86"/>
      <c r="N378" s="86"/>
      <c r="O378" s="86"/>
      <c r="P378" s="86"/>
      <c r="Q378" s="86"/>
      <c r="R378" s="86"/>
      <c r="S378" s="86"/>
      <c r="T378" s="86"/>
      <c r="U378" s="86"/>
      <c r="V378" s="86"/>
      <c r="W378" s="86"/>
      <c r="X378" s="86"/>
      <c r="Y378" s="177"/>
      <c r="Z378" s="168"/>
      <c r="AA378" s="168"/>
      <c r="AB378" s="177"/>
      <c r="AC378" s="183"/>
      <c r="AD378" s="809"/>
      <c r="AE378" s="809"/>
      <c r="AF378" s="168"/>
      <c r="AG378" s="809"/>
      <c r="AH378" s="168"/>
      <c r="AI378" s="816">
        <f t="shared" si="486"/>
        <v>534.74345000000017</v>
      </c>
      <c r="AJ378" s="168"/>
      <c r="AK378" s="816">
        <f t="shared" si="486"/>
        <v>728.61880000000008</v>
      </c>
      <c r="AL378" s="816"/>
      <c r="AM378" s="816">
        <f t="shared" si="487"/>
        <v>0</v>
      </c>
      <c r="AN378" s="816"/>
      <c r="AO378" s="816">
        <f t="shared" si="487"/>
        <v>0</v>
      </c>
      <c r="AP378" s="817"/>
      <c r="AQ378" s="815">
        <f t="shared" si="488"/>
        <v>0</v>
      </c>
      <c r="AR378" s="815">
        <f t="shared" si="488"/>
        <v>0</v>
      </c>
      <c r="AS378" s="815">
        <f t="shared" si="488"/>
        <v>0</v>
      </c>
      <c r="AT378" s="815">
        <f t="shared" si="488"/>
        <v>0</v>
      </c>
      <c r="AU378" s="815">
        <f t="shared" si="488"/>
        <v>0</v>
      </c>
      <c r="AV378" s="815">
        <f t="shared" si="488"/>
        <v>0</v>
      </c>
      <c r="AW378" s="815">
        <f t="shared" si="488"/>
        <v>0</v>
      </c>
      <c r="AX378" s="815">
        <f t="shared" si="488"/>
        <v>0</v>
      </c>
      <c r="AY378" s="815">
        <f t="shared" si="488"/>
        <v>0</v>
      </c>
      <c r="AZ378" s="815">
        <f t="shared" si="488"/>
        <v>0</v>
      </c>
      <c r="BA378" s="573"/>
      <c r="BB378" s="573"/>
      <c r="BC378" s="573"/>
      <c r="BD378" s="573"/>
      <c r="BE378" s="573"/>
      <c r="BF378" s="573"/>
      <c r="BG378" s="573"/>
      <c r="BH378" s="55"/>
      <c r="BI378" s="92"/>
      <c r="BJ378" s="92"/>
      <c r="BK378" s="92"/>
      <c r="BL378" s="92"/>
      <c r="BM378" s="92"/>
      <c r="BN378" s="92"/>
      <c r="BO378" s="171"/>
      <c r="BP378" s="816">
        <f t="shared" si="489"/>
        <v>435.19200000000006</v>
      </c>
      <c r="BQ378" s="816">
        <f t="shared" si="489"/>
        <v>529.19000000000005</v>
      </c>
      <c r="BR378" s="816">
        <f t="shared" si="489"/>
        <v>625.63700000000006</v>
      </c>
      <c r="BS378" s="816">
        <f t="shared" si="489"/>
        <v>722.08400000000006</v>
      </c>
      <c r="BT378" s="816"/>
      <c r="BU378" s="817"/>
      <c r="BV378" s="182"/>
      <c r="BW378" s="182"/>
      <c r="BX378" s="182"/>
      <c r="BY378" s="182"/>
      <c r="BZ378" s="182"/>
      <c r="CC378" s="87"/>
      <c r="CD378" s="87"/>
      <c r="DS378" s="182"/>
    </row>
    <row r="379" spans="1:123" s="70" customFormat="1" hidden="1" outlineLevel="1">
      <c r="A379" s="176"/>
      <c r="B379" s="186"/>
      <c r="C379" s="69"/>
      <c r="D379" s="69"/>
      <c r="E379" s="69"/>
      <c r="F379" s="69"/>
      <c r="H379" s="630"/>
      <c r="I379" s="630"/>
      <c r="J379" s="630"/>
      <c r="K379" s="630"/>
      <c r="L379" s="630"/>
      <c r="M379" s="86"/>
      <c r="N379" s="86"/>
      <c r="O379" s="86"/>
      <c r="P379" s="86"/>
      <c r="Q379" s="86"/>
      <c r="R379" s="86"/>
      <c r="S379" s="86"/>
      <c r="T379" s="86"/>
      <c r="U379" s="86"/>
      <c r="V379" s="86"/>
      <c r="W379" s="86"/>
      <c r="X379" s="86"/>
      <c r="Y379" s="177"/>
      <c r="Z379" s="168"/>
      <c r="AA379" s="168"/>
      <c r="AB379" s="177"/>
      <c r="AC379" s="183"/>
      <c r="AD379" s="809"/>
      <c r="AE379" s="809"/>
      <c r="AF379" s="168"/>
      <c r="AG379" s="809"/>
      <c r="AH379" s="168"/>
      <c r="AI379" s="810"/>
      <c r="AJ379" s="168"/>
      <c r="AK379" s="810"/>
      <c r="AL379" s="810"/>
      <c r="AM379" s="810"/>
      <c r="AN379" s="810"/>
      <c r="AO379" s="810"/>
      <c r="AP379" s="811"/>
      <c r="AQ379" s="809"/>
      <c r="AR379" s="809"/>
      <c r="AS379" s="809"/>
      <c r="AT379" s="809"/>
      <c r="AU379" s="809"/>
      <c r="AV379" s="809"/>
      <c r="AW379" s="809"/>
      <c r="AX379" s="809"/>
      <c r="AY379" s="809"/>
      <c r="AZ379" s="809"/>
      <c r="BA379" s="573"/>
      <c r="BB379" s="573"/>
      <c r="BC379" s="573"/>
      <c r="BD379" s="573"/>
      <c r="BE379" s="573"/>
      <c r="BF379" s="573"/>
      <c r="BG379" s="573"/>
      <c r="BH379" s="55"/>
      <c r="BI379" s="92"/>
      <c r="BJ379" s="92"/>
      <c r="BK379" s="92"/>
      <c r="BL379" s="92"/>
      <c r="BM379" s="92"/>
      <c r="BN379" s="92"/>
      <c r="BO379" s="171"/>
      <c r="BP379" s="810"/>
      <c r="BQ379" s="810"/>
      <c r="BR379" s="810"/>
      <c r="BS379" s="810"/>
      <c r="BT379" s="810"/>
      <c r="BU379" s="811"/>
      <c r="BV379" s="182"/>
      <c r="BW379" s="182"/>
      <c r="BX379" s="182"/>
      <c r="BY379" s="182"/>
      <c r="BZ379" s="182"/>
      <c r="CC379" s="87"/>
      <c r="CD379" s="87"/>
      <c r="DS379" s="182"/>
    </row>
    <row r="380" spans="1:123" s="70" customFormat="1" hidden="1" outlineLevel="1">
      <c r="A380" s="176"/>
      <c r="B380" s="186" t="s">
        <v>372</v>
      </c>
      <c r="C380" s="69"/>
      <c r="D380" s="69"/>
      <c r="E380" s="69"/>
      <c r="F380" s="69"/>
      <c r="H380" s="630"/>
      <c r="I380" s="630"/>
      <c r="J380" s="630"/>
      <c r="K380" s="630"/>
      <c r="L380" s="630"/>
      <c r="M380" s="86"/>
      <c r="N380" s="86"/>
      <c r="O380" s="86"/>
      <c r="P380" s="86"/>
      <c r="Q380" s="86"/>
      <c r="R380" s="86"/>
      <c r="S380" s="86"/>
      <c r="T380" s="86"/>
      <c r="U380" s="86"/>
      <c r="V380" s="86"/>
      <c r="W380" s="86"/>
      <c r="X380" s="86"/>
      <c r="Y380" s="177"/>
      <c r="Z380" s="168"/>
      <c r="AA380" s="168"/>
      <c r="AB380" s="177"/>
      <c r="AC380" s="183"/>
      <c r="AD380" s="809"/>
      <c r="AE380" s="809"/>
      <c r="AF380" s="168"/>
      <c r="AG380" s="809"/>
      <c r="AH380" s="168"/>
      <c r="AI380" s="810">
        <f t="shared" ref="AI380:AK385" si="490">AI327+AI345+AI362</f>
        <v>56.512999999999998</v>
      </c>
      <c r="AJ380" s="168"/>
      <c r="AK380" s="810">
        <f t="shared" si="490"/>
        <v>56.512999999999998</v>
      </c>
      <c r="AL380" s="810"/>
      <c r="AM380" s="810">
        <f t="shared" ref="AM380:AO385" si="491">AM327+AM345+AM362</f>
        <v>0</v>
      </c>
      <c r="AN380" s="810"/>
      <c r="AO380" s="810">
        <f t="shared" si="491"/>
        <v>0</v>
      </c>
      <c r="AP380" s="811"/>
      <c r="AQ380" s="809">
        <f t="shared" ref="AQ380:AZ385" si="492">AQ327+AQ345+AQ362</f>
        <v>0</v>
      </c>
      <c r="AR380" s="809">
        <f t="shared" si="492"/>
        <v>0</v>
      </c>
      <c r="AS380" s="809">
        <f t="shared" si="492"/>
        <v>0</v>
      </c>
      <c r="AT380" s="809">
        <f t="shared" si="492"/>
        <v>0</v>
      </c>
      <c r="AU380" s="809">
        <f t="shared" si="492"/>
        <v>0</v>
      </c>
      <c r="AV380" s="809">
        <f t="shared" si="492"/>
        <v>0</v>
      </c>
      <c r="AW380" s="809">
        <f t="shared" si="492"/>
        <v>0</v>
      </c>
      <c r="AX380" s="809">
        <f t="shared" si="492"/>
        <v>0</v>
      </c>
      <c r="AY380" s="809">
        <f t="shared" si="492"/>
        <v>0</v>
      </c>
      <c r="AZ380" s="809">
        <f t="shared" si="492"/>
        <v>0</v>
      </c>
      <c r="BA380" s="573"/>
      <c r="BB380" s="573"/>
      <c r="BC380" s="573"/>
      <c r="BD380" s="573"/>
      <c r="BE380" s="573"/>
      <c r="BF380" s="573"/>
      <c r="BG380" s="573"/>
      <c r="BH380" s="55"/>
      <c r="BI380" s="92"/>
      <c r="BJ380" s="92"/>
      <c r="BK380" s="92"/>
      <c r="BL380" s="92"/>
      <c r="BM380" s="92"/>
      <c r="BN380" s="92"/>
      <c r="BO380" s="171"/>
      <c r="BP380" s="810">
        <f t="shared" ref="BP380:BS385" si="493">BP327+BP345+BP362</f>
        <v>40.068999999999996</v>
      </c>
      <c r="BQ380" s="810">
        <f t="shared" si="493"/>
        <v>46.747</v>
      </c>
      <c r="BR380" s="810">
        <f t="shared" si="493"/>
        <v>56.512999999999998</v>
      </c>
      <c r="BS380" s="810">
        <f t="shared" si="493"/>
        <v>56.512999999999998</v>
      </c>
      <c r="BT380" s="810"/>
      <c r="BU380" s="811"/>
      <c r="BV380" s="182"/>
      <c r="BW380" s="182"/>
      <c r="BX380" s="182"/>
      <c r="BY380" s="182"/>
      <c r="BZ380" s="182"/>
      <c r="CC380" s="87"/>
      <c r="CD380" s="87"/>
      <c r="DS380" s="182"/>
    </row>
    <row r="381" spans="1:123" s="70" customFormat="1" hidden="1" outlineLevel="1">
      <c r="A381" s="176"/>
      <c r="B381" s="186" t="s">
        <v>373</v>
      </c>
      <c r="C381" s="69"/>
      <c r="D381" s="69"/>
      <c r="E381" s="69"/>
      <c r="F381" s="69"/>
      <c r="H381" s="630"/>
      <c r="I381" s="630"/>
      <c r="J381" s="630"/>
      <c r="K381" s="630"/>
      <c r="L381" s="630"/>
      <c r="M381" s="86"/>
      <c r="N381" s="86"/>
      <c r="O381" s="86"/>
      <c r="P381" s="86"/>
      <c r="Q381" s="86"/>
      <c r="R381" s="86"/>
      <c r="S381" s="86"/>
      <c r="T381" s="86"/>
      <c r="U381" s="86"/>
      <c r="V381" s="86"/>
      <c r="W381" s="86"/>
      <c r="X381" s="86"/>
      <c r="Y381" s="177"/>
      <c r="Z381" s="168"/>
      <c r="AA381" s="168"/>
      <c r="AB381" s="177"/>
      <c r="AC381" s="183"/>
      <c r="AD381" s="809"/>
      <c r="AE381" s="809"/>
      <c r="AF381" s="168"/>
      <c r="AG381" s="809"/>
      <c r="AH381" s="168"/>
      <c r="AI381" s="810">
        <f t="shared" si="490"/>
        <v>5.5534500000000007</v>
      </c>
      <c r="AJ381" s="168"/>
      <c r="AK381" s="810">
        <f t="shared" si="490"/>
        <v>6.5347999999999997</v>
      </c>
      <c r="AL381" s="810"/>
      <c r="AM381" s="810">
        <f t="shared" si="491"/>
        <v>0</v>
      </c>
      <c r="AN381" s="810"/>
      <c r="AO381" s="810">
        <f t="shared" si="491"/>
        <v>0</v>
      </c>
      <c r="AP381" s="811"/>
      <c r="AQ381" s="809">
        <f t="shared" si="492"/>
        <v>0</v>
      </c>
      <c r="AR381" s="809">
        <f t="shared" si="492"/>
        <v>0</v>
      </c>
      <c r="AS381" s="809">
        <f t="shared" si="492"/>
        <v>0</v>
      </c>
      <c r="AT381" s="809">
        <f t="shared" si="492"/>
        <v>0</v>
      </c>
      <c r="AU381" s="809">
        <f t="shared" si="492"/>
        <v>0</v>
      </c>
      <c r="AV381" s="809">
        <f t="shared" si="492"/>
        <v>0</v>
      </c>
      <c r="AW381" s="809">
        <f t="shared" si="492"/>
        <v>0</v>
      </c>
      <c r="AX381" s="809">
        <f t="shared" si="492"/>
        <v>0</v>
      </c>
      <c r="AY381" s="809">
        <f t="shared" si="492"/>
        <v>0</v>
      </c>
      <c r="AZ381" s="809">
        <f t="shared" si="492"/>
        <v>0</v>
      </c>
      <c r="BA381" s="573"/>
      <c r="BB381" s="573"/>
      <c r="BC381" s="573"/>
      <c r="BD381" s="573"/>
      <c r="BE381" s="573"/>
      <c r="BF381" s="573"/>
      <c r="BG381" s="573"/>
      <c r="BH381" s="55"/>
      <c r="BI381" s="92"/>
      <c r="BJ381" s="92"/>
      <c r="BK381" s="92"/>
      <c r="BL381" s="92"/>
      <c r="BM381" s="92"/>
      <c r="BN381" s="92"/>
      <c r="BO381" s="171"/>
      <c r="BP381" s="810">
        <f t="shared" si="493"/>
        <v>7.5259999999999998</v>
      </c>
      <c r="BQ381" s="810">
        <f t="shared" si="493"/>
        <v>9.8109999999999999</v>
      </c>
      <c r="BR381" s="810">
        <f t="shared" si="493"/>
        <v>9.8109999999999999</v>
      </c>
      <c r="BS381" s="810">
        <f t="shared" si="493"/>
        <v>9.8109999999999999</v>
      </c>
      <c r="BT381" s="810"/>
      <c r="BU381" s="811"/>
      <c r="BV381" s="182"/>
      <c r="BW381" s="182"/>
      <c r="BX381" s="182"/>
      <c r="BY381" s="182"/>
      <c r="BZ381" s="182"/>
      <c r="CC381" s="87"/>
      <c r="CD381" s="87"/>
      <c r="DS381" s="182"/>
    </row>
    <row r="382" spans="1:123" s="70" customFormat="1" hidden="1" outlineLevel="1">
      <c r="A382" s="176"/>
      <c r="B382" s="186" t="s">
        <v>374</v>
      </c>
      <c r="C382" s="69"/>
      <c r="D382" s="69"/>
      <c r="E382" s="69"/>
      <c r="F382" s="69"/>
      <c r="H382" s="630"/>
      <c r="I382" s="630"/>
      <c r="J382" s="630"/>
      <c r="K382" s="630"/>
      <c r="L382" s="630"/>
      <c r="M382" s="86"/>
      <c r="N382" s="86"/>
      <c r="O382" s="86"/>
      <c r="P382" s="86"/>
      <c r="Q382" s="86"/>
      <c r="R382" s="86"/>
      <c r="S382" s="86"/>
      <c r="T382" s="86"/>
      <c r="U382" s="86"/>
      <c r="V382" s="86"/>
      <c r="W382" s="86"/>
      <c r="X382" s="86"/>
      <c r="Y382" s="177"/>
      <c r="Z382" s="168"/>
      <c r="AA382" s="168"/>
      <c r="AB382" s="177"/>
      <c r="AC382" s="183"/>
      <c r="AD382" s="809"/>
      <c r="AE382" s="809"/>
      <c r="AF382" s="168"/>
      <c r="AG382" s="809"/>
      <c r="AH382" s="168"/>
      <c r="AI382" s="810">
        <f t="shared" si="490"/>
        <v>0</v>
      </c>
      <c r="AJ382" s="168"/>
      <c r="AK382" s="810">
        <f t="shared" si="490"/>
        <v>0</v>
      </c>
      <c r="AL382" s="810"/>
      <c r="AM382" s="810">
        <f t="shared" si="491"/>
        <v>0</v>
      </c>
      <c r="AN382" s="810"/>
      <c r="AO382" s="810">
        <f t="shared" si="491"/>
        <v>0</v>
      </c>
      <c r="AP382" s="811"/>
      <c r="AQ382" s="809">
        <f t="shared" si="492"/>
        <v>0</v>
      </c>
      <c r="AR382" s="809">
        <f t="shared" si="492"/>
        <v>0</v>
      </c>
      <c r="AS382" s="809">
        <f t="shared" si="492"/>
        <v>0</v>
      </c>
      <c r="AT382" s="809">
        <f t="shared" si="492"/>
        <v>0</v>
      </c>
      <c r="AU382" s="809">
        <f t="shared" si="492"/>
        <v>0</v>
      </c>
      <c r="AV382" s="809">
        <f t="shared" si="492"/>
        <v>0</v>
      </c>
      <c r="AW382" s="809">
        <f t="shared" si="492"/>
        <v>0</v>
      </c>
      <c r="AX382" s="809">
        <f t="shared" si="492"/>
        <v>0</v>
      </c>
      <c r="AY382" s="809">
        <f t="shared" si="492"/>
        <v>0</v>
      </c>
      <c r="AZ382" s="809">
        <f t="shared" si="492"/>
        <v>0</v>
      </c>
      <c r="BA382" s="573"/>
      <c r="BB382" s="573"/>
      <c r="BC382" s="573"/>
      <c r="BD382" s="573"/>
      <c r="BE382" s="573"/>
      <c r="BF382" s="573"/>
      <c r="BG382" s="573"/>
      <c r="BH382" s="55"/>
      <c r="BI382" s="92"/>
      <c r="BJ382" s="92"/>
      <c r="BK382" s="92"/>
      <c r="BL382" s="92"/>
      <c r="BM382" s="92"/>
      <c r="BN382" s="92"/>
      <c r="BO382" s="171"/>
      <c r="BP382" s="810">
        <f t="shared" si="493"/>
        <v>5.4489999999999998</v>
      </c>
      <c r="BQ382" s="810">
        <f t="shared" si="493"/>
        <v>3</v>
      </c>
      <c r="BR382" s="810">
        <f t="shared" si="493"/>
        <v>3</v>
      </c>
      <c r="BS382" s="810">
        <f t="shared" si="493"/>
        <v>3</v>
      </c>
      <c r="BT382" s="810"/>
      <c r="BU382" s="811"/>
      <c r="BV382" s="182"/>
      <c r="BW382" s="182"/>
      <c r="BX382" s="182"/>
      <c r="BY382" s="182"/>
      <c r="BZ382" s="182"/>
      <c r="CC382" s="87"/>
      <c r="CD382" s="87"/>
      <c r="DS382" s="182"/>
    </row>
    <row r="383" spans="1:123" s="70" customFormat="1" hidden="1" outlineLevel="1">
      <c r="A383" s="176"/>
      <c r="B383" s="186" t="s">
        <v>370</v>
      </c>
      <c r="C383" s="69"/>
      <c r="D383" s="69"/>
      <c r="E383" s="69"/>
      <c r="F383" s="69"/>
      <c r="H383" s="630"/>
      <c r="I383" s="630"/>
      <c r="J383" s="630"/>
      <c r="K383" s="630"/>
      <c r="L383" s="630"/>
      <c r="M383" s="86"/>
      <c r="N383" s="86"/>
      <c r="O383" s="86"/>
      <c r="P383" s="86"/>
      <c r="Q383" s="86"/>
      <c r="R383" s="86"/>
      <c r="S383" s="86"/>
      <c r="T383" s="86"/>
      <c r="U383" s="86"/>
      <c r="V383" s="86"/>
      <c r="W383" s="86"/>
      <c r="X383" s="86"/>
      <c r="Y383" s="177"/>
      <c r="Z383" s="168"/>
      <c r="AA383" s="168"/>
      <c r="AB383" s="177"/>
      <c r="AC383" s="183"/>
      <c r="AD383" s="809"/>
      <c r="AE383" s="809"/>
      <c r="AF383" s="168"/>
      <c r="AG383" s="809"/>
      <c r="AH383" s="168"/>
      <c r="AI383" s="810">
        <f t="shared" si="490"/>
        <v>0</v>
      </c>
      <c r="AJ383" s="168"/>
      <c r="AK383" s="810">
        <f t="shared" si="490"/>
        <v>0</v>
      </c>
      <c r="AL383" s="810"/>
      <c r="AM383" s="810">
        <f t="shared" si="491"/>
        <v>0</v>
      </c>
      <c r="AN383" s="810"/>
      <c r="AO383" s="810">
        <f t="shared" si="491"/>
        <v>0</v>
      </c>
      <c r="AP383" s="811"/>
      <c r="AQ383" s="809">
        <f t="shared" si="492"/>
        <v>0</v>
      </c>
      <c r="AR383" s="809">
        <f t="shared" si="492"/>
        <v>0</v>
      </c>
      <c r="AS383" s="809">
        <f t="shared" si="492"/>
        <v>0</v>
      </c>
      <c r="AT383" s="809">
        <f t="shared" si="492"/>
        <v>0</v>
      </c>
      <c r="AU383" s="809">
        <f t="shared" si="492"/>
        <v>0</v>
      </c>
      <c r="AV383" s="809">
        <f t="shared" si="492"/>
        <v>0</v>
      </c>
      <c r="AW383" s="809">
        <f t="shared" si="492"/>
        <v>0</v>
      </c>
      <c r="AX383" s="809">
        <f t="shared" si="492"/>
        <v>0</v>
      </c>
      <c r="AY383" s="809">
        <f t="shared" si="492"/>
        <v>0</v>
      </c>
      <c r="AZ383" s="809">
        <f t="shared" si="492"/>
        <v>0</v>
      </c>
      <c r="BA383" s="573"/>
      <c r="BB383" s="573"/>
      <c r="BC383" s="573"/>
      <c r="BD383" s="573"/>
      <c r="BE383" s="573"/>
      <c r="BF383" s="573"/>
      <c r="BG383" s="573"/>
      <c r="BH383" s="55"/>
      <c r="BI383" s="92"/>
      <c r="BJ383" s="92"/>
      <c r="BK383" s="92"/>
      <c r="BL383" s="92"/>
      <c r="BM383" s="92"/>
      <c r="BN383" s="92"/>
      <c r="BO383" s="171"/>
      <c r="BP383" s="810">
        <f t="shared" si="493"/>
        <v>-0.17699999999999999</v>
      </c>
      <c r="BQ383" s="810">
        <f t="shared" si="493"/>
        <v>-4.4999999999999998E-2</v>
      </c>
      <c r="BR383" s="810">
        <f t="shared" si="493"/>
        <v>-4.4999999999999998E-2</v>
      </c>
      <c r="BS383" s="810">
        <f t="shared" si="493"/>
        <v>-4.4999999999999998E-2</v>
      </c>
      <c r="BT383" s="810"/>
      <c r="BU383" s="811"/>
      <c r="BV383" s="182"/>
      <c r="BW383" s="182"/>
      <c r="BX383" s="182"/>
      <c r="BY383" s="182"/>
      <c r="BZ383" s="182"/>
      <c r="CC383" s="87"/>
      <c r="CD383" s="87"/>
      <c r="DS383" s="182"/>
    </row>
    <row r="384" spans="1:123" s="70" customFormat="1" hidden="1" outlineLevel="1">
      <c r="A384" s="176"/>
      <c r="B384" s="186" t="s">
        <v>18</v>
      </c>
      <c r="C384" s="69"/>
      <c r="D384" s="69"/>
      <c r="E384" s="69"/>
      <c r="F384" s="69"/>
      <c r="H384" s="630"/>
      <c r="I384" s="630"/>
      <c r="J384" s="630"/>
      <c r="K384" s="630"/>
      <c r="L384" s="630"/>
      <c r="M384" s="86"/>
      <c r="N384" s="86"/>
      <c r="O384" s="86"/>
      <c r="P384" s="86"/>
      <c r="Q384" s="86"/>
      <c r="R384" s="86"/>
      <c r="S384" s="86"/>
      <c r="T384" s="86"/>
      <c r="U384" s="86"/>
      <c r="V384" s="86"/>
      <c r="W384" s="86"/>
      <c r="X384" s="86"/>
      <c r="Y384" s="177"/>
      <c r="Z384" s="168"/>
      <c r="AA384" s="168"/>
      <c r="AB384" s="177"/>
      <c r="AC384" s="183"/>
      <c r="AD384" s="809"/>
      <c r="AE384" s="809"/>
      <c r="AF384" s="168"/>
      <c r="AG384" s="809"/>
      <c r="AH384" s="168"/>
      <c r="AI384" s="810">
        <f t="shared" si="490"/>
        <v>0</v>
      </c>
      <c r="AJ384" s="168"/>
      <c r="AK384" s="810">
        <f t="shared" si="490"/>
        <v>0</v>
      </c>
      <c r="AL384" s="810"/>
      <c r="AM384" s="810">
        <f t="shared" si="491"/>
        <v>0</v>
      </c>
      <c r="AN384" s="810"/>
      <c r="AO384" s="810">
        <f t="shared" si="491"/>
        <v>0</v>
      </c>
      <c r="AP384" s="811"/>
      <c r="AQ384" s="809">
        <f t="shared" si="492"/>
        <v>0</v>
      </c>
      <c r="AR384" s="809">
        <f t="shared" si="492"/>
        <v>0</v>
      </c>
      <c r="AS384" s="809">
        <f t="shared" si="492"/>
        <v>0</v>
      </c>
      <c r="AT384" s="809">
        <f t="shared" si="492"/>
        <v>0</v>
      </c>
      <c r="AU384" s="809">
        <f t="shared" si="492"/>
        <v>0</v>
      </c>
      <c r="AV384" s="809">
        <f t="shared" si="492"/>
        <v>0</v>
      </c>
      <c r="AW384" s="809">
        <f t="shared" si="492"/>
        <v>0</v>
      </c>
      <c r="AX384" s="809">
        <f t="shared" si="492"/>
        <v>0</v>
      </c>
      <c r="AY384" s="809">
        <f t="shared" si="492"/>
        <v>0</v>
      </c>
      <c r="AZ384" s="809">
        <f t="shared" si="492"/>
        <v>0</v>
      </c>
      <c r="BA384" s="573"/>
      <c r="BB384" s="573"/>
      <c r="BC384" s="573"/>
      <c r="BD384" s="573"/>
      <c r="BE384" s="573"/>
      <c r="BF384" s="573"/>
      <c r="BG384" s="573"/>
      <c r="BH384" s="55"/>
      <c r="BI384" s="92"/>
      <c r="BJ384" s="92"/>
      <c r="BK384" s="92"/>
      <c r="BL384" s="92"/>
      <c r="BM384" s="92"/>
      <c r="BN384" s="92"/>
      <c r="BO384" s="171"/>
      <c r="BP384" s="810">
        <f t="shared" si="493"/>
        <v>-0.67099999999999405</v>
      </c>
      <c r="BQ384" s="810">
        <f t="shared" si="493"/>
        <v>0</v>
      </c>
      <c r="BR384" s="810">
        <f t="shared" si="493"/>
        <v>-9.7659999999999876</v>
      </c>
      <c r="BS384" s="810">
        <f t="shared" si="493"/>
        <v>-9.7659999999999876</v>
      </c>
      <c r="BT384" s="810"/>
      <c r="BU384" s="811"/>
      <c r="BV384" s="182"/>
      <c r="BW384" s="182"/>
      <c r="BX384" s="182"/>
      <c r="BY384" s="182"/>
      <c r="BZ384" s="182"/>
      <c r="CC384" s="87"/>
      <c r="CD384" s="87"/>
      <c r="DS384" s="182"/>
    </row>
    <row r="385" spans="1:123" s="70" customFormat="1" hidden="1" outlineLevel="1">
      <c r="A385" s="176"/>
      <c r="B385" s="185" t="s">
        <v>375</v>
      </c>
      <c r="C385" s="69"/>
      <c r="D385" s="69"/>
      <c r="E385" s="69"/>
      <c r="F385" s="69"/>
      <c r="H385" s="630"/>
      <c r="I385" s="630"/>
      <c r="J385" s="630"/>
      <c r="K385" s="630"/>
      <c r="L385" s="630"/>
      <c r="M385" s="86"/>
      <c r="N385" s="86"/>
      <c r="O385" s="86"/>
      <c r="P385" s="86"/>
      <c r="Q385" s="86"/>
      <c r="R385" s="86"/>
      <c r="S385" s="86"/>
      <c r="T385" s="86"/>
      <c r="U385" s="86"/>
      <c r="V385" s="86"/>
      <c r="W385" s="86"/>
      <c r="X385" s="86"/>
      <c r="Y385" s="177"/>
      <c r="Z385" s="168"/>
      <c r="AA385" s="168"/>
      <c r="AB385" s="177"/>
      <c r="AC385" s="183"/>
      <c r="AD385" s="809"/>
      <c r="AE385" s="809"/>
      <c r="AF385" s="168"/>
      <c r="AG385" s="809"/>
      <c r="AH385" s="168"/>
      <c r="AI385" s="816">
        <f t="shared" si="490"/>
        <v>62.066449999999996</v>
      </c>
      <c r="AJ385" s="168"/>
      <c r="AK385" s="816">
        <f t="shared" si="490"/>
        <v>63.047800000000002</v>
      </c>
      <c r="AL385" s="816"/>
      <c r="AM385" s="816">
        <f t="shared" si="491"/>
        <v>0</v>
      </c>
      <c r="AN385" s="816"/>
      <c r="AO385" s="816">
        <f t="shared" si="491"/>
        <v>0</v>
      </c>
      <c r="AP385" s="817"/>
      <c r="AQ385" s="815">
        <f t="shared" si="492"/>
        <v>0</v>
      </c>
      <c r="AR385" s="815">
        <f t="shared" si="492"/>
        <v>0</v>
      </c>
      <c r="AS385" s="815">
        <f t="shared" si="492"/>
        <v>0</v>
      </c>
      <c r="AT385" s="815">
        <f t="shared" si="492"/>
        <v>0</v>
      </c>
      <c r="AU385" s="815">
        <f t="shared" si="492"/>
        <v>0</v>
      </c>
      <c r="AV385" s="815">
        <f t="shared" si="492"/>
        <v>0</v>
      </c>
      <c r="AW385" s="815">
        <f t="shared" si="492"/>
        <v>0</v>
      </c>
      <c r="AX385" s="815">
        <f t="shared" si="492"/>
        <v>0</v>
      </c>
      <c r="AY385" s="815">
        <f t="shared" si="492"/>
        <v>0</v>
      </c>
      <c r="AZ385" s="815">
        <f t="shared" si="492"/>
        <v>0</v>
      </c>
      <c r="BA385" s="573"/>
      <c r="BB385" s="573"/>
      <c r="BC385" s="573"/>
      <c r="BD385" s="573"/>
      <c r="BE385" s="573"/>
      <c r="BF385" s="573"/>
      <c r="BG385" s="573"/>
      <c r="BH385" s="55"/>
      <c r="BI385" s="92"/>
      <c r="BJ385" s="92"/>
      <c r="BK385" s="92"/>
      <c r="BL385" s="92"/>
      <c r="BM385" s="92"/>
      <c r="BN385" s="92"/>
      <c r="BO385" s="171"/>
      <c r="BP385" s="816">
        <f t="shared" si="493"/>
        <v>52.195999999999998</v>
      </c>
      <c r="BQ385" s="816">
        <f t="shared" si="493"/>
        <v>59.512999999999998</v>
      </c>
      <c r="BR385" s="816">
        <f t="shared" si="493"/>
        <v>59.512999999999998</v>
      </c>
      <c r="BS385" s="816">
        <f t="shared" si="493"/>
        <v>59.512999999999998</v>
      </c>
      <c r="BT385" s="816"/>
      <c r="BU385" s="817"/>
      <c r="BV385" s="182"/>
      <c r="BW385" s="182"/>
      <c r="BX385" s="182"/>
      <c r="BY385" s="182"/>
      <c r="BZ385" s="182"/>
      <c r="CC385" s="87"/>
      <c r="CD385" s="87"/>
      <c r="DS385" s="182"/>
    </row>
    <row r="386" spans="1:123" s="70" customFormat="1" hidden="1" outlineLevel="1">
      <c r="A386" s="176"/>
      <c r="B386" s="185"/>
      <c r="C386" s="69"/>
      <c r="D386" s="69"/>
      <c r="E386" s="69"/>
      <c r="F386" s="69"/>
      <c r="H386" s="630"/>
      <c r="I386" s="630"/>
      <c r="J386" s="630"/>
      <c r="K386" s="630"/>
      <c r="L386" s="630"/>
      <c r="M386" s="86"/>
      <c r="N386" s="86"/>
      <c r="O386" s="86"/>
      <c r="P386" s="86"/>
      <c r="Q386" s="86"/>
      <c r="R386" s="86"/>
      <c r="S386" s="86"/>
      <c r="T386" s="86"/>
      <c r="U386" s="86"/>
      <c r="V386" s="86"/>
      <c r="W386" s="86"/>
      <c r="X386" s="86"/>
      <c r="Y386" s="177"/>
      <c r="Z386" s="168"/>
      <c r="AA386" s="168"/>
      <c r="AB386" s="177"/>
      <c r="AC386" s="183"/>
      <c r="AD386" s="809"/>
      <c r="AE386" s="809"/>
      <c r="AF386" s="168"/>
      <c r="AG386" s="809"/>
      <c r="AH386" s="168"/>
      <c r="AI386" s="810"/>
      <c r="AJ386" s="168"/>
      <c r="AK386" s="810"/>
      <c r="AL386" s="810"/>
      <c r="AM386" s="810"/>
      <c r="AN386" s="810"/>
      <c r="AO386" s="810"/>
      <c r="AP386" s="811"/>
      <c r="AQ386" s="809"/>
      <c r="AR386" s="809"/>
      <c r="AS386" s="809"/>
      <c r="AT386" s="809"/>
      <c r="AU386" s="809"/>
      <c r="AV386" s="809"/>
      <c r="AW386" s="809"/>
      <c r="AX386" s="809"/>
      <c r="AY386" s="809"/>
      <c r="AZ386" s="809"/>
      <c r="BA386" s="573"/>
      <c r="BB386" s="573"/>
      <c r="BC386" s="573"/>
      <c r="BD386" s="573"/>
      <c r="BE386" s="573"/>
      <c r="BF386" s="573"/>
      <c r="BG386" s="573"/>
      <c r="BH386" s="55"/>
      <c r="BI386" s="92"/>
      <c r="BJ386" s="92"/>
      <c r="BK386" s="92"/>
      <c r="BL386" s="92"/>
      <c r="BM386" s="92"/>
      <c r="BN386" s="92"/>
      <c r="BO386" s="171"/>
      <c r="BP386" s="810"/>
      <c r="BQ386" s="810"/>
      <c r="BR386" s="810"/>
      <c r="BS386" s="810"/>
      <c r="BT386" s="810"/>
      <c r="BU386" s="811"/>
      <c r="BV386" s="182"/>
      <c r="BW386" s="182"/>
      <c r="BX386" s="182"/>
      <c r="BY386" s="182"/>
      <c r="BZ386" s="182"/>
      <c r="CC386" s="87"/>
      <c r="CD386" s="87"/>
      <c r="DS386" s="182"/>
    </row>
    <row r="387" spans="1:123" s="70" customFormat="1" hidden="1" outlineLevel="1">
      <c r="A387" s="176"/>
      <c r="B387" s="186" t="s">
        <v>385</v>
      </c>
      <c r="C387" s="69"/>
      <c r="D387" s="69"/>
      <c r="E387" s="69"/>
      <c r="F387" s="69"/>
      <c r="H387" s="630"/>
      <c r="I387" s="630"/>
      <c r="J387" s="630"/>
      <c r="K387" s="630"/>
      <c r="L387" s="630"/>
      <c r="M387" s="86"/>
      <c r="N387" s="86"/>
      <c r="O387" s="86"/>
      <c r="P387" s="86"/>
      <c r="Q387" s="86"/>
      <c r="R387" s="86"/>
      <c r="S387" s="86"/>
      <c r="T387" s="86"/>
      <c r="U387" s="86"/>
      <c r="V387" s="86"/>
      <c r="W387" s="86"/>
      <c r="X387" s="86"/>
      <c r="Y387" s="177"/>
      <c r="Z387" s="168"/>
      <c r="AA387" s="168"/>
      <c r="AB387" s="177"/>
      <c r="AC387" s="183"/>
      <c r="AD387" s="809"/>
      <c r="AE387" s="809"/>
      <c r="AF387" s="168"/>
      <c r="AG387" s="809"/>
      <c r="AH387" s="168"/>
      <c r="AI387" s="810">
        <f t="shared" ref="AI387:AZ388" si="494">AI335+AI352+AI370</f>
        <v>469.67700000000008</v>
      </c>
      <c r="AJ387" s="168"/>
      <c r="AK387" s="810">
        <f t="shared" ref="AK387:AM388" si="495">AK335+AK352+AK370</f>
        <v>662.57100000000003</v>
      </c>
      <c r="AL387" s="810"/>
      <c r="AM387" s="810">
        <f t="shared" si="495"/>
        <v>0</v>
      </c>
      <c r="AN387" s="810"/>
      <c r="AO387" s="810">
        <f t="shared" ref="AO387:AO388" si="496">AO335+AO352+AO370</f>
        <v>0</v>
      </c>
      <c r="AP387" s="811"/>
      <c r="AQ387" s="809">
        <f t="shared" si="494"/>
        <v>0</v>
      </c>
      <c r="AR387" s="809">
        <f t="shared" si="494"/>
        <v>0</v>
      </c>
      <c r="AS387" s="809">
        <f t="shared" si="494"/>
        <v>0</v>
      </c>
      <c r="AT387" s="809">
        <f t="shared" si="494"/>
        <v>0</v>
      </c>
      <c r="AU387" s="809">
        <f t="shared" si="494"/>
        <v>0</v>
      </c>
      <c r="AV387" s="809">
        <f t="shared" si="494"/>
        <v>0</v>
      </c>
      <c r="AW387" s="809">
        <f t="shared" si="494"/>
        <v>0</v>
      </c>
      <c r="AX387" s="809">
        <f t="shared" si="494"/>
        <v>0</v>
      </c>
      <c r="AY387" s="809">
        <f t="shared" si="494"/>
        <v>0</v>
      </c>
      <c r="AZ387" s="809">
        <f t="shared" si="494"/>
        <v>0</v>
      </c>
      <c r="BA387" s="573"/>
      <c r="BB387" s="573"/>
      <c r="BC387" s="573"/>
      <c r="BD387" s="573"/>
      <c r="BE387" s="573"/>
      <c r="BF387" s="573"/>
      <c r="BG387" s="573"/>
      <c r="BH387" s="55"/>
      <c r="BI387" s="92"/>
      <c r="BJ387" s="92"/>
      <c r="BK387" s="92"/>
      <c r="BL387" s="92"/>
      <c r="BM387" s="92"/>
      <c r="BN387" s="92"/>
      <c r="BO387" s="171"/>
      <c r="BP387" s="810">
        <f t="shared" ref="BP387:BS388" si="497">BP335+BP352+BP370</f>
        <v>399.04600000000005</v>
      </c>
      <c r="BQ387" s="810">
        <f t="shared" si="497"/>
        <v>382.99600000000004</v>
      </c>
      <c r="BR387" s="810">
        <f t="shared" si="497"/>
        <v>469.67700000000008</v>
      </c>
      <c r="BS387" s="810">
        <f t="shared" si="497"/>
        <v>566.12400000000002</v>
      </c>
      <c r="BT387" s="810"/>
      <c r="BU387" s="811"/>
      <c r="BV387" s="182"/>
      <c r="BW387" s="182"/>
      <c r="BX387" s="182"/>
      <c r="BY387" s="182"/>
      <c r="BZ387" s="182"/>
      <c r="CC387" s="87"/>
      <c r="CD387" s="87"/>
      <c r="DS387" s="182"/>
    </row>
    <row r="388" spans="1:123" s="70" customFormat="1" hidden="1" outlineLevel="1">
      <c r="A388" s="176"/>
      <c r="B388" s="186" t="s">
        <v>386</v>
      </c>
      <c r="C388" s="69"/>
      <c r="D388" s="69"/>
      <c r="E388" s="69"/>
      <c r="F388" s="69"/>
      <c r="H388" s="630"/>
      <c r="I388" s="630"/>
      <c r="J388" s="630"/>
      <c r="K388" s="630"/>
      <c r="L388" s="630"/>
      <c r="M388" s="86"/>
      <c r="N388" s="86"/>
      <c r="O388" s="86"/>
      <c r="P388" s="86"/>
      <c r="Q388" s="86"/>
      <c r="R388" s="86"/>
      <c r="S388" s="86"/>
      <c r="T388" s="86"/>
      <c r="U388" s="86"/>
      <c r="V388" s="86"/>
      <c r="W388" s="86"/>
      <c r="X388" s="86"/>
      <c r="Y388" s="177"/>
      <c r="Z388" s="168"/>
      <c r="AA388" s="168"/>
      <c r="AB388" s="177"/>
      <c r="AC388" s="183"/>
      <c r="AD388" s="809"/>
      <c r="AE388" s="809"/>
      <c r="AF388" s="168"/>
      <c r="AG388" s="809"/>
      <c r="AH388" s="168"/>
      <c r="AI388" s="810">
        <f t="shared" si="494"/>
        <v>472.67700000000008</v>
      </c>
      <c r="AJ388" s="168"/>
      <c r="AK388" s="810">
        <f t="shared" si="495"/>
        <v>665.57100000000003</v>
      </c>
      <c r="AL388" s="810"/>
      <c r="AM388" s="810">
        <f t="shared" si="495"/>
        <v>0</v>
      </c>
      <c r="AN388" s="810"/>
      <c r="AO388" s="810">
        <f t="shared" si="496"/>
        <v>0</v>
      </c>
      <c r="AP388" s="811"/>
      <c r="AQ388" s="809">
        <f t="shared" si="494"/>
        <v>0</v>
      </c>
      <c r="AR388" s="809">
        <f t="shared" si="494"/>
        <v>0</v>
      </c>
      <c r="AS388" s="809">
        <f t="shared" si="494"/>
        <v>0</v>
      </c>
      <c r="AT388" s="809">
        <f t="shared" si="494"/>
        <v>0</v>
      </c>
      <c r="AU388" s="809">
        <f t="shared" si="494"/>
        <v>0</v>
      </c>
      <c r="AV388" s="809">
        <f t="shared" si="494"/>
        <v>0</v>
      </c>
      <c r="AW388" s="809">
        <f t="shared" si="494"/>
        <v>0</v>
      </c>
      <c r="AX388" s="809">
        <f t="shared" si="494"/>
        <v>0</v>
      </c>
      <c r="AY388" s="809">
        <f t="shared" si="494"/>
        <v>0</v>
      </c>
      <c r="AZ388" s="809">
        <f t="shared" si="494"/>
        <v>0</v>
      </c>
      <c r="BA388" s="573"/>
      <c r="BB388" s="573"/>
      <c r="BC388" s="573"/>
      <c r="BD388" s="573"/>
      <c r="BE388" s="573"/>
      <c r="BF388" s="573"/>
      <c r="BG388" s="573"/>
      <c r="BH388" s="55"/>
      <c r="BI388" s="92"/>
      <c r="BJ388" s="92"/>
      <c r="BK388" s="92"/>
      <c r="BL388" s="92"/>
      <c r="BM388" s="92"/>
      <c r="BN388" s="92"/>
      <c r="BO388" s="171"/>
      <c r="BP388" s="810">
        <f t="shared" si="497"/>
        <v>382.99600000000004</v>
      </c>
      <c r="BQ388" s="810">
        <f t="shared" si="497"/>
        <v>469.67700000000008</v>
      </c>
      <c r="BR388" s="810">
        <f t="shared" si="497"/>
        <v>566.12400000000002</v>
      </c>
      <c r="BS388" s="810">
        <f t="shared" si="497"/>
        <v>662.57100000000003</v>
      </c>
      <c r="BT388" s="810"/>
      <c r="BU388" s="811"/>
      <c r="BV388" s="182"/>
      <c r="BW388" s="182"/>
      <c r="BX388" s="182"/>
      <c r="BY388" s="182"/>
      <c r="BZ388" s="182"/>
      <c r="CC388" s="87"/>
      <c r="CD388" s="87"/>
      <c r="DS388" s="182"/>
    </row>
    <row r="389" spans="1:123" s="70" customFormat="1" collapsed="1">
      <c r="A389" s="176"/>
      <c r="B389" s="186"/>
      <c r="C389" s="69"/>
      <c r="D389" s="69"/>
      <c r="E389" s="69"/>
      <c r="F389" s="69"/>
      <c r="H389" s="630"/>
      <c r="I389" s="630"/>
      <c r="J389" s="630"/>
      <c r="K389" s="630"/>
      <c r="L389" s="630"/>
      <c r="M389" s="86"/>
      <c r="N389" s="86"/>
      <c r="O389" s="86"/>
      <c r="P389" s="86"/>
      <c r="Q389" s="86"/>
      <c r="R389" s="86"/>
      <c r="S389" s="86"/>
      <c r="T389" s="86"/>
      <c r="U389" s="86"/>
      <c r="V389" s="86"/>
      <c r="W389" s="86"/>
      <c r="X389" s="86"/>
      <c r="Y389" s="177"/>
      <c r="Z389" s="168"/>
      <c r="AA389" s="168"/>
      <c r="AB389" s="177"/>
      <c r="AC389" s="183"/>
      <c r="AD389" s="809"/>
      <c r="AE389" s="809"/>
      <c r="AF389" s="168"/>
      <c r="AG389" s="809"/>
      <c r="AH389" s="168"/>
      <c r="AI389" s="810"/>
      <c r="AJ389" s="168"/>
      <c r="AK389" s="810"/>
      <c r="AL389" s="810"/>
      <c r="AM389" s="810"/>
      <c r="AN389" s="810"/>
      <c r="AO389" s="810"/>
      <c r="AP389" s="811"/>
      <c r="AQ389" s="809"/>
      <c r="AR389" s="809"/>
      <c r="AS389" s="809"/>
      <c r="AT389" s="809"/>
      <c r="AU389" s="809"/>
      <c r="AV389" s="809"/>
      <c r="AW389" s="809"/>
      <c r="AX389" s="809"/>
      <c r="AY389" s="809"/>
      <c r="AZ389" s="809"/>
      <c r="BA389" s="573"/>
      <c r="BB389" s="573"/>
      <c r="BC389" s="573"/>
      <c r="BD389" s="573"/>
      <c r="BE389" s="573"/>
      <c r="BF389" s="573"/>
      <c r="BG389" s="573"/>
      <c r="BH389" s="55"/>
      <c r="BI389" s="92"/>
      <c r="BJ389" s="92"/>
      <c r="BK389" s="92"/>
      <c r="BL389" s="92"/>
      <c r="BM389" s="92"/>
      <c r="BN389" s="92"/>
      <c r="BO389" s="171"/>
      <c r="BP389" s="810"/>
      <c r="BQ389" s="810"/>
      <c r="BR389" s="810"/>
      <c r="BS389" s="810"/>
      <c r="BT389" s="810"/>
      <c r="BU389" s="811"/>
      <c r="BV389" s="182"/>
      <c r="BW389" s="182"/>
      <c r="BX389" s="182"/>
      <c r="BY389" s="182"/>
      <c r="BZ389" s="182"/>
      <c r="CC389" s="87"/>
      <c r="CD389" s="87"/>
      <c r="DS389" s="182"/>
    </row>
    <row r="390" spans="1:123" s="70" customFormat="1">
      <c r="A390" s="78"/>
      <c r="B390" s="75" t="s">
        <v>233</v>
      </c>
      <c r="C390" s="102"/>
      <c r="D390" s="102"/>
      <c r="E390" s="102"/>
      <c r="F390" s="102"/>
      <c r="G390" s="102"/>
      <c r="H390" s="102"/>
      <c r="I390" s="102"/>
      <c r="J390" s="102"/>
      <c r="K390" s="102"/>
      <c r="L390" s="102"/>
      <c r="M390" s="102"/>
      <c r="N390" s="102"/>
      <c r="O390" s="102"/>
      <c r="P390" s="102"/>
      <c r="Q390" s="102"/>
      <c r="R390" s="102"/>
      <c r="S390" s="102"/>
      <c r="T390" s="102"/>
      <c r="U390" s="102"/>
      <c r="V390" s="102"/>
      <c r="W390" s="102"/>
      <c r="X390" s="102"/>
      <c r="Y390" s="573"/>
      <c r="Z390" s="171"/>
      <c r="AA390" s="573"/>
      <c r="AB390" s="171"/>
      <c r="AC390" s="573"/>
      <c r="AD390" s="171"/>
      <c r="AE390" s="573"/>
      <c r="AF390" s="171"/>
      <c r="AG390" s="573"/>
      <c r="AH390" s="573"/>
      <c r="AI390" s="573"/>
      <c r="AJ390" s="573"/>
      <c r="AK390" s="573"/>
      <c r="AL390" s="573"/>
      <c r="AM390" s="573"/>
      <c r="AN390" s="573"/>
      <c r="AO390" s="573"/>
      <c r="AP390" s="697"/>
      <c r="AQ390" s="573"/>
      <c r="AR390" s="573"/>
      <c r="AS390" s="573"/>
      <c r="AT390" s="573"/>
      <c r="AU390" s="573"/>
      <c r="AV390" s="573"/>
      <c r="AW390" s="573"/>
      <c r="AX390" s="573"/>
      <c r="AY390" s="573"/>
      <c r="AZ390" s="573"/>
      <c r="BA390" s="659"/>
      <c r="BB390" s="659"/>
      <c r="BC390" s="659"/>
      <c r="BD390" s="659"/>
      <c r="BE390" s="659"/>
      <c r="BF390" s="659"/>
      <c r="BG390" s="659"/>
      <c r="BH390" s="168"/>
      <c r="BI390" s="573"/>
      <c r="BJ390" s="573"/>
      <c r="BK390" s="573"/>
      <c r="BL390" s="573"/>
      <c r="BM390" s="573"/>
      <c r="BN390" s="573"/>
      <c r="BO390" s="573"/>
      <c r="BP390" s="573"/>
      <c r="BQ390" s="573"/>
      <c r="BR390" s="573"/>
      <c r="BS390" s="573"/>
      <c r="BT390" s="573"/>
      <c r="BU390" s="697"/>
      <c r="BV390" s="573"/>
      <c r="BW390" s="573"/>
      <c r="BX390" s="573"/>
      <c r="BY390" s="573"/>
      <c r="BZ390" s="573"/>
      <c r="DS390" s="573"/>
    </row>
    <row r="391" spans="1:123" s="70" customFormat="1">
      <c r="A391" s="78" t="s">
        <v>264</v>
      </c>
      <c r="B391" s="70" t="s">
        <v>198</v>
      </c>
      <c r="C391" s="102"/>
      <c r="D391" s="102"/>
      <c r="E391" s="102"/>
      <c r="F391" s="102"/>
      <c r="G391" s="102"/>
      <c r="H391" s="102"/>
      <c r="I391" s="102"/>
      <c r="J391" s="102"/>
      <c r="K391" s="102"/>
      <c r="L391" s="102"/>
      <c r="M391" s="102"/>
      <c r="N391" s="102"/>
      <c r="O391" s="102"/>
      <c r="P391" s="102"/>
      <c r="Q391" s="102"/>
      <c r="R391" s="102"/>
      <c r="S391" s="102"/>
      <c r="T391" s="102"/>
      <c r="U391" s="102"/>
      <c r="V391" s="102"/>
      <c r="W391" s="102"/>
      <c r="X391" s="102"/>
      <c r="Y391" s="171">
        <v>193.67500000000001</v>
      </c>
      <c r="Z391" s="168">
        <f t="shared" ref="Z391:Z398" si="498">BM391</f>
        <v>253.41200000000001</v>
      </c>
      <c r="AA391" s="171">
        <v>195.709</v>
      </c>
      <c r="AB391" s="168">
        <f t="shared" ref="AB391:AB398" si="499">BN391</f>
        <v>244.637</v>
      </c>
      <c r="AC391" s="171">
        <f>220.738-4.175</f>
        <v>216.56299999999999</v>
      </c>
      <c r="AD391" s="168">
        <f t="shared" ref="AD391:AD396" si="500">BO391</f>
        <v>216.52799999999999</v>
      </c>
      <c r="AE391" s="171">
        <f>196.162-5.991</f>
        <v>190.17099999999999</v>
      </c>
      <c r="AF391" s="168">
        <f t="shared" ref="AF391:AF396" si="501">BP391</f>
        <v>215.18600000000001</v>
      </c>
      <c r="AG391" s="171">
        <v>195.78200000000001</v>
      </c>
      <c r="AH391" s="168">
        <f t="shared" ref="AH391:AH396" si="502">BQ391</f>
        <v>242.904</v>
      </c>
      <c r="AI391" s="171">
        <v>238.70400000000001</v>
      </c>
      <c r="AJ391" s="168">
        <f t="shared" ref="AJ391:AJ396" si="503">BR391</f>
        <v>425.625</v>
      </c>
      <c r="AK391" s="181">
        <f>950.348+8.173</f>
        <v>958.52099999999996</v>
      </c>
      <c r="AL391" s="181">
        <f>BS391</f>
        <v>1086.2549999999999</v>
      </c>
      <c r="AM391" s="181">
        <f>969.679+17.529</f>
        <v>987.20799999999997</v>
      </c>
      <c r="AN391" s="181">
        <f>BT391</f>
        <v>1206.1610000000001</v>
      </c>
      <c r="AO391" s="181">
        <f>1136.331+203.297</f>
        <v>1339.6279999999999</v>
      </c>
      <c r="AP391" s="453">
        <f t="shared" ref="AP391:AP396" si="504">BU391</f>
        <v>1295.855</v>
      </c>
      <c r="AQ391" s="245">
        <f t="shared" ref="AQ391:AZ391" si="505">AP391+3</f>
        <v>1298.855</v>
      </c>
      <c r="AR391" s="245">
        <f t="shared" si="505"/>
        <v>1301.855</v>
      </c>
      <c r="AS391" s="245">
        <f t="shared" si="505"/>
        <v>1304.855</v>
      </c>
      <c r="AT391" s="245">
        <f t="shared" si="505"/>
        <v>1307.855</v>
      </c>
      <c r="AU391" s="245">
        <f t="shared" si="505"/>
        <v>1310.855</v>
      </c>
      <c r="AV391" s="245">
        <f t="shared" si="505"/>
        <v>1313.855</v>
      </c>
      <c r="AW391" s="245">
        <f t="shared" si="505"/>
        <v>1316.855</v>
      </c>
      <c r="AX391" s="245">
        <f t="shared" si="505"/>
        <v>1319.855</v>
      </c>
      <c r="AY391" s="245">
        <f t="shared" si="505"/>
        <v>1322.855</v>
      </c>
      <c r="AZ391" s="245">
        <f t="shared" si="505"/>
        <v>1325.855</v>
      </c>
      <c r="BA391" s="573"/>
      <c r="BB391" s="55"/>
      <c r="BC391" s="659"/>
      <c r="BD391" s="659"/>
      <c r="BE391" s="659"/>
      <c r="BF391" s="659"/>
      <c r="BG391" s="659"/>
      <c r="BH391" s="168"/>
      <c r="BI391" s="55"/>
      <c r="BJ391" s="55"/>
      <c r="BK391" s="55"/>
      <c r="BL391" s="55"/>
      <c r="BM391" s="181">
        <v>253.41200000000001</v>
      </c>
      <c r="BN391" s="181">
        <v>244.637</v>
      </c>
      <c r="BO391" s="181">
        <v>216.52799999999999</v>
      </c>
      <c r="BP391" s="181">
        <v>215.18600000000001</v>
      </c>
      <c r="BQ391" s="181">
        <v>242.904</v>
      </c>
      <c r="BR391" s="181">
        <v>425.625</v>
      </c>
      <c r="BS391" s="181">
        <f>1050.117+36.138</f>
        <v>1086.2549999999999</v>
      </c>
      <c r="BT391" s="181">
        <f>1044.118+162.043</f>
        <v>1206.1610000000001</v>
      </c>
      <c r="BU391" s="307">
        <f>1223.749+72.106</f>
        <v>1295.855</v>
      </c>
      <c r="BV391" s="55">
        <f t="shared" ref="BV391:BV397" si="506">AR391</f>
        <v>1301.855</v>
      </c>
      <c r="BW391" s="55">
        <f t="shared" ref="BW391:BW397" si="507">AT391</f>
        <v>1307.855</v>
      </c>
      <c r="BX391" s="55">
        <f t="shared" ref="BX391:BX397" si="508">AV391</f>
        <v>1313.855</v>
      </c>
      <c r="BY391" s="55">
        <f t="shared" ref="BY391:BY397" si="509">AX391</f>
        <v>1319.855</v>
      </c>
      <c r="BZ391" s="55">
        <f t="shared" ref="BZ391:BZ397" si="510">AZ391</f>
        <v>1325.855</v>
      </c>
      <c r="CB391" s="70" t="s">
        <v>624</v>
      </c>
      <c r="DS391" s="55">
        <f t="shared" ref="DS391:DS397" si="511">CV391</f>
        <v>0</v>
      </c>
    </row>
    <row r="392" spans="1:123" s="70" customFormat="1">
      <c r="A392" s="78"/>
      <c r="B392" s="70" t="s">
        <v>309</v>
      </c>
      <c r="C392" s="102"/>
      <c r="D392" s="102"/>
      <c r="E392" s="102"/>
      <c r="F392" s="102"/>
      <c r="G392" s="102"/>
      <c r="H392" s="102"/>
      <c r="I392" s="102"/>
      <c r="J392" s="102"/>
      <c r="K392" s="102"/>
      <c r="L392" s="102"/>
      <c r="M392" s="102"/>
      <c r="N392" s="102"/>
      <c r="O392" s="102"/>
      <c r="P392" s="102"/>
      <c r="Q392" s="102"/>
      <c r="R392" s="102"/>
      <c r="S392" s="102"/>
      <c r="T392" s="102"/>
      <c r="U392" s="102"/>
      <c r="V392" s="102"/>
      <c r="W392" s="102"/>
      <c r="X392" s="102"/>
      <c r="Y392" s="171">
        <v>0</v>
      </c>
      <c r="Z392" s="168">
        <f t="shared" si="498"/>
        <v>0</v>
      </c>
      <c r="AA392" s="171">
        <v>0</v>
      </c>
      <c r="AB392" s="168">
        <f t="shared" si="499"/>
        <v>0</v>
      </c>
      <c r="AC392" s="171">
        <v>4.1749999999999998</v>
      </c>
      <c r="AD392" s="168">
        <f t="shared" si="500"/>
        <v>5.59</v>
      </c>
      <c r="AE392" s="171">
        <v>5.9909999999999997</v>
      </c>
      <c r="AF392" s="168">
        <f t="shared" si="501"/>
        <v>6.2430000000000003</v>
      </c>
      <c r="AG392" s="171">
        <v>6.44</v>
      </c>
      <c r="AH392" s="168">
        <f t="shared" si="502"/>
        <v>7.1660000000000004</v>
      </c>
      <c r="AI392" s="171">
        <v>7.2679999999999998</v>
      </c>
      <c r="AJ392" s="168">
        <f t="shared" si="503"/>
        <v>10.384</v>
      </c>
      <c r="AK392" s="798">
        <v>23.151</v>
      </c>
      <c r="AL392" s="798">
        <f t="shared" ref="AL392:AL396" si="512">BS392</f>
        <v>30.827000000000002</v>
      </c>
      <c r="AM392" s="798">
        <v>30.417999999999999</v>
      </c>
      <c r="AN392" s="798">
        <f t="shared" ref="AN392:AN396" si="513">BT392</f>
        <v>31.016999999999999</v>
      </c>
      <c r="AO392" s="798">
        <v>32.015000000000001</v>
      </c>
      <c r="AP392" s="799">
        <f t="shared" si="504"/>
        <v>32.465000000000003</v>
      </c>
      <c r="AQ392" s="802">
        <f t="shared" ref="AQ392:AZ395" si="514">AP392</f>
        <v>32.465000000000003</v>
      </c>
      <c r="AR392" s="802">
        <f t="shared" si="514"/>
        <v>32.465000000000003</v>
      </c>
      <c r="AS392" s="802">
        <f t="shared" si="514"/>
        <v>32.465000000000003</v>
      </c>
      <c r="AT392" s="802">
        <f t="shared" si="514"/>
        <v>32.465000000000003</v>
      </c>
      <c r="AU392" s="802">
        <f t="shared" si="514"/>
        <v>32.465000000000003</v>
      </c>
      <c r="AV392" s="802">
        <f t="shared" si="514"/>
        <v>32.465000000000003</v>
      </c>
      <c r="AW392" s="802">
        <f t="shared" si="514"/>
        <v>32.465000000000003</v>
      </c>
      <c r="AX392" s="802">
        <f t="shared" si="514"/>
        <v>32.465000000000003</v>
      </c>
      <c r="AY392" s="802">
        <f t="shared" si="514"/>
        <v>32.465000000000003</v>
      </c>
      <c r="AZ392" s="802">
        <f t="shared" si="514"/>
        <v>32.465000000000003</v>
      </c>
      <c r="BA392" s="573"/>
      <c r="BB392" s="825"/>
      <c r="BC392" s="659"/>
      <c r="BD392" s="659"/>
      <c r="BE392" s="659"/>
      <c r="BF392" s="659"/>
      <c r="BG392" s="659"/>
      <c r="BH392" s="168"/>
      <c r="BI392" s="55"/>
      <c r="BJ392" s="55"/>
      <c r="BK392" s="55"/>
      <c r="BL392" s="55"/>
      <c r="BM392" s="181">
        <v>0</v>
      </c>
      <c r="BN392" s="181">
        <v>0</v>
      </c>
      <c r="BO392" s="181">
        <v>5.59</v>
      </c>
      <c r="BP392" s="181">
        <v>6.2430000000000003</v>
      </c>
      <c r="BQ392" s="181">
        <v>7.1660000000000004</v>
      </c>
      <c r="BR392" s="181">
        <v>10.384</v>
      </c>
      <c r="BS392" s="181">
        <v>30.827000000000002</v>
      </c>
      <c r="BT392" s="181">
        <v>31.016999999999999</v>
      </c>
      <c r="BU392" s="307">
        <v>32.465000000000003</v>
      </c>
      <c r="BV392" s="55">
        <f t="shared" si="506"/>
        <v>32.465000000000003</v>
      </c>
      <c r="BW392" s="55">
        <f t="shared" si="507"/>
        <v>32.465000000000003</v>
      </c>
      <c r="BX392" s="55">
        <f t="shared" si="508"/>
        <v>32.465000000000003</v>
      </c>
      <c r="BY392" s="55">
        <f t="shared" si="509"/>
        <v>32.465000000000003</v>
      </c>
      <c r="BZ392" s="55">
        <f t="shared" si="510"/>
        <v>32.465000000000003</v>
      </c>
      <c r="CB392" s="70" t="s">
        <v>624</v>
      </c>
      <c r="DS392" s="55">
        <f t="shared" si="511"/>
        <v>0</v>
      </c>
    </row>
    <row r="393" spans="1:123" s="70" customFormat="1">
      <c r="A393" s="78"/>
      <c r="B393" s="70" t="s">
        <v>235</v>
      </c>
      <c r="C393" s="102"/>
      <c r="D393" s="102"/>
      <c r="E393" s="102"/>
      <c r="F393" s="102"/>
      <c r="G393" s="102"/>
      <c r="H393" s="102"/>
      <c r="I393" s="102"/>
      <c r="J393" s="102"/>
      <c r="K393" s="102"/>
      <c r="L393" s="102"/>
      <c r="M393" s="102"/>
      <c r="N393" s="102"/>
      <c r="O393" s="102"/>
      <c r="P393" s="102"/>
      <c r="Q393" s="102"/>
      <c r="R393" s="102"/>
      <c r="S393" s="102"/>
      <c r="T393" s="102"/>
      <c r="U393" s="102"/>
      <c r="V393" s="102"/>
      <c r="W393" s="102"/>
      <c r="X393" s="102"/>
      <c r="Y393" s="171">
        <v>2.6659999999999999</v>
      </c>
      <c r="Z393" s="168">
        <f t="shared" si="498"/>
        <v>4.7060000000000004</v>
      </c>
      <c r="AA393" s="171">
        <v>4.6589999999999998</v>
      </c>
      <c r="AB393" s="168">
        <f t="shared" si="499"/>
        <v>5.14</v>
      </c>
      <c r="AC393" s="171">
        <v>3.8039999999999998</v>
      </c>
      <c r="AD393" s="168">
        <f t="shared" si="500"/>
        <v>6.5330000000000004</v>
      </c>
      <c r="AE393" s="171">
        <v>5.4610000000000003</v>
      </c>
      <c r="AF393" s="168">
        <f t="shared" si="501"/>
        <v>9.3659999999999997</v>
      </c>
      <c r="AG393" s="171">
        <v>5.9790000000000001</v>
      </c>
      <c r="AH393" s="168">
        <f t="shared" si="502"/>
        <v>9.7059999999999995</v>
      </c>
      <c r="AI393" s="171">
        <v>6.3559999999999999</v>
      </c>
      <c r="AJ393" s="168">
        <f t="shared" si="503"/>
        <v>7.9669999999999996</v>
      </c>
      <c r="AK393" s="181">
        <v>17.219000000000001</v>
      </c>
      <c r="AL393" s="181">
        <f t="shared" si="512"/>
        <v>26.481999999999999</v>
      </c>
      <c r="AM393" s="181">
        <v>17.707999999999998</v>
      </c>
      <c r="AN393" s="181">
        <f t="shared" si="513"/>
        <v>25.378</v>
      </c>
      <c r="AO393" s="181">
        <v>18.004999999999999</v>
      </c>
      <c r="AP393" s="453">
        <f t="shared" si="504"/>
        <v>30.006</v>
      </c>
      <c r="AQ393" s="245">
        <f t="shared" si="514"/>
        <v>30.006</v>
      </c>
      <c r="AR393" s="245">
        <f t="shared" si="514"/>
        <v>30.006</v>
      </c>
      <c r="AS393" s="245">
        <f t="shared" si="514"/>
        <v>30.006</v>
      </c>
      <c r="AT393" s="245">
        <f t="shared" si="514"/>
        <v>30.006</v>
      </c>
      <c r="AU393" s="245">
        <f t="shared" si="514"/>
        <v>30.006</v>
      </c>
      <c r="AV393" s="245">
        <f t="shared" si="514"/>
        <v>30.006</v>
      </c>
      <c r="AW393" s="245">
        <f t="shared" si="514"/>
        <v>30.006</v>
      </c>
      <c r="AX393" s="245">
        <f t="shared" si="514"/>
        <v>30.006</v>
      </c>
      <c r="AY393" s="245">
        <f t="shared" si="514"/>
        <v>30.006</v>
      </c>
      <c r="AZ393" s="245">
        <f t="shared" si="514"/>
        <v>30.006</v>
      </c>
      <c r="BA393" s="573"/>
      <c r="BB393" s="825"/>
      <c r="BC393" s="659"/>
      <c r="BD393" s="659"/>
      <c r="BE393" s="659"/>
      <c r="BF393" s="659"/>
      <c r="BG393" s="659"/>
      <c r="BH393" s="168"/>
      <c r="BI393" s="55"/>
      <c r="BJ393" s="55"/>
      <c r="BK393" s="55"/>
      <c r="BL393" s="55"/>
      <c r="BM393" s="181">
        <v>4.7060000000000004</v>
      </c>
      <c r="BN393" s="181">
        <v>5.14</v>
      </c>
      <c r="BO393" s="181">
        <v>6.5330000000000004</v>
      </c>
      <c r="BP393" s="181">
        <v>9.3659999999999997</v>
      </c>
      <c r="BQ393" s="181">
        <v>9.7059999999999995</v>
      </c>
      <c r="BR393" s="181">
        <v>7.9669999999999996</v>
      </c>
      <c r="BS393" s="181">
        <v>26.481999999999999</v>
      </c>
      <c r="BT393" s="181">
        <v>25.378</v>
      </c>
      <c r="BU393" s="307">
        <v>30.006</v>
      </c>
      <c r="BV393" s="55">
        <f t="shared" si="506"/>
        <v>30.006</v>
      </c>
      <c r="BW393" s="55">
        <f t="shared" si="507"/>
        <v>30.006</v>
      </c>
      <c r="BX393" s="55">
        <f t="shared" si="508"/>
        <v>30.006</v>
      </c>
      <c r="BY393" s="55">
        <f t="shared" si="509"/>
        <v>30.006</v>
      </c>
      <c r="BZ393" s="55">
        <f t="shared" si="510"/>
        <v>30.006</v>
      </c>
      <c r="CB393" s="70" t="s">
        <v>624</v>
      </c>
      <c r="DS393" s="55">
        <f t="shared" si="511"/>
        <v>0</v>
      </c>
    </row>
    <row r="394" spans="1:123" s="70" customFormat="1">
      <c r="A394" s="78"/>
      <c r="B394" s="70" t="s">
        <v>149</v>
      </c>
      <c r="C394" s="102"/>
      <c r="D394" s="102"/>
      <c r="E394" s="102"/>
      <c r="F394" s="102"/>
      <c r="G394" s="102"/>
      <c r="H394" s="102"/>
      <c r="I394" s="102"/>
      <c r="J394" s="102"/>
      <c r="K394" s="102"/>
      <c r="L394" s="102"/>
      <c r="M394" s="102"/>
      <c r="N394" s="102"/>
      <c r="O394" s="102"/>
      <c r="P394" s="102"/>
      <c r="Q394" s="102"/>
      <c r="R394" s="102"/>
      <c r="S394" s="102"/>
      <c r="T394" s="102"/>
      <c r="U394" s="102"/>
      <c r="V394" s="102"/>
      <c r="W394" s="102"/>
      <c r="X394" s="102"/>
      <c r="Y394" s="171">
        <v>11.699</v>
      </c>
      <c r="Z394" s="168">
        <f t="shared" si="498"/>
        <v>15.244</v>
      </c>
      <c r="AA394" s="171">
        <v>12.558999999999999</v>
      </c>
      <c r="AB394" s="168">
        <f t="shared" si="499"/>
        <v>14.568</v>
      </c>
      <c r="AC394" s="171">
        <v>12.851000000000001</v>
      </c>
      <c r="AD394" s="168">
        <f t="shared" si="500"/>
        <v>15.432</v>
      </c>
      <c r="AE394" s="171">
        <v>15.464</v>
      </c>
      <c r="AF394" s="168">
        <f t="shared" si="501"/>
        <v>17.494</v>
      </c>
      <c r="AG394" s="171">
        <v>18.309999999999999</v>
      </c>
      <c r="AH394" s="168">
        <f t="shared" si="502"/>
        <v>20.68</v>
      </c>
      <c r="AI394" s="171">
        <v>20.157</v>
      </c>
      <c r="AJ394" s="168">
        <f t="shared" si="503"/>
        <v>29.103999999999999</v>
      </c>
      <c r="AK394" s="798">
        <v>158.852</v>
      </c>
      <c r="AL394" s="798">
        <f t="shared" si="512"/>
        <v>204.547</v>
      </c>
      <c r="AM394" s="798">
        <v>120.45099999999999</v>
      </c>
      <c r="AN394" s="798">
        <f t="shared" si="513"/>
        <v>86.085999999999999</v>
      </c>
      <c r="AO394" s="798">
        <v>85.177000000000007</v>
      </c>
      <c r="AP394" s="799">
        <f t="shared" si="504"/>
        <v>100.202</v>
      </c>
      <c r="AQ394" s="802">
        <f t="shared" si="514"/>
        <v>100.202</v>
      </c>
      <c r="AR394" s="802">
        <f t="shared" si="514"/>
        <v>100.202</v>
      </c>
      <c r="AS394" s="802">
        <f t="shared" si="514"/>
        <v>100.202</v>
      </c>
      <c r="AT394" s="802">
        <f t="shared" si="514"/>
        <v>100.202</v>
      </c>
      <c r="AU394" s="802">
        <f t="shared" si="514"/>
        <v>100.202</v>
      </c>
      <c r="AV394" s="802">
        <f t="shared" si="514"/>
        <v>100.202</v>
      </c>
      <c r="AW394" s="802">
        <f t="shared" si="514"/>
        <v>100.202</v>
      </c>
      <c r="AX394" s="802">
        <f t="shared" si="514"/>
        <v>100.202</v>
      </c>
      <c r="AY394" s="802">
        <f t="shared" si="514"/>
        <v>100.202</v>
      </c>
      <c r="AZ394" s="802">
        <f t="shared" si="514"/>
        <v>100.202</v>
      </c>
      <c r="BA394" s="573"/>
      <c r="BB394" s="825"/>
      <c r="BC394" s="659"/>
      <c r="BD394" s="659"/>
      <c r="BE394" s="659"/>
      <c r="BF394" s="659"/>
      <c r="BG394" s="659"/>
      <c r="BH394" s="168"/>
      <c r="BI394" s="55"/>
      <c r="BJ394" s="55"/>
      <c r="BK394" s="55"/>
      <c r="BL394" s="55"/>
      <c r="BM394" s="181">
        <v>15.244</v>
      </c>
      <c r="BN394" s="181">
        <v>14.568</v>
      </c>
      <c r="BO394" s="181">
        <v>15.432</v>
      </c>
      <c r="BP394" s="181">
        <v>17.494</v>
      </c>
      <c r="BQ394" s="181">
        <v>20.68</v>
      </c>
      <c r="BR394" s="181">
        <v>29.103999999999999</v>
      </c>
      <c r="BS394" s="181">
        <v>204.547</v>
      </c>
      <c r="BT394" s="181">
        <v>86.085999999999999</v>
      </c>
      <c r="BU394" s="307">
        <v>100.202</v>
      </c>
      <c r="BV394" s="55">
        <f t="shared" si="506"/>
        <v>100.202</v>
      </c>
      <c r="BW394" s="55">
        <f t="shared" si="507"/>
        <v>100.202</v>
      </c>
      <c r="BX394" s="55">
        <f t="shared" si="508"/>
        <v>100.202</v>
      </c>
      <c r="BY394" s="55">
        <f t="shared" si="509"/>
        <v>100.202</v>
      </c>
      <c r="BZ394" s="55">
        <f t="shared" si="510"/>
        <v>100.202</v>
      </c>
      <c r="CB394" s="70" t="s">
        <v>624</v>
      </c>
      <c r="DS394" s="55">
        <f t="shared" si="511"/>
        <v>0</v>
      </c>
    </row>
    <row r="395" spans="1:123" s="70" customFormat="1">
      <c r="A395" s="78"/>
      <c r="B395" s="70" t="s">
        <v>234</v>
      </c>
      <c r="C395" s="102"/>
      <c r="D395" s="102"/>
      <c r="E395" s="102"/>
      <c r="F395" s="102"/>
      <c r="G395" s="102"/>
      <c r="H395" s="102"/>
      <c r="I395" s="102"/>
      <c r="J395" s="102"/>
      <c r="K395" s="102"/>
      <c r="L395" s="102"/>
      <c r="M395" s="102"/>
      <c r="N395" s="102"/>
      <c r="O395" s="102"/>
      <c r="P395" s="102"/>
      <c r="Q395" s="102"/>
      <c r="R395" s="102"/>
      <c r="S395" s="102"/>
      <c r="T395" s="102"/>
      <c r="U395" s="101"/>
      <c r="V395" s="101"/>
      <c r="W395" s="101"/>
      <c r="X395" s="101"/>
      <c r="Y395" s="171">
        <v>0</v>
      </c>
      <c r="Z395" s="168">
        <f t="shared" si="498"/>
        <v>0</v>
      </c>
      <c r="AA395" s="171">
        <v>0</v>
      </c>
      <c r="AB395" s="168">
        <f t="shared" si="499"/>
        <v>0</v>
      </c>
      <c r="AC395" s="171">
        <v>0</v>
      </c>
      <c r="AD395" s="168">
        <f t="shared" si="500"/>
        <v>0</v>
      </c>
      <c r="AE395" s="171">
        <v>8.92</v>
      </c>
      <c r="AF395" s="168">
        <f t="shared" si="501"/>
        <v>8.2240000000000002</v>
      </c>
      <c r="AG395" s="171">
        <v>8.8420000000000005</v>
      </c>
      <c r="AH395" s="168">
        <f t="shared" si="502"/>
        <v>7.7859999999999996</v>
      </c>
      <c r="AI395" s="171">
        <v>7.73</v>
      </c>
      <c r="AJ395" s="168">
        <f t="shared" si="503"/>
        <v>8.1869999999999994</v>
      </c>
      <c r="AK395" s="181">
        <v>12.276999999999999</v>
      </c>
      <c r="AL395" s="181">
        <f t="shared" si="512"/>
        <v>14.743</v>
      </c>
      <c r="AM395" s="181">
        <v>14.532</v>
      </c>
      <c r="AN395" s="181">
        <f t="shared" si="513"/>
        <v>14.154999999999999</v>
      </c>
      <c r="AO395" s="181">
        <v>17.818000000000001</v>
      </c>
      <c r="AP395" s="453">
        <f t="shared" si="504"/>
        <v>18.867999999999999</v>
      </c>
      <c r="AQ395" s="245">
        <f t="shared" si="514"/>
        <v>18.867999999999999</v>
      </c>
      <c r="AR395" s="245">
        <f t="shared" si="514"/>
        <v>18.867999999999999</v>
      </c>
      <c r="AS395" s="245">
        <f t="shared" si="514"/>
        <v>18.867999999999999</v>
      </c>
      <c r="AT395" s="245">
        <f t="shared" si="514"/>
        <v>18.867999999999999</v>
      </c>
      <c r="AU395" s="245">
        <f t="shared" si="514"/>
        <v>18.867999999999999</v>
      </c>
      <c r="AV395" s="245">
        <f t="shared" si="514"/>
        <v>18.867999999999999</v>
      </c>
      <c r="AW395" s="245">
        <f t="shared" si="514"/>
        <v>18.867999999999999</v>
      </c>
      <c r="AX395" s="245">
        <f t="shared" si="514"/>
        <v>18.867999999999999</v>
      </c>
      <c r="AY395" s="245">
        <f t="shared" si="514"/>
        <v>18.867999999999999</v>
      </c>
      <c r="AZ395" s="245">
        <f t="shared" si="514"/>
        <v>18.867999999999999</v>
      </c>
      <c r="BA395" s="573"/>
      <c r="BB395" s="659"/>
      <c r="BC395" s="659"/>
      <c r="BD395" s="659"/>
      <c r="BE395" s="659"/>
      <c r="BF395" s="659"/>
      <c r="BG395" s="659"/>
      <c r="BH395" s="168"/>
      <c r="BI395" s="573"/>
      <c r="BJ395" s="573"/>
      <c r="BK395" s="573"/>
      <c r="BL395" s="573"/>
      <c r="BM395" s="181">
        <v>0</v>
      </c>
      <c r="BN395" s="181">
        <v>0</v>
      </c>
      <c r="BO395" s="181">
        <v>0</v>
      </c>
      <c r="BP395" s="181">
        <v>8.2240000000000002</v>
      </c>
      <c r="BQ395" s="181">
        <v>7.7859999999999996</v>
      </c>
      <c r="BR395" s="181">
        <v>8.1869999999999994</v>
      </c>
      <c r="BS395" s="181">
        <v>14.743</v>
      </c>
      <c r="BT395" s="181">
        <v>14.154999999999999</v>
      </c>
      <c r="BU395" s="307">
        <v>18.867999999999999</v>
      </c>
      <c r="BV395" s="55">
        <f t="shared" si="506"/>
        <v>18.867999999999999</v>
      </c>
      <c r="BW395" s="55">
        <f t="shared" si="507"/>
        <v>18.867999999999999</v>
      </c>
      <c r="BX395" s="55">
        <f t="shared" si="508"/>
        <v>18.867999999999999</v>
      </c>
      <c r="BY395" s="55">
        <f t="shared" si="509"/>
        <v>18.867999999999999</v>
      </c>
      <c r="BZ395" s="55">
        <f t="shared" si="510"/>
        <v>18.867999999999999</v>
      </c>
      <c r="CB395" s="70" t="s">
        <v>624</v>
      </c>
      <c r="DS395" s="55">
        <f t="shared" si="511"/>
        <v>0</v>
      </c>
    </row>
    <row r="396" spans="1:123" s="70" customFormat="1">
      <c r="A396" s="78"/>
      <c r="B396" s="70" t="s">
        <v>310</v>
      </c>
      <c r="C396" s="102"/>
      <c r="D396" s="102"/>
      <c r="E396" s="102"/>
      <c r="F396" s="102"/>
      <c r="G396" s="102"/>
      <c r="H396" s="102"/>
      <c r="I396" s="102"/>
      <c r="J396" s="102"/>
      <c r="K396" s="102"/>
      <c r="L396" s="102"/>
      <c r="M396" s="102"/>
      <c r="N396" s="102"/>
      <c r="O396" s="102"/>
      <c r="P396" s="102"/>
      <c r="Q396" s="102"/>
      <c r="R396" s="102"/>
      <c r="S396" s="102"/>
      <c r="T396" s="102"/>
      <c r="U396" s="101"/>
      <c r="V396" s="101"/>
      <c r="W396" s="101"/>
      <c r="X396" s="101"/>
      <c r="Y396" s="171">
        <v>4.6020000000000003</v>
      </c>
      <c r="Z396" s="168">
        <f t="shared" si="498"/>
        <v>6.1689999999999996</v>
      </c>
      <c r="AA396" s="171">
        <v>7.0990000000000002</v>
      </c>
      <c r="AB396" s="168">
        <f t="shared" si="499"/>
        <v>8.9169999999999998</v>
      </c>
      <c r="AC396" s="171">
        <v>17.111999999999998</v>
      </c>
      <c r="AD396" s="168">
        <f t="shared" si="500"/>
        <v>18.945</v>
      </c>
      <c r="AE396" s="171">
        <v>13.29</v>
      </c>
      <c r="AF396" s="168">
        <f t="shared" si="501"/>
        <v>11.103999999999999</v>
      </c>
      <c r="AG396" s="171">
        <v>4.0039999999999996</v>
      </c>
      <c r="AH396" s="168">
        <f t="shared" si="502"/>
        <v>11.474</v>
      </c>
      <c r="AI396" s="171">
        <v>5.2619999999999996</v>
      </c>
      <c r="AJ396" s="168">
        <f t="shared" si="503"/>
        <v>8.9410000000000007</v>
      </c>
      <c r="AK396" s="181">
        <v>16.72</v>
      </c>
      <c r="AL396" s="181">
        <f t="shared" si="512"/>
        <v>19.768999999999998</v>
      </c>
      <c r="AM396" s="181">
        <v>16.940000000000001</v>
      </c>
      <c r="AN396" s="181">
        <f t="shared" si="513"/>
        <v>6.1189999999999998</v>
      </c>
      <c r="AO396" s="181">
        <v>7.93</v>
      </c>
      <c r="AP396" s="453">
        <f t="shared" si="504"/>
        <v>7.242</v>
      </c>
      <c r="AQ396" s="55">
        <f t="shared" ref="AQ396:AZ396" si="515">AQ415</f>
        <v>7.242</v>
      </c>
      <c r="AR396" s="55">
        <f t="shared" si="515"/>
        <v>7.242</v>
      </c>
      <c r="AS396" s="55">
        <f t="shared" si="515"/>
        <v>7.242</v>
      </c>
      <c r="AT396" s="55">
        <f t="shared" si="515"/>
        <v>7.242</v>
      </c>
      <c r="AU396" s="55">
        <f t="shared" si="515"/>
        <v>7.242</v>
      </c>
      <c r="AV396" s="55">
        <f t="shared" si="515"/>
        <v>7.242</v>
      </c>
      <c r="AW396" s="55">
        <f t="shared" si="515"/>
        <v>7.242</v>
      </c>
      <c r="AX396" s="55">
        <f t="shared" si="515"/>
        <v>7.242</v>
      </c>
      <c r="AY396" s="55">
        <f t="shared" si="515"/>
        <v>7.242</v>
      </c>
      <c r="AZ396" s="55">
        <f t="shared" si="515"/>
        <v>7.242</v>
      </c>
      <c r="BA396" s="573"/>
      <c r="BB396" s="659"/>
      <c r="BC396" s="659"/>
      <c r="BD396" s="659"/>
      <c r="BE396" s="659"/>
      <c r="BF396" s="659"/>
      <c r="BG396" s="659"/>
      <c r="BH396" s="168"/>
      <c r="BI396" s="573"/>
      <c r="BJ396" s="573"/>
      <c r="BK396" s="573"/>
      <c r="BL396" s="573"/>
      <c r="BM396" s="181">
        <v>6.1689999999999996</v>
      </c>
      <c r="BN396" s="181">
        <v>8.9169999999999998</v>
      </c>
      <c r="BO396" s="181">
        <v>18.945</v>
      </c>
      <c r="BP396" s="171">
        <v>11.103999999999999</v>
      </c>
      <c r="BQ396" s="181">
        <v>11.474</v>
      </c>
      <c r="BR396" s="181">
        <v>8.9410000000000007</v>
      </c>
      <c r="BS396" s="181">
        <v>19.768999999999998</v>
      </c>
      <c r="BT396" s="181">
        <v>6.1189999999999998</v>
      </c>
      <c r="BU396" s="307">
        <v>7.242</v>
      </c>
      <c r="BV396" s="55">
        <f t="shared" si="506"/>
        <v>7.242</v>
      </c>
      <c r="BW396" s="55">
        <f t="shared" si="507"/>
        <v>7.242</v>
      </c>
      <c r="BX396" s="55">
        <f t="shared" si="508"/>
        <v>7.242</v>
      </c>
      <c r="BY396" s="55">
        <f t="shared" si="509"/>
        <v>7.242</v>
      </c>
      <c r="BZ396" s="55">
        <f t="shared" si="510"/>
        <v>7.242</v>
      </c>
      <c r="CB396" s="70" t="s">
        <v>624</v>
      </c>
      <c r="DS396" s="55">
        <f t="shared" si="511"/>
        <v>0</v>
      </c>
    </row>
    <row r="397" spans="1:123" s="70" customFormat="1">
      <c r="A397" s="78"/>
      <c r="B397" s="70" t="s">
        <v>18</v>
      </c>
      <c r="C397" s="102"/>
      <c r="D397" s="102"/>
      <c r="E397" s="102"/>
      <c r="F397" s="102"/>
      <c r="G397" s="102"/>
      <c r="H397" s="102"/>
      <c r="I397" s="102"/>
      <c r="J397" s="102"/>
      <c r="K397" s="102"/>
      <c r="L397" s="102"/>
      <c r="M397" s="102"/>
      <c r="N397" s="102"/>
      <c r="O397" s="102"/>
      <c r="P397" s="102"/>
      <c r="Q397" s="102"/>
      <c r="R397" s="102"/>
      <c r="S397" s="102"/>
      <c r="T397" s="102"/>
      <c r="U397" s="101"/>
      <c r="V397" s="101"/>
      <c r="W397" s="101"/>
      <c r="X397" s="101"/>
      <c r="Y397" s="283"/>
      <c r="Z397" s="284"/>
      <c r="AA397" s="283"/>
      <c r="AB397" s="284"/>
      <c r="AC397" s="283"/>
      <c r="AD397" s="284"/>
      <c r="AE397" s="283"/>
      <c r="AF397" s="284"/>
      <c r="AG397" s="283"/>
      <c r="AH397" s="284"/>
      <c r="AI397" s="283"/>
      <c r="AJ397" s="284"/>
      <c r="AK397" s="826"/>
      <c r="AL397" s="826"/>
      <c r="AM397" s="826"/>
      <c r="AN397" s="826"/>
      <c r="AO397" s="826"/>
      <c r="AP397" s="827"/>
      <c r="AQ397" s="773"/>
      <c r="AR397" s="773"/>
      <c r="AS397" s="773"/>
      <c r="AT397" s="773"/>
      <c r="AU397" s="773"/>
      <c r="AV397" s="773"/>
      <c r="AW397" s="773"/>
      <c r="AX397" s="773"/>
      <c r="AY397" s="773"/>
      <c r="AZ397" s="773"/>
      <c r="BA397" s="573"/>
      <c r="BB397" s="659"/>
      <c r="BC397" s="659"/>
      <c r="BD397" s="659"/>
      <c r="BE397" s="659"/>
      <c r="BF397" s="659"/>
      <c r="BG397" s="659"/>
      <c r="BH397" s="168"/>
      <c r="BI397" s="573"/>
      <c r="BJ397" s="573"/>
      <c r="BK397" s="573"/>
      <c r="BL397" s="573"/>
      <c r="BM397" s="181"/>
      <c r="BN397" s="181"/>
      <c r="BO397" s="181"/>
      <c r="BP397" s="171"/>
      <c r="BQ397" s="181"/>
      <c r="BR397" s="181"/>
      <c r="BS397" s="181"/>
      <c r="BT397" s="181"/>
      <c r="BU397" s="307"/>
      <c r="BV397" s="55">
        <f t="shared" si="506"/>
        <v>0</v>
      </c>
      <c r="BW397" s="55">
        <f t="shared" si="507"/>
        <v>0</v>
      </c>
      <c r="BX397" s="55">
        <f t="shared" si="508"/>
        <v>0</v>
      </c>
      <c r="BY397" s="55">
        <f t="shared" si="509"/>
        <v>0</v>
      </c>
      <c r="BZ397" s="55">
        <f t="shared" si="510"/>
        <v>0</v>
      </c>
      <c r="DS397" s="55">
        <f t="shared" si="511"/>
        <v>0</v>
      </c>
    </row>
    <row r="398" spans="1:123" s="70" customFormat="1">
      <c r="A398" s="78"/>
      <c r="B398" s="70" t="s">
        <v>150</v>
      </c>
      <c r="C398" s="102"/>
      <c r="D398" s="102"/>
      <c r="E398" s="102"/>
      <c r="F398" s="102"/>
      <c r="G398" s="102"/>
      <c r="H398" s="102"/>
      <c r="I398" s="102"/>
      <c r="J398" s="102"/>
      <c r="K398" s="102"/>
      <c r="L398" s="102"/>
      <c r="Y398" s="183">
        <f>SUM(Y391:Y396)</f>
        <v>212.64200000000002</v>
      </c>
      <c r="Z398" s="183">
        <f t="shared" si="498"/>
        <v>279.53099999999995</v>
      </c>
      <c r="AA398" s="183">
        <f>SUM(AA391:AA396)</f>
        <v>220.02599999999998</v>
      </c>
      <c r="AB398" s="168">
        <f t="shared" si="499"/>
        <v>273.26199999999994</v>
      </c>
      <c r="AC398" s="183">
        <f>SUM(AC391:AC396)</f>
        <v>254.505</v>
      </c>
      <c r="AD398" s="183">
        <f>SUM(AD391:AD396)</f>
        <v>263.02799999999996</v>
      </c>
      <c r="AE398" s="183">
        <f>SUM(AE391:AE396)</f>
        <v>239.29699999999997</v>
      </c>
      <c r="AF398" s="168">
        <f>BP398</f>
        <v>267.61700000000002</v>
      </c>
      <c r="AG398" s="183">
        <f t="shared" ref="AG398:AP398" si="516">SUM(AG391:AG396)</f>
        <v>239.35700000000003</v>
      </c>
      <c r="AH398" s="183">
        <f t="shared" si="516"/>
        <v>299.71600000000001</v>
      </c>
      <c r="AI398" s="183">
        <f t="shared" si="516"/>
        <v>285.47700000000003</v>
      </c>
      <c r="AJ398" s="183">
        <f t="shared" si="516"/>
        <v>490.20799999999997</v>
      </c>
      <c r="AK398" s="183">
        <f t="shared" si="516"/>
        <v>1186.74</v>
      </c>
      <c r="AL398" s="183">
        <f t="shared" si="516"/>
        <v>1382.6229999999998</v>
      </c>
      <c r="AM398" s="183">
        <f t="shared" si="516"/>
        <v>1187.2570000000001</v>
      </c>
      <c r="AN398" s="183">
        <f t="shared" si="516"/>
        <v>1368.9159999999999</v>
      </c>
      <c r="AO398" s="183">
        <f t="shared" si="516"/>
        <v>1500.5730000000001</v>
      </c>
      <c r="AP398" s="464">
        <f t="shared" si="516"/>
        <v>1484.6379999999999</v>
      </c>
      <c r="AQ398" s="183">
        <f t="shared" ref="AQ398:AZ398" si="517">SUM(AQ391:AQ397)</f>
        <v>1487.6379999999999</v>
      </c>
      <c r="AR398" s="183">
        <f t="shared" si="517"/>
        <v>1490.6379999999999</v>
      </c>
      <c r="AS398" s="183">
        <f t="shared" si="517"/>
        <v>1493.6379999999999</v>
      </c>
      <c r="AT398" s="183">
        <f t="shared" si="517"/>
        <v>1496.6379999999999</v>
      </c>
      <c r="AU398" s="183">
        <f t="shared" si="517"/>
        <v>1499.6379999999999</v>
      </c>
      <c r="AV398" s="183">
        <f t="shared" si="517"/>
        <v>1502.6379999999999</v>
      </c>
      <c r="AW398" s="183">
        <f t="shared" si="517"/>
        <v>1505.6379999999999</v>
      </c>
      <c r="AX398" s="183">
        <f t="shared" si="517"/>
        <v>1508.6379999999999</v>
      </c>
      <c r="AY398" s="183">
        <f t="shared" si="517"/>
        <v>1511.6379999999999</v>
      </c>
      <c r="AZ398" s="183">
        <f t="shared" si="517"/>
        <v>1514.6379999999999</v>
      </c>
      <c r="BA398" s="573"/>
      <c r="BB398" s="825"/>
      <c r="BC398" s="659"/>
      <c r="BD398" s="659"/>
      <c r="BE398" s="659"/>
      <c r="BF398" s="659"/>
      <c r="BG398" s="659"/>
      <c r="BH398" s="168"/>
      <c r="BI398" s="55"/>
      <c r="BJ398" s="55"/>
      <c r="BK398" s="55"/>
      <c r="BL398" s="55"/>
      <c r="BM398" s="182">
        <f t="shared" ref="BM398:BS398" si="518">SUM(BM391:BM396)</f>
        <v>279.53099999999995</v>
      </c>
      <c r="BN398" s="182">
        <f t="shared" si="518"/>
        <v>273.26199999999994</v>
      </c>
      <c r="BO398" s="182">
        <f t="shared" si="518"/>
        <v>263.02799999999996</v>
      </c>
      <c r="BP398" s="182">
        <f t="shared" si="518"/>
        <v>267.61700000000002</v>
      </c>
      <c r="BQ398" s="182">
        <f t="shared" si="518"/>
        <v>299.71600000000001</v>
      </c>
      <c r="BR398" s="182">
        <f t="shared" si="518"/>
        <v>490.20799999999997</v>
      </c>
      <c r="BS398" s="182">
        <f t="shared" si="518"/>
        <v>1382.6229999999998</v>
      </c>
      <c r="BT398" s="182">
        <f>SUM(BT391:BT397)</f>
        <v>1368.9159999999999</v>
      </c>
      <c r="BU398" s="466">
        <f>SUM(BU391:BU397)</f>
        <v>1484.6379999999999</v>
      </c>
      <c r="BV398" s="182">
        <f>SUM(BV391:BV397)</f>
        <v>1490.6379999999999</v>
      </c>
      <c r="BW398" s="182">
        <f>SUM(BW391:BW397)</f>
        <v>1496.6379999999999</v>
      </c>
      <c r="BX398" s="182">
        <f t="shared" ref="BX398:BZ398" si="519">SUM(BX391:BX397)</f>
        <v>1502.6379999999999</v>
      </c>
      <c r="BY398" s="182">
        <f t="shared" si="519"/>
        <v>1508.6379999999999</v>
      </c>
      <c r="BZ398" s="182">
        <f t="shared" si="519"/>
        <v>1514.6379999999999</v>
      </c>
      <c r="CB398" s="70" t="s">
        <v>609</v>
      </c>
      <c r="DS398" s="182">
        <f>SUM(DS391:DS397)</f>
        <v>0</v>
      </c>
    </row>
    <row r="399" spans="1:123" s="70" customFormat="1">
      <c r="A399" s="78"/>
      <c r="C399" s="102"/>
      <c r="D399" s="102"/>
      <c r="E399" s="102"/>
      <c r="F399" s="102"/>
      <c r="G399" s="102"/>
      <c r="H399" s="102"/>
      <c r="I399" s="102"/>
      <c r="J399" s="102"/>
      <c r="K399" s="102"/>
      <c r="L399" s="102"/>
      <c r="M399" s="111"/>
      <c r="N399" s="111"/>
      <c r="O399" s="111"/>
      <c r="P399" s="111"/>
      <c r="Q399" s="111"/>
      <c r="R399" s="111"/>
      <c r="S399" s="111"/>
      <c r="T399" s="111"/>
      <c r="U399" s="117"/>
      <c r="V399" s="117"/>
      <c r="W399" s="117"/>
      <c r="X399" s="117"/>
      <c r="Y399" s="168"/>
      <c r="Z399" s="326"/>
      <c r="AA399" s="168"/>
      <c r="AB399" s="326"/>
      <c r="AC399" s="168"/>
      <c r="AD399" s="326"/>
      <c r="AE399" s="168"/>
      <c r="AF399" s="168"/>
      <c r="AG399" s="168"/>
      <c r="AH399" s="168"/>
      <c r="AI399" s="663"/>
      <c r="AJ399" s="168"/>
      <c r="AK399" s="327"/>
      <c r="AL399" s="327"/>
      <c r="AM399" s="327"/>
      <c r="AN399" s="327"/>
      <c r="AO399" s="327"/>
      <c r="AP399" s="467"/>
      <c r="AQ399" s="327"/>
      <c r="AR399" s="327"/>
      <c r="AS399" s="327"/>
      <c r="AT399" s="327"/>
      <c r="AU399" s="327"/>
      <c r="AV399" s="327"/>
      <c r="AW399" s="327"/>
      <c r="AX399" s="327"/>
      <c r="AY399" s="327"/>
      <c r="AZ399" s="327"/>
      <c r="BA399" s="659"/>
      <c r="BB399" s="168"/>
      <c r="BC399" s="168"/>
      <c r="BD399" s="168"/>
      <c r="BE399" s="168"/>
      <c r="BF399" s="168"/>
      <c r="BG399" s="168"/>
      <c r="BH399" s="168"/>
      <c r="BI399" s="92"/>
      <c r="BJ399" s="92"/>
      <c r="BK399" s="92"/>
      <c r="BL399" s="92"/>
      <c r="BM399" s="55"/>
      <c r="BN399" s="55"/>
      <c r="BO399" s="55"/>
      <c r="BP399" s="55"/>
      <c r="BQ399" s="55"/>
      <c r="BR399" s="55"/>
      <c r="BS399" s="55"/>
      <c r="BT399" s="55"/>
      <c r="BU399" s="453"/>
      <c r="BV399" s="92"/>
      <c r="BW399" s="92"/>
      <c r="BX399" s="92"/>
      <c r="BY399" s="92"/>
      <c r="BZ399" s="92"/>
      <c r="DS399" s="92"/>
    </row>
    <row r="400" spans="1:123" s="70" customFormat="1">
      <c r="A400" s="78"/>
      <c r="B400" s="75" t="s">
        <v>151</v>
      </c>
      <c r="C400" s="102"/>
      <c r="D400" s="102"/>
      <c r="E400" s="102"/>
      <c r="F400" s="102"/>
      <c r="G400" s="102"/>
      <c r="H400" s="102"/>
      <c r="I400" s="102"/>
      <c r="J400" s="102"/>
      <c r="K400" s="102"/>
      <c r="L400" s="102"/>
      <c r="M400" s="75"/>
      <c r="N400" s="75"/>
      <c r="O400" s="75"/>
      <c r="P400" s="75"/>
      <c r="Q400" s="75"/>
      <c r="R400" s="75"/>
      <c r="S400" s="75"/>
      <c r="T400" s="75"/>
      <c r="U400" s="75"/>
      <c r="V400" s="75"/>
      <c r="W400" s="75"/>
      <c r="X400" s="75"/>
      <c r="Y400" s="168"/>
      <c r="Z400" s="200"/>
      <c r="AA400" s="168"/>
      <c r="AB400" s="200"/>
      <c r="AC400" s="168"/>
      <c r="AD400" s="200"/>
      <c r="AE400" s="168"/>
      <c r="AF400" s="168"/>
      <c r="AG400" s="168"/>
      <c r="AH400" s="168"/>
      <c r="AI400" s="168"/>
      <c r="AJ400" s="168"/>
      <c r="AK400" s="55"/>
      <c r="AL400" s="55"/>
      <c r="AM400" s="136">
        <f>AM405*2.6%/2</f>
        <v>8.6172970000000007</v>
      </c>
      <c r="AN400" s="55"/>
      <c r="AO400" s="136"/>
      <c r="AP400" s="453"/>
      <c r="AQ400" s="55"/>
      <c r="AR400" s="55"/>
      <c r="AS400" s="55"/>
      <c r="AT400" s="55"/>
      <c r="AU400" s="55"/>
      <c r="AV400" s="55"/>
      <c r="AW400" s="55"/>
      <c r="AX400" s="55"/>
      <c r="AY400" s="55"/>
      <c r="AZ400" s="55"/>
      <c r="BA400" s="659"/>
      <c r="BB400" s="168"/>
      <c r="BC400" s="168"/>
      <c r="BD400" s="168"/>
      <c r="BE400" s="168"/>
      <c r="BF400" s="168"/>
      <c r="BG400" s="168"/>
      <c r="BH400" s="168"/>
      <c r="BI400" s="92"/>
      <c r="BJ400" s="92"/>
      <c r="BK400" s="92"/>
      <c r="BL400" s="92"/>
      <c r="BM400" s="55"/>
      <c r="BN400" s="55"/>
      <c r="BO400" s="55"/>
      <c r="BP400" s="55"/>
      <c r="BQ400" s="55"/>
      <c r="BR400" s="55"/>
      <c r="BS400" s="55"/>
      <c r="BT400" s="55"/>
      <c r="BU400" s="453"/>
      <c r="BV400" s="92"/>
      <c r="BW400" s="92"/>
      <c r="BX400" s="92"/>
      <c r="BY400" s="92"/>
      <c r="BZ400" s="92"/>
      <c r="DS400" s="92"/>
    </row>
    <row r="401" spans="1:123" s="70" customFormat="1">
      <c r="A401" s="78" t="s">
        <v>272</v>
      </c>
      <c r="B401" s="70" t="s">
        <v>311</v>
      </c>
      <c r="C401" s="102"/>
      <c r="D401" s="102"/>
      <c r="E401" s="102"/>
      <c r="F401" s="102"/>
      <c r="G401" s="102"/>
      <c r="H401" s="102"/>
      <c r="I401" s="102"/>
      <c r="J401" s="102"/>
      <c r="K401" s="102"/>
      <c r="L401" s="102"/>
      <c r="M401" s="75"/>
      <c r="N401" s="75"/>
      <c r="O401" s="75"/>
      <c r="P401" s="75"/>
      <c r="Q401" s="75"/>
      <c r="R401" s="75"/>
      <c r="S401" s="75"/>
      <c r="T401" s="75"/>
      <c r="U401" s="75"/>
      <c r="V401" s="75"/>
      <c r="W401" s="75"/>
      <c r="X401" s="75"/>
      <c r="Y401" s="171">
        <v>9.2710000000000008</v>
      </c>
      <c r="Z401" s="168">
        <f t="shared" ref="Z401:Z409" si="520">BM401</f>
        <v>26.844999999999999</v>
      </c>
      <c r="AA401" s="171">
        <v>0.23</v>
      </c>
      <c r="AB401" s="168">
        <f>BN401</f>
        <v>26.402999999999999</v>
      </c>
      <c r="AC401" s="171">
        <v>26.783000000000001</v>
      </c>
      <c r="AD401" s="168">
        <f>BO401</f>
        <v>1.0209999999999999</v>
      </c>
      <c r="AE401" s="171">
        <v>0.66</v>
      </c>
      <c r="AF401" s="168">
        <f>BP401</f>
        <v>0.54700000000000004</v>
      </c>
      <c r="AG401" s="171">
        <v>19.718</v>
      </c>
      <c r="AH401" s="168">
        <f>BQ401</f>
        <v>10.53</v>
      </c>
      <c r="AI401" s="171">
        <v>16.138000000000002</v>
      </c>
      <c r="AJ401" s="168">
        <f>BR401</f>
        <v>67.626999999999995</v>
      </c>
      <c r="AK401" s="181">
        <v>220.98</v>
      </c>
      <c r="AL401" s="181">
        <f t="shared" ref="AL401:AL405" si="521">BS401</f>
        <v>237.94</v>
      </c>
      <c r="AM401" s="181">
        <v>227.43100000000001</v>
      </c>
      <c r="AN401" s="181">
        <f>BT401</f>
        <v>87.504999999999995</v>
      </c>
      <c r="AO401" s="181">
        <v>83.722999999999999</v>
      </c>
      <c r="AP401" s="453">
        <f>BU401</f>
        <v>70.516000000000005</v>
      </c>
      <c r="AQ401" s="245">
        <f t="shared" ref="AQ401:AZ405" si="522">AP401</f>
        <v>70.516000000000005</v>
      </c>
      <c r="AR401" s="245">
        <f t="shared" si="522"/>
        <v>70.516000000000005</v>
      </c>
      <c r="AS401" s="245">
        <f t="shared" si="522"/>
        <v>70.516000000000005</v>
      </c>
      <c r="AT401" s="245">
        <f t="shared" si="522"/>
        <v>70.516000000000005</v>
      </c>
      <c r="AU401" s="245">
        <f t="shared" si="522"/>
        <v>70.516000000000005</v>
      </c>
      <c r="AV401" s="245">
        <f t="shared" si="522"/>
        <v>70.516000000000005</v>
      </c>
      <c r="AW401" s="245">
        <f t="shared" si="522"/>
        <v>70.516000000000005</v>
      </c>
      <c r="AX401" s="245">
        <f t="shared" si="522"/>
        <v>70.516000000000005</v>
      </c>
      <c r="AY401" s="245">
        <f t="shared" si="522"/>
        <v>70.516000000000005</v>
      </c>
      <c r="AZ401" s="245">
        <f t="shared" si="522"/>
        <v>70.516000000000005</v>
      </c>
      <c r="BA401" s="573"/>
      <c r="BB401" s="168"/>
      <c r="BC401" s="168"/>
      <c r="BD401" s="168"/>
      <c r="BE401" s="168"/>
      <c r="BF401" s="168"/>
      <c r="BG401" s="168"/>
      <c r="BH401" s="168"/>
      <c r="BI401" s="200"/>
      <c r="BJ401" s="200"/>
      <c r="BK401" s="200"/>
      <c r="BL401" s="200"/>
      <c r="BM401" s="181">
        <v>26.844999999999999</v>
      </c>
      <c r="BN401" s="181">
        <v>26.402999999999999</v>
      </c>
      <c r="BO401" s="181">
        <v>1.0209999999999999</v>
      </c>
      <c r="BP401" s="181">
        <v>0.54700000000000004</v>
      </c>
      <c r="BQ401" s="181">
        <v>10.53</v>
      </c>
      <c r="BR401" s="181">
        <v>67.626999999999995</v>
      </c>
      <c r="BS401" s="181">
        <v>237.94</v>
      </c>
      <c r="BT401" s="181">
        <v>87.504999999999995</v>
      </c>
      <c r="BU401" s="307">
        <v>70.516000000000005</v>
      </c>
      <c r="BV401" s="55">
        <f t="shared" ref="BV401:BV406" si="523">AR401</f>
        <v>70.516000000000005</v>
      </c>
      <c r="BW401" s="55">
        <f t="shared" ref="BW401:BW406" si="524">AT401</f>
        <v>70.516000000000005</v>
      </c>
      <c r="BX401" s="55">
        <f t="shared" ref="BX401:BX406" si="525">AV401</f>
        <v>70.516000000000005</v>
      </c>
      <c r="BY401" s="55">
        <f t="shared" ref="BY401:BY406" si="526">AX401</f>
        <v>70.516000000000005</v>
      </c>
      <c r="BZ401" s="55">
        <f t="shared" ref="BZ401:BZ406" si="527">AZ401</f>
        <v>70.516000000000005</v>
      </c>
      <c r="CB401" s="70" t="s">
        <v>624</v>
      </c>
      <c r="DS401" s="55">
        <f t="shared" ref="DS401:DS406" si="528">CV401</f>
        <v>0</v>
      </c>
    </row>
    <row r="402" spans="1:123" s="70" customFormat="1">
      <c r="A402" s="78" t="s">
        <v>267</v>
      </c>
      <c r="B402" s="70" t="s">
        <v>237</v>
      </c>
      <c r="C402" s="102"/>
      <c r="D402" s="102"/>
      <c r="E402" s="102"/>
      <c r="F402" s="102"/>
      <c r="G402" s="102"/>
      <c r="H402" s="102"/>
      <c r="I402" s="102"/>
      <c r="J402" s="102"/>
      <c r="K402" s="102"/>
      <c r="L402" s="102"/>
      <c r="M402" s="75"/>
      <c r="N402" s="75"/>
      <c r="O402" s="75"/>
      <c r="P402" s="75"/>
      <c r="Q402" s="75"/>
      <c r="R402" s="75"/>
      <c r="S402" s="75"/>
      <c r="T402" s="75"/>
      <c r="U402" s="75"/>
      <c r="V402" s="75"/>
      <c r="W402" s="75"/>
      <c r="X402" s="75"/>
      <c r="Y402" s="171">
        <v>3.5760000000000001</v>
      </c>
      <c r="Z402" s="168">
        <f t="shared" si="520"/>
        <v>3.6059999999999999</v>
      </c>
      <c r="AA402" s="171">
        <v>3.2869999999999999</v>
      </c>
      <c r="AB402" s="168">
        <f>BN402</f>
        <v>3.165</v>
      </c>
      <c r="AC402" s="171">
        <v>3.7810000000000001</v>
      </c>
      <c r="AD402" s="168">
        <f>BO402</f>
        <v>3.3620000000000001</v>
      </c>
      <c r="AE402" s="171">
        <v>2.86</v>
      </c>
      <c r="AF402" s="168">
        <f>BP402</f>
        <v>3.6640000000000001</v>
      </c>
      <c r="AG402" s="171">
        <v>4.4029999999999996</v>
      </c>
      <c r="AH402" s="168">
        <f>BQ402</f>
        <v>3.7669999999999999</v>
      </c>
      <c r="AI402" s="171">
        <v>6.6239999999999997</v>
      </c>
      <c r="AJ402" s="168">
        <f>BR402</f>
        <v>9.7539999999999996</v>
      </c>
      <c r="AK402" s="798">
        <v>9.4169999999999998</v>
      </c>
      <c r="AL402" s="798">
        <f t="shared" si="521"/>
        <v>5.4749999999999996</v>
      </c>
      <c r="AM402" s="798">
        <v>18.154</v>
      </c>
      <c r="AN402" s="798">
        <f t="shared" ref="AN402:AN405" si="529">BT402</f>
        <v>19.919</v>
      </c>
      <c r="AO402" s="798">
        <v>33.231000000000002</v>
      </c>
      <c r="AP402" s="799">
        <f>BU402</f>
        <v>23.613</v>
      </c>
      <c r="AQ402" s="802">
        <f t="shared" si="522"/>
        <v>23.613</v>
      </c>
      <c r="AR402" s="802">
        <f t="shared" si="522"/>
        <v>23.613</v>
      </c>
      <c r="AS402" s="802">
        <f t="shared" si="522"/>
        <v>23.613</v>
      </c>
      <c r="AT402" s="802">
        <f t="shared" si="522"/>
        <v>23.613</v>
      </c>
      <c r="AU402" s="802">
        <f t="shared" si="522"/>
        <v>23.613</v>
      </c>
      <c r="AV402" s="802">
        <f t="shared" si="522"/>
        <v>23.613</v>
      </c>
      <c r="AW402" s="802">
        <f t="shared" si="522"/>
        <v>23.613</v>
      </c>
      <c r="AX402" s="802">
        <f t="shared" si="522"/>
        <v>23.613</v>
      </c>
      <c r="AY402" s="802">
        <f t="shared" si="522"/>
        <v>23.613</v>
      </c>
      <c r="AZ402" s="802">
        <f t="shared" si="522"/>
        <v>23.613</v>
      </c>
      <c r="BA402" s="573"/>
      <c r="BB402" s="168"/>
      <c r="BC402" s="168"/>
      <c r="BD402" s="168"/>
      <c r="BE402" s="168"/>
      <c r="BF402" s="168"/>
      <c r="BG402" s="168"/>
      <c r="BH402" s="168"/>
      <c r="BI402" s="200"/>
      <c r="BJ402" s="200"/>
      <c r="BK402" s="200"/>
      <c r="BL402" s="200"/>
      <c r="BM402" s="181">
        <v>3.6059999999999999</v>
      </c>
      <c r="BN402" s="181">
        <v>3.165</v>
      </c>
      <c r="BO402" s="181">
        <v>3.3620000000000001</v>
      </c>
      <c r="BP402" s="181">
        <v>3.6640000000000001</v>
      </c>
      <c r="BQ402" s="181">
        <v>3.7669999999999999</v>
      </c>
      <c r="BR402" s="181">
        <v>9.7539999999999996</v>
      </c>
      <c r="BS402" s="181">
        <v>5.4749999999999996</v>
      </c>
      <c r="BT402" s="181">
        <v>19.919</v>
      </c>
      <c r="BU402" s="307">
        <v>23.613</v>
      </c>
      <c r="BV402" s="55">
        <f t="shared" si="523"/>
        <v>23.613</v>
      </c>
      <c r="BW402" s="55">
        <f t="shared" si="524"/>
        <v>23.613</v>
      </c>
      <c r="BX402" s="55">
        <f t="shared" si="525"/>
        <v>23.613</v>
      </c>
      <c r="BY402" s="55">
        <f t="shared" si="526"/>
        <v>23.613</v>
      </c>
      <c r="BZ402" s="55">
        <f t="shared" si="527"/>
        <v>23.613</v>
      </c>
      <c r="CB402" s="70" t="s">
        <v>624</v>
      </c>
      <c r="DS402" s="55">
        <f t="shared" si="528"/>
        <v>0</v>
      </c>
    </row>
    <row r="403" spans="1:123" s="70" customFormat="1">
      <c r="A403" s="78" t="s">
        <v>268</v>
      </c>
      <c r="B403" s="70" t="s">
        <v>236</v>
      </c>
      <c r="C403" s="102"/>
      <c r="D403" s="102"/>
      <c r="E403" s="102"/>
      <c r="F403" s="102"/>
      <c r="G403" s="102"/>
      <c r="H403" s="102"/>
      <c r="I403" s="102"/>
      <c r="J403" s="102"/>
      <c r="K403" s="102"/>
      <c r="L403" s="102"/>
      <c r="M403" s="75"/>
      <c r="N403" s="75"/>
      <c r="O403" s="75"/>
      <c r="P403" s="75"/>
      <c r="Q403" s="75"/>
      <c r="R403" s="75"/>
      <c r="S403" s="75"/>
      <c r="T403" s="75"/>
      <c r="U403" s="75"/>
      <c r="V403" s="75"/>
      <c r="W403" s="75"/>
      <c r="X403" s="75"/>
      <c r="Y403" s="171">
        <v>8.8179999999999996</v>
      </c>
      <c r="Z403" s="168">
        <f t="shared" si="520"/>
        <v>9.6720000000000006</v>
      </c>
      <c r="AA403" s="171">
        <v>8.4329999999999998</v>
      </c>
      <c r="AB403" s="168">
        <f>BN403</f>
        <v>8.7959999999999994</v>
      </c>
      <c r="AC403" s="171">
        <v>11.831</v>
      </c>
      <c r="AD403" s="168">
        <f>BO403</f>
        <v>19.587</v>
      </c>
      <c r="AE403" s="171">
        <v>18.033999999999999</v>
      </c>
      <c r="AF403" s="168">
        <f>BP403</f>
        <v>15.999000000000001</v>
      </c>
      <c r="AG403" s="171">
        <v>18.173999999999999</v>
      </c>
      <c r="AH403" s="168">
        <f>BQ403</f>
        <v>14.929</v>
      </c>
      <c r="AI403" s="171">
        <v>19.263000000000002</v>
      </c>
      <c r="AJ403" s="168">
        <f>BR403</f>
        <v>17.603000000000002</v>
      </c>
      <c r="AK403" s="181">
        <v>125.381</v>
      </c>
      <c r="AL403" s="181">
        <f t="shared" si="521"/>
        <v>118.31699999999999</v>
      </c>
      <c r="AM403" s="181">
        <v>116.10899999999999</v>
      </c>
      <c r="AN403" s="181">
        <f t="shared" si="529"/>
        <v>119.28100000000001</v>
      </c>
      <c r="AO403" s="181">
        <v>119.2</v>
      </c>
      <c r="AP403" s="453">
        <f>BU403</f>
        <v>148.791</v>
      </c>
      <c r="AQ403" s="245">
        <f t="shared" si="522"/>
        <v>148.791</v>
      </c>
      <c r="AR403" s="245">
        <f t="shared" si="522"/>
        <v>148.791</v>
      </c>
      <c r="AS403" s="245">
        <f t="shared" si="522"/>
        <v>148.791</v>
      </c>
      <c r="AT403" s="245">
        <f t="shared" si="522"/>
        <v>148.791</v>
      </c>
      <c r="AU403" s="245">
        <f t="shared" si="522"/>
        <v>148.791</v>
      </c>
      <c r="AV403" s="245">
        <f t="shared" si="522"/>
        <v>148.791</v>
      </c>
      <c r="AW403" s="245">
        <f t="shared" si="522"/>
        <v>148.791</v>
      </c>
      <c r="AX403" s="245">
        <f t="shared" si="522"/>
        <v>148.791</v>
      </c>
      <c r="AY403" s="245">
        <f t="shared" si="522"/>
        <v>148.791</v>
      </c>
      <c r="AZ403" s="245">
        <f t="shared" si="522"/>
        <v>148.791</v>
      </c>
      <c r="BA403" s="573"/>
      <c r="BB403" s="168"/>
      <c r="BC403" s="168"/>
      <c r="BD403" s="168"/>
      <c r="BE403" s="168"/>
      <c r="BF403" s="168"/>
      <c r="BG403" s="168"/>
      <c r="BH403" s="168"/>
      <c r="BI403" s="200"/>
      <c r="BJ403" s="200"/>
      <c r="BK403" s="200"/>
      <c r="BL403" s="200"/>
      <c r="BM403" s="181">
        <v>9.6720000000000006</v>
      </c>
      <c r="BN403" s="181">
        <v>8.7959999999999994</v>
      </c>
      <c r="BO403" s="181">
        <v>19.587</v>
      </c>
      <c r="BP403" s="181">
        <v>15.999000000000001</v>
      </c>
      <c r="BQ403" s="181">
        <v>14.929</v>
      </c>
      <c r="BR403" s="181">
        <v>17.603000000000002</v>
      </c>
      <c r="BS403" s="181">
        <v>118.31699999999999</v>
      </c>
      <c r="BT403" s="181">
        <v>119.28100000000001</v>
      </c>
      <c r="BU403" s="307">
        <v>148.791</v>
      </c>
      <c r="BV403" s="55">
        <f t="shared" si="523"/>
        <v>148.791</v>
      </c>
      <c r="BW403" s="55">
        <f t="shared" si="524"/>
        <v>148.791</v>
      </c>
      <c r="BX403" s="55">
        <f t="shared" si="525"/>
        <v>148.791</v>
      </c>
      <c r="BY403" s="55">
        <f t="shared" si="526"/>
        <v>148.791</v>
      </c>
      <c r="BZ403" s="55">
        <f t="shared" si="527"/>
        <v>148.791</v>
      </c>
      <c r="CB403" s="70" t="s">
        <v>624</v>
      </c>
      <c r="DS403" s="55">
        <f t="shared" si="528"/>
        <v>0</v>
      </c>
    </row>
    <row r="404" spans="1:123" s="70" customFormat="1">
      <c r="A404" s="78" t="s">
        <v>273</v>
      </c>
      <c r="B404" s="70" t="s">
        <v>234</v>
      </c>
      <c r="C404" s="102"/>
      <c r="D404" s="102"/>
      <c r="E404" s="102"/>
      <c r="F404" s="102"/>
      <c r="G404" s="102"/>
      <c r="H404" s="102"/>
      <c r="I404" s="102"/>
      <c r="J404" s="102"/>
      <c r="K404" s="102"/>
      <c r="L404" s="102"/>
      <c r="M404" s="75"/>
      <c r="N404" s="75"/>
      <c r="O404" s="75"/>
      <c r="P404" s="75"/>
      <c r="Q404" s="75"/>
      <c r="R404" s="75"/>
      <c r="S404" s="75"/>
      <c r="T404" s="75"/>
      <c r="U404" s="75"/>
      <c r="V404" s="75"/>
      <c r="W404" s="75"/>
      <c r="X404" s="75"/>
      <c r="Y404" s="171">
        <v>0</v>
      </c>
      <c r="Z404" s="168">
        <f t="shared" si="520"/>
        <v>0</v>
      </c>
      <c r="AA404" s="171">
        <v>0</v>
      </c>
      <c r="AB404" s="168">
        <f>BN404</f>
        <v>0</v>
      </c>
      <c r="AC404" s="171">
        <v>0</v>
      </c>
      <c r="AD404" s="168">
        <f>BO404</f>
        <v>0</v>
      </c>
      <c r="AE404" s="171">
        <v>24.029</v>
      </c>
      <c r="AF404" s="168">
        <f>BP404</f>
        <v>21.443000000000001</v>
      </c>
      <c r="AG404" s="171">
        <v>19.385000000000002</v>
      </c>
      <c r="AH404" s="168">
        <f>BQ404</f>
        <v>18.079999999999998</v>
      </c>
      <c r="AI404" s="171">
        <v>18.638000000000002</v>
      </c>
      <c r="AJ404" s="168">
        <f>BR404</f>
        <v>18.751999999999999</v>
      </c>
      <c r="AK404" s="181">
        <v>54.548999999999999</v>
      </c>
      <c r="AL404" s="181">
        <f t="shared" si="521"/>
        <v>62.134</v>
      </c>
      <c r="AM404" s="181">
        <v>59.463000000000001</v>
      </c>
      <c r="AN404" s="181">
        <f t="shared" si="529"/>
        <v>64.536000000000001</v>
      </c>
      <c r="AO404" s="181">
        <v>65.016999999999996</v>
      </c>
      <c r="AP404" s="453">
        <f>BU404</f>
        <v>66.423000000000002</v>
      </c>
      <c r="AQ404" s="245">
        <f t="shared" si="522"/>
        <v>66.423000000000002</v>
      </c>
      <c r="AR404" s="245">
        <f t="shared" si="522"/>
        <v>66.423000000000002</v>
      </c>
      <c r="AS404" s="245">
        <f t="shared" si="522"/>
        <v>66.423000000000002</v>
      </c>
      <c r="AT404" s="245">
        <f t="shared" si="522"/>
        <v>66.423000000000002</v>
      </c>
      <c r="AU404" s="245">
        <f t="shared" si="522"/>
        <v>66.423000000000002</v>
      </c>
      <c r="AV404" s="245">
        <f t="shared" si="522"/>
        <v>66.423000000000002</v>
      </c>
      <c r="AW404" s="245">
        <f t="shared" si="522"/>
        <v>66.423000000000002</v>
      </c>
      <c r="AX404" s="245">
        <f t="shared" si="522"/>
        <v>66.423000000000002</v>
      </c>
      <c r="AY404" s="245">
        <f t="shared" si="522"/>
        <v>66.423000000000002</v>
      </c>
      <c r="AZ404" s="245">
        <f t="shared" si="522"/>
        <v>66.423000000000002</v>
      </c>
      <c r="BA404" s="573"/>
      <c r="BB404" s="168"/>
      <c r="BC404" s="168"/>
      <c r="BD404" s="168"/>
      <c r="BE404" s="168"/>
      <c r="BF404" s="168"/>
      <c r="BG404" s="168"/>
      <c r="BH404" s="168"/>
      <c r="BI404" s="200"/>
      <c r="BJ404" s="200"/>
      <c r="BK404" s="200"/>
      <c r="BL404" s="200"/>
      <c r="BM404" s="181">
        <v>0</v>
      </c>
      <c r="BN404" s="181">
        <v>0</v>
      </c>
      <c r="BO404" s="181">
        <v>0</v>
      </c>
      <c r="BP404" s="181">
        <v>21.443000000000001</v>
      </c>
      <c r="BQ404" s="181">
        <v>18.079999999999998</v>
      </c>
      <c r="BR404" s="181">
        <v>18.751999999999999</v>
      </c>
      <c r="BS404" s="181">
        <v>62.134</v>
      </c>
      <c r="BT404" s="181">
        <v>64.536000000000001</v>
      </c>
      <c r="BU404" s="307">
        <v>66.423000000000002</v>
      </c>
      <c r="BV404" s="55">
        <f t="shared" si="523"/>
        <v>66.423000000000002</v>
      </c>
      <c r="BW404" s="55">
        <f t="shared" si="524"/>
        <v>66.423000000000002</v>
      </c>
      <c r="BX404" s="55">
        <f t="shared" si="525"/>
        <v>66.423000000000002</v>
      </c>
      <c r="BY404" s="55">
        <f t="shared" si="526"/>
        <v>66.423000000000002</v>
      </c>
      <c r="BZ404" s="55">
        <f t="shared" si="527"/>
        <v>66.423000000000002</v>
      </c>
      <c r="CB404" s="70" t="s">
        <v>624</v>
      </c>
      <c r="DS404" s="55">
        <f t="shared" si="528"/>
        <v>0</v>
      </c>
    </row>
    <row r="405" spans="1:123" s="70" customFormat="1">
      <c r="A405" s="78" t="s">
        <v>269</v>
      </c>
      <c r="B405" s="70" t="s">
        <v>310</v>
      </c>
      <c r="C405" s="102"/>
      <c r="D405" s="102"/>
      <c r="E405" s="102"/>
      <c r="F405" s="102"/>
      <c r="G405" s="102"/>
      <c r="H405" s="102"/>
      <c r="I405" s="102"/>
      <c r="J405" s="102"/>
      <c r="K405" s="102"/>
      <c r="L405" s="102"/>
      <c r="M405" s="75"/>
      <c r="N405" s="75"/>
      <c r="O405" s="75"/>
      <c r="P405" s="75"/>
      <c r="Q405" s="75"/>
      <c r="R405" s="75"/>
      <c r="S405" s="75"/>
      <c r="T405" s="75"/>
      <c r="U405" s="75"/>
      <c r="V405" s="75"/>
      <c r="W405" s="75"/>
      <c r="X405" s="75"/>
      <c r="Y405" s="171">
        <v>84.024000000000001</v>
      </c>
      <c r="Z405" s="168">
        <f t="shared" si="520"/>
        <v>88.927000000000007</v>
      </c>
      <c r="AA405" s="171">
        <v>106.858</v>
      </c>
      <c r="AB405" s="168">
        <f>BN405</f>
        <v>112.285</v>
      </c>
      <c r="AC405" s="171">
        <v>43.545999999999999</v>
      </c>
      <c r="AD405" s="168">
        <f>BO405</f>
        <v>85.53</v>
      </c>
      <c r="AE405" s="171">
        <v>76.504000000000005</v>
      </c>
      <c r="AF405" s="168">
        <f>BP405</f>
        <v>220.666</v>
      </c>
      <c r="AG405" s="171">
        <v>258.95499999999998</v>
      </c>
      <c r="AH405" s="168">
        <f>BQ405</f>
        <v>200.809</v>
      </c>
      <c r="AI405" s="171">
        <v>225.453</v>
      </c>
      <c r="AJ405" s="168">
        <f>BR405</f>
        <v>38.860999999999997</v>
      </c>
      <c r="AK405" s="181">
        <v>684.68799999999999</v>
      </c>
      <c r="AL405" s="181">
        <f t="shared" si="521"/>
        <v>564.46100000000001</v>
      </c>
      <c r="AM405" s="181">
        <v>662.86900000000003</v>
      </c>
      <c r="AN405" s="181">
        <f t="shared" si="529"/>
        <v>639.88199999999995</v>
      </c>
      <c r="AO405" s="181">
        <v>765.95899999999995</v>
      </c>
      <c r="AP405" s="453">
        <f>BU405</f>
        <v>865.529</v>
      </c>
      <c r="AQ405" s="55">
        <f t="shared" si="522"/>
        <v>865.529</v>
      </c>
      <c r="AR405" s="55">
        <f t="shared" si="522"/>
        <v>865.529</v>
      </c>
      <c r="AS405" s="55">
        <f t="shared" si="522"/>
        <v>865.529</v>
      </c>
      <c r="AT405" s="55">
        <f t="shared" si="522"/>
        <v>865.529</v>
      </c>
      <c r="AU405" s="55">
        <f t="shared" si="522"/>
        <v>865.529</v>
      </c>
      <c r="AV405" s="55">
        <f t="shared" si="522"/>
        <v>865.529</v>
      </c>
      <c r="AW405" s="55">
        <f t="shared" si="522"/>
        <v>865.529</v>
      </c>
      <c r="AX405" s="55">
        <f t="shared" si="522"/>
        <v>865.529</v>
      </c>
      <c r="AY405" s="55">
        <f t="shared" si="522"/>
        <v>865.529</v>
      </c>
      <c r="AZ405" s="55">
        <f t="shared" si="522"/>
        <v>865.529</v>
      </c>
      <c r="BA405" s="573"/>
      <c r="BB405" s="168"/>
      <c r="BC405" s="168"/>
      <c r="BD405" s="168"/>
      <c r="BE405" s="168"/>
      <c r="BF405" s="168"/>
      <c r="BG405" s="168"/>
      <c r="BH405" s="168"/>
      <c r="BI405" s="200"/>
      <c r="BJ405" s="200"/>
      <c r="BK405" s="200"/>
      <c r="BL405" s="200"/>
      <c r="BM405" s="181">
        <v>88.927000000000007</v>
      </c>
      <c r="BN405" s="181">
        <v>112.285</v>
      </c>
      <c r="BO405" s="181">
        <v>85.53</v>
      </c>
      <c r="BP405" s="181">
        <v>220.666</v>
      </c>
      <c r="BQ405" s="181">
        <v>200.809</v>
      </c>
      <c r="BR405" s="181">
        <v>38.860999999999997</v>
      </c>
      <c r="BS405" s="181">
        <v>564.46100000000001</v>
      </c>
      <c r="BT405" s="181">
        <v>639.88199999999995</v>
      </c>
      <c r="BU405" s="307">
        <v>865.529</v>
      </c>
      <c r="BV405" s="55">
        <f t="shared" si="523"/>
        <v>865.529</v>
      </c>
      <c r="BW405" s="55">
        <f t="shared" si="524"/>
        <v>865.529</v>
      </c>
      <c r="BX405" s="55">
        <f t="shared" si="525"/>
        <v>865.529</v>
      </c>
      <c r="BY405" s="55">
        <f t="shared" si="526"/>
        <v>865.529</v>
      </c>
      <c r="BZ405" s="55">
        <f t="shared" si="527"/>
        <v>865.529</v>
      </c>
      <c r="CB405" s="70" t="s">
        <v>624</v>
      </c>
      <c r="DS405" s="55">
        <f t="shared" si="528"/>
        <v>0</v>
      </c>
    </row>
    <row r="406" spans="1:123" s="70" customFormat="1">
      <c r="A406" s="78"/>
      <c r="B406" s="70" t="s">
        <v>18</v>
      </c>
      <c r="C406" s="102"/>
      <c r="D406" s="102"/>
      <c r="E406" s="102"/>
      <c r="F406" s="102"/>
      <c r="G406" s="102"/>
      <c r="H406" s="102"/>
      <c r="I406" s="102"/>
      <c r="J406" s="102"/>
      <c r="K406" s="102"/>
      <c r="L406" s="102"/>
      <c r="M406" s="75"/>
      <c r="N406" s="75"/>
      <c r="O406" s="75"/>
      <c r="P406" s="75"/>
      <c r="Q406" s="75"/>
      <c r="R406" s="75"/>
      <c r="S406" s="75"/>
      <c r="T406" s="75"/>
      <c r="U406" s="75"/>
      <c r="V406" s="75"/>
      <c r="W406" s="75"/>
      <c r="X406" s="75"/>
      <c r="Y406" s="283"/>
      <c r="Z406" s="284"/>
      <c r="AA406" s="283"/>
      <c r="AB406" s="284"/>
      <c r="AC406" s="283"/>
      <c r="AD406" s="284"/>
      <c r="AE406" s="283"/>
      <c r="AF406" s="284"/>
      <c r="AG406" s="283"/>
      <c r="AH406" s="284"/>
      <c r="AI406" s="283"/>
      <c r="AJ406" s="284"/>
      <c r="AK406" s="826"/>
      <c r="AL406" s="826"/>
      <c r="AM406" s="826"/>
      <c r="AN406" s="826"/>
      <c r="AO406" s="826"/>
      <c r="AP406" s="827"/>
      <c r="AQ406" s="773"/>
      <c r="AR406" s="773"/>
      <c r="AS406" s="773"/>
      <c r="AT406" s="773"/>
      <c r="AU406" s="773"/>
      <c r="AV406" s="773"/>
      <c r="AW406" s="773"/>
      <c r="AX406" s="773"/>
      <c r="AY406" s="773"/>
      <c r="AZ406" s="773"/>
      <c r="BA406" s="573"/>
      <c r="BB406" s="168"/>
      <c r="BC406" s="168"/>
      <c r="BD406" s="168"/>
      <c r="BE406" s="168"/>
      <c r="BF406" s="168"/>
      <c r="BG406" s="168"/>
      <c r="BH406" s="168"/>
      <c r="BI406" s="200"/>
      <c r="BJ406" s="200"/>
      <c r="BK406" s="200"/>
      <c r="BL406" s="200"/>
      <c r="BM406" s="181"/>
      <c r="BN406" s="181"/>
      <c r="BO406" s="181"/>
      <c r="BP406" s="181"/>
      <c r="BQ406" s="181"/>
      <c r="BR406" s="181"/>
      <c r="BS406" s="181"/>
      <c r="BT406" s="181"/>
      <c r="BU406" s="307"/>
      <c r="BV406" s="55">
        <f t="shared" si="523"/>
        <v>0</v>
      </c>
      <c r="BW406" s="55">
        <f t="shared" si="524"/>
        <v>0</v>
      </c>
      <c r="BX406" s="55">
        <f t="shared" si="525"/>
        <v>0</v>
      </c>
      <c r="BY406" s="55">
        <f t="shared" si="526"/>
        <v>0</v>
      </c>
      <c r="BZ406" s="55">
        <f t="shared" si="527"/>
        <v>0</v>
      </c>
      <c r="DS406" s="55">
        <f t="shared" si="528"/>
        <v>0</v>
      </c>
    </row>
    <row r="407" spans="1:123" s="70" customFormat="1">
      <c r="A407" s="78" t="s">
        <v>270</v>
      </c>
      <c r="B407" s="70" t="s">
        <v>238</v>
      </c>
      <c r="C407" s="102"/>
      <c r="D407" s="102"/>
      <c r="E407" s="102"/>
      <c r="F407" s="102"/>
      <c r="G407" s="102"/>
      <c r="H407" s="102"/>
      <c r="I407" s="102"/>
      <c r="J407" s="102"/>
      <c r="K407" s="102"/>
      <c r="L407" s="102"/>
      <c r="M407" s="75"/>
      <c r="N407" s="75"/>
      <c r="O407" s="75"/>
      <c r="P407" s="75"/>
      <c r="Q407" s="75"/>
      <c r="R407" s="75"/>
      <c r="S407" s="75"/>
      <c r="T407" s="75"/>
      <c r="U407" s="75"/>
      <c r="V407" s="75"/>
      <c r="W407" s="75"/>
      <c r="X407" s="75"/>
      <c r="Y407" s="183">
        <f>SUM(Y401:Y405)</f>
        <v>105.68899999999999</v>
      </c>
      <c r="Z407" s="183">
        <f t="shared" si="520"/>
        <v>129.05000000000001</v>
      </c>
      <c r="AA407" s="183">
        <f t="shared" ref="AA407:AI407" si="530">SUM(AA401:AA405)</f>
        <v>118.80800000000001</v>
      </c>
      <c r="AB407" s="183">
        <f t="shared" si="530"/>
        <v>150.649</v>
      </c>
      <c r="AC407" s="183">
        <f t="shared" si="530"/>
        <v>85.941000000000003</v>
      </c>
      <c r="AD407" s="183">
        <f t="shared" si="530"/>
        <v>109.5</v>
      </c>
      <c r="AE407" s="183">
        <f t="shared" si="530"/>
        <v>122.087</v>
      </c>
      <c r="AF407" s="183">
        <f t="shared" si="530"/>
        <v>262.31900000000002</v>
      </c>
      <c r="AG407" s="183">
        <f t="shared" si="530"/>
        <v>320.63499999999999</v>
      </c>
      <c r="AH407" s="183">
        <f t="shared" si="530"/>
        <v>248.11500000000001</v>
      </c>
      <c r="AI407" s="183">
        <f t="shared" si="530"/>
        <v>286.11599999999999</v>
      </c>
      <c r="AJ407" s="183">
        <f>SUM(AJ401:AJ405)</f>
        <v>152.59700000000001</v>
      </c>
      <c r="AK407" s="183">
        <f t="shared" ref="AK407:AM407" si="531">SUM(AK401:AK405)</f>
        <v>1095.0149999999999</v>
      </c>
      <c r="AL407" s="183">
        <f>SUM(AL401:AL405)</f>
        <v>988.327</v>
      </c>
      <c r="AM407" s="183">
        <f t="shared" si="531"/>
        <v>1084.0260000000001</v>
      </c>
      <c r="AN407" s="183">
        <f>SUM(AN401:AN405)</f>
        <v>931.12299999999993</v>
      </c>
      <c r="AO407" s="183">
        <f t="shared" ref="AO407" si="532">SUM(AO401:AO405)</f>
        <v>1067.1299999999999</v>
      </c>
      <c r="AP407" s="464">
        <f>SUM(AP401:AP405)</f>
        <v>1174.8720000000001</v>
      </c>
      <c r="AQ407" s="183">
        <f t="shared" ref="AQ407:AZ407" si="533">SUM(AQ401:AQ406)</f>
        <v>1174.8720000000001</v>
      </c>
      <c r="AR407" s="183">
        <f t="shared" si="533"/>
        <v>1174.8720000000001</v>
      </c>
      <c r="AS407" s="183">
        <f t="shared" si="533"/>
        <v>1174.8720000000001</v>
      </c>
      <c r="AT407" s="183">
        <f t="shared" si="533"/>
        <v>1174.8720000000001</v>
      </c>
      <c r="AU407" s="183">
        <f t="shared" si="533"/>
        <v>1174.8720000000001</v>
      </c>
      <c r="AV407" s="183">
        <f t="shared" si="533"/>
        <v>1174.8720000000001</v>
      </c>
      <c r="AW407" s="183">
        <f t="shared" si="533"/>
        <v>1174.8720000000001</v>
      </c>
      <c r="AX407" s="183">
        <f t="shared" si="533"/>
        <v>1174.8720000000001</v>
      </c>
      <c r="AY407" s="183">
        <f t="shared" si="533"/>
        <v>1174.8720000000001</v>
      </c>
      <c r="AZ407" s="183">
        <f t="shared" si="533"/>
        <v>1174.8720000000001</v>
      </c>
      <c r="BA407" s="573"/>
      <c r="BB407" s="168"/>
      <c r="BC407" s="168"/>
      <c r="BD407" s="168"/>
      <c r="BE407" s="168"/>
      <c r="BF407" s="168"/>
      <c r="BG407" s="168"/>
      <c r="BH407" s="168"/>
      <c r="BI407" s="200"/>
      <c r="BJ407" s="200"/>
      <c r="BK407" s="200"/>
      <c r="BL407" s="200"/>
      <c r="BM407" s="183">
        <f t="shared" ref="BM407:BS407" si="534">SUM(BM401:BM405)</f>
        <v>129.05000000000001</v>
      </c>
      <c r="BN407" s="183">
        <f t="shared" si="534"/>
        <v>150.649</v>
      </c>
      <c r="BO407" s="183">
        <f t="shared" si="534"/>
        <v>109.5</v>
      </c>
      <c r="BP407" s="183">
        <f t="shared" si="534"/>
        <v>262.31900000000002</v>
      </c>
      <c r="BQ407" s="183">
        <f t="shared" si="534"/>
        <v>248.11500000000001</v>
      </c>
      <c r="BR407" s="183">
        <f t="shared" si="534"/>
        <v>152.59700000000001</v>
      </c>
      <c r="BS407" s="183">
        <f t="shared" si="534"/>
        <v>988.327</v>
      </c>
      <c r="BT407" s="183">
        <f>SUM(BT401:BT406)</f>
        <v>931.12299999999993</v>
      </c>
      <c r="BU407" s="464">
        <f>SUM(BU401:BU406)</f>
        <v>1174.8720000000001</v>
      </c>
      <c r="BV407" s="183">
        <f>SUM(BV401:BV406)</f>
        <v>1174.8720000000001</v>
      </c>
      <c r="BW407" s="183">
        <f>SUM(BW401:BW406)</f>
        <v>1174.8720000000001</v>
      </c>
      <c r="BX407" s="183">
        <f t="shared" ref="BX407:BZ407" si="535">SUM(BX401:BX406)</f>
        <v>1174.8720000000001</v>
      </c>
      <c r="BY407" s="183">
        <f t="shared" si="535"/>
        <v>1174.8720000000001</v>
      </c>
      <c r="BZ407" s="183">
        <f t="shared" si="535"/>
        <v>1174.8720000000001</v>
      </c>
      <c r="CB407" s="70" t="s">
        <v>609</v>
      </c>
      <c r="DS407" s="183">
        <f>SUM(DS401:DS406)</f>
        <v>0</v>
      </c>
    </row>
    <row r="408" spans="1:123" s="70" customFormat="1">
      <c r="A408" s="78" t="s">
        <v>271</v>
      </c>
      <c r="B408" s="70" t="s">
        <v>26</v>
      </c>
      <c r="C408" s="102"/>
      <c r="D408" s="102"/>
      <c r="E408" s="102"/>
      <c r="F408" s="102"/>
      <c r="G408" s="102"/>
      <c r="H408" s="102"/>
      <c r="I408" s="102"/>
      <c r="J408" s="102"/>
      <c r="K408" s="102"/>
      <c r="L408" s="102"/>
      <c r="M408" s="75"/>
      <c r="N408" s="75"/>
      <c r="O408" s="75"/>
      <c r="P408" s="75"/>
      <c r="Q408" s="75"/>
      <c r="R408" s="75"/>
      <c r="S408" s="75"/>
      <c r="T408" s="75"/>
      <c r="U408" s="75"/>
      <c r="V408" s="75"/>
      <c r="W408" s="75"/>
      <c r="X408" s="75"/>
      <c r="Y408" s="182">
        <f>SUM(Y398,Y407)</f>
        <v>318.33100000000002</v>
      </c>
      <c r="Z408" s="182">
        <f t="shared" si="520"/>
        <v>408.58099999999996</v>
      </c>
      <c r="AA408" s="182">
        <f t="shared" ref="AA408:AI408" si="536">SUM(AA398,AA407)</f>
        <v>338.834</v>
      </c>
      <c r="AB408" s="182">
        <f t="shared" si="536"/>
        <v>423.91099999999994</v>
      </c>
      <c r="AC408" s="182">
        <f t="shared" si="536"/>
        <v>340.44600000000003</v>
      </c>
      <c r="AD408" s="182">
        <f t="shared" si="536"/>
        <v>372.52799999999996</v>
      </c>
      <c r="AE408" s="182">
        <f t="shared" si="536"/>
        <v>361.38399999999996</v>
      </c>
      <c r="AF408" s="182">
        <f t="shared" si="536"/>
        <v>529.93600000000004</v>
      </c>
      <c r="AG408" s="182">
        <f t="shared" si="536"/>
        <v>559.99199999999996</v>
      </c>
      <c r="AH408" s="182">
        <f t="shared" si="536"/>
        <v>547.83100000000002</v>
      </c>
      <c r="AI408" s="182">
        <f t="shared" si="536"/>
        <v>571.59300000000007</v>
      </c>
      <c r="AJ408" s="182">
        <f>SUM(AJ398,AJ407)</f>
        <v>642.80499999999995</v>
      </c>
      <c r="AK408" s="182">
        <f t="shared" ref="AK408:AM408" si="537">SUM(AK398,AK407)</f>
        <v>2281.7550000000001</v>
      </c>
      <c r="AL408" s="182">
        <f>SUM(AL398,AL407)</f>
        <v>2370.9499999999998</v>
      </c>
      <c r="AM408" s="182">
        <f t="shared" si="537"/>
        <v>2271.2830000000004</v>
      </c>
      <c r="AN408" s="182">
        <f>SUM(AN398,AN407)</f>
        <v>2300.0389999999998</v>
      </c>
      <c r="AO408" s="182">
        <f t="shared" ref="AO408" si="538">SUM(AO398,AO407)</f>
        <v>2567.703</v>
      </c>
      <c r="AP408" s="466">
        <f>SUM(AP398,AP407)</f>
        <v>2659.51</v>
      </c>
      <c r="AQ408" s="182">
        <f t="shared" ref="AQ408:AZ408" si="539">SUM(AQ398,AQ407)</f>
        <v>2662.51</v>
      </c>
      <c r="AR408" s="182">
        <f t="shared" si="539"/>
        <v>2665.51</v>
      </c>
      <c r="AS408" s="182">
        <f t="shared" si="539"/>
        <v>2668.51</v>
      </c>
      <c r="AT408" s="182">
        <f t="shared" si="539"/>
        <v>2671.51</v>
      </c>
      <c r="AU408" s="182">
        <f t="shared" si="539"/>
        <v>2674.51</v>
      </c>
      <c r="AV408" s="182">
        <f t="shared" si="539"/>
        <v>2677.51</v>
      </c>
      <c r="AW408" s="182">
        <f t="shared" si="539"/>
        <v>2680.51</v>
      </c>
      <c r="AX408" s="182">
        <f t="shared" si="539"/>
        <v>2683.51</v>
      </c>
      <c r="AY408" s="182">
        <f t="shared" si="539"/>
        <v>2686.51</v>
      </c>
      <c r="AZ408" s="182">
        <f t="shared" si="539"/>
        <v>2689.51</v>
      </c>
      <c r="BA408" s="573"/>
      <c r="BB408" s="168"/>
      <c r="BC408" s="168"/>
      <c r="BD408" s="168"/>
      <c r="BE408" s="168"/>
      <c r="BF408" s="168"/>
      <c r="BG408" s="168"/>
      <c r="BH408" s="168"/>
      <c r="BI408" s="200"/>
      <c r="BJ408" s="200"/>
      <c r="BK408" s="200"/>
      <c r="BL408" s="200"/>
      <c r="BM408" s="182">
        <f>SUM(BM398,BM407)</f>
        <v>408.58099999999996</v>
      </c>
      <c r="BN408" s="182">
        <f t="shared" ref="BN408:BV408" si="540">SUM(BN398,BN407)</f>
        <v>423.91099999999994</v>
      </c>
      <c r="BO408" s="182">
        <f t="shared" si="540"/>
        <v>372.52799999999996</v>
      </c>
      <c r="BP408" s="182">
        <f t="shared" si="540"/>
        <v>529.93600000000004</v>
      </c>
      <c r="BQ408" s="182">
        <f t="shared" si="540"/>
        <v>547.83100000000002</v>
      </c>
      <c r="BR408" s="182">
        <f>SUM(BR398,BR407)</f>
        <v>642.80499999999995</v>
      </c>
      <c r="BS408" s="182">
        <f>SUM(BS398,BS407)</f>
        <v>2370.9499999999998</v>
      </c>
      <c r="BT408" s="182">
        <f t="shared" si="540"/>
        <v>2300.0389999999998</v>
      </c>
      <c r="BU408" s="466">
        <f t="shared" si="540"/>
        <v>2659.51</v>
      </c>
      <c r="BV408" s="182">
        <f t="shared" si="540"/>
        <v>2665.51</v>
      </c>
      <c r="BW408" s="182">
        <f>SUM(BW398,BW407)</f>
        <v>2671.51</v>
      </c>
      <c r="BX408" s="182">
        <f t="shared" ref="BX408:BZ408" si="541">SUM(BX398,BX407)</f>
        <v>2677.51</v>
      </c>
      <c r="BY408" s="182">
        <f t="shared" si="541"/>
        <v>2683.51</v>
      </c>
      <c r="BZ408" s="182">
        <f t="shared" si="541"/>
        <v>2689.51</v>
      </c>
      <c r="CB408" s="70" t="s">
        <v>609</v>
      </c>
      <c r="DS408" s="182">
        <f>SUM(DS398,DS407)</f>
        <v>0</v>
      </c>
    </row>
    <row r="409" spans="1:123" s="70" customFormat="1">
      <c r="A409" s="78" t="s">
        <v>239</v>
      </c>
      <c r="B409" s="70" t="s">
        <v>90</v>
      </c>
      <c r="C409" s="102"/>
      <c r="D409" s="102"/>
      <c r="E409" s="102"/>
      <c r="F409" s="102"/>
      <c r="G409" s="102"/>
      <c r="H409" s="102"/>
      <c r="I409" s="102"/>
      <c r="J409" s="102"/>
      <c r="K409" s="102"/>
      <c r="L409" s="102"/>
      <c r="M409" s="75"/>
      <c r="N409" s="75"/>
      <c r="O409" s="75"/>
      <c r="P409" s="75"/>
      <c r="Q409" s="75"/>
      <c r="R409" s="75"/>
      <c r="S409" s="75"/>
      <c r="T409" s="75"/>
      <c r="U409" s="75"/>
      <c r="V409" s="75"/>
      <c r="W409" s="75"/>
      <c r="X409" s="75"/>
      <c r="Y409" s="182">
        <f>Y308-Y408</f>
        <v>354.35399999999993</v>
      </c>
      <c r="Z409" s="182">
        <f t="shared" si="520"/>
        <v>345.78100000000001</v>
      </c>
      <c r="AA409" s="182">
        <f t="shared" ref="AA409:AZ409" si="542">AA308-AA408</f>
        <v>372.68299999999982</v>
      </c>
      <c r="AB409" s="182">
        <f t="shared" si="542"/>
        <v>357.23</v>
      </c>
      <c r="AC409" s="182">
        <f t="shared" si="542"/>
        <v>474.45099999999991</v>
      </c>
      <c r="AD409" s="182">
        <f t="shared" si="542"/>
        <v>483.39800000000008</v>
      </c>
      <c r="AE409" s="182">
        <f t="shared" si="542"/>
        <v>475.09600000000006</v>
      </c>
      <c r="AF409" s="182">
        <f t="shared" si="542"/>
        <v>490.41800000000001</v>
      </c>
      <c r="AG409" s="182">
        <f t="shared" si="542"/>
        <v>555.34300000000007</v>
      </c>
      <c r="AH409" s="182">
        <f t="shared" si="542"/>
        <v>598.28699999999992</v>
      </c>
      <c r="AI409" s="182">
        <f t="shared" si="542"/>
        <v>614.35299999999984</v>
      </c>
      <c r="AJ409" s="182">
        <f t="shared" si="542"/>
        <v>997.67700000000002</v>
      </c>
      <c r="AK409" s="422">
        <f t="shared" si="542"/>
        <v>1201.7290000000003</v>
      </c>
      <c r="AL409" s="422">
        <f t="shared" si="542"/>
        <v>1513.3680000000004</v>
      </c>
      <c r="AM409" s="422">
        <f t="shared" si="542"/>
        <v>1485.8389999999995</v>
      </c>
      <c r="AN409" s="422">
        <f t="shared" si="542"/>
        <v>1749.2110000000002</v>
      </c>
      <c r="AO409" s="422">
        <f t="shared" si="542"/>
        <v>1863.7930000000001</v>
      </c>
      <c r="AP409" s="468">
        <f t="shared" si="542"/>
        <v>2073.8469999999998</v>
      </c>
      <c r="AQ409" s="182">
        <f t="shared" si="542"/>
        <v>2087.5908532247249</v>
      </c>
      <c r="AR409" s="182">
        <f t="shared" si="542"/>
        <v>2188.4063689240375</v>
      </c>
      <c r="AS409" s="182">
        <f t="shared" si="542"/>
        <v>2199.125396368082</v>
      </c>
      <c r="AT409" s="182">
        <f t="shared" si="542"/>
        <v>2308.5228616534541</v>
      </c>
      <c r="AU409" s="182">
        <f t="shared" si="542"/>
        <v>2323.0399701677625</v>
      </c>
      <c r="AV409" s="182">
        <f t="shared" si="542"/>
        <v>2440.0380517125323</v>
      </c>
      <c r="AW409" s="182">
        <f t="shared" si="542"/>
        <v>2457.2316471891418</v>
      </c>
      <c r="AX409" s="182">
        <f t="shared" si="542"/>
        <v>2582.8281633823217</v>
      </c>
      <c r="AY409" s="182">
        <f t="shared" si="542"/>
        <v>2602.9148216269714</v>
      </c>
      <c r="AZ409" s="182">
        <f t="shared" si="542"/>
        <v>2737.6595711026785</v>
      </c>
      <c r="BA409" s="573"/>
      <c r="BB409" s="168"/>
      <c r="BC409" s="168"/>
      <c r="BD409" s="168"/>
      <c r="BE409" s="168"/>
      <c r="BF409" s="168"/>
      <c r="BG409" s="168"/>
      <c r="BH409" s="168"/>
      <c r="BI409" s="200"/>
      <c r="BJ409" s="200"/>
      <c r="BK409" s="200"/>
      <c r="BL409" s="200"/>
      <c r="BM409" s="182">
        <f t="shared" ref="BM409:BZ409" si="543">BM308-BM408</f>
        <v>345.78100000000001</v>
      </c>
      <c r="BN409" s="182">
        <f t="shared" si="543"/>
        <v>357.23</v>
      </c>
      <c r="BO409" s="182">
        <f t="shared" si="543"/>
        <v>483.39800000000008</v>
      </c>
      <c r="BP409" s="182">
        <f t="shared" si="543"/>
        <v>490.41800000000001</v>
      </c>
      <c r="BQ409" s="182">
        <f t="shared" si="543"/>
        <v>598.28699999999992</v>
      </c>
      <c r="BR409" s="182">
        <f t="shared" si="543"/>
        <v>997.67700000000002</v>
      </c>
      <c r="BS409" s="182">
        <f t="shared" si="543"/>
        <v>1513.3680000000004</v>
      </c>
      <c r="BT409" s="182">
        <f t="shared" si="543"/>
        <v>1749.2110000000002</v>
      </c>
      <c r="BU409" s="466">
        <f t="shared" si="543"/>
        <v>2073.8469999999998</v>
      </c>
      <c r="BV409" s="182">
        <f t="shared" si="543"/>
        <v>2188.4063689240375</v>
      </c>
      <c r="BW409" s="182">
        <f t="shared" si="543"/>
        <v>2308.5228616534541</v>
      </c>
      <c r="BX409" s="182">
        <f t="shared" si="543"/>
        <v>2440.0380517125323</v>
      </c>
      <c r="BY409" s="182">
        <f t="shared" si="543"/>
        <v>2582.8281633823217</v>
      </c>
      <c r="BZ409" s="182">
        <f t="shared" si="543"/>
        <v>2737.6595711026785</v>
      </c>
      <c r="CB409" s="70" t="s">
        <v>609</v>
      </c>
      <c r="DS409" s="182">
        <f t="shared" ref="DS409" si="544">DS308-DS408</f>
        <v>0</v>
      </c>
    </row>
    <row r="410" spans="1:123" s="70" customFormat="1">
      <c r="A410" s="78"/>
      <c r="C410" s="102"/>
      <c r="D410" s="102"/>
      <c r="E410" s="102"/>
      <c r="F410" s="102"/>
      <c r="G410" s="102"/>
      <c r="H410" s="102"/>
      <c r="I410" s="102"/>
      <c r="J410" s="102"/>
      <c r="K410" s="102"/>
      <c r="L410" s="102"/>
      <c r="M410" s="75"/>
      <c r="N410" s="75"/>
      <c r="O410" s="75"/>
      <c r="P410" s="75"/>
      <c r="Q410" s="75"/>
      <c r="R410" s="75"/>
      <c r="S410" s="75"/>
      <c r="T410" s="75"/>
      <c r="U410" s="75"/>
      <c r="V410" s="75"/>
      <c r="W410" s="75"/>
      <c r="X410" s="75"/>
      <c r="Y410" s="182"/>
      <c r="Z410" s="182"/>
      <c r="AA410" s="182"/>
      <c r="AB410" s="182"/>
      <c r="AC410" s="182"/>
      <c r="AD410" s="182"/>
      <c r="AE410" s="182"/>
      <c r="AF410" s="182"/>
      <c r="AG410" s="182"/>
      <c r="AH410" s="182"/>
      <c r="AI410" s="182"/>
      <c r="AJ410" s="182"/>
      <c r="AK410" s="182"/>
      <c r="AL410" s="182"/>
      <c r="AM410" s="182"/>
      <c r="AN410" s="182"/>
      <c r="AO410" s="182"/>
      <c r="AP410" s="466"/>
      <c r="AQ410" s="182"/>
      <c r="AR410" s="182"/>
      <c r="AS410" s="182"/>
      <c r="AT410" s="182"/>
      <c r="AU410" s="182"/>
      <c r="AV410" s="182"/>
      <c r="AW410" s="182"/>
      <c r="AX410" s="182"/>
      <c r="AY410" s="182"/>
      <c r="AZ410" s="182"/>
      <c r="BA410" s="828"/>
      <c r="BI410" s="75"/>
      <c r="BJ410" s="75"/>
      <c r="BK410" s="75"/>
      <c r="BL410" s="75"/>
      <c r="BM410" s="182"/>
      <c r="BN410" s="182"/>
      <c r="BO410" s="182"/>
      <c r="BP410" s="182"/>
      <c r="BQ410" s="260"/>
      <c r="BR410" s="260"/>
      <c r="BS410" s="260"/>
      <c r="BT410" s="182"/>
      <c r="BU410" s="466"/>
      <c r="BV410" s="182"/>
      <c r="BW410" s="182"/>
      <c r="BX410" s="182"/>
      <c r="BY410" s="182"/>
      <c r="BZ410" s="182"/>
      <c r="DS410" s="182"/>
    </row>
    <row r="411" spans="1:123" s="70" customFormat="1">
      <c r="A411" s="67"/>
      <c r="B411" s="95" t="s">
        <v>427</v>
      </c>
      <c r="C411" s="96"/>
      <c r="D411" s="96"/>
      <c r="E411" s="96"/>
      <c r="F411" s="96"/>
      <c r="G411" s="97"/>
      <c r="H411" s="560"/>
      <c r="I411" s="560"/>
      <c r="J411" s="560"/>
      <c r="K411" s="560"/>
      <c r="L411" s="560"/>
      <c r="M411" s="560"/>
      <c r="N411" s="560"/>
      <c r="O411" s="560"/>
      <c r="P411" s="561"/>
      <c r="Q411" s="561"/>
      <c r="R411" s="561"/>
      <c r="S411" s="561"/>
      <c r="T411" s="561"/>
      <c r="U411" s="562"/>
      <c r="V411" s="562"/>
      <c r="W411" s="562"/>
      <c r="X411" s="562"/>
      <c r="Y411" s="562"/>
      <c r="Z411" s="562"/>
      <c r="AA411" s="562"/>
      <c r="AB411" s="562"/>
      <c r="AC411" s="562"/>
      <c r="AD411" s="562"/>
      <c r="AE411" s="562"/>
      <c r="AF411" s="562"/>
      <c r="AG411" s="562"/>
      <c r="AH411" s="562"/>
      <c r="AI411" s="562"/>
      <c r="AJ411" s="562"/>
      <c r="AK411" s="562"/>
      <c r="AL411" s="562"/>
      <c r="AM411" s="562"/>
      <c r="AN411" s="562"/>
      <c r="AO411" s="562"/>
      <c r="AP411" s="563"/>
      <c r="AQ411" s="562"/>
      <c r="AR411" s="562"/>
      <c r="AS411" s="562"/>
      <c r="AT411" s="562"/>
      <c r="AU411" s="562"/>
      <c r="AV411" s="562"/>
      <c r="AW411" s="562"/>
      <c r="AX411" s="562"/>
      <c r="AY411" s="562"/>
      <c r="AZ411" s="562"/>
      <c r="BA411" s="564"/>
      <c r="BB411" s="565"/>
      <c r="BC411" s="565"/>
      <c r="BD411" s="565"/>
      <c r="BE411" s="565"/>
      <c r="BF411" s="565"/>
      <c r="BG411" s="565"/>
      <c r="BH411" s="565"/>
      <c r="BI411" s="562"/>
      <c r="BJ411" s="98"/>
      <c r="BK411" s="98"/>
      <c r="BL411" s="98"/>
      <c r="BM411" s="98"/>
      <c r="BN411" s="98"/>
      <c r="BO411" s="98"/>
      <c r="BP411" s="98"/>
      <c r="BQ411" s="98"/>
      <c r="BR411" s="98"/>
      <c r="BS411" s="98"/>
      <c r="BT411" s="97"/>
      <c r="BU411" s="510"/>
      <c r="BV411" s="97"/>
      <c r="BW411" s="97"/>
      <c r="BX411" s="97"/>
      <c r="BY411" s="97"/>
      <c r="BZ411" s="97"/>
      <c r="DS411" s="97"/>
    </row>
    <row r="412" spans="1:123" s="70" customFormat="1">
      <c r="A412" s="67"/>
      <c r="B412" s="258" t="s">
        <v>428</v>
      </c>
      <c r="C412" s="69"/>
      <c r="D412" s="69"/>
      <c r="E412" s="69"/>
      <c r="F412" s="69"/>
      <c r="H412" s="630"/>
      <c r="I412" s="630"/>
      <c r="J412" s="630"/>
      <c r="K412" s="630"/>
      <c r="L412" s="630"/>
      <c r="M412" s="630"/>
      <c r="N412" s="630"/>
      <c r="O412" s="630"/>
      <c r="P412" s="829"/>
      <c r="Q412" s="829"/>
      <c r="R412" s="829"/>
      <c r="S412" s="829"/>
      <c r="T412" s="829"/>
      <c r="U412" s="830"/>
      <c r="V412" s="830"/>
      <c r="W412" s="830"/>
      <c r="X412" s="830"/>
      <c r="Y412" s="830"/>
      <c r="Z412" s="830"/>
      <c r="AA412" s="830"/>
      <c r="AB412" s="830"/>
      <c r="AC412" s="830"/>
      <c r="AD412" s="830"/>
      <c r="AE412" s="830"/>
      <c r="AF412" s="830"/>
      <c r="AG412" s="830"/>
      <c r="AH412" s="830"/>
      <c r="AI412" s="830"/>
      <c r="AJ412" s="830"/>
      <c r="AK412" s="830"/>
      <c r="AL412" s="830"/>
      <c r="AM412" s="830"/>
      <c r="AN412" s="830"/>
      <c r="AO412" s="830"/>
      <c r="AP412" s="831"/>
      <c r="AQ412" s="830"/>
      <c r="AR412" s="830"/>
      <c r="AS412" s="830"/>
      <c r="AT412" s="830"/>
      <c r="AU412" s="830"/>
      <c r="AV412" s="830"/>
      <c r="AW412" s="830"/>
      <c r="AX412" s="830"/>
      <c r="AY412" s="830"/>
      <c r="AZ412" s="830"/>
      <c r="BA412" s="564"/>
      <c r="BB412" s="564"/>
      <c r="BC412" s="564"/>
      <c r="BD412" s="564"/>
      <c r="BE412" s="564"/>
      <c r="BF412" s="564"/>
      <c r="BG412" s="564"/>
      <c r="BH412" s="564"/>
      <c r="BI412" s="830"/>
      <c r="BJ412" s="251"/>
      <c r="BK412" s="251"/>
      <c r="BL412" s="251"/>
      <c r="BM412" s="251"/>
      <c r="BN412" s="251"/>
      <c r="BO412" s="251"/>
      <c r="BP412" s="251"/>
      <c r="BQ412" s="251"/>
      <c r="BR412" s="251"/>
      <c r="BS412" s="251"/>
      <c r="BU412" s="306"/>
    </row>
    <row r="413" spans="1:123" s="70" customFormat="1">
      <c r="A413" s="67"/>
      <c r="B413" s="68" t="s">
        <v>429</v>
      </c>
      <c r="C413" s="69"/>
      <c r="D413" s="69"/>
      <c r="E413" s="69"/>
      <c r="F413" s="69"/>
      <c r="H413" s="630"/>
      <c r="I413" s="630"/>
      <c r="J413" s="630"/>
      <c r="K413" s="630"/>
      <c r="L413" s="630"/>
      <c r="M413" s="630"/>
      <c r="N413" s="630"/>
      <c r="O413" s="630"/>
      <c r="P413" s="829"/>
      <c r="Q413" s="829"/>
      <c r="R413" s="829"/>
      <c r="S413" s="829"/>
      <c r="T413" s="829"/>
      <c r="U413" s="830"/>
      <c r="V413" s="830"/>
      <c r="W413" s="830"/>
      <c r="X413" s="830"/>
      <c r="Y413" s="830"/>
      <c r="Z413" s="830"/>
      <c r="AA413" s="830"/>
      <c r="AB413" s="830"/>
      <c r="AC413" s="830"/>
      <c r="AD413" s="115">
        <v>18.47</v>
      </c>
      <c r="AE413" s="832">
        <v>12.98</v>
      </c>
      <c r="AF413" s="168">
        <f>BP413</f>
        <v>10.095000000000001</v>
      </c>
      <c r="AG413" s="115">
        <v>3.6480000000000001</v>
      </c>
      <c r="AH413" s="168">
        <f>BQ413</f>
        <v>10.507999999999999</v>
      </c>
      <c r="AI413" s="115"/>
      <c r="AJ413" s="168">
        <f>BR413</f>
        <v>8.3879999999999999</v>
      </c>
      <c r="AK413" s="830"/>
      <c r="AL413" s="830">
        <f>BS413</f>
        <v>19.202000000000002</v>
      </c>
      <c r="AM413" s="830"/>
      <c r="AN413" s="830">
        <f>BT413</f>
        <v>4.7050000000000001</v>
      </c>
      <c r="AO413" s="830"/>
      <c r="AP413" s="831">
        <f>BU413</f>
        <v>6.0110000000000001</v>
      </c>
      <c r="AQ413" s="830"/>
      <c r="AR413" s="830"/>
      <c r="AS413" s="830"/>
      <c r="AT413" s="830"/>
      <c r="AU413" s="830"/>
      <c r="AV413" s="830"/>
      <c r="AW413" s="830"/>
      <c r="AX413" s="830"/>
      <c r="AY413" s="830"/>
      <c r="AZ413" s="830"/>
      <c r="BA413" s="564"/>
      <c r="BB413" s="564"/>
      <c r="BC413" s="564"/>
      <c r="BD413" s="564"/>
      <c r="BE413" s="564"/>
      <c r="BF413" s="564"/>
      <c r="BG413" s="564"/>
      <c r="BH413" s="564"/>
      <c r="BI413" s="830"/>
      <c r="BJ413" s="251"/>
      <c r="BK413" s="251"/>
      <c r="BL413" s="251"/>
      <c r="BM413" s="251"/>
      <c r="BN413" s="251"/>
      <c r="BP413" s="115">
        <v>10.095000000000001</v>
      </c>
      <c r="BQ413" s="115">
        <v>10.507999999999999</v>
      </c>
      <c r="BR413" s="115">
        <v>8.3879999999999999</v>
      </c>
      <c r="BS413" s="115">
        <v>19.202000000000002</v>
      </c>
      <c r="BT413" s="115">
        <v>4.7050000000000001</v>
      </c>
      <c r="BU413" s="539">
        <v>6.0110000000000001</v>
      </c>
      <c r="CB413" s="70" t="s">
        <v>626</v>
      </c>
    </row>
    <row r="414" spans="1:123" s="70" customFormat="1">
      <c r="A414" s="67"/>
      <c r="B414" s="68" t="s">
        <v>18</v>
      </c>
      <c r="C414" s="69"/>
      <c r="D414" s="69"/>
      <c r="E414" s="69"/>
      <c r="F414" s="69"/>
      <c r="H414" s="630"/>
      <c r="I414" s="630"/>
      <c r="J414" s="630"/>
      <c r="K414" s="630"/>
      <c r="L414" s="630"/>
      <c r="M414" s="630"/>
      <c r="N414" s="630"/>
      <c r="O414" s="630"/>
      <c r="P414" s="829"/>
      <c r="Q414" s="829"/>
      <c r="R414" s="829"/>
      <c r="S414" s="829"/>
      <c r="T414" s="829"/>
      <c r="U414" s="830"/>
      <c r="V414" s="830"/>
      <c r="W414" s="830"/>
      <c r="X414" s="830"/>
      <c r="Y414" s="830"/>
      <c r="Z414" s="830"/>
      <c r="AA414" s="830"/>
      <c r="AB414" s="830"/>
      <c r="AC414" s="830"/>
      <c r="AD414" s="115">
        <f>0.373+0.102</f>
        <v>0.47499999999999998</v>
      </c>
      <c r="AE414" s="832">
        <f>0.243+0.067</f>
        <v>0.31</v>
      </c>
      <c r="AF414" s="168">
        <f>BP414</f>
        <v>1.0089999999999999</v>
      </c>
      <c r="AG414" s="115">
        <v>0.35599999999999998</v>
      </c>
      <c r="AH414" s="168">
        <f t="shared" ref="AH414:AH425" si="545">BQ414</f>
        <v>0.96599999999999997</v>
      </c>
      <c r="AI414" s="115"/>
      <c r="AJ414" s="168">
        <f t="shared" ref="AJ414:AJ425" si="546">BR414</f>
        <v>0.55300000000000005</v>
      </c>
      <c r="AK414" s="830"/>
      <c r="AL414" s="830">
        <f>BS414</f>
        <v>0.56699999999999995</v>
      </c>
      <c r="AM414" s="830"/>
      <c r="AN414" s="830">
        <f t="shared" ref="AN414:AN415" si="547">BT414</f>
        <v>1.4139999999999999</v>
      </c>
      <c r="AO414" s="830"/>
      <c r="AP414" s="831">
        <f>BU414</f>
        <v>1.2310000000000001</v>
      </c>
      <c r="AQ414" s="830"/>
      <c r="AR414" s="830"/>
      <c r="AS414" s="830"/>
      <c r="AT414" s="830"/>
      <c r="AU414" s="830"/>
      <c r="AV414" s="830"/>
      <c r="AW414" s="830"/>
      <c r="AX414" s="830"/>
      <c r="AY414" s="830"/>
      <c r="AZ414" s="830"/>
      <c r="BA414" s="564"/>
      <c r="BB414" s="564"/>
      <c r="BC414" s="564"/>
      <c r="BD414" s="564"/>
      <c r="BE414" s="564"/>
      <c r="BF414" s="564"/>
      <c r="BG414" s="564"/>
      <c r="BH414" s="564"/>
      <c r="BI414" s="830"/>
      <c r="BJ414" s="251"/>
      <c r="BK414" s="251"/>
      <c r="BL414" s="251"/>
      <c r="BM414" s="251"/>
      <c r="BN414" s="251"/>
      <c r="BP414" s="115">
        <v>1.0089999999999999</v>
      </c>
      <c r="BQ414" s="115">
        <v>0.96599999999999997</v>
      </c>
      <c r="BR414" s="115">
        <v>0.55300000000000005</v>
      </c>
      <c r="BS414" s="115">
        <v>0.56699999999999995</v>
      </c>
      <c r="BT414" s="115">
        <v>1.4139999999999999</v>
      </c>
      <c r="BU414" s="539">
        <v>1.2310000000000001</v>
      </c>
      <c r="CB414" s="70" t="s">
        <v>626</v>
      </c>
    </row>
    <row r="415" spans="1:123" s="70" customFormat="1">
      <c r="A415" s="78"/>
      <c r="B415" s="70" t="s">
        <v>6</v>
      </c>
      <c r="C415" s="102"/>
      <c r="D415" s="102"/>
      <c r="E415" s="102"/>
      <c r="F415" s="102"/>
      <c r="G415" s="102"/>
      <c r="H415" s="102"/>
      <c r="I415" s="102"/>
      <c r="J415" s="102"/>
      <c r="K415" s="102"/>
      <c r="L415" s="102"/>
      <c r="M415" s="75"/>
      <c r="N415" s="75"/>
      <c r="O415" s="75"/>
      <c r="P415" s="75"/>
      <c r="Q415" s="75"/>
      <c r="R415" s="75"/>
      <c r="S415" s="75"/>
      <c r="T415" s="75"/>
      <c r="U415" s="75"/>
      <c r="V415" s="75"/>
      <c r="W415" s="75"/>
      <c r="X415" s="75"/>
      <c r="Y415" s="182"/>
      <c r="Z415" s="182"/>
      <c r="AA415" s="182"/>
      <c r="AB415" s="182"/>
      <c r="AC415" s="182"/>
      <c r="AD415" s="260">
        <f>SUM(AD413:AD414)</f>
        <v>18.945</v>
      </c>
      <c r="AE415" s="260">
        <f>SUM(AE413:AE414)</f>
        <v>13.290000000000001</v>
      </c>
      <c r="AF415" s="200">
        <f>BP415</f>
        <v>11.104000000000001</v>
      </c>
      <c r="AG415" s="260">
        <f>SUM(AG413:AG414)</f>
        <v>4.0040000000000004</v>
      </c>
      <c r="AH415" s="200">
        <f t="shared" si="545"/>
        <v>11.473999999999998</v>
      </c>
      <c r="AI415" s="260">
        <f>AI396</f>
        <v>5.2619999999999996</v>
      </c>
      <c r="AJ415" s="200">
        <f t="shared" si="546"/>
        <v>8.9410000000000007</v>
      </c>
      <c r="AK415" s="232">
        <f>AK396</f>
        <v>16.72</v>
      </c>
      <c r="AL415" s="232">
        <f>BS415</f>
        <v>19.769000000000002</v>
      </c>
      <c r="AM415" s="232">
        <f>AM396</f>
        <v>16.940000000000001</v>
      </c>
      <c r="AN415" s="232">
        <f t="shared" si="547"/>
        <v>6.1189999999999998</v>
      </c>
      <c r="AO415" s="232">
        <f>AO396</f>
        <v>7.93</v>
      </c>
      <c r="AP415" s="469">
        <f>BU415</f>
        <v>7.242</v>
      </c>
      <c r="AQ415" s="232">
        <f t="shared" ref="AQ415:AZ415" si="548">AP415</f>
        <v>7.242</v>
      </c>
      <c r="AR415" s="232">
        <f t="shared" si="548"/>
        <v>7.242</v>
      </c>
      <c r="AS415" s="232">
        <f t="shared" si="548"/>
        <v>7.242</v>
      </c>
      <c r="AT415" s="232">
        <f t="shared" si="548"/>
        <v>7.242</v>
      </c>
      <c r="AU415" s="232">
        <f t="shared" si="548"/>
        <v>7.242</v>
      </c>
      <c r="AV415" s="232">
        <f t="shared" si="548"/>
        <v>7.242</v>
      </c>
      <c r="AW415" s="232">
        <f t="shared" si="548"/>
        <v>7.242</v>
      </c>
      <c r="AX415" s="232">
        <f t="shared" si="548"/>
        <v>7.242</v>
      </c>
      <c r="AY415" s="232">
        <f t="shared" si="548"/>
        <v>7.242</v>
      </c>
      <c r="AZ415" s="232">
        <f t="shared" si="548"/>
        <v>7.242</v>
      </c>
      <c r="BA415" s="828"/>
      <c r="BI415" s="75"/>
      <c r="BJ415" s="75"/>
      <c r="BK415" s="75"/>
      <c r="BL415" s="75"/>
      <c r="BM415" s="182"/>
      <c r="BN415" s="182"/>
      <c r="BP415" s="260">
        <f t="shared" ref="BP415:BU415" si="549">SUM(BP413:BP414)</f>
        <v>11.104000000000001</v>
      </c>
      <c r="BQ415" s="260">
        <f t="shared" si="549"/>
        <v>11.473999999999998</v>
      </c>
      <c r="BR415" s="260">
        <f t="shared" si="549"/>
        <v>8.9410000000000007</v>
      </c>
      <c r="BS415" s="260">
        <f t="shared" si="549"/>
        <v>19.769000000000002</v>
      </c>
      <c r="BT415" s="260">
        <f t="shared" si="549"/>
        <v>6.1189999999999998</v>
      </c>
      <c r="BU415" s="540">
        <f t="shared" si="549"/>
        <v>7.242</v>
      </c>
      <c r="BV415" s="89">
        <f>AR415</f>
        <v>7.242</v>
      </c>
      <c r="BW415" s="89">
        <f>AT415</f>
        <v>7.242</v>
      </c>
      <c r="BX415" s="89">
        <f>AV415</f>
        <v>7.242</v>
      </c>
      <c r="BY415" s="89">
        <f>AX415</f>
        <v>7.242</v>
      </c>
      <c r="BZ415" s="89">
        <f>AZ415</f>
        <v>7.242</v>
      </c>
      <c r="CB415" s="70" t="s">
        <v>609</v>
      </c>
      <c r="DS415" s="89">
        <f>CV415</f>
        <v>0</v>
      </c>
    </row>
    <row r="416" spans="1:123" s="70" customFormat="1">
      <c r="A416" s="78"/>
      <c r="C416" s="102"/>
      <c r="D416" s="102"/>
      <c r="E416" s="102"/>
      <c r="F416" s="102"/>
      <c r="G416" s="102"/>
      <c r="H416" s="102"/>
      <c r="I416" s="102"/>
      <c r="J416" s="102"/>
      <c r="K416" s="102"/>
      <c r="L416" s="102"/>
      <c r="M416" s="75"/>
      <c r="N416" s="75"/>
      <c r="O416" s="75"/>
      <c r="P416" s="75"/>
      <c r="Q416" s="75"/>
      <c r="R416" s="75"/>
      <c r="S416" s="75"/>
      <c r="T416" s="75"/>
      <c r="U416" s="75"/>
      <c r="V416" s="75"/>
      <c r="W416" s="75"/>
      <c r="X416" s="75"/>
      <c r="Y416" s="182"/>
      <c r="Z416" s="182"/>
      <c r="AA416" s="182"/>
      <c r="AB416" s="182"/>
      <c r="AC416" s="182"/>
      <c r="AD416" s="260"/>
      <c r="AE416" s="182"/>
      <c r="AF416" s="168"/>
      <c r="AG416" s="260"/>
      <c r="AH416" s="168"/>
      <c r="AI416" s="260"/>
      <c r="AJ416" s="168"/>
      <c r="AK416" s="182"/>
      <c r="AL416" s="182"/>
      <c r="AM416" s="182"/>
      <c r="AN416" s="182"/>
      <c r="AO416" s="182"/>
      <c r="AP416" s="466"/>
      <c r="AQ416" s="182"/>
      <c r="AR416" s="182"/>
      <c r="AS416" s="182"/>
      <c r="AT416" s="182"/>
      <c r="AU416" s="182"/>
      <c r="AV416" s="182"/>
      <c r="AW416" s="182"/>
      <c r="AX416" s="182"/>
      <c r="AY416" s="182"/>
      <c r="AZ416" s="182"/>
      <c r="BA416" s="828"/>
      <c r="BI416" s="75"/>
      <c r="BJ416" s="75"/>
      <c r="BK416" s="75"/>
      <c r="BL416" s="75"/>
      <c r="BM416" s="182"/>
      <c r="BN416" s="182"/>
      <c r="BP416" s="260"/>
      <c r="BQ416" s="260"/>
      <c r="BR416" s="260"/>
      <c r="BS416" s="260"/>
      <c r="BT416" s="260"/>
      <c r="BU416" s="540"/>
      <c r="BV416" s="182"/>
      <c r="BW416" s="182"/>
      <c r="BX416" s="182"/>
      <c r="BY416" s="182"/>
      <c r="BZ416" s="182"/>
      <c r="DS416" s="182"/>
    </row>
    <row r="417" spans="1:123" s="70" customFormat="1">
      <c r="A417" s="78"/>
      <c r="B417" s="259" t="s">
        <v>430</v>
      </c>
      <c r="C417" s="102"/>
      <c r="D417" s="102"/>
      <c r="E417" s="102"/>
      <c r="F417" s="102"/>
      <c r="G417" s="102"/>
      <c r="H417" s="102"/>
      <c r="I417" s="102"/>
      <c r="J417" s="102"/>
      <c r="K417" s="102"/>
      <c r="L417" s="102"/>
      <c r="M417" s="75"/>
      <c r="N417" s="75"/>
      <c r="O417" s="75"/>
      <c r="P417" s="75"/>
      <c r="Q417" s="75"/>
      <c r="R417" s="75"/>
      <c r="S417" s="75"/>
      <c r="T417" s="75"/>
      <c r="U417" s="75"/>
      <c r="V417" s="75"/>
      <c r="W417" s="75"/>
      <c r="X417" s="75"/>
      <c r="Y417" s="182"/>
      <c r="Z417" s="182"/>
      <c r="AA417" s="182"/>
      <c r="AB417" s="182"/>
      <c r="AC417" s="182"/>
      <c r="AD417" s="260"/>
      <c r="AE417" s="182"/>
      <c r="AF417" s="168"/>
      <c r="AG417" s="260"/>
      <c r="AH417" s="168"/>
      <c r="AI417" s="260"/>
      <c r="AJ417" s="168"/>
      <c r="AK417" s="182"/>
      <c r="AL417" s="182"/>
      <c r="AM417" s="182"/>
      <c r="AN417" s="182"/>
      <c r="AO417" s="182"/>
      <c r="AP417" s="466"/>
      <c r="AQ417" s="182"/>
      <c r="AR417" s="182"/>
      <c r="AS417" s="182"/>
      <c r="AT417" s="182"/>
      <c r="AU417" s="182"/>
      <c r="AV417" s="182"/>
      <c r="AW417" s="182"/>
      <c r="AX417" s="182"/>
      <c r="AY417" s="182"/>
      <c r="AZ417" s="182"/>
      <c r="BA417" s="828"/>
      <c r="BI417" s="75"/>
      <c r="BJ417" s="75"/>
      <c r="BK417" s="75"/>
      <c r="BL417" s="75"/>
      <c r="BM417" s="182"/>
      <c r="BN417" s="182"/>
      <c r="BP417" s="260"/>
      <c r="BQ417" s="260"/>
      <c r="BR417" s="260"/>
      <c r="BS417" s="260"/>
      <c r="BT417" s="260"/>
      <c r="BU417" s="540"/>
      <c r="BV417" s="182"/>
      <c r="BW417" s="182"/>
      <c r="BX417" s="182"/>
      <c r="BY417" s="182"/>
      <c r="BZ417" s="182"/>
      <c r="DS417" s="182"/>
    </row>
    <row r="418" spans="1:123" s="70" customFormat="1">
      <c r="A418" s="78"/>
      <c r="B418" s="70" t="s">
        <v>429</v>
      </c>
      <c r="C418" s="102"/>
      <c r="D418" s="102"/>
      <c r="E418" s="102"/>
      <c r="F418" s="102"/>
      <c r="G418" s="102"/>
      <c r="H418" s="102"/>
      <c r="I418" s="102"/>
      <c r="J418" s="102"/>
      <c r="K418" s="102"/>
      <c r="L418" s="102"/>
      <c r="M418" s="75"/>
      <c r="N418" s="75"/>
      <c r="O418" s="75"/>
      <c r="P418" s="75"/>
      <c r="Q418" s="75"/>
      <c r="R418" s="75"/>
      <c r="S418" s="75"/>
      <c r="T418" s="75"/>
      <c r="U418" s="75"/>
      <c r="V418" s="75"/>
      <c r="W418" s="75"/>
      <c r="X418" s="75"/>
      <c r="Y418" s="182"/>
      <c r="Z418" s="182"/>
      <c r="AA418" s="182"/>
      <c r="AB418" s="182"/>
      <c r="AC418" s="182"/>
      <c r="AD418" s="115">
        <v>85.114999999999995</v>
      </c>
      <c r="AE418" s="115">
        <v>75.893000000000001</v>
      </c>
      <c r="AF418" s="168">
        <f t="shared" ref="AF418:AF425" si="550">BP418</f>
        <v>220.06700000000001</v>
      </c>
      <c r="AG418" s="115">
        <v>258.46600000000001</v>
      </c>
      <c r="AH418" s="168">
        <f t="shared" si="545"/>
        <v>200.345</v>
      </c>
      <c r="AI418" s="115"/>
      <c r="AJ418" s="168">
        <f t="shared" si="546"/>
        <v>38.630000000000003</v>
      </c>
      <c r="AK418" s="182"/>
      <c r="AL418" s="182">
        <f t="shared" ref="AL418:AL425" si="551">BS418</f>
        <v>564.31200000000001</v>
      </c>
      <c r="AM418" s="182"/>
      <c r="AN418" s="182">
        <f t="shared" ref="AN418:AN425" si="552">BT418</f>
        <v>639.80499999999995</v>
      </c>
      <c r="AO418" s="182"/>
      <c r="AP418" s="466">
        <f>BU418</f>
        <v>865.33699999999999</v>
      </c>
      <c r="AQ418" s="182"/>
      <c r="AR418" s="182"/>
      <c r="AS418" s="182"/>
      <c r="AT418" s="182"/>
      <c r="AU418" s="182"/>
      <c r="AV418" s="182"/>
      <c r="AW418" s="182"/>
      <c r="AX418" s="182"/>
      <c r="AY418" s="182"/>
      <c r="AZ418" s="182"/>
      <c r="BA418" s="828"/>
      <c r="BI418" s="75"/>
      <c r="BJ418" s="75"/>
      <c r="BK418" s="75"/>
      <c r="BL418" s="75"/>
      <c r="BM418" s="182"/>
      <c r="BN418" s="182"/>
      <c r="BP418" s="115">
        <v>220.06700000000001</v>
      </c>
      <c r="BQ418" s="115">
        <v>200.345</v>
      </c>
      <c r="BR418" s="115">
        <v>38.630000000000003</v>
      </c>
      <c r="BS418" s="115">
        <v>564.31200000000001</v>
      </c>
      <c r="BT418" s="115">
        <v>639.80499999999995</v>
      </c>
      <c r="BU418" s="539">
        <v>865.33699999999999</v>
      </c>
      <c r="BV418" s="182"/>
      <c r="BW418" s="182"/>
      <c r="BX418" s="182"/>
      <c r="BY418" s="182"/>
      <c r="BZ418" s="182"/>
      <c r="CB418" s="70" t="s">
        <v>626</v>
      </c>
      <c r="DS418" s="182"/>
    </row>
    <row r="419" spans="1:123" s="70" customFormat="1">
      <c r="A419" s="78"/>
      <c r="B419" s="70" t="s">
        <v>18</v>
      </c>
      <c r="C419" s="102"/>
      <c r="D419" s="102"/>
      <c r="E419" s="102"/>
      <c r="F419" s="102"/>
      <c r="G419" s="102"/>
      <c r="H419" s="102"/>
      <c r="I419" s="102"/>
      <c r="J419" s="102"/>
      <c r="K419" s="102"/>
      <c r="L419" s="102"/>
      <c r="M419" s="75"/>
      <c r="N419" s="75"/>
      <c r="O419" s="75"/>
      <c r="P419" s="75"/>
      <c r="Q419" s="75"/>
      <c r="R419" s="75"/>
      <c r="S419" s="75"/>
      <c r="T419" s="75"/>
      <c r="U419" s="75"/>
      <c r="V419" s="75"/>
      <c r="W419" s="75"/>
      <c r="X419" s="75"/>
      <c r="Y419" s="182"/>
      <c r="Z419" s="182"/>
      <c r="AA419" s="182"/>
      <c r="AB419" s="182"/>
      <c r="AC419" s="182"/>
      <c r="AD419" s="115">
        <v>0.41499999999999998</v>
      </c>
      <c r="AE419" s="115">
        <v>0.61099999999999999</v>
      </c>
      <c r="AF419" s="168">
        <f t="shared" si="550"/>
        <v>0.59899999999999998</v>
      </c>
      <c r="AG419" s="115">
        <v>0.48899999999999999</v>
      </c>
      <c r="AH419" s="168">
        <f t="shared" si="545"/>
        <v>0.46400000000000002</v>
      </c>
      <c r="AI419" s="115"/>
      <c r="AJ419" s="168">
        <f t="shared" si="546"/>
        <v>0.23100000000000001</v>
      </c>
      <c r="AK419" s="182"/>
      <c r="AL419" s="182">
        <f t="shared" si="551"/>
        <v>0.14899999999999999</v>
      </c>
      <c r="AM419" s="182"/>
      <c r="AN419" s="182">
        <f t="shared" si="552"/>
        <v>7.6999999999999999E-2</v>
      </c>
      <c r="AO419" s="182"/>
      <c r="AP419" s="466">
        <f>BU419</f>
        <v>0.192</v>
      </c>
      <c r="AQ419" s="182"/>
      <c r="AR419" s="182"/>
      <c r="AS419" s="182"/>
      <c r="AT419" s="182"/>
      <c r="AU419" s="182"/>
      <c r="AV419" s="182"/>
      <c r="AW419" s="182"/>
      <c r="AX419" s="182"/>
      <c r="AY419" s="182"/>
      <c r="AZ419" s="182"/>
      <c r="BA419" s="828"/>
      <c r="BI419" s="75"/>
      <c r="BJ419" s="75"/>
      <c r="BK419" s="75"/>
      <c r="BL419" s="75"/>
      <c r="BM419" s="182"/>
      <c r="BN419" s="182"/>
      <c r="BP419" s="115">
        <v>0.59899999999999998</v>
      </c>
      <c r="BQ419" s="115">
        <v>0.46400000000000002</v>
      </c>
      <c r="BR419" s="115">
        <v>0.23100000000000001</v>
      </c>
      <c r="BS419" s="115">
        <v>0.14899999999999999</v>
      </c>
      <c r="BT419" s="115">
        <v>7.6999999999999999E-2</v>
      </c>
      <c r="BU419" s="539">
        <v>0.192</v>
      </c>
      <c r="BV419" s="182"/>
      <c r="BW419" s="182"/>
      <c r="BX419" s="182"/>
      <c r="BY419" s="182"/>
      <c r="BZ419" s="182"/>
      <c r="CB419" s="70" t="s">
        <v>626</v>
      </c>
      <c r="DS419" s="182"/>
    </row>
    <row r="420" spans="1:123" s="70" customFormat="1">
      <c r="A420" s="78"/>
      <c r="B420" s="70" t="s">
        <v>6</v>
      </c>
      <c r="C420" s="102"/>
      <c r="D420" s="102"/>
      <c r="E420" s="102"/>
      <c r="F420" s="102"/>
      <c r="G420" s="102"/>
      <c r="H420" s="102"/>
      <c r="I420" s="102"/>
      <c r="J420" s="102"/>
      <c r="K420" s="102"/>
      <c r="L420" s="102"/>
      <c r="M420" s="75"/>
      <c r="N420" s="75"/>
      <c r="O420" s="75"/>
      <c r="P420" s="75"/>
      <c r="Q420" s="75"/>
      <c r="R420" s="75"/>
      <c r="S420" s="75"/>
      <c r="T420" s="75"/>
      <c r="U420" s="75"/>
      <c r="V420" s="75"/>
      <c r="W420" s="75"/>
      <c r="X420" s="75"/>
      <c r="Y420" s="182"/>
      <c r="Z420" s="182"/>
      <c r="AA420" s="182"/>
      <c r="AB420" s="182"/>
      <c r="AC420" s="182"/>
      <c r="AD420" s="260">
        <f>SUM(AD418:AD419)</f>
        <v>85.53</v>
      </c>
      <c r="AE420" s="260">
        <f>SUM(AE418:AE419)</f>
        <v>76.504000000000005</v>
      </c>
      <c r="AF420" s="200">
        <f t="shared" si="550"/>
        <v>220.666</v>
      </c>
      <c r="AG420" s="260">
        <f>SUM(AG418:AG419)</f>
        <v>258.95499999999998</v>
      </c>
      <c r="AH420" s="200">
        <f t="shared" si="545"/>
        <v>200.809</v>
      </c>
      <c r="AI420" s="260">
        <f>AI405</f>
        <v>225.453</v>
      </c>
      <c r="AJ420" s="200">
        <f t="shared" si="546"/>
        <v>38.861000000000004</v>
      </c>
      <c r="AK420" s="232">
        <f>AK405</f>
        <v>684.68799999999999</v>
      </c>
      <c r="AL420" s="232">
        <f t="shared" si="551"/>
        <v>564.46100000000001</v>
      </c>
      <c r="AM420" s="232">
        <f>AM405</f>
        <v>662.86900000000003</v>
      </c>
      <c r="AN420" s="232">
        <f t="shared" si="552"/>
        <v>639.88199999999995</v>
      </c>
      <c r="AO420" s="232">
        <f>AO405</f>
        <v>765.95899999999995</v>
      </c>
      <c r="AP420" s="469">
        <f>BU420</f>
        <v>865.529</v>
      </c>
      <c r="AQ420" s="281">
        <f t="shared" ref="AQ420:AZ420" si="553">AQ405</f>
        <v>865.529</v>
      </c>
      <c r="AR420" s="281">
        <f t="shared" si="553"/>
        <v>865.529</v>
      </c>
      <c r="AS420" s="281">
        <f t="shared" si="553"/>
        <v>865.529</v>
      </c>
      <c r="AT420" s="281">
        <f t="shared" si="553"/>
        <v>865.529</v>
      </c>
      <c r="AU420" s="281">
        <f t="shared" si="553"/>
        <v>865.529</v>
      </c>
      <c r="AV420" s="281">
        <f t="shared" si="553"/>
        <v>865.529</v>
      </c>
      <c r="AW420" s="281">
        <f t="shared" si="553"/>
        <v>865.529</v>
      </c>
      <c r="AX420" s="281">
        <f t="shared" si="553"/>
        <v>865.529</v>
      </c>
      <c r="AY420" s="281">
        <f t="shared" si="553"/>
        <v>865.529</v>
      </c>
      <c r="AZ420" s="281">
        <f t="shared" si="553"/>
        <v>865.529</v>
      </c>
      <c r="BA420" s="828"/>
      <c r="BI420" s="75"/>
      <c r="BJ420" s="75"/>
      <c r="BK420" s="75"/>
      <c r="BL420" s="75"/>
      <c r="BM420" s="182"/>
      <c r="BN420" s="182"/>
      <c r="BP420" s="260">
        <f t="shared" ref="BP420:BU420" si="554">SUM(BP418:BP419)</f>
        <v>220.666</v>
      </c>
      <c r="BQ420" s="260">
        <f t="shared" si="554"/>
        <v>200.809</v>
      </c>
      <c r="BR420" s="260">
        <f t="shared" si="554"/>
        <v>38.861000000000004</v>
      </c>
      <c r="BS420" s="260">
        <f t="shared" si="554"/>
        <v>564.46100000000001</v>
      </c>
      <c r="BT420" s="260">
        <f t="shared" si="554"/>
        <v>639.88199999999995</v>
      </c>
      <c r="BU420" s="540">
        <f t="shared" si="554"/>
        <v>865.529</v>
      </c>
      <c r="BV420" s="89">
        <f>AR420</f>
        <v>865.529</v>
      </c>
      <c r="BW420" s="89">
        <f>AT420</f>
        <v>865.529</v>
      </c>
      <c r="BX420" s="89">
        <f>AV420</f>
        <v>865.529</v>
      </c>
      <c r="BY420" s="89">
        <f>AX420</f>
        <v>865.529</v>
      </c>
      <c r="BZ420" s="89">
        <f>AZ420</f>
        <v>865.529</v>
      </c>
      <c r="DS420" s="89">
        <f>CV420</f>
        <v>0</v>
      </c>
    </row>
    <row r="421" spans="1:123" s="70" customFormat="1">
      <c r="A421" s="78"/>
      <c r="C421" s="102"/>
      <c r="D421" s="102"/>
      <c r="E421" s="102"/>
      <c r="F421" s="102"/>
      <c r="G421" s="102"/>
      <c r="H421" s="102"/>
      <c r="I421" s="102"/>
      <c r="J421" s="102"/>
      <c r="K421" s="102"/>
      <c r="L421" s="102"/>
      <c r="M421" s="75"/>
      <c r="N421" s="75"/>
      <c r="O421" s="75"/>
      <c r="P421" s="75"/>
      <c r="Q421" s="75"/>
      <c r="R421" s="75"/>
      <c r="S421" s="75"/>
      <c r="T421" s="75"/>
      <c r="U421" s="75"/>
      <c r="V421" s="75"/>
      <c r="W421" s="75"/>
      <c r="X421" s="75"/>
      <c r="Y421" s="182"/>
      <c r="Z421" s="182"/>
      <c r="AA421" s="182"/>
      <c r="AB421" s="182"/>
      <c r="AC421" s="182"/>
      <c r="AD421" s="260"/>
      <c r="AE421" s="182"/>
      <c r="AF421" s="168"/>
      <c r="AG421" s="260"/>
      <c r="AH421" s="168"/>
      <c r="AI421" s="260"/>
      <c r="AJ421" s="168"/>
      <c r="AK421" s="182"/>
      <c r="AL421" s="182"/>
      <c r="AM421" s="182"/>
      <c r="AN421" s="182"/>
      <c r="AO421" s="182"/>
      <c r="AP421" s="466"/>
      <c r="AQ421" s="182"/>
      <c r="AR421" s="182"/>
      <c r="AS421" s="182"/>
      <c r="AT421" s="182"/>
      <c r="AU421" s="182"/>
      <c r="AV421" s="182"/>
      <c r="AW421" s="182"/>
      <c r="AX421" s="182"/>
      <c r="AY421" s="182"/>
      <c r="AZ421" s="182"/>
      <c r="BA421" s="828"/>
      <c r="BI421" s="75"/>
      <c r="BJ421" s="75"/>
      <c r="BK421" s="75"/>
      <c r="BL421" s="75"/>
      <c r="BM421" s="182"/>
      <c r="BN421" s="182"/>
      <c r="BP421" s="260"/>
      <c r="BQ421" s="260"/>
      <c r="BR421" s="260"/>
      <c r="BS421" s="260"/>
      <c r="BT421" s="260"/>
      <c r="BU421" s="540"/>
      <c r="BV421" s="182"/>
      <c r="BW421" s="182"/>
      <c r="BX421" s="182"/>
      <c r="BY421" s="182"/>
      <c r="BZ421" s="182"/>
      <c r="DS421" s="182"/>
    </row>
    <row r="422" spans="1:123" s="70" customFormat="1">
      <c r="A422" s="78"/>
      <c r="B422" s="75" t="s">
        <v>431</v>
      </c>
      <c r="C422" s="102"/>
      <c r="D422" s="102"/>
      <c r="E422" s="102"/>
      <c r="F422" s="102"/>
      <c r="G422" s="102"/>
      <c r="H422" s="102"/>
      <c r="I422" s="102"/>
      <c r="J422" s="102"/>
      <c r="K422" s="102"/>
      <c r="L422" s="102"/>
      <c r="M422" s="75"/>
      <c r="N422" s="75"/>
      <c r="O422" s="75"/>
      <c r="P422" s="75"/>
      <c r="Q422" s="75"/>
      <c r="R422" s="75"/>
      <c r="S422" s="75"/>
      <c r="T422" s="75"/>
      <c r="U422" s="75"/>
      <c r="V422" s="75"/>
      <c r="W422" s="75"/>
      <c r="X422" s="75"/>
      <c r="Y422" s="182"/>
      <c r="Z422" s="182"/>
      <c r="AA422" s="182"/>
      <c r="AB422" s="182"/>
      <c r="AC422" s="182"/>
      <c r="AD422" s="182">
        <f>AD415+AD420</f>
        <v>104.47499999999999</v>
      </c>
      <c r="AE422" s="182">
        <f>AE415+AE420</f>
        <v>89.794000000000011</v>
      </c>
      <c r="AF422" s="200">
        <f t="shared" si="550"/>
        <v>231.77</v>
      </c>
      <c r="AG422" s="182">
        <f>AG415+AG420</f>
        <v>262.959</v>
      </c>
      <c r="AH422" s="200">
        <f t="shared" si="545"/>
        <v>212.28299999999999</v>
      </c>
      <c r="AI422" s="182">
        <f>AI415+AI420</f>
        <v>230.715</v>
      </c>
      <c r="AJ422" s="200">
        <f t="shared" si="546"/>
        <v>47.802000000000007</v>
      </c>
      <c r="AK422" s="182">
        <f>AK415+AK420</f>
        <v>701.40800000000002</v>
      </c>
      <c r="AL422" s="182">
        <f t="shared" si="551"/>
        <v>584.23</v>
      </c>
      <c r="AM422" s="182">
        <f>AM415+AM420</f>
        <v>679.80900000000008</v>
      </c>
      <c r="AN422" s="182">
        <f t="shared" si="552"/>
        <v>646.00099999999998</v>
      </c>
      <c r="AO422" s="182">
        <f>AO415+AO420</f>
        <v>773.8889999999999</v>
      </c>
      <c r="AP422" s="466">
        <f>BU422</f>
        <v>872.77099999999996</v>
      </c>
      <c r="AQ422" s="182">
        <f t="shared" ref="AQ422:AZ422" si="555">AQ415+AQ420</f>
        <v>872.77099999999996</v>
      </c>
      <c r="AR422" s="182">
        <f t="shared" si="555"/>
        <v>872.77099999999996</v>
      </c>
      <c r="AS422" s="182">
        <f t="shared" si="555"/>
        <v>872.77099999999996</v>
      </c>
      <c r="AT422" s="182">
        <f t="shared" si="555"/>
        <v>872.77099999999996</v>
      </c>
      <c r="AU422" s="182">
        <f t="shared" si="555"/>
        <v>872.77099999999996</v>
      </c>
      <c r="AV422" s="182">
        <f t="shared" si="555"/>
        <v>872.77099999999996</v>
      </c>
      <c r="AW422" s="182">
        <f t="shared" si="555"/>
        <v>872.77099999999996</v>
      </c>
      <c r="AX422" s="182">
        <f t="shared" si="555"/>
        <v>872.77099999999996</v>
      </c>
      <c r="AY422" s="182">
        <f t="shared" si="555"/>
        <v>872.77099999999996</v>
      </c>
      <c r="AZ422" s="182">
        <f t="shared" si="555"/>
        <v>872.77099999999996</v>
      </c>
      <c r="BA422" s="828"/>
      <c r="BI422" s="75"/>
      <c r="BJ422" s="75"/>
      <c r="BK422" s="75"/>
      <c r="BL422" s="75"/>
      <c r="BM422" s="182"/>
      <c r="BN422" s="182"/>
      <c r="BP422" s="182">
        <f t="shared" ref="BP422:BU422" si="556">BP415+BP420</f>
        <v>231.77</v>
      </c>
      <c r="BQ422" s="182">
        <f t="shared" si="556"/>
        <v>212.28299999999999</v>
      </c>
      <c r="BR422" s="182">
        <f t="shared" si="556"/>
        <v>47.802000000000007</v>
      </c>
      <c r="BS422" s="182">
        <f t="shared" si="556"/>
        <v>584.23</v>
      </c>
      <c r="BT422" s="182">
        <f t="shared" si="556"/>
        <v>646.00099999999998</v>
      </c>
      <c r="BU422" s="466">
        <f t="shared" si="556"/>
        <v>872.77099999999996</v>
      </c>
      <c r="BV422" s="89">
        <f>AR422</f>
        <v>872.77099999999996</v>
      </c>
      <c r="BW422" s="89">
        <f>AT422</f>
        <v>872.77099999999996</v>
      </c>
      <c r="BX422" s="89">
        <f>AV422</f>
        <v>872.77099999999996</v>
      </c>
      <c r="BY422" s="89">
        <f>AX422</f>
        <v>872.77099999999996</v>
      </c>
      <c r="BZ422" s="89">
        <f>AZ422</f>
        <v>872.77099999999996</v>
      </c>
      <c r="CB422" s="70" t="s">
        <v>609</v>
      </c>
      <c r="DS422" s="89">
        <f>CV422</f>
        <v>0</v>
      </c>
    </row>
    <row r="423" spans="1:123" s="70" customFormat="1">
      <c r="A423" s="78"/>
      <c r="B423" s="70" t="s">
        <v>432</v>
      </c>
      <c r="C423" s="102"/>
      <c r="D423" s="102"/>
      <c r="E423" s="102"/>
      <c r="F423" s="102"/>
      <c r="G423" s="102"/>
      <c r="H423" s="102"/>
      <c r="I423" s="102"/>
      <c r="J423" s="102"/>
      <c r="K423" s="102"/>
      <c r="L423" s="102"/>
      <c r="Y423" s="252"/>
      <c r="Z423" s="252"/>
      <c r="AA423" s="252"/>
      <c r="AB423" s="252"/>
      <c r="AC423" s="252"/>
      <c r="AD423" s="181">
        <v>23.030999999999999</v>
      </c>
      <c r="AE423" s="272"/>
      <c r="AF423" s="168">
        <f t="shared" si="550"/>
        <v>20.055</v>
      </c>
      <c r="AG423" s="181">
        <v>18.375</v>
      </c>
      <c r="AH423" s="168">
        <f t="shared" si="545"/>
        <v>17.542999999999999</v>
      </c>
      <c r="AI423" s="181">
        <v>26.189</v>
      </c>
      <c r="AJ423" s="168">
        <f t="shared" si="546"/>
        <v>21.670999999999999</v>
      </c>
      <c r="AK423" s="423">
        <v>26.728999999999999</v>
      </c>
      <c r="AL423" s="423">
        <f t="shared" si="551"/>
        <v>25.521999999999998</v>
      </c>
      <c r="AM423" s="423">
        <v>29.931000000000001</v>
      </c>
      <c r="AN423" s="423">
        <f t="shared" si="552"/>
        <v>41.680999999999997</v>
      </c>
      <c r="AO423" s="423">
        <v>43.131</v>
      </c>
      <c r="AP423" s="485">
        <f>BU423</f>
        <v>37.063000000000002</v>
      </c>
      <c r="AQ423" s="232">
        <f t="shared" ref="AQ423:AZ424" si="557">AP423</f>
        <v>37.063000000000002</v>
      </c>
      <c r="AR423" s="232">
        <f t="shared" si="557"/>
        <v>37.063000000000002</v>
      </c>
      <c r="AS423" s="232">
        <f t="shared" si="557"/>
        <v>37.063000000000002</v>
      </c>
      <c r="AT423" s="232">
        <f t="shared" si="557"/>
        <v>37.063000000000002</v>
      </c>
      <c r="AU423" s="232">
        <f t="shared" si="557"/>
        <v>37.063000000000002</v>
      </c>
      <c r="AV423" s="232">
        <f t="shared" si="557"/>
        <v>37.063000000000002</v>
      </c>
      <c r="AW423" s="232">
        <f t="shared" si="557"/>
        <v>37.063000000000002</v>
      </c>
      <c r="AX423" s="232">
        <f t="shared" si="557"/>
        <v>37.063000000000002</v>
      </c>
      <c r="AY423" s="232">
        <f t="shared" si="557"/>
        <v>37.063000000000002</v>
      </c>
      <c r="AZ423" s="232">
        <f t="shared" si="557"/>
        <v>37.063000000000002</v>
      </c>
      <c r="BA423" s="828"/>
      <c r="BM423" s="252"/>
      <c r="BN423" s="252"/>
      <c r="BP423" s="181">
        <v>20.055</v>
      </c>
      <c r="BQ423" s="181">
        <v>17.542999999999999</v>
      </c>
      <c r="BR423" s="181">
        <v>21.670999999999999</v>
      </c>
      <c r="BS423" s="181">
        <v>25.521999999999998</v>
      </c>
      <c r="BT423" s="181">
        <v>41.680999999999997</v>
      </c>
      <c r="BU423" s="307">
        <v>37.063000000000002</v>
      </c>
      <c r="BV423" s="39">
        <f>AR423</f>
        <v>37.063000000000002</v>
      </c>
      <c r="BW423" s="39">
        <f>AT423</f>
        <v>37.063000000000002</v>
      </c>
      <c r="BX423" s="39">
        <f>AV423</f>
        <v>37.063000000000002</v>
      </c>
      <c r="BY423" s="39">
        <f>AX423</f>
        <v>37.063000000000002</v>
      </c>
      <c r="BZ423" s="39">
        <f>AZ423</f>
        <v>37.063000000000002</v>
      </c>
      <c r="CB423" s="70" t="s">
        <v>627</v>
      </c>
      <c r="DS423" s="39">
        <f>CV423</f>
        <v>0</v>
      </c>
    </row>
    <row r="424" spans="1:123" s="70" customFormat="1">
      <c r="A424" s="78"/>
      <c r="B424" s="70" t="s">
        <v>433</v>
      </c>
      <c r="C424" s="102"/>
      <c r="D424" s="102"/>
      <c r="E424" s="102"/>
      <c r="F424" s="102"/>
      <c r="G424" s="102"/>
      <c r="H424" s="102"/>
      <c r="I424" s="102"/>
      <c r="J424" s="102"/>
      <c r="K424" s="102"/>
      <c r="L424" s="102"/>
      <c r="M424" s="75"/>
      <c r="N424" s="75"/>
      <c r="O424" s="75"/>
      <c r="P424" s="75"/>
      <c r="Q424" s="75"/>
      <c r="R424" s="75"/>
      <c r="S424" s="75"/>
      <c r="T424" s="75"/>
      <c r="U424" s="75"/>
      <c r="V424" s="75"/>
      <c r="W424" s="75"/>
      <c r="X424" s="75"/>
      <c r="Y424" s="182"/>
      <c r="Z424" s="182"/>
      <c r="AA424" s="182"/>
      <c r="AB424" s="182"/>
      <c r="AC424" s="182"/>
      <c r="AD424" s="181">
        <v>6.5229999999999997</v>
      </c>
      <c r="AE424" s="273"/>
      <c r="AF424" s="168">
        <f t="shared" si="550"/>
        <v>3.395</v>
      </c>
      <c r="AG424" s="181">
        <v>5.2919999999999998</v>
      </c>
      <c r="AH424" s="168">
        <f t="shared" si="545"/>
        <v>8.6059999999999999</v>
      </c>
      <c r="AI424" s="181">
        <v>18.181000000000001</v>
      </c>
      <c r="AJ424" s="168">
        <f t="shared" si="546"/>
        <v>17.576000000000001</v>
      </c>
      <c r="AK424" s="423">
        <v>0</v>
      </c>
      <c r="AL424" s="423">
        <f t="shared" si="551"/>
        <v>193.06</v>
      </c>
      <c r="AM424" s="423">
        <v>162.125</v>
      </c>
      <c r="AN424" s="423">
        <f t="shared" si="552"/>
        <v>167.48699999999999</v>
      </c>
      <c r="AO424" s="423">
        <v>216.679</v>
      </c>
      <c r="AP424" s="485">
        <f>BU424</f>
        <v>238.44300000000001</v>
      </c>
      <c r="AQ424" s="232">
        <f t="shared" si="557"/>
        <v>238.44300000000001</v>
      </c>
      <c r="AR424" s="232">
        <f t="shared" si="557"/>
        <v>238.44300000000001</v>
      </c>
      <c r="AS424" s="232">
        <f t="shared" si="557"/>
        <v>238.44300000000001</v>
      </c>
      <c r="AT424" s="232">
        <f t="shared" si="557"/>
        <v>238.44300000000001</v>
      </c>
      <c r="AU424" s="232">
        <f t="shared" si="557"/>
        <v>238.44300000000001</v>
      </c>
      <c r="AV424" s="232">
        <f t="shared" si="557"/>
        <v>238.44300000000001</v>
      </c>
      <c r="AW424" s="232">
        <f t="shared" si="557"/>
        <v>238.44300000000001</v>
      </c>
      <c r="AX424" s="232">
        <f t="shared" si="557"/>
        <v>238.44300000000001</v>
      </c>
      <c r="AY424" s="232">
        <f t="shared" si="557"/>
        <v>238.44300000000001</v>
      </c>
      <c r="AZ424" s="232">
        <f t="shared" si="557"/>
        <v>238.44300000000001</v>
      </c>
      <c r="BA424" s="828"/>
      <c r="BI424" s="75"/>
      <c r="BJ424" s="75"/>
      <c r="BK424" s="75"/>
      <c r="BL424" s="75"/>
      <c r="BM424" s="182"/>
      <c r="BN424" s="182"/>
      <c r="BP424" s="181">
        <v>3.395</v>
      </c>
      <c r="BQ424" s="181">
        <v>8.6059999999999999</v>
      </c>
      <c r="BR424" s="181">
        <v>17.576000000000001</v>
      </c>
      <c r="BS424" s="181">
        <v>193.06</v>
      </c>
      <c r="BT424" s="181">
        <v>167.48699999999999</v>
      </c>
      <c r="BU424" s="307">
        <v>238.44300000000001</v>
      </c>
      <c r="BV424" s="39">
        <f>AR424</f>
        <v>238.44300000000001</v>
      </c>
      <c r="BW424" s="39">
        <f>AT424</f>
        <v>238.44300000000001</v>
      </c>
      <c r="BX424" s="39">
        <f>AV424</f>
        <v>238.44300000000001</v>
      </c>
      <c r="BY424" s="39">
        <f>AX424</f>
        <v>238.44300000000001</v>
      </c>
      <c r="BZ424" s="39">
        <f>AZ424</f>
        <v>238.44300000000001</v>
      </c>
      <c r="CB424" s="70" t="s">
        <v>627</v>
      </c>
      <c r="DS424" s="39">
        <f>CV424</f>
        <v>0</v>
      </c>
    </row>
    <row r="425" spans="1:123" s="70" customFormat="1">
      <c r="A425" s="78"/>
      <c r="B425" s="75" t="s">
        <v>434</v>
      </c>
      <c r="C425" s="102"/>
      <c r="D425" s="102"/>
      <c r="E425" s="102"/>
      <c r="F425" s="102"/>
      <c r="G425" s="102"/>
      <c r="H425" s="102"/>
      <c r="I425" s="102"/>
      <c r="J425" s="102"/>
      <c r="K425" s="102"/>
      <c r="L425" s="102"/>
      <c r="M425" s="75"/>
      <c r="N425" s="75"/>
      <c r="O425" s="75"/>
      <c r="P425" s="75"/>
      <c r="Q425" s="75"/>
      <c r="R425" s="75"/>
      <c r="S425" s="75"/>
      <c r="T425" s="75"/>
      <c r="U425" s="75"/>
      <c r="V425" s="75"/>
      <c r="W425" s="75"/>
      <c r="X425" s="75"/>
      <c r="Y425" s="182"/>
      <c r="Z425" s="182"/>
      <c r="AA425" s="182"/>
      <c r="AB425" s="182"/>
      <c r="AC425" s="182"/>
      <c r="AD425" s="182">
        <f>SUM(AD422:AD424)</f>
        <v>134.029</v>
      </c>
      <c r="AE425" s="182">
        <f>475.1*15.9%/(1-15.9%)</f>
        <v>89.822711058263991</v>
      </c>
      <c r="AF425" s="200">
        <f t="shared" si="550"/>
        <v>255.22000000000003</v>
      </c>
      <c r="AG425" s="182">
        <f>SUM(AG422:AG424)</f>
        <v>286.62599999999998</v>
      </c>
      <c r="AH425" s="200">
        <f t="shared" si="545"/>
        <v>238.43199999999999</v>
      </c>
      <c r="AI425" s="182">
        <f>SUM(AI422:AI424)</f>
        <v>275.08499999999998</v>
      </c>
      <c r="AJ425" s="200">
        <f t="shared" si="546"/>
        <v>87.049000000000007</v>
      </c>
      <c r="AK425" s="182">
        <f>SUM(AK422:AK424)</f>
        <v>728.13700000000006</v>
      </c>
      <c r="AL425" s="182">
        <f t="shared" si="551"/>
        <v>802.81200000000013</v>
      </c>
      <c r="AM425" s="182">
        <f>SUM(AM422:AM424)</f>
        <v>871.86500000000012</v>
      </c>
      <c r="AN425" s="182">
        <f t="shared" si="552"/>
        <v>855.16899999999998</v>
      </c>
      <c r="AO425" s="182">
        <f>SUM(AO422:AO424)</f>
        <v>1033.6989999999998</v>
      </c>
      <c r="AP425" s="457">
        <f>BU425</f>
        <v>1148.277</v>
      </c>
      <c r="AQ425" s="182">
        <f t="shared" ref="AQ425:AZ425" si="558">SUM(AQ422:AQ424)</f>
        <v>1148.277</v>
      </c>
      <c r="AR425" s="182">
        <f t="shared" si="558"/>
        <v>1148.277</v>
      </c>
      <c r="AS425" s="182">
        <f t="shared" si="558"/>
        <v>1148.277</v>
      </c>
      <c r="AT425" s="182">
        <f t="shared" si="558"/>
        <v>1148.277</v>
      </c>
      <c r="AU425" s="182">
        <f t="shared" si="558"/>
        <v>1148.277</v>
      </c>
      <c r="AV425" s="182">
        <f t="shared" si="558"/>
        <v>1148.277</v>
      </c>
      <c r="AW425" s="182">
        <f t="shared" si="558"/>
        <v>1148.277</v>
      </c>
      <c r="AX425" s="182">
        <f t="shared" si="558"/>
        <v>1148.277</v>
      </c>
      <c r="AY425" s="182">
        <f t="shared" si="558"/>
        <v>1148.277</v>
      </c>
      <c r="AZ425" s="182">
        <f t="shared" si="558"/>
        <v>1148.277</v>
      </c>
      <c r="BA425" s="828"/>
      <c r="BI425" s="75"/>
      <c r="BJ425" s="75"/>
      <c r="BK425" s="75"/>
      <c r="BL425" s="75"/>
      <c r="BM425" s="182"/>
      <c r="BN425" s="182"/>
      <c r="BP425" s="182">
        <f t="shared" ref="BP425:BU425" si="559">SUM(BP422:BP424)</f>
        <v>255.22000000000003</v>
      </c>
      <c r="BQ425" s="182">
        <f t="shared" si="559"/>
        <v>238.43199999999999</v>
      </c>
      <c r="BR425" s="182">
        <f t="shared" si="559"/>
        <v>87.049000000000007</v>
      </c>
      <c r="BS425" s="182">
        <f t="shared" si="559"/>
        <v>802.81200000000013</v>
      </c>
      <c r="BT425" s="182">
        <f t="shared" si="559"/>
        <v>855.16899999999998</v>
      </c>
      <c r="BU425" s="466">
        <f t="shared" si="559"/>
        <v>1148.277</v>
      </c>
      <c r="BV425" s="89">
        <f>AR425</f>
        <v>1148.277</v>
      </c>
      <c r="BW425" s="89">
        <f>AT425</f>
        <v>1148.277</v>
      </c>
      <c r="BX425" s="89">
        <f>AV425</f>
        <v>1148.277</v>
      </c>
      <c r="BY425" s="89">
        <f>AX425</f>
        <v>1148.277</v>
      </c>
      <c r="BZ425" s="89">
        <f>AZ425</f>
        <v>1148.277</v>
      </c>
      <c r="CB425" s="70" t="s">
        <v>609</v>
      </c>
      <c r="DS425" s="89">
        <f>CV425</f>
        <v>0</v>
      </c>
    </row>
    <row r="426" spans="1:123" s="70" customFormat="1">
      <c r="A426" s="78"/>
      <c r="C426" s="102"/>
      <c r="D426" s="102"/>
      <c r="E426" s="102"/>
      <c r="F426" s="102"/>
      <c r="G426" s="102"/>
      <c r="H426" s="102"/>
      <c r="I426" s="102"/>
      <c r="J426" s="102"/>
      <c r="K426" s="102"/>
      <c r="L426" s="102"/>
      <c r="M426" s="75"/>
      <c r="N426" s="75"/>
      <c r="O426" s="75"/>
      <c r="P426" s="75"/>
      <c r="Q426" s="75"/>
      <c r="R426" s="75"/>
      <c r="S426" s="75"/>
      <c r="T426" s="75"/>
      <c r="U426" s="75"/>
      <c r="V426" s="75"/>
      <c r="W426" s="75"/>
      <c r="X426" s="75"/>
      <c r="Y426" s="182"/>
      <c r="Z426" s="182"/>
      <c r="AA426" s="182"/>
      <c r="AB426" s="182"/>
      <c r="AC426" s="182"/>
      <c r="AD426" s="182"/>
      <c r="AE426" s="182"/>
      <c r="AF426" s="182"/>
      <c r="AG426" s="182"/>
      <c r="AH426" s="182"/>
      <c r="AI426" s="182"/>
      <c r="AJ426" s="182"/>
      <c r="AK426" s="182"/>
      <c r="AL426" s="182"/>
      <c r="AM426" s="182"/>
      <c r="AN426" s="182"/>
      <c r="AO426" s="182"/>
      <c r="AP426" s="466"/>
      <c r="AQ426" s="182"/>
      <c r="AR426" s="182"/>
      <c r="AS426" s="182"/>
      <c r="AT426" s="182"/>
      <c r="AU426" s="182"/>
      <c r="AV426" s="182"/>
      <c r="AW426" s="182"/>
      <c r="AX426" s="182"/>
      <c r="AY426" s="182"/>
      <c r="AZ426" s="182"/>
      <c r="BA426" s="828"/>
      <c r="BI426" s="75"/>
      <c r="BJ426" s="75"/>
      <c r="BK426" s="75"/>
      <c r="BL426" s="75"/>
      <c r="BM426" s="182"/>
      <c r="BN426" s="182"/>
      <c r="BO426" s="182"/>
      <c r="BP426" s="182"/>
      <c r="BQ426" s="260"/>
      <c r="BR426" s="260"/>
      <c r="BS426" s="260"/>
      <c r="BT426" s="260"/>
      <c r="BU426" s="540"/>
      <c r="BV426" s="182"/>
      <c r="BW426" s="182"/>
      <c r="BX426" s="182"/>
      <c r="BY426" s="182"/>
      <c r="BZ426" s="182"/>
      <c r="DS426" s="182"/>
    </row>
    <row r="427" spans="1:123" s="70" customFormat="1" ht="42" hidden="1" customHeight="1" outlineLevel="1">
      <c r="A427" s="67"/>
      <c r="B427" s="95" t="s">
        <v>521</v>
      </c>
      <c r="C427" s="96"/>
      <c r="D427" s="96"/>
      <c r="E427" s="96"/>
      <c r="F427" s="96"/>
      <c r="G427" s="97"/>
      <c r="H427" s="560"/>
      <c r="I427" s="560"/>
      <c r="J427" s="560"/>
      <c r="K427" s="560"/>
      <c r="L427" s="560"/>
      <c r="M427" s="560"/>
      <c r="N427" s="560"/>
      <c r="O427" s="560"/>
      <c r="P427" s="561"/>
      <c r="Q427" s="561"/>
      <c r="R427" s="561"/>
      <c r="S427" s="561"/>
      <c r="T427" s="561"/>
      <c r="U427" s="562"/>
      <c r="V427" s="562"/>
      <c r="W427" s="562"/>
      <c r="X427" s="562"/>
      <c r="Y427" s="562"/>
      <c r="Z427" s="562"/>
      <c r="AA427" s="562"/>
      <c r="AB427" s="562"/>
      <c r="AC427" s="562"/>
      <c r="AD427" s="562"/>
      <c r="AE427" s="562"/>
      <c r="AF427" s="562"/>
      <c r="AG427" s="562"/>
      <c r="AH427" s="562"/>
      <c r="AI427" s="562"/>
      <c r="AJ427" s="562"/>
      <c r="AK427" s="562"/>
      <c r="AL427" s="562"/>
      <c r="AM427" s="562"/>
      <c r="AN427" s="562"/>
      <c r="AO427" s="562"/>
      <c r="AP427" s="563"/>
      <c r="AQ427" s="562"/>
      <c r="AR427" s="562"/>
      <c r="AS427" s="562"/>
      <c r="AT427" s="562"/>
      <c r="AU427" s="562"/>
      <c r="AV427" s="562"/>
      <c r="AW427" s="562"/>
      <c r="AX427" s="562"/>
      <c r="AY427" s="562"/>
      <c r="AZ427" s="562"/>
      <c r="BA427" s="564"/>
      <c r="BB427" s="565"/>
      <c r="BC427" s="565"/>
      <c r="BD427" s="565"/>
      <c r="BE427" s="565"/>
      <c r="BF427" s="565"/>
      <c r="BG427" s="565"/>
      <c r="BH427" s="565"/>
      <c r="BI427" s="562"/>
      <c r="BJ427" s="98"/>
      <c r="BK427" s="98"/>
      <c r="BL427" s="98"/>
      <c r="BM427" s="98"/>
      <c r="BN427" s="98"/>
      <c r="BO427" s="98"/>
      <c r="BP427" s="98"/>
      <c r="BQ427" s="98"/>
      <c r="BR427" s="98"/>
      <c r="BS427" s="98"/>
      <c r="BT427" s="97"/>
      <c r="BU427" s="510"/>
      <c r="BV427" s="97"/>
      <c r="BW427" s="97"/>
      <c r="BX427" s="97"/>
      <c r="BY427" s="97"/>
      <c r="BZ427" s="97"/>
      <c r="CB427" s="426" t="s">
        <v>628</v>
      </c>
      <c r="DS427" s="97"/>
    </row>
    <row r="428" spans="1:123" s="75" customFormat="1" hidden="1" outlineLevel="1">
      <c r="A428" s="67"/>
      <c r="B428" s="79" t="s">
        <v>407</v>
      </c>
      <c r="C428" s="74"/>
      <c r="D428" s="74"/>
      <c r="E428" s="74"/>
      <c r="F428" s="74"/>
      <c r="H428" s="814"/>
      <c r="I428" s="814"/>
      <c r="J428" s="814"/>
      <c r="K428" s="814"/>
      <c r="L428" s="814"/>
      <c r="M428" s="814"/>
      <c r="N428" s="814"/>
      <c r="O428" s="814"/>
      <c r="P428" s="833"/>
      <c r="Q428" s="833"/>
      <c r="R428" s="833"/>
      <c r="S428" s="833"/>
      <c r="T428" s="833"/>
      <c r="U428" s="834"/>
      <c r="V428" s="834"/>
      <c r="W428" s="834"/>
      <c r="X428" s="834"/>
      <c r="Y428" s="834"/>
      <c r="Z428" s="834"/>
      <c r="AA428" s="834"/>
      <c r="AB428" s="834"/>
      <c r="AC428" s="834"/>
      <c r="AD428" s="834"/>
      <c r="AE428" s="834"/>
      <c r="AF428" s="835"/>
      <c r="AG428" s="835">
        <f t="shared" ref="AG428:AZ428" si="560">AF434</f>
        <v>29.667000000000002</v>
      </c>
      <c r="AH428" s="835">
        <f t="shared" si="560"/>
        <v>28.227000000000004</v>
      </c>
      <c r="AI428" s="835">
        <f t="shared" si="560"/>
        <v>25.866</v>
      </c>
      <c r="AJ428" s="835">
        <f t="shared" si="560"/>
        <v>26.368000000000002</v>
      </c>
      <c r="AK428" s="835">
        <f t="shared" si="560"/>
        <v>26.939</v>
      </c>
      <c r="AL428" s="835">
        <f t="shared" si="560"/>
        <v>66.825999999999993</v>
      </c>
      <c r="AM428" s="835">
        <f t="shared" si="560"/>
        <v>76.876999999999995</v>
      </c>
      <c r="AN428" s="835">
        <f t="shared" si="560"/>
        <v>73.995000000000005</v>
      </c>
      <c r="AO428" s="835">
        <f t="shared" si="560"/>
        <v>78.691000000000003</v>
      </c>
      <c r="AP428" s="836">
        <f t="shared" si="560"/>
        <v>82.834999999999994</v>
      </c>
      <c r="AQ428" s="835">
        <f t="shared" si="560"/>
        <v>85.290999999999997</v>
      </c>
      <c r="AR428" s="835">
        <f t="shared" si="560"/>
        <v>85.290999999999997</v>
      </c>
      <c r="AS428" s="835">
        <f t="shared" si="560"/>
        <v>85.290999999999997</v>
      </c>
      <c r="AT428" s="835">
        <f t="shared" si="560"/>
        <v>85.290999999999997</v>
      </c>
      <c r="AU428" s="835">
        <f t="shared" si="560"/>
        <v>85.290999999999997</v>
      </c>
      <c r="AV428" s="835">
        <f t="shared" si="560"/>
        <v>85.290999999999997</v>
      </c>
      <c r="AW428" s="835">
        <f t="shared" si="560"/>
        <v>85.290999999999997</v>
      </c>
      <c r="AX428" s="835">
        <f t="shared" si="560"/>
        <v>85.290999999999997</v>
      </c>
      <c r="AY428" s="835">
        <f t="shared" si="560"/>
        <v>85.290999999999997</v>
      </c>
      <c r="AZ428" s="835">
        <f t="shared" si="560"/>
        <v>85.290999999999997</v>
      </c>
      <c r="BA428" s="574"/>
      <c r="BB428" s="574"/>
      <c r="BC428" s="574"/>
      <c r="BD428" s="574"/>
      <c r="BE428" s="574"/>
      <c r="BF428" s="574"/>
      <c r="BG428" s="574"/>
      <c r="BH428" s="574"/>
      <c r="BI428" s="835"/>
      <c r="BJ428" s="332"/>
      <c r="BK428" s="332"/>
      <c r="BL428" s="332"/>
      <c r="BM428" s="332"/>
      <c r="BN428" s="332"/>
      <c r="BO428" s="332"/>
      <c r="BP428" s="229">
        <v>37.186999999999998</v>
      </c>
      <c r="BQ428" s="119">
        <f t="shared" ref="BQ428:BZ428" si="561">BP434</f>
        <v>29.667000000000002</v>
      </c>
      <c r="BR428" s="119">
        <f t="shared" si="561"/>
        <v>25.866</v>
      </c>
      <c r="BS428" s="119">
        <f t="shared" si="561"/>
        <v>26.939</v>
      </c>
      <c r="BT428" s="119">
        <f t="shared" si="561"/>
        <v>76.876999999999995</v>
      </c>
      <c r="BU428" s="513">
        <f t="shared" si="561"/>
        <v>78.691000000000003</v>
      </c>
      <c r="BV428" s="119">
        <f t="shared" si="561"/>
        <v>85.290999999999997</v>
      </c>
      <c r="BW428" s="119">
        <f t="shared" si="561"/>
        <v>255.87299999999999</v>
      </c>
      <c r="BX428" s="119">
        <f t="shared" si="561"/>
        <v>426.45499999999998</v>
      </c>
      <c r="BY428" s="119">
        <f t="shared" si="561"/>
        <v>597.03700000000003</v>
      </c>
      <c r="BZ428" s="119">
        <f t="shared" si="561"/>
        <v>767.61900000000003</v>
      </c>
      <c r="CB428" s="75" t="s">
        <v>609</v>
      </c>
      <c r="DS428" s="119">
        <f>DT434</f>
        <v>0</v>
      </c>
    </row>
    <row r="429" spans="1:123" s="70" customFormat="1" hidden="1" outlineLevel="1">
      <c r="A429" s="67"/>
      <c r="B429" s="68" t="s">
        <v>366</v>
      </c>
      <c r="C429" s="69"/>
      <c r="D429" s="69"/>
      <c r="E429" s="69"/>
      <c r="F429" s="69"/>
      <c r="H429" s="630"/>
      <c r="I429" s="630"/>
      <c r="J429" s="630"/>
      <c r="K429" s="630"/>
      <c r="L429" s="630"/>
      <c r="M429" s="630"/>
      <c r="N429" s="630"/>
      <c r="O429" s="630"/>
      <c r="P429" s="829"/>
      <c r="Q429" s="829"/>
      <c r="R429" s="829"/>
      <c r="S429" s="829"/>
      <c r="T429" s="829"/>
      <c r="U429" s="830"/>
      <c r="V429" s="830"/>
      <c r="W429" s="830"/>
      <c r="X429" s="830"/>
      <c r="Y429" s="830"/>
      <c r="Z429" s="830"/>
      <c r="AA429" s="830"/>
      <c r="AB429" s="830"/>
      <c r="AC429" s="830"/>
      <c r="AD429" s="830"/>
      <c r="AE429" s="830"/>
      <c r="AF429" s="837"/>
      <c r="AG429" s="837"/>
      <c r="AH429" s="837">
        <f>BQ429-AG429</f>
        <v>10.907999999999999</v>
      </c>
      <c r="AI429" s="838">
        <f>AI434-AI433-AI428</f>
        <v>4.3819000000000017</v>
      </c>
      <c r="AJ429" s="837">
        <f>BR429-AI429</f>
        <v>-4.3819000000000017</v>
      </c>
      <c r="AK429" s="838">
        <f>AK434-AK433-AK428</f>
        <v>43.927849999999999</v>
      </c>
      <c r="AL429" s="838">
        <f>BS429-AK429</f>
        <v>-43.927849999999999</v>
      </c>
      <c r="AM429" s="838">
        <f>AM434-AM433-AM428</f>
        <v>8.649550000000005</v>
      </c>
      <c r="AN429" s="838">
        <f>BT429-AM429</f>
        <v>-8.649550000000005</v>
      </c>
      <c r="AO429" s="838">
        <f>AO434-AO433-AO428</f>
        <v>15.947649999999996</v>
      </c>
      <c r="AP429" s="839">
        <f>BU429-AO429</f>
        <v>-15.947649999999996</v>
      </c>
      <c r="AQ429" s="838">
        <f t="shared" ref="AQ429:AZ429" si="562">-AQ433</f>
        <v>0</v>
      </c>
      <c r="AR429" s="838">
        <f t="shared" si="562"/>
        <v>0</v>
      </c>
      <c r="AS429" s="838">
        <f t="shared" si="562"/>
        <v>0</v>
      </c>
      <c r="AT429" s="838">
        <f t="shared" si="562"/>
        <v>0</v>
      </c>
      <c r="AU429" s="838">
        <f t="shared" si="562"/>
        <v>0</v>
      </c>
      <c r="AV429" s="838">
        <f t="shared" si="562"/>
        <v>0</v>
      </c>
      <c r="AW429" s="838">
        <f t="shared" si="562"/>
        <v>0</v>
      </c>
      <c r="AX429" s="838">
        <f t="shared" si="562"/>
        <v>0</v>
      </c>
      <c r="AY429" s="838">
        <f t="shared" si="562"/>
        <v>0</v>
      </c>
      <c r="AZ429" s="838">
        <f t="shared" si="562"/>
        <v>0</v>
      </c>
      <c r="BA429" s="567"/>
      <c r="BB429" s="567"/>
      <c r="BC429" s="567"/>
      <c r="BD429" s="567"/>
      <c r="BE429" s="567"/>
      <c r="BF429" s="567"/>
      <c r="BG429" s="567"/>
      <c r="BH429" s="567"/>
      <c r="BI429" s="837"/>
      <c r="BJ429" s="328"/>
      <c r="BK429" s="328"/>
      <c r="BL429" s="328"/>
      <c r="BM429" s="328"/>
      <c r="BN429" s="328"/>
      <c r="BO429" s="328"/>
      <c r="BP429" s="107">
        <v>2.302</v>
      </c>
      <c r="BQ429" s="107">
        <v>10.907999999999999</v>
      </c>
      <c r="BR429" s="329"/>
      <c r="BS429" s="329"/>
      <c r="BT429" s="329"/>
      <c r="BU429" s="541"/>
      <c r="BV429" s="51">
        <f>SUM(AQ429:AR429)</f>
        <v>0</v>
      </c>
      <c r="BW429" s="51">
        <f>SUM(AS429:AT429)</f>
        <v>0</v>
      </c>
      <c r="BX429" s="51">
        <f>SUM(AU429:AV429)</f>
        <v>0</v>
      </c>
      <c r="BY429" s="51">
        <f>SUM(AW429:AX429)</f>
        <v>0</v>
      </c>
      <c r="BZ429" s="51">
        <f>SUM(AY429:AZ429)</f>
        <v>0</v>
      </c>
      <c r="CB429" s="70" t="s">
        <v>620</v>
      </c>
      <c r="DS429" s="51">
        <f>SUM(CU429:CV429)</f>
        <v>0</v>
      </c>
    </row>
    <row r="430" spans="1:123" s="70" customFormat="1" hidden="1" outlineLevel="1">
      <c r="A430" s="67"/>
      <c r="B430" s="68" t="s">
        <v>374</v>
      </c>
      <c r="C430" s="69"/>
      <c r="D430" s="69"/>
      <c r="E430" s="69"/>
      <c r="F430" s="69"/>
      <c r="H430" s="630"/>
      <c r="I430" s="630"/>
      <c r="J430" s="630"/>
      <c r="K430" s="630"/>
      <c r="L430" s="630"/>
      <c r="M430" s="630"/>
      <c r="N430" s="630"/>
      <c r="O430" s="630"/>
      <c r="P430" s="829"/>
      <c r="Q430" s="829"/>
      <c r="R430" s="829"/>
      <c r="S430" s="829"/>
      <c r="T430" s="829"/>
      <c r="U430" s="830"/>
      <c r="V430" s="830"/>
      <c r="W430" s="830"/>
      <c r="X430" s="830"/>
      <c r="Y430" s="830"/>
      <c r="Z430" s="830"/>
      <c r="AA430" s="830"/>
      <c r="AB430" s="830"/>
      <c r="AC430" s="830"/>
      <c r="AD430" s="830"/>
      <c r="AE430" s="830"/>
      <c r="AF430" s="837"/>
      <c r="AG430" s="837"/>
      <c r="AH430" s="837">
        <f>BQ430-AG430</f>
        <v>0</v>
      </c>
      <c r="AI430" s="840">
        <v>0</v>
      </c>
      <c r="AJ430" s="837">
        <f>BR430-AI430</f>
        <v>0</v>
      </c>
      <c r="AK430" s="840">
        <v>0</v>
      </c>
      <c r="AL430" s="840">
        <f>BS430-AK430</f>
        <v>0</v>
      </c>
      <c r="AM430" s="840">
        <v>0</v>
      </c>
      <c r="AN430" s="840">
        <f t="shared" ref="AN430:AN431" si="563">BT430-AM430</f>
        <v>0</v>
      </c>
      <c r="AO430" s="840">
        <v>0</v>
      </c>
      <c r="AP430" s="841">
        <f>BU430-AO430</f>
        <v>0</v>
      </c>
      <c r="AQ430" s="840">
        <v>0</v>
      </c>
      <c r="AR430" s="840">
        <v>0</v>
      </c>
      <c r="AS430" s="840">
        <v>0</v>
      </c>
      <c r="AT430" s="840">
        <v>0</v>
      </c>
      <c r="AU430" s="840">
        <v>0</v>
      </c>
      <c r="AV430" s="840">
        <v>0</v>
      </c>
      <c r="AW430" s="840">
        <v>0</v>
      </c>
      <c r="AX430" s="840">
        <v>0</v>
      </c>
      <c r="AY430" s="840">
        <v>0</v>
      </c>
      <c r="AZ430" s="840">
        <v>0</v>
      </c>
      <c r="BA430" s="567"/>
      <c r="BB430" s="567"/>
      <c r="BC430" s="567"/>
      <c r="BD430" s="567"/>
      <c r="BE430" s="567"/>
      <c r="BF430" s="567"/>
      <c r="BG430" s="567"/>
      <c r="BH430" s="567"/>
      <c r="BI430" s="837"/>
      <c r="BJ430" s="328"/>
      <c r="BK430" s="328"/>
      <c r="BL430" s="328"/>
      <c r="BM430" s="328"/>
      <c r="BN430" s="328"/>
      <c r="BO430" s="328"/>
      <c r="BP430" s="107">
        <v>0</v>
      </c>
      <c r="BQ430" s="107">
        <v>0</v>
      </c>
      <c r="BR430" s="329"/>
      <c r="BS430" s="329"/>
      <c r="BT430" s="329"/>
      <c r="BU430" s="541"/>
      <c r="BV430" s="51">
        <f>SUM(AQ430:AR430)</f>
        <v>0</v>
      </c>
      <c r="BW430" s="51">
        <f>SUM(AS430:AT430)</f>
        <v>0</v>
      </c>
      <c r="BX430" s="51">
        <f>SUM(AU430:AV430)</f>
        <v>0</v>
      </c>
      <c r="BY430" s="51">
        <f>SUM(AW430:AX430)</f>
        <v>0</v>
      </c>
      <c r="BZ430" s="51">
        <f>SUM(AY430:AZ430)</f>
        <v>0</v>
      </c>
      <c r="CB430" s="70" t="s">
        <v>620</v>
      </c>
      <c r="DS430" s="51">
        <f>SUM(CU430:CV430)</f>
        <v>0</v>
      </c>
    </row>
    <row r="431" spans="1:123" s="70" customFormat="1" hidden="1" outlineLevel="1">
      <c r="A431" s="67"/>
      <c r="B431" s="68" t="s">
        <v>408</v>
      </c>
      <c r="C431" s="69"/>
      <c r="D431" s="69"/>
      <c r="E431" s="69"/>
      <c r="F431" s="69"/>
      <c r="H431" s="630"/>
      <c r="I431" s="630"/>
      <c r="J431" s="630"/>
      <c r="K431" s="630"/>
      <c r="L431" s="630"/>
      <c r="M431" s="630"/>
      <c r="N431" s="630"/>
      <c r="O431" s="630"/>
      <c r="P431" s="829"/>
      <c r="Q431" s="829"/>
      <c r="R431" s="829"/>
      <c r="S431" s="829"/>
      <c r="T431" s="829"/>
      <c r="U431" s="830"/>
      <c r="V431" s="830"/>
      <c r="W431" s="830"/>
      <c r="X431" s="830"/>
      <c r="Y431" s="830"/>
      <c r="Z431" s="830"/>
      <c r="AA431" s="830"/>
      <c r="AB431" s="830"/>
      <c r="AC431" s="830"/>
      <c r="AD431" s="830"/>
      <c r="AE431" s="830"/>
      <c r="AF431" s="837"/>
      <c r="AG431" s="837"/>
      <c r="AH431" s="837">
        <f>BQ431-AG431</f>
        <v>-5.35</v>
      </c>
      <c r="AI431" s="840">
        <v>0</v>
      </c>
      <c r="AJ431" s="837">
        <f>BR431-AI431</f>
        <v>0</v>
      </c>
      <c r="AK431" s="840">
        <v>0</v>
      </c>
      <c r="AL431" s="840">
        <f>BS431-AK431</f>
        <v>0</v>
      </c>
      <c r="AM431" s="840">
        <v>0</v>
      </c>
      <c r="AN431" s="840">
        <f t="shared" si="563"/>
        <v>0</v>
      </c>
      <c r="AO431" s="840">
        <v>0</v>
      </c>
      <c r="AP431" s="841">
        <f>BU431-AO431</f>
        <v>0</v>
      </c>
      <c r="AQ431" s="840">
        <v>0</v>
      </c>
      <c r="AR431" s="840">
        <v>0</v>
      </c>
      <c r="AS431" s="840">
        <v>0</v>
      </c>
      <c r="AT431" s="840">
        <v>0</v>
      </c>
      <c r="AU431" s="840">
        <v>0</v>
      </c>
      <c r="AV431" s="840">
        <v>0</v>
      </c>
      <c r="AW431" s="840">
        <v>0</v>
      </c>
      <c r="AX431" s="840">
        <v>0</v>
      </c>
      <c r="AY431" s="840">
        <v>0</v>
      </c>
      <c r="AZ431" s="840">
        <v>0</v>
      </c>
      <c r="BA431" s="567"/>
      <c r="BB431" s="567"/>
      <c r="BC431" s="567"/>
      <c r="BD431" s="567"/>
      <c r="BE431" s="567"/>
      <c r="BF431" s="567"/>
      <c r="BG431" s="567"/>
      <c r="BH431" s="567"/>
      <c r="BI431" s="837"/>
      <c r="BJ431" s="328"/>
      <c r="BK431" s="328"/>
      <c r="BL431" s="328"/>
      <c r="BM431" s="328"/>
      <c r="BN431" s="328"/>
      <c r="BO431" s="328"/>
      <c r="BP431" s="107">
        <v>0.64500000000000002</v>
      </c>
      <c r="BQ431" s="107">
        <v>-5.35</v>
      </c>
      <c r="BR431" s="329"/>
      <c r="BS431" s="329"/>
      <c r="BT431" s="329"/>
      <c r="BU431" s="541"/>
      <c r="BV431" s="51">
        <f>SUM(AQ431:AR431)</f>
        <v>0</v>
      </c>
      <c r="BW431" s="51">
        <f>SUM(AS431:AT431)</f>
        <v>0</v>
      </c>
      <c r="BX431" s="51">
        <f>SUM(AU431:AV431)</f>
        <v>0</v>
      </c>
      <c r="BY431" s="51">
        <f>SUM(AW431:AX431)</f>
        <v>0</v>
      </c>
      <c r="BZ431" s="51">
        <f>SUM(AY431:AZ431)</f>
        <v>0</v>
      </c>
      <c r="CB431" s="70" t="s">
        <v>620</v>
      </c>
      <c r="DS431" s="51">
        <f>SUM(CU431:CV431)</f>
        <v>0</v>
      </c>
    </row>
    <row r="432" spans="1:123" s="70" customFormat="1" hidden="1" outlineLevel="1">
      <c r="A432" s="67"/>
      <c r="B432" s="79" t="s">
        <v>409</v>
      </c>
      <c r="C432" s="69"/>
      <c r="D432" s="69"/>
      <c r="E432" s="69"/>
      <c r="F432" s="69"/>
      <c r="H432" s="630"/>
      <c r="I432" s="630"/>
      <c r="J432" s="630"/>
      <c r="K432" s="630"/>
      <c r="L432" s="630"/>
      <c r="M432" s="630"/>
      <c r="N432" s="630"/>
      <c r="O432" s="630"/>
      <c r="P432" s="829"/>
      <c r="Q432" s="829"/>
      <c r="R432" s="829"/>
      <c r="S432" s="829"/>
      <c r="T432" s="829"/>
      <c r="U432" s="830"/>
      <c r="V432" s="830"/>
      <c r="W432" s="830"/>
      <c r="X432" s="830"/>
      <c r="Y432" s="830"/>
      <c r="Z432" s="830"/>
      <c r="AA432" s="830"/>
      <c r="AB432" s="830"/>
      <c r="AC432" s="830"/>
      <c r="AD432" s="830"/>
      <c r="AE432" s="830"/>
      <c r="AF432" s="837"/>
      <c r="AG432" s="837"/>
      <c r="AH432" s="835">
        <f>SUM(AH428:AH431)</f>
        <v>33.785000000000004</v>
      </c>
      <c r="AI432" s="835">
        <f t="shared" ref="AI432:AZ432" si="564">SUM(AI428:AI431)</f>
        <v>30.247900000000001</v>
      </c>
      <c r="AJ432" s="835">
        <f>SUM(AJ428:AJ431)</f>
        <v>21.9861</v>
      </c>
      <c r="AK432" s="835">
        <f t="shared" ref="AK432:AM432" si="565">SUM(AK428:AK431)</f>
        <v>70.866849999999999</v>
      </c>
      <c r="AL432" s="835">
        <f>SUM(AL428:AL431)</f>
        <v>22.898149999999994</v>
      </c>
      <c r="AM432" s="835">
        <f t="shared" si="565"/>
        <v>85.52655</v>
      </c>
      <c r="AN432" s="835">
        <f>SUM(AN428:AN431)</f>
        <v>65.34545</v>
      </c>
      <c r="AO432" s="835">
        <f t="shared" ref="AO432" si="566">SUM(AO428:AO431)</f>
        <v>94.638649999999998</v>
      </c>
      <c r="AP432" s="836">
        <f>SUM(AP428:AP431)</f>
        <v>66.887349999999998</v>
      </c>
      <c r="AQ432" s="835">
        <f t="shared" si="564"/>
        <v>85.290999999999997</v>
      </c>
      <c r="AR432" s="835">
        <f t="shared" si="564"/>
        <v>85.290999999999997</v>
      </c>
      <c r="AS432" s="835">
        <f t="shared" si="564"/>
        <v>85.290999999999997</v>
      </c>
      <c r="AT432" s="835">
        <f t="shared" si="564"/>
        <v>85.290999999999997</v>
      </c>
      <c r="AU432" s="835">
        <f t="shared" si="564"/>
        <v>85.290999999999997</v>
      </c>
      <c r="AV432" s="835">
        <f t="shared" si="564"/>
        <v>85.290999999999997</v>
      </c>
      <c r="AW432" s="835">
        <f t="shared" si="564"/>
        <v>85.290999999999997</v>
      </c>
      <c r="AX432" s="835">
        <f t="shared" si="564"/>
        <v>85.290999999999997</v>
      </c>
      <c r="AY432" s="835">
        <f t="shared" si="564"/>
        <v>85.290999999999997</v>
      </c>
      <c r="AZ432" s="835">
        <f t="shared" si="564"/>
        <v>85.290999999999997</v>
      </c>
      <c r="BA432" s="567"/>
      <c r="BB432" s="567"/>
      <c r="BC432" s="567"/>
      <c r="BD432" s="567"/>
      <c r="BE432" s="567"/>
      <c r="BF432" s="567"/>
      <c r="BG432" s="567"/>
      <c r="BH432" s="567"/>
      <c r="BI432" s="837"/>
      <c r="BJ432" s="328"/>
      <c r="BK432" s="328"/>
      <c r="BL432" s="328"/>
      <c r="BM432" s="328"/>
      <c r="BN432" s="328"/>
      <c r="BO432" s="328"/>
      <c r="BP432" s="119">
        <f>SUM(BP428:BP431)</f>
        <v>40.134</v>
      </c>
      <c r="BQ432" s="119">
        <f>SUM(BQ428:BQ431)</f>
        <v>35.225000000000001</v>
      </c>
      <c r="BR432" s="291"/>
      <c r="BS432" s="291"/>
      <c r="BT432" s="291"/>
      <c r="BU432" s="542"/>
      <c r="BV432" s="51">
        <f>SUM(AQ432:AR432)</f>
        <v>170.58199999999999</v>
      </c>
      <c r="BW432" s="51">
        <f>SUM(AS432:AT432)</f>
        <v>170.58199999999999</v>
      </c>
      <c r="BX432" s="51">
        <f>SUM(AU432:AV432)</f>
        <v>170.58199999999999</v>
      </c>
      <c r="BY432" s="51">
        <f>SUM(AW432:AX432)</f>
        <v>170.58199999999999</v>
      </c>
      <c r="BZ432" s="51">
        <f>SUM(AY432:AZ432)</f>
        <v>170.58199999999999</v>
      </c>
      <c r="CB432" s="70" t="s">
        <v>620</v>
      </c>
      <c r="DS432" s="51">
        <f>SUM(CU432:CV432)</f>
        <v>0</v>
      </c>
    </row>
    <row r="433" spans="1:123" s="70" customFormat="1" hidden="1" outlineLevel="1">
      <c r="A433" s="67"/>
      <c r="B433" s="68" t="s">
        <v>410</v>
      </c>
      <c r="C433" s="69"/>
      <c r="D433" s="69"/>
      <c r="E433" s="69"/>
      <c r="F433" s="69"/>
      <c r="H433" s="630"/>
      <c r="I433" s="630"/>
      <c r="J433" s="630"/>
      <c r="K433" s="630"/>
      <c r="L433" s="630"/>
      <c r="M433" s="630"/>
      <c r="N433" s="630"/>
      <c r="O433" s="630"/>
      <c r="P433" s="829"/>
      <c r="Q433" s="829"/>
      <c r="R433" s="829"/>
      <c r="S433" s="829"/>
      <c r="T433" s="829"/>
      <c r="U433" s="830"/>
      <c r="V433" s="830"/>
      <c r="W433" s="830"/>
      <c r="X433" s="830"/>
      <c r="Y433" s="830"/>
      <c r="Z433" s="830"/>
      <c r="AA433" s="830"/>
      <c r="AB433" s="830"/>
      <c r="AC433" s="830"/>
      <c r="AD433" s="830"/>
      <c r="AE433" s="830"/>
      <c r="AF433" s="837"/>
      <c r="AG433" s="837"/>
      <c r="AH433" s="837">
        <f>BQ433-AG433</f>
        <v>-9.359</v>
      </c>
      <c r="AI433" s="837">
        <f>-AI435*AI428</f>
        <v>-3.8798999999999997</v>
      </c>
      <c r="AJ433" s="837">
        <f>BR433-AI433</f>
        <v>3.8798999999999997</v>
      </c>
      <c r="AK433" s="837">
        <f>-AK435*AK428</f>
        <v>-4.0408499999999998</v>
      </c>
      <c r="AL433" s="837">
        <f>BS433-AK433</f>
        <v>4.0408499999999998</v>
      </c>
      <c r="AM433" s="837">
        <f>-AM435*AM428</f>
        <v>-11.531549999999999</v>
      </c>
      <c r="AN433" s="837">
        <f>BT433-AM433</f>
        <v>11.531549999999999</v>
      </c>
      <c r="AO433" s="837">
        <f>-AO435*AO428</f>
        <v>-11.803649999999999</v>
      </c>
      <c r="AP433" s="842">
        <f>BU433-AO433</f>
        <v>11.803649999999999</v>
      </c>
      <c r="AQ433" s="837">
        <f t="shared" ref="AQ433:AZ433" si="567">-AQ435*AQ428</f>
        <v>0</v>
      </c>
      <c r="AR433" s="837">
        <f t="shared" si="567"/>
        <v>0</v>
      </c>
      <c r="AS433" s="837">
        <f t="shared" si="567"/>
        <v>0</v>
      </c>
      <c r="AT433" s="837">
        <f t="shared" si="567"/>
        <v>0</v>
      </c>
      <c r="AU433" s="837">
        <f t="shared" si="567"/>
        <v>0</v>
      </c>
      <c r="AV433" s="837">
        <f t="shared" si="567"/>
        <v>0</v>
      </c>
      <c r="AW433" s="837">
        <f t="shared" si="567"/>
        <v>0</v>
      </c>
      <c r="AX433" s="837">
        <f t="shared" si="567"/>
        <v>0</v>
      </c>
      <c r="AY433" s="837">
        <f t="shared" si="567"/>
        <v>0</v>
      </c>
      <c r="AZ433" s="837">
        <f t="shared" si="567"/>
        <v>0</v>
      </c>
      <c r="BA433" s="567"/>
      <c r="BB433" s="567"/>
      <c r="BC433" s="567"/>
      <c r="BD433" s="567"/>
      <c r="BE433" s="567"/>
      <c r="BF433" s="567"/>
      <c r="BG433" s="567"/>
      <c r="BH433" s="567"/>
      <c r="BI433" s="837"/>
      <c r="BJ433" s="328"/>
      <c r="BK433" s="328"/>
      <c r="BL433" s="328"/>
      <c r="BM433" s="328"/>
      <c r="BN433" s="328"/>
      <c r="BO433" s="328"/>
      <c r="BP433" s="107">
        <v>-10.467000000000001</v>
      </c>
      <c r="BQ433" s="107">
        <v>-9.359</v>
      </c>
      <c r="BR433" s="329"/>
      <c r="BS433" s="329"/>
      <c r="BT433" s="329"/>
      <c r="BU433" s="541"/>
      <c r="BV433" s="51">
        <f>SUM(AQ433:AR433)</f>
        <v>0</v>
      </c>
      <c r="BW433" s="51">
        <f>SUM(AS433:AT433)</f>
        <v>0</v>
      </c>
      <c r="BX433" s="51">
        <f>SUM(AU433:AV433)</f>
        <v>0</v>
      </c>
      <c r="BY433" s="51">
        <f>SUM(AW433:AX433)</f>
        <v>0</v>
      </c>
      <c r="BZ433" s="51">
        <f>SUM(AY433:AZ433)</f>
        <v>0</v>
      </c>
      <c r="CB433" s="70" t="s">
        <v>620</v>
      </c>
      <c r="DS433" s="51">
        <f>SUM(CU433:CV433)</f>
        <v>0</v>
      </c>
    </row>
    <row r="434" spans="1:123" s="75" customFormat="1" hidden="1" outlineLevel="1">
      <c r="A434" s="67"/>
      <c r="B434" s="79" t="s">
        <v>411</v>
      </c>
      <c r="C434" s="74"/>
      <c r="D434" s="74"/>
      <c r="E434" s="74"/>
      <c r="F434" s="74"/>
      <c r="H434" s="814"/>
      <c r="I434" s="814"/>
      <c r="J434" s="814"/>
      <c r="K434" s="814"/>
      <c r="L434" s="814"/>
      <c r="M434" s="814"/>
      <c r="N434" s="814"/>
      <c r="O434" s="814"/>
      <c r="P434" s="833"/>
      <c r="Q434" s="833"/>
      <c r="R434" s="833"/>
      <c r="S434" s="833"/>
      <c r="T434" s="833"/>
      <c r="U434" s="834"/>
      <c r="V434" s="834"/>
      <c r="W434" s="834"/>
      <c r="X434" s="834"/>
      <c r="Y434" s="834"/>
      <c r="Z434" s="834"/>
      <c r="AA434" s="834"/>
      <c r="AB434" s="834"/>
      <c r="AC434" s="834"/>
      <c r="AD434" s="834"/>
      <c r="AE434" s="834"/>
      <c r="AF434" s="835">
        <f>BP434</f>
        <v>29.667000000000002</v>
      </c>
      <c r="AG434" s="835">
        <f>AG395+AG404</f>
        <v>28.227000000000004</v>
      </c>
      <c r="AH434" s="835">
        <f>BQ434</f>
        <v>25.866</v>
      </c>
      <c r="AI434" s="835">
        <f>AI395+AI404</f>
        <v>26.368000000000002</v>
      </c>
      <c r="AJ434" s="835">
        <f>BR434</f>
        <v>26.939</v>
      </c>
      <c r="AK434" s="835">
        <f>AK395+AK404</f>
        <v>66.825999999999993</v>
      </c>
      <c r="AL434" s="835">
        <f>BS434</f>
        <v>76.876999999999995</v>
      </c>
      <c r="AM434" s="835">
        <f>AM395+AM404</f>
        <v>73.995000000000005</v>
      </c>
      <c r="AN434" s="835">
        <f>BT434</f>
        <v>78.691000000000003</v>
      </c>
      <c r="AO434" s="835">
        <f>AO395+AO404</f>
        <v>82.834999999999994</v>
      </c>
      <c r="AP434" s="836">
        <f>BU434</f>
        <v>85.290999999999997</v>
      </c>
      <c r="AQ434" s="835">
        <f t="shared" ref="AQ434:AZ434" si="568">SUM(AQ432:AQ433)</f>
        <v>85.290999999999997</v>
      </c>
      <c r="AR434" s="835">
        <f t="shared" si="568"/>
        <v>85.290999999999997</v>
      </c>
      <c r="AS434" s="835">
        <f t="shared" si="568"/>
        <v>85.290999999999997</v>
      </c>
      <c r="AT434" s="835">
        <f t="shared" si="568"/>
        <v>85.290999999999997</v>
      </c>
      <c r="AU434" s="835">
        <f t="shared" si="568"/>
        <v>85.290999999999997</v>
      </c>
      <c r="AV434" s="835">
        <f t="shared" si="568"/>
        <v>85.290999999999997</v>
      </c>
      <c r="AW434" s="835">
        <f t="shared" si="568"/>
        <v>85.290999999999997</v>
      </c>
      <c r="AX434" s="835">
        <f t="shared" si="568"/>
        <v>85.290999999999997</v>
      </c>
      <c r="AY434" s="835">
        <f t="shared" si="568"/>
        <v>85.290999999999997</v>
      </c>
      <c r="AZ434" s="835">
        <f t="shared" si="568"/>
        <v>85.290999999999997</v>
      </c>
      <c r="BA434" s="574"/>
      <c r="BB434" s="574"/>
      <c r="BC434" s="574"/>
      <c r="BD434" s="574"/>
      <c r="BE434" s="574"/>
      <c r="BF434" s="574"/>
      <c r="BG434" s="574"/>
      <c r="BH434" s="574"/>
      <c r="BI434" s="835"/>
      <c r="BJ434" s="332"/>
      <c r="BK434" s="332"/>
      <c r="BL434" s="332"/>
      <c r="BM434" s="332"/>
      <c r="BN434" s="332"/>
      <c r="BO434" s="332"/>
      <c r="BP434" s="195">
        <f>SUM(BP432:BP433)</f>
        <v>29.667000000000002</v>
      </c>
      <c r="BQ434" s="195">
        <f>SUM(BQ432:BQ433)</f>
        <v>25.866</v>
      </c>
      <c r="BR434" s="195">
        <f>BR404+BR395</f>
        <v>26.939</v>
      </c>
      <c r="BS434" s="195">
        <f>BS404+BS395</f>
        <v>76.876999999999995</v>
      </c>
      <c r="BT434" s="119">
        <f>BT404+BT395</f>
        <v>78.691000000000003</v>
      </c>
      <c r="BU434" s="513">
        <f>BU404+BU395</f>
        <v>85.290999999999997</v>
      </c>
      <c r="BV434" s="119">
        <f>SUM(BV428:BV433)</f>
        <v>255.87299999999999</v>
      </c>
      <c r="BW434" s="119">
        <f>SUM(BW428:BW433)</f>
        <v>426.45499999999998</v>
      </c>
      <c r="BX434" s="119">
        <f t="shared" ref="BX434:BZ434" si="569">SUM(BX428:BX433)</f>
        <v>597.03700000000003</v>
      </c>
      <c r="BY434" s="119">
        <f t="shared" si="569"/>
        <v>767.61900000000003</v>
      </c>
      <c r="BZ434" s="119">
        <f t="shared" si="569"/>
        <v>938.20100000000002</v>
      </c>
      <c r="CB434" s="75" t="s">
        <v>609</v>
      </c>
      <c r="DS434" s="119">
        <f>SUM(DS428:DS433)</f>
        <v>0</v>
      </c>
    </row>
    <row r="435" spans="1:123" s="603" customFormat="1" hidden="1" outlineLevel="1">
      <c r="A435" s="843"/>
      <c r="B435" s="844" t="s">
        <v>418</v>
      </c>
      <c r="C435" s="845"/>
      <c r="D435" s="845"/>
      <c r="E435" s="845"/>
      <c r="F435" s="845"/>
      <c r="H435" s="732"/>
      <c r="I435" s="732"/>
      <c r="J435" s="732"/>
      <c r="K435" s="732"/>
      <c r="L435" s="732"/>
      <c r="M435" s="732"/>
      <c r="N435" s="732"/>
      <c r="O435" s="732"/>
      <c r="P435" s="846"/>
      <c r="Q435" s="846"/>
      <c r="R435" s="846"/>
      <c r="S435" s="846"/>
      <c r="T435" s="846"/>
      <c r="AI435" s="847">
        <v>0.15</v>
      </c>
      <c r="AK435" s="847">
        <v>0.15</v>
      </c>
      <c r="AL435" s="847"/>
      <c r="AM435" s="847">
        <v>0.15</v>
      </c>
      <c r="AN435" s="847"/>
      <c r="AO435" s="847">
        <v>0.15</v>
      </c>
      <c r="AP435" s="848"/>
      <c r="AQ435" s="847">
        <v>0</v>
      </c>
      <c r="AR435" s="847">
        <v>0</v>
      </c>
      <c r="AS435" s="847">
        <v>0</v>
      </c>
      <c r="AT435" s="847">
        <v>0</v>
      </c>
      <c r="AU435" s="847">
        <v>0</v>
      </c>
      <c r="AV435" s="847">
        <v>0</v>
      </c>
      <c r="AW435" s="847">
        <v>0</v>
      </c>
      <c r="AX435" s="847">
        <v>0</v>
      </c>
      <c r="AY435" s="847">
        <v>0</v>
      </c>
      <c r="AZ435" s="847">
        <v>0</v>
      </c>
      <c r="BA435" s="420"/>
      <c r="BB435" s="420"/>
      <c r="BC435" s="420"/>
      <c r="BD435" s="420"/>
      <c r="BE435" s="420"/>
      <c r="BF435" s="420"/>
      <c r="BG435" s="420"/>
      <c r="BH435" s="420"/>
      <c r="BJ435" s="420"/>
      <c r="BK435" s="420"/>
      <c r="BL435" s="420"/>
      <c r="BM435" s="420"/>
      <c r="BN435" s="420"/>
      <c r="BO435" s="420"/>
      <c r="BP435" s="594">
        <f>BP433/BP428</f>
        <v>-0.2814693306800764</v>
      </c>
      <c r="BQ435" s="594">
        <f>BQ433/BQ428</f>
        <v>-0.31546836552398289</v>
      </c>
      <c r="BR435" s="594">
        <f>BR433/BR428</f>
        <v>0</v>
      </c>
      <c r="BS435" s="594">
        <f>BS433/BS428</f>
        <v>0</v>
      </c>
      <c r="BU435" s="604"/>
      <c r="CB435" s="603" t="s">
        <v>609</v>
      </c>
    </row>
    <row r="436" spans="1:123" s="603" customFormat="1" hidden="1" outlineLevel="1">
      <c r="A436" s="843"/>
      <c r="B436" s="844"/>
      <c r="C436" s="845"/>
      <c r="D436" s="845"/>
      <c r="E436" s="845"/>
      <c r="F436" s="845"/>
      <c r="H436" s="732"/>
      <c r="I436" s="732"/>
      <c r="J436" s="732"/>
      <c r="K436" s="732"/>
      <c r="L436" s="732"/>
      <c r="M436" s="732"/>
      <c r="N436" s="732"/>
      <c r="O436" s="732"/>
      <c r="P436" s="846"/>
      <c r="Q436" s="846"/>
      <c r="R436" s="846"/>
      <c r="S436" s="846"/>
      <c r="T436" s="846"/>
      <c r="AF436" s="837"/>
      <c r="AG436" s="837"/>
      <c r="AH436" s="837"/>
      <c r="AI436" s="840"/>
      <c r="AJ436" s="837"/>
      <c r="AK436" s="840"/>
      <c r="AL436" s="840"/>
      <c r="AM436" s="840"/>
      <c r="AN436" s="840"/>
      <c r="AO436" s="840"/>
      <c r="AP436" s="841"/>
      <c r="AQ436" s="840"/>
      <c r="AR436" s="840"/>
      <c r="AS436" s="840"/>
      <c r="AT436" s="840"/>
      <c r="AU436" s="840"/>
      <c r="AV436" s="840"/>
      <c r="AW436" s="840"/>
      <c r="AX436" s="840"/>
      <c r="AY436" s="840"/>
      <c r="AZ436" s="840"/>
      <c r="BA436" s="567"/>
      <c r="BB436" s="567"/>
      <c r="BC436" s="567"/>
      <c r="BD436" s="567"/>
      <c r="BE436" s="567"/>
      <c r="BF436" s="567"/>
      <c r="BG436" s="567"/>
      <c r="BH436" s="567"/>
      <c r="BI436" s="837"/>
      <c r="BJ436" s="567"/>
      <c r="BK436" s="567"/>
      <c r="BL436" s="567"/>
      <c r="BM436" s="567"/>
      <c r="BN436" s="567"/>
      <c r="BO436" s="567"/>
      <c r="BP436" s="849"/>
      <c r="BQ436" s="849"/>
      <c r="BR436" s="849"/>
      <c r="BS436" s="849"/>
      <c r="BT436" s="837"/>
      <c r="BU436" s="842"/>
      <c r="BV436" s="837"/>
      <c r="BW436" s="837"/>
      <c r="BX436" s="837"/>
      <c r="BY436" s="837"/>
      <c r="BZ436" s="837"/>
      <c r="DS436" s="837"/>
    </row>
    <row r="437" spans="1:123" s="673" customFormat="1" hidden="1" outlineLevel="1">
      <c r="A437" s="843"/>
      <c r="B437" s="850" t="s">
        <v>419</v>
      </c>
      <c r="C437" s="851"/>
      <c r="D437" s="851"/>
      <c r="E437" s="851"/>
      <c r="F437" s="851"/>
      <c r="H437" s="716"/>
      <c r="I437" s="716"/>
      <c r="J437" s="716"/>
      <c r="K437" s="716"/>
      <c r="L437" s="716"/>
      <c r="M437" s="716"/>
      <c r="N437" s="716"/>
      <c r="O437" s="716"/>
      <c r="P437" s="852"/>
      <c r="Q437" s="852"/>
      <c r="R437" s="852"/>
      <c r="S437" s="852"/>
      <c r="T437" s="852"/>
      <c r="AF437" s="835">
        <f t="shared" ref="AF437:AP437" si="570">AF395</f>
        <v>8.2240000000000002</v>
      </c>
      <c r="AG437" s="835">
        <f t="shared" si="570"/>
        <v>8.8420000000000005</v>
      </c>
      <c r="AH437" s="835">
        <f t="shared" si="570"/>
        <v>7.7859999999999996</v>
      </c>
      <c r="AI437" s="835">
        <f t="shared" si="570"/>
        <v>7.73</v>
      </c>
      <c r="AJ437" s="835">
        <f t="shared" si="570"/>
        <v>8.1869999999999994</v>
      </c>
      <c r="AK437" s="835">
        <f t="shared" si="570"/>
        <v>12.276999999999999</v>
      </c>
      <c r="AL437" s="835">
        <f t="shared" si="570"/>
        <v>14.743</v>
      </c>
      <c r="AM437" s="835">
        <f t="shared" si="570"/>
        <v>14.532</v>
      </c>
      <c r="AN437" s="835">
        <f t="shared" si="570"/>
        <v>14.154999999999999</v>
      </c>
      <c r="AO437" s="835">
        <f t="shared" si="570"/>
        <v>17.818000000000001</v>
      </c>
      <c r="AP437" s="836">
        <f t="shared" si="570"/>
        <v>18.867999999999999</v>
      </c>
      <c r="AQ437" s="835"/>
      <c r="AR437" s="835"/>
      <c r="AS437" s="835"/>
      <c r="AT437" s="835"/>
      <c r="AU437" s="835"/>
      <c r="AV437" s="835"/>
      <c r="AW437" s="835"/>
      <c r="AX437" s="835"/>
      <c r="AY437" s="835"/>
      <c r="AZ437" s="835"/>
      <c r="BA437" s="574"/>
      <c r="BB437" s="574"/>
      <c r="BC437" s="574"/>
      <c r="BD437" s="574"/>
      <c r="BE437" s="574"/>
      <c r="BF437" s="574"/>
      <c r="BG437" s="574"/>
      <c r="BH437" s="574"/>
      <c r="BI437" s="835"/>
      <c r="BJ437" s="574"/>
      <c r="BK437" s="574"/>
      <c r="BL437" s="574"/>
      <c r="BM437" s="574"/>
      <c r="BN437" s="574"/>
      <c r="BO437" s="574"/>
      <c r="BP437" s="835">
        <f>BP395</f>
        <v>8.2240000000000002</v>
      </c>
      <c r="BQ437" s="835">
        <f>BQ395</f>
        <v>7.7859999999999996</v>
      </c>
      <c r="BR437" s="835">
        <f>BR395</f>
        <v>8.1869999999999994</v>
      </c>
      <c r="BS437" s="835">
        <f>BS395</f>
        <v>14.743</v>
      </c>
      <c r="BT437" s="835"/>
      <c r="BU437" s="836"/>
      <c r="BV437" s="835"/>
      <c r="BW437" s="835"/>
      <c r="BX437" s="835"/>
      <c r="BY437" s="835"/>
      <c r="BZ437" s="835"/>
      <c r="CB437" s="603" t="s">
        <v>609</v>
      </c>
      <c r="DS437" s="835"/>
    </row>
    <row r="438" spans="1:123" s="75" customFormat="1" hidden="1" outlineLevel="1">
      <c r="A438" s="67"/>
      <c r="B438" s="79" t="s">
        <v>420</v>
      </c>
      <c r="C438" s="74"/>
      <c r="D438" s="74"/>
      <c r="E438" s="74"/>
      <c r="F438" s="74"/>
      <c r="H438" s="814"/>
      <c r="I438" s="814"/>
      <c r="J438" s="814"/>
      <c r="K438" s="814"/>
      <c r="L438" s="814"/>
      <c r="M438" s="814"/>
      <c r="N438" s="814"/>
      <c r="O438" s="814"/>
      <c r="P438" s="833"/>
      <c r="Q438" s="833"/>
      <c r="R438" s="833"/>
      <c r="S438" s="833"/>
      <c r="T438" s="833"/>
      <c r="U438" s="834"/>
      <c r="V438" s="834"/>
      <c r="W438" s="834"/>
      <c r="X438" s="834"/>
      <c r="Y438" s="834"/>
      <c r="Z438" s="834"/>
      <c r="AA438" s="834"/>
      <c r="AB438" s="834"/>
      <c r="AC438" s="834"/>
      <c r="AD438" s="834"/>
      <c r="AE438" s="834"/>
      <c r="AF438" s="835">
        <f t="shared" ref="AF438:AP438" si="571">AF404</f>
        <v>21.443000000000001</v>
      </c>
      <c r="AG438" s="835">
        <f t="shared" si="571"/>
        <v>19.385000000000002</v>
      </c>
      <c r="AH438" s="835">
        <f t="shared" si="571"/>
        <v>18.079999999999998</v>
      </c>
      <c r="AI438" s="835">
        <f t="shared" si="571"/>
        <v>18.638000000000002</v>
      </c>
      <c r="AJ438" s="835">
        <f t="shared" si="571"/>
        <v>18.751999999999999</v>
      </c>
      <c r="AK438" s="835">
        <f t="shared" si="571"/>
        <v>54.548999999999999</v>
      </c>
      <c r="AL438" s="835">
        <f t="shared" si="571"/>
        <v>62.134</v>
      </c>
      <c r="AM438" s="835">
        <f t="shared" si="571"/>
        <v>59.463000000000001</v>
      </c>
      <c r="AN438" s="835">
        <f t="shared" si="571"/>
        <v>64.536000000000001</v>
      </c>
      <c r="AO438" s="835">
        <f t="shared" si="571"/>
        <v>65.016999999999996</v>
      </c>
      <c r="AP438" s="836">
        <f t="shared" si="571"/>
        <v>66.423000000000002</v>
      </c>
      <c r="AQ438" s="835"/>
      <c r="AR438" s="835"/>
      <c r="AS438" s="835"/>
      <c r="AT438" s="835"/>
      <c r="AU438" s="835"/>
      <c r="AV438" s="835"/>
      <c r="AW438" s="835"/>
      <c r="AX438" s="835"/>
      <c r="AY438" s="835"/>
      <c r="AZ438" s="835"/>
      <c r="BA438" s="574"/>
      <c r="BB438" s="574"/>
      <c r="BC438" s="574"/>
      <c r="BD438" s="574"/>
      <c r="BE438" s="574"/>
      <c r="BF438" s="574"/>
      <c r="BG438" s="574"/>
      <c r="BH438" s="574"/>
      <c r="BI438" s="835"/>
      <c r="BJ438" s="332"/>
      <c r="BK438" s="332"/>
      <c r="BL438" s="332"/>
      <c r="BM438" s="332"/>
      <c r="BN438" s="332"/>
      <c r="BO438" s="332"/>
      <c r="BP438" s="835">
        <f>BP404</f>
        <v>21.443000000000001</v>
      </c>
      <c r="BQ438" s="835">
        <f>BQ404</f>
        <v>18.079999999999998</v>
      </c>
      <c r="BR438" s="835">
        <f>BR404</f>
        <v>18.751999999999999</v>
      </c>
      <c r="BS438" s="835">
        <f>BS404</f>
        <v>62.134</v>
      </c>
      <c r="BT438" s="119"/>
      <c r="BU438" s="513"/>
      <c r="BV438" s="119"/>
      <c r="BW438" s="119"/>
      <c r="BX438" s="119"/>
      <c r="BY438" s="119"/>
      <c r="BZ438" s="119"/>
      <c r="CB438" s="603" t="s">
        <v>609</v>
      </c>
      <c r="DS438" s="119"/>
    </row>
    <row r="439" spans="1:123" s="75" customFormat="1" hidden="1" outlineLevel="1">
      <c r="A439" s="67"/>
      <c r="B439" s="79" t="s">
        <v>421</v>
      </c>
      <c r="C439" s="74"/>
      <c r="D439" s="74"/>
      <c r="E439" s="74"/>
      <c r="F439" s="74"/>
      <c r="H439" s="814"/>
      <c r="I439" s="814"/>
      <c r="J439" s="814"/>
      <c r="K439" s="814"/>
      <c r="L439" s="814"/>
      <c r="M439" s="814"/>
      <c r="N439" s="814"/>
      <c r="O439" s="814"/>
      <c r="P439" s="833"/>
      <c r="Q439" s="833"/>
      <c r="R439" s="833"/>
      <c r="S439" s="833"/>
      <c r="T439" s="833"/>
      <c r="U439" s="834"/>
      <c r="V439" s="834"/>
      <c r="W439" s="834"/>
      <c r="X439" s="834"/>
      <c r="Y439" s="834"/>
      <c r="Z439" s="834"/>
      <c r="AA439" s="834"/>
      <c r="AB439" s="834"/>
      <c r="AC439" s="834"/>
      <c r="AD439" s="834"/>
      <c r="AE439" s="834"/>
      <c r="AF439" s="835" t="b">
        <f t="shared" ref="AF439:AK439" si="572">SUM(AF437:AF438)=AF434</f>
        <v>1</v>
      </c>
      <c r="AG439" s="835" t="b">
        <f t="shared" si="572"/>
        <v>1</v>
      </c>
      <c r="AH439" s="835" t="b">
        <f t="shared" si="572"/>
        <v>1</v>
      </c>
      <c r="AI439" s="835" t="b">
        <f t="shared" si="572"/>
        <v>1</v>
      </c>
      <c r="AJ439" s="835" t="b">
        <f t="shared" si="572"/>
        <v>1</v>
      </c>
      <c r="AK439" s="835" t="b">
        <f t="shared" si="572"/>
        <v>1</v>
      </c>
      <c r="AL439" s="835" t="b">
        <f t="shared" ref="AL439:AN439" si="573">SUM(AL437:AL438)=AL434</f>
        <v>1</v>
      </c>
      <c r="AM439" s="835" t="b">
        <f t="shared" ref="AM439:AP439" si="574">SUM(AM437:AM438)=AM434</f>
        <v>1</v>
      </c>
      <c r="AN439" s="835" t="b">
        <f t="shared" si="573"/>
        <v>1</v>
      </c>
      <c r="AO439" s="835" t="b">
        <f t="shared" si="574"/>
        <v>1</v>
      </c>
      <c r="AP439" s="836" t="b">
        <f t="shared" si="574"/>
        <v>1</v>
      </c>
      <c r="AQ439" s="835"/>
      <c r="AR439" s="835"/>
      <c r="AS439" s="835"/>
      <c r="AT439" s="835"/>
      <c r="AU439" s="835"/>
      <c r="AV439" s="835"/>
      <c r="AW439" s="835"/>
      <c r="AX439" s="835"/>
      <c r="AY439" s="835"/>
      <c r="AZ439" s="835"/>
      <c r="BA439" s="574"/>
      <c r="BB439" s="574"/>
      <c r="BC439" s="574"/>
      <c r="BD439" s="574"/>
      <c r="BE439" s="574"/>
      <c r="BF439" s="574"/>
      <c r="BG439" s="574"/>
      <c r="BH439" s="574"/>
      <c r="BI439" s="835"/>
      <c r="BJ439" s="332"/>
      <c r="BK439" s="332"/>
      <c r="BL439" s="332"/>
      <c r="BM439" s="332"/>
      <c r="BN439" s="332"/>
      <c r="BO439" s="332"/>
      <c r="BP439" s="835" t="b">
        <f>SUM(BP437:BP438)=BP434</f>
        <v>1</v>
      </c>
      <c r="BQ439" s="835" t="b">
        <f>SUM(BQ437:BQ438)=BQ434</f>
        <v>1</v>
      </c>
      <c r="BR439" s="835" t="b">
        <f>SUM(BR437:BR438)=BR434</f>
        <v>1</v>
      </c>
      <c r="BS439" s="835" t="b">
        <f>SUM(BS437:BS438)=BS434</f>
        <v>1</v>
      </c>
      <c r="BT439" s="119"/>
      <c r="BU439" s="513"/>
      <c r="BV439" s="119"/>
      <c r="BW439" s="119"/>
      <c r="BX439" s="119"/>
      <c r="BY439" s="119"/>
      <c r="BZ439" s="119"/>
      <c r="CB439" s="603" t="s">
        <v>609</v>
      </c>
      <c r="DS439" s="119"/>
    </row>
    <row r="440" spans="1:123" s="70" customFormat="1" hidden="1" outlineLevel="1">
      <c r="A440" s="67"/>
      <c r="B440" s="68"/>
      <c r="C440" s="69"/>
      <c r="D440" s="69"/>
      <c r="E440" s="69"/>
      <c r="F440" s="69"/>
      <c r="H440" s="630"/>
      <c r="I440" s="630"/>
      <c r="J440" s="630"/>
      <c r="K440" s="630"/>
      <c r="L440" s="630"/>
      <c r="M440" s="630"/>
      <c r="N440" s="630"/>
      <c r="O440" s="630"/>
      <c r="P440" s="829"/>
      <c r="Q440" s="829"/>
      <c r="R440" s="829"/>
      <c r="S440" s="829"/>
      <c r="T440" s="829"/>
      <c r="U440" s="830"/>
      <c r="V440" s="830"/>
      <c r="W440" s="830"/>
      <c r="X440" s="830"/>
      <c r="Y440" s="830"/>
      <c r="Z440" s="830"/>
      <c r="AA440" s="830"/>
      <c r="AB440" s="830"/>
      <c r="AC440" s="830"/>
      <c r="AD440" s="830"/>
      <c r="AE440" s="830"/>
      <c r="AF440" s="837"/>
      <c r="AG440" s="837"/>
      <c r="AH440" s="837"/>
      <c r="AI440" s="837"/>
      <c r="AJ440" s="837"/>
      <c r="AK440" s="837"/>
      <c r="AL440" s="837"/>
      <c r="AM440" s="837"/>
      <c r="AN440" s="837"/>
      <c r="AO440" s="837"/>
      <c r="AP440" s="842"/>
      <c r="AQ440" s="837"/>
      <c r="AR440" s="837"/>
      <c r="AS440" s="837"/>
      <c r="AT440" s="837"/>
      <c r="AU440" s="837"/>
      <c r="AV440" s="837"/>
      <c r="AW440" s="837"/>
      <c r="AX440" s="837"/>
      <c r="AY440" s="837"/>
      <c r="AZ440" s="837"/>
      <c r="BA440" s="567"/>
      <c r="BB440" s="567"/>
      <c r="BC440" s="567"/>
      <c r="BD440" s="567"/>
      <c r="BE440" s="567"/>
      <c r="BF440" s="567"/>
      <c r="BG440" s="567"/>
      <c r="BH440" s="567"/>
      <c r="BI440" s="837"/>
      <c r="BJ440" s="328"/>
      <c r="BK440" s="328"/>
      <c r="BL440" s="328"/>
      <c r="BM440" s="328"/>
      <c r="BN440" s="328"/>
      <c r="BO440" s="328"/>
      <c r="BP440" s="328"/>
      <c r="BQ440" s="328"/>
      <c r="BR440" s="328"/>
      <c r="BS440" s="328"/>
      <c r="BT440" s="51"/>
      <c r="BU440" s="443"/>
      <c r="BV440" s="51"/>
      <c r="BW440" s="51"/>
      <c r="BX440" s="51"/>
      <c r="BY440" s="51"/>
      <c r="BZ440" s="51"/>
      <c r="DS440" s="51"/>
    </row>
    <row r="441" spans="1:123" s="75" customFormat="1" hidden="1" outlineLevel="1">
      <c r="A441" s="67"/>
      <c r="B441" s="79" t="s">
        <v>413</v>
      </c>
      <c r="C441" s="74"/>
      <c r="D441" s="74"/>
      <c r="E441" s="74"/>
      <c r="F441" s="74"/>
      <c r="H441" s="814"/>
      <c r="I441" s="814"/>
      <c r="J441" s="814"/>
      <c r="K441" s="814"/>
      <c r="L441" s="814"/>
      <c r="M441" s="814"/>
      <c r="N441" s="814"/>
      <c r="O441" s="814"/>
      <c r="P441" s="833"/>
      <c r="Q441" s="833"/>
      <c r="R441" s="833"/>
      <c r="S441" s="833"/>
      <c r="T441" s="833"/>
      <c r="U441" s="834"/>
      <c r="V441" s="834"/>
      <c r="W441" s="834"/>
      <c r="X441" s="834"/>
      <c r="Y441" s="834"/>
      <c r="Z441" s="834"/>
      <c r="AA441" s="834"/>
      <c r="AB441" s="834"/>
      <c r="AC441" s="834"/>
      <c r="AD441" s="834"/>
      <c r="AE441" s="834"/>
      <c r="AF441" s="835"/>
      <c r="AG441" s="835">
        <f t="shared" ref="AG441:AZ441" si="575">AF447</f>
        <v>23.545999999999999</v>
      </c>
      <c r="AH441" s="835">
        <f t="shared" si="575"/>
        <v>23.545999999999999</v>
      </c>
      <c r="AI441" s="835">
        <f t="shared" si="575"/>
        <v>19.494000000000003</v>
      </c>
      <c r="AJ441" s="835">
        <f t="shared" si="575"/>
        <v>23.527999999999999</v>
      </c>
      <c r="AK441" s="835">
        <f t="shared" si="575"/>
        <v>20.701999999999998</v>
      </c>
      <c r="AL441" s="835">
        <f t="shared" si="575"/>
        <v>62.765000000000001</v>
      </c>
      <c r="AM441" s="835">
        <f t="shared" si="575"/>
        <v>67.995000000000005</v>
      </c>
      <c r="AN441" s="835">
        <f t="shared" si="575"/>
        <v>69.817999999999998</v>
      </c>
      <c r="AO441" s="835">
        <f t="shared" si="575"/>
        <v>0</v>
      </c>
      <c r="AP441" s="836">
        <f t="shared" si="575"/>
        <v>75.929000000000002</v>
      </c>
      <c r="AQ441" s="835">
        <f t="shared" si="575"/>
        <v>0</v>
      </c>
      <c r="AR441" s="835">
        <f t="shared" si="575"/>
        <v>0</v>
      </c>
      <c r="AS441" s="835">
        <f t="shared" si="575"/>
        <v>0</v>
      </c>
      <c r="AT441" s="835">
        <f t="shared" si="575"/>
        <v>0</v>
      </c>
      <c r="AU441" s="835">
        <f t="shared" si="575"/>
        <v>0</v>
      </c>
      <c r="AV441" s="835">
        <f t="shared" si="575"/>
        <v>0</v>
      </c>
      <c r="AW441" s="835">
        <f t="shared" si="575"/>
        <v>0</v>
      </c>
      <c r="AX441" s="835">
        <f t="shared" si="575"/>
        <v>0</v>
      </c>
      <c r="AY441" s="835">
        <f t="shared" si="575"/>
        <v>0</v>
      </c>
      <c r="AZ441" s="835">
        <f t="shared" si="575"/>
        <v>0</v>
      </c>
      <c r="BA441" s="574"/>
      <c r="BB441" s="574"/>
      <c r="BC441" s="574"/>
      <c r="BD441" s="574"/>
      <c r="BE441" s="574"/>
      <c r="BF441" s="574"/>
      <c r="BG441" s="574"/>
      <c r="BH441" s="574"/>
      <c r="BI441" s="835"/>
      <c r="BJ441" s="332"/>
      <c r="BK441" s="332"/>
      <c r="BL441" s="332"/>
      <c r="BM441" s="332"/>
      <c r="BN441" s="332"/>
      <c r="BO441" s="332"/>
      <c r="BP441" s="229">
        <v>37.186999999999998</v>
      </c>
      <c r="BQ441" s="119">
        <f>BP447</f>
        <v>23.545999999999999</v>
      </c>
      <c r="BR441" s="119">
        <f>BQ447</f>
        <v>19.494000000000003</v>
      </c>
      <c r="BS441" s="119">
        <f>BR447</f>
        <v>20.701999999999998</v>
      </c>
      <c r="BT441" s="119"/>
      <c r="BU441" s="513"/>
      <c r="BV441" s="119"/>
      <c r="BW441" s="119"/>
      <c r="BX441" s="119"/>
      <c r="BY441" s="119"/>
      <c r="BZ441" s="119"/>
      <c r="CB441" s="603" t="s">
        <v>609</v>
      </c>
      <c r="DS441" s="119"/>
    </row>
    <row r="442" spans="1:123" s="70" customFormat="1" hidden="1" outlineLevel="1">
      <c r="A442" s="78"/>
      <c r="B442" s="68" t="s">
        <v>366</v>
      </c>
      <c r="C442" s="102"/>
      <c r="D442" s="102"/>
      <c r="E442" s="102"/>
      <c r="F442" s="102"/>
      <c r="G442" s="102"/>
      <c r="H442" s="102"/>
      <c r="I442" s="102"/>
      <c r="J442" s="102"/>
      <c r="K442" s="102"/>
      <c r="L442" s="102"/>
      <c r="Y442" s="252"/>
      <c r="Z442" s="252"/>
      <c r="AA442" s="252"/>
      <c r="AB442" s="252"/>
      <c r="AC442" s="252"/>
      <c r="AD442" s="252"/>
      <c r="AE442" s="252"/>
      <c r="AF442" s="837"/>
      <c r="AG442" s="837"/>
      <c r="AH442" s="837">
        <f>BQ442-AG442</f>
        <v>10.853</v>
      </c>
      <c r="AI442" s="838">
        <f>AI447-AI446-AI441</f>
        <v>6.9580999999999946</v>
      </c>
      <c r="AJ442" s="853">
        <f>BR445-AJ441</f>
        <v>5.2119999999999997</v>
      </c>
      <c r="AK442" s="838">
        <f>AK447-AK446-AK441</f>
        <v>45.168300000000002</v>
      </c>
      <c r="AL442" s="838">
        <f>BS445-AL441</f>
        <v>13.268000000000001</v>
      </c>
      <c r="AM442" s="838">
        <f>AM447-AM446-AM441</f>
        <v>12.02225</v>
      </c>
      <c r="AN442" s="838">
        <f>BU445-AN441</f>
        <v>-69.817999999999998</v>
      </c>
      <c r="AO442" s="838">
        <f>AO447-AO446-AO441</f>
        <v>75.929000000000002</v>
      </c>
      <c r="AP442" s="839">
        <f>BW445-AP441</f>
        <v>-75.929000000000002</v>
      </c>
      <c r="AQ442" s="838">
        <f t="shared" ref="AQ442:AZ442" si="576">-AQ446</f>
        <v>0</v>
      </c>
      <c r="AR442" s="838">
        <f t="shared" si="576"/>
        <v>0</v>
      </c>
      <c r="AS442" s="838">
        <f t="shared" si="576"/>
        <v>0</v>
      </c>
      <c r="AT442" s="838">
        <f t="shared" si="576"/>
        <v>0</v>
      </c>
      <c r="AU442" s="838">
        <f t="shared" si="576"/>
        <v>0</v>
      </c>
      <c r="AV442" s="838">
        <f t="shared" si="576"/>
        <v>0</v>
      </c>
      <c r="AW442" s="838">
        <f t="shared" si="576"/>
        <v>0</v>
      </c>
      <c r="AX442" s="838">
        <f t="shared" si="576"/>
        <v>0</v>
      </c>
      <c r="AY442" s="838">
        <f t="shared" si="576"/>
        <v>0</v>
      </c>
      <c r="AZ442" s="838">
        <f t="shared" si="576"/>
        <v>0</v>
      </c>
      <c r="BA442" s="854"/>
      <c r="BB442" s="51"/>
      <c r="BC442" s="51"/>
      <c r="BD442" s="51"/>
      <c r="BE442" s="51"/>
      <c r="BF442" s="51"/>
      <c r="BG442" s="51"/>
      <c r="BH442" s="51"/>
      <c r="BI442" s="51"/>
      <c r="BJ442" s="51"/>
      <c r="BK442" s="51"/>
      <c r="BL442" s="51"/>
      <c r="BM442" s="330"/>
      <c r="BN442" s="330"/>
      <c r="BO442" s="330"/>
      <c r="BP442" s="107">
        <v>2.302</v>
      </c>
      <c r="BQ442" s="107">
        <v>10.853</v>
      </c>
      <c r="BR442" s="329"/>
      <c r="BS442" s="329"/>
      <c r="BT442" s="330"/>
      <c r="BU442" s="470"/>
      <c r="BV442" s="330"/>
      <c r="BW442" s="330"/>
      <c r="BX442" s="330"/>
      <c r="BY442" s="330"/>
      <c r="BZ442" s="330"/>
      <c r="CB442" s="70" t="s">
        <v>620</v>
      </c>
      <c r="DS442" s="330"/>
    </row>
    <row r="443" spans="1:123" s="70" customFormat="1" hidden="1" outlineLevel="1">
      <c r="A443" s="78"/>
      <c r="B443" s="68" t="s">
        <v>374</v>
      </c>
      <c r="C443" s="102"/>
      <c r="D443" s="102"/>
      <c r="E443" s="102"/>
      <c r="F443" s="102"/>
      <c r="G443" s="102"/>
      <c r="H443" s="102"/>
      <c r="I443" s="102"/>
      <c r="J443" s="102"/>
      <c r="K443" s="102"/>
      <c r="L443" s="102"/>
      <c r="Y443" s="252"/>
      <c r="Z443" s="252"/>
      <c r="AA443" s="252"/>
      <c r="AB443" s="252"/>
      <c r="AC443" s="252"/>
      <c r="AD443" s="252"/>
      <c r="AE443" s="252"/>
      <c r="AF443" s="837"/>
      <c r="AG443" s="837"/>
      <c r="AH443" s="837">
        <f>BQ443-AG443</f>
        <v>-0.745</v>
      </c>
      <c r="AI443" s="840">
        <v>0</v>
      </c>
      <c r="AJ443" s="837">
        <f>BR443-AI443</f>
        <v>0</v>
      </c>
      <c r="AK443" s="840">
        <v>0</v>
      </c>
      <c r="AL443" s="840">
        <f>BS443-AK443</f>
        <v>0</v>
      </c>
      <c r="AM443" s="840">
        <v>0</v>
      </c>
      <c r="AN443" s="840">
        <f>BU443-AM443</f>
        <v>0</v>
      </c>
      <c r="AO443" s="840">
        <v>0</v>
      </c>
      <c r="AP443" s="841">
        <f>BW443-AO443</f>
        <v>0</v>
      </c>
      <c r="AQ443" s="840">
        <v>0</v>
      </c>
      <c r="AR443" s="840">
        <v>0</v>
      </c>
      <c r="AS443" s="840">
        <v>0</v>
      </c>
      <c r="AT443" s="840">
        <v>0</v>
      </c>
      <c r="AU443" s="840">
        <v>0</v>
      </c>
      <c r="AV443" s="840">
        <v>0</v>
      </c>
      <c r="AW443" s="840">
        <v>0</v>
      </c>
      <c r="AX443" s="840">
        <v>0</v>
      </c>
      <c r="AY443" s="840">
        <v>0</v>
      </c>
      <c r="AZ443" s="840">
        <v>0</v>
      </c>
      <c r="BA443" s="854"/>
      <c r="BB443" s="51"/>
      <c r="BC443" s="51"/>
      <c r="BD443" s="51"/>
      <c r="BE443" s="51"/>
      <c r="BF443" s="51"/>
      <c r="BG443" s="51"/>
      <c r="BH443" s="51"/>
      <c r="BI443" s="51"/>
      <c r="BJ443" s="51"/>
      <c r="BK443" s="51"/>
      <c r="BL443" s="51"/>
      <c r="BM443" s="330"/>
      <c r="BN443" s="330"/>
      <c r="BO443" s="330"/>
      <c r="BP443" s="107">
        <v>-2.5499999999999998</v>
      </c>
      <c r="BQ443" s="107">
        <v>-0.745</v>
      </c>
      <c r="BR443" s="329"/>
      <c r="BS443" s="329"/>
      <c r="BT443" s="330"/>
      <c r="BU443" s="470"/>
      <c r="BV443" s="330"/>
      <c r="BW443" s="330"/>
      <c r="BX443" s="330"/>
      <c r="BY443" s="330"/>
      <c r="BZ443" s="330"/>
      <c r="CB443" s="70" t="s">
        <v>620</v>
      </c>
      <c r="DS443" s="330"/>
    </row>
    <row r="444" spans="1:123" s="70" customFormat="1" hidden="1" outlineLevel="1">
      <c r="A444" s="78"/>
      <c r="B444" s="68" t="s">
        <v>408</v>
      </c>
      <c r="C444" s="102"/>
      <c r="D444" s="102"/>
      <c r="E444" s="102"/>
      <c r="F444" s="102"/>
      <c r="G444" s="102"/>
      <c r="H444" s="102"/>
      <c r="I444" s="102"/>
      <c r="J444" s="102"/>
      <c r="K444" s="102"/>
      <c r="L444" s="102"/>
      <c r="Y444" s="252"/>
      <c r="Z444" s="252"/>
      <c r="AA444" s="252"/>
      <c r="AB444" s="252"/>
      <c r="AC444" s="252"/>
      <c r="AD444" s="252"/>
      <c r="AE444" s="252"/>
      <c r="AF444" s="837"/>
      <c r="AG444" s="837"/>
      <c r="AH444" s="837">
        <f>BQ444-AG444</f>
        <v>-6.1219999999999999</v>
      </c>
      <c r="AI444" s="840">
        <v>0</v>
      </c>
      <c r="AJ444" s="837">
        <f>BR444-AI444</f>
        <v>0</v>
      </c>
      <c r="AK444" s="840">
        <v>0</v>
      </c>
      <c r="AL444" s="840">
        <f>BS444-AK444</f>
        <v>0</v>
      </c>
      <c r="AM444" s="840">
        <v>0</v>
      </c>
      <c r="AN444" s="840">
        <f>BU444-AM444</f>
        <v>0</v>
      </c>
      <c r="AO444" s="840">
        <v>0</v>
      </c>
      <c r="AP444" s="841">
        <f>BW444-AO444</f>
        <v>0</v>
      </c>
      <c r="AQ444" s="840">
        <v>0</v>
      </c>
      <c r="AR444" s="840">
        <v>0</v>
      </c>
      <c r="AS444" s="840">
        <v>0</v>
      </c>
      <c r="AT444" s="840">
        <v>0</v>
      </c>
      <c r="AU444" s="840">
        <v>0</v>
      </c>
      <c r="AV444" s="840">
        <v>0</v>
      </c>
      <c r="AW444" s="840">
        <v>0</v>
      </c>
      <c r="AX444" s="840">
        <v>0</v>
      </c>
      <c r="AY444" s="840">
        <v>0</v>
      </c>
      <c r="AZ444" s="840">
        <v>0</v>
      </c>
      <c r="BA444" s="854"/>
      <c r="BB444" s="51"/>
      <c r="BC444" s="51"/>
      <c r="BD444" s="51"/>
      <c r="BE444" s="51"/>
      <c r="BF444" s="51"/>
      <c r="BG444" s="51"/>
      <c r="BH444" s="51"/>
      <c r="BI444" s="51"/>
      <c r="BJ444" s="51"/>
      <c r="BK444" s="51"/>
      <c r="BL444" s="51"/>
      <c r="BM444" s="330"/>
      <c r="BN444" s="330"/>
      <c r="BO444" s="330"/>
      <c r="BP444" s="107">
        <v>-3.5169999999999999</v>
      </c>
      <c r="BQ444" s="107">
        <v>-6.1219999999999999</v>
      </c>
      <c r="BR444" s="329"/>
      <c r="BS444" s="329"/>
      <c r="BT444" s="330"/>
      <c r="BU444" s="470"/>
      <c r="BV444" s="330"/>
      <c r="BW444" s="330"/>
      <c r="BX444" s="330"/>
      <c r="BY444" s="330"/>
      <c r="BZ444" s="330"/>
      <c r="CB444" s="70" t="s">
        <v>620</v>
      </c>
      <c r="DS444" s="330"/>
    </row>
    <row r="445" spans="1:123" s="70" customFormat="1" hidden="1" outlineLevel="1">
      <c r="A445" s="78"/>
      <c r="B445" s="79" t="s">
        <v>414</v>
      </c>
      <c r="C445" s="102"/>
      <c r="D445" s="102"/>
      <c r="E445" s="102"/>
      <c r="F445" s="102"/>
      <c r="G445" s="102"/>
      <c r="H445" s="102"/>
      <c r="I445" s="102"/>
      <c r="J445" s="102"/>
      <c r="K445" s="102"/>
      <c r="L445" s="102"/>
      <c r="Y445" s="252"/>
      <c r="Z445" s="252"/>
      <c r="AA445" s="252"/>
      <c r="AB445" s="252"/>
      <c r="AC445" s="252"/>
      <c r="AD445" s="252"/>
      <c r="AE445" s="252"/>
      <c r="AF445" s="837"/>
      <c r="AG445" s="837"/>
      <c r="AH445" s="835">
        <f t="shared" ref="AH445:AT445" si="577">SUM(AH441:AH444)</f>
        <v>27.532000000000004</v>
      </c>
      <c r="AI445" s="835">
        <f t="shared" si="577"/>
        <v>26.452099999999998</v>
      </c>
      <c r="AJ445" s="855">
        <f t="shared" si="577"/>
        <v>28.74</v>
      </c>
      <c r="AK445" s="835">
        <f t="shared" ref="AK445:AP445" si="578">SUM(AK441:AK444)</f>
        <v>65.8703</v>
      </c>
      <c r="AL445" s="835">
        <f t="shared" si="578"/>
        <v>76.033000000000001</v>
      </c>
      <c r="AM445" s="835">
        <f t="shared" si="578"/>
        <v>80.017250000000004</v>
      </c>
      <c r="AN445" s="835">
        <f t="shared" si="578"/>
        <v>0</v>
      </c>
      <c r="AO445" s="835">
        <f t="shared" si="578"/>
        <v>75.929000000000002</v>
      </c>
      <c r="AP445" s="836">
        <f t="shared" si="578"/>
        <v>0</v>
      </c>
      <c r="AQ445" s="835">
        <f t="shared" si="577"/>
        <v>0</v>
      </c>
      <c r="AR445" s="835">
        <f t="shared" si="577"/>
        <v>0</v>
      </c>
      <c r="AS445" s="835">
        <f t="shared" si="577"/>
        <v>0</v>
      </c>
      <c r="AT445" s="835">
        <f t="shared" si="577"/>
        <v>0</v>
      </c>
      <c r="AU445" s="835">
        <f t="shared" ref="AU445:AZ445" si="579">SUM(AU441:AU444)</f>
        <v>0</v>
      </c>
      <c r="AV445" s="835">
        <f t="shared" si="579"/>
        <v>0</v>
      </c>
      <c r="AW445" s="835">
        <f t="shared" si="579"/>
        <v>0</v>
      </c>
      <c r="AX445" s="835">
        <f t="shared" si="579"/>
        <v>0</v>
      </c>
      <c r="AY445" s="835">
        <f t="shared" si="579"/>
        <v>0</v>
      </c>
      <c r="AZ445" s="835">
        <f t="shared" si="579"/>
        <v>0</v>
      </c>
      <c r="BA445" s="854"/>
      <c r="BB445" s="51"/>
      <c r="BC445" s="51"/>
      <c r="BD445" s="51"/>
      <c r="BE445" s="51"/>
      <c r="BF445" s="51"/>
      <c r="BG445" s="51"/>
      <c r="BH445" s="51"/>
      <c r="BI445" s="51"/>
      <c r="BJ445" s="51"/>
      <c r="BK445" s="51"/>
      <c r="BL445" s="51"/>
      <c r="BM445" s="330"/>
      <c r="BN445" s="330"/>
      <c r="BO445" s="330"/>
      <c r="BP445" s="119">
        <f>SUM(BP441:BP444)</f>
        <v>33.421999999999997</v>
      </c>
      <c r="BQ445" s="119">
        <f>SUM(BQ441:BQ444)</f>
        <v>27.532000000000004</v>
      </c>
      <c r="BR445" s="291">
        <f>BR447-BR446</f>
        <v>28.74</v>
      </c>
      <c r="BS445" s="291">
        <f>BS447-BS446</f>
        <v>76.033000000000001</v>
      </c>
      <c r="BT445" s="330"/>
      <c r="BU445" s="470"/>
      <c r="BV445" s="330"/>
      <c r="BW445" s="330"/>
      <c r="BX445" s="330"/>
      <c r="BY445" s="330"/>
      <c r="BZ445" s="330"/>
      <c r="CB445" s="603" t="s">
        <v>609</v>
      </c>
      <c r="DS445" s="330"/>
    </row>
    <row r="446" spans="1:123" s="70" customFormat="1" hidden="1" outlineLevel="1">
      <c r="A446" s="78"/>
      <c r="B446" s="68" t="s">
        <v>81</v>
      </c>
      <c r="C446" s="102"/>
      <c r="D446" s="102"/>
      <c r="E446" s="102"/>
      <c r="F446" s="102"/>
      <c r="G446" s="102"/>
      <c r="H446" s="102"/>
      <c r="I446" s="102"/>
      <c r="J446" s="102"/>
      <c r="K446" s="102"/>
      <c r="L446" s="102"/>
      <c r="Y446" s="252"/>
      <c r="Z446" s="252"/>
      <c r="AA446" s="252"/>
      <c r="AB446" s="252"/>
      <c r="AC446" s="252"/>
      <c r="AD446" s="252"/>
      <c r="AE446" s="252"/>
      <c r="AF446" s="837"/>
      <c r="AG446" s="837"/>
      <c r="AH446" s="837">
        <f>BQ446-AG446</f>
        <v>-8.0380000000000003</v>
      </c>
      <c r="AI446" s="837">
        <f>-AI448*AI441</f>
        <v>-2.9241000000000006</v>
      </c>
      <c r="AJ446" s="837">
        <f>BR446-AI446</f>
        <v>-5.1138999999999992</v>
      </c>
      <c r="AK446" s="837">
        <f>-AK448*AK441</f>
        <v>-3.1052999999999997</v>
      </c>
      <c r="AL446" s="837">
        <f>BS446-AK446</f>
        <v>-4.9327000000000005</v>
      </c>
      <c r="AM446" s="837">
        <f>-AM448*AM441</f>
        <v>-10.199250000000001</v>
      </c>
      <c r="AN446" s="837">
        <f>BU446-AM446</f>
        <v>10.199250000000001</v>
      </c>
      <c r="AO446" s="837">
        <f>-AO448*AO441</f>
        <v>0</v>
      </c>
      <c r="AP446" s="842">
        <f>BW446-AO446</f>
        <v>0</v>
      </c>
      <c r="AQ446" s="837">
        <f t="shared" ref="AQ446:AZ446" si="580">-AQ448*AQ441</f>
        <v>0</v>
      </c>
      <c r="AR446" s="837">
        <f t="shared" si="580"/>
        <v>0</v>
      </c>
      <c r="AS446" s="837">
        <f t="shared" si="580"/>
        <v>0</v>
      </c>
      <c r="AT446" s="837">
        <f t="shared" si="580"/>
        <v>0</v>
      </c>
      <c r="AU446" s="837">
        <f t="shared" si="580"/>
        <v>0</v>
      </c>
      <c r="AV446" s="837">
        <f t="shared" si="580"/>
        <v>0</v>
      </c>
      <c r="AW446" s="837">
        <f t="shared" si="580"/>
        <v>0</v>
      </c>
      <c r="AX446" s="837">
        <f t="shared" si="580"/>
        <v>0</v>
      </c>
      <c r="AY446" s="837">
        <f t="shared" si="580"/>
        <v>0</v>
      </c>
      <c r="AZ446" s="837">
        <f t="shared" si="580"/>
        <v>0</v>
      </c>
      <c r="BA446" s="854"/>
      <c r="BB446" s="51"/>
      <c r="BC446" s="51"/>
      <c r="BD446" s="51"/>
      <c r="BE446" s="51"/>
      <c r="BF446" s="51"/>
      <c r="BG446" s="51"/>
      <c r="BH446" s="51"/>
      <c r="BI446" s="51"/>
      <c r="BJ446" s="51"/>
      <c r="BK446" s="51"/>
      <c r="BL446" s="51"/>
      <c r="BM446" s="330"/>
      <c r="BN446" s="330"/>
      <c r="BO446" s="330"/>
      <c r="BP446" s="107">
        <v>-9.8759999999999994</v>
      </c>
      <c r="BQ446" s="107">
        <v>-8.0380000000000003</v>
      </c>
      <c r="BR446" s="331">
        <f>BQ446</f>
        <v>-8.0380000000000003</v>
      </c>
      <c r="BS446" s="331">
        <f>BR446</f>
        <v>-8.0380000000000003</v>
      </c>
      <c r="BT446" s="330"/>
      <c r="BU446" s="470"/>
      <c r="BV446" s="330"/>
      <c r="BW446" s="330"/>
      <c r="BX446" s="330"/>
      <c r="BY446" s="330"/>
      <c r="BZ446" s="330"/>
      <c r="CB446" s="70" t="s">
        <v>620</v>
      </c>
      <c r="DS446" s="330"/>
    </row>
    <row r="447" spans="1:123" s="75" customFormat="1" hidden="1" outlineLevel="1">
      <c r="A447" s="78"/>
      <c r="B447" s="79" t="s">
        <v>412</v>
      </c>
      <c r="C447" s="111"/>
      <c r="D447" s="111"/>
      <c r="E447" s="111"/>
      <c r="F447" s="111"/>
      <c r="G447" s="111"/>
      <c r="H447" s="111"/>
      <c r="I447" s="111"/>
      <c r="J447" s="111"/>
      <c r="K447" s="111"/>
      <c r="L447" s="111"/>
      <c r="Y447" s="182"/>
      <c r="Z447" s="182"/>
      <c r="AA447" s="182"/>
      <c r="AB447" s="182"/>
      <c r="AC447" s="182"/>
      <c r="AD447" s="182"/>
      <c r="AE447" s="182"/>
      <c r="AF447" s="835">
        <f>BP447</f>
        <v>23.545999999999999</v>
      </c>
      <c r="AG447" s="835">
        <f>SUM(AG441:AG446)</f>
        <v>23.545999999999999</v>
      </c>
      <c r="AH447" s="835">
        <f>BQ447</f>
        <v>19.494000000000003</v>
      </c>
      <c r="AI447" s="835">
        <f>AI303</f>
        <v>23.527999999999999</v>
      </c>
      <c r="AJ447" s="835">
        <f>BR447</f>
        <v>20.701999999999998</v>
      </c>
      <c r="AK447" s="835">
        <f>AK303</f>
        <v>62.765000000000001</v>
      </c>
      <c r="AL447" s="835">
        <f>BS447</f>
        <v>67.995000000000005</v>
      </c>
      <c r="AM447" s="835">
        <f>AM303</f>
        <v>69.817999999999998</v>
      </c>
      <c r="AN447" s="835">
        <f>BU447</f>
        <v>0</v>
      </c>
      <c r="AO447" s="835">
        <f>AO303</f>
        <v>75.929000000000002</v>
      </c>
      <c r="AP447" s="836">
        <f>BW447</f>
        <v>0</v>
      </c>
      <c r="AQ447" s="835">
        <f t="shared" ref="AQ447:AZ447" si="581">SUM(AQ445:AQ446)</f>
        <v>0</v>
      </c>
      <c r="AR447" s="835">
        <f t="shared" si="581"/>
        <v>0</v>
      </c>
      <c r="AS447" s="835">
        <f t="shared" si="581"/>
        <v>0</v>
      </c>
      <c r="AT447" s="835">
        <f t="shared" si="581"/>
        <v>0</v>
      </c>
      <c r="AU447" s="835">
        <f t="shared" si="581"/>
        <v>0</v>
      </c>
      <c r="AV447" s="835">
        <f t="shared" si="581"/>
        <v>0</v>
      </c>
      <c r="AW447" s="835">
        <f t="shared" si="581"/>
        <v>0</v>
      </c>
      <c r="AX447" s="835">
        <f t="shared" si="581"/>
        <v>0</v>
      </c>
      <c r="AY447" s="835">
        <f t="shared" si="581"/>
        <v>0</v>
      </c>
      <c r="AZ447" s="835">
        <f t="shared" si="581"/>
        <v>0</v>
      </c>
      <c r="BA447" s="856"/>
      <c r="BB447" s="119"/>
      <c r="BC447" s="119"/>
      <c r="BD447" s="119"/>
      <c r="BE447" s="119"/>
      <c r="BF447" s="119"/>
      <c r="BG447" s="119"/>
      <c r="BH447" s="119"/>
      <c r="BI447" s="119"/>
      <c r="BJ447" s="119"/>
      <c r="BK447" s="119"/>
      <c r="BL447" s="119"/>
      <c r="BM447" s="195"/>
      <c r="BN447" s="195"/>
      <c r="BO447" s="195"/>
      <c r="BP447" s="195">
        <f>SUM(BP445:BP446)</f>
        <v>23.545999999999999</v>
      </c>
      <c r="BQ447" s="195">
        <f>SUM(BQ445:BQ446)</f>
        <v>19.494000000000003</v>
      </c>
      <c r="BR447" s="334">
        <f>BR461</f>
        <v>20.701999999999998</v>
      </c>
      <c r="BS447" s="334">
        <f>BS461</f>
        <v>67.995000000000005</v>
      </c>
      <c r="BT447" s="195"/>
      <c r="BU447" s="471"/>
      <c r="BV447" s="195"/>
      <c r="BW447" s="195"/>
      <c r="BX447" s="195"/>
      <c r="BY447" s="195"/>
      <c r="BZ447" s="195"/>
      <c r="CB447" s="70" t="s">
        <v>620</v>
      </c>
      <c r="DS447" s="195"/>
    </row>
    <row r="448" spans="1:123" s="70" customFormat="1" hidden="1" outlineLevel="1">
      <c r="A448" s="78"/>
      <c r="B448" s="68" t="s">
        <v>422</v>
      </c>
      <c r="C448" s="102"/>
      <c r="D448" s="102"/>
      <c r="E448" s="102"/>
      <c r="F448" s="102"/>
      <c r="G448" s="102"/>
      <c r="H448" s="102"/>
      <c r="I448" s="102"/>
      <c r="J448" s="102"/>
      <c r="K448" s="102"/>
      <c r="L448" s="102"/>
      <c r="Y448" s="252"/>
      <c r="Z448" s="252"/>
      <c r="AA448" s="252"/>
      <c r="AB448" s="252"/>
      <c r="AC448" s="252"/>
      <c r="AD448" s="252"/>
      <c r="AE448" s="252"/>
      <c r="AF448" s="837"/>
      <c r="AG448" s="837"/>
      <c r="AH448" s="837"/>
      <c r="AI448" s="840">
        <v>0.15</v>
      </c>
      <c r="AJ448" s="837"/>
      <c r="AK448" s="847">
        <v>0.15</v>
      </c>
      <c r="AL448" s="847"/>
      <c r="AM448" s="847">
        <v>0.15</v>
      </c>
      <c r="AN448" s="847"/>
      <c r="AO448" s="847">
        <v>0.15</v>
      </c>
      <c r="AP448" s="848"/>
      <c r="AQ448" s="847">
        <v>0</v>
      </c>
      <c r="AR448" s="847">
        <v>0</v>
      </c>
      <c r="AS448" s="847">
        <v>0</v>
      </c>
      <c r="AT448" s="847">
        <v>0</v>
      </c>
      <c r="AU448" s="847">
        <v>0</v>
      </c>
      <c r="AV448" s="847">
        <v>0</v>
      </c>
      <c r="AW448" s="847">
        <v>0</v>
      </c>
      <c r="AX448" s="847">
        <v>0</v>
      </c>
      <c r="AY448" s="847">
        <v>0</v>
      </c>
      <c r="AZ448" s="847">
        <v>0</v>
      </c>
      <c r="BA448" s="854"/>
      <c r="BB448" s="51"/>
      <c r="BC448" s="51"/>
      <c r="BD448" s="51"/>
      <c r="BE448" s="51"/>
      <c r="BF448" s="51"/>
      <c r="BG448" s="51"/>
      <c r="BH448" s="51"/>
      <c r="BI448" s="51"/>
      <c r="BJ448" s="51"/>
      <c r="BK448" s="51"/>
      <c r="BL448" s="51"/>
      <c r="BM448" s="330"/>
      <c r="BN448" s="330"/>
      <c r="BO448" s="330"/>
      <c r="BP448" s="849">
        <f>BP446/BP441</f>
        <v>-0.26557668002258855</v>
      </c>
      <c r="BQ448" s="849">
        <f>BQ446/BQ441</f>
        <v>-0.34137433109657694</v>
      </c>
      <c r="BR448" s="849">
        <f>BR446/BR441</f>
        <v>-0.41233199958961725</v>
      </c>
      <c r="BS448" s="849">
        <f>BS446/BS441</f>
        <v>-0.38827166457347123</v>
      </c>
      <c r="BT448" s="330"/>
      <c r="BU448" s="470"/>
      <c r="BV448" s="330"/>
      <c r="BW448" s="330"/>
      <c r="BX448" s="330"/>
      <c r="BY448" s="330"/>
      <c r="BZ448" s="330"/>
      <c r="DS448" s="330"/>
    </row>
    <row r="449" spans="1:123" s="70" customFormat="1" hidden="1" outlineLevel="1">
      <c r="A449" s="78"/>
      <c r="B449" s="79"/>
      <c r="C449" s="102"/>
      <c r="D449" s="102"/>
      <c r="E449" s="102"/>
      <c r="F449" s="102"/>
      <c r="G449" s="102"/>
      <c r="H449" s="102"/>
      <c r="I449" s="102"/>
      <c r="J449" s="102"/>
      <c r="K449" s="102"/>
      <c r="L449" s="102"/>
      <c r="Y449" s="252"/>
      <c r="Z449" s="252"/>
      <c r="AA449" s="252"/>
      <c r="AB449" s="252"/>
      <c r="AC449" s="252"/>
      <c r="AD449" s="252"/>
      <c r="AE449" s="252"/>
      <c r="AF449" s="330"/>
      <c r="AG449" s="330"/>
      <c r="AH449" s="330"/>
      <c r="AI449" s="330"/>
      <c r="AJ449" s="330"/>
      <c r="AK449" s="330"/>
      <c r="AL449" s="330"/>
      <c r="AM449" s="330"/>
      <c r="AN449" s="330"/>
      <c r="AO449" s="330"/>
      <c r="AP449" s="470"/>
      <c r="AQ449" s="330"/>
      <c r="AR449" s="330"/>
      <c r="AS449" s="330"/>
      <c r="AT449" s="330"/>
      <c r="AU449" s="330"/>
      <c r="AV449" s="330"/>
      <c r="AW449" s="330"/>
      <c r="AX449" s="330"/>
      <c r="AY449" s="330"/>
      <c r="AZ449" s="330"/>
      <c r="BA449" s="854"/>
      <c r="BB449" s="51"/>
      <c r="BC449" s="51"/>
      <c r="BD449" s="51"/>
      <c r="BE449" s="51"/>
      <c r="BF449" s="51"/>
      <c r="BG449" s="51"/>
      <c r="BH449" s="51"/>
      <c r="BI449" s="51"/>
      <c r="BJ449" s="51"/>
      <c r="BK449" s="51"/>
      <c r="BL449" s="51"/>
      <c r="BM449" s="330"/>
      <c r="BN449" s="330"/>
      <c r="BO449" s="330"/>
      <c r="BP449" s="330"/>
      <c r="BQ449" s="330"/>
      <c r="BR449" s="330"/>
      <c r="BS449" s="330"/>
      <c r="BT449" s="330"/>
      <c r="BU449" s="470"/>
      <c r="BV449" s="330"/>
      <c r="BW449" s="330"/>
      <c r="BX449" s="330"/>
      <c r="BY449" s="330"/>
      <c r="BZ449" s="330"/>
      <c r="DS449" s="330"/>
    </row>
    <row r="450" spans="1:123" s="70" customFormat="1" hidden="1" outlineLevel="1">
      <c r="A450" s="78"/>
      <c r="B450" s="79" t="s">
        <v>415</v>
      </c>
      <c r="C450" s="102"/>
      <c r="D450" s="102"/>
      <c r="E450" s="102"/>
      <c r="F450" s="102"/>
      <c r="G450" s="102"/>
      <c r="H450" s="102"/>
      <c r="I450" s="102"/>
      <c r="J450" s="102"/>
      <c r="K450" s="102"/>
      <c r="L450" s="102"/>
      <c r="Y450" s="252"/>
      <c r="Z450" s="252"/>
      <c r="AA450" s="252"/>
      <c r="AB450" s="252"/>
      <c r="AC450" s="252"/>
      <c r="AD450" s="252"/>
      <c r="AE450" s="252"/>
      <c r="AF450" s="837"/>
      <c r="AG450" s="837">
        <f t="shared" ref="AG450:AZ450" si="582">AF456</f>
        <v>3.3050000000000002</v>
      </c>
      <c r="AH450" s="837">
        <f t="shared" si="582"/>
        <v>3.3050000000000002</v>
      </c>
      <c r="AI450" s="837">
        <f t="shared" si="582"/>
        <v>4.1690000000000005</v>
      </c>
      <c r="AJ450" s="837">
        <f t="shared" si="582"/>
        <v>4.1690000000000005</v>
      </c>
      <c r="AK450" s="837">
        <f t="shared" si="582"/>
        <v>4.1690000000000005</v>
      </c>
      <c r="AL450" s="837">
        <f t="shared" si="582"/>
        <v>4.1690000000000005</v>
      </c>
      <c r="AM450" s="837">
        <f t="shared" si="582"/>
        <v>4.1690000000000005</v>
      </c>
      <c r="AN450" s="837">
        <f t="shared" si="582"/>
        <v>4.1690000000000005</v>
      </c>
      <c r="AO450" s="837">
        <f t="shared" si="582"/>
        <v>0</v>
      </c>
      <c r="AP450" s="842">
        <f t="shared" si="582"/>
        <v>0</v>
      </c>
      <c r="AQ450" s="837">
        <f t="shared" si="582"/>
        <v>0</v>
      </c>
      <c r="AR450" s="837">
        <f t="shared" si="582"/>
        <v>0</v>
      </c>
      <c r="AS450" s="837">
        <f t="shared" si="582"/>
        <v>0</v>
      </c>
      <c r="AT450" s="837">
        <f t="shared" si="582"/>
        <v>0</v>
      </c>
      <c r="AU450" s="837">
        <f t="shared" si="582"/>
        <v>0</v>
      </c>
      <c r="AV450" s="837">
        <f t="shared" si="582"/>
        <v>0</v>
      </c>
      <c r="AW450" s="837">
        <f t="shared" si="582"/>
        <v>0</v>
      </c>
      <c r="AX450" s="837">
        <f t="shared" si="582"/>
        <v>0</v>
      </c>
      <c r="AY450" s="837">
        <f t="shared" si="582"/>
        <v>0</v>
      </c>
      <c r="AZ450" s="837">
        <f t="shared" si="582"/>
        <v>0</v>
      </c>
      <c r="BA450" s="854"/>
      <c r="BB450" s="51"/>
      <c r="BC450" s="51"/>
      <c r="BD450" s="51"/>
      <c r="BE450" s="51"/>
      <c r="BF450" s="51"/>
      <c r="BG450" s="51"/>
      <c r="BH450" s="51"/>
      <c r="BI450" s="51"/>
      <c r="BJ450" s="51"/>
      <c r="BK450" s="51"/>
      <c r="BL450" s="51"/>
      <c r="BM450" s="330"/>
      <c r="BN450" s="330"/>
      <c r="BO450" s="330"/>
      <c r="BP450" s="107">
        <v>0</v>
      </c>
      <c r="BQ450" s="51">
        <f>BP456</f>
        <v>3.3050000000000002</v>
      </c>
      <c r="BR450" s="51">
        <f>BQ456</f>
        <v>4.1690000000000005</v>
      </c>
      <c r="BS450" s="51">
        <f>BR456</f>
        <v>4.1690000000000005</v>
      </c>
      <c r="BT450" s="330"/>
      <c r="BU450" s="470"/>
      <c r="BV450" s="330"/>
      <c r="BW450" s="330"/>
      <c r="BX450" s="330"/>
      <c r="BY450" s="330"/>
      <c r="BZ450" s="330"/>
      <c r="CB450" s="70" t="s">
        <v>620</v>
      </c>
      <c r="DS450" s="330"/>
    </row>
    <row r="451" spans="1:123" s="70" customFormat="1" hidden="1" outlineLevel="1">
      <c r="A451" s="78"/>
      <c r="B451" s="68" t="s">
        <v>366</v>
      </c>
      <c r="C451" s="102"/>
      <c r="D451" s="102"/>
      <c r="E451" s="102"/>
      <c r="F451" s="102"/>
      <c r="G451" s="102"/>
      <c r="H451" s="102"/>
      <c r="I451" s="102"/>
      <c r="J451" s="102"/>
      <c r="K451" s="102"/>
      <c r="L451" s="102"/>
      <c r="Y451" s="252"/>
      <c r="Z451" s="252"/>
      <c r="AA451" s="252"/>
      <c r="AB451" s="252"/>
      <c r="AC451" s="252"/>
      <c r="AD451" s="252"/>
      <c r="AE451" s="252"/>
      <c r="AF451" s="837"/>
      <c r="AG451" s="837"/>
      <c r="AH451" s="837">
        <f>BQ451-AG451</f>
        <v>1.2989999999999999</v>
      </c>
      <c r="AI451" s="838">
        <f>-AI455</f>
        <v>0.16676000000000002</v>
      </c>
      <c r="AJ451" s="853">
        <f>BR454-AJ450</f>
        <v>0</v>
      </c>
      <c r="AK451" s="838">
        <f>-AK455</f>
        <v>0.16676000000000002</v>
      </c>
      <c r="AL451" s="838">
        <f>BS454-AL450</f>
        <v>0</v>
      </c>
      <c r="AM451" s="838">
        <f>-AM455</f>
        <v>0.16676000000000002</v>
      </c>
      <c r="AN451" s="838">
        <f>BU454-AN450</f>
        <v>-4.1690000000000005</v>
      </c>
      <c r="AO451" s="838">
        <f>-AO455</f>
        <v>0</v>
      </c>
      <c r="AP451" s="839">
        <f>BW454-AP450</f>
        <v>0</v>
      </c>
      <c r="AQ451" s="838">
        <f t="shared" ref="AQ451:AZ451" si="583">-AQ455</f>
        <v>0</v>
      </c>
      <c r="AR451" s="838">
        <f t="shared" si="583"/>
        <v>0</v>
      </c>
      <c r="AS451" s="838">
        <f t="shared" si="583"/>
        <v>0</v>
      </c>
      <c r="AT451" s="838">
        <f t="shared" si="583"/>
        <v>0</v>
      </c>
      <c r="AU451" s="838">
        <f t="shared" si="583"/>
        <v>0</v>
      </c>
      <c r="AV451" s="838">
        <f t="shared" si="583"/>
        <v>0</v>
      </c>
      <c r="AW451" s="838">
        <f t="shared" si="583"/>
        <v>0</v>
      </c>
      <c r="AX451" s="838">
        <f t="shared" si="583"/>
        <v>0</v>
      </c>
      <c r="AY451" s="838">
        <f t="shared" si="583"/>
        <v>0</v>
      </c>
      <c r="AZ451" s="838">
        <f t="shared" si="583"/>
        <v>0</v>
      </c>
      <c r="BA451" s="854"/>
      <c r="BB451" s="51"/>
      <c r="BC451" s="51"/>
      <c r="BD451" s="51"/>
      <c r="BE451" s="51"/>
      <c r="BF451" s="51"/>
      <c r="BG451" s="51"/>
      <c r="BH451" s="51"/>
      <c r="BI451" s="51"/>
      <c r="BJ451" s="51"/>
      <c r="BK451" s="51"/>
      <c r="BL451" s="51"/>
      <c r="BM451" s="330"/>
      <c r="BN451" s="330"/>
      <c r="BO451" s="330"/>
      <c r="BP451" s="107">
        <v>3.3050000000000002</v>
      </c>
      <c r="BQ451" s="107">
        <v>1.2989999999999999</v>
      </c>
      <c r="BR451" s="329"/>
      <c r="BS451" s="329"/>
      <c r="BT451" s="330"/>
      <c r="BU451" s="470"/>
      <c r="BV451" s="330"/>
      <c r="BW451" s="330"/>
      <c r="BX451" s="330"/>
      <c r="BY451" s="330"/>
      <c r="BZ451" s="330"/>
      <c r="CB451" s="70" t="s">
        <v>620</v>
      </c>
      <c r="DS451" s="330"/>
    </row>
    <row r="452" spans="1:123" s="70" customFormat="1" hidden="1" outlineLevel="1">
      <c r="A452" s="78"/>
      <c r="B452" s="68" t="s">
        <v>374</v>
      </c>
      <c r="C452" s="102"/>
      <c r="D452" s="102"/>
      <c r="E452" s="102"/>
      <c r="F452" s="102"/>
      <c r="G452" s="102"/>
      <c r="H452" s="102"/>
      <c r="I452" s="102"/>
      <c r="J452" s="102"/>
      <c r="K452" s="102"/>
      <c r="L452" s="102"/>
      <c r="Y452" s="252"/>
      <c r="Z452" s="252"/>
      <c r="AA452" s="252"/>
      <c r="AB452" s="252"/>
      <c r="AC452" s="252"/>
      <c r="AD452" s="252"/>
      <c r="AE452" s="252"/>
      <c r="AF452" s="837"/>
      <c r="AG452" s="837"/>
      <c r="AH452" s="837">
        <f>BQ452-AG452</f>
        <v>-0.156</v>
      </c>
      <c r="AI452" s="840">
        <v>0</v>
      </c>
      <c r="AJ452" s="837">
        <f>BR452-AI452</f>
        <v>0</v>
      </c>
      <c r="AK452" s="840">
        <v>0</v>
      </c>
      <c r="AL452" s="840">
        <f>BS452-AK452</f>
        <v>0</v>
      </c>
      <c r="AM452" s="840">
        <v>0</v>
      </c>
      <c r="AN452" s="840">
        <f>BU452-AM452</f>
        <v>0</v>
      </c>
      <c r="AO452" s="840">
        <v>0</v>
      </c>
      <c r="AP452" s="841">
        <f>BW452-AO452</f>
        <v>0</v>
      </c>
      <c r="AQ452" s="840">
        <v>0</v>
      </c>
      <c r="AR452" s="840">
        <v>0</v>
      </c>
      <c r="AS452" s="840">
        <v>0</v>
      </c>
      <c r="AT452" s="840">
        <v>0</v>
      </c>
      <c r="AU452" s="840">
        <v>0</v>
      </c>
      <c r="AV452" s="840">
        <v>0</v>
      </c>
      <c r="AW452" s="840">
        <v>0</v>
      </c>
      <c r="AX452" s="840">
        <v>0</v>
      </c>
      <c r="AY452" s="840">
        <v>0</v>
      </c>
      <c r="AZ452" s="840">
        <v>0</v>
      </c>
      <c r="BA452" s="854"/>
      <c r="BB452" s="51"/>
      <c r="BC452" s="51"/>
      <c r="BD452" s="51"/>
      <c r="BE452" s="51"/>
      <c r="BF452" s="51"/>
      <c r="BG452" s="51"/>
      <c r="BH452" s="51"/>
      <c r="BI452" s="51"/>
      <c r="BJ452" s="51"/>
      <c r="BK452" s="51"/>
      <c r="BL452" s="51"/>
      <c r="BM452" s="330"/>
      <c r="BN452" s="330"/>
      <c r="BO452" s="330"/>
      <c r="BP452" s="107">
        <v>0</v>
      </c>
      <c r="BQ452" s="107">
        <v>-0.156</v>
      </c>
      <c r="BR452" s="329"/>
      <c r="BS452" s="329"/>
      <c r="BT452" s="330"/>
      <c r="BU452" s="470"/>
      <c r="BV452" s="330"/>
      <c r="BW452" s="330"/>
      <c r="BX452" s="330"/>
      <c r="BY452" s="330"/>
      <c r="BZ452" s="330"/>
      <c r="CB452" s="70" t="s">
        <v>620</v>
      </c>
      <c r="DS452" s="330"/>
    </row>
    <row r="453" spans="1:123" s="70" customFormat="1" hidden="1" outlineLevel="1">
      <c r="A453" s="78"/>
      <c r="B453" s="68" t="s">
        <v>408</v>
      </c>
      <c r="C453" s="102"/>
      <c r="D453" s="102"/>
      <c r="E453" s="102"/>
      <c r="F453" s="102"/>
      <c r="G453" s="102"/>
      <c r="H453" s="102"/>
      <c r="I453" s="102"/>
      <c r="J453" s="102"/>
      <c r="K453" s="102"/>
      <c r="L453" s="102"/>
      <c r="Y453" s="252"/>
      <c r="Z453" s="252"/>
      <c r="AA453" s="252"/>
      <c r="AB453" s="252"/>
      <c r="AC453" s="252"/>
      <c r="AD453" s="252"/>
      <c r="AE453" s="252"/>
      <c r="AF453" s="837"/>
      <c r="AG453" s="837"/>
      <c r="AH453" s="837">
        <f>BQ453-AG453</f>
        <v>0</v>
      </c>
      <c r="AI453" s="840">
        <v>0</v>
      </c>
      <c r="AJ453" s="837">
        <f>BR453-AI453</f>
        <v>0</v>
      </c>
      <c r="AK453" s="840">
        <v>0</v>
      </c>
      <c r="AL453" s="840">
        <f>BS453-AK453</f>
        <v>0</v>
      </c>
      <c r="AM453" s="840">
        <v>0</v>
      </c>
      <c r="AN453" s="840">
        <f>BU453-AM453</f>
        <v>0</v>
      </c>
      <c r="AO453" s="840">
        <v>0</v>
      </c>
      <c r="AP453" s="841">
        <f>BW453-AO453</f>
        <v>0</v>
      </c>
      <c r="AQ453" s="840">
        <v>0</v>
      </c>
      <c r="AR453" s="840">
        <v>0</v>
      </c>
      <c r="AS453" s="840">
        <v>0</v>
      </c>
      <c r="AT453" s="840">
        <v>0</v>
      </c>
      <c r="AU453" s="840">
        <v>0</v>
      </c>
      <c r="AV453" s="840">
        <v>0</v>
      </c>
      <c r="AW453" s="840">
        <v>0</v>
      </c>
      <c r="AX453" s="840">
        <v>0</v>
      </c>
      <c r="AY453" s="840">
        <v>0</v>
      </c>
      <c r="AZ453" s="840">
        <v>0</v>
      </c>
      <c r="BA453" s="854"/>
      <c r="BB453" s="51"/>
      <c r="BC453" s="51"/>
      <c r="BD453" s="51"/>
      <c r="BE453" s="51"/>
      <c r="BF453" s="51"/>
      <c r="BG453" s="51"/>
      <c r="BH453" s="51"/>
      <c r="BI453" s="51"/>
      <c r="BJ453" s="51"/>
      <c r="BK453" s="51"/>
      <c r="BL453" s="51"/>
      <c r="BM453" s="330"/>
      <c r="BN453" s="330"/>
      <c r="BO453" s="330"/>
      <c r="BP453" s="107">
        <v>0</v>
      </c>
      <c r="BQ453" s="107">
        <v>0</v>
      </c>
      <c r="BR453" s="329"/>
      <c r="BS453" s="329"/>
      <c r="BT453" s="330"/>
      <c r="BU453" s="470"/>
      <c r="BV453" s="330"/>
      <c r="BW453" s="330"/>
      <c r="BX453" s="330"/>
      <c r="BY453" s="330"/>
      <c r="BZ453" s="330"/>
      <c r="CB453" s="70" t="s">
        <v>620</v>
      </c>
      <c r="DS453" s="330"/>
    </row>
    <row r="454" spans="1:123" s="70" customFormat="1" hidden="1" outlineLevel="1">
      <c r="A454" s="78"/>
      <c r="B454" s="79" t="s">
        <v>416</v>
      </c>
      <c r="C454" s="102"/>
      <c r="D454" s="102"/>
      <c r="E454" s="102"/>
      <c r="F454" s="102"/>
      <c r="G454" s="102"/>
      <c r="H454" s="102"/>
      <c r="I454" s="102"/>
      <c r="J454" s="102"/>
      <c r="K454" s="102"/>
      <c r="L454" s="102"/>
      <c r="Y454" s="252"/>
      <c r="Z454" s="252"/>
      <c r="AA454" s="252"/>
      <c r="AB454" s="252"/>
      <c r="AC454" s="252"/>
      <c r="AD454" s="252"/>
      <c r="AE454" s="252"/>
      <c r="AF454" s="837"/>
      <c r="AG454" s="837"/>
      <c r="AH454" s="835">
        <f t="shared" ref="AH454:AZ454" si="584">SUM(AH450:AH453)</f>
        <v>4.4480000000000004</v>
      </c>
      <c r="AI454" s="835">
        <f t="shared" si="584"/>
        <v>4.3357600000000005</v>
      </c>
      <c r="AJ454" s="835">
        <f t="shared" si="584"/>
        <v>4.1690000000000005</v>
      </c>
      <c r="AK454" s="835">
        <f t="shared" si="584"/>
        <v>4.3357600000000005</v>
      </c>
      <c r="AL454" s="835">
        <f t="shared" si="584"/>
        <v>4.1690000000000005</v>
      </c>
      <c r="AM454" s="835">
        <f t="shared" si="584"/>
        <v>4.3357600000000005</v>
      </c>
      <c r="AN454" s="835">
        <f t="shared" si="584"/>
        <v>0</v>
      </c>
      <c r="AO454" s="835">
        <f t="shared" si="584"/>
        <v>0</v>
      </c>
      <c r="AP454" s="836">
        <f t="shared" si="584"/>
        <v>0</v>
      </c>
      <c r="AQ454" s="835">
        <f t="shared" si="584"/>
        <v>0</v>
      </c>
      <c r="AR454" s="835">
        <f t="shared" si="584"/>
        <v>0</v>
      </c>
      <c r="AS454" s="835">
        <f t="shared" si="584"/>
        <v>0</v>
      </c>
      <c r="AT454" s="835">
        <f t="shared" si="584"/>
        <v>0</v>
      </c>
      <c r="AU454" s="835">
        <f t="shared" si="584"/>
        <v>0</v>
      </c>
      <c r="AV454" s="835">
        <f t="shared" si="584"/>
        <v>0</v>
      </c>
      <c r="AW454" s="835">
        <f t="shared" si="584"/>
        <v>0</v>
      </c>
      <c r="AX454" s="835">
        <f t="shared" si="584"/>
        <v>0</v>
      </c>
      <c r="AY454" s="835">
        <f t="shared" si="584"/>
        <v>0</v>
      </c>
      <c r="AZ454" s="835">
        <f t="shared" si="584"/>
        <v>0</v>
      </c>
      <c r="BA454" s="854"/>
      <c r="BB454" s="51"/>
      <c r="BC454" s="51"/>
      <c r="BD454" s="51"/>
      <c r="BE454" s="51"/>
      <c r="BF454" s="51"/>
      <c r="BG454" s="51"/>
      <c r="BH454" s="51"/>
      <c r="BI454" s="51"/>
      <c r="BJ454" s="51"/>
      <c r="BK454" s="51"/>
      <c r="BL454" s="51"/>
      <c r="BM454" s="330"/>
      <c r="BN454" s="330"/>
      <c r="BO454" s="330"/>
      <c r="BP454" s="119">
        <f>SUM(BP450:BP453)</f>
        <v>3.3050000000000002</v>
      </c>
      <c r="BQ454" s="332">
        <f>SUM(BQ450:BQ453)</f>
        <v>4.4480000000000004</v>
      </c>
      <c r="BR454" s="333">
        <f>BR456</f>
        <v>4.1690000000000005</v>
      </c>
      <c r="BS454" s="333">
        <f>BS456</f>
        <v>4.1690000000000005</v>
      </c>
      <c r="BT454" s="330"/>
      <c r="BU454" s="470"/>
      <c r="BV454" s="330"/>
      <c r="BW454" s="330"/>
      <c r="BX454" s="330"/>
      <c r="BY454" s="330"/>
      <c r="BZ454" s="330"/>
      <c r="CB454" s="70" t="s">
        <v>620</v>
      </c>
      <c r="DS454" s="330"/>
    </row>
    <row r="455" spans="1:123" s="70" customFormat="1" hidden="1" outlineLevel="1">
      <c r="A455" s="78"/>
      <c r="B455" s="68" t="s">
        <v>81</v>
      </c>
      <c r="C455" s="102"/>
      <c r="D455" s="102"/>
      <c r="E455" s="102"/>
      <c r="F455" s="102"/>
      <c r="G455" s="102"/>
      <c r="H455" s="102"/>
      <c r="I455" s="102"/>
      <c r="J455" s="102"/>
      <c r="K455" s="102"/>
      <c r="L455" s="102"/>
      <c r="Y455" s="252"/>
      <c r="Z455" s="252"/>
      <c r="AA455" s="252"/>
      <c r="AB455" s="252"/>
      <c r="AC455" s="252"/>
      <c r="AD455" s="252"/>
      <c r="AE455" s="252"/>
      <c r="AF455" s="837"/>
      <c r="AG455" s="837"/>
      <c r="AH455" s="837">
        <f>BQ455-AG455</f>
        <v>-0.27900000000000003</v>
      </c>
      <c r="AI455" s="837">
        <f>-AI457*AI450</f>
        <v>-0.16676000000000002</v>
      </c>
      <c r="AJ455" s="837">
        <f>BR455-AI455</f>
        <v>0.16676000000000002</v>
      </c>
      <c r="AK455" s="837">
        <f>-AK457*AK450</f>
        <v>-0.16676000000000002</v>
      </c>
      <c r="AL455" s="837">
        <f>BS455-AK455</f>
        <v>0.16676000000000002</v>
      </c>
      <c r="AM455" s="837">
        <f>-AM457*AM450</f>
        <v>-0.16676000000000002</v>
      </c>
      <c r="AN455" s="837">
        <f>BU455-AM455</f>
        <v>0.16676000000000002</v>
      </c>
      <c r="AO455" s="837">
        <f>-AO457*AO450</f>
        <v>0</v>
      </c>
      <c r="AP455" s="842">
        <f>BW455-AO455</f>
        <v>0</v>
      </c>
      <c r="AQ455" s="837">
        <f t="shared" ref="AQ455:AZ455" si="585">-AQ457*AQ450</f>
        <v>0</v>
      </c>
      <c r="AR455" s="837">
        <f t="shared" si="585"/>
        <v>0</v>
      </c>
      <c r="AS455" s="837">
        <f t="shared" si="585"/>
        <v>0</v>
      </c>
      <c r="AT455" s="837">
        <f t="shared" si="585"/>
        <v>0</v>
      </c>
      <c r="AU455" s="837">
        <f t="shared" si="585"/>
        <v>0</v>
      </c>
      <c r="AV455" s="837">
        <f t="shared" si="585"/>
        <v>0</v>
      </c>
      <c r="AW455" s="837">
        <f t="shared" si="585"/>
        <v>0</v>
      </c>
      <c r="AX455" s="837">
        <f t="shared" si="585"/>
        <v>0</v>
      </c>
      <c r="AY455" s="837">
        <f t="shared" si="585"/>
        <v>0</v>
      </c>
      <c r="AZ455" s="837">
        <f t="shared" si="585"/>
        <v>0</v>
      </c>
      <c r="BA455" s="854"/>
      <c r="BB455" s="51"/>
      <c r="BC455" s="51"/>
      <c r="BD455" s="51"/>
      <c r="BE455" s="51"/>
      <c r="BF455" s="51"/>
      <c r="BG455" s="51"/>
      <c r="BH455" s="51"/>
      <c r="BI455" s="51"/>
      <c r="BJ455" s="51"/>
      <c r="BK455" s="51"/>
      <c r="BL455" s="51"/>
      <c r="BM455" s="330"/>
      <c r="BN455" s="330"/>
      <c r="BO455" s="330"/>
      <c r="BP455" s="107">
        <v>0</v>
      </c>
      <c r="BQ455" s="107">
        <v>-0.27900000000000003</v>
      </c>
      <c r="BR455" s="329"/>
      <c r="BS455" s="329"/>
      <c r="BT455" s="330"/>
      <c r="BU455" s="470"/>
      <c r="BV455" s="330"/>
      <c r="BW455" s="330"/>
      <c r="BX455" s="330"/>
      <c r="BY455" s="330"/>
      <c r="BZ455" s="330"/>
      <c r="CB455" s="70" t="s">
        <v>620</v>
      </c>
      <c r="DS455" s="330"/>
    </row>
    <row r="456" spans="1:123" s="75" customFormat="1" hidden="1" outlineLevel="1">
      <c r="A456" s="78"/>
      <c r="B456" s="79" t="s">
        <v>417</v>
      </c>
      <c r="C456" s="111"/>
      <c r="D456" s="111"/>
      <c r="E456" s="111"/>
      <c r="F456" s="111"/>
      <c r="G456" s="111"/>
      <c r="H456" s="111"/>
      <c r="I456" s="111"/>
      <c r="J456" s="111"/>
      <c r="K456" s="111"/>
      <c r="L456" s="111"/>
      <c r="M456" s="111"/>
      <c r="N456" s="111"/>
      <c r="O456" s="111"/>
      <c r="P456" s="111"/>
      <c r="Q456" s="111"/>
      <c r="R456" s="111"/>
      <c r="S456" s="111"/>
      <c r="T456" s="111"/>
      <c r="U456" s="111"/>
      <c r="V456" s="111"/>
      <c r="W456" s="111"/>
      <c r="X456" s="112"/>
      <c r="Y456" s="112"/>
      <c r="Z456" s="112"/>
      <c r="AA456" s="112"/>
      <c r="AB456" s="112"/>
      <c r="AC456" s="112"/>
      <c r="AD456" s="112"/>
      <c r="AE456" s="112"/>
      <c r="AF456" s="835">
        <f>BP456</f>
        <v>3.3050000000000002</v>
      </c>
      <c r="AG456" s="835">
        <f>SUM(AG450:AG455)</f>
        <v>3.3050000000000002</v>
      </c>
      <c r="AH456" s="835">
        <f>BQ456</f>
        <v>4.1690000000000005</v>
      </c>
      <c r="AI456" s="835">
        <f>SUM(AI454:AI455)</f>
        <v>4.1690000000000005</v>
      </c>
      <c r="AJ456" s="835">
        <f>BR456</f>
        <v>4.1690000000000005</v>
      </c>
      <c r="AK456" s="835">
        <f>SUM(AK454:AK455)</f>
        <v>4.1690000000000005</v>
      </c>
      <c r="AL456" s="835">
        <f>BS456</f>
        <v>4.1690000000000005</v>
      </c>
      <c r="AM456" s="835">
        <f>SUM(AM454:AM455)</f>
        <v>4.1690000000000005</v>
      </c>
      <c r="AN456" s="835">
        <f>BU456</f>
        <v>0</v>
      </c>
      <c r="AO456" s="835">
        <f>SUM(AO454:AO455)</f>
        <v>0</v>
      </c>
      <c r="AP456" s="836">
        <f>BW456</f>
        <v>0</v>
      </c>
      <c r="AQ456" s="835">
        <f t="shared" ref="AQ456:AZ456" si="586">SUM(AQ454:AQ455)</f>
        <v>0</v>
      </c>
      <c r="AR456" s="835">
        <f t="shared" si="586"/>
        <v>0</v>
      </c>
      <c r="AS456" s="835">
        <f t="shared" si="586"/>
        <v>0</v>
      </c>
      <c r="AT456" s="835">
        <f t="shared" si="586"/>
        <v>0</v>
      </c>
      <c r="AU456" s="835">
        <f t="shared" si="586"/>
        <v>0</v>
      </c>
      <c r="AV456" s="835">
        <f t="shared" si="586"/>
        <v>0</v>
      </c>
      <c r="AW456" s="835">
        <f t="shared" si="586"/>
        <v>0</v>
      </c>
      <c r="AX456" s="835">
        <f t="shared" si="586"/>
        <v>0</v>
      </c>
      <c r="AY456" s="835">
        <f t="shared" si="586"/>
        <v>0</v>
      </c>
      <c r="AZ456" s="835">
        <f t="shared" si="586"/>
        <v>0</v>
      </c>
      <c r="BA456" s="856"/>
      <c r="BB456" s="856"/>
      <c r="BC456" s="856"/>
      <c r="BD456" s="856"/>
      <c r="BE456" s="856"/>
      <c r="BF456" s="856"/>
      <c r="BG456" s="856"/>
      <c r="BH456" s="119"/>
      <c r="BI456" s="574"/>
      <c r="BJ456" s="574"/>
      <c r="BK456" s="574"/>
      <c r="BL456" s="574"/>
      <c r="BM456" s="574"/>
      <c r="BN456" s="574"/>
      <c r="BO456" s="574"/>
      <c r="BP456" s="195">
        <f>SUM(BP454:BP455)</f>
        <v>3.3050000000000002</v>
      </c>
      <c r="BQ456" s="195">
        <f>SUM(BQ454:BQ455)</f>
        <v>4.1690000000000005</v>
      </c>
      <c r="BR456" s="334">
        <f>BQ456</f>
        <v>4.1690000000000005</v>
      </c>
      <c r="BS456" s="334">
        <f>BR456</f>
        <v>4.1690000000000005</v>
      </c>
      <c r="BT456" s="119"/>
      <c r="BU456" s="513"/>
      <c r="BV456" s="119"/>
      <c r="BW456" s="119"/>
      <c r="BX456" s="119"/>
      <c r="BY456" s="119"/>
      <c r="BZ456" s="119"/>
      <c r="CB456" s="70" t="s">
        <v>620</v>
      </c>
      <c r="DS456" s="119"/>
    </row>
    <row r="457" spans="1:123" s="75" customFormat="1" hidden="1" outlineLevel="1">
      <c r="A457" s="78"/>
      <c r="B457" s="68" t="s">
        <v>422</v>
      </c>
      <c r="C457" s="111"/>
      <c r="D457" s="111"/>
      <c r="E457" s="111"/>
      <c r="F457" s="111"/>
      <c r="G457" s="111"/>
      <c r="H457" s="111"/>
      <c r="I457" s="111"/>
      <c r="J457" s="111"/>
      <c r="K457" s="111"/>
      <c r="L457" s="111"/>
      <c r="M457" s="111"/>
      <c r="N457" s="111"/>
      <c r="O457" s="111"/>
      <c r="P457" s="111"/>
      <c r="Q457" s="111"/>
      <c r="R457" s="111"/>
      <c r="S457" s="111"/>
      <c r="T457" s="111"/>
      <c r="U457" s="111"/>
      <c r="V457" s="111"/>
      <c r="W457" s="111"/>
      <c r="X457" s="112"/>
      <c r="Y457" s="112"/>
      <c r="Z457" s="112"/>
      <c r="AA457" s="112"/>
      <c r="AB457" s="112"/>
      <c r="AC457" s="112"/>
      <c r="AD457" s="112"/>
      <c r="AE457" s="112"/>
      <c r="AF457" s="835"/>
      <c r="AG457" s="835"/>
      <c r="AH457" s="835"/>
      <c r="AI457" s="840">
        <v>0.04</v>
      </c>
      <c r="AJ457" s="835"/>
      <c r="AK457" s="752">
        <v>0.04</v>
      </c>
      <c r="AL457" s="752"/>
      <c r="AM457" s="752">
        <v>0.04</v>
      </c>
      <c r="AN457" s="752"/>
      <c r="AO457" s="752">
        <v>0.04</v>
      </c>
      <c r="AP457" s="753"/>
      <c r="AQ457" s="847">
        <v>0</v>
      </c>
      <c r="AR457" s="847">
        <v>0</v>
      </c>
      <c r="AS457" s="847">
        <v>0</v>
      </c>
      <c r="AT457" s="847">
        <v>0</v>
      </c>
      <c r="AU457" s="847">
        <v>0</v>
      </c>
      <c r="AV457" s="847">
        <v>0</v>
      </c>
      <c r="AW457" s="847">
        <v>0</v>
      </c>
      <c r="AX457" s="847">
        <v>0</v>
      </c>
      <c r="AY457" s="847">
        <v>0</v>
      </c>
      <c r="AZ457" s="847">
        <v>0</v>
      </c>
      <c r="BA457" s="856"/>
      <c r="BB457" s="856"/>
      <c r="BC457" s="856"/>
      <c r="BD457" s="856"/>
      <c r="BE457" s="856"/>
      <c r="BF457" s="856"/>
      <c r="BG457" s="856"/>
      <c r="BH457" s="119"/>
      <c r="BI457" s="574"/>
      <c r="BJ457" s="574"/>
      <c r="BK457" s="574"/>
      <c r="BL457" s="574"/>
      <c r="BM457" s="574"/>
      <c r="BN457" s="574"/>
      <c r="BO457" s="574"/>
      <c r="BP457" s="849"/>
      <c r="BQ457" s="849">
        <f>BQ455/BQ450</f>
        <v>-8.4417549167927389E-2</v>
      </c>
      <c r="BR457" s="849">
        <f>BR455/BR450</f>
        <v>0</v>
      </c>
      <c r="BS457" s="849">
        <f>BS455/BS450</f>
        <v>0</v>
      </c>
      <c r="BT457" s="119"/>
      <c r="BU457" s="513"/>
      <c r="BV457" s="119"/>
      <c r="BW457" s="119"/>
      <c r="BX457" s="119"/>
      <c r="BY457" s="119"/>
      <c r="BZ457" s="119"/>
      <c r="CB457" s="70" t="s">
        <v>620</v>
      </c>
      <c r="DS457" s="119"/>
    </row>
    <row r="458" spans="1:123" s="75" customFormat="1" hidden="1" outlineLevel="1">
      <c r="A458" s="78"/>
      <c r="B458" s="68"/>
      <c r="C458" s="111"/>
      <c r="D458" s="111"/>
      <c r="E458" s="111"/>
      <c r="F458" s="111"/>
      <c r="G458" s="111"/>
      <c r="H458" s="111"/>
      <c r="I458" s="111"/>
      <c r="J458" s="111"/>
      <c r="K458" s="111"/>
      <c r="L458" s="111"/>
      <c r="M458" s="111"/>
      <c r="N458" s="111"/>
      <c r="O458" s="111"/>
      <c r="P458" s="111"/>
      <c r="Q458" s="111"/>
      <c r="R458" s="111"/>
      <c r="S458" s="111"/>
      <c r="T458" s="111"/>
      <c r="U458" s="111"/>
      <c r="V458" s="111"/>
      <c r="W458" s="111"/>
      <c r="X458" s="112"/>
      <c r="Y458" s="112"/>
      <c r="Z458" s="112"/>
      <c r="AA458" s="112"/>
      <c r="AB458" s="112"/>
      <c r="AC458" s="112"/>
      <c r="AD458" s="112"/>
      <c r="AE458" s="112"/>
      <c r="AF458" s="835"/>
      <c r="AG458" s="835"/>
      <c r="AH458" s="835"/>
      <c r="AI458" s="840"/>
      <c r="AJ458" s="835"/>
      <c r="AK458" s="838"/>
      <c r="AL458" s="838"/>
      <c r="AM458" s="838"/>
      <c r="AN458" s="838"/>
      <c r="AO458" s="838"/>
      <c r="AP458" s="839"/>
      <c r="AQ458" s="840"/>
      <c r="AR458" s="840"/>
      <c r="AS458" s="840"/>
      <c r="AT458" s="840"/>
      <c r="AU458" s="840"/>
      <c r="AV458" s="840"/>
      <c r="AW458" s="840"/>
      <c r="AX458" s="840"/>
      <c r="AY458" s="840"/>
      <c r="AZ458" s="840"/>
      <c r="BA458" s="856"/>
      <c r="BB458" s="856"/>
      <c r="BC458" s="856"/>
      <c r="BD458" s="856"/>
      <c r="BE458" s="856"/>
      <c r="BF458" s="856"/>
      <c r="BG458" s="856"/>
      <c r="BH458" s="119"/>
      <c r="BI458" s="574"/>
      <c r="BJ458" s="574"/>
      <c r="BK458" s="574"/>
      <c r="BL458" s="574"/>
      <c r="BM458" s="574"/>
      <c r="BN458" s="574"/>
      <c r="BO458" s="574"/>
      <c r="BP458" s="849"/>
      <c r="BQ458" s="849"/>
      <c r="BR458" s="849"/>
      <c r="BS458" s="849"/>
      <c r="BT458" s="119"/>
      <c r="BU458" s="513"/>
      <c r="BV458" s="119"/>
      <c r="BW458" s="119"/>
      <c r="BX458" s="119"/>
      <c r="BY458" s="119"/>
      <c r="BZ458" s="119"/>
      <c r="DS458" s="119"/>
    </row>
    <row r="459" spans="1:123" s="70" customFormat="1" hidden="1" outlineLevel="1">
      <c r="A459" s="78"/>
      <c r="B459" s="68" t="s">
        <v>423</v>
      </c>
      <c r="C459" s="102"/>
      <c r="D459" s="102"/>
      <c r="E459" s="102"/>
      <c r="F459" s="102"/>
      <c r="G459" s="102"/>
      <c r="H459" s="102"/>
      <c r="I459" s="102"/>
      <c r="J459" s="102"/>
      <c r="K459" s="102"/>
      <c r="L459" s="102"/>
      <c r="M459" s="102"/>
      <c r="N459" s="102"/>
      <c r="O459" s="102"/>
      <c r="P459" s="102"/>
      <c r="Q459" s="102"/>
      <c r="R459" s="102"/>
      <c r="S459" s="102"/>
      <c r="T459" s="102"/>
      <c r="U459" s="102"/>
      <c r="V459" s="102"/>
      <c r="W459" s="102"/>
      <c r="X459" s="141"/>
      <c r="Y459" s="141"/>
      <c r="Z459" s="141"/>
      <c r="AA459" s="141"/>
      <c r="AB459" s="141"/>
      <c r="AC459" s="141"/>
      <c r="AD459" s="141"/>
      <c r="AE459" s="141"/>
      <c r="AF459" s="837">
        <f t="shared" ref="AF459:AP459" si="587">AF295</f>
        <v>0.52900000000000003</v>
      </c>
      <c r="AG459" s="837">
        <f t="shared" si="587"/>
        <v>0.753</v>
      </c>
      <c r="AH459" s="837">
        <f t="shared" si="587"/>
        <v>1.0449999999999999</v>
      </c>
      <c r="AI459" s="837">
        <f t="shared" si="587"/>
        <v>0.872</v>
      </c>
      <c r="AJ459" s="837">
        <f t="shared" si="587"/>
        <v>1.02</v>
      </c>
      <c r="AK459" s="838">
        <f t="shared" si="587"/>
        <v>0.75700000000000001</v>
      </c>
      <c r="AL459" s="838">
        <f t="shared" si="587"/>
        <v>1.804</v>
      </c>
      <c r="AM459" s="838">
        <f t="shared" si="587"/>
        <v>1.2999999999999999E-2</v>
      </c>
      <c r="AN459" s="838">
        <f t="shared" si="587"/>
        <v>1.147</v>
      </c>
      <c r="AO459" s="838">
        <f t="shared" si="587"/>
        <v>1.28</v>
      </c>
      <c r="AP459" s="839">
        <f t="shared" si="587"/>
        <v>1.381</v>
      </c>
      <c r="AQ459" s="857"/>
      <c r="AR459" s="857"/>
      <c r="AS459" s="857"/>
      <c r="AT459" s="857"/>
      <c r="AU459" s="857"/>
      <c r="AV459" s="857"/>
      <c r="AW459" s="857"/>
      <c r="AX459" s="857"/>
      <c r="AY459" s="857"/>
      <c r="AZ459" s="857"/>
      <c r="BA459" s="854"/>
      <c r="BB459" s="854"/>
      <c r="BC459" s="854"/>
      <c r="BD459" s="854"/>
      <c r="BE459" s="854"/>
      <c r="BF459" s="854"/>
      <c r="BG459" s="854"/>
      <c r="BH459" s="51"/>
      <c r="BI459" s="567"/>
      <c r="BJ459" s="567"/>
      <c r="BK459" s="567"/>
      <c r="BL459" s="567"/>
      <c r="BM459" s="567"/>
      <c r="BN459" s="567"/>
      <c r="BO459" s="567"/>
      <c r="BP459" s="837">
        <f>BP295</f>
        <v>0.52900000000000003</v>
      </c>
      <c r="BQ459" s="837">
        <f>BQ295</f>
        <v>1.0449999999999999</v>
      </c>
      <c r="BR459" s="837">
        <f>BR295</f>
        <v>1.02</v>
      </c>
      <c r="BS459" s="837">
        <f>BS295</f>
        <v>1.804</v>
      </c>
      <c r="BT459" s="857"/>
      <c r="BU459" s="858"/>
      <c r="BV459" s="857"/>
      <c r="BW459" s="857"/>
      <c r="BX459" s="857"/>
      <c r="BY459" s="857"/>
      <c r="BZ459" s="857"/>
      <c r="CB459" s="70" t="s">
        <v>620</v>
      </c>
      <c r="DS459" s="857"/>
    </row>
    <row r="460" spans="1:123" s="70" customFormat="1" hidden="1" outlineLevel="1">
      <c r="A460" s="78"/>
      <c r="B460" s="68" t="s">
        <v>424</v>
      </c>
      <c r="C460" s="102"/>
      <c r="D460" s="102"/>
      <c r="E460" s="102"/>
      <c r="F460" s="102"/>
      <c r="G460" s="102"/>
      <c r="H460" s="102"/>
      <c r="I460" s="102"/>
      <c r="J460" s="102"/>
      <c r="K460" s="102"/>
      <c r="L460" s="102"/>
      <c r="M460" s="102"/>
      <c r="N460" s="102"/>
      <c r="O460" s="102"/>
      <c r="P460" s="102"/>
      <c r="Q460" s="102"/>
      <c r="R460" s="102"/>
      <c r="S460" s="102"/>
      <c r="T460" s="102"/>
      <c r="U460" s="102"/>
      <c r="V460" s="102"/>
      <c r="W460" s="102"/>
      <c r="X460" s="141"/>
      <c r="Y460" s="141"/>
      <c r="Z460" s="141"/>
      <c r="AA460" s="141"/>
      <c r="AB460" s="141"/>
      <c r="AC460" s="141"/>
      <c r="AD460" s="141"/>
      <c r="AE460" s="141"/>
      <c r="AF460" s="837">
        <f t="shared" ref="AF460:AP460" si="588">AF456-AF459</f>
        <v>2.7760000000000002</v>
      </c>
      <c r="AG460" s="837">
        <f t="shared" si="588"/>
        <v>2.552</v>
      </c>
      <c r="AH460" s="837">
        <f t="shared" si="588"/>
        <v>3.1240000000000006</v>
      </c>
      <c r="AI460" s="837">
        <f t="shared" si="588"/>
        <v>3.2970000000000006</v>
      </c>
      <c r="AJ460" s="837">
        <f t="shared" si="588"/>
        <v>3.1490000000000005</v>
      </c>
      <c r="AK460" s="837">
        <f t="shared" si="588"/>
        <v>3.4120000000000004</v>
      </c>
      <c r="AL460" s="837">
        <f t="shared" si="588"/>
        <v>2.3650000000000002</v>
      </c>
      <c r="AM460" s="837">
        <f t="shared" si="588"/>
        <v>4.1560000000000006</v>
      </c>
      <c r="AN460" s="837">
        <f t="shared" si="588"/>
        <v>-1.147</v>
      </c>
      <c r="AO460" s="837">
        <f t="shared" si="588"/>
        <v>-1.28</v>
      </c>
      <c r="AP460" s="842">
        <f t="shared" si="588"/>
        <v>-1.381</v>
      </c>
      <c r="AQ460" s="859"/>
      <c r="AR460" s="859"/>
      <c r="AS460" s="859"/>
      <c r="AT460" s="859"/>
      <c r="AU460" s="859"/>
      <c r="AV460" s="859"/>
      <c r="AW460" s="859"/>
      <c r="AX460" s="859"/>
      <c r="AY460" s="859"/>
      <c r="AZ460" s="859"/>
      <c r="BA460" s="854"/>
      <c r="BB460" s="854"/>
      <c r="BC460" s="854"/>
      <c r="BD460" s="854"/>
      <c r="BE460" s="854"/>
      <c r="BF460" s="854"/>
      <c r="BG460" s="854"/>
      <c r="BH460" s="51"/>
      <c r="BI460" s="567"/>
      <c r="BJ460" s="567"/>
      <c r="BK460" s="567"/>
      <c r="BL460" s="567"/>
      <c r="BM460" s="567"/>
      <c r="BN460" s="567"/>
      <c r="BO460" s="567"/>
      <c r="BP460" s="837">
        <f>BP456-BP459</f>
        <v>2.7760000000000002</v>
      </c>
      <c r="BQ460" s="837">
        <f>BQ456-BQ459</f>
        <v>3.1240000000000006</v>
      </c>
      <c r="BR460" s="837">
        <f>BR456-BR459</f>
        <v>3.1490000000000005</v>
      </c>
      <c r="BS460" s="837">
        <f>BS456-BS459</f>
        <v>2.3650000000000002</v>
      </c>
      <c r="BT460" s="859"/>
      <c r="BU460" s="860"/>
      <c r="BV460" s="859"/>
      <c r="BW460" s="859"/>
      <c r="BX460" s="859"/>
      <c r="BY460" s="859"/>
      <c r="BZ460" s="859"/>
      <c r="CB460" s="70" t="s">
        <v>620</v>
      </c>
      <c r="DS460" s="859"/>
    </row>
    <row r="461" spans="1:123" s="75" customFormat="1" hidden="1" outlineLevel="1">
      <c r="A461" s="78"/>
      <c r="B461" s="79" t="s">
        <v>425</v>
      </c>
      <c r="C461" s="111"/>
      <c r="D461" s="111"/>
      <c r="E461" s="111"/>
      <c r="F461" s="111"/>
      <c r="G461" s="111"/>
      <c r="H461" s="111"/>
      <c r="I461" s="111"/>
      <c r="J461" s="111"/>
      <c r="K461" s="111"/>
      <c r="L461" s="111"/>
      <c r="M461" s="111"/>
      <c r="N461" s="111"/>
      <c r="O461" s="111"/>
      <c r="P461" s="111"/>
      <c r="Q461" s="111"/>
      <c r="R461" s="111"/>
      <c r="S461" s="111"/>
      <c r="T461" s="111"/>
      <c r="U461" s="111"/>
      <c r="V461" s="111"/>
      <c r="W461" s="111"/>
      <c r="X461" s="112"/>
      <c r="Y461" s="112"/>
      <c r="Z461" s="112"/>
      <c r="AA461" s="112"/>
      <c r="AB461" s="112"/>
      <c r="AC461" s="112"/>
      <c r="AD461" s="112"/>
      <c r="AE461" s="112"/>
      <c r="AF461" s="835">
        <f t="shared" ref="AF461:AP461" si="589">AF303-AF460</f>
        <v>23.545999999999999</v>
      </c>
      <c r="AG461" s="835">
        <f t="shared" si="589"/>
        <v>22.507000000000001</v>
      </c>
      <c r="AH461" s="835">
        <f t="shared" si="589"/>
        <v>19.494</v>
      </c>
      <c r="AI461" s="835">
        <f t="shared" si="589"/>
        <v>20.230999999999998</v>
      </c>
      <c r="AJ461" s="835">
        <f t="shared" si="589"/>
        <v>20.701999999999998</v>
      </c>
      <c r="AK461" s="835">
        <f t="shared" si="589"/>
        <v>59.353000000000002</v>
      </c>
      <c r="AL461" s="835">
        <f t="shared" si="589"/>
        <v>67.995000000000005</v>
      </c>
      <c r="AM461" s="835">
        <f t="shared" si="589"/>
        <v>65.661999999999992</v>
      </c>
      <c r="AN461" s="835">
        <f t="shared" si="589"/>
        <v>73.89800000000001</v>
      </c>
      <c r="AO461" s="835">
        <f t="shared" si="589"/>
        <v>77.209000000000003</v>
      </c>
      <c r="AP461" s="836">
        <f t="shared" si="589"/>
        <v>78.983999999999995</v>
      </c>
      <c r="AQ461" s="861"/>
      <c r="AR461" s="861"/>
      <c r="AS461" s="861"/>
      <c r="AT461" s="861"/>
      <c r="AU461" s="861"/>
      <c r="AV461" s="861"/>
      <c r="AW461" s="861"/>
      <c r="AX461" s="861"/>
      <c r="AY461" s="861"/>
      <c r="AZ461" s="861"/>
      <c r="BA461" s="856"/>
      <c r="BB461" s="856"/>
      <c r="BC461" s="856"/>
      <c r="BD461" s="856"/>
      <c r="BE461" s="856"/>
      <c r="BF461" s="856"/>
      <c r="BG461" s="856"/>
      <c r="BH461" s="119"/>
      <c r="BI461" s="574"/>
      <c r="BJ461" s="574"/>
      <c r="BK461" s="574"/>
      <c r="BL461" s="574"/>
      <c r="BM461" s="574"/>
      <c r="BN461" s="574"/>
      <c r="BO461" s="574"/>
      <c r="BP461" s="835">
        <f>BP303-BP460</f>
        <v>23.545999999999999</v>
      </c>
      <c r="BQ461" s="835">
        <f>BQ303-BQ460</f>
        <v>19.494</v>
      </c>
      <c r="BR461" s="835">
        <f>BR303-BR460</f>
        <v>20.701999999999998</v>
      </c>
      <c r="BS461" s="835">
        <f>BS303-BS460</f>
        <v>67.995000000000005</v>
      </c>
      <c r="BT461" s="861"/>
      <c r="BU461" s="862"/>
      <c r="BV461" s="861"/>
      <c r="BW461" s="861"/>
      <c r="BX461" s="861"/>
      <c r="BY461" s="861"/>
      <c r="BZ461" s="861"/>
      <c r="CB461" s="70" t="s">
        <v>620</v>
      </c>
      <c r="DS461" s="861"/>
    </row>
    <row r="462" spans="1:123" s="70" customFormat="1" hidden="1" outlineLevel="1">
      <c r="A462" s="78"/>
      <c r="B462" s="79"/>
      <c r="C462" s="102"/>
      <c r="D462" s="102"/>
      <c r="E462" s="102"/>
      <c r="F462" s="102"/>
      <c r="G462" s="102"/>
      <c r="H462" s="102"/>
      <c r="I462" s="102"/>
      <c r="J462" s="102"/>
      <c r="K462" s="102"/>
      <c r="L462" s="102"/>
      <c r="M462" s="102"/>
      <c r="N462" s="102"/>
      <c r="O462" s="102"/>
      <c r="P462" s="102"/>
      <c r="Q462" s="102"/>
      <c r="R462" s="102"/>
      <c r="S462" s="102"/>
      <c r="T462" s="102"/>
      <c r="U462" s="102"/>
      <c r="V462" s="102"/>
      <c r="W462" s="102"/>
      <c r="X462" s="141"/>
      <c r="Y462" s="141"/>
      <c r="Z462" s="141"/>
      <c r="AA462" s="141"/>
      <c r="AB462" s="141"/>
      <c r="AC462" s="141"/>
      <c r="AD462" s="141"/>
      <c r="AE462" s="141"/>
      <c r="AF462" s="837"/>
      <c r="AG462" s="837"/>
      <c r="AH462" s="837"/>
      <c r="AI462" s="837"/>
      <c r="AJ462" s="837"/>
      <c r="AK462" s="837"/>
      <c r="AL462" s="837"/>
      <c r="AM462" s="837"/>
      <c r="AN462" s="837"/>
      <c r="AO462" s="837"/>
      <c r="AP462" s="842"/>
      <c r="AQ462" s="837"/>
      <c r="AR462" s="837"/>
      <c r="AS462" s="837"/>
      <c r="AT462" s="837"/>
      <c r="AU462" s="837"/>
      <c r="AV462" s="837"/>
      <c r="AW462" s="837"/>
      <c r="AX462" s="837"/>
      <c r="AY462" s="837"/>
      <c r="AZ462" s="837"/>
      <c r="BA462" s="854"/>
      <c r="BB462" s="854"/>
      <c r="BC462" s="854"/>
      <c r="BD462" s="854"/>
      <c r="BE462" s="854"/>
      <c r="BF462" s="854"/>
      <c r="BG462" s="854"/>
      <c r="BH462" s="51"/>
      <c r="BI462" s="567"/>
      <c r="BJ462" s="567"/>
      <c r="BK462" s="567"/>
      <c r="BL462" s="567"/>
      <c r="BM462" s="567"/>
      <c r="BN462" s="567"/>
      <c r="BO462" s="567"/>
      <c r="BP462" s="837" t="b">
        <f>SUM(BP460:BP461)=BP303</f>
        <v>1</v>
      </c>
      <c r="BQ462" s="837" t="b">
        <f>SUM(BQ460:BQ461)=BQ303</f>
        <v>1</v>
      </c>
      <c r="BR462" s="837" t="b">
        <f>SUM(BR460:BR461)=BR303</f>
        <v>1</v>
      </c>
      <c r="BS462" s="837" t="b">
        <f>SUM(BS460:BS461)=BS303</f>
        <v>1</v>
      </c>
      <c r="BT462" s="51"/>
      <c r="BU462" s="443"/>
      <c r="BV462" s="51"/>
      <c r="BW462" s="51"/>
      <c r="BX462" s="51"/>
      <c r="BY462" s="51"/>
      <c r="BZ462" s="51"/>
      <c r="DS462" s="51"/>
    </row>
    <row r="463" spans="1:123" s="70" customFormat="1" collapsed="1">
      <c r="A463" s="78"/>
      <c r="B463" s="79"/>
      <c r="C463" s="102"/>
      <c r="D463" s="102"/>
      <c r="E463" s="102"/>
      <c r="F463" s="102"/>
      <c r="G463" s="102"/>
      <c r="H463" s="102"/>
      <c r="I463" s="102"/>
      <c r="J463" s="102"/>
      <c r="K463" s="102"/>
      <c r="L463" s="102"/>
      <c r="M463" s="102"/>
      <c r="N463" s="102"/>
      <c r="O463" s="102"/>
      <c r="P463" s="102"/>
      <c r="Q463" s="102"/>
      <c r="R463" s="102"/>
      <c r="S463" s="102"/>
      <c r="T463" s="102"/>
      <c r="U463" s="102"/>
      <c r="V463" s="102"/>
      <c r="W463" s="102"/>
      <c r="X463" s="141"/>
      <c r="Y463" s="141"/>
      <c r="Z463" s="141"/>
      <c r="AA463" s="141"/>
      <c r="AB463" s="141"/>
      <c r="AC463" s="141"/>
      <c r="AD463" s="141"/>
      <c r="AE463" s="141"/>
      <c r="AF463" s="830"/>
      <c r="AG463" s="830"/>
      <c r="AH463" s="830"/>
      <c r="AI463" s="830"/>
      <c r="AJ463" s="830"/>
      <c r="AK463" s="830"/>
      <c r="AL463" s="830"/>
      <c r="AM463" s="830"/>
      <c r="AN463" s="830"/>
      <c r="AO463" s="830"/>
      <c r="AP463" s="831"/>
      <c r="AQ463" s="830"/>
      <c r="AR463" s="830"/>
      <c r="AS463" s="830"/>
      <c r="AT463" s="830"/>
      <c r="AU463" s="830"/>
      <c r="AV463" s="830"/>
      <c r="AW463" s="830"/>
      <c r="AX463" s="830"/>
      <c r="AY463" s="830"/>
      <c r="AZ463" s="830"/>
      <c r="BA463" s="828"/>
      <c r="BB463" s="828"/>
      <c r="BC463" s="828"/>
      <c r="BD463" s="828"/>
      <c r="BE463" s="828"/>
      <c r="BF463" s="828"/>
      <c r="BG463" s="828"/>
      <c r="BI463" s="564"/>
      <c r="BJ463" s="564"/>
      <c r="BK463" s="564"/>
      <c r="BL463" s="564"/>
      <c r="BM463" s="573"/>
      <c r="BN463" s="573"/>
      <c r="BO463" s="573"/>
      <c r="BP463" s="256"/>
      <c r="BQ463" s="256"/>
      <c r="BR463" s="256"/>
      <c r="BS463" s="256"/>
      <c r="BU463" s="306"/>
    </row>
    <row r="464" spans="1:123" s="70" customFormat="1">
      <c r="A464" s="78"/>
      <c r="B464" s="75" t="s">
        <v>91</v>
      </c>
      <c r="C464" s="102"/>
      <c r="D464" s="102"/>
      <c r="E464" s="102"/>
      <c r="F464" s="102"/>
      <c r="G464" s="102"/>
      <c r="L464" s="102"/>
      <c r="M464" s="102"/>
      <c r="N464" s="102"/>
      <c r="O464" s="102"/>
      <c r="P464" s="102"/>
      <c r="Q464" s="102"/>
      <c r="R464" s="102"/>
      <c r="S464" s="102"/>
      <c r="T464" s="102"/>
      <c r="U464" s="102"/>
      <c r="V464" s="102"/>
      <c r="W464" s="116"/>
      <c r="X464" s="116"/>
      <c r="Y464" s="564"/>
      <c r="Z464" s="116"/>
      <c r="AA464" s="564"/>
      <c r="AB464" s="116"/>
      <c r="AC464" s="564"/>
      <c r="AD464" s="116"/>
      <c r="AE464" s="564"/>
      <c r="AF464" s="116"/>
      <c r="AG464" s="564"/>
      <c r="AH464" s="564"/>
      <c r="AI464" s="564"/>
      <c r="AJ464" s="564"/>
      <c r="AP464" s="306"/>
      <c r="BA464" s="828"/>
      <c r="BB464" s="828"/>
      <c r="BC464" s="828"/>
      <c r="BD464" s="828"/>
      <c r="BE464" s="828"/>
      <c r="BF464" s="828"/>
      <c r="BG464" s="828"/>
      <c r="BI464" s="564"/>
      <c r="BJ464" s="564"/>
      <c r="BK464" s="564"/>
      <c r="BL464" s="564"/>
      <c r="BM464" s="573"/>
      <c r="BN464" s="573"/>
      <c r="BO464" s="573"/>
      <c r="BP464" s="564"/>
      <c r="BQ464" s="564"/>
      <c r="BR464" s="564"/>
      <c r="BS464" s="564"/>
      <c r="BT464" s="564"/>
      <c r="BU464" s="569"/>
    </row>
    <row r="465" spans="1:123" s="70" customFormat="1">
      <c r="A465" s="78" t="s">
        <v>108</v>
      </c>
      <c r="B465" s="70" t="s">
        <v>199</v>
      </c>
      <c r="C465" s="102"/>
      <c r="D465" s="102"/>
      <c r="E465" s="102"/>
      <c r="F465" s="102"/>
      <c r="G465" s="102"/>
      <c r="H465" s="102"/>
      <c r="I465" s="102"/>
      <c r="J465" s="102"/>
      <c r="K465" s="102"/>
      <c r="L465" s="102"/>
      <c r="M465" s="102"/>
      <c r="N465" s="102"/>
      <c r="O465" s="102"/>
      <c r="P465" s="102"/>
      <c r="Q465" s="102"/>
      <c r="R465" s="102"/>
      <c r="S465" s="102"/>
      <c r="T465" s="116"/>
      <c r="U465" s="116"/>
      <c r="V465" s="116"/>
      <c r="W465" s="116"/>
      <c r="X465" s="116"/>
      <c r="Y465" s="171">
        <v>141.708</v>
      </c>
      <c r="Z465" s="168">
        <f t="shared" ref="Z465:Z470" si="590">BM465</f>
        <v>141.708</v>
      </c>
      <c r="AA465" s="171">
        <v>141.708</v>
      </c>
      <c r="AB465" s="168">
        <f t="shared" ref="AB465:AB470" si="591">BN465</f>
        <v>141.708</v>
      </c>
      <c r="AC465" s="171">
        <v>254.97800000000001</v>
      </c>
      <c r="AD465" s="168">
        <f t="shared" ref="AD465:AD470" si="592">BO465</f>
        <v>255.66200000000001</v>
      </c>
      <c r="AE465" s="171">
        <v>258.947</v>
      </c>
      <c r="AF465" s="168">
        <f>BP465</f>
        <v>258.947</v>
      </c>
      <c r="AG465" s="171">
        <v>266.536</v>
      </c>
      <c r="AH465" s="168">
        <f>BQ465</f>
        <v>266.65899999999999</v>
      </c>
      <c r="AI465" s="171">
        <v>266.65899999999999</v>
      </c>
      <c r="AJ465" s="168">
        <f>BR465</f>
        <v>608.52</v>
      </c>
      <c r="AK465" s="107">
        <v>784.06500000000005</v>
      </c>
      <c r="AL465" s="107">
        <f>BS465</f>
        <v>945.68700000000001</v>
      </c>
      <c r="AM465" s="107">
        <v>945.68700000000001</v>
      </c>
      <c r="AN465" s="107">
        <f t="shared" ref="AN465:AN469" si="593">BT465</f>
        <v>1141.4280000000001</v>
      </c>
      <c r="AO465" s="107">
        <v>1166.2760000000001</v>
      </c>
      <c r="AP465" s="443">
        <f>BU465</f>
        <v>1166.2760000000001</v>
      </c>
      <c r="AQ465" s="51">
        <f t="shared" ref="AQ465:AZ465" si="594">AP465+AQ32</f>
        <v>1166.2760000000001</v>
      </c>
      <c r="AR465" s="51">
        <f t="shared" si="594"/>
        <v>1166.2760000000001</v>
      </c>
      <c r="AS465" s="51">
        <f t="shared" si="594"/>
        <v>1166.2760000000001</v>
      </c>
      <c r="AT465" s="51">
        <f t="shared" si="594"/>
        <v>1166.2760000000001</v>
      </c>
      <c r="AU465" s="51">
        <f t="shared" si="594"/>
        <v>1166.2760000000001</v>
      </c>
      <c r="AV465" s="51">
        <f t="shared" si="594"/>
        <v>1166.2760000000001</v>
      </c>
      <c r="AW465" s="51">
        <f t="shared" si="594"/>
        <v>1166.2760000000001</v>
      </c>
      <c r="AX465" s="51">
        <f t="shared" si="594"/>
        <v>1166.2760000000001</v>
      </c>
      <c r="AY465" s="51">
        <f t="shared" si="594"/>
        <v>1166.2760000000001</v>
      </c>
      <c r="AZ465" s="51">
        <f t="shared" si="594"/>
        <v>1166.2760000000001</v>
      </c>
      <c r="BA465" s="828"/>
      <c r="BI465" s="25"/>
      <c r="BJ465" s="25"/>
      <c r="BK465" s="25"/>
      <c r="BL465" s="25"/>
      <c r="BM465" s="181">
        <v>141.708</v>
      </c>
      <c r="BN465" s="181">
        <v>141.708</v>
      </c>
      <c r="BO465" s="181">
        <v>255.66200000000001</v>
      </c>
      <c r="BP465" s="255">
        <v>258.947</v>
      </c>
      <c r="BQ465" s="115">
        <v>266.65899999999999</v>
      </c>
      <c r="BR465" s="115">
        <v>608.52</v>
      </c>
      <c r="BS465" s="115">
        <v>945.68700000000001</v>
      </c>
      <c r="BT465" s="115">
        <v>1141.4280000000001</v>
      </c>
      <c r="BU465" s="539">
        <v>1166.2760000000001</v>
      </c>
      <c r="BV465" s="39">
        <f>AR465</f>
        <v>1166.2760000000001</v>
      </c>
      <c r="BW465" s="39">
        <f>AT465</f>
        <v>1166.2760000000001</v>
      </c>
      <c r="BX465" s="39">
        <f>AV465</f>
        <v>1166.2760000000001</v>
      </c>
      <c r="BY465" s="39">
        <f>AX465</f>
        <v>1166.2760000000001</v>
      </c>
      <c r="BZ465" s="39">
        <f>AZ465</f>
        <v>1166.2760000000001</v>
      </c>
      <c r="CB465" s="70" t="s">
        <v>624</v>
      </c>
      <c r="DS465" s="39">
        <f>CV465</f>
        <v>0</v>
      </c>
    </row>
    <row r="466" spans="1:123" s="70" customFormat="1">
      <c r="A466" s="78" t="s">
        <v>110</v>
      </c>
      <c r="B466" s="70" t="s">
        <v>312</v>
      </c>
      <c r="C466" s="102"/>
      <c r="D466" s="102"/>
      <c r="E466" s="102"/>
      <c r="F466" s="102"/>
      <c r="G466" s="102"/>
      <c r="H466" s="102"/>
      <c r="I466" s="102"/>
      <c r="J466" s="102"/>
      <c r="K466" s="102"/>
      <c r="L466" s="102"/>
      <c r="M466" s="102"/>
      <c r="N466" s="102"/>
      <c r="O466" s="102"/>
      <c r="P466" s="102"/>
      <c r="Q466" s="102"/>
      <c r="R466" s="102"/>
      <c r="S466" s="102"/>
      <c r="T466" s="116"/>
      <c r="U466" s="116"/>
      <c r="V466" s="116"/>
      <c r="W466" s="116"/>
      <c r="X466" s="116"/>
      <c r="Y466" s="171">
        <v>141.88999999999999</v>
      </c>
      <c r="Z466" s="168">
        <f t="shared" si="590"/>
        <v>154.57900000000001</v>
      </c>
      <c r="AA466" s="171">
        <v>158.71799999999999</v>
      </c>
      <c r="AB466" s="168">
        <f t="shared" si="591"/>
        <v>169.02199999999999</v>
      </c>
      <c r="AC466" s="171">
        <v>163.21799999999999</v>
      </c>
      <c r="AD466" s="168">
        <f t="shared" si="592"/>
        <v>171.16800000000001</v>
      </c>
      <c r="AE466" s="171">
        <v>164.50399999999999</v>
      </c>
      <c r="AF466" s="168">
        <f>BP466</f>
        <v>177.76900000000001</v>
      </c>
      <c r="AG466" s="171">
        <v>176.596</v>
      </c>
      <c r="AH466" s="168">
        <f>BQ466</f>
        <v>210.42400000000001</v>
      </c>
      <c r="AI466" s="171">
        <v>208.297</v>
      </c>
      <c r="AJ466" s="168">
        <f>BR466</f>
        <v>247.27799999999999</v>
      </c>
      <c r="AK466" s="107">
        <v>205.12200000000001</v>
      </c>
      <c r="AL466" s="107">
        <f>BS466</f>
        <v>258.399</v>
      </c>
      <c r="AM466" s="107">
        <v>244.553</v>
      </c>
      <c r="AN466" s="107">
        <f t="shared" si="593"/>
        <v>312.84699999999998</v>
      </c>
      <c r="AO466" s="107">
        <v>244.00800000000001</v>
      </c>
      <c r="AP466" s="443">
        <f>BU466</f>
        <v>361.63799999999998</v>
      </c>
      <c r="AQ466" s="51">
        <f t="shared" ref="AQ466:AZ466" si="595">AP466+(AQ258+AQ498)</f>
        <v>375.38185322472475</v>
      </c>
      <c r="AR466" s="51">
        <f t="shared" si="595"/>
        <v>476.19736892403671</v>
      </c>
      <c r="AS466" s="51">
        <f t="shared" si="595"/>
        <v>486.91639636808173</v>
      </c>
      <c r="AT466" s="51">
        <f t="shared" si="595"/>
        <v>596.3138616534535</v>
      </c>
      <c r="AU466" s="51">
        <f t="shared" si="595"/>
        <v>610.83097016776196</v>
      </c>
      <c r="AV466" s="51">
        <f t="shared" si="595"/>
        <v>727.82905171253219</v>
      </c>
      <c r="AW466" s="51">
        <f t="shared" si="595"/>
        <v>745.02264718914182</v>
      </c>
      <c r="AX466" s="51">
        <f t="shared" si="595"/>
        <v>870.61916338232152</v>
      </c>
      <c r="AY466" s="51">
        <f t="shared" si="595"/>
        <v>890.70582162697099</v>
      </c>
      <c r="AZ466" s="51">
        <f t="shared" si="595"/>
        <v>1025.4505711026786</v>
      </c>
      <c r="BA466" s="828"/>
      <c r="BI466" s="25"/>
      <c r="BJ466" s="25"/>
      <c r="BK466" s="25"/>
      <c r="BL466" s="25"/>
      <c r="BM466" s="181">
        <v>154.57900000000001</v>
      </c>
      <c r="BN466" s="181">
        <v>169.02199999999999</v>
      </c>
      <c r="BO466" s="181">
        <v>171.16800000000001</v>
      </c>
      <c r="BP466" s="255">
        <v>177.76900000000001</v>
      </c>
      <c r="BQ466" s="115">
        <v>210.42400000000001</v>
      </c>
      <c r="BR466" s="115">
        <v>247.27799999999999</v>
      </c>
      <c r="BS466" s="115">
        <v>258.399</v>
      </c>
      <c r="BT466" s="115">
        <v>312.84699999999998</v>
      </c>
      <c r="BU466" s="539">
        <v>361.63799999999998</v>
      </c>
      <c r="BV466" s="39">
        <f>AR466</f>
        <v>476.19736892403671</v>
      </c>
      <c r="BW466" s="39">
        <f>AT466</f>
        <v>596.3138616534535</v>
      </c>
      <c r="BX466" s="39">
        <f>AV466</f>
        <v>727.82905171253219</v>
      </c>
      <c r="BY466" s="39">
        <f>AX466</f>
        <v>870.61916338232152</v>
      </c>
      <c r="BZ466" s="39">
        <f>AZ466</f>
        <v>1025.4505711026786</v>
      </c>
      <c r="CB466" s="70" t="s">
        <v>624</v>
      </c>
      <c r="DS466" s="39">
        <f>CV466</f>
        <v>0</v>
      </c>
    </row>
    <row r="467" spans="1:123" s="70" customFormat="1">
      <c r="A467" s="78" t="s">
        <v>109</v>
      </c>
      <c r="B467" s="70" t="s">
        <v>591</v>
      </c>
      <c r="C467" s="102"/>
      <c r="D467" s="102"/>
      <c r="E467" s="102"/>
      <c r="F467" s="102"/>
      <c r="G467" s="102"/>
      <c r="H467" s="102"/>
      <c r="I467" s="102"/>
      <c r="J467" s="102"/>
      <c r="K467" s="102"/>
      <c r="L467" s="102"/>
      <c r="M467" s="102"/>
      <c r="N467" s="102"/>
      <c r="O467" s="102"/>
      <c r="P467" s="102"/>
      <c r="Q467" s="102"/>
      <c r="R467" s="102"/>
      <c r="S467" s="102"/>
      <c r="T467" s="102"/>
      <c r="U467" s="116"/>
      <c r="V467" s="116"/>
      <c r="W467" s="116"/>
      <c r="X467" s="116"/>
      <c r="Y467" s="171">
        <f>5.732+0.317+0.284</f>
        <v>6.3330000000000002</v>
      </c>
      <c r="Z467" s="168">
        <f t="shared" si="590"/>
        <v>-19.373999999999999</v>
      </c>
      <c r="AA467" s="171">
        <f>6.603-0.491+0.127</f>
        <v>6.2389999999999999</v>
      </c>
      <c r="AB467" s="168">
        <f t="shared" si="591"/>
        <v>-20.000999999999998</v>
      </c>
      <c r="AC467" s="171">
        <f>7.199-26.672+0.18</f>
        <v>-19.292999999999999</v>
      </c>
      <c r="AD467" s="168">
        <f t="shared" si="592"/>
        <v>-11.727</v>
      </c>
      <c r="AE467" s="171">
        <f>8.282-19.157+0.587</f>
        <v>-10.288</v>
      </c>
      <c r="AF467" s="168">
        <f>BP467</f>
        <v>-7.4380000000000006</v>
      </c>
      <c r="AG467" s="171">
        <f>-1.192-19.663+9.371</f>
        <v>-11.484</v>
      </c>
      <c r="AH467" s="168">
        <f>BQ467</f>
        <v>1.6709999999999994</v>
      </c>
      <c r="AI467" s="171">
        <f>-1.02+0.358-8.024+12.128</f>
        <v>3.4420000000000002</v>
      </c>
      <c r="AJ467" s="168">
        <f>BR467</f>
        <v>-1.3039999999999736</v>
      </c>
      <c r="AK467" s="423">
        <f>0.674-8.278+11.27+6.301+16.175</f>
        <v>26.141999999999999</v>
      </c>
      <c r="AL467" s="423">
        <f>BS467</f>
        <v>75.767000000000053</v>
      </c>
      <c r="AM467" s="423">
        <f>41.755+11.602-9.468-10.318+28.868</f>
        <v>62.438999999999993</v>
      </c>
      <c r="AN467" s="423">
        <f t="shared" si="593"/>
        <v>58.044999999999845</v>
      </c>
      <c r="AO467" s="423">
        <f>112.514+2.811-8.557-10.318+23.145</f>
        <v>119.59499999999998</v>
      </c>
      <c r="AP467" s="485">
        <f>BU467</f>
        <v>163.85500000000002</v>
      </c>
      <c r="AQ467" s="232">
        <f t="shared" ref="AQ467:AZ467" si="596">AP467</f>
        <v>163.85500000000002</v>
      </c>
      <c r="AR467" s="232">
        <f t="shared" si="596"/>
        <v>163.85500000000002</v>
      </c>
      <c r="AS467" s="232">
        <f t="shared" si="596"/>
        <v>163.85500000000002</v>
      </c>
      <c r="AT467" s="232">
        <f t="shared" si="596"/>
        <v>163.85500000000002</v>
      </c>
      <c r="AU467" s="232">
        <f t="shared" si="596"/>
        <v>163.85500000000002</v>
      </c>
      <c r="AV467" s="232">
        <f t="shared" si="596"/>
        <v>163.85500000000002</v>
      </c>
      <c r="AW467" s="232">
        <f t="shared" si="596"/>
        <v>163.85500000000002</v>
      </c>
      <c r="AX467" s="232">
        <f t="shared" si="596"/>
        <v>163.85500000000002</v>
      </c>
      <c r="AY467" s="232">
        <f t="shared" si="596"/>
        <v>163.85500000000002</v>
      </c>
      <c r="AZ467" s="232">
        <f t="shared" si="596"/>
        <v>163.85500000000002</v>
      </c>
      <c r="BA467" s="828"/>
      <c r="BI467" s="25"/>
      <c r="BJ467" s="25"/>
      <c r="BK467" s="25"/>
      <c r="BL467" s="25"/>
      <c r="BM467" s="181">
        <f>6.09-25.875+0.212+0.199</f>
        <v>-19.373999999999999</v>
      </c>
      <c r="BN467" s="181">
        <f>6.861-26.403-0.459</f>
        <v>-20.000999999999998</v>
      </c>
      <c r="BO467" s="181">
        <f>0.372-19.919+7.82</f>
        <v>-11.727</v>
      </c>
      <c r="BP467" s="253">
        <f>-1.129-14.778+8.469</f>
        <v>-7.4380000000000006</v>
      </c>
      <c r="BQ467" s="115">
        <f>-1.519+0.108-7.057+10.139</f>
        <v>1.6709999999999994</v>
      </c>
      <c r="BR467" s="115">
        <f>854.494-SUM(BR465:BR466)</f>
        <v>-1.3039999999999736</v>
      </c>
      <c r="BS467" s="115">
        <f>1279.853-SUM(BS465:BS466)</f>
        <v>75.767000000000053</v>
      </c>
      <c r="BT467" s="115">
        <f>1512.32-SUM(BT465:BT466)</f>
        <v>58.044999999999845</v>
      </c>
      <c r="BU467" s="539">
        <f>1691.769-SUM(BU465:BU466)</f>
        <v>163.85500000000002</v>
      </c>
      <c r="BV467" s="39">
        <f>AR467</f>
        <v>163.85500000000002</v>
      </c>
      <c r="BW467" s="39">
        <f>AT467</f>
        <v>163.85500000000002</v>
      </c>
      <c r="BX467" s="39">
        <f>AV467</f>
        <v>163.85500000000002</v>
      </c>
      <c r="BY467" s="39">
        <f>AX467</f>
        <v>163.85500000000002</v>
      </c>
      <c r="BZ467" s="39">
        <f>AZ467</f>
        <v>163.85500000000002</v>
      </c>
      <c r="CB467" s="70" t="s">
        <v>624</v>
      </c>
      <c r="DS467" s="39">
        <f>CV467</f>
        <v>0</v>
      </c>
    </row>
    <row r="468" spans="1:123" s="70" customFormat="1">
      <c r="A468" s="78" t="s">
        <v>192</v>
      </c>
      <c r="B468" s="70" t="s">
        <v>177</v>
      </c>
      <c r="C468" s="75"/>
      <c r="D468" s="75"/>
      <c r="E468" s="75"/>
      <c r="F468" s="75"/>
      <c r="G468" s="75"/>
      <c r="H468" s="75"/>
      <c r="I468" s="75"/>
      <c r="J468" s="75"/>
      <c r="K468" s="75"/>
      <c r="L468" s="75"/>
      <c r="M468" s="75"/>
      <c r="N468" s="75"/>
      <c r="O468" s="75"/>
      <c r="P468" s="75"/>
      <c r="Q468" s="75"/>
      <c r="R468" s="75"/>
      <c r="S468" s="75"/>
      <c r="T468" s="75"/>
      <c r="U468" s="75"/>
      <c r="V468" s="75"/>
      <c r="W468" s="75"/>
      <c r="X468" s="75"/>
      <c r="Y468" s="182">
        <f>SUM(Y465:Y467)</f>
        <v>289.93099999999998</v>
      </c>
      <c r="Z468" s="200">
        <f t="shared" si="590"/>
        <v>276.91300000000001</v>
      </c>
      <c r="AA468" s="182">
        <f>SUM(AA465:AA467)</f>
        <v>306.66499999999996</v>
      </c>
      <c r="AB468" s="200">
        <f t="shared" si="591"/>
        <v>290.72900000000004</v>
      </c>
      <c r="AC468" s="182">
        <f>SUM(AC465:AC467)</f>
        <v>398.90300000000002</v>
      </c>
      <c r="AD468" s="200">
        <f t="shared" si="592"/>
        <v>415.10300000000007</v>
      </c>
      <c r="AE468" s="182">
        <f t="shared" ref="AE468:AZ468" si="597">SUM(AE465:AE467)</f>
        <v>413.16300000000001</v>
      </c>
      <c r="AF468" s="182">
        <f t="shared" si="597"/>
        <v>429.27800000000002</v>
      </c>
      <c r="AG468" s="182">
        <f t="shared" si="597"/>
        <v>431.64800000000002</v>
      </c>
      <c r="AH468" s="182">
        <f t="shared" si="597"/>
        <v>478.75399999999996</v>
      </c>
      <c r="AI468" s="182">
        <f t="shared" si="597"/>
        <v>478.39800000000002</v>
      </c>
      <c r="AJ468" s="182">
        <f t="shared" si="597"/>
        <v>854.49400000000003</v>
      </c>
      <c r="AK468" s="195">
        <f t="shared" si="597"/>
        <v>1015.3290000000002</v>
      </c>
      <c r="AL468" s="195">
        <f t="shared" si="597"/>
        <v>1279.8530000000001</v>
      </c>
      <c r="AM468" s="195">
        <f t="shared" si="597"/>
        <v>1252.6790000000001</v>
      </c>
      <c r="AN468" s="195">
        <f t="shared" si="597"/>
        <v>1512.32</v>
      </c>
      <c r="AO468" s="195">
        <f t="shared" si="597"/>
        <v>1529.8790000000001</v>
      </c>
      <c r="AP468" s="511">
        <f t="shared" si="597"/>
        <v>1691.769</v>
      </c>
      <c r="AQ468" s="195">
        <f t="shared" si="597"/>
        <v>1705.5128532247249</v>
      </c>
      <c r="AR468" s="195">
        <f t="shared" si="597"/>
        <v>1806.3283689240368</v>
      </c>
      <c r="AS468" s="195">
        <f t="shared" si="597"/>
        <v>1817.0473963680818</v>
      </c>
      <c r="AT468" s="195">
        <f t="shared" si="597"/>
        <v>1926.4448616534537</v>
      </c>
      <c r="AU468" s="195">
        <f t="shared" si="597"/>
        <v>1940.961970167762</v>
      </c>
      <c r="AV468" s="195">
        <f t="shared" si="597"/>
        <v>2057.9600517125323</v>
      </c>
      <c r="AW468" s="195">
        <f t="shared" si="597"/>
        <v>2075.1536471891418</v>
      </c>
      <c r="AX468" s="195">
        <f t="shared" si="597"/>
        <v>2200.7501633823217</v>
      </c>
      <c r="AY468" s="195">
        <f t="shared" si="597"/>
        <v>2220.836821626971</v>
      </c>
      <c r="AZ468" s="195">
        <f t="shared" si="597"/>
        <v>2355.5815711026785</v>
      </c>
      <c r="BA468" s="828"/>
      <c r="BB468" s="75"/>
      <c r="BC468" s="75"/>
      <c r="BD468" s="75"/>
      <c r="BE468" s="75"/>
      <c r="BF468" s="75"/>
      <c r="BG468" s="75"/>
      <c r="BI468" s="88"/>
      <c r="BJ468" s="88"/>
      <c r="BK468" s="88"/>
      <c r="BL468" s="88"/>
      <c r="BM468" s="182">
        <f>SUM(BM465:BM467)</f>
        <v>276.91300000000001</v>
      </c>
      <c r="BN468" s="182">
        <f t="shared" ref="BN468:BV468" si="598">SUM(BN465:BN467)</f>
        <v>290.72900000000004</v>
      </c>
      <c r="BO468" s="182">
        <f t="shared" si="598"/>
        <v>415.10300000000007</v>
      </c>
      <c r="BP468" s="254">
        <f t="shared" si="598"/>
        <v>429.27800000000002</v>
      </c>
      <c r="BQ468" s="260">
        <f t="shared" si="598"/>
        <v>478.75399999999996</v>
      </c>
      <c r="BR468" s="260">
        <f>SUM(BR465:BR467)</f>
        <v>854.49400000000003</v>
      </c>
      <c r="BS468" s="260">
        <f>SUM(BS465:BS467)</f>
        <v>1279.8530000000001</v>
      </c>
      <c r="BT468" s="260">
        <f>SUM(BT465:BT467)</f>
        <v>1512.32</v>
      </c>
      <c r="BU468" s="540">
        <f>SUM(BU465:BU467)</f>
        <v>1691.769</v>
      </c>
      <c r="BV468" s="182">
        <f t="shared" si="598"/>
        <v>1806.3283689240368</v>
      </c>
      <c r="BW468" s="182">
        <f>SUM(BW465:BW467)</f>
        <v>1926.4448616534537</v>
      </c>
      <c r="BX468" s="182">
        <f t="shared" ref="BX468:BZ468" si="599">SUM(BX465:BX467)</f>
        <v>2057.9600517125323</v>
      </c>
      <c r="BY468" s="182">
        <f t="shared" si="599"/>
        <v>2200.7501633823217</v>
      </c>
      <c r="BZ468" s="182">
        <f t="shared" si="599"/>
        <v>2355.5815711026785</v>
      </c>
      <c r="CB468" s="70" t="s">
        <v>609</v>
      </c>
      <c r="DS468" s="182">
        <f>SUM(DS465:DS467)</f>
        <v>0</v>
      </c>
    </row>
    <row r="469" spans="1:123" s="70" customFormat="1">
      <c r="A469" s="78" t="s">
        <v>111</v>
      </c>
      <c r="B469" s="70" t="s">
        <v>178</v>
      </c>
      <c r="C469" s="102"/>
      <c r="D469" s="102"/>
      <c r="E469" s="102"/>
      <c r="F469" s="102"/>
      <c r="G469" s="102"/>
      <c r="H469" s="102"/>
      <c r="I469" s="102"/>
      <c r="J469" s="102"/>
      <c r="K469" s="102"/>
      <c r="M469" s="102"/>
      <c r="N469" s="102"/>
      <c r="O469" s="102"/>
      <c r="P469" s="102"/>
      <c r="Q469" s="102"/>
      <c r="R469" s="102"/>
      <c r="S469" s="102"/>
      <c r="T469" s="102"/>
      <c r="U469" s="116"/>
      <c r="V469" s="116"/>
      <c r="W469" s="116"/>
      <c r="X469" s="116"/>
      <c r="Y469" s="171">
        <v>64.423000000000002</v>
      </c>
      <c r="Z469" s="168">
        <f t="shared" si="590"/>
        <v>68.867999999999995</v>
      </c>
      <c r="AA469" s="171">
        <v>66.018000000000001</v>
      </c>
      <c r="AB469" s="168">
        <f t="shared" si="591"/>
        <v>66.501000000000005</v>
      </c>
      <c r="AC469" s="171">
        <v>75.548000000000002</v>
      </c>
      <c r="AD469" s="168">
        <f t="shared" si="592"/>
        <v>68.295000000000002</v>
      </c>
      <c r="AE469" s="171">
        <v>61.933</v>
      </c>
      <c r="AF469" s="168">
        <f>BP469</f>
        <v>61.14</v>
      </c>
      <c r="AG469" s="171">
        <v>123.69499999999999</v>
      </c>
      <c r="AH469" s="168">
        <f>BQ469</f>
        <v>119.533</v>
      </c>
      <c r="AI469" s="171">
        <v>135.95500000000001</v>
      </c>
      <c r="AJ469" s="168">
        <f>BR469</f>
        <v>143.18299999999999</v>
      </c>
      <c r="AK469" s="423">
        <v>186.4</v>
      </c>
      <c r="AL469" s="423">
        <f>BS469</f>
        <v>233.51499999999999</v>
      </c>
      <c r="AM469" s="423">
        <v>233.16</v>
      </c>
      <c r="AN469" s="423">
        <f t="shared" si="593"/>
        <v>236.89099999999999</v>
      </c>
      <c r="AO469" s="423">
        <v>333.91399999999999</v>
      </c>
      <c r="AP469" s="485">
        <f>BU469</f>
        <v>382.07799999999997</v>
      </c>
      <c r="AQ469" s="232">
        <f t="shared" ref="AQ469:AZ469" si="600">AP469</f>
        <v>382.07799999999997</v>
      </c>
      <c r="AR469" s="232">
        <f t="shared" si="600"/>
        <v>382.07799999999997</v>
      </c>
      <c r="AS469" s="232">
        <f t="shared" si="600"/>
        <v>382.07799999999997</v>
      </c>
      <c r="AT469" s="232">
        <f t="shared" si="600"/>
        <v>382.07799999999997</v>
      </c>
      <c r="AU469" s="232">
        <f t="shared" si="600"/>
        <v>382.07799999999997</v>
      </c>
      <c r="AV469" s="232">
        <f t="shared" si="600"/>
        <v>382.07799999999997</v>
      </c>
      <c r="AW469" s="232">
        <f t="shared" si="600"/>
        <v>382.07799999999997</v>
      </c>
      <c r="AX469" s="232">
        <f t="shared" si="600"/>
        <v>382.07799999999997</v>
      </c>
      <c r="AY469" s="232">
        <f t="shared" si="600"/>
        <v>382.07799999999997</v>
      </c>
      <c r="AZ469" s="232">
        <f t="shared" si="600"/>
        <v>382.07799999999997</v>
      </c>
      <c r="BA469" s="828"/>
      <c r="BI469" s="25"/>
      <c r="BJ469" s="25"/>
      <c r="BK469" s="25"/>
      <c r="BL469" s="25"/>
      <c r="BM469" s="181">
        <v>68.867999999999995</v>
      </c>
      <c r="BN469" s="181">
        <v>66.501000000000005</v>
      </c>
      <c r="BO469" s="181">
        <v>68.295000000000002</v>
      </c>
      <c r="BP469" s="253">
        <v>61.14</v>
      </c>
      <c r="BQ469" s="115">
        <v>119.533</v>
      </c>
      <c r="BR469" s="115">
        <v>143.18299999999999</v>
      </c>
      <c r="BS469" s="115">
        <v>233.51499999999999</v>
      </c>
      <c r="BT469" s="115">
        <v>236.89099999999999</v>
      </c>
      <c r="BU469" s="539">
        <v>382.07799999999997</v>
      </c>
      <c r="BV469" s="39">
        <f>AR469</f>
        <v>382.07799999999997</v>
      </c>
      <c r="BW469" s="39">
        <f>AT469</f>
        <v>382.07799999999997</v>
      </c>
      <c r="BX469" s="39">
        <f>AV469</f>
        <v>382.07799999999997</v>
      </c>
      <c r="BY469" s="39">
        <f>AX469</f>
        <v>382.07799999999997</v>
      </c>
      <c r="BZ469" s="39">
        <f>AZ469</f>
        <v>382.07799999999997</v>
      </c>
      <c r="CB469" s="70" t="s">
        <v>624</v>
      </c>
      <c r="DS469" s="39">
        <f>CV469</f>
        <v>0</v>
      </c>
    </row>
    <row r="470" spans="1:123" s="70" customFormat="1">
      <c r="A470" s="78" t="s">
        <v>112</v>
      </c>
      <c r="B470" s="70" t="s">
        <v>92</v>
      </c>
      <c r="C470" s="75"/>
      <c r="D470" s="75"/>
      <c r="E470" s="75"/>
      <c r="F470" s="75"/>
      <c r="G470" s="75"/>
      <c r="H470" s="75"/>
      <c r="I470" s="75"/>
      <c r="J470" s="75"/>
      <c r="K470" s="75"/>
      <c r="L470" s="75"/>
      <c r="M470" s="75"/>
      <c r="N470" s="75"/>
      <c r="O470" s="75"/>
      <c r="P470" s="75"/>
      <c r="Q470" s="75"/>
      <c r="R470" s="75"/>
      <c r="S470" s="75"/>
      <c r="T470" s="75"/>
      <c r="U470" s="75"/>
      <c r="V470" s="75"/>
      <c r="W470" s="75"/>
      <c r="X470" s="75"/>
      <c r="Y470" s="183">
        <f>Y468+Y469</f>
        <v>354.35399999999998</v>
      </c>
      <c r="Z470" s="200">
        <f t="shared" si="590"/>
        <v>345.78100000000001</v>
      </c>
      <c r="AA470" s="183">
        <f>AA468+AA469</f>
        <v>372.68299999999999</v>
      </c>
      <c r="AB470" s="200">
        <f t="shared" si="591"/>
        <v>357.23</v>
      </c>
      <c r="AC470" s="183">
        <f>AC468+AC469</f>
        <v>474.45100000000002</v>
      </c>
      <c r="AD470" s="200">
        <f t="shared" si="592"/>
        <v>483.39800000000008</v>
      </c>
      <c r="AE470" s="183">
        <f t="shared" ref="AE470:AP470" si="601">AE468+AE469</f>
        <v>475.096</v>
      </c>
      <c r="AF470" s="183">
        <f t="shared" si="601"/>
        <v>490.41800000000001</v>
      </c>
      <c r="AG470" s="183">
        <f t="shared" si="601"/>
        <v>555.34300000000007</v>
      </c>
      <c r="AH470" s="183">
        <f t="shared" si="601"/>
        <v>598.28699999999992</v>
      </c>
      <c r="AI470" s="183">
        <f t="shared" si="601"/>
        <v>614.35300000000007</v>
      </c>
      <c r="AJ470" s="183">
        <f t="shared" si="601"/>
        <v>997.67700000000002</v>
      </c>
      <c r="AK470" s="183">
        <f t="shared" si="601"/>
        <v>1201.7290000000003</v>
      </c>
      <c r="AL470" s="183">
        <f t="shared" si="601"/>
        <v>1513.3679999999999</v>
      </c>
      <c r="AM470" s="183">
        <f t="shared" si="601"/>
        <v>1485.8390000000002</v>
      </c>
      <c r="AN470" s="183">
        <f t="shared" si="601"/>
        <v>1749.211</v>
      </c>
      <c r="AO470" s="183">
        <f t="shared" si="601"/>
        <v>1863.7930000000001</v>
      </c>
      <c r="AP470" s="463">
        <f t="shared" si="601"/>
        <v>2073.8469999999998</v>
      </c>
      <c r="AQ470" s="183">
        <f t="shared" ref="AQ470:AZ470" si="602">SUM(AQ468:AQ469)</f>
        <v>2087.5908532247249</v>
      </c>
      <c r="AR470" s="183">
        <f t="shared" si="602"/>
        <v>2188.4063689240365</v>
      </c>
      <c r="AS470" s="183">
        <f t="shared" si="602"/>
        <v>2199.125396368082</v>
      </c>
      <c r="AT470" s="183">
        <f t="shared" si="602"/>
        <v>2308.5228616534537</v>
      </c>
      <c r="AU470" s="183">
        <f t="shared" si="602"/>
        <v>2323.039970167762</v>
      </c>
      <c r="AV470" s="183">
        <f t="shared" si="602"/>
        <v>2440.0380517125323</v>
      </c>
      <c r="AW470" s="183">
        <f t="shared" si="602"/>
        <v>2457.2316471891418</v>
      </c>
      <c r="AX470" s="183">
        <f t="shared" si="602"/>
        <v>2582.8281633823217</v>
      </c>
      <c r="AY470" s="183">
        <f t="shared" si="602"/>
        <v>2602.9148216269709</v>
      </c>
      <c r="AZ470" s="183">
        <f t="shared" si="602"/>
        <v>2737.6595711026785</v>
      </c>
      <c r="BA470" s="828"/>
      <c r="BB470" s="75"/>
      <c r="BC470" s="75"/>
      <c r="BD470" s="75"/>
      <c r="BE470" s="75"/>
      <c r="BF470" s="75"/>
      <c r="BG470" s="75"/>
      <c r="BI470" s="88"/>
      <c r="BJ470" s="88"/>
      <c r="BK470" s="88"/>
      <c r="BL470" s="88"/>
      <c r="BM470" s="183">
        <f>BM468+BM469</f>
        <v>345.78100000000001</v>
      </c>
      <c r="BN470" s="183">
        <f>BN468+BN469</f>
        <v>357.23</v>
      </c>
      <c r="BO470" s="183">
        <f t="shared" ref="BO470:BV470" si="603">BO468+BO469</f>
        <v>483.39800000000008</v>
      </c>
      <c r="BP470" s="183">
        <f t="shared" si="603"/>
        <v>490.41800000000001</v>
      </c>
      <c r="BQ470" s="262">
        <f t="shared" si="603"/>
        <v>598.28699999999992</v>
      </c>
      <c r="BR470" s="262">
        <f>BR468+BR469</f>
        <v>997.67700000000002</v>
      </c>
      <c r="BS470" s="262">
        <f>BS468+BS469</f>
        <v>1513.3679999999999</v>
      </c>
      <c r="BT470" s="262">
        <f>BT468+BT469</f>
        <v>1749.211</v>
      </c>
      <c r="BU470" s="543">
        <f>BU468+BU469</f>
        <v>2073.8469999999998</v>
      </c>
      <c r="BV470" s="183">
        <f t="shared" si="603"/>
        <v>2188.4063689240365</v>
      </c>
      <c r="BW470" s="183">
        <f>BW468+BW469</f>
        <v>2308.5228616534537</v>
      </c>
      <c r="BX470" s="183">
        <f t="shared" ref="BX470:BZ470" si="604">BX468+BX469</f>
        <v>2440.0380517125323</v>
      </c>
      <c r="BY470" s="183">
        <f t="shared" si="604"/>
        <v>2582.8281633823217</v>
      </c>
      <c r="BZ470" s="183">
        <f t="shared" si="604"/>
        <v>2737.6595711026785</v>
      </c>
      <c r="CB470" s="70" t="s">
        <v>609</v>
      </c>
      <c r="DS470" s="183">
        <f>DS468+DS469</f>
        <v>0</v>
      </c>
    </row>
    <row r="471" spans="1:123" s="70" customFormat="1">
      <c r="A471" s="78"/>
      <c r="C471" s="75"/>
      <c r="D471" s="75"/>
      <c r="E471" s="75"/>
      <c r="F471" s="75"/>
      <c r="G471" s="75"/>
      <c r="H471" s="75"/>
      <c r="I471" s="75"/>
      <c r="J471" s="75"/>
      <c r="K471" s="75"/>
      <c r="L471" s="75"/>
      <c r="M471" s="75"/>
      <c r="N471" s="75"/>
      <c r="O471" s="75"/>
      <c r="P471" s="75"/>
      <c r="Q471" s="75"/>
      <c r="R471" s="75"/>
      <c r="S471" s="75"/>
      <c r="T471" s="75"/>
      <c r="U471" s="75"/>
      <c r="V471" s="75"/>
      <c r="W471" s="75"/>
      <c r="X471" s="75"/>
      <c r="Y471" s="75"/>
      <c r="Z471" s="75"/>
      <c r="AA471" s="75"/>
      <c r="AB471" s="75"/>
      <c r="AC471" s="183"/>
      <c r="AD471" s="75"/>
      <c r="AE471" s="183"/>
      <c r="AF471" s="183"/>
      <c r="AG471" s="183"/>
      <c r="AH471" s="183"/>
      <c r="AI471" s="183"/>
      <c r="AJ471" s="183"/>
      <c r="AK471" s="183"/>
      <c r="AL471" s="183"/>
      <c r="AM471" s="183"/>
      <c r="AN471" s="183"/>
      <c r="AO471" s="183"/>
      <c r="AP471" s="464"/>
      <c r="AQ471" s="183"/>
      <c r="AR471" s="183"/>
      <c r="AS471" s="183"/>
      <c r="AT471" s="183"/>
      <c r="AU471" s="183"/>
      <c r="AV471" s="183"/>
      <c r="AW471" s="183"/>
      <c r="AX471" s="183"/>
      <c r="AY471" s="183"/>
      <c r="AZ471" s="183"/>
      <c r="BA471" s="828"/>
      <c r="BB471" s="75"/>
      <c r="BC471" s="75"/>
      <c r="BD471" s="75"/>
      <c r="BE471" s="75"/>
      <c r="BF471" s="75"/>
      <c r="BG471" s="75"/>
      <c r="BI471" s="88"/>
      <c r="BJ471" s="88"/>
      <c r="BK471" s="88"/>
      <c r="BL471" s="88"/>
      <c r="BM471" s="183"/>
      <c r="BN471" s="183"/>
      <c r="BO471" s="183"/>
      <c r="BP471" s="183"/>
      <c r="BQ471" s="183"/>
      <c r="BR471" s="183"/>
      <c r="BS471" s="183"/>
      <c r="BT471" s="183"/>
      <c r="BU471" s="464"/>
      <c r="BV471" s="183"/>
      <c r="BW471" s="183"/>
      <c r="BX471" s="183"/>
      <c r="BY471" s="183"/>
      <c r="BZ471" s="183"/>
      <c r="DS471" s="183"/>
    </row>
    <row r="472" spans="1:123" s="70" customFormat="1">
      <c r="A472" s="10" t="s">
        <v>191</v>
      </c>
      <c r="B472" s="75" t="s">
        <v>190</v>
      </c>
      <c r="C472" s="75"/>
      <c r="D472" s="75"/>
      <c r="E472" s="75"/>
      <c r="F472" s="75"/>
      <c r="G472" s="75"/>
      <c r="H472" s="75"/>
      <c r="I472" s="75"/>
      <c r="J472" s="75"/>
      <c r="K472" s="75"/>
      <c r="L472" s="75"/>
      <c r="M472" s="75"/>
      <c r="N472" s="75"/>
      <c r="O472" s="75"/>
      <c r="P472" s="75"/>
      <c r="Q472" s="75"/>
      <c r="R472" s="75"/>
      <c r="S472" s="75"/>
      <c r="T472" s="75"/>
      <c r="U472" s="75"/>
      <c r="V472" s="75"/>
      <c r="W472" s="75"/>
      <c r="X472" s="75"/>
      <c r="Y472" s="75"/>
      <c r="Z472" s="75"/>
      <c r="AA472" s="75"/>
      <c r="AB472" s="75"/>
      <c r="AC472" s="51"/>
      <c r="AD472" s="119"/>
      <c r="AE472" s="51">
        <f t="shared" ref="AE472:AJ472" si="605">(SUM(AE292:AE293)-SUM(AE396,AE405))</f>
        <v>94.983000000000004</v>
      </c>
      <c r="AF472" s="51">
        <f t="shared" si="605"/>
        <v>11.381</v>
      </c>
      <c r="AG472" s="51">
        <f t="shared" si="605"/>
        <v>-36.808999999999997</v>
      </c>
      <c r="AH472" s="51">
        <f t="shared" si="605"/>
        <v>69.537000000000006</v>
      </c>
      <c r="AI472" s="51">
        <f t="shared" si="605"/>
        <v>41.837000000000018</v>
      </c>
      <c r="AJ472" s="51">
        <f t="shared" si="605"/>
        <v>544.65800000000002</v>
      </c>
      <c r="AK472" s="51">
        <f t="shared" ref="AK472:AM472" si="606">(SUM(AK292:AK293)-SUM(AK396,AK405))</f>
        <v>325.96999999999991</v>
      </c>
      <c r="AL472" s="51">
        <f t="shared" ref="AL472:AP472" si="607">(SUM(AL292:AL293)-SUM(AL396,AL405))</f>
        <v>612.49099999999999</v>
      </c>
      <c r="AM472" s="51">
        <f t="shared" si="606"/>
        <v>413.31799999999987</v>
      </c>
      <c r="AN472" s="51">
        <f t="shared" si="607"/>
        <v>640.31500000000005</v>
      </c>
      <c r="AO472" s="51">
        <f t="shared" si="607"/>
        <v>466.25400000000013</v>
      </c>
      <c r="AP472" s="443">
        <f t="shared" si="607"/>
        <v>469.86700000000019</v>
      </c>
      <c r="AQ472" s="51">
        <f t="shared" ref="AQ472:AT472" si="608">(SUM(AQ292)-SUM(AQ396,AQ405))</f>
        <v>-579.76114677527517</v>
      </c>
      <c r="AR472" s="51">
        <f t="shared" si="608"/>
        <v>-478.94563107596315</v>
      </c>
      <c r="AS472" s="51">
        <f t="shared" si="608"/>
        <v>-468.22660363191812</v>
      </c>
      <c r="AT472" s="51">
        <f t="shared" si="608"/>
        <v>-358.8291383465463</v>
      </c>
      <c r="AU472" s="51">
        <f t="shared" ref="AU472:AV472" si="609">(SUM(AU292)-SUM(AU396,AU405))</f>
        <v>-344.31202983223784</v>
      </c>
      <c r="AV472" s="51">
        <f t="shared" si="609"/>
        <v>-227.31394828746761</v>
      </c>
      <c r="AW472" s="51">
        <f t="shared" ref="AW472:AZ472" si="610">(SUM(AW292)-SUM(AW396,AW405))</f>
        <v>-210.12035281085798</v>
      </c>
      <c r="AX472" s="51">
        <f t="shared" si="610"/>
        <v>-84.523836617678171</v>
      </c>
      <c r="AY472" s="51">
        <f t="shared" si="610"/>
        <v>-64.437178373028701</v>
      </c>
      <c r="AZ472" s="51">
        <f t="shared" si="610"/>
        <v>70.307571102679049</v>
      </c>
      <c r="BA472" s="828"/>
      <c r="BI472" s="25"/>
      <c r="BJ472" s="25"/>
      <c r="BK472" s="25"/>
      <c r="BL472" s="25"/>
      <c r="BM472" s="51">
        <f t="shared" ref="BM472:BW472" si="611">(SUM(BM292:BM293)-SUM(BM396,BM405))</f>
        <v>58.222000000000008</v>
      </c>
      <c r="BN472" s="51">
        <f t="shared" si="611"/>
        <v>37.454999999999984</v>
      </c>
      <c r="BO472" s="51">
        <f t="shared" si="611"/>
        <v>115.52200000000002</v>
      </c>
      <c r="BP472" s="51">
        <f t="shared" si="611"/>
        <v>11.381</v>
      </c>
      <c r="BQ472" s="51">
        <f t="shared" si="611"/>
        <v>69.537000000000006</v>
      </c>
      <c r="BR472" s="51">
        <f t="shared" si="611"/>
        <v>544.65800000000002</v>
      </c>
      <c r="BS472" s="51">
        <f t="shared" ref="BS472" si="612">(SUM(BS292:BS293)-SUM(BS396,BS405))</f>
        <v>612.49099999999999</v>
      </c>
      <c r="BT472" s="51">
        <f t="shared" si="611"/>
        <v>640.31500000000005</v>
      </c>
      <c r="BU472" s="443">
        <f t="shared" ref="BU472" si="613">(SUM(BU292:BU293)-SUM(BU396,BU405))</f>
        <v>469.86700000000019</v>
      </c>
      <c r="BV472" s="51">
        <f t="shared" si="611"/>
        <v>584.42636892403698</v>
      </c>
      <c r="BW472" s="51">
        <f t="shared" si="611"/>
        <v>704.54286165345388</v>
      </c>
      <c r="BX472" s="51">
        <f t="shared" ref="BX472:BZ472" si="614">(SUM(BX292:BX293)-SUM(BX396,BX405))</f>
        <v>836.05805171253246</v>
      </c>
      <c r="BY472" s="51">
        <f t="shared" si="614"/>
        <v>978.8481633823219</v>
      </c>
      <c r="BZ472" s="51">
        <f t="shared" si="614"/>
        <v>1133.6795711026791</v>
      </c>
      <c r="DS472" s="51">
        <f t="shared" ref="DS472" si="615">(SUM(DS292:DS293)-SUM(DS396,DS405))</f>
        <v>0</v>
      </c>
    </row>
    <row r="473" spans="1:123" s="70" customFormat="1">
      <c r="A473" s="10"/>
      <c r="B473" s="75" t="s">
        <v>232</v>
      </c>
      <c r="C473" s="75"/>
      <c r="D473" s="75"/>
      <c r="E473" s="75"/>
      <c r="F473" s="75"/>
      <c r="G473" s="75"/>
      <c r="H473" s="75"/>
      <c r="I473" s="75"/>
      <c r="J473" s="75"/>
      <c r="K473" s="75"/>
      <c r="L473" s="75"/>
      <c r="M473" s="75"/>
      <c r="N473" s="75"/>
      <c r="O473" s="75"/>
      <c r="P473" s="75"/>
      <c r="Q473" s="75"/>
      <c r="R473" s="75"/>
      <c r="S473" s="75"/>
      <c r="T473" s="75"/>
      <c r="U473" s="75"/>
      <c r="V473" s="75"/>
      <c r="W473" s="75"/>
      <c r="X473" s="75"/>
      <c r="Y473" s="75"/>
      <c r="Z473" s="75"/>
      <c r="AA473" s="75"/>
      <c r="AB473" s="75"/>
      <c r="AC473" s="119"/>
      <c r="AD473" s="119"/>
      <c r="AE473" s="119"/>
      <c r="AF473" s="51">
        <f>AF302-AE302-'Statutory P&amp;L'!AF73</f>
        <v>-0.90399999999999991</v>
      </c>
      <c r="AG473" s="51">
        <f>AG302-AF302-'Statutory P&amp;L'!AG73</f>
        <v>1.6859999999999997</v>
      </c>
      <c r="AH473" s="51">
        <f>AH302-AG302-'Statutory P&amp;L'!AH73</f>
        <v>-2.6859999999999999</v>
      </c>
      <c r="AI473" s="51">
        <f>AI302-AH302-'Statutory P&amp;L'!AI73</f>
        <v>0.46099999999999985</v>
      </c>
      <c r="AJ473" s="51">
        <f>AJ302-AI302-'Statutory P&amp;L'!AJ73</f>
        <v>0.68500000000000094</v>
      </c>
      <c r="AK473" s="51">
        <f>AK302-AJ302-'Statutory P&amp;L'!AK73</f>
        <v>10.773</v>
      </c>
      <c r="AL473" s="51">
        <f>AL302-AK302-'Statutory P&amp;L'!AL73</f>
        <v>-0.35899999999999999</v>
      </c>
      <c r="AM473" s="51">
        <f>AM302-AL302-'Statutory P&amp;L'!AM73</f>
        <v>2.8940000000000001</v>
      </c>
      <c r="AN473" s="51">
        <f>AN302-AM302-'Statutory P&amp;L'!AN73</f>
        <v>-4.1809999999999992</v>
      </c>
      <c r="AO473" s="51">
        <f>AO302-AN302-'Statutory P&amp;L'!AO73</f>
        <v>4.4019999999999992</v>
      </c>
      <c r="AP473" s="443">
        <f>AP302-AO302-'Statutory P&amp;L'!AP73</f>
        <v>-3.1880000000000006</v>
      </c>
      <c r="AQ473" s="51">
        <f>AQ302-AP302-'Statutory P&amp;L'!AQ73</f>
        <v>0</v>
      </c>
      <c r="AR473" s="51">
        <f>AR302-AQ302-'Statutory P&amp;L'!AR73</f>
        <v>0</v>
      </c>
      <c r="AS473" s="51">
        <f>AS302-AR302-'Statutory P&amp;L'!AS73</f>
        <v>0</v>
      </c>
      <c r="AT473" s="51">
        <f>AT302-AS302-'Statutory P&amp;L'!AT73</f>
        <v>0</v>
      </c>
      <c r="AU473" s="51">
        <f>AU302-AT302-'Statutory P&amp;L'!AU73</f>
        <v>0</v>
      </c>
      <c r="AV473" s="51">
        <f>AV302-AU302-'Statutory P&amp;L'!AV73</f>
        <v>0</v>
      </c>
      <c r="AW473" s="51">
        <f>AW302-AV302-'Statutory P&amp;L'!AW73</f>
        <v>0</v>
      </c>
      <c r="AX473" s="51">
        <f>AX302-AW302-'Statutory P&amp;L'!AX73</f>
        <v>0</v>
      </c>
      <c r="AY473" s="51">
        <f>AY302-AX302-'Statutory P&amp;L'!AY73</f>
        <v>0</v>
      </c>
      <c r="AZ473" s="51">
        <f>AZ302-AY302-'Statutory P&amp;L'!AZ73</f>
        <v>0</v>
      </c>
      <c r="BA473" s="828"/>
      <c r="BI473" s="25"/>
      <c r="BJ473" s="25"/>
      <c r="BK473" s="25"/>
      <c r="BL473" s="25"/>
      <c r="BM473" s="51"/>
      <c r="BN473" s="51"/>
      <c r="BO473" s="51"/>
      <c r="BP473" s="51">
        <f>BP302-BO302-'Statutory P&amp;L'!BJ73</f>
        <v>0.49400000000000066</v>
      </c>
      <c r="BQ473" s="51">
        <f>BQ302-BP302-'Statutory P&amp;L'!BK73</f>
        <v>-1.0000000000000004</v>
      </c>
      <c r="BR473" s="51">
        <f>BR302-BQ302-'Statutory P&amp;L'!BL73</f>
        <v>1.1460000000000008</v>
      </c>
      <c r="BS473" s="51">
        <f>BS302-BR302-'Statutory P&amp;L'!BM73</f>
        <v>10.414</v>
      </c>
      <c r="BT473" s="51">
        <f>BT302-BS302-'Statutory P&amp;L'!BN73</f>
        <v>-1.286999999999999</v>
      </c>
      <c r="BU473" s="443">
        <f>BU302-BT302-'Statutory P&amp;L'!BO73</f>
        <v>1.2139999999999986</v>
      </c>
      <c r="BV473" s="51">
        <f>BV302-BU302-'Statutory P&amp;L'!BP73</f>
        <v>0</v>
      </c>
      <c r="BW473" s="51">
        <f>BW302-BV302-'Statutory P&amp;L'!BQ73</f>
        <v>0</v>
      </c>
      <c r="BX473" s="51">
        <f>BX302-BW302-'Statutory P&amp;L'!BR73</f>
        <v>0</v>
      </c>
      <c r="BY473" s="51" t="e">
        <f>BY302-BX302-'Statutory P&amp;L'!BS73</f>
        <v>#VALUE!</v>
      </c>
      <c r="BZ473" s="51">
        <f>BZ302-BY302-'Statutory P&amp;L'!BT73</f>
        <v>0</v>
      </c>
      <c r="DS473" s="51">
        <f>DS302-DT302-'Statutory P&amp;L'!DO73</f>
        <v>0</v>
      </c>
    </row>
    <row r="474" spans="1:123" s="70" customFormat="1">
      <c r="A474" s="10"/>
      <c r="B474" s="75" t="s">
        <v>329</v>
      </c>
      <c r="C474" s="75"/>
      <c r="D474" s="75"/>
      <c r="E474" s="75"/>
      <c r="F474" s="75"/>
      <c r="G474" s="75"/>
      <c r="H474" s="75"/>
      <c r="I474" s="75"/>
      <c r="J474" s="75"/>
      <c r="K474" s="75"/>
      <c r="L474" s="75"/>
      <c r="M474" s="75"/>
      <c r="N474" s="75"/>
      <c r="O474" s="75"/>
      <c r="P474" s="75"/>
      <c r="Q474" s="75"/>
      <c r="R474" s="75"/>
      <c r="S474" s="75"/>
      <c r="T474" s="75"/>
      <c r="U474" s="75"/>
      <c r="V474" s="75"/>
      <c r="W474" s="75"/>
      <c r="X474" s="75"/>
      <c r="Y474" s="75"/>
      <c r="Z474" s="75"/>
      <c r="AA474" s="75"/>
      <c r="AB474" s="75"/>
      <c r="AC474" s="119"/>
      <c r="AD474" s="119"/>
      <c r="AE474" s="603">
        <f t="shared" ref="AE474:AZ474" si="616">(AE405+AE396)/(AE396+AE405+AE470)</f>
        <v>0.15895838127777093</v>
      </c>
      <c r="AF474" s="603">
        <f t="shared" si="616"/>
        <v>0.32092751471915898</v>
      </c>
      <c r="AG474" s="603">
        <f t="shared" si="616"/>
        <v>0.32134713101031154</v>
      </c>
      <c r="AH474" s="603">
        <f t="shared" si="616"/>
        <v>0.26189348236426219</v>
      </c>
      <c r="AI474" s="603">
        <f t="shared" si="616"/>
        <v>0.27301353263879352</v>
      </c>
      <c r="AJ474" s="603">
        <f t="shared" si="616"/>
        <v>4.5722582663066398E-2</v>
      </c>
      <c r="AK474" s="603">
        <f t="shared" si="616"/>
        <v>0.36855360386561764</v>
      </c>
      <c r="AL474" s="603">
        <f t="shared" si="616"/>
        <v>0.27852333955314607</v>
      </c>
      <c r="AM474" s="603">
        <f t="shared" si="616"/>
        <v>0.31390558391760803</v>
      </c>
      <c r="AN474" s="603">
        <f t="shared" si="616"/>
        <v>0.26970514509780347</v>
      </c>
      <c r="AO474" s="603">
        <f t="shared" si="616"/>
        <v>0.2933973845217126</v>
      </c>
      <c r="AP474" s="604">
        <f t="shared" si="616"/>
        <v>0.29619414528791993</v>
      </c>
      <c r="AQ474" s="603">
        <f t="shared" si="616"/>
        <v>0.29481902661638804</v>
      </c>
      <c r="AR474" s="603">
        <f t="shared" si="616"/>
        <v>0.28510958197328096</v>
      </c>
      <c r="AS474" s="603">
        <f t="shared" si="616"/>
        <v>0.28411472503821467</v>
      </c>
      <c r="AT474" s="603">
        <f t="shared" si="616"/>
        <v>0.27434466539547647</v>
      </c>
      <c r="AU474" s="603">
        <f t="shared" si="616"/>
        <v>0.27309844297648944</v>
      </c>
      <c r="AV474" s="603">
        <f t="shared" si="616"/>
        <v>0.26345345788910696</v>
      </c>
      <c r="AW474" s="603">
        <f t="shared" si="616"/>
        <v>0.26209318504197193</v>
      </c>
      <c r="AX474" s="603">
        <f t="shared" si="616"/>
        <v>0.25256719854791737</v>
      </c>
      <c r="AY474" s="603">
        <f t="shared" si="616"/>
        <v>0.25110756402932161</v>
      </c>
      <c r="AZ474" s="603">
        <f t="shared" si="616"/>
        <v>0.24173598766460783</v>
      </c>
      <c r="BA474" s="124"/>
      <c r="BI474" s="25"/>
      <c r="BJ474" s="25"/>
      <c r="BK474" s="25"/>
      <c r="BL474" s="25"/>
      <c r="BM474" s="603">
        <f t="shared" ref="BM474:BZ474" si="617">(BM405+BM396)/(BM396+BM405+BM470)</f>
        <v>0.21569734869362658</v>
      </c>
      <c r="BN474" s="603">
        <f t="shared" si="617"/>
        <v>0.25333171694201057</v>
      </c>
      <c r="BO474" s="603">
        <f t="shared" si="617"/>
        <v>0.17771695587312222</v>
      </c>
      <c r="BP474" s="603">
        <f t="shared" si="617"/>
        <v>0.32092751471915898</v>
      </c>
      <c r="BQ474" s="603">
        <f t="shared" si="617"/>
        <v>0.26189348236426219</v>
      </c>
      <c r="BR474" s="603">
        <f t="shared" si="617"/>
        <v>4.5722582663066398E-2</v>
      </c>
      <c r="BS474" s="603">
        <f t="shared" si="617"/>
        <v>0.27852333955314607</v>
      </c>
      <c r="BT474" s="603">
        <f t="shared" si="617"/>
        <v>0.26970514509780347</v>
      </c>
      <c r="BU474" s="604">
        <f t="shared" si="617"/>
        <v>0.29619414528791993</v>
      </c>
      <c r="BV474" s="603">
        <f t="shared" si="617"/>
        <v>0.28510958197328096</v>
      </c>
      <c r="BW474" s="603">
        <f t="shared" si="617"/>
        <v>0.27434466539547647</v>
      </c>
      <c r="BX474" s="603">
        <f t="shared" si="617"/>
        <v>0.26345345788910696</v>
      </c>
      <c r="BY474" s="603">
        <f t="shared" si="617"/>
        <v>0.25256719854791737</v>
      </c>
      <c r="BZ474" s="603">
        <f t="shared" si="617"/>
        <v>0.24173598766460783</v>
      </c>
      <c r="DS474" s="603" t="e">
        <f t="shared" ref="DS474" si="618">(DS405+DS396)/(DS396+DS405+DS470)</f>
        <v>#DIV/0!</v>
      </c>
    </row>
    <row r="475" spans="1:123" s="244" customFormat="1">
      <c r="A475" s="265" t="s">
        <v>502</v>
      </c>
      <c r="B475" s="266" t="s">
        <v>435</v>
      </c>
      <c r="C475" s="266"/>
      <c r="D475" s="266"/>
      <c r="E475" s="266"/>
      <c r="F475" s="266"/>
      <c r="G475" s="266"/>
      <c r="H475" s="266"/>
      <c r="I475" s="266"/>
      <c r="J475" s="266"/>
      <c r="K475" s="266"/>
      <c r="L475" s="266"/>
      <c r="M475" s="266"/>
      <c r="N475" s="266"/>
      <c r="O475" s="266"/>
      <c r="P475" s="266"/>
      <c r="Q475" s="266"/>
      <c r="R475" s="266"/>
      <c r="S475" s="266"/>
      <c r="T475" s="266"/>
      <c r="U475" s="266"/>
      <c r="V475" s="266"/>
      <c r="W475" s="266"/>
      <c r="X475" s="266"/>
      <c r="Y475" s="266"/>
      <c r="Z475" s="282">
        <v>0.20399999999999999</v>
      </c>
      <c r="AA475" s="282">
        <v>0.23400000000000001</v>
      </c>
      <c r="AB475" s="282">
        <v>0.253</v>
      </c>
      <c r="AC475" s="282">
        <v>0.113</v>
      </c>
      <c r="AD475" s="282">
        <v>0.17799999999999999</v>
      </c>
      <c r="AE475" s="688">
        <f t="shared" ref="AE475:AZ475" si="619">AE425/(AE470+AE425)</f>
        <v>0.15900112582569415</v>
      </c>
      <c r="AF475" s="688">
        <f t="shared" si="619"/>
        <v>0.34228405741123713</v>
      </c>
      <c r="AG475" s="688">
        <f t="shared" si="619"/>
        <v>0.34042345977108418</v>
      </c>
      <c r="AH475" s="688">
        <f t="shared" si="619"/>
        <v>0.28496066182314495</v>
      </c>
      <c r="AI475" s="688">
        <f t="shared" si="619"/>
        <v>0.30927956754714769</v>
      </c>
      <c r="AJ475" s="688">
        <f t="shared" si="619"/>
        <v>8.0249758925295414E-2</v>
      </c>
      <c r="AK475" s="688">
        <f t="shared" si="619"/>
        <v>0.37729925290149674</v>
      </c>
      <c r="AL475" s="688">
        <f t="shared" si="619"/>
        <v>0.34661036706991688</v>
      </c>
      <c r="AM475" s="688">
        <f t="shared" si="619"/>
        <v>0.36979408780746015</v>
      </c>
      <c r="AN475" s="688">
        <f t="shared" si="619"/>
        <v>0.32835799691289286</v>
      </c>
      <c r="AO475" s="688">
        <f t="shared" si="619"/>
        <v>0.35675646386599164</v>
      </c>
      <c r="AP475" s="689">
        <f t="shared" si="619"/>
        <v>0.35637269080891987</v>
      </c>
      <c r="AQ475" s="863">
        <f t="shared" si="619"/>
        <v>0.35485905237312987</v>
      </c>
      <c r="AR475" s="863">
        <f t="shared" si="619"/>
        <v>0.34413723840098115</v>
      </c>
      <c r="AS475" s="863">
        <f t="shared" si="619"/>
        <v>0.34303524465593854</v>
      </c>
      <c r="AT475" s="863">
        <f t="shared" si="619"/>
        <v>0.33217919635380833</v>
      </c>
      <c r="AU475" s="863">
        <f t="shared" si="619"/>
        <v>0.33079001712266742</v>
      </c>
      <c r="AV475" s="863">
        <f t="shared" si="619"/>
        <v>0.32000451004211072</v>
      </c>
      <c r="AW475" s="863">
        <f t="shared" si="619"/>
        <v>0.31847850396786537</v>
      </c>
      <c r="AX475" s="863">
        <f t="shared" si="619"/>
        <v>0.30775787594232906</v>
      </c>
      <c r="AY475" s="863">
        <f t="shared" si="619"/>
        <v>0.30610991242297175</v>
      </c>
      <c r="AZ475" s="863">
        <f t="shared" si="619"/>
        <v>0.29549555917588316</v>
      </c>
      <c r="BA475" s="267"/>
      <c r="BI475" s="268"/>
      <c r="BJ475" s="268"/>
      <c r="BK475" s="268"/>
      <c r="BL475" s="268"/>
      <c r="BM475" s="688"/>
      <c r="BN475" s="688">
        <f>AB475</f>
        <v>0.253</v>
      </c>
      <c r="BO475" s="688">
        <f>AD475</f>
        <v>0.17799999999999999</v>
      </c>
      <c r="BP475" s="688">
        <f>AF475</f>
        <v>0.34228405741123713</v>
      </c>
      <c r="BQ475" s="688">
        <f>AH475</f>
        <v>0.28496066182314495</v>
      </c>
      <c r="BR475" s="688">
        <f>AJ475</f>
        <v>8.0249758925295414E-2</v>
      </c>
      <c r="BS475" s="688">
        <f>AK475</f>
        <v>0.37729925290149674</v>
      </c>
      <c r="BT475" s="688">
        <f>BT425/(BT470+BT425)</f>
        <v>0.32835799691289286</v>
      </c>
      <c r="BU475" s="689">
        <f>BU425/(BU470+BU425)</f>
        <v>0.35637269080891987</v>
      </c>
      <c r="BV475" s="688">
        <f>BV425/(BV470+BV425)</f>
        <v>0.34413723840098115</v>
      </c>
      <c r="BW475" s="688">
        <f>BW425/(BW470+BW425)</f>
        <v>0.33217919635380833</v>
      </c>
      <c r="BX475" s="688">
        <f t="shared" ref="BX475:BZ475" si="620">BX425/(BX470+BX425)</f>
        <v>0.32000451004211072</v>
      </c>
      <c r="BY475" s="688">
        <f t="shared" si="620"/>
        <v>0.30775787594232906</v>
      </c>
      <c r="BZ475" s="688">
        <f t="shared" si="620"/>
        <v>0.29549555917588316</v>
      </c>
      <c r="DS475" s="688" t="e">
        <f>DS425/(DS470+DS425)</f>
        <v>#DIV/0!</v>
      </c>
    </row>
    <row r="476" spans="1:123" s="40" customFormat="1">
      <c r="A476" s="10"/>
      <c r="B476" s="121" t="s">
        <v>120</v>
      </c>
      <c r="C476" s="122"/>
      <c r="D476" s="122"/>
      <c r="E476" s="122"/>
      <c r="F476" s="122"/>
      <c r="G476" s="122"/>
      <c r="H476" s="122"/>
      <c r="I476" s="122"/>
      <c r="J476" s="122"/>
      <c r="K476" s="122"/>
      <c r="L476" s="122"/>
      <c r="M476" s="122"/>
      <c r="N476" s="122"/>
      <c r="O476" s="122"/>
      <c r="P476" s="122"/>
      <c r="Q476" s="123"/>
      <c r="R476" s="123"/>
      <c r="S476" s="123"/>
      <c r="T476" s="123"/>
      <c r="U476" s="123"/>
      <c r="V476" s="123"/>
      <c r="W476" s="123"/>
      <c r="X476" s="123"/>
      <c r="Y476" s="123" t="str">
        <f t="shared" ref="Y476:AZ476" si="621">IF(ROUND(Y470,0)=ROUND((Y409),0),"OK","Error")</f>
        <v>OK</v>
      </c>
      <c r="Z476" s="123" t="str">
        <f t="shared" si="621"/>
        <v>OK</v>
      </c>
      <c r="AA476" s="123" t="str">
        <f t="shared" si="621"/>
        <v>OK</v>
      </c>
      <c r="AB476" s="123" t="str">
        <f t="shared" si="621"/>
        <v>OK</v>
      </c>
      <c r="AC476" s="123" t="str">
        <f t="shared" si="621"/>
        <v>OK</v>
      </c>
      <c r="AD476" s="123" t="str">
        <f t="shared" si="621"/>
        <v>OK</v>
      </c>
      <c r="AE476" s="123" t="str">
        <f t="shared" si="621"/>
        <v>OK</v>
      </c>
      <c r="AF476" s="123" t="str">
        <f t="shared" si="621"/>
        <v>OK</v>
      </c>
      <c r="AG476" s="123" t="str">
        <f t="shared" si="621"/>
        <v>OK</v>
      </c>
      <c r="AH476" s="123" t="str">
        <f t="shared" si="621"/>
        <v>OK</v>
      </c>
      <c r="AI476" s="123" t="str">
        <f t="shared" si="621"/>
        <v>OK</v>
      </c>
      <c r="AJ476" s="123" t="str">
        <f t="shared" si="621"/>
        <v>OK</v>
      </c>
      <c r="AK476" s="123" t="str">
        <f>IF(ROUND(AK470,0)=ROUND((AK409),0),"OK","Error")</f>
        <v>OK</v>
      </c>
      <c r="AL476" s="123" t="str">
        <f t="shared" ref="AL476:AN476" si="622">IF(ROUND(AL470,0)=ROUND((AL409),0),"OK","Error")</f>
        <v>OK</v>
      </c>
      <c r="AM476" s="123" t="str">
        <f>IF(ROUND(AM470,0)=ROUND((AM409),0),"OK","Error")</f>
        <v>OK</v>
      </c>
      <c r="AN476" s="123" t="str">
        <f t="shared" si="622"/>
        <v>OK</v>
      </c>
      <c r="AO476" s="123" t="str">
        <f>IF(ROUND(AO470,0)=ROUND((AO409),0),"OK","Error")</f>
        <v>OK</v>
      </c>
      <c r="AP476" s="472" t="str">
        <f t="shared" ref="AP476" si="623">IF(ROUND(AP470,0)=ROUND((AP409),0),"OK","Error")</f>
        <v>OK</v>
      </c>
      <c r="AQ476" s="123" t="str">
        <f t="shared" si="621"/>
        <v>OK</v>
      </c>
      <c r="AR476" s="123" t="str">
        <f t="shared" si="621"/>
        <v>OK</v>
      </c>
      <c r="AS476" s="123" t="str">
        <f t="shared" si="621"/>
        <v>OK</v>
      </c>
      <c r="AT476" s="123" t="str">
        <f t="shared" si="621"/>
        <v>OK</v>
      </c>
      <c r="AU476" s="123" t="str">
        <f t="shared" si="621"/>
        <v>OK</v>
      </c>
      <c r="AV476" s="123" t="str">
        <f t="shared" si="621"/>
        <v>OK</v>
      </c>
      <c r="AW476" s="123" t="str">
        <f t="shared" si="621"/>
        <v>OK</v>
      </c>
      <c r="AX476" s="123" t="str">
        <f t="shared" si="621"/>
        <v>OK</v>
      </c>
      <c r="AY476" s="123" t="str">
        <f t="shared" si="621"/>
        <v>OK</v>
      </c>
      <c r="AZ476" s="123" t="str">
        <f t="shared" si="621"/>
        <v>OK</v>
      </c>
      <c r="BA476" s="124"/>
      <c r="BB476" s="123"/>
      <c r="BC476" s="123"/>
      <c r="BD476" s="123"/>
      <c r="BE476" s="123"/>
      <c r="BF476" s="123"/>
      <c r="BG476" s="123"/>
      <c r="BH476" s="123"/>
      <c r="BI476" s="123"/>
      <c r="BJ476" s="123"/>
      <c r="BK476" s="123"/>
      <c r="BL476" s="123"/>
      <c r="BM476" s="123" t="str">
        <f t="shared" ref="BM476:BZ476" si="624">IF(ROUND(BM470,0)=ROUND((BM409),0),"OK","Error")</f>
        <v>OK</v>
      </c>
      <c r="BN476" s="123" t="str">
        <f t="shared" si="624"/>
        <v>OK</v>
      </c>
      <c r="BO476" s="123" t="str">
        <f t="shared" si="624"/>
        <v>OK</v>
      </c>
      <c r="BP476" s="123" t="str">
        <f t="shared" si="624"/>
        <v>OK</v>
      </c>
      <c r="BQ476" s="123" t="str">
        <f t="shared" si="624"/>
        <v>OK</v>
      </c>
      <c r="BR476" s="123" t="str">
        <f t="shared" si="624"/>
        <v>OK</v>
      </c>
      <c r="BS476" s="123" t="str">
        <f t="shared" si="624"/>
        <v>OK</v>
      </c>
      <c r="BT476" s="123" t="str">
        <f>IF(ROUND(BT470,0)=ROUND((BT409),0),"OK","Error")</f>
        <v>OK</v>
      </c>
      <c r="BU476" s="472" t="str">
        <f t="shared" si="624"/>
        <v>OK</v>
      </c>
      <c r="BV476" s="123" t="str">
        <f t="shared" si="624"/>
        <v>OK</v>
      </c>
      <c r="BW476" s="123" t="str">
        <f t="shared" si="624"/>
        <v>OK</v>
      </c>
      <c r="BX476" s="123" t="str">
        <f t="shared" si="624"/>
        <v>OK</v>
      </c>
      <c r="BY476" s="123" t="str">
        <f t="shared" si="624"/>
        <v>OK</v>
      </c>
      <c r="BZ476" s="123" t="str">
        <f t="shared" si="624"/>
        <v>OK</v>
      </c>
      <c r="CB476" s="28"/>
      <c r="DS476" s="123" t="str">
        <f t="shared" ref="DS476" si="625">IF(ROUND(DS470,0)=ROUND((DS409),0),"OK","Error")</f>
        <v>OK</v>
      </c>
    </row>
    <row r="477" spans="1:123">
      <c r="A477" s="23"/>
      <c r="G477" s="23"/>
      <c r="H477" s="23"/>
      <c r="I477" s="23"/>
      <c r="J477" s="23"/>
      <c r="K477" s="23"/>
      <c r="L477" s="23"/>
      <c r="M477" s="23"/>
      <c r="N477" s="23"/>
      <c r="O477" s="23"/>
      <c r="P477" s="23"/>
      <c r="Q477" s="51"/>
      <c r="R477" s="51"/>
      <c r="S477" s="51"/>
      <c r="T477" s="51"/>
      <c r="U477" s="864"/>
      <c r="V477" s="864"/>
      <c r="W477" s="864"/>
      <c r="X477" s="864"/>
      <c r="Y477" s="864"/>
      <c r="Z477" s="864"/>
      <c r="AA477" s="864"/>
      <c r="AB477" s="864"/>
      <c r="AC477" s="864"/>
      <c r="AD477" s="864"/>
      <c r="AE477" s="864"/>
      <c r="AF477" s="864"/>
      <c r="AG477" s="864"/>
      <c r="AH477" s="864"/>
      <c r="AI477" s="864"/>
      <c r="AJ477" s="864"/>
      <c r="AK477" s="577"/>
      <c r="AL477" s="577"/>
      <c r="AM477" s="577"/>
      <c r="AN477" s="577"/>
      <c r="AO477" s="577"/>
      <c r="AP477" s="578"/>
      <c r="AQ477" s="577">
        <f t="shared" ref="AQ477:AZ477" si="626">AQ470-AQ409</f>
        <v>0</v>
      </c>
      <c r="AR477" s="577">
        <f t="shared" si="626"/>
        <v>0</v>
      </c>
      <c r="AS477" s="577">
        <f t="shared" si="626"/>
        <v>0</v>
      </c>
      <c r="AT477" s="577">
        <f t="shared" si="626"/>
        <v>0</v>
      </c>
      <c r="AU477" s="577">
        <f t="shared" si="626"/>
        <v>0</v>
      </c>
      <c r="AV477" s="577">
        <f t="shared" si="626"/>
        <v>0</v>
      </c>
      <c r="AW477" s="577">
        <f t="shared" si="626"/>
        <v>0</v>
      </c>
      <c r="AX477" s="577">
        <f t="shared" si="626"/>
        <v>0</v>
      </c>
      <c r="AY477" s="577">
        <f t="shared" si="626"/>
        <v>0</v>
      </c>
      <c r="AZ477" s="577">
        <f t="shared" si="626"/>
        <v>0</v>
      </c>
      <c r="BA477" s="124"/>
      <c r="BB477" s="51"/>
      <c r="BC477" s="51"/>
      <c r="BD477" s="51"/>
      <c r="BE477" s="51"/>
      <c r="BF477" s="51"/>
      <c r="BG477" s="51"/>
      <c r="BH477" s="51"/>
      <c r="BI477" s="51"/>
      <c r="BJ477" s="51"/>
      <c r="BK477" s="556"/>
      <c r="BL477" s="556"/>
      <c r="BM477" s="556"/>
      <c r="BN477" s="556"/>
      <c r="BO477" s="556"/>
      <c r="BP477" s="556"/>
      <c r="BQ477" s="556"/>
      <c r="BR477" s="556"/>
      <c r="BS477" s="556"/>
      <c r="BT477" s="51"/>
      <c r="BU477" s="443"/>
    </row>
    <row r="478" spans="1:123" s="40" customFormat="1">
      <c r="A478" s="10"/>
      <c r="B478" s="11" t="s">
        <v>163</v>
      </c>
      <c r="C478" s="11"/>
      <c r="D478" s="11"/>
      <c r="E478" s="11"/>
      <c r="F478" s="11"/>
      <c r="G478" s="12"/>
      <c r="H478" s="12"/>
      <c r="I478" s="12"/>
      <c r="J478" s="12"/>
      <c r="K478" s="12"/>
      <c r="L478" s="12"/>
      <c r="M478" s="12"/>
      <c r="N478" s="12"/>
      <c r="O478" s="12"/>
      <c r="P478" s="12"/>
      <c r="Q478" s="125"/>
      <c r="R478" s="125"/>
      <c r="S478" s="125"/>
      <c r="T478" s="125"/>
      <c r="U478" s="125"/>
      <c r="V478" s="125"/>
      <c r="W478" s="125"/>
      <c r="X478" s="125"/>
      <c r="Y478" s="125"/>
      <c r="Z478" s="125"/>
      <c r="AA478" s="125"/>
      <c r="AB478" s="125"/>
      <c r="AC478" s="125"/>
      <c r="AD478" s="125"/>
      <c r="AE478" s="125"/>
      <c r="AF478" s="125"/>
      <c r="AG478" s="125"/>
      <c r="AH478" s="125"/>
      <c r="AI478" s="125"/>
      <c r="AJ478" s="125"/>
      <c r="AK478" s="125"/>
      <c r="AL478" s="125"/>
      <c r="AM478" s="125"/>
      <c r="AN478" s="125"/>
      <c r="AO478" s="125"/>
      <c r="AP478" s="473"/>
      <c r="AQ478" s="125"/>
      <c r="AR478" s="125"/>
      <c r="AS478" s="125"/>
      <c r="AT478" s="125"/>
      <c r="AU478" s="125"/>
      <c r="AV478" s="125"/>
      <c r="AW478" s="125"/>
      <c r="AX478" s="125"/>
      <c r="AY478" s="125"/>
      <c r="AZ478" s="125"/>
      <c r="BA478" s="129"/>
      <c r="BB478" s="125"/>
      <c r="BC478" s="125"/>
      <c r="BD478" s="125"/>
      <c r="BE478" s="125"/>
      <c r="BF478" s="125"/>
      <c r="BG478" s="125"/>
      <c r="BH478" s="125"/>
      <c r="BI478" s="125"/>
      <c r="BJ478" s="126"/>
      <c r="BK478" s="125"/>
      <c r="BL478" s="125"/>
      <c r="BM478" s="125"/>
      <c r="BN478" s="125"/>
      <c r="BO478" s="125"/>
      <c r="BP478" s="125"/>
      <c r="BQ478" s="125"/>
      <c r="BR478" s="125"/>
      <c r="BS478" s="125"/>
      <c r="BT478" s="125"/>
      <c r="BU478" s="473"/>
      <c r="BV478" s="125"/>
      <c r="BW478" s="125"/>
      <c r="BX478" s="125"/>
      <c r="BY478" s="125"/>
      <c r="BZ478" s="125"/>
      <c r="CB478" s="28"/>
      <c r="DS478" s="125"/>
    </row>
    <row r="479" spans="1:123" s="130" customFormat="1">
      <c r="A479" s="127"/>
      <c r="B479" s="70"/>
      <c r="C479" s="42"/>
      <c r="D479" s="42"/>
      <c r="E479" s="42"/>
      <c r="F479" s="42"/>
      <c r="G479" s="62"/>
      <c r="H479" s="62"/>
      <c r="I479" s="62"/>
      <c r="J479" s="62"/>
      <c r="K479" s="62"/>
      <c r="L479" s="62"/>
      <c r="M479" s="62"/>
      <c r="N479" s="62"/>
      <c r="O479" s="62"/>
      <c r="P479" s="62"/>
      <c r="Q479" s="62"/>
      <c r="R479" s="62"/>
      <c r="S479" s="62"/>
      <c r="T479" s="62"/>
      <c r="U479" s="128"/>
      <c r="V479" s="128"/>
      <c r="W479" s="128"/>
      <c r="X479" s="128"/>
      <c r="Y479" s="128"/>
      <c r="Z479" s="128"/>
      <c r="AA479" s="200"/>
      <c r="AB479" s="200"/>
      <c r="AC479" s="200"/>
      <c r="AD479" s="200"/>
      <c r="AE479" s="200"/>
      <c r="AF479" s="200"/>
      <c r="AG479" s="200"/>
      <c r="AH479" s="200"/>
      <c r="AI479" s="200"/>
      <c r="AJ479" s="200"/>
      <c r="AK479" s="200"/>
      <c r="AL479" s="200"/>
      <c r="AM479" s="200"/>
      <c r="AN479" s="200"/>
      <c r="AO479" s="200"/>
      <c r="AP479" s="463"/>
      <c r="AQ479" s="200"/>
      <c r="AR479" s="200"/>
      <c r="AS479" s="200"/>
      <c r="AT479" s="200"/>
      <c r="AU479" s="200"/>
      <c r="AV479" s="200"/>
      <c r="AW479" s="200"/>
      <c r="AX479" s="200"/>
      <c r="AY479" s="200"/>
      <c r="AZ479" s="200"/>
      <c r="BA479" s="129"/>
      <c r="BB479" s="129"/>
      <c r="BC479" s="129"/>
      <c r="BD479" s="129"/>
      <c r="BE479" s="129"/>
      <c r="BF479" s="129"/>
      <c r="BG479" s="129"/>
      <c r="BH479" s="129"/>
      <c r="BI479" s="129"/>
      <c r="BJ479" s="62"/>
      <c r="BK479" s="129"/>
      <c r="BL479" s="129"/>
      <c r="BM479" s="62"/>
      <c r="BN479" s="200"/>
      <c r="BO479" s="200"/>
      <c r="BP479" s="200"/>
      <c r="BQ479" s="200"/>
      <c r="BR479" s="200"/>
      <c r="BS479" s="200"/>
      <c r="BT479" s="200"/>
      <c r="BU479" s="463"/>
      <c r="BV479" s="200"/>
      <c r="BW479" s="200"/>
      <c r="BX479" s="200"/>
      <c r="BY479" s="200"/>
      <c r="BZ479" s="200"/>
      <c r="CB479" s="42"/>
      <c r="DS479" s="200"/>
    </row>
    <row r="480" spans="1:123" s="130" customFormat="1">
      <c r="A480" s="127"/>
      <c r="B480" s="75" t="s">
        <v>248</v>
      </c>
      <c r="C480" s="42"/>
      <c r="D480" s="42"/>
      <c r="E480" s="42"/>
      <c r="F480" s="42"/>
      <c r="G480" s="62"/>
      <c r="H480" s="62"/>
      <c r="I480" s="62"/>
      <c r="J480" s="62"/>
      <c r="K480" s="62"/>
      <c r="L480" s="62"/>
      <c r="M480" s="62"/>
      <c r="N480" s="62"/>
      <c r="O480" s="62"/>
      <c r="P480" s="62"/>
      <c r="Q480" s="62"/>
      <c r="R480" s="62"/>
      <c r="S480" s="62"/>
      <c r="T480" s="62"/>
      <c r="U480" s="128"/>
      <c r="V480" s="128"/>
      <c r="W480" s="128"/>
      <c r="X480" s="128"/>
      <c r="Y480" s="128"/>
      <c r="Z480" s="128"/>
      <c r="AA480" s="200"/>
      <c r="AB480" s="200"/>
      <c r="AC480" s="200"/>
      <c r="AD480" s="200"/>
      <c r="AE480" s="200"/>
      <c r="AF480" s="200"/>
      <c r="AG480" s="200"/>
      <c r="AH480" s="200"/>
      <c r="AI480" s="200"/>
      <c r="AJ480" s="200"/>
      <c r="AK480" s="200"/>
      <c r="AL480" s="200"/>
      <c r="AM480" s="200"/>
      <c r="AN480" s="200"/>
      <c r="AO480" s="200"/>
      <c r="AP480" s="463"/>
      <c r="AQ480" s="200"/>
      <c r="AR480" s="200"/>
      <c r="AS480" s="200"/>
      <c r="AT480" s="200"/>
      <c r="AU480" s="200"/>
      <c r="AV480" s="200"/>
      <c r="AW480" s="200"/>
      <c r="AX480" s="200"/>
      <c r="AY480" s="200"/>
      <c r="AZ480" s="200"/>
      <c r="BA480" s="92"/>
      <c r="BB480" s="129"/>
      <c r="BC480" s="129"/>
      <c r="BD480" s="129"/>
      <c r="BE480" s="129"/>
      <c r="BF480" s="129"/>
      <c r="BG480" s="129"/>
      <c r="BH480" s="129"/>
      <c r="BI480" s="129"/>
      <c r="BJ480" s="62"/>
      <c r="BK480" s="129"/>
      <c r="BL480" s="129"/>
      <c r="BM480" s="62"/>
      <c r="BN480" s="200"/>
      <c r="BO480" s="200"/>
      <c r="BP480" s="200"/>
      <c r="BQ480" s="200"/>
      <c r="BR480" s="200"/>
      <c r="BS480" s="200"/>
      <c r="BT480" s="200"/>
      <c r="BU480" s="463"/>
      <c r="BV480" s="200"/>
      <c r="BW480" s="200"/>
      <c r="BX480" s="200"/>
      <c r="BY480" s="200"/>
      <c r="BZ480" s="200"/>
      <c r="CB480" s="42"/>
      <c r="DS480" s="200"/>
    </row>
    <row r="481" spans="1:123" s="130" customFormat="1">
      <c r="A481" s="127" t="s">
        <v>181</v>
      </c>
      <c r="B481" s="70" t="s">
        <v>184</v>
      </c>
      <c r="C481" s="42"/>
      <c r="D481" s="42"/>
      <c r="E481" s="42"/>
      <c r="F481" s="42"/>
      <c r="G481" s="62"/>
      <c r="H481" s="62"/>
      <c r="I481" s="62"/>
      <c r="J481" s="62"/>
      <c r="K481" s="62"/>
      <c r="L481" s="62"/>
      <c r="M481" s="62"/>
      <c r="N481" s="62"/>
      <c r="O481" s="62"/>
      <c r="P481" s="62"/>
      <c r="Q481" s="62"/>
      <c r="R481" s="62"/>
      <c r="S481" s="62"/>
      <c r="T481" s="62"/>
      <c r="U481" s="128"/>
      <c r="V481" s="128"/>
      <c r="W481" s="128"/>
      <c r="X481" s="128"/>
      <c r="Y481" s="171">
        <v>115.327</v>
      </c>
      <c r="Z481" s="168">
        <f>BM481-Y481</f>
        <v>111.364</v>
      </c>
      <c r="AA481" s="171">
        <v>122.806</v>
      </c>
      <c r="AB481" s="168">
        <f>BN481-AA481</f>
        <v>110.03099999999999</v>
      </c>
      <c r="AC481" s="171">
        <v>126.26</v>
      </c>
      <c r="AD481" s="168">
        <f>BO481-AC481</f>
        <v>157.96800000000002</v>
      </c>
      <c r="AE481" s="171">
        <v>148.19</v>
      </c>
      <c r="AF481" s="168">
        <f>BP481-AE481</f>
        <v>182.01400000000001</v>
      </c>
      <c r="AG481" s="171">
        <v>145.74100000000001</v>
      </c>
      <c r="AH481" s="168">
        <f>BQ481-AG481</f>
        <v>170.93499999999997</v>
      </c>
      <c r="AI481" s="171">
        <v>176.11600000000001</v>
      </c>
      <c r="AJ481" s="168">
        <f>BR481-AI481</f>
        <v>169.03799999999998</v>
      </c>
      <c r="AK481" s="181">
        <v>320.70499999999998</v>
      </c>
      <c r="AL481" s="181">
        <f>BS481-AK481</f>
        <v>495.96300000000002</v>
      </c>
      <c r="AM481" s="181">
        <v>598.45399999999995</v>
      </c>
      <c r="AN481" s="181">
        <f>BT481-AM481</f>
        <v>566.69000000000005</v>
      </c>
      <c r="AO481" s="181">
        <v>581.226</v>
      </c>
      <c r="AP481" s="453">
        <f t="shared" ref="AP481:AP487" si="627">BU481-AO481</f>
        <v>694.42099999999994</v>
      </c>
      <c r="AQ481" s="55"/>
      <c r="AR481" s="55"/>
      <c r="AS481" s="55"/>
      <c r="AT481" s="55"/>
      <c r="AU481" s="55"/>
      <c r="AV481" s="55"/>
      <c r="AW481" s="55"/>
      <c r="AX481" s="55"/>
      <c r="AY481" s="55"/>
      <c r="AZ481" s="55"/>
      <c r="BA481" s="92"/>
      <c r="BB481" s="92"/>
      <c r="BC481" s="92"/>
      <c r="BD481" s="92"/>
      <c r="BE481" s="92"/>
      <c r="BF481" s="92"/>
      <c r="BG481" s="92"/>
      <c r="BH481" s="92"/>
      <c r="BI481" s="55"/>
      <c r="BJ481" s="55"/>
      <c r="BK481" s="55"/>
      <c r="BL481" s="55"/>
      <c r="BM481" s="171">
        <v>226.691</v>
      </c>
      <c r="BN481" s="171">
        <v>232.83699999999999</v>
      </c>
      <c r="BO481" s="171">
        <v>284.22800000000001</v>
      </c>
      <c r="BP481" s="171">
        <v>330.20400000000001</v>
      </c>
      <c r="BQ481" s="171">
        <v>316.67599999999999</v>
      </c>
      <c r="BR481" s="171">
        <v>345.154</v>
      </c>
      <c r="BS481" s="171">
        <v>816.66800000000001</v>
      </c>
      <c r="BT481" s="171">
        <v>1165.144</v>
      </c>
      <c r="BU481" s="314">
        <v>1275.6469999999999</v>
      </c>
      <c r="BV481" s="120"/>
      <c r="BW481" s="120"/>
      <c r="BX481" s="120"/>
      <c r="BY481" s="120"/>
      <c r="BZ481" s="120"/>
      <c r="CB481" s="42" t="s">
        <v>645</v>
      </c>
      <c r="DS481" s="120"/>
    </row>
    <row r="482" spans="1:123" s="130" customFormat="1">
      <c r="A482" s="127" t="s">
        <v>210</v>
      </c>
      <c r="B482" s="70" t="s">
        <v>249</v>
      </c>
      <c r="C482" s="42"/>
      <c r="D482" s="42"/>
      <c r="E482" s="42"/>
      <c r="F482" s="42"/>
      <c r="G482" s="62"/>
      <c r="H482" s="62"/>
      <c r="I482" s="62"/>
      <c r="J482" s="62"/>
      <c r="K482" s="62"/>
      <c r="L482" s="62"/>
      <c r="M482" s="62"/>
      <c r="N482" s="62"/>
      <c r="O482" s="62"/>
      <c r="P482" s="62"/>
      <c r="Q482" s="62"/>
      <c r="R482" s="62"/>
      <c r="S482" s="62"/>
      <c r="T482" s="62"/>
      <c r="U482" s="128"/>
      <c r="V482" s="128"/>
      <c r="W482" s="128"/>
      <c r="X482" s="128"/>
      <c r="Y482" s="171">
        <v>-96.373000000000005</v>
      </c>
      <c r="Z482" s="168">
        <f t="shared" ref="Z482:Z487" si="628">BM482-Y482</f>
        <v>-90.484999999999999</v>
      </c>
      <c r="AA482" s="171">
        <v>-105.925</v>
      </c>
      <c r="AB482" s="168">
        <f>BN482-AA482</f>
        <v>-99.17</v>
      </c>
      <c r="AC482" s="171">
        <v>-117.619</v>
      </c>
      <c r="AD482" s="168">
        <f>BO482-AC482</f>
        <v>-137.93600000000001</v>
      </c>
      <c r="AE482" s="171">
        <v>-123.717</v>
      </c>
      <c r="AF482" s="168">
        <f>BP482-AE482</f>
        <v>-142.99200000000002</v>
      </c>
      <c r="AG482" s="171">
        <v>-109.005</v>
      </c>
      <c r="AH482" s="168">
        <f>BQ482-AG482</f>
        <v>-145.02000000000001</v>
      </c>
      <c r="AI482" s="171">
        <v>-144.738</v>
      </c>
      <c r="AJ482" s="168">
        <f>BR482-AI482</f>
        <v>-124.19299999999998</v>
      </c>
      <c r="AK482" s="181">
        <v>-279.17899999999997</v>
      </c>
      <c r="AL482" s="181">
        <f t="shared" ref="AL482:AL487" si="629">BS482-AK482</f>
        <v>-397.82799999999997</v>
      </c>
      <c r="AM482" s="181">
        <v>-504.21199999999999</v>
      </c>
      <c r="AN482" s="181">
        <f t="shared" ref="AN482:AN483" si="630">BT482-AM482</f>
        <v>-470.48</v>
      </c>
      <c r="AO482" s="181">
        <v>-459.97899999999998</v>
      </c>
      <c r="AP482" s="453">
        <f t="shared" si="627"/>
        <v>-486.22300000000001</v>
      </c>
      <c r="AQ482" s="55"/>
      <c r="AR482" s="55"/>
      <c r="AS482" s="55"/>
      <c r="AT482" s="55"/>
      <c r="AU482" s="55"/>
      <c r="AV482" s="55"/>
      <c r="AW482" s="55"/>
      <c r="AX482" s="55"/>
      <c r="AY482" s="55"/>
      <c r="AZ482" s="55"/>
      <c r="BA482" s="92"/>
      <c r="BB482" s="92"/>
      <c r="BC482" s="92"/>
      <c r="BD482" s="92"/>
      <c r="BE482" s="92"/>
      <c r="BF482" s="92"/>
      <c r="BG482" s="92"/>
      <c r="BH482" s="92"/>
      <c r="BI482" s="55"/>
      <c r="BJ482" s="55"/>
      <c r="BK482" s="55"/>
      <c r="BL482" s="55"/>
      <c r="BM482" s="171">
        <v>-186.858</v>
      </c>
      <c r="BN482" s="171">
        <v>-205.095</v>
      </c>
      <c r="BO482" s="171">
        <v>-255.55500000000001</v>
      </c>
      <c r="BP482" s="171">
        <v>-266.709</v>
      </c>
      <c r="BQ482" s="171">
        <v>-254.02500000000001</v>
      </c>
      <c r="BR482" s="171">
        <v>-268.93099999999998</v>
      </c>
      <c r="BS482" s="171">
        <v>-677.00699999999995</v>
      </c>
      <c r="BT482" s="171">
        <v>-974.69200000000001</v>
      </c>
      <c r="BU482" s="314">
        <v>-946.202</v>
      </c>
      <c r="BV482" s="120"/>
      <c r="BW482" s="120"/>
      <c r="BX482" s="120"/>
      <c r="BY482" s="120"/>
      <c r="BZ482" s="120"/>
      <c r="CB482" s="42" t="s">
        <v>645</v>
      </c>
      <c r="DS482" s="120"/>
    </row>
    <row r="483" spans="1:123" s="130" customFormat="1">
      <c r="A483" s="127" t="s">
        <v>175</v>
      </c>
      <c r="B483" s="70" t="s">
        <v>250</v>
      </c>
      <c r="C483" s="42"/>
      <c r="D483" s="42"/>
      <c r="E483" s="42"/>
      <c r="F483" s="42"/>
      <c r="G483" s="62"/>
      <c r="H483" s="62"/>
      <c r="I483" s="62"/>
      <c r="J483" s="62"/>
      <c r="K483" s="62"/>
      <c r="L483" s="62"/>
      <c r="M483" s="62"/>
      <c r="N483" s="62"/>
      <c r="O483" s="62"/>
      <c r="P483" s="62"/>
      <c r="Q483" s="62"/>
      <c r="R483" s="62"/>
      <c r="S483" s="62"/>
      <c r="T483" s="62"/>
      <c r="U483" s="128"/>
      <c r="V483" s="128"/>
      <c r="W483" s="128"/>
      <c r="X483" s="128"/>
      <c r="Y483" s="171">
        <v>-8.1999999999999993</v>
      </c>
      <c r="Z483" s="168">
        <f t="shared" si="628"/>
        <v>-6.7760000000000016</v>
      </c>
      <c r="AA483" s="171">
        <v>-7.1029999999999998</v>
      </c>
      <c r="AB483" s="168">
        <f>BN483-AA483</f>
        <v>-7.1010000000000009</v>
      </c>
      <c r="AC483" s="171">
        <v>-9.0869999999999997</v>
      </c>
      <c r="AD483" s="168">
        <f>BO483-AC483</f>
        <v>-2.9510000000000005</v>
      </c>
      <c r="AE483" s="171">
        <v>-10.792999999999999</v>
      </c>
      <c r="AF483" s="168">
        <f>BP483-AE483</f>
        <v>-4.3080000000000016</v>
      </c>
      <c r="AG483" s="171">
        <v>-12.895</v>
      </c>
      <c r="AH483" s="168">
        <f>BQ483-AG483</f>
        <v>-7.2950000000000017</v>
      </c>
      <c r="AI483" s="171">
        <v>-14.109</v>
      </c>
      <c r="AJ483" s="168">
        <f>BR483-AI483</f>
        <v>-12.795</v>
      </c>
      <c r="AK483" s="188">
        <v>-17.715</v>
      </c>
      <c r="AL483" s="188">
        <f t="shared" si="629"/>
        <v>-14.623999999999999</v>
      </c>
      <c r="AM483" s="188">
        <v>-34.89</v>
      </c>
      <c r="AN483" s="188">
        <f t="shared" si="630"/>
        <v>-28.725999999999999</v>
      </c>
      <c r="AO483" s="188">
        <v>-43.741</v>
      </c>
      <c r="AP483" s="477">
        <f t="shared" si="627"/>
        <v>-33.001000000000005</v>
      </c>
      <c r="AQ483" s="131"/>
      <c r="AR483" s="131"/>
      <c r="AS483" s="131"/>
      <c r="AT483" s="131"/>
      <c r="AU483" s="131"/>
      <c r="AV483" s="131"/>
      <c r="AW483" s="131"/>
      <c r="AX483" s="131"/>
      <c r="AY483" s="131"/>
      <c r="AZ483" s="131"/>
      <c r="BA483" s="92"/>
      <c r="BB483" s="92"/>
      <c r="BC483" s="92"/>
      <c r="BD483" s="92"/>
      <c r="BE483" s="92"/>
      <c r="BF483" s="92"/>
      <c r="BG483" s="92"/>
      <c r="BH483" s="92"/>
      <c r="BI483" s="55"/>
      <c r="BJ483" s="55"/>
      <c r="BK483" s="55"/>
      <c r="BL483" s="55"/>
      <c r="BM483" s="171">
        <v>-14.976000000000001</v>
      </c>
      <c r="BN483" s="171">
        <v>-14.204000000000001</v>
      </c>
      <c r="BO483" s="171">
        <v>-12.038</v>
      </c>
      <c r="BP483" s="171">
        <v>-15.101000000000001</v>
      </c>
      <c r="BQ483" s="171">
        <v>-20.190000000000001</v>
      </c>
      <c r="BR483" s="171">
        <v>-26.904</v>
      </c>
      <c r="BS483" s="171">
        <v>-32.338999999999999</v>
      </c>
      <c r="BT483" s="171">
        <v>-63.616</v>
      </c>
      <c r="BU483" s="314">
        <v>-76.742000000000004</v>
      </c>
      <c r="BV483" s="120"/>
      <c r="BW483" s="120"/>
      <c r="BX483" s="120"/>
      <c r="BY483" s="120"/>
      <c r="BZ483" s="120"/>
      <c r="CB483" s="42" t="s">
        <v>645</v>
      </c>
      <c r="DS483" s="120"/>
    </row>
    <row r="484" spans="1:123" s="130" customFormat="1">
      <c r="A484" s="127"/>
      <c r="B484" s="70" t="s">
        <v>18</v>
      </c>
      <c r="C484" s="42"/>
      <c r="D484" s="42"/>
      <c r="E484" s="42"/>
      <c r="F484" s="42"/>
      <c r="G484" s="62"/>
      <c r="H484" s="62"/>
      <c r="I484" s="62"/>
      <c r="J484" s="62"/>
      <c r="K484" s="62"/>
      <c r="L484" s="62"/>
      <c r="M484" s="62"/>
      <c r="N484" s="62"/>
      <c r="O484" s="62"/>
      <c r="P484" s="62"/>
      <c r="Q484" s="62"/>
      <c r="R484" s="62"/>
      <c r="S484" s="62"/>
      <c r="T484" s="62"/>
      <c r="U484" s="128"/>
      <c r="V484" s="128"/>
      <c r="W484" s="128"/>
      <c r="X484" s="128"/>
      <c r="Y484" s="168">
        <f>Y485-SUM(Y481:Y483)</f>
        <v>16.637000000000004</v>
      </c>
      <c r="Z484" s="168">
        <f t="shared" si="628"/>
        <v>14.918000000000003</v>
      </c>
      <c r="AA484" s="168">
        <f>AA485-SUM(AA481:AA483)</f>
        <v>19.151999999999987</v>
      </c>
      <c r="AB484" s="168">
        <f t="shared" ref="AB484:AI484" si="631">AB485-SUM(AB481:AB483)</f>
        <v>13.556000000000028</v>
      </c>
      <c r="AC484" s="168">
        <f t="shared" si="631"/>
        <v>21.423999999999982</v>
      </c>
      <c r="AD484" s="168">
        <f t="shared" si="631"/>
        <v>16.21200000000001</v>
      </c>
      <c r="AE484" s="168">
        <f t="shared" si="631"/>
        <v>19.180999999999997</v>
      </c>
      <c r="AF484" s="168">
        <f t="shared" si="631"/>
        <v>10.420000000000016</v>
      </c>
      <c r="AG484" s="168">
        <f t="shared" si="631"/>
        <v>26.209000000000007</v>
      </c>
      <c r="AH484" s="168">
        <f t="shared" si="631"/>
        <v>15.169999999999987</v>
      </c>
      <c r="AI484" s="168">
        <f t="shared" si="631"/>
        <v>27.65000000000002</v>
      </c>
      <c r="AJ484" s="168">
        <f>AJ485-SUM(AJ481:AJ483)</f>
        <v>24.991999999999962</v>
      </c>
      <c r="AK484" s="55">
        <f t="shared" ref="AK484:AM484" si="632">AK485-SUM(AK481:AK483)</f>
        <v>-0.20300000000001361</v>
      </c>
      <c r="AL484" s="55">
        <f t="shared" si="629"/>
        <v>6.2569999999999588</v>
      </c>
      <c r="AM484" s="55">
        <f t="shared" si="632"/>
        <v>-16.569999999999965</v>
      </c>
      <c r="AN484" s="55">
        <f>BT484-AM484</f>
        <v>18.943999999999974</v>
      </c>
      <c r="AO484" s="55">
        <f t="shared" ref="AO484" si="633">AO485-SUM(AO481:AO483)</f>
        <v>24.625</v>
      </c>
      <c r="AP484" s="453">
        <f t="shared" si="627"/>
        <v>12.704000000000065</v>
      </c>
      <c r="AQ484" s="55"/>
      <c r="AR484" s="55"/>
      <c r="AS484" s="55"/>
      <c r="AT484" s="55"/>
      <c r="AU484" s="55"/>
      <c r="AV484" s="55"/>
      <c r="AW484" s="55"/>
      <c r="AX484" s="55"/>
      <c r="AY484" s="55"/>
      <c r="AZ484" s="55"/>
      <c r="BA484" s="237"/>
      <c r="BB484" s="92"/>
      <c r="BC484" s="92"/>
      <c r="BD484" s="92"/>
      <c r="BE484" s="92"/>
      <c r="BF484" s="92"/>
      <c r="BG484" s="92"/>
      <c r="BH484" s="92"/>
      <c r="BI484" s="55"/>
      <c r="BJ484" s="55"/>
      <c r="BK484" s="55"/>
      <c r="BL484" s="55"/>
      <c r="BM484" s="168">
        <f t="shared" ref="BM484:BU484" si="634">BM485-SUM(BM481:BM483)</f>
        <v>31.555000000000007</v>
      </c>
      <c r="BN484" s="168">
        <f t="shared" si="634"/>
        <v>32.70800000000002</v>
      </c>
      <c r="BO484" s="168">
        <f t="shared" si="634"/>
        <v>37.635999999999981</v>
      </c>
      <c r="BP484" s="168">
        <f t="shared" si="634"/>
        <v>29.600999999999985</v>
      </c>
      <c r="BQ484" s="168">
        <f t="shared" si="634"/>
        <v>41.378999999999991</v>
      </c>
      <c r="BR484" s="168">
        <f t="shared" si="634"/>
        <v>52.641999999999982</v>
      </c>
      <c r="BS484" s="168">
        <f t="shared" si="634"/>
        <v>6.0539999999999452</v>
      </c>
      <c r="BT484" s="168">
        <f t="shared" si="634"/>
        <v>2.3740000000000094</v>
      </c>
      <c r="BU484" s="302">
        <f t="shared" si="634"/>
        <v>37.329000000000065</v>
      </c>
      <c r="BV484" s="120"/>
      <c r="BW484" s="120"/>
      <c r="BX484" s="120"/>
      <c r="BY484" s="120"/>
      <c r="BZ484" s="120"/>
      <c r="CB484" s="42" t="s">
        <v>609</v>
      </c>
      <c r="DS484" s="120"/>
    </row>
    <row r="485" spans="1:123" s="130" customFormat="1">
      <c r="A485" s="127"/>
      <c r="B485" s="75" t="s">
        <v>251</v>
      </c>
      <c r="C485" s="42"/>
      <c r="D485" s="42"/>
      <c r="E485" s="42"/>
      <c r="F485" s="42"/>
      <c r="G485" s="62"/>
      <c r="H485" s="62"/>
      <c r="I485" s="62"/>
      <c r="J485" s="62"/>
      <c r="K485" s="62"/>
      <c r="L485" s="62"/>
      <c r="M485" s="62"/>
      <c r="N485" s="62"/>
      <c r="O485" s="62"/>
      <c r="P485" s="62"/>
      <c r="Q485" s="62"/>
      <c r="R485" s="62"/>
      <c r="S485" s="62"/>
      <c r="T485" s="62"/>
      <c r="U485" s="128"/>
      <c r="V485" s="128"/>
      <c r="W485" s="128"/>
      <c r="X485" s="128"/>
      <c r="Y485" s="200">
        <f>Y487-Y486</f>
        <v>27.390999999999998</v>
      </c>
      <c r="Z485" s="168">
        <f t="shared" si="628"/>
        <v>29.021000000000008</v>
      </c>
      <c r="AA485" s="200">
        <f t="shared" ref="AA485:AM485" si="635">AA487-AA486</f>
        <v>28.929999999999986</v>
      </c>
      <c r="AB485" s="200">
        <f t="shared" si="635"/>
        <v>17.316000000000017</v>
      </c>
      <c r="AC485" s="200">
        <f t="shared" si="635"/>
        <v>20.977999999999987</v>
      </c>
      <c r="AD485" s="200">
        <f t="shared" si="635"/>
        <v>33.293000000000021</v>
      </c>
      <c r="AE485" s="200">
        <f t="shared" si="635"/>
        <v>32.860999999999997</v>
      </c>
      <c r="AF485" s="200">
        <f t="shared" si="635"/>
        <v>45.134000000000007</v>
      </c>
      <c r="AG485" s="200">
        <f t="shared" si="635"/>
        <v>50.050000000000026</v>
      </c>
      <c r="AH485" s="200">
        <f t="shared" si="635"/>
        <v>33.789999999999949</v>
      </c>
      <c r="AI485" s="200">
        <f t="shared" si="635"/>
        <v>44.919000000000032</v>
      </c>
      <c r="AJ485" s="200">
        <f t="shared" si="635"/>
        <v>57.041999999999959</v>
      </c>
      <c r="AK485" s="200">
        <f t="shared" si="635"/>
        <v>23.607999999999997</v>
      </c>
      <c r="AL485" s="200">
        <f t="shared" si="629"/>
        <v>89.768000000000001</v>
      </c>
      <c r="AM485" s="200">
        <f t="shared" si="635"/>
        <v>42.781999999999996</v>
      </c>
      <c r="AN485" s="200">
        <f t="shared" ref="AN485:AN487" si="636">BT485-AM485</f>
        <v>86.428000000000011</v>
      </c>
      <c r="AO485" s="200">
        <f t="shared" ref="AO485" si="637">AO487-AO486</f>
        <v>102.13100000000001</v>
      </c>
      <c r="AP485" s="463">
        <f t="shared" si="627"/>
        <v>187.90099999999995</v>
      </c>
      <c r="AQ485" s="200"/>
      <c r="AR485" s="200"/>
      <c r="AS485" s="200"/>
      <c r="AT485" s="200"/>
      <c r="AU485" s="200"/>
      <c r="AV485" s="200"/>
      <c r="AW485" s="200"/>
      <c r="AX485" s="200"/>
      <c r="AY485" s="200"/>
      <c r="AZ485" s="200"/>
      <c r="BA485" s="92"/>
      <c r="BB485" s="237"/>
      <c r="BC485" s="237"/>
      <c r="BD485" s="237"/>
      <c r="BE485" s="237"/>
      <c r="BF485" s="237"/>
      <c r="BG485" s="237"/>
      <c r="BH485" s="237"/>
      <c r="BI485" s="237"/>
      <c r="BJ485" s="55"/>
      <c r="BK485" s="237"/>
      <c r="BL485" s="237"/>
      <c r="BM485" s="200">
        <f t="shared" ref="BM485:BU485" si="638">BM487-BM486</f>
        <v>56.412000000000006</v>
      </c>
      <c r="BN485" s="200">
        <f t="shared" si="638"/>
        <v>46.246000000000009</v>
      </c>
      <c r="BO485" s="200">
        <f t="shared" si="638"/>
        <v>54.270999999999979</v>
      </c>
      <c r="BP485" s="200">
        <f t="shared" si="638"/>
        <v>77.99499999999999</v>
      </c>
      <c r="BQ485" s="200">
        <f t="shared" si="638"/>
        <v>83.839999999999975</v>
      </c>
      <c r="BR485" s="200">
        <f t="shared" si="638"/>
        <v>101.961</v>
      </c>
      <c r="BS485" s="200">
        <f t="shared" si="638"/>
        <v>113.376</v>
      </c>
      <c r="BT485" s="200">
        <f t="shared" si="638"/>
        <v>129.21</v>
      </c>
      <c r="BU485" s="463">
        <f t="shared" si="638"/>
        <v>290.03199999999998</v>
      </c>
      <c r="BV485" s="164"/>
      <c r="BW485" s="164"/>
      <c r="BX485" s="164"/>
      <c r="BY485" s="164"/>
      <c r="BZ485" s="164"/>
      <c r="CB485" s="42" t="s">
        <v>609</v>
      </c>
      <c r="DS485" s="164"/>
    </row>
    <row r="486" spans="1:123" s="130" customFormat="1">
      <c r="A486" s="127"/>
      <c r="B486" s="70" t="s">
        <v>252</v>
      </c>
      <c r="C486" s="42"/>
      <c r="D486" s="42"/>
      <c r="E486" s="42"/>
      <c r="F486" s="42"/>
      <c r="G486" s="62"/>
      <c r="H486" s="62"/>
      <c r="I486" s="62"/>
      <c r="J486" s="62"/>
      <c r="K486" s="62"/>
      <c r="L486" s="62"/>
      <c r="M486" s="62"/>
      <c r="N486" s="62"/>
      <c r="O486" s="62"/>
      <c r="P486" s="62"/>
      <c r="Q486" s="62"/>
      <c r="R486" s="62"/>
      <c r="S486" s="62"/>
      <c r="T486" s="62"/>
      <c r="U486" s="128"/>
      <c r="V486" s="128"/>
      <c r="W486" s="128"/>
      <c r="X486" s="128"/>
      <c r="Y486" s="171">
        <v>-1.415</v>
      </c>
      <c r="Z486" s="168">
        <f t="shared" si="628"/>
        <v>0.53200000000000003</v>
      </c>
      <c r="AA486" s="171">
        <v>8.3620000000000001</v>
      </c>
      <c r="AB486" s="168">
        <f>BN486-AA486</f>
        <v>2.8989999999999991</v>
      </c>
      <c r="AC486" s="171">
        <v>-3.8879999999999999</v>
      </c>
      <c r="AD486" s="168">
        <f>BO486-AC486</f>
        <v>19.145</v>
      </c>
      <c r="AE486" s="171">
        <v>-15.176</v>
      </c>
      <c r="AF486" s="168">
        <f>BP486-AE486</f>
        <v>27.29</v>
      </c>
      <c r="AG486" s="171">
        <v>-17.323</v>
      </c>
      <c r="AH486" s="168">
        <f>BQ486-AG486</f>
        <v>46.069000000000003</v>
      </c>
      <c r="AI486" s="171">
        <v>-17.861000000000001</v>
      </c>
      <c r="AJ486" s="168">
        <f>BR486-AI486</f>
        <v>11.435</v>
      </c>
      <c r="AK486" s="139">
        <v>40.768999999999998</v>
      </c>
      <c r="AL486" s="139">
        <f t="shared" si="629"/>
        <v>48.092999999999996</v>
      </c>
      <c r="AM486" s="139">
        <v>-60.103000000000002</v>
      </c>
      <c r="AN486" s="139">
        <f t="shared" si="636"/>
        <v>12.893000000000001</v>
      </c>
      <c r="AO486" s="139">
        <v>86.366</v>
      </c>
      <c r="AP486" s="443">
        <f t="shared" si="627"/>
        <v>10.134</v>
      </c>
      <c r="BA486" s="236"/>
      <c r="BB486" s="92"/>
      <c r="BC486" s="92"/>
      <c r="BD486" s="92"/>
      <c r="BE486" s="92"/>
      <c r="BF486" s="92"/>
      <c r="BG486" s="92"/>
      <c r="BH486" s="92"/>
      <c r="BI486" s="55"/>
      <c r="BJ486" s="55"/>
      <c r="BK486" s="55"/>
      <c r="BL486" s="55"/>
      <c r="BM486" s="171">
        <v>-0.88300000000000001</v>
      </c>
      <c r="BN486" s="171">
        <v>11.260999999999999</v>
      </c>
      <c r="BO486" s="171">
        <v>15.257</v>
      </c>
      <c r="BP486" s="171">
        <v>12.114000000000001</v>
      </c>
      <c r="BQ486" s="171">
        <v>28.745999999999999</v>
      </c>
      <c r="BR486" s="171">
        <v>-6.4260000000000002</v>
      </c>
      <c r="BS486" s="171">
        <v>88.861999999999995</v>
      </c>
      <c r="BT486" s="171">
        <v>-47.21</v>
      </c>
      <c r="BU486" s="314">
        <v>96.5</v>
      </c>
      <c r="BV486" s="120"/>
      <c r="BW486" s="120"/>
      <c r="BX486" s="120"/>
      <c r="BY486" s="120"/>
      <c r="BZ486" s="120"/>
      <c r="CB486" s="42" t="s">
        <v>645</v>
      </c>
      <c r="DS486" s="120"/>
    </row>
    <row r="487" spans="1:123" s="130" customFormat="1">
      <c r="A487" s="127" t="s">
        <v>166</v>
      </c>
      <c r="B487" s="75" t="s">
        <v>253</v>
      </c>
      <c r="C487" s="42"/>
      <c r="D487" s="42"/>
      <c r="E487" s="42"/>
      <c r="F487" s="42"/>
      <c r="G487" s="62"/>
      <c r="H487" s="62"/>
      <c r="I487" s="62"/>
      <c r="J487" s="62"/>
      <c r="K487" s="62"/>
      <c r="L487" s="62"/>
      <c r="M487" s="62"/>
      <c r="N487" s="62"/>
      <c r="O487" s="62"/>
      <c r="P487" s="62"/>
      <c r="Q487" s="62"/>
      <c r="R487" s="62"/>
      <c r="S487" s="62"/>
      <c r="T487" s="62"/>
      <c r="U487" s="128"/>
      <c r="V487" s="128"/>
      <c r="W487" s="128"/>
      <c r="X487" s="128"/>
      <c r="Y487" s="207">
        <v>25.975999999999999</v>
      </c>
      <c r="Z487" s="168">
        <f t="shared" si="628"/>
        <v>29.553000000000004</v>
      </c>
      <c r="AA487" s="207">
        <v>37.291999999999987</v>
      </c>
      <c r="AB487" s="168">
        <f>BN487-AA487</f>
        <v>20.215000000000018</v>
      </c>
      <c r="AC487" s="207">
        <v>17.089999999999989</v>
      </c>
      <c r="AD487" s="207">
        <v>52.438000000000017</v>
      </c>
      <c r="AE487" s="207">
        <v>17.684999999999995</v>
      </c>
      <c r="AF487" s="200">
        <f>BP487-AE487</f>
        <v>72.424000000000007</v>
      </c>
      <c r="AG487" s="207">
        <v>32.727000000000025</v>
      </c>
      <c r="AH487" s="200">
        <f>BQ487-AG487</f>
        <v>79.858999999999952</v>
      </c>
      <c r="AI487" s="207">
        <v>27.058000000000032</v>
      </c>
      <c r="AJ487" s="200">
        <f>BR487-AI487</f>
        <v>68.476999999999961</v>
      </c>
      <c r="AK487" s="207">
        <v>64.376999999999995</v>
      </c>
      <c r="AL487" s="207">
        <f t="shared" si="629"/>
        <v>137.86099999999999</v>
      </c>
      <c r="AM487" s="207">
        <v>-17.321000000000002</v>
      </c>
      <c r="AN487" s="207">
        <f t="shared" si="636"/>
        <v>99.320999999999998</v>
      </c>
      <c r="AO487" s="207">
        <v>188.49700000000001</v>
      </c>
      <c r="AP487" s="463">
        <f t="shared" si="627"/>
        <v>198.03499999999997</v>
      </c>
      <c r="AQ487" s="200">
        <f t="shared" ref="AQ487:AZ487" si="639">AQ258</f>
        <v>90.691559664724792</v>
      </c>
      <c r="AR487" s="200">
        <f t="shared" si="639"/>
        <v>132.55756158196562</v>
      </c>
      <c r="AS487" s="200">
        <f t="shared" si="639"/>
        <v>96.881442472322675</v>
      </c>
      <c r="AT487" s="200">
        <f t="shared" si="639"/>
        <v>143.30597015068474</v>
      </c>
      <c r="AU487" s="200">
        <f t="shared" si="639"/>
        <v>107.66598911225353</v>
      </c>
      <c r="AV487" s="200">
        <f t="shared" si="639"/>
        <v>154.68117773405899</v>
      </c>
      <c r="AW487" s="200">
        <f t="shared" si="639"/>
        <v>117.736361003748</v>
      </c>
      <c r="AX487" s="200">
        <f t="shared" si="639"/>
        <v>166.8042425444915</v>
      </c>
      <c r="AY487" s="200">
        <f t="shared" si="639"/>
        <v>128.5094158985689</v>
      </c>
      <c r="AZ487" s="200">
        <f t="shared" si="639"/>
        <v>179.72304504020687</v>
      </c>
      <c r="BA487" s="129"/>
      <c r="BB487" s="236"/>
      <c r="BC487" s="236"/>
      <c r="BD487" s="236"/>
      <c r="BE487" s="236"/>
      <c r="BF487" s="236"/>
      <c r="BG487" s="236"/>
      <c r="BH487" s="236"/>
      <c r="BI487" s="236"/>
      <c r="BJ487" s="236"/>
      <c r="BK487" s="236"/>
      <c r="BL487" s="236"/>
      <c r="BM487" s="207">
        <v>55.529000000000003</v>
      </c>
      <c r="BN487" s="207">
        <v>57.507000000000005</v>
      </c>
      <c r="BO487" s="207">
        <v>69.527999999999977</v>
      </c>
      <c r="BP487" s="207">
        <v>90.108999999999995</v>
      </c>
      <c r="BQ487" s="207">
        <v>112.58599999999997</v>
      </c>
      <c r="BR487" s="207">
        <v>95.534999999999997</v>
      </c>
      <c r="BS487" s="207">
        <v>202.238</v>
      </c>
      <c r="BT487" s="207">
        <v>82</v>
      </c>
      <c r="BU487" s="315">
        <v>386.53199999999998</v>
      </c>
      <c r="BV487" s="164">
        <f>SUM(AQ487:AR487)</f>
        <v>223.24912124669041</v>
      </c>
      <c r="BW487" s="164">
        <f>SUM(AS487:AT487)</f>
        <v>240.18741262300742</v>
      </c>
      <c r="BX487" s="164">
        <f>SUM(AU487:AV487)</f>
        <v>262.34716684631252</v>
      </c>
      <c r="BY487" s="164">
        <f>SUM(AW487:AX487)</f>
        <v>284.54060354823952</v>
      </c>
      <c r="BZ487" s="164">
        <f>SUM(AY487:AZ487)</f>
        <v>308.23246093877577</v>
      </c>
      <c r="CB487" s="42" t="s">
        <v>645</v>
      </c>
      <c r="DS487" s="164">
        <f>SUM(CU487:CV487)</f>
        <v>0</v>
      </c>
    </row>
    <row r="488" spans="1:123" s="130" customFormat="1">
      <c r="A488" s="127"/>
      <c r="B488" s="70"/>
      <c r="C488" s="42"/>
      <c r="D488" s="42"/>
      <c r="E488" s="42"/>
      <c r="F488" s="42"/>
      <c r="G488" s="62"/>
      <c r="H488" s="62"/>
      <c r="I488" s="62"/>
      <c r="J488" s="62"/>
      <c r="K488" s="62"/>
      <c r="L488" s="62"/>
      <c r="M488" s="62"/>
      <c r="N488" s="62"/>
      <c r="O488" s="62"/>
      <c r="P488" s="62"/>
      <c r="Q488" s="62"/>
      <c r="R488" s="62"/>
      <c r="S488" s="62"/>
      <c r="T488" s="62"/>
      <c r="U488" s="128"/>
      <c r="V488" s="128"/>
      <c r="W488" s="128"/>
      <c r="X488" s="128"/>
      <c r="Y488" s="200"/>
      <c r="Z488" s="200"/>
      <c r="AA488" s="200"/>
      <c r="AB488" s="200"/>
      <c r="AC488" s="200"/>
      <c r="AD488" s="200"/>
      <c r="AE488" s="200"/>
      <c r="AF488" s="200"/>
      <c r="AG488" s="200"/>
      <c r="AH488" s="200"/>
      <c r="AI488" s="200"/>
      <c r="AJ488" s="200"/>
      <c r="AK488" s="200"/>
      <c r="AL488" s="200"/>
      <c r="AM488" s="200"/>
      <c r="AN488" s="200"/>
      <c r="AO488" s="200"/>
      <c r="AP488" s="463"/>
      <c r="AQ488" s="200"/>
      <c r="AR488" s="200"/>
      <c r="AS488" s="200"/>
      <c r="AT488" s="200"/>
      <c r="AU488" s="200"/>
      <c r="AV488" s="200"/>
      <c r="AW488" s="200"/>
      <c r="AX488" s="200"/>
      <c r="AY488" s="200"/>
      <c r="AZ488" s="200"/>
      <c r="BA488" s="129"/>
      <c r="BB488" s="129"/>
      <c r="BC488" s="129"/>
      <c r="BD488" s="129"/>
      <c r="BE488" s="129"/>
      <c r="BF488" s="129"/>
      <c r="BG488" s="129"/>
      <c r="BH488" s="129"/>
      <c r="BI488" s="129"/>
      <c r="BJ488" s="62"/>
      <c r="BK488" s="129"/>
      <c r="BL488" s="129"/>
      <c r="BM488" s="200"/>
      <c r="BN488" s="200"/>
      <c r="BO488" s="200"/>
      <c r="BP488" s="200"/>
      <c r="BQ488" s="200"/>
      <c r="BR488" s="200"/>
      <c r="BS488" s="200"/>
      <c r="BT488" s="200"/>
      <c r="BU488" s="463"/>
      <c r="BV488" s="200"/>
      <c r="BW488" s="200"/>
      <c r="BX488" s="200"/>
      <c r="BY488" s="200"/>
      <c r="BZ488" s="200"/>
      <c r="CB488" s="42"/>
      <c r="DS488" s="200"/>
    </row>
    <row r="489" spans="1:123" s="130" customFormat="1">
      <c r="A489" s="127"/>
      <c r="B489" s="75" t="s">
        <v>331</v>
      </c>
      <c r="C489" s="42"/>
      <c r="D489" s="42"/>
      <c r="E489" s="42"/>
      <c r="F489" s="42"/>
      <c r="G489" s="62"/>
      <c r="H489" s="62"/>
      <c r="I489" s="62"/>
      <c r="J489" s="62"/>
      <c r="K489" s="62"/>
      <c r="L489" s="62"/>
      <c r="M489" s="62"/>
      <c r="N489" s="62"/>
      <c r="O489" s="62"/>
      <c r="P489" s="62"/>
      <c r="Q489" s="62"/>
      <c r="R489" s="62"/>
      <c r="S489" s="62"/>
      <c r="T489" s="62"/>
      <c r="U489" s="128"/>
      <c r="V489" s="128"/>
      <c r="W489" s="128"/>
      <c r="X489" s="128"/>
      <c r="Y489" s="200"/>
      <c r="Z489" s="200"/>
      <c r="AA489" s="200"/>
      <c r="AB489" s="200"/>
      <c r="AC489" s="200"/>
      <c r="AD489" s="200"/>
      <c r="AE489" s="210"/>
      <c r="AF489" s="200"/>
      <c r="AG489" s="200"/>
      <c r="AH489" s="200"/>
      <c r="AI489" s="200"/>
      <c r="AJ489" s="200"/>
      <c r="AK489" s="200"/>
      <c r="AL489" s="200"/>
      <c r="AM489" s="200"/>
      <c r="AN489" s="200"/>
      <c r="AO489" s="200"/>
      <c r="AP489" s="463"/>
      <c r="AQ489" s="200"/>
      <c r="AR489" s="200"/>
      <c r="AS489" s="200"/>
      <c r="AT489" s="200"/>
      <c r="AU489" s="200"/>
      <c r="AV489" s="200"/>
      <c r="AW489" s="200"/>
      <c r="AX489" s="200"/>
      <c r="AY489" s="200"/>
      <c r="AZ489" s="200"/>
      <c r="BA489" s="129"/>
      <c r="BB489" s="129"/>
      <c r="BC489" s="129"/>
      <c r="BD489" s="129"/>
      <c r="BE489" s="129"/>
      <c r="BF489" s="129"/>
      <c r="BG489" s="129"/>
      <c r="BH489" s="129"/>
      <c r="BI489" s="129"/>
      <c r="BJ489" s="62"/>
      <c r="BK489" s="129"/>
      <c r="BL489" s="129"/>
      <c r="BM489" s="200"/>
      <c r="BN489" s="200"/>
      <c r="BO489" s="200"/>
      <c r="BP489" s="200"/>
      <c r="BQ489" s="200"/>
      <c r="BR489" s="200"/>
      <c r="BS489" s="200"/>
      <c r="BT489" s="200"/>
      <c r="BU489" s="463"/>
      <c r="BV489" s="200"/>
      <c r="BW489" s="200"/>
      <c r="BX489" s="200"/>
      <c r="BY489" s="200"/>
      <c r="BZ489" s="200"/>
      <c r="CB489" s="42"/>
      <c r="DS489" s="200"/>
    </row>
    <row r="490" spans="1:123" s="130" customFormat="1">
      <c r="A490" s="127"/>
      <c r="B490" s="70" t="s">
        <v>183</v>
      </c>
      <c r="C490" s="42"/>
      <c r="D490" s="42"/>
      <c r="E490" s="42"/>
      <c r="F490" s="42"/>
      <c r="G490" s="62"/>
      <c r="H490" s="62"/>
      <c r="I490" s="62"/>
      <c r="J490" s="62"/>
      <c r="K490" s="62"/>
      <c r="L490" s="62"/>
      <c r="M490" s="62"/>
      <c r="N490" s="62"/>
      <c r="O490" s="62"/>
      <c r="P490" s="62"/>
      <c r="Q490" s="62"/>
      <c r="R490" s="62"/>
      <c r="S490" s="62"/>
      <c r="T490" s="62"/>
      <c r="U490" s="128"/>
      <c r="V490" s="128"/>
      <c r="W490" s="128"/>
      <c r="X490" s="128"/>
      <c r="Y490" s="171">
        <v>-2.673</v>
      </c>
      <c r="Z490" s="168">
        <f t="shared" ref="Z490:Z495" si="640">BM490-Y490</f>
        <v>-6.9700000000000006</v>
      </c>
      <c r="AA490" s="171">
        <v>-13.497</v>
      </c>
      <c r="AB490" s="168">
        <f>BN490-AA490</f>
        <v>-8.9750000000000014</v>
      </c>
      <c r="AC490" s="171">
        <f>-5.538-1.291</f>
        <v>-6.8290000000000006</v>
      </c>
      <c r="AD490" s="168">
        <f>BO490-AC490</f>
        <v>-26.192999999999998</v>
      </c>
      <c r="AE490" s="171">
        <v>-8.9290000000000003</v>
      </c>
      <c r="AF490" s="168">
        <f>BP490-AE490</f>
        <v>-139.35</v>
      </c>
      <c r="AG490" s="171">
        <v>-17.172000000000001</v>
      </c>
      <c r="AH490" s="168">
        <f>BQ490-AG490</f>
        <v>-9.6870000000000012</v>
      </c>
      <c r="AI490" s="171">
        <v>-21.547000000000001</v>
      </c>
      <c r="AJ490" s="168">
        <f>BR490-AI490</f>
        <v>124.919</v>
      </c>
      <c r="AK490" s="174">
        <v>-124.98</v>
      </c>
      <c r="AL490" s="174">
        <f t="shared" ref="AL490:AL494" si="641">BS490-AK490</f>
        <v>-46.73299999999999</v>
      </c>
      <c r="AM490" s="174">
        <v>-47.097999999999999</v>
      </c>
      <c r="AN490" s="174">
        <f t="shared" ref="AN490:AN494" si="642">BT490-AM490</f>
        <v>-20.935000000000002</v>
      </c>
      <c r="AO490" s="174">
        <v>-248.83099999999999</v>
      </c>
      <c r="AP490" s="458">
        <f>BU490-AO490</f>
        <v>18.837999999999994</v>
      </c>
      <c r="AQ490" s="285">
        <f t="shared" ref="AQ490:AZ490" si="643">-54.5/5/2</f>
        <v>-5.45</v>
      </c>
      <c r="AR490" s="285">
        <f t="shared" si="643"/>
        <v>-5.45</v>
      </c>
      <c r="AS490" s="285">
        <f t="shared" si="643"/>
        <v>-5.45</v>
      </c>
      <c r="AT490" s="285">
        <f t="shared" si="643"/>
        <v>-5.45</v>
      </c>
      <c r="AU490" s="285">
        <f t="shared" si="643"/>
        <v>-5.45</v>
      </c>
      <c r="AV490" s="285">
        <f t="shared" si="643"/>
        <v>-5.45</v>
      </c>
      <c r="AW490" s="285">
        <f t="shared" si="643"/>
        <v>-5.45</v>
      </c>
      <c r="AX490" s="285">
        <f t="shared" si="643"/>
        <v>-5.45</v>
      </c>
      <c r="AY490" s="285">
        <f t="shared" si="643"/>
        <v>-5.45</v>
      </c>
      <c r="AZ490" s="285">
        <f t="shared" si="643"/>
        <v>-5.45</v>
      </c>
      <c r="BA490" s="129"/>
      <c r="BB490" s="129"/>
      <c r="BC490" s="129"/>
      <c r="BD490" s="129"/>
      <c r="BE490" s="129"/>
      <c r="BF490" s="129"/>
      <c r="BG490" s="129"/>
      <c r="BH490" s="129"/>
      <c r="BI490" s="129"/>
      <c r="BJ490" s="62"/>
      <c r="BK490" s="129"/>
      <c r="BL490" s="129"/>
      <c r="BM490" s="171">
        <v>-9.6430000000000007</v>
      </c>
      <c r="BN490" s="171">
        <v>-22.472000000000001</v>
      </c>
      <c r="BO490" s="171">
        <v>-33.021999999999998</v>
      </c>
      <c r="BP490" s="171">
        <v>-148.279</v>
      </c>
      <c r="BQ490" s="171">
        <v>-26.859000000000002</v>
      </c>
      <c r="BR490" s="171">
        <v>103.372</v>
      </c>
      <c r="BS490" s="171">
        <v>-171.71299999999999</v>
      </c>
      <c r="BT490" s="171">
        <v>-68.033000000000001</v>
      </c>
      <c r="BU490" s="314">
        <v>-229.99299999999999</v>
      </c>
      <c r="BV490" s="120">
        <f>SUM(AQ490:AR490)</f>
        <v>-10.9</v>
      </c>
      <c r="BW490" s="120">
        <f>SUM(AS490:AT490)</f>
        <v>-10.9</v>
      </c>
      <c r="BX490" s="120">
        <f>SUM(AU490:AV490)</f>
        <v>-10.9</v>
      </c>
      <c r="BY490" s="120">
        <f>SUM(AW490:AX490)</f>
        <v>-10.9</v>
      </c>
      <c r="BZ490" s="120">
        <f>SUM(AY490:AZ490)</f>
        <v>-10.9</v>
      </c>
      <c r="CB490" s="42" t="s">
        <v>646</v>
      </c>
      <c r="DS490" s="120">
        <f>SUM(CU490:CV490)</f>
        <v>0</v>
      </c>
    </row>
    <row r="491" spans="1:123" s="130" customFormat="1">
      <c r="A491" s="127"/>
      <c r="B491" s="70" t="s">
        <v>332</v>
      </c>
      <c r="C491" s="42"/>
      <c r="D491" s="42"/>
      <c r="E491" s="42"/>
      <c r="F491" s="42"/>
      <c r="G491" s="62"/>
      <c r="H491" s="62"/>
      <c r="I491" s="62"/>
      <c r="J491" s="62"/>
      <c r="K491" s="62"/>
      <c r="L491" s="62"/>
      <c r="M491" s="62"/>
      <c r="N491" s="62"/>
      <c r="O491" s="62"/>
      <c r="P491" s="62"/>
      <c r="Q491" s="62"/>
      <c r="R491" s="62"/>
      <c r="S491" s="62"/>
      <c r="T491" s="62"/>
      <c r="U491" s="128"/>
      <c r="V491" s="128"/>
      <c r="W491" s="128"/>
      <c r="X491" s="128"/>
      <c r="Y491" s="171">
        <v>6.1130000000000004</v>
      </c>
      <c r="Z491" s="168">
        <f t="shared" si="640"/>
        <v>1.0219999999999994</v>
      </c>
      <c r="AA491" s="171">
        <v>2.371</v>
      </c>
      <c r="AB491" s="168">
        <f>BN491-AA491</f>
        <v>-3.492</v>
      </c>
      <c r="AC491" s="171">
        <v>5.2089999999999996</v>
      </c>
      <c r="AD491" s="168">
        <f>BO491-AC491</f>
        <v>-0.43599999999999994</v>
      </c>
      <c r="AE491" s="171">
        <v>3.1840000000000002</v>
      </c>
      <c r="AF491" s="168">
        <f>BP491-AE491</f>
        <v>-2.09</v>
      </c>
      <c r="AG491" s="171">
        <v>1.417</v>
      </c>
      <c r="AH491" s="168">
        <f>BQ491-AG491</f>
        <v>48.109000000000002</v>
      </c>
      <c r="AI491" s="171">
        <v>6.1040000000000001</v>
      </c>
      <c r="AJ491" s="168">
        <f>BR491-AI491</f>
        <v>7.883</v>
      </c>
      <c r="AK491" s="174">
        <v>13.183999999999999</v>
      </c>
      <c r="AL491" s="174">
        <f t="shared" si="641"/>
        <v>38.661000000000001</v>
      </c>
      <c r="AM491" s="174">
        <v>17.847999999999999</v>
      </c>
      <c r="AN491" s="174">
        <f t="shared" si="642"/>
        <v>-1.0609999999999999</v>
      </c>
      <c r="AO491" s="174">
        <v>0.218</v>
      </c>
      <c r="AP491" s="458">
        <f>BU491-AO491</f>
        <v>4.0250000000000004</v>
      </c>
      <c r="AQ491" s="221">
        <v>0</v>
      </c>
      <c r="AR491" s="221">
        <v>0</v>
      </c>
      <c r="AS491" s="221">
        <v>0</v>
      </c>
      <c r="AT491" s="221">
        <v>0</v>
      </c>
      <c r="AU491" s="221">
        <v>0</v>
      </c>
      <c r="AV491" s="221">
        <v>0</v>
      </c>
      <c r="AW491" s="221">
        <v>0</v>
      </c>
      <c r="AX491" s="221">
        <v>0</v>
      </c>
      <c r="AY491" s="221">
        <v>0</v>
      </c>
      <c r="AZ491" s="221">
        <v>0</v>
      </c>
      <c r="BA491" s="129"/>
      <c r="BB491" s="129"/>
      <c r="BC491" s="129"/>
      <c r="BD491" s="129"/>
      <c r="BE491" s="129"/>
      <c r="BF491" s="129"/>
      <c r="BG491" s="129"/>
      <c r="BH491" s="129"/>
      <c r="BI491" s="129"/>
      <c r="BJ491" s="62"/>
      <c r="BK491" s="129"/>
      <c r="BL491" s="129"/>
      <c r="BM491" s="171">
        <v>7.1349999999999998</v>
      </c>
      <c r="BN491" s="171">
        <v>-1.121</v>
      </c>
      <c r="BO491" s="171">
        <v>4.7729999999999997</v>
      </c>
      <c r="BP491" s="171">
        <v>1.0940000000000001</v>
      </c>
      <c r="BQ491" s="171">
        <v>49.526000000000003</v>
      </c>
      <c r="BR491" s="171">
        <v>13.987</v>
      </c>
      <c r="BS491" s="171">
        <v>51.844999999999999</v>
      </c>
      <c r="BT491" s="171">
        <v>16.786999999999999</v>
      </c>
      <c r="BU491" s="314">
        <v>4.2430000000000003</v>
      </c>
      <c r="BV491" s="120">
        <f>SUM(AQ491:AR491)</f>
        <v>0</v>
      </c>
      <c r="BW491" s="120">
        <f>SUM(AS491:AT491)</f>
        <v>0</v>
      </c>
      <c r="BX491" s="120">
        <f>SUM(AU491:AV491)</f>
        <v>0</v>
      </c>
      <c r="BY491" s="120">
        <f>SUM(AW491:AX491)</f>
        <v>0</v>
      </c>
      <c r="BZ491" s="120">
        <f>SUM(AY491:AZ491)</f>
        <v>0</v>
      </c>
      <c r="CB491" s="42" t="s">
        <v>646</v>
      </c>
      <c r="DS491" s="120">
        <f>SUM(CU491:CV491)</f>
        <v>0</v>
      </c>
    </row>
    <row r="492" spans="1:123" s="130" customFormat="1">
      <c r="A492" s="127"/>
      <c r="B492" s="70" t="s">
        <v>228</v>
      </c>
      <c r="C492" s="42"/>
      <c r="D492" s="42"/>
      <c r="E492" s="42"/>
      <c r="F492" s="42"/>
      <c r="G492" s="62"/>
      <c r="H492" s="62"/>
      <c r="I492" s="62"/>
      <c r="J492" s="62"/>
      <c r="K492" s="62"/>
      <c r="L492" s="62"/>
      <c r="M492" s="62"/>
      <c r="N492" s="62"/>
      <c r="O492" s="62"/>
      <c r="P492" s="62"/>
      <c r="Q492" s="62"/>
      <c r="R492" s="62"/>
      <c r="S492" s="62"/>
      <c r="T492" s="62"/>
      <c r="U492" s="128"/>
      <c r="V492" s="128"/>
      <c r="W492" s="128"/>
      <c r="X492" s="128"/>
      <c r="Y492" s="171">
        <v>-2.9169999999999998</v>
      </c>
      <c r="Z492" s="168">
        <f t="shared" si="640"/>
        <v>-3.54</v>
      </c>
      <c r="AA492" s="171">
        <v>0</v>
      </c>
      <c r="AB492" s="168">
        <f>BN492-AA492</f>
        <v>-4.5709999999999997</v>
      </c>
      <c r="AC492" s="171">
        <v>0</v>
      </c>
      <c r="AD492" s="168">
        <f>BO492-AC492</f>
        <v>-4.633</v>
      </c>
      <c r="AE492" s="171">
        <v>-1.421</v>
      </c>
      <c r="AF492" s="168">
        <f>BP492-AE492</f>
        <v>0.14700000000000002</v>
      </c>
      <c r="AG492" s="171">
        <v>-1.302</v>
      </c>
      <c r="AH492" s="168">
        <f>BQ492-AG492</f>
        <v>4.0540000000000003</v>
      </c>
      <c r="AI492" s="171">
        <v>0.59499999999999997</v>
      </c>
      <c r="AJ492" s="168">
        <f>BR492-AI492</f>
        <v>-0.28799999999999998</v>
      </c>
      <c r="AK492" s="181">
        <v>2.0230000000000001</v>
      </c>
      <c r="AL492" s="181">
        <f t="shared" si="641"/>
        <v>-2.931</v>
      </c>
      <c r="AM492" s="181">
        <v>-3.367</v>
      </c>
      <c r="AN492" s="181">
        <f t="shared" si="642"/>
        <v>-1.6879999999999997</v>
      </c>
      <c r="AO492" s="181">
        <v>-0.628</v>
      </c>
      <c r="AP492" s="453">
        <f>BU492-AO492</f>
        <v>-6.9950000000000001</v>
      </c>
      <c r="AQ492" s="55">
        <f t="shared" ref="AQ492:AZ492" si="644">-AQ473</f>
        <v>0</v>
      </c>
      <c r="AR492" s="55">
        <f t="shared" si="644"/>
        <v>0</v>
      </c>
      <c r="AS492" s="55">
        <f t="shared" si="644"/>
        <v>0</v>
      </c>
      <c r="AT492" s="55">
        <f t="shared" si="644"/>
        <v>0</v>
      </c>
      <c r="AU492" s="55">
        <f t="shared" si="644"/>
        <v>0</v>
      </c>
      <c r="AV492" s="55">
        <f t="shared" si="644"/>
        <v>0</v>
      </c>
      <c r="AW492" s="55">
        <f t="shared" si="644"/>
        <v>0</v>
      </c>
      <c r="AX492" s="55">
        <f t="shared" si="644"/>
        <v>0</v>
      </c>
      <c r="AY492" s="55">
        <f t="shared" si="644"/>
        <v>0</v>
      </c>
      <c r="AZ492" s="55">
        <f t="shared" si="644"/>
        <v>0</v>
      </c>
      <c r="BA492" s="129"/>
      <c r="BB492" s="129"/>
      <c r="BC492" s="129"/>
      <c r="BD492" s="129"/>
      <c r="BE492" s="129"/>
      <c r="BF492" s="129"/>
      <c r="BG492" s="129"/>
      <c r="BH492" s="129"/>
      <c r="BI492" s="129"/>
      <c r="BJ492" s="62"/>
      <c r="BK492" s="129"/>
      <c r="BL492" s="129"/>
      <c r="BM492" s="171">
        <v>-6.4569999999999999</v>
      </c>
      <c r="BN492" s="171">
        <v>-4.5709999999999997</v>
      </c>
      <c r="BO492" s="171">
        <v>-4.633</v>
      </c>
      <c r="BP492" s="171">
        <v>-1.274</v>
      </c>
      <c r="BQ492" s="171">
        <v>2.7519999999999998</v>
      </c>
      <c r="BR492" s="171">
        <v>0.307</v>
      </c>
      <c r="BS492" s="171">
        <v>-0.90800000000000003</v>
      </c>
      <c r="BT492" s="171">
        <v>-5.0549999999999997</v>
      </c>
      <c r="BU492" s="314">
        <v>-7.6230000000000002</v>
      </c>
      <c r="BV492" s="120">
        <f>SUM(AQ492:AR492)</f>
        <v>0</v>
      </c>
      <c r="BW492" s="120">
        <f>SUM(AS492:AT492)</f>
        <v>0</v>
      </c>
      <c r="BX492" s="120">
        <f>SUM(AU492:AV492)</f>
        <v>0</v>
      </c>
      <c r="BY492" s="120">
        <f>SUM(AW492:AX492)</f>
        <v>0</v>
      </c>
      <c r="BZ492" s="120">
        <f>SUM(AY492:AZ492)</f>
        <v>0</v>
      </c>
      <c r="CB492" s="42" t="s">
        <v>646</v>
      </c>
      <c r="DS492" s="120">
        <f>SUM(CU492:CV492)</f>
        <v>0</v>
      </c>
    </row>
    <row r="493" spans="1:123" s="130" customFormat="1">
      <c r="A493" s="127"/>
      <c r="B493" s="70" t="s">
        <v>333</v>
      </c>
      <c r="C493" s="42"/>
      <c r="D493" s="42"/>
      <c r="E493" s="42"/>
      <c r="F493" s="42"/>
      <c r="G493" s="62"/>
      <c r="H493" s="62"/>
      <c r="I493" s="62"/>
      <c r="J493" s="62"/>
      <c r="K493" s="62"/>
      <c r="L493" s="62"/>
      <c r="M493" s="62"/>
      <c r="N493" s="62"/>
      <c r="O493" s="62"/>
      <c r="P493" s="62"/>
      <c r="Q493" s="62"/>
      <c r="R493" s="62"/>
      <c r="S493" s="62"/>
      <c r="T493" s="62"/>
      <c r="U493" s="128"/>
      <c r="V493" s="128"/>
      <c r="W493" s="128"/>
      <c r="X493" s="128"/>
      <c r="Y493" s="171">
        <v>0</v>
      </c>
      <c r="Z493" s="168">
        <f t="shared" si="640"/>
        <v>0</v>
      </c>
      <c r="AA493" s="171">
        <v>0</v>
      </c>
      <c r="AB493" s="168">
        <f>BN493-AA493</f>
        <v>0</v>
      </c>
      <c r="AC493" s="171">
        <v>0</v>
      </c>
      <c r="AD493" s="168">
        <f>BO493-AC493</f>
        <v>-3.9350000000000001</v>
      </c>
      <c r="AE493" s="171">
        <v>-2.2509999999999999</v>
      </c>
      <c r="AF493" s="168">
        <f>BP493-AE493</f>
        <v>-3.1469999999999998</v>
      </c>
      <c r="AG493" s="171">
        <v>-1.407</v>
      </c>
      <c r="AH493" s="168">
        <f>BQ493-AG493</f>
        <v>-0.77899999999999991</v>
      </c>
      <c r="AI493" s="171">
        <v>-4.1529999999999996</v>
      </c>
      <c r="AJ493" s="168">
        <f>BR493-AI493</f>
        <v>-1.0260000000000007</v>
      </c>
      <c r="AK493" s="174">
        <v>-13.958</v>
      </c>
      <c r="AL493" s="174">
        <f t="shared" si="641"/>
        <v>-2.1199999999999992</v>
      </c>
      <c r="AM493" s="174">
        <v>-26.617999999999999</v>
      </c>
      <c r="AN493" s="174">
        <f t="shared" si="642"/>
        <v>0.1059999999999981</v>
      </c>
      <c r="AO493" s="174">
        <v>0</v>
      </c>
      <c r="AP493" s="458">
        <f>BU493-AO493</f>
        <v>-132.39400000000001</v>
      </c>
      <c r="AQ493" s="221">
        <v>0</v>
      </c>
      <c r="AR493" s="221">
        <v>0</v>
      </c>
      <c r="AS493" s="221">
        <v>0</v>
      </c>
      <c r="AT493" s="221">
        <v>0</v>
      </c>
      <c r="AU493" s="221">
        <v>0</v>
      </c>
      <c r="AV493" s="221">
        <v>0</v>
      </c>
      <c r="AW493" s="221">
        <v>0</v>
      </c>
      <c r="AX493" s="221">
        <v>0</v>
      </c>
      <c r="AY493" s="221">
        <v>0</v>
      </c>
      <c r="AZ493" s="221">
        <v>0</v>
      </c>
      <c r="BA493" s="129"/>
      <c r="BB493" s="129"/>
      <c r="BC493" s="129"/>
      <c r="BD493" s="129"/>
      <c r="BE493" s="129"/>
      <c r="BF493" s="129"/>
      <c r="BG493" s="129"/>
      <c r="BH493" s="129"/>
      <c r="BI493" s="129"/>
      <c r="BJ493" s="62"/>
      <c r="BK493" s="129"/>
      <c r="BL493" s="129"/>
      <c r="BM493" s="171"/>
      <c r="BN493" s="171">
        <v>0</v>
      </c>
      <c r="BO493" s="171">
        <v>-3.9350000000000001</v>
      </c>
      <c r="BP493" s="171">
        <v>-5.3979999999999997</v>
      </c>
      <c r="BQ493" s="171">
        <v>-2.1859999999999999</v>
      </c>
      <c r="BR493" s="171">
        <v>-5.1790000000000003</v>
      </c>
      <c r="BS493" s="171">
        <v>-16.077999999999999</v>
      </c>
      <c r="BT493" s="171">
        <v>-26.512</v>
      </c>
      <c r="BU493" s="314">
        <v>-132.39400000000001</v>
      </c>
      <c r="BV493" s="120">
        <f>SUM(AQ493:AR493)</f>
        <v>0</v>
      </c>
      <c r="BW493" s="120">
        <f>SUM(AS493:AT493)</f>
        <v>0</v>
      </c>
      <c r="BX493" s="120">
        <f>SUM(AU493:AV493)</f>
        <v>0</v>
      </c>
      <c r="BY493" s="120">
        <f>SUM(AW493:AX493)</f>
        <v>0</v>
      </c>
      <c r="BZ493" s="120">
        <f>SUM(AY493:AZ493)</f>
        <v>0</v>
      </c>
      <c r="CB493" s="42" t="s">
        <v>646</v>
      </c>
      <c r="DS493" s="120">
        <f>SUM(CU493:CV493)</f>
        <v>0</v>
      </c>
    </row>
    <row r="494" spans="1:123" s="130" customFormat="1">
      <c r="A494" s="127"/>
      <c r="B494" s="70" t="s">
        <v>18</v>
      </c>
      <c r="C494" s="42"/>
      <c r="D494" s="42"/>
      <c r="E494" s="42"/>
      <c r="F494" s="42"/>
      <c r="G494" s="62"/>
      <c r="H494" s="62"/>
      <c r="I494" s="62"/>
      <c r="J494" s="62"/>
      <c r="K494" s="62"/>
      <c r="L494" s="62"/>
      <c r="M494" s="62"/>
      <c r="N494" s="62"/>
      <c r="O494" s="62"/>
      <c r="P494" s="62"/>
      <c r="Q494" s="62"/>
      <c r="R494" s="62"/>
      <c r="S494" s="62"/>
      <c r="T494" s="62"/>
      <c r="U494" s="128"/>
      <c r="V494" s="128"/>
      <c r="W494" s="128"/>
      <c r="X494" s="128"/>
      <c r="Y494" s="168">
        <f>Y495-SUM(Y490:Y493)</f>
        <v>0</v>
      </c>
      <c r="Z494" s="168">
        <f t="shared" si="640"/>
        <v>0</v>
      </c>
      <c r="AA494" s="168">
        <f>AA495-SUM(AA490:AA493)</f>
        <v>-6.8680000000000003</v>
      </c>
      <c r="AB494" s="168">
        <f>AB495-SUM(AB490:AB493)</f>
        <v>6.8680000000000021</v>
      </c>
      <c r="AC494" s="168">
        <f>AC495-SUM(AC490:AC493)</f>
        <v>-4.0549999999999988</v>
      </c>
      <c r="AD494" s="168">
        <f>AD495-SUM(AD490:AD493)</f>
        <v>4.0549999999999962</v>
      </c>
      <c r="AE494" s="171">
        <v>0</v>
      </c>
      <c r="AF494" s="168">
        <v>0</v>
      </c>
      <c r="AG494" s="171">
        <v>0</v>
      </c>
      <c r="AH494" s="168">
        <v>0</v>
      </c>
      <c r="AI494" s="171">
        <v>0</v>
      </c>
      <c r="AJ494" s="168">
        <v>0</v>
      </c>
      <c r="AK494" s="174">
        <v>0</v>
      </c>
      <c r="AL494" s="174">
        <f t="shared" si="641"/>
        <v>0</v>
      </c>
      <c r="AM494" s="174">
        <v>0</v>
      </c>
      <c r="AN494" s="174">
        <f t="shared" si="642"/>
        <v>0</v>
      </c>
      <c r="AO494" s="174">
        <v>0</v>
      </c>
      <c r="AP494" s="458">
        <f>BU494-AO494</f>
        <v>0</v>
      </c>
      <c r="AQ494" s="285">
        <f t="shared" ref="AQ494:AZ494" si="645">-(SUM(AQ300:AQ306)-SUM(AP300:AP306))-AQ490</f>
        <v>5.45</v>
      </c>
      <c r="AR494" s="285">
        <f t="shared" si="645"/>
        <v>5.45</v>
      </c>
      <c r="AS494" s="285">
        <f t="shared" si="645"/>
        <v>5.45</v>
      </c>
      <c r="AT494" s="285">
        <f t="shared" si="645"/>
        <v>5.45</v>
      </c>
      <c r="AU494" s="285">
        <f t="shared" si="645"/>
        <v>5.45</v>
      </c>
      <c r="AV494" s="285">
        <f t="shared" si="645"/>
        <v>5.45</v>
      </c>
      <c r="AW494" s="285">
        <f t="shared" si="645"/>
        <v>5.45</v>
      </c>
      <c r="AX494" s="285">
        <f t="shared" si="645"/>
        <v>5.45</v>
      </c>
      <c r="AY494" s="285">
        <f t="shared" si="645"/>
        <v>5.45</v>
      </c>
      <c r="AZ494" s="285">
        <f t="shared" si="645"/>
        <v>5.45</v>
      </c>
      <c r="BA494" s="237"/>
      <c r="BB494" s="129"/>
      <c r="BC494" s="129"/>
      <c r="BD494" s="129"/>
      <c r="BE494" s="129"/>
      <c r="BF494" s="129"/>
      <c r="BG494" s="129"/>
      <c r="BH494" s="129"/>
      <c r="BI494" s="129"/>
      <c r="BJ494" s="62"/>
      <c r="BK494" s="129"/>
      <c r="BL494" s="129"/>
      <c r="BM494" s="171"/>
      <c r="BN494" s="171">
        <v>0</v>
      </c>
      <c r="BO494" s="171">
        <v>0</v>
      </c>
      <c r="BP494" s="171">
        <v>0</v>
      </c>
      <c r="BQ494" s="171">
        <v>0</v>
      </c>
      <c r="BR494" s="171">
        <v>0</v>
      </c>
      <c r="BS494" s="171">
        <v>0</v>
      </c>
      <c r="BT494" s="171">
        <v>0</v>
      </c>
      <c r="BU494" s="314">
        <v>0</v>
      </c>
      <c r="BV494" s="120">
        <f>SUM(AQ494:AR494)</f>
        <v>10.9</v>
      </c>
      <c r="BW494" s="120">
        <f>SUM(AS494:AT494)</f>
        <v>10.9</v>
      </c>
      <c r="BX494" s="120">
        <f>SUM(AU494:AV494)</f>
        <v>10.9</v>
      </c>
      <c r="BY494" s="120">
        <f>SUM(AW494:AX494)</f>
        <v>10.9</v>
      </c>
      <c r="BZ494" s="120">
        <f>SUM(AY494:AZ494)</f>
        <v>10.9</v>
      </c>
      <c r="CB494" s="42" t="s">
        <v>646</v>
      </c>
      <c r="DS494" s="120">
        <f>SUM(CU494:CV494)</f>
        <v>0</v>
      </c>
    </row>
    <row r="495" spans="1:123" s="130" customFormat="1">
      <c r="A495" s="127" t="s">
        <v>173</v>
      </c>
      <c r="B495" s="75" t="s">
        <v>254</v>
      </c>
      <c r="C495" s="42"/>
      <c r="D495" s="42"/>
      <c r="E495" s="42"/>
      <c r="F495" s="42"/>
      <c r="G495" s="62"/>
      <c r="H495" s="62"/>
      <c r="I495" s="62"/>
      <c r="J495" s="62"/>
      <c r="K495" s="62"/>
      <c r="L495" s="62"/>
      <c r="M495" s="62"/>
      <c r="N495" s="62"/>
      <c r="O495" s="62"/>
      <c r="P495" s="62"/>
      <c r="Q495" s="62"/>
      <c r="R495" s="62"/>
      <c r="S495" s="62"/>
      <c r="T495" s="62"/>
      <c r="U495" s="128"/>
      <c r="V495" s="128"/>
      <c r="W495" s="128"/>
      <c r="X495" s="128"/>
      <c r="Y495" s="207">
        <v>0.52300000000000002</v>
      </c>
      <c r="Z495" s="168">
        <f t="shared" si="640"/>
        <v>-9.4879999999999995</v>
      </c>
      <c r="AA495" s="207">
        <v>-17.994</v>
      </c>
      <c r="AB495" s="168">
        <f>BN495-AA495</f>
        <v>-10.170000000000002</v>
      </c>
      <c r="AC495" s="207">
        <v>-5.6749999999999998</v>
      </c>
      <c r="AD495" s="168">
        <f>BO495-AC495</f>
        <v>-31.141999999999999</v>
      </c>
      <c r="AE495" s="200">
        <f t="shared" ref="AE495:AZ495" si="646">SUM(AE490:AE494)</f>
        <v>-9.4169999999999998</v>
      </c>
      <c r="AF495" s="200">
        <f t="shared" si="646"/>
        <v>-144.44</v>
      </c>
      <c r="AG495" s="200">
        <f t="shared" si="646"/>
        <v>-18.464000000000002</v>
      </c>
      <c r="AH495" s="200">
        <f t="shared" si="646"/>
        <v>41.697000000000003</v>
      </c>
      <c r="AI495" s="200">
        <f t="shared" si="646"/>
        <v>-19.001000000000001</v>
      </c>
      <c r="AJ495" s="200">
        <f t="shared" si="646"/>
        <v>131.48799999999997</v>
      </c>
      <c r="AK495" s="200">
        <f t="shared" si="646"/>
        <v>-123.73100000000001</v>
      </c>
      <c r="AL495" s="200">
        <f t="shared" si="646"/>
        <v>-13.122999999999989</v>
      </c>
      <c r="AM495" s="200">
        <f t="shared" si="646"/>
        <v>-59.234999999999999</v>
      </c>
      <c r="AN495" s="200">
        <f t="shared" si="646"/>
        <v>-23.578000000000003</v>
      </c>
      <c r="AO495" s="200">
        <f t="shared" si="646"/>
        <v>-249.24099999999999</v>
      </c>
      <c r="AP495" s="463">
        <f t="shared" si="646"/>
        <v>-116.52600000000001</v>
      </c>
      <c r="AQ495" s="200">
        <f t="shared" si="646"/>
        <v>0</v>
      </c>
      <c r="AR495" s="200">
        <f t="shared" si="646"/>
        <v>0</v>
      </c>
      <c r="AS495" s="200">
        <f t="shared" si="646"/>
        <v>0</v>
      </c>
      <c r="AT495" s="200">
        <f t="shared" si="646"/>
        <v>0</v>
      </c>
      <c r="AU495" s="200">
        <f t="shared" si="646"/>
        <v>0</v>
      </c>
      <c r="AV495" s="200">
        <f t="shared" si="646"/>
        <v>0</v>
      </c>
      <c r="AW495" s="200">
        <f t="shared" si="646"/>
        <v>0</v>
      </c>
      <c r="AX495" s="200">
        <f t="shared" si="646"/>
        <v>0</v>
      </c>
      <c r="AY495" s="200">
        <f t="shared" si="646"/>
        <v>0</v>
      </c>
      <c r="AZ495" s="200">
        <f t="shared" si="646"/>
        <v>0</v>
      </c>
      <c r="BA495" s="129"/>
      <c r="BB495" s="237"/>
      <c r="BC495" s="237"/>
      <c r="BD495" s="237"/>
      <c r="BE495" s="237"/>
      <c r="BF495" s="237"/>
      <c r="BG495" s="237"/>
      <c r="BH495" s="237"/>
      <c r="BI495" s="237"/>
      <c r="BJ495" s="55"/>
      <c r="BK495" s="237"/>
      <c r="BL495" s="237"/>
      <c r="BM495" s="210">
        <f t="shared" ref="BM495:BZ495" si="647">SUM(BM490:BM494)</f>
        <v>-8.9649999999999999</v>
      </c>
      <c r="BN495" s="200">
        <f t="shared" si="647"/>
        <v>-28.164000000000001</v>
      </c>
      <c r="BO495" s="200">
        <f t="shared" si="647"/>
        <v>-36.817</v>
      </c>
      <c r="BP495" s="200">
        <f t="shared" si="647"/>
        <v>-153.857</v>
      </c>
      <c r="BQ495" s="200">
        <f t="shared" si="647"/>
        <v>23.233000000000001</v>
      </c>
      <c r="BR495" s="200">
        <f t="shared" si="647"/>
        <v>112.48699999999999</v>
      </c>
      <c r="BS495" s="200">
        <f t="shared" si="647"/>
        <v>-136.85399999999998</v>
      </c>
      <c r="BT495" s="200">
        <f t="shared" si="647"/>
        <v>-82.813000000000002</v>
      </c>
      <c r="BU495" s="463">
        <f t="shared" si="647"/>
        <v>-365.767</v>
      </c>
      <c r="BV495" s="200">
        <f t="shared" si="647"/>
        <v>0</v>
      </c>
      <c r="BW495" s="200">
        <f t="shared" si="647"/>
        <v>0</v>
      </c>
      <c r="BX495" s="200">
        <f t="shared" si="647"/>
        <v>0</v>
      </c>
      <c r="BY495" s="200">
        <f t="shared" si="647"/>
        <v>0</v>
      </c>
      <c r="BZ495" s="200">
        <f t="shared" si="647"/>
        <v>0</v>
      </c>
      <c r="CB495" s="42" t="s">
        <v>609</v>
      </c>
      <c r="DS495" s="200">
        <f t="shared" ref="DS495" si="648">SUM(DS490:DS494)</f>
        <v>0</v>
      </c>
    </row>
    <row r="496" spans="1:123" s="130" customFormat="1">
      <c r="A496" s="127"/>
      <c r="B496" s="75"/>
      <c r="C496" s="42"/>
      <c r="D496" s="42"/>
      <c r="E496" s="42"/>
      <c r="F496" s="42"/>
      <c r="G496" s="62"/>
      <c r="H496" s="62"/>
      <c r="I496" s="62"/>
      <c r="J496" s="62"/>
      <c r="K496" s="62"/>
      <c r="L496" s="62"/>
      <c r="M496" s="62"/>
      <c r="N496" s="62"/>
      <c r="O496" s="62"/>
      <c r="P496" s="62"/>
      <c r="Q496" s="62"/>
      <c r="R496" s="62"/>
      <c r="S496" s="62"/>
      <c r="T496" s="62"/>
      <c r="U496" s="128"/>
      <c r="V496" s="128"/>
      <c r="W496" s="128"/>
      <c r="X496" s="128"/>
      <c r="Y496" s="200"/>
      <c r="Z496" s="200"/>
      <c r="AA496" s="200"/>
      <c r="AB496" s="200"/>
      <c r="AC496" s="200"/>
      <c r="AD496" s="200"/>
      <c r="AE496" s="200"/>
      <c r="AF496" s="200"/>
      <c r="AG496" s="200"/>
      <c r="AH496" s="200"/>
      <c r="AI496" s="200"/>
      <c r="AJ496" s="200"/>
      <c r="AK496" s="200"/>
      <c r="AL496" s="200"/>
      <c r="AM496" s="200"/>
      <c r="AN496" s="200"/>
      <c r="AO496" s="200"/>
      <c r="AP496" s="463"/>
      <c r="AQ496" s="200"/>
      <c r="AR496" s="200"/>
      <c r="AS496" s="200"/>
      <c r="AT496" s="200"/>
      <c r="AU496" s="200"/>
      <c r="AV496" s="200"/>
      <c r="AW496" s="200"/>
      <c r="AX496" s="200"/>
      <c r="AY496" s="200"/>
      <c r="AZ496" s="200"/>
      <c r="BA496" s="129"/>
      <c r="BB496" s="129"/>
      <c r="BC496" s="129"/>
      <c r="BD496" s="129"/>
      <c r="BE496" s="129"/>
      <c r="BF496" s="129"/>
      <c r="BG496" s="129"/>
      <c r="BH496" s="129"/>
      <c r="BI496" s="129"/>
      <c r="BJ496" s="62"/>
      <c r="BK496" s="129"/>
      <c r="BL496" s="129"/>
      <c r="BM496" s="209"/>
      <c r="BN496" s="200"/>
      <c r="BO496" s="200"/>
      <c r="BP496" s="200"/>
      <c r="BQ496" s="200"/>
      <c r="BR496" s="200"/>
      <c r="BS496" s="200"/>
      <c r="BT496" s="200"/>
      <c r="BU496" s="463"/>
      <c r="BV496" s="200"/>
      <c r="BW496" s="200"/>
      <c r="BX496" s="200"/>
      <c r="BY496" s="200"/>
      <c r="BZ496" s="200"/>
      <c r="CB496" s="42"/>
      <c r="DS496" s="200"/>
    </row>
    <row r="497" spans="1:123" s="130" customFormat="1">
      <c r="A497" s="127"/>
      <c r="B497" s="75" t="s">
        <v>334</v>
      </c>
      <c r="C497" s="42"/>
      <c r="D497" s="42"/>
      <c r="E497" s="42"/>
      <c r="F497" s="42"/>
      <c r="G497" s="62"/>
      <c r="H497" s="62"/>
      <c r="I497" s="62"/>
      <c r="J497" s="62"/>
      <c r="K497" s="62"/>
      <c r="L497" s="62"/>
      <c r="M497" s="62"/>
      <c r="N497" s="62"/>
      <c r="O497" s="62"/>
      <c r="P497" s="62"/>
      <c r="Q497" s="62"/>
      <c r="R497" s="62"/>
      <c r="S497" s="62"/>
      <c r="T497" s="62"/>
      <c r="U497" s="128"/>
      <c r="V497" s="128"/>
      <c r="W497" s="128"/>
      <c r="X497" s="128"/>
      <c r="Y497" s="200"/>
      <c r="Z497" s="200"/>
      <c r="AA497" s="200"/>
      <c r="AB497" s="200"/>
      <c r="AC497" s="200"/>
      <c r="AD497" s="200"/>
      <c r="AE497" s="200"/>
      <c r="AF497" s="200"/>
      <c r="AG497" s="200"/>
      <c r="AH497" s="200"/>
      <c r="AI497" s="200"/>
      <c r="AJ497" s="200"/>
      <c r="AK497" s="200"/>
      <c r="AL497" s="200"/>
      <c r="AM497" s="200"/>
      <c r="AN497" s="200"/>
      <c r="AO497" s="200"/>
      <c r="AP497" s="463"/>
      <c r="AQ497" s="200"/>
      <c r="AR497" s="200"/>
      <c r="AS497" s="200"/>
      <c r="AT497" s="200"/>
      <c r="AU497" s="200"/>
      <c r="AV497" s="200"/>
      <c r="AW497" s="200"/>
      <c r="AX497" s="200"/>
      <c r="AY497" s="200"/>
      <c r="AZ497" s="200"/>
      <c r="BA497" s="129"/>
      <c r="BB497" s="129"/>
      <c r="BC497" s="129"/>
      <c r="BD497" s="129"/>
      <c r="BE497" s="129"/>
      <c r="BF497" s="129"/>
      <c r="BG497" s="129"/>
      <c r="BH497" s="129"/>
      <c r="BI497" s="129"/>
      <c r="BJ497" s="62"/>
      <c r="BK497" s="129"/>
      <c r="BL497" s="129"/>
      <c r="BM497" s="200"/>
      <c r="BN497" s="200"/>
      <c r="BO497" s="200"/>
      <c r="BP497" s="200"/>
      <c r="BQ497" s="200"/>
      <c r="BR497" s="200"/>
      <c r="BS497" s="200"/>
      <c r="BT497" s="200"/>
      <c r="BU497" s="463"/>
      <c r="BV497" s="200"/>
      <c r="BW497" s="200"/>
      <c r="BX497" s="200"/>
      <c r="BY497" s="200"/>
      <c r="BZ497" s="200"/>
      <c r="CB497" s="42"/>
      <c r="DS497" s="200"/>
    </row>
    <row r="498" spans="1:123" s="130" customFormat="1">
      <c r="A498" s="127" t="s">
        <v>164</v>
      </c>
      <c r="B498" s="70" t="s">
        <v>335</v>
      </c>
      <c r="C498" s="42"/>
      <c r="D498" s="42"/>
      <c r="E498" s="42"/>
      <c r="F498" s="42"/>
      <c r="G498" s="62"/>
      <c r="H498" s="62"/>
      <c r="I498" s="62"/>
      <c r="J498" s="62"/>
      <c r="K498" s="62"/>
      <c r="L498" s="62"/>
      <c r="M498" s="62"/>
      <c r="N498" s="62"/>
      <c r="O498" s="62"/>
      <c r="P498" s="62"/>
      <c r="Q498" s="62"/>
      <c r="R498" s="62"/>
      <c r="S498" s="62"/>
      <c r="T498" s="62"/>
      <c r="U498" s="128"/>
      <c r="V498" s="128"/>
      <c r="W498" s="128"/>
      <c r="X498" s="128"/>
      <c r="Y498" s="171">
        <v>-22.263999999999999</v>
      </c>
      <c r="Z498" s="168">
        <f t="shared" ref="Z498:Z504" si="649">BM498-Y498</f>
        <v>-12.098000000000003</v>
      </c>
      <c r="AA498" s="171">
        <v>-21.766999999999999</v>
      </c>
      <c r="AB498" s="168">
        <f>BN498-AA498</f>
        <v>-11.178000000000001</v>
      </c>
      <c r="AC498" s="171">
        <v>-26.922999999999998</v>
      </c>
      <c r="AD498" s="168">
        <f t="shared" ref="AD498:AD504" si="650">BO498-AC498</f>
        <v>-13.400000000000002</v>
      </c>
      <c r="AE498" s="171">
        <v>-25.244</v>
      </c>
      <c r="AF498" s="168">
        <f t="shared" ref="AF498:AF504" si="651">BP498-AE498</f>
        <v>-3.7310000000000016</v>
      </c>
      <c r="AG498" s="171">
        <v>-40.61</v>
      </c>
      <c r="AH498" s="168">
        <f t="shared" ref="AH498:AH504" si="652">BQ498-AG498</f>
        <v>-19.747999999999998</v>
      </c>
      <c r="AI498" s="171">
        <v>-35.847999999999999</v>
      </c>
      <c r="AJ498" s="168">
        <f t="shared" ref="AJ498:AJ504" si="653">BR498-AI498</f>
        <v>-20.817</v>
      </c>
      <c r="AK498" s="181">
        <v>-50.640999999999998</v>
      </c>
      <c r="AL498" s="181">
        <f>BS498-AK498</f>
        <v>-35.714999999999996</v>
      </c>
      <c r="AM498" s="181">
        <v>-73.195999999999998</v>
      </c>
      <c r="AN498" s="181">
        <f t="shared" ref="AN498:AN504" si="654">BT498-AM498</f>
        <v>-42.974000000000004</v>
      </c>
      <c r="AO498" s="181">
        <v>-89.787999999999997</v>
      </c>
      <c r="AP498" s="453">
        <f t="shared" ref="AP498:AP504" si="655">BU498-AO498</f>
        <v>-67.11999999999999</v>
      </c>
      <c r="AQ498" s="55">
        <f t="shared" ref="AQ498:AZ498" si="656">AQ285</f>
        <v>-76.947706440000005</v>
      </c>
      <c r="AR498" s="55">
        <f t="shared" si="656"/>
        <v>-31.742045882653674</v>
      </c>
      <c r="AS498" s="55">
        <f t="shared" si="656"/>
        <v>-86.16241502827765</v>
      </c>
      <c r="AT498" s="55">
        <f t="shared" si="656"/>
        <v>-33.908504865312935</v>
      </c>
      <c r="AU498" s="55">
        <f t="shared" si="656"/>
        <v>-93.14888059794508</v>
      </c>
      <c r="AV498" s="55">
        <f t="shared" si="656"/>
        <v>-37.683096189288733</v>
      </c>
      <c r="AW498" s="55">
        <f t="shared" si="656"/>
        <v>-100.54276552713834</v>
      </c>
      <c r="AX498" s="55">
        <f t="shared" si="656"/>
        <v>-41.207726351311798</v>
      </c>
      <c r="AY498" s="55">
        <f t="shared" si="656"/>
        <v>-108.42275765391948</v>
      </c>
      <c r="AZ498" s="55">
        <f t="shared" si="656"/>
        <v>-44.978295564499113</v>
      </c>
      <c r="BA498" s="129"/>
      <c r="BB498" s="129"/>
      <c r="BC498" s="129"/>
      <c r="BD498" s="129"/>
      <c r="BE498" s="129"/>
      <c r="BF498" s="129"/>
      <c r="BG498" s="129"/>
      <c r="BH498" s="129"/>
      <c r="BI498" s="129"/>
      <c r="BJ498" s="62"/>
      <c r="BK498" s="129"/>
      <c r="BL498" s="129"/>
      <c r="BM498" s="171">
        <v>-34.362000000000002</v>
      </c>
      <c r="BN498" s="171">
        <v>-32.945</v>
      </c>
      <c r="BO498" s="171">
        <v>-40.323</v>
      </c>
      <c r="BP498" s="171">
        <v>-28.975000000000001</v>
      </c>
      <c r="BQ498" s="171">
        <v>-60.357999999999997</v>
      </c>
      <c r="BR498" s="171">
        <v>-56.664999999999999</v>
      </c>
      <c r="BS498" s="171">
        <v>-86.355999999999995</v>
      </c>
      <c r="BT498" s="171">
        <v>-116.17</v>
      </c>
      <c r="BU498" s="314">
        <v>-156.90799999999999</v>
      </c>
      <c r="BV498" s="120">
        <f t="shared" ref="BV498:BV503" si="657">SUM(AQ498:AR498)</f>
        <v>-108.68975232265367</v>
      </c>
      <c r="BW498" s="120">
        <f t="shared" ref="BW498:BW503" si="658">SUM(AS498:AT498)</f>
        <v>-120.07091989359058</v>
      </c>
      <c r="BX498" s="120">
        <f t="shared" ref="BX498:BX503" si="659">SUM(AU498:AV498)</f>
        <v>-130.83197678723383</v>
      </c>
      <c r="BY498" s="120">
        <f t="shared" ref="BY498:BY503" si="660">SUM(AW498:AX498)</f>
        <v>-141.75049187845013</v>
      </c>
      <c r="BZ498" s="120">
        <f t="shared" ref="BZ498:BZ503" si="661">SUM(AY498:AZ498)</f>
        <v>-153.40105321841858</v>
      </c>
      <c r="CB498" s="42" t="s">
        <v>646</v>
      </c>
      <c r="DS498" s="120">
        <f t="shared" ref="DS498:DS503" si="662">SUM(CU498:CV498)</f>
        <v>0</v>
      </c>
    </row>
    <row r="499" spans="1:123" s="130" customFormat="1">
      <c r="A499" s="127"/>
      <c r="B499" s="70" t="s">
        <v>336</v>
      </c>
      <c r="C499" s="42"/>
      <c r="D499" s="42"/>
      <c r="E499" s="42"/>
      <c r="F499" s="42"/>
      <c r="G499" s="62"/>
      <c r="H499" s="62"/>
      <c r="I499" s="62"/>
      <c r="J499" s="62"/>
      <c r="K499" s="62"/>
      <c r="L499" s="62"/>
      <c r="M499" s="62"/>
      <c r="N499" s="62"/>
      <c r="O499" s="62"/>
      <c r="P499" s="62"/>
      <c r="Q499" s="62"/>
      <c r="R499" s="62"/>
      <c r="S499" s="62"/>
      <c r="T499" s="62"/>
      <c r="U499" s="128"/>
      <c r="V499" s="128"/>
      <c r="W499" s="128"/>
      <c r="X499" s="128"/>
      <c r="Y499" s="171">
        <v>-0.25800000000000001</v>
      </c>
      <c r="Z499" s="168">
        <f t="shared" si="649"/>
        <v>6.4829999999999997</v>
      </c>
      <c r="AA499" s="171">
        <v>20.783999999999999</v>
      </c>
      <c r="AB499" s="168">
        <f t="shared" ref="AB499:AB504" si="663">BN499-AA499</f>
        <v>6.5680000000000014</v>
      </c>
      <c r="AC499" s="171">
        <v>-68.397000000000006</v>
      </c>
      <c r="AD499" s="168">
        <f t="shared" si="650"/>
        <v>23.805000000000007</v>
      </c>
      <c r="AE499" s="171">
        <v>-14.888999999999999</v>
      </c>
      <c r="AF499" s="168">
        <f t="shared" si="651"/>
        <v>142.83000000000001</v>
      </c>
      <c r="AG499" s="171">
        <v>30.978999999999999</v>
      </c>
      <c r="AH499" s="168">
        <f t="shared" si="652"/>
        <v>-41.223999999999997</v>
      </c>
      <c r="AI499" s="171">
        <v>17.797999999999998</v>
      </c>
      <c r="AJ499" s="168">
        <f t="shared" si="653"/>
        <v>-194.047</v>
      </c>
      <c r="AK499" s="181">
        <v>649.60299999999995</v>
      </c>
      <c r="AL499" s="181">
        <f t="shared" ref="AL499:AL503" si="664">BS499-AK499</f>
        <v>-119.11299999999994</v>
      </c>
      <c r="AM499" s="181">
        <v>95.311999999999998</v>
      </c>
      <c r="AN499" s="181">
        <f t="shared" si="654"/>
        <v>-34.451000000000001</v>
      </c>
      <c r="AO499" s="181">
        <v>128.28800000000001</v>
      </c>
      <c r="AP499" s="453">
        <f t="shared" si="655"/>
        <v>98.429000000000002</v>
      </c>
      <c r="AQ499" s="55">
        <f t="shared" ref="AQ499:AZ499" si="665">(AQ405-AP405)+(AQ396-AP396)</f>
        <v>0</v>
      </c>
      <c r="AR499" s="55">
        <f t="shared" si="665"/>
        <v>0</v>
      </c>
      <c r="AS499" s="55">
        <f t="shared" si="665"/>
        <v>0</v>
      </c>
      <c r="AT499" s="55">
        <f t="shared" si="665"/>
        <v>0</v>
      </c>
      <c r="AU499" s="55">
        <f t="shared" si="665"/>
        <v>0</v>
      </c>
      <c r="AV499" s="55">
        <f t="shared" si="665"/>
        <v>0</v>
      </c>
      <c r="AW499" s="55">
        <f t="shared" si="665"/>
        <v>0</v>
      </c>
      <c r="AX499" s="55">
        <f t="shared" si="665"/>
        <v>0</v>
      </c>
      <c r="AY499" s="55">
        <f t="shared" si="665"/>
        <v>0</v>
      </c>
      <c r="AZ499" s="55">
        <f t="shared" si="665"/>
        <v>0</v>
      </c>
      <c r="BA499" s="129"/>
      <c r="BB499" s="129"/>
      <c r="BC499" s="129"/>
      <c r="BD499" s="129"/>
      <c r="BE499" s="129"/>
      <c r="BF499" s="129"/>
      <c r="BG499" s="129"/>
      <c r="BH499" s="129"/>
      <c r="BI499" s="129"/>
      <c r="BJ499" s="62"/>
      <c r="BK499" s="129"/>
      <c r="BL499" s="129"/>
      <c r="BM499" s="171">
        <v>6.2249999999999996</v>
      </c>
      <c r="BN499" s="171">
        <v>27.352</v>
      </c>
      <c r="BO499" s="171">
        <v>-44.591999999999999</v>
      </c>
      <c r="BP499" s="171">
        <v>127.941</v>
      </c>
      <c r="BQ499" s="171">
        <v>-10.244999999999999</v>
      </c>
      <c r="BR499" s="171">
        <v>-176.249</v>
      </c>
      <c r="BS499" s="171">
        <v>530.49</v>
      </c>
      <c r="BT499" s="171">
        <v>60.860999999999997</v>
      </c>
      <c r="BU499" s="314">
        <v>226.71700000000001</v>
      </c>
      <c r="BV499" s="120">
        <f t="shared" si="657"/>
        <v>0</v>
      </c>
      <c r="BW499" s="120">
        <f t="shared" si="658"/>
        <v>0</v>
      </c>
      <c r="BX499" s="120">
        <f t="shared" si="659"/>
        <v>0</v>
      </c>
      <c r="BY499" s="120">
        <f t="shared" si="660"/>
        <v>0</v>
      </c>
      <c r="BZ499" s="120">
        <f t="shared" si="661"/>
        <v>0</v>
      </c>
      <c r="CB499" s="42" t="s">
        <v>646</v>
      </c>
      <c r="DS499" s="120">
        <f t="shared" si="662"/>
        <v>0</v>
      </c>
    </row>
    <row r="500" spans="1:123" s="130" customFormat="1">
      <c r="A500" s="127"/>
      <c r="B500" s="70" t="s">
        <v>337</v>
      </c>
      <c r="C500" s="42"/>
      <c r="D500" s="42"/>
      <c r="E500" s="42"/>
      <c r="F500" s="42"/>
      <c r="G500" s="62"/>
      <c r="H500" s="62"/>
      <c r="I500" s="62"/>
      <c r="J500" s="62"/>
      <c r="K500" s="62"/>
      <c r="L500" s="62"/>
      <c r="M500" s="62"/>
      <c r="N500" s="62"/>
      <c r="O500" s="62"/>
      <c r="P500" s="62"/>
      <c r="Q500" s="62"/>
      <c r="R500" s="62"/>
      <c r="S500" s="62"/>
      <c r="T500" s="62"/>
      <c r="U500" s="128"/>
      <c r="V500" s="128"/>
      <c r="W500" s="128"/>
      <c r="X500" s="128"/>
      <c r="Y500" s="171">
        <v>0</v>
      </c>
      <c r="Z500" s="168">
        <f t="shared" si="649"/>
        <v>0</v>
      </c>
      <c r="AA500" s="171">
        <v>0</v>
      </c>
      <c r="AB500" s="168">
        <f t="shared" si="663"/>
        <v>0</v>
      </c>
      <c r="AC500" s="171">
        <v>0</v>
      </c>
      <c r="AD500" s="168">
        <f t="shared" si="650"/>
        <v>0</v>
      </c>
      <c r="AE500" s="171">
        <v>-3.5449999999999999</v>
      </c>
      <c r="AF500" s="168">
        <f t="shared" si="651"/>
        <v>-5.6229999999999993</v>
      </c>
      <c r="AG500" s="171">
        <v>-4.6020000000000003</v>
      </c>
      <c r="AH500" s="168">
        <f t="shared" si="652"/>
        <v>-4.7439999999999998</v>
      </c>
      <c r="AI500" s="171">
        <v>-3.6139999999999999</v>
      </c>
      <c r="AJ500" s="168">
        <f t="shared" si="653"/>
        <v>-3.7780000000000005</v>
      </c>
      <c r="AK500" s="174">
        <v>-4.1859999999999999</v>
      </c>
      <c r="AL500" s="174">
        <f t="shared" si="664"/>
        <v>-6.0690000000000008</v>
      </c>
      <c r="AM500" s="174">
        <v>-7.4089999999999998</v>
      </c>
      <c r="AN500" s="174">
        <f t="shared" si="654"/>
        <v>-6.9159999999999995</v>
      </c>
      <c r="AO500" s="174">
        <v>-6.6760000000000002</v>
      </c>
      <c r="AP500" s="458">
        <f t="shared" si="655"/>
        <v>-9.2219999999999995</v>
      </c>
      <c r="AQ500" s="221">
        <v>0</v>
      </c>
      <c r="AR500" s="221">
        <v>0</v>
      </c>
      <c r="AS500" s="221">
        <v>0</v>
      </c>
      <c r="AT500" s="221">
        <v>0</v>
      </c>
      <c r="AU500" s="221">
        <v>0</v>
      </c>
      <c r="AV500" s="221">
        <v>0</v>
      </c>
      <c r="AW500" s="221">
        <v>0</v>
      </c>
      <c r="AX500" s="221">
        <v>0</v>
      </c>
      <c r="AY500" s="221">
        <v>0</v>
      </c>
      <c r="AZ500" s="221">
        <v>0</v>
      </c>
      <c r="BA500" s="129"/>
      <c r="BB500" s="129"/>
      <c r="BC500" s="129"/>
      <c r="BD500" s="129"/>
      <c r="BE500" s="129"/>
      <c r="BF500" s="129"/>
      <c r="BG500" s="129"/>
      <c r="BH500" s="129"/>
      <c r="BI500" s="129"/>
      <c r="BJ500" s="62"/>
      <c r="BK500" s="129"/>
      <c r="BL500" s="129"/>
      <c r="BM500" s="171">
        <v>0</v>
      </c>
      <c r="BN500" s="171">
        <v>0</v>
      </c>
      <c r="BO500" s="171">
        <v>0</v>
      </c>
      <c r="BP500" s="171">
        <v>-9.1679999999999993</v>
      </c>
      <c r="BQ500" s="171">
        <v>-9.3460000000000001</v>
      </c>
      <c r="BR500" s="171">
        <v>-7.3920000000000003</v>
      </c>
      <c r="BS500" s="171">
        <v>-10.255000000000001</v>
      </c>
      <c r="BT500" s="171">
        <v>-14.324999999999999</v>
      </c>
      <c r="BU500" s="314">
        <v>-15.898</v>
      </c>
      <c r="BV500" s="120">
        <f t="shared" si="657"/>
        <v>0</v>
      </c>
      <c r="BW500" s="120">
        <f t="shared" si="658"/>
        <v>0</v>
      </c>
      <c r="BX500" s="120">
        <f t="shared" si="659"/>
        <v>0</v>
      </c>
      <c r="BY500" s="120">
        <f t="shared" si="660"/>
        <v>0</v>
      </c>
      <c r="BZ500" s="120">
        <f t="shared" si="661"/>
        <v>0</v>
      </c>
      <c r="CB500" s="42" t="s">
        <v>646</v>
      </c>
      <c r="DS500" s="120">
        <f t="shared" si="662"/>
        <v>0</v>
      </c>
    </row>
    <row r="501" spans="1:123" s="130" customFormat="1">
      <c r="A501" s="127"/>
      <c r="B501" s="70" t="s">
        <v>183</v>
      </c>
      <c r="C501" s="42"/>
      <c r="D501" s="42"/>
      <c r="E501" s="42"/>
      <c r="F501" s="42"/>
      <c r="G501" s="62"/>
      <c r="H501" s="62"/>
      <c r="I501" s="62"/>
      <c r="J501" s="62"/>
      <c r="K501" s="62"/>
      <c r="L501" s="62"/>
      <c r="M501" s="62"/>
      <c r="N501" s="62"/>
      <c r="O501" s="62"/>
      <c r="P501" s="62"/>
      <c r="Q501" s="62"/>
      <c r="R501" s="62"/>
      <c r="S501" s="62"/>
      <c r="T501" s="62"/>
      <c r="U501" s="128"/>
      <c r="V501" s="128"/>
      <c r="W501" s="128"/>
      <c r="X501" s="128"/>
      <c r="Y501" s="171">
        <v>0</v>
      </c>
      <c r="Z501" s="168">
        <f t="shared" si="649"/>
        <v>0</v>
      </c>
      <c r="AA501" s="171">
        <v>0</v>
      </c>
      <c r="AB501" s="168">
        <f t="shared" si="663"/>
        <v>0</v>
      </c>
      <c r="AC501" s="171">
        <v>0</v>
      </c>
      <c r="AD501" s="168">
        <f t="shared" si="650"/>
        <v>0</v>
      </c>
      <c r="AE501" s="171">
        <v>0</v>
      </c>
      <c r="AF501" s="168">
        <f t="shared" si="651"/>
        <v>-3.6920000000000002</v>
      </c>
      <c r="AG501" s="171">
        <v>-18.152000000000001</v>
      </c>
      <c r="AH501" s="168">
        <f t="shared" si="652"/>
        <v>-1.3449999999999989</v>
      </c>
      <c r="AI501" s="171">
        <v>-2.8</v>
      </c>
      <c r="AJ501" s="168">
        <f t="shared" si="653"/>
        <v>-0.3360000000000003</v>
      </c>
      <c r="AK501" s="174">
        <v>-18.683</v>
      </c>
      <c r="AL501" s="174">
        <f t="shared" si="664"/>
        <v>-96.229000000000013</v>
      </c>
      <c r="AM501" s="174">
        <v>-50.732999999999997</v>
      </c>
      <c r="AN501" s="174">
        <f t="shared" si="654"/>
        <v>1.3319999999999936</v>
      </c>
      <c r="AO501" s="174">
        <v>-41.805999999999997</v>
      </c>
      <c r="AP501" s="458">
        <f t="shared" si="655"/>
        <v>-16.446000000000005</v>
      </c>
      <c r="AQ501" s="221">
        <v>0</v>
      </c>
      <c r="AR501" s="221">
        <v>0</v>
      </c>
      <c r="AS501" s="221">
        <v>0</v>
      </c>
      <c r="AT501" s="221">
        <v>0</v>
      </c>
      <c r="AU501" s="221">
        <v>0</v>
      </c>
      <c r="AV501" s="221">
        <v>0</v>
      </c>
      <c r="AW501" s="221">
        <v>0</v>
      </c>
      <c r="AX501" s="221">
        <v>0</v>
      </c>
      <c r="AY501" s="221">
        <v>0</v>
      </c>
      <c r="AZ501" s="221">
        <v>0</v>
      </c>
      <c r="BA501" s="129"/>
      <c r="BB501" s="129"/>
      <c r="BC501" s="129"/>
      <c r="BD501" s="129"/>
      <c r="BE501" s="129"/>
      <c r="BF501" s="129"/>
      <c r="BG501" s="129"/>
      <c r="BH501" s="129"/>
      <c r="BI501" s="129"/>
      <c r="BJ501" s="62"/>
      <c r="BK501" s="129"/>
      <c r="BL501" s="129"/>
      <c r="BM501" s="171">
        <v>0</v>
      </c>
      <c r="BN501" s="171">
        <v>0</v>
      </c>
      <c r="BO501" s="171">
        <v>0</v>
      </c>
      <c r="BP501" s="171">
        <v>-3.6920000000000002</v>
      </c>
      <c r="BQ501" s="171">
        <v>-19.497</v>
      </c>
      <c r="BR501" s="171">
        <v>-3.1360000000000001</v>
      </c>
      <c r="BS501" s="171">
        <v>-114.91200000000001</v>
      </c>
      <c r="BT501" s="171">
        <v>-49.401000000000003</v>
      </c>
      <c r="BU501" s="314">
        <v>-58.252000000000002</v>
      </c>
      <c r="BV501" s="120">
        <f t="shared" si="657"/>
        <v>0</v>
      </c>
      <c r="BW501" s="120">
        <f t="shared" si="658"/>
        <v>0</v>
      </c>
      <c r="BX501" s="120">
        <f t="shared" si="659"/>
        <v>0</v>
      </c>
      <c r="BY501" s="120">
        <f t="shared" si="660"/>
        <v>0</v>
      </c>
      <c r="BZ501" s="120">
        <f t="shared" si="661"/>
        <v>0</v>
      </c>
      <c r="CB501" s="42" t="s">
        <v>646</v>
      </c>
      <c r="DS501" s="120">
        <f t="shared" si="662"/>
        <v>0</v>
      </c>
    </row>
    <row r="502" spans="1:123" s="130" customFormat="1">
      <c r="A502" s="127"/>
      <c r="B502" s="70" t="s">
        <v>338</v>
      </c>
      <c r="C502" s="42"/>
      <c r="D502" s="42"/>
      <c r="E502" s="42"/>
      <c r="F502" s="42"/>
      <c r="G502" s="62"/>
      <c r="H502" s="62"/>
      <c r="I502" s="62"/>
      <c r="J502" s="62"/>
      <c r="K502" s="62"/>
      <c r="L502" s="62"/>
      <c r="M502" s="62"/>
      <c r="N502" s="62"/>
      <c r="O502" s="62"/>
      <c r="P502" s="62"/>
      <c r="Q502" s="62"/>
      <c r="R502" s="62"/>
      <c r="S502" s="62"/>
      <c r="T502" s="62"/>
      <c r="U502" s="128"/>
      <c r="V502" s="128"/>
      <c r="W502" s="128"/>
      <c r="X502" s="128"/>
      <c r="Y502" s="171">
        <v>0</v>
      </c>
      <c r="Z502" s="168">
        <f t="shared" si="649"/>
        <v>0</v>
      </c>
      <c r="AA502" s="171">
        <v>0</v>
      </c>
      <c r="AB502" s="168">
        <f t="shared" si="663"/>
        <v>0</v>
      </c>
      <c r="AC502" s="171">
        <v>0</v>
      </c>
      <c r="AD502" s="168">
        <f t="shared" si="650"/>
        <v>0</v>
      </c>
      <c r="AE502" s="171">
        <v>0</v>
      </c>
      <c r="AF502" s="168">
        <f t="shared" si="651"/>
        <v>1.25</v>
      </c>
      <c r="AG502" s="171">
        <v>0.97799999999999998</v>
      </c>
      <c r="AH502" s="168">
        <f t="shared" si="652"/>
        <v>1.4800000000000002</v>
      </c>
      <c r="AI502" s="171">
        <v>6.8440000000000003</v>
      </c>
      <c r="AJ502" s="168">
        <f t="shared" si="653"/>
        <v>-0.49699999999999989</v>
      </c>
      <c r="AK502" s="174">
        <v>8.3710000000000004</v>
      </c>
      <c r="AL502" s="174">
        <f t="shared" si="664"/>
        <v>10.022999999999998</v>
      </c>
      <c r="AM502" s="174">
        <v>7.2569999999999997</v>
      </c>
      <c r="AN502" s="174">
        <f t="shared" si="654"/>
        <v>5.25</v>
      </c>
      <c r="AO502" s="174">
        <v>2.3679999999999999</v>
      </c>
      <c r="AP502" s="458">
        <f t="shared" si="655"/>
        <v>11.744</v>
      </c>
      <c r="AQ502" s="221">
        <v>0</v>
      </c>
      <c r="AR502" s="221">
        <v>0</v>
      </c>
      <c r="AS502" s="221">
        <v>0</v>
      </c>
      <c r="AT502" s="221">
        <v>0</v>
      </c>
      <c r="AU502" s="221">
        <v>0</v>
      </c>
      <c r="AV502" s="221">
        <v>0</v>
      </c>
      <c r="AW502" s="221">
        <v>0</v>
      </c>
      <c r="AX502" s="221">
        <v>0</v>
      </c>
      <c r="AY502" s="221">
        <v>0</v>
      </c>
      <c r="AZ502" s="221">
        <v>0</v>
      </c>
      <c r="BA502" s="129"/>
      <c r="BB502" s="129"/>
      <c r="BC502" s="129"/>
      <c r="BD502" s="129"/>
      <c r="BE502" s="129"/>
      <c r="BF502" s="129"/>
      <c r="BG502" s="129"/>
      <c r="BH502" s="129"/>
      <c r="BI502" s="129"/>
      <c r="BJ502" s="62"/>
      <c r="BK502" s="129"/>
      <c r="BL502" s="129"/>
      <c r="BM502" s="171">
        <v>0</v>
      </c>
      <c r="BN502" s="171">
        <v>0</v>
      </c>
      <c r="BO502" s="171">
        <v>0</v>
      </c>
      <c r="BP502" s="171">
        <v>1.25</v>
      </c>
      <c r="BQ502" s="171">
        <v>2.4580000000000002</v>
      </c>
      <c r="BR502" s="171">
        <v>6.3470000000000004</v>
      </c>
      <c r="BS502" s="171">
        <v>18.393999999999998</v>
      </c>
      <c r="BT502" s="171">
        <v>12.507</v>
      </c>
      <c r="BU502" s="314">
        <v>14.112</v>
      </c>
      <c r="BV502" s="120">
        <f t="shared" si="657"/>
        <v>0</v>
      </c>
      <c r="BW502" s="120">
        <f t="shared" si="658"/>
        <v>0</v>
      </c>
      <c r="BX502" s="120">
        <f t="shared" si="659"/>
        <v>0</v>
      </c>
      <c r="BY502" s="120">
        <f t="shared" si="660"/>
        <v>0</v>
      </c>
      <c r="BZ502" s="120">
        <f t="shared" si="661"/>
        <v>0</v>
      </c>
      <c r="CB502" s="42" t="s">
        <v>646</v>
      </c>
      <c r="DS502" s="120">
        <f t="shared" si="662"/>
        <v>0</v>
      </c>
    </row>
    <row r="503" spans="1:123" s="130" customFormat="1">
      <c r="A503" s="127"/>
      <c r="B503" s="70" t="s">
        <v>18</v>
      </c>
      <c r="C503" s="42"/>
      <c r="D503" s="42"/>
      <c r="E503" s="42"/>
      <c r="F503" s="42"/>
      <c r="G503" s="62"/>
      <c r="H503" s="62"/>
      <c r="I503" s="62"/>
      <c r="J503" s="62"/>
      <c r="K503" s="62"/>
      <c r="L503" s="62"/>
      <c r="M503" s="62"/>
      <c r="N503" s="62"/>
      <c r="O503" s="62"/>
      <c r="P503" s="62"/>
      <c r="Q503" s="62"/>
      <c r="R503" s="62"/>
      <c r="S503" s="62"/>
      <c r="T503" s="62"/>
      <c r="U503" s="128"/>
      <c r="V503" s="128"/>
      <c r="W503" s="128"/>
      <c r="X503" s="128"/>
      <c r="Y503" s="171">
        <v>-15.298</v>
      </c>
      <c r="Z503" s="168">
        <f t="shared" si="649"/>
        <v>-8.2569999999999997</v>
      </c>
      <c r="AA503" s="171">
        <v>-12.532</v>
      </c>
      <c r="AB503" s="168">
        <f t="shared" si="663"/>
        <v>-5.8790000000000013</v>
      </c>
      <c r="AC503" s="238">
        <f>113.27-2.594</f>
        <v>110.676</v>
      </c>
      <c r="AD503" s="168">
        <f t="shared" si="650"/>
        <v>2.5210000000000008</v>
      </c>
      <c r="AE503" s="171">
        <v>0</v>
      </c>
      <c r="AF503" s="168">
        <f t="shared" si="651"/>
        <v>0</v>
      </c>
      <c r="AG503" s="171">
        <v>0</v>
      </c>
      <c r="AH503" s="168">
        <f t="shared" si="652"/>
        <v>0</v>
      </c>
      <c r="AI503" s="171">
        <v>0</v>
      </c>
      <c r="AJ503" s="168">
        <f t="shared" si="653"/>
        <v>341.86099999999999</v>
      </c>
      <c r="AK503" s="174">
        <v>-92.977999999999994</v>
      </c>
      <c r="AL503" s="174">
        <f t="shared" si="664"/>
        <v>319.65900000000005</v>
      </c>
      <c r="AM503" s="174">
        <v>0</v>
      </c>
      <c r="AN503" s="174">
        <f t="shared" si="654"/>
        <v>194.928</v>
      </c>
      <c r="AO503" s="174">
        <v>24.847999999999999</v>
      </c>
      <c r="AP503" s="458">
        <f t="shared" si="655"/>
        <v>-2.8421709430404007E-14</v>
      </c>
      <c r="AQ503" s="221">
        <v>0</v>
      </c>
      <c r="AR503" s="221">
        <v>0</v>
      </c>
      <c r="AS503" s="221">
        <v>0</v>
      </c>
      <c r="AT503" s="221">
        <v>0</v>
      </c>
      <c r="AU503" s="221">
        <v>0</v>
      </c>
      <c r="AV503" s="221">
        <v>0</v>
      </c>
      <c r="AW503" s="221">
        <v>0</v>
      </c>
      <c r="AX503" s="221">
        <v>0</v>
      </c>
      <c r="AY503" s="221">
        <v>0</v>
      </c>
      <c r="AZ503" s="221">
        <v>0</v>
      </c>
      <c r="BA503" s="129"/>
      <c r="BB503" s="129"/>
      <c r="BC503" s="129"/>
      <c r="BD503" s="129"/>
      <c r="BE503" s="129"/>
      <c r="BF503" s="129"/>
      <c r="BG503" s="129"/>
      <c r="BH503" s="129"/>
      <c r="BI503" s="129"/>
      <c r="BJ503" s="62"/>
      <c r="BK503" s="129"/>
      <c r="BL503" s="129"/>
      <c r="BM503" s="171">
        <v>-23.555</v>
      </c>
      <c r="BN503" s="171">
        <v>-18.411000000000001</v>
      </c>
      <c r="BO503" s="171">
        <v>113.197</v>
      </c>
      <c r="BP503" s="171">
        <v>0</v>
      </c>
      <c r="BQ503" s="171">
        <v>0</v>
      </c>
      <c r="BR503" s="171">
        <f>104.766-SUM(BR498:BR502)</f>
        <v>341.86099999999999</v>
      </c>
      <c r="BS503" s="171">
        <f>564.042-SUM(BS498:BS502)</f>
        <v>226.68100000000004</v>
      </c>
      <c r="BT503" s="171">
        <f>88.4-SUM(BT498:BT502)</f>
        <v>194.928</v>
      </c>
      <c r="BU503" s="314">
        <f>34.619-SUM(BU498:BU502)</f>
        <v>24.847999999999971</v>
      </c>
      <c r="BV503" s="120">
        <f t="shared" si="657"/>
        <v>0</v>
      </c>
      <c r="BW503" s="120">
        <f t="shared" si="658"/>
        <v>0</v>
      </c>
      <c r="BX503" s="120">
        <f t="shared" si="659"/>
        <v>0</v>
      </c>
      <c r="BY503" s="120">
        <f t="shared" si="660"/>
        <v>0</v>
      </c>
      <c r="BZ503" s="120">
        <f t="shared" si="661"/>
        <v>0</v>
      </c>
      <c r="CB503" s="42" t="s">
        <v>646</v>
      </c>
      <c r="DS503" s="120">
        <f t="shared" si="662"/>
        <v>0</v>
      </c>
    </row>
    <row r="504" spans="1:123" s="130" customFormat="1">
      <c r="A504" s="127" t="s">
        <v>174</v>
      </c>
      <c r="B504" s="75" t="s">
        <v>339</v>
      </c>
      <c r="C504" s="42"/>
      <c r="D504" s="42"/>
      <c r="E504" s="42"/>
      <c r="F504" s="42"/>
      <c r="G504" s="62"/>
      <c r="H504" s="62"/>
      <c r="I504" s="62"/>
      <c r="J504" s="62"/>
      <c r="K504" s="62"/>
      <c r="L504" s="62"/>
      <c r="M504" s="62"/>
      <c r="N504" s="62"/>
      <c r="O504" s="62"/>
      <c r="P504" s="62"/>
      <c r="Q504" s="62"/>
      <c r="R504" s="62"/>
      <c r="S504" s="62"/>
      <c r="T504" s="62"/>
      <c r="U504" s="128"/>
      <c r="V504" s="128"/>
      <c r="W504" s="128"/>
      <c r="X504" s="128"/>
      <c r="Y504" s="200">
        <f>SUM(Y498:Y503)</f>
        <v>-37.82</v>
      </c>
      <c r="Z504" s="168">
        <f t="shared" si="649"/>
        <v>-13.872</v>
      </c>
      <c r="AA504" s="200">
        <f>SUM(AA498:AA503)</f>
        <v>-13.515000000000001</v>
      </c>
      <c r="AB504" s="200">
        <f t="shared" si="663"/>
        <v>-10.489000000000001</v>
      </c>
      <c r="AC504" s="200">
        <f>SUM(AC498:AC503)</f>
        <v>15.355999999999995</v>
      </c>
      <c r="AD504" s="200">
        <f t="shared" si="650"/>
        <v>12.926000000000016</v>
      </c>
      <c r="AE504" s="200">
        <f>SUM(AE498:AE503)</f>
        <v>-43.677999999999997</v>
      </c>
      <c r="AF504" s="200">
        <f t="shared" si="651"/>
        <v>131.03399999999999</v>
      </c>
      <c r="AG504" s="200">
        <f>SUM(AG498:AG503)</f>
        <v>-31.407000000000004</v>
      </c>
      <c r="AH504" s="200">
        <f t="shared" si="652"/>
        <v>-65.580999999999989</v>
      </c>
      <c r="AI504" s="200">
        <f>SUM(AI498:AI503)</f>
        <v>-17.62</v>
      </c>
      <c r="AJ504" s="200">
        <f t="shared" si="653"/>
        <v>122.38600000000002</v>
      </c>
      <c r="AK504" s="424">
        <f>SUM(AK498:AK503)</f>
        <v>491.48599999999993</v>
      </c>
      <c r="AL504" s="424">
        <f>BS504-AK504</f>
        <v>72.556000000000097</v>
      </c>
      <c r="AM504" s="424">
        <f>SUM(AM498:AM503)</f>
        <v>-28.768999999999998</v>
      </c>
      <c r="AN504" s="424">
        <f t="shared" si="654"/>
        <v>117.16900000000001</v>
      </c>
      <c r="AO504" s="424">
        <f>SUM(AO498:AO503)</f>
        <v>17.234000000000016</v>
      </c>
      <c r="AP504" s="474">
        <f t="shared" si="655"/>
        <v>17.384999999999984</v>
      </c>
      <c r="AQ504" s="92">
        <f t="shared" ref="AQ504:AZ504" si="666">SUM(AQ498:AQ503)</f>
        <v>-76.947706440000005</v>
      </c>
      <c r="AR504" s="92">
        <f t="shared" si="666"/>
        <v>-31.742045882653674</v>
      </c>
      <c r="AS504" s="92">
        <f t="shared" si="666"/>
        <v>-86.16241502827765</v>
      </c>
      <c r="AT504" s="92">
        <f t="shared" si="666"/>
        <v>-33.908504865312935</v>
      </c>
      <c r="AU504" s="92">
        <f t="shared" si="666"/>
        <v>-93.14888059794508</v>
      </c>
      <c r="AV504" s="92">
        <f t="shared" si="666"/>
        <v>-37.683096189288733</v>
      </c>
      <c r="AW504" s="92">
        <f t="shared" si="666"/>
        <v>-100.54276552713834</v>
      </c>
      <c r="AX504" s="92">
        <f t="shared" si="666"/>
        <v>-41.207726351311798</v>
      </c>
      <c r="AY504" s="92">
        <f t="shared" si="666"/>
        <v>-108.42275765391948</v>
      </c>
      <c r="AZ504" s="92">
        <f t="shared" si="666"/>
        <v>-44.978295564499113</v>
      </c>
      <c r="BA504" s="129"/>
      <c r="BB504" s="129"/>
      <c r="BC504" s="129"/>
      <c r="BD504" s="129"/>
      <c r="BE504" s="129"/>
      <c r="BF504" s="129"/>
      <c r="BG504" s="129"/>
      <c r="BH504" s="129"/>
      <c r="BI504" s="129"/>
      <c r="BJ504" s="62"/>
      <c r="BK504" s="129"/>
      <c r="BL504" s="129"/>
      <c r="BM504" s="200">
        <f t="shared" ref="BM504:BZ504" si="667">SUM(BM498:BM503)</f>
        <v>-51.692</v>
      </c>
      <c r="BN504" s="200">
        <f t="shared" si="667"/>
        <v>-24.004000000000001</v>
      </c>
      <c r="BO504" s="200">
        <f t="shared" si="667"/>
        <v>28.282000000000011</v>
      </c>
      <c r="BP504" s="200">
        <f t="shared" si="667"/>
        <v>87.355999999999995</v>
      </c>
      <c r="BQ504" s="200">
        <f t="shared" si="667"/>
        <v>-96.988</v>
      </c>
      <c r="BR504" s="200">
        <f t="shared" si="667"/>
        <v>104.76600000000002</v>
      </c>
      <c r="BS504" s="200">
        <f t="shared" si="667"/>
        <v>564.04200000000003</v>
      </c>
      <c r="BT504" s="200">
        <f t="shared" si="667"/>
        <v>88.4</v>
      </c>
      <c r="BU504" s="463">
        <f t="shared" si="667"/>
        <v>34.619</v>
      </c>
      <c r="BV504" s="200">
        <f t="shared" si="667"/>
        <v>-108.68975232265367</v>
      </c>
      <c r="BW504" s="200">
        <f t="shared" si="667"/>
        <v>-120.07091989359058</v>
      </c>
      <c r="BX504" s="200">
        <f t="shared" si="667"/>
        <v>-130.83197678723383</v>
      </c>
      <c r="BY504" s="200">
        <f t="shared" si="667"/>
        <v>-141.75049187845013</v>
      </c>
      <c r="BZ504" s="200">
        <f t="shared" si="667"/>
        <v>-153.40105321841858</v>
      </c>
      <c r="CB504" s="42" t="s">
        <v>609</v>
      </c>
      <c r="DS504" s="200">
        <f t="shared" ref="DS504" si="668">SUM(DS498:DS503)</f>
        <v>0</v>
      </c>
    </row>
    <row r="505" spans="1:123" s="130" customFormat="1">
      <c r="A505" s="127"/>
      <c r="B505" s="70"/>
      <c r="C505" s="42"/>
      <c r="D505" s="42"/>
      <c r="E505" s="42"/>
      <c r="F505" s="42"/>
      <c r="G505" s="62"/>
      <c r="H505" s="62"/>
      <c r="I505" s="62"/>
      <c r="J505" s="62"/>
      <c r="K505" s="62"/>
      <c r="L505" s="62"/>
      <c r="M505" s="62"/>
      <c r="N505" s="62"/>
      <c r="O505" s="62"/>
      <c r="P505" s="62"/>
      <c r="Q505" s="62"/>
      <c r="R505" s="62"/>
      <c r="S505" s="62"/>
      <c r="T505" s="62"/>
      <c r="U505" s="128"/>
      <c r="V505" s="128"/>
      <c r="W505" s="128"/>
      <c r="X505" s="128"/>
      <c r="Y505" s="200"/>
      <c r="Z505" s="200"/>
      <c r="AA505" s="200"/>
      <c r="AB505" s="200"/>
      <c r="AC505" s="200"/>
      <c r="AD505" s="200"/>
      <c r="AE505" s="200"/>
      <c r="AF505" s="200"/>
      <c r="AG505" s="200"/>
      <c r="AH505" s="200"/>
      <c r="AI505" s="200"/>
      <c r="AJ505" s="200"/>
      <c r="AK505" s="200"/>
      <c r="AL505" s="200"/>
      <c r="AM505" s="200"/>
      <c r="AN505" s="200"/>
      <c r="AO505" s="200"/>
      <c r="AP505" s="463"/>
      <c r="AQ505" s="200"/>
      <c r="AR505" s="200"/>
      <c r="AS505" s="200"/>
      <c r="AT505" s="200"/>
      <c r="AU505" s="200"/>
      <c r="AV505" s="200"/>
      <c r="AW505" s="200"/>
      <c r="AX505" s="200"/>
      <c r="AY505" s="200"/>
      <c r="AZ505" s="200"/>
      <c r="BA505" s="129"/>
      <c r="BB505" s="129"/>
      <c r="BC505" s="129"/>
      <c r="BD505" s="129"/>
      <c r="BE505" s="129"/>
      <c r="BF505" s="129"/>
      <c r="BG505" s="129"/>
      <c r="BH505" s="129"/>
      <c r="BI505" s="129"/>
      <c r="BJ505" s="62"/>
      <c r="BK505" s="129"/>
      <c r="BL505" s="129"/>
      <c r="BM505" s="200"/>
      <c r="BN505" s="200"/>
      <c r="BO505" s="200"/>
      <c r="BP505" s="200"/>
      <c r="BQ505" s="200"/>
      <c r="BR505" s="200"/>
      <c r="BS505" s="200"/>
      <c r="BT505" s="200"/>
      <c r="BU505" s="463"/>
      <c r="BV505" s="200"/>
      <c r="BW505" s="200"/>
      <c r="BX505" s="200"/>
      <c r="BY505" s="200"/>
      <c r="BZ505" s="200"/>
      <c r="CB505" s="42"/>
      <c r="DS505" s="200"/>
    </row>
    <row r="506" spans="1:123" s="130" customFormat="1">
      <c r="A506" s="127" t="s">
        <v>165</v>
      </c>
      <c r="B506" s="70" t="s">
        <v>340</v>
      </c>
      <c r="C506" s="42"/>
      <c r="D506" s="42"/>
      <c r="E506" s="42"/>
      <c r="F506" s="42"/>
      <c r="G506" s="62"/>
      <c r="H506" s="62"/>
      <c r="I506" s="62"/>
      <c r="J506" s="62"/>
      <c r="K506" s="62"/>
      <c r="L506" s="62"/>
      <c r="M506" s="62"/>
      <c r="N506" s="62"/>
      <c r="O506" s="62"/>
      <c r="P506" s="62"/>
      <c r="Q506" s="62"/>
      <c r="R506" s="62"/>
      <c r="S506" s="62"/>
      <c r="T506" s="62"/>
      <c r="U506" s="128"/>
      <c r="V506" s="128"/>
      <c r="W506" s="128"/>
      <c r="X506" s="128"/>
      <c r="Y506" s="200">
        <f>Y487+Y495+Y504</f>
        <v>-11.321000000000002</v>
      </c>
      <c r="Z506" s="200">
        <f>Z487+Z495+Z504</f>
        <v>6.1930000000000049</v>
      </c>
      <c r="AA506" s="200">
        <f>AA487+AA495+AA504</f>
        <v>5.782999999999987</v>
      </c>
      <c r="AB506" s="200">
        <f t="shared" ref="AB506:AZ506" si="669">AB487+AB495+AB504</f>
        <v>-0.44399999999998485</v>
      </c>
      <c r="AC506" s="200">
        <f t="shared" si="669"/>
        <v>26.770999999999983</v>
      </c>
      <c r="AD506" s="200">
        <f t="shared" si="669"/>
        <v>34.222000000000037</v>
      </c>
      <c r="AE506" s="200">
        <f t="shared" si="669"/>
        <v>-35.410000000000004</v>
      </c>
      <c r="AF506" s="200">
        <f t="shared" si="669"/>
        <v>59.018000000000001</v>
      </c>
      <c r="AG506" s="200">
        <f t="shared" si="669"/>
        <v>-17.143999999999981</v>
      </c>
      <c r="AH506" s="200">
        <f t="shared" si="669"/>
        <v>55.974999999999966</v>
      </c>
      <c r="AI506" s="200">
        <f t="shared" si="669"/>
        <v>-9.5629999999999704</v>
      </c>
      <c r="AJ506" s="200">
        <f>AJ487+AJ495+AJ504</f>
        <v>322.35099999999994</v>
      </c>
      <c r="AK506" s="200">
        <f t="shared" ref="AK506:AM506" si="670">AK487+AK495+AK504</f>
        <v>432.13199999999995</v>
      </c>
      <c r="AL506" s="200">
        <f>AL487+AL495+AL504</f>
        <v>197.2940000000001</v>
      </c>
      <c r="AM506" s="200">
        <f t="shared" si="670"/>
        <v>-105.32499999999999</v>
      </c>
      <c r="AN506" s="200">
        <f>AN487+AN495+AN504</f>
        <v>192.91200000000001</v>
      </c>
      <c r="AO506" s="200">
        <f t="shared" ref="AO506" si="671">AO487+AO495+AO504</f>
        <v>-43.509999999999955</v>
      </c>
      <c r="AP506" s="463">
        <f>AP487+AP495+AP504</f>
        <v>98.893999999999949</v>
      </c>
      <c r="AQ506" s="200">
        <f t="shared" si="669"/>
        <v>13.743853224724788</v>
      </c>
      <c r="AR506" s="200">
        <f t="shared" si="669"/>
        <v>100.81551569931194</v>
      </c>
      <c r="AS506" s="200">
        <f t="shared" si="669"/>
        <v>10.719027444045025</v>
      </c>
      <c r="AT506" s="200">
        <f t="shared" si="669"/>
        <v>109.39746528537181</v>
      </c>
      <c r="AU506" s="200">
        <f t="shared" si="669"/>
        <v>14.517108514308447</v>
      </c>
      <c r="AV506" s="200">
        <f t="shared" si="669"/>
        <v>116.99808154477026</v>
      </c>
      <c r="AW506" s="200">
        <f t="shared" si="669"/>
        <v>17.193595476609659</v>
      </c>
      <c r="AX506" s="200">
        <f t="shared" si="669"/>
        <v>125.5965161931797</v>
      </c>
      <c r="AY506" s="200">
        <f t="shared" si="669"/>
        <v>20.086658244649428</v>
      </c>
      <c r="AZ506" s="200">
        <f t="shared" si="669"/>
        <v>134.74474947570775</v>
      </c>
      <c r="BA506" s="129"/>
      <c r="BB506" s="129"/>
      <c r="BC506" s="129"/>
      <c r="BD506" s="129"/>
      <c r="BE506" s="129"/>
      <c r="BF506" s="129"/>
      <c r="BG506" s="129"/>
      <c r="BH506" s="129"/>
      <c r="BI506" s="129"/>
      <c r="BJ506" s="62"/>
      <c r="BK506" s="129"/>
      <c r="BL506" s="129"/>
      <c r="BM506" s="200">
        <f>BM487+BM495+BM504</f>
        <v>-5.127999999999993</v>
      </c>
      <c r="BN506" s="200">
        <f t="shared" ref="BN506:BV506" si="672">BN487+BN495+BN504</f>
        <v>5.3390000000000022</v>
      </c>
      <c r="BO506" s="200">
        <f t="shared" si="672"/>
        <v>60.992999999999988</v>
      </c>
      <c r="BP506" s="200">
        <f t="shared" si="672"/>
        <v>23.60799999999999</v>
      </c>
      <c r="BQ506" s="200">
        <f t="shared" si="672"/>
        <v>38.83099999999996</v>
      </c>
      <c r="BR506" s="200">
        <f>BR487+BR495+BR504</f>
        <v>312.78800000000001</v>
      </c>
      <c r="BS506" s="200">
        <f>BS487+BS495+BS504</f>
        <v>629.42600000000004</v>
      </c>
      <c r="BT506" s="200">
        <f t="shared" si="672"/>
        <v>87.587000000000003</v>
      </c>
      <c r="BU506" s="463">
        <f t="shared" si="672"/>
        <v>55.383999999999986</v>
      </c>
      <c r="BV506" s="200">
        <f t="shared" si="672"/>
        <v>114.55936892403673</v>
      </c>
      <c r="BW506" s="200">
        <f>BW487+BW495+BW504</f>
        <v>120.11649272941683</v>
      </c>
      <c r="BX506" s="200">
        <f t="shared" ref="BX506:BZ506" si="673">BX487+BX495+BX504</f>
        <v>131.51519005907869</v>
      </c>
      <c r="BY506" s="200">
        <f t="shared" si="673"/>
        <v>142.79011166978938</v>
      </c>
      <c r="BZ506" s="200">
        <f t="shared" si="673"/>
        <v>154.83140772035719</v>
      </c>
      <c r="CB506" s="42" t="s">
        <v>609</v>
      </c>
      <c r="DS506" s="200">
        <f>DS487+DS495+DS504</f>
        <v>0</v>
      </c>
    </row>
    <row r="507" spans="1:123" s="130" customFormat="1">
      <c r="A507" s="127"/>
      <c r="B507" s="70" t="s">
        <v>341</v>
      </c>
      <c r="C507" s="42"/>
      <c r="D507" s="42"/>
      <c r="E507" s="42"/>
      <c r="F507" s="42"/>
      <c r="G507" s="62"/>
      <c r="H507" s="62"/>
      <c r="I507" s="62"/>
      <c r="J507" s="62"/>
      <c r="K507" s="62"/>
      <c r="L507" s="62"/>
      <c r="M507" s="62"/>
      <c r="N507" s="62"/>
      <c r="O507" s="62"/>
      <c r="P507" s="62"/>
      <c r="Q507" s="62"/>
      <c r="R507" s="62"/>
      <c r="S507" s="62"/>
      <c r="T507" s="62"/>
      <c r="U507" s="128"/>
      <c r="V507" s="128"/>
      <c r="W507" s="128"/>
      <c r="X507" s="128"/>
      <c r="Y507" s="171">
        <v>158.446</v>
      </c>
      <c r="Z507" s="168">
        <f>SUM(Y292:Y293)</f>
        <v>147.125</v>
      </c>
      <c r="AA507" s="171">
        <v>153.31800000000001</v>
      </c>
      <c r="AB507" s="168">
        <f t="shared" ref="AB507:AO507" si="674">SUM(AA292:AA293)</f>
        <v>159.101</v>
      </c>
      <c r="AC507" s="171">
        <f t="shared" si="674"/>
        <v>158.65699999999998</v>
      </c>
      <c r="AD507" s="168">
        <f t="shared" si="674"/>
        <v>185.428</v>
      </c>
      <c r="AE507" s="171">
        <f t="shared" si="674"/>
        <v>219.99700000000001</v>
      </c>
      <c r="AF507" s="168">
        <f t="shared" si="674"/>
        <v>184.77700000000002</v>
      </c>
      <c r="AG507" s="171">
        <f t="shared" si="674"/>
        <v>243.15099999999998</v>
      </c>
      <c r="AH507" s="168">
        <f t="shared" si="674"/>
        <v>226.15</v>
      </c>
      <c r="AI507" s="171">
        <f t="shared" si="674"/>
        <v>281.82</v>
      </c>
      <c r="AJ507" s="168">
        <f t="shared" si="674"/>
        <v>272.55200000000002</v>
      </c>
      <c r="AK507" s="171">
        <f t="shared" si="674"/>
        <v>592.46</v>
      </c>
      <c r="AL507" s="171">
        <f t="shared" si="674"/>
        <v>1027.3779999999999</v>
      </c>
      <c r="AM507" s="171">
        <f t="shared" si="674"/>
        <v>1196.721</v>
      </c>
      <c r="AN507" s="171">
        <f>SUM(AN292:AN293)</f>
        <v>1286.316</v>
      </c>
      <c r="AO507" s="171">
        <f t="shared" si="674"/>
        <v>1286.316</v>
      </c>
      <c r="AP507" s="302">
        <f>SUM(AP292:AP293)</f>
        <v>1342.6380000000001</v>
      </c>
      <c r="AQ507" s="168">
        <f t="shared" ref="AQ507:AZ507" si="675">AP509</f>
        <v>1445.1330000000003</v>
      </c>
      <c r="AR507" s="168">
        <f t="shared" si="675"/>
        <v>1458.876853224725</v>
      </c>
      <c r="AS507" s="168">
        <f t="shared" si="675"/>
        <v>1559.6923689240368</v>
      </c>
      <c r="AT507" s="168">
        <f t="shared" si="675"/>
        <v>1570.4113963680818</v>
      </c>
      <c r="AU507" s="168">
        <f t="shared" si="675"/>
        <v>1679.8088616534535</v>
      </c>
      <c r="AV507" s="168">
        <f t="shared" si="675"/>
        <v>1694.3259701677619</v>
      </c>
      <c r="AW507" s="168">
        <f t="shared" si="675"/>
        <v>1811.3240517125321</v>
      </c>
      <c r="AX507" s="168">
        <f t="shared" si="675"/>
        <v>1828.5176471891418</v>
      </c>
      <c r="AY507" s="168">
        <f t="shared" si="675"/>
        <v>1954.1141633823215</v>
      </c>
      <c r="AZ507" s="168">
        <f t="shared" si="675"/>
        <v>1974.200821626971</v>
      </c>
      <c r="BA507" s="129"/>
      <c r="BB507" s="129"/>
      <c r="BC507" s="129"/>
      <c r="BD507" s="129"/>
      <c r="BE507" s="129"/>
      <c r="BF507" s="129"/>
      <c r="BG507" s="129"/>
      <c r="BH507" s="129"/>
      <c r="BI507" s="129"/>
      <c r="BJ507" s="62"/>
      <c r="BK507" s="129"/>
      <c r="BL507" s="129"/>
      <c r="BM507" s="171">
        <v>158.446</v>
      </c>
      <c r="BN507" s="171">
        <v>153.31800000000001</v>
      </c>
      <c r="BO507" s="171">
        <v>158.65700000000001</v>
      </c>
      <c r="BP507" s="171">
        <v>219.99700000000001</v>
      </c>
      <c r="BQ507" s="171">
        <v>243.15099999999998</v>
      </c>
      <c r="BR507" s="171">
        <v>281.82</v>
      </c>
      <c r="BS507" s="171">
        <v>592.46</v>
      </c>
      <c r="BT507" s="171">
        <v>1196.721</v>
      </c>
      <c r="BU507" s="314">
        <v>1286.316</v>
      </c>
      <c r="BV507" s="168">
        <f>SUM(BU292:BU293)</f>
        <v>1342.6380000000001</v>
      </c>
      <c r="BW507" s="168">
        <f>SUM(BV292:BV293)</f>
        <v>1457.1973689240369</v>
      </c>
      <c r="BX507" s="168">
        <f t="shared" ref="BX507:BZ507" si="676">SUM(BW292:BW293)</f>
        <v>1577.3138616534538</v>
      </c>
      <c r="BY507" s="168">
        <f t="shared" si="676"/>
        <v>1708.8290517125324</v>
      </c>
      <c r="BZ507" s="168">
        <f t="shared" si="676"/>
        <v>1851.6191633823219</v>
      </c>
      <c r="CB507" s="42" t="s">
        <v>646</v>
      </c>
      <c r="DS507" s="168">
        <f>SUM(DT292:DT293)</f>
        <v>0</v>
      </c>
    </row>
    <row r="508" spans="1:123" s="130" customFormat="1">
      <c r="A508" s="127"/>
      <c r="B508" s="70" t="s">
        <v>342</v>
      </c>
      <c r="C508" s="42"/>
      <c r="D508" s="42"/>
      <c r="E508" s="42"/>
      <c r="F508" s="42"/>
      <c r="G508" s="62"/>
      <c r="H508" s="62"/>
      <c r="I508" s="62"/>
      <c r="J508" s="62"/>
      <c r="K508" s="62"/>
      <c r="L508" s="62"/>
      <c r="M508" s="62"/>
      <c r="N508" s="62"/>
      <c r="O508" s="62"/>
      <c r="P508" s="62"/>
      <c r="Q508" s="62"/>
      <c r="R508" s="62"/>
      <c r="S508" s="62"/>
      <c r="T508" s="62"/>
      <c r="U508" s="128"/>
      <c r="V508" s="128"/>
      <c r="W508" s="128"/>
      <c r="X508" s="128"/>
      <c r="Y508" s="171">
        <v>0</v>
      </c>
      <c r="Z508" s="168">
        <f>BM508-Y508</f>
        <v>0</v>
      </c>
      <c r="AA508" s="171">
        <v>0</v>
      </c>
      <c r="AB508" s="168">
        <f>BN508-AA508</f>
        <v>0</v>
      </c>
      <c r="AC508" s="171">
        <v>0</v>
      </c>
      <c r="AD508" s="23">
        <f>BN508-AC508</f>
        <v>0</v>
      </c>
      <c r="AE508" s="171">
        <v>0.19</v>
      </c>
      <c r="AF508" s="23">
        <f>BP508-AE508</f>
        <v>-0.64400000000000002</v>
      </c>
      <c r="AG508" s="171">
        <v>0.14299999999999999</v>
      </c>
      <c r="AH508" s="23">
        <f>BQ508-AG508</f>
        <v>-0.30499999999999999</v>
      </c>
      <c r="AI508" s="171">
        <v>0.29499999999999998</v>
      </c>
      <c r="AJ508" s="168">
        <f>BR508-AI508</f>
        <v>-2.4430000000000001</v>
      </c>
      <c r="AK508" s="174">
        <v>2.786</v>
      </c>
      <c r="AL508" s="174">
        <f>BS508-AK508</f>
        <v>37.433</v>
      </c>
      <c r="AM508" s="174">
        <v>1.7310000000000001</v>
      </c>
      <c r="AN508" s="174">
        <f>BT508-AM508</f>
        <v>-0.53600000000000003</v>
      </c>
      <c r="AO508" s="174">
        <v>-2.6629999999999998</v>
      </c>
      <c r="AP508" s="458">
        <f>BU508-AO508</f>
        <v>3.601</v>
      </c>
      <c r="AQ508" s="221">
        <v>0</v>
      </c>
      <c r="AR508" s="221">
        <v>0</v>
      </c>
      <c r="AS508" s="221">
        <v>0</v>
      </c>
      <c r="AT508" s="221">
        <v>0</v>
      </c>
      <c r="AU508" s="221">
        <v>0</v>
      </c>
      <c r="AV508" s="221">
        <v>0</v>
      </c>
      <c r="AW508" s="221">
        <v>0</v>
      </c>
      <c r="AX508" s="221">
        <v>0</v>
      </c>
      <c r="AY508" s="221">
        <v>0</v>
      </c>
      <c r="AZ508" s="221">
        <v>0</v>
      </c>
      <c r="BA508" s="129"/>
      <c r="BB508" s="129"/>
      <c r="BC508" s="129"/>
      <c r="BD508" s="129"/>
      <c r="BE508" s="129"/>
      <c r="BF508" s="129"/>
      <c r="BG508" s="129"/>
      <c r="BH508" s="129"/>
      <c r="BI508" s="129"/>
      <c r="BJ508" s="62"/>
      <c r="BK508" s="129"/>
      <c r="BL508" s="129"/>
      <c r="BM508" s="171">
        <v>0</v>
      </c>
      <c r="BN508" s="171">
        <v>0</v>
      </c>
      <c r="BO508" s="171">
        <v>0.34699999999999998</v>
      </c>
      <c r="BP508" s="171">
        <v>-0.45400000000000001</v>
      </c>
      <c r="BQ508" s="171">
        <v>-0.16200000000000001</v>
      </c>
      <c r="BR508" s="171">
        <v>-2.1480000000000001</v>
      </c>
      <c r="BS508" s="171">
        <v>40.219000000000001</v>
      </c>
      <c r="BT508" s="171">
        <v>1.1950000000000001</v>
      </c>
      <c r="BU508" s="314">
        <v>0.93799999999999994</v>
      </c>
      <c r="BV508" s="120">
        <f>SUM(AQ508:AR508)</f>
        <v>0</v>
      </c>
      <c r="BW508" s="120">
        <f>SUM(AS508:AT508)</f>
        <v>0</v>
      </c>
      <c r="BX508" s="120">
        <f>SUM(AU508:AV508)</f>
        <v>0</v>
      </c>
      <c r="BY508" s="120">
        <f>SUM(AW508:AX508)</f>
        <v>0</v>
      </c>
      <c r="BZ508" s="120">
        <f>SUM(AY508:AZ508)</f>
        <v>0</v>
      </c>
      <c r="CB508" s="42" t="s">
        <v>646</v>
      </c>
      <c r="DS508" s="120">
        <f>SUM(CU508:CV508)</f>
        <v>0</v>
      </c>
    </row>
    <row r="509" spans="1:123" s="130" customFormat="1">
      <c r="A509" s="127"/>
      <c r="B509" s="70" t="s">
        <v>313</v>
      </c>
      <c r="C509" s="42"/>
      <c r="D509" s="42"/>
      <c r="E509" s="42"/>
      <c r="F509" s="42"/>
      <c r="G509" s="62"/>
      <c r="H509" s="62"/>
      <c r="I509" s="62"/>
      <c r="J509" s="62"/>
      <c r="K509" s="62"/>
      <c r="L509" s="62"/>
      <c r="M509" s="62"/>
      <c r="N509" s="62"/>
      <c r="O509" s="62"/>
      <c r="P509" s="62"/>
      <c r="Q509" s="62"/>
      <c r="R509" s="62"/>
      <c r="S509" s="62"/>
      <c r="T509" s="62"/>
      <c r="U509" s="128"/>
      <c r="V509" s="128"/>
      <c r="W509" s="128"/>
      <c r="X509" s="128"/>
      <c r="Y509" s="200">
        <f>SUM(Y506:Y508)</f>
        <v>147.125</v>
      </c>
      <c r="Z509" s="200">
        <f t="shared" ref="Z509:AI509" si="677">SUM(Z506:Z508)</f>
        <v>153.31800000000001</v>
      </c>
      <c r="AA509" s="200">
        <f>SUM(AA506:AA508)</f>
        <v>159.101</v>
      </c>
      <c r="AB509" s="200">
        <f t="shared" si="677"/>
        <v>158.65700000000001</v>
      </c>
      <c r="AC509" s="200">
        <f t="shared" si="677"/>
        <v>185.42799999999997</v>
      </c>
      <c r="AD509" s="200">
        <f t="shared" si="677"/>
        <v>219.65000000000003</v>
      </c>
      <c r="AE509" s="200">
        <f t="shared" si="677"/>
        <v>184.77700000000002</v>
      </c>
      <c r="AF509" s="200">
        <f t="shared" si="677"/>
        <v>243.15100000000001</v>
      </c>
      <c r="AG509" s="200">
        <f t="shared" si="677"/>
        <v>226.15</v>
      </c>
      <c r="AH509" s="200">
        <f t="shared" si="677"/>
        <v>281.82</v>
      </c>
      <c r="AI509" s="200">
        <f t="shared" si="677"/>
        <v>272.55200000000002</v>
      </c>
      <c r="AJ509" s="200">
        <f>SUM(AJ506:AJ508)</f>
        <v>592.46</v>
      </c>
      <c r="AK509" s="200">
        <f t="shared" ref="AK509:AM509" si="678">SUM(AK506:AK508)</f>
        <v>1027.3780000000002</v>
      </c>
      <c r="AL509" s="200">
        <f>SUM(AL506:AL508)</f>
        <v>1262.105</v>
      </c>
      <c r="AM509" s="200">
        <f t="shared" si="678"/>
        <v>1093.127</v>
      </c>
      <c r="AN509" s="200">
        <f>SUM(AN506:AN508)</f>
        <v>1478.692</v>
      </c>
      <c r="AO509" s="200">
        <f t="shared" ref="AO509" si="679">SUM(AO506:AO508)</f>
        <v>1240.143</v>
      </c>
      <c r="AP509" s="463">
        <f>SUM(AP506:AP508)</f>
        <v>1445.1330000000003</v>
      </c>
      <c r="AQ509" s="200">
        <f t="shared" ref="AQ509:AZ509" si="680">SUM(AQ506:AQ508)</f>
        <v>1458.876853224725</v>
      </c>
      <c r="AR509" s="200">
        <f t="shared" si="680"/>
        <v>1559.6923689240368</v>
      </c>
      <c r="AS509" s="200">
        <f t="shared" si="680"/>
        <v>1570.4113963680818</v>
      </c>
      <c r="AT509" s="200">
        <f t="shared" si="680"/>
        <v>1679.8088616534535</v>
      </c>
      <c r="AU509" s="200">
        <f t="shared" si="680"/>
        <v>1694.3259701677619</v>
      </c>
      <c r="AV509" s="200">
        <f t="shared" si="680"/>
        <v>1811.3240517125321</v>
      </c>
      <c r="AW509" s="200">
        <f t="shared" si="680"/>
        <v>1828.5176471891418</v>
      </c>
      <c r="AX509" s="200">
        <f t="shared" si="680"/>
        <v>1954.1141633823215</v>
      </c>
      <c r="AY509" s="200">
        <f t="shared" si="680"/>
        <v>1974.200821626971</v>
      </c>
      <c r="AZ509" s="200">
        <f t="shared" si="680"/>
        <v>2108.9455711026785</v>
      </c>
      <c r="BA509" s="129"/>
      <c r="BB509" s="129"/>
      <c r="BC509" s="129"/>
      <c r="BD509" s="129"/>
      <c r="BE509" s="129"/>
      <c r="BF509" s="129"/>
      <c r="BG509" s="129"/>
      <c r="BH509" s="129"/>
      <c r="BI509" s="129"/>
      <c r="BJ509" s="62"/>
      <c r="BK509" s="129"/>
      <c r="BL509" s="129"/>
      <c r="BM509" s="200">
        <f t="shared" ref="BM509:BZ509" si="681">SUM(BM506:BM508)</f>
        <v>153.31800000000001</v>
      </c>
      <c r="BN509" s="200">
        <f t="shared" si="681"/>
        <v>158.65700000000001</v>
      </c>
      <c r="BO509" s="200">
        <f t="shared" si="681"/>
        <v>219.99700000000001</v>
      </c>
      <c r="BP509" s="200">
        <f t="shared" si="681"/>
        <v>243.15100000000001</v>
      </c>
      <c r="BQ509" s="200">
        <f t="shared" si="681"/>
        <v>281.82</v>
      </c>
      <c r="BR509" s="200">
        <f t="shared" si="681"/>
        <v>592.45999999999992</v>
      </c>
      <c r="BS509" s="200">
        <f t="shared" si="681"/>
        <v>1262.105</v>
      </c>
      <c r="BT509" s="200">
        <f t="shared" si="681"/>
        <v>1285.5029999999999</v>
      </c>
      <c r="BU509" s="463">
        <f t="shared" si="681"/>
        <v>1342.6380000000001</v>
      </c>
      <c r="BV509" s="200">
        <f t="shared" si="681"/>
        <v>1457.1973689240369</v>
      </c>
      <c r="BW509" s="200">
        <f t="shared" si="681"/>
        <v>1577.3138616534538</v>
      </c>
      <c r="BX509" s="200">
        <f t="shared" si="681"/>
        <v>1708.8290517125324</v>
      </c>
      <c r="BY509" s="200">
        <f t="shared" si="681"/>
        <v>1851.6191633823219</v>
      </c>
      <c r="BZ509" s="200">
        <f t="shared" si="681"/>
        <v>2006.4505711026791</v>
      </c>
      <c r="CB509" s="42" t="s">
        <v>609</v>
      </c>
      <c r="DS509" s="200">
        <f t="shared" ref="DS509" si="682">SUM(DS506:DS508)</f>
        <v>0</v>
      </c>
    </row>
    <row r="510" spans="1:123" s="130" customFormat="1">
      <c r="A510" s="127"/>
      <c r="B510" s="70"/>
      <c r="C510" s="42"/>
      <c r="D510" s="42"/>
      <c r="E510" s="42"/>
      <c r="F510" s="42"/>
      <c r="G510" s="62"/>
      <c r="H510" s="62"/>
      <c r="I510" s="62"/>
      <c r="J510" s="62"/>
      <c r="K510" s="62"/>
      <c r="L510" s="62"/>
      <c r="M510" s="62"/>
      <c r="N510" s="62"/>
      <c r="O510" s="62"/>
      <c r="P510" s="62"/>
      <c r="Q510" s="62"/>
      <c r="R510" s="62"/>
      <c r="S510" s="62"/>
      <c r="T510" s="62"/>
      <c r="U510" s="128"/>
      <c r="V510" s="128"/>
      <c r="W510" s="128"/>
      <c r="X510" s="128"/>
      <c r="Y510" s="200"/>
      <c r="Z510" s="200"/>
      <c r="AA510" s="200"/>
      <c r="AB510" s="200"/>
      <c r="AC510" s="200"/>
      <c r="AD510" s="200"/>
      <c r="AE510" s="200"/>
      <c r="AF510" s="200"/>
      <c r="AG510" s="200"/>
      <c r="AH510" s="200"/>
      <c r="AI510" s="200"/>
      <c r="AJ510" s="200"/>
      <c r="AK510" s="200"/>
      <c r="AL510" s="200"/>
      <c r="AM510" s="200"/>
      <c r="AN510" s="200"/>
      <c r="AO510" s="200"/>
      <c r="AP510" s="463"/>
      <c r="AQ510" s="200"/>
      <c r="AR510" s="200"/>
      <c r="AS510" s="200"/>
      <c r="AT510" s="200"/>
      <c r="AU510" s="200"/>
      <c r="AV510" s="200"/>
      <c r="AW510" s="200"/>
      <c r="AX510" s="200"/>
      <c r="AY510" s="200"/>
      <c r="AZ510" s="200"/>
      <c r="BA510" s="129"/>
      <c r="BB510" s="129"/>
      <c r="BC510" s="129"/>
      <c r="BD510" s="129"/>
      <c r="BE510" s="129"/>
      <c r="BF510" s="129"/>
      <c r="BG510" s="129"/>
      <c r="BH510" s="129"/>
      <c r="BI510" s="129"/>
      <c r="BJ510" s="62"/>
      <c r="BK510" s="129"/>
      <c r="BL510" s="129"/>
      <c r="BM510" s="200"/>
      <c r="BN510" s="200"/>
      <c r="BO510" s="200"/>
      <c r="BP510" s="200"/>
      <c r="BQ510" s="200"/>
      <c r="BR510" s="200"/>
      <c r="BS510" s="200"/>
      <c r="BT510" s="200"/>
      <c r="BU510" s="463"/>
      <c r="BV510" s="200"/>
      <c r="BW510" s="200"/>
      <c r="BX510" s="200"/>
      <c r="BY510" s="200"/>
      <c r="BZ510" s="200"/>
      <c r="CB510" s="42"/>
      <c r="DS510" s="200"/>
    </row>
    <row r="511" spans="1:123" s="130" customFormat="1">
      <c r="A511" s="127"/>
      <c r="B511" s="75" t="s">
        <v>400</v>
      </c>
      <c r="C511" s="42"/>
      <c r="D511" s="42"/>
      <c r="E511" s="42"/>
      <c r="F511" s="42"/>
      <c r="G511" s="62"/>
      <c r="H511" s="62"/>
      <c r="I511" s="62"/>
      <c r="J511" s="62"/>
      <c r="K511" s="62"/>
      <c r="L511" s="62"/>
      <c r="M511" s="62"/>
      <c r="N511" s="62"/>
      <c r="O511" s="62"/>
      <c r="P511" s="62"/>
      <c r="Q511" s="62"/>
      <c r="R511" s="62"/>
      <c r="S511" s="62"/>
      <c r="T511" s="62"/>
      <c r="U511" s="128"/>
      <c r="V511" s="128"/>
      <c r="W511" s="128"/>
      <c r="X511" s="128"/>
      <c r="Y511" s="200"/>
      <c r="Z511" s="200"/>
      <c r="AA511" s="200"/>
      <c r="AB511" s="200"/>
      <c r="AC511" s="200"/>
      <c r="AD511" s="200"/>
      <c r="AE511" s="200"/>
      <c r="AF511" s="200"/>
      <c r="AG511" s="200"/>
      <c r="AH511" s="200"/>
      <c r="AI511" s="200"/>
      <c r="AJ511" s="200"/>
      <c r="AK511" s="200"/>
      <c r="AL511" s="200"/>
      <c r="AM511" s="200"/>
      <c r="AN511" s="200"/>
      <c r="AO511" s="200"/>
      <c r="AP511" s="463"/>
      <c r="AQ511" s="200"/>
      <c r="AR511" s="200"/>
      <c r="AS511" s="200"/>
      <c r="AT511" s="200"/>
      <c r="AU511" s="200"/>
      <c r="AV511" s="200"/>
      <c r="AW511" s="200"/>
      <c r="AX511" s="200"/>
      <c r="AY511" s="200"/>
      <c r="AZ511" s="200"/>
      <c r="BA511" s="129"/>
      <c r="BB511" s="129"/>
      <c r="BC511" s="129"/>
      <c r="BD511" s="129"/>
      <c r="BE511" s="129"/>
      <c r="BF511" s="129"/>
      <c r="BG511" s="129"/>
      <c r="BH511" s="129"/>
      <c r="BI511" s="129"/>
      <c r="BJ511" s="62"/>
      <c r="BK511" s="129"/>
      <c r="BL511" s="129"/>
      <c r="BM511" s="200"/>
      <c r="BN511" s="200"/>
      <c r="BO511" s="200"/>
      <c r="BP511" s="200"/>
      <c r="BQ511" s="200"/>
      <c r="BR511" s="200"/>
      <c r="BS511" s="200"/>
      <c r="BT511" s="200"/>
      <c r="BU511" s="463"/>
      <c r="BV511" s="200"/>
      <c r="BW511" s="200"/>
      <c r="BX511" s="200"/>
      <c r="BY511" s="200"/>
      <c r="BZ511" s="200"/>
      <c r="CB511" s="42"/>
      <c r="DS511" s="200"/>
    </row>
    <row r="512" spans="1:123" s="130" customFormat="1">
      <c r="A512" s="127"/>
      <c r="B512" s="70" t="s">
        <v>401</v>
      </c>
      <c r="C512" s="42"/>
      <c r="D512" s="42"/>
      <c r="E512" s="42"/>
      <c r="F512" s="42"/>
      <c r="G512" s="62"/>
      <c r="H512" s="62"/>
      <c r="I512" s="62"/>
      <c r="J512" s="62"/>
      <c r="K512" s="62"/>
      <c r="L512" s="62"/>
      <c r="M512" s="62"/>
      <c r="N512" s="62"/>
      <c r="O512" s="62"/>
      <c r="P512" s="62"/>
      <c r="Q512" s="62"/>
      <c r="R512" s="62"/>
      <c r="S512" s="62"/>
      <c r="T512" s="62"/>
      <c r="U512" s="128"/>
      <c r="V512" s="128"/>
      <c r="W512" s="128"/>
      <c r="X512" s="128"/>
      <c r="Y512" s="168"/>
      <c r="Z512" s="168"/>
      <c r="AA512" s="168"/>
      <c r="AB512" s="168"/>
      <c r="AC512" s="168"/>
      <c r="AD512" s="168"/>
      <c r="AE512" s="171">
        <v>14.387</v>
      </c>
      <c r="AF512" s="168">
        <f>BP512-AE512</f>
        <v>10.012999999999998</v>
      </c>
      <c r="AG512" s="171">
        <v>21.486999999999998</v>
      </c>
      <c r="AH512" s="168">
        <f>BQ512-AG512</f>
        <v>12.765000000000004</v>
      </c>
      <c r="AI512" s="171">
        <v>22.9</v>
      </c>
      <c r="AJ512" s="168">
        <f>BR512-AI512</f>
        <v>20.249000000000002</v>
      </c>
      <c r="AK512" s="168"/>
      <c r="AL512" s="168">
        <f>BS512-AK512</f>
        <v>38.203000000000003</v>
      </c>
      <c r="AM512" s="168"/>
      <c r="AN512" s="168">
        <f>BT512-AM512</f>
        <v>37.972999999999999</v>
      </c>
      <c r="AO512" s="168"/>
      <c r="AP512" s="302">
        <f>BU512-AO512</f>
        <v>43.953000000000003</v>
      </c>
      <c r="AQ512" s="168"/>
      <c r="AR512" s="168"/>
      <c r="AS512" s="168"/>
      <c r="AT512" s="168"/>
      <c r="AU512" s="168"/>
      <c r="AV512" s="168"/>
      <c r="AW512" s="168"/>
      <c r="AX512" s="168"/>
      <c r="AY512" s="168"/>
      <c r="AZ512" s="168"/>
      <c r="BA512" s="129"/>
      <c r="BB512" s="129"/>
      <c r="BC512" s="129"/>
      <c r="BD512" s="129"/>
      <c r="BE512" s="129"/>
      <c r="BF512" s="129"/>
      <c r="BG512" s="129"/>
      <c r="BH512" s="129"/>
      <c r="BI512" s="129"/>
      <c r="BJ512" s="62"/>
      <c r="BK512" s="129"/>
      <c r="BL512" s="129"/>
      <c r="BM512" s="168"/>
      <c r="BN512" s="168"/>
      <c r="BO512" s="168"/>
      <c r="BP512" s="171">
        <v>24.4</v>
      </c>
      <c r="BQ512" s="171">
        <v>34.252000000000002</v>
      </c>
      <c r="BR512" s="171">
        <v>43.149000000000001</v>
      </c>
      <c r="BS512" s="171">
        <v>38.203000000000003</v>
      </c>
      <c r="BT512" s="171">
        <v>37.972999999999999</v>
      </c>
      <c r="BU512" s="314">
        <v>43.953000000000003</v>
      </c>
      <c r="BV512" s="168"/>
      <c r="BW512" s="168"/>
      <c r="BX512" s="168"/>
      <c r="BY512" s="168"/>
      <c r="BZ512" s="168"/>
      <c r="CB512" s="42"/>
      <c r="DS512" s="168"/>
    </row>
    <row r="513" spans="1:123" s="130" customFormat="1">
      <c r="A513" s="127"/>
      <c r="B513" s="70"/>
      <c r="C513" s="42"/>
      <c r="D513" s="42"/>
      <c r="E513" s="42"/>
      <c r="F513" s="42"/>
      <c r="G513" s="62"/>
      <c r="H513" s="62"/>
      <c r="I513" s="62"/>
      <c r="J513" s="62"/>
      <c r="K513" s="62"/>
      <c r="L513" s="62"/>
      <c r="M513" s="62"/>
      <c r="N513" s="62"/>
      <c r="O513" s="62"/>
      <c r="P513" s="62"/>
      <c r="Q513" s="62"/>
      <c r="R513" s="62"/>
      <c r="S513" s="62"/>
      <c r="T513" s="62"/>
      <c r="U513" s="128"/>
      <c r="V513" s="128"/>
      <c r="W513" s="128"/>
      <c r="X513" s="128"/>
      <c r="Y513" s="168"/>
      <c r="Z513" s="168"/>
      <c r="AA513" s="168"/>
      <c r="AB513" s="168"/>
      <c r="AC513" s="168"/>
      <c r="AD513" s="168"/>
      <c r="AE513" s="171"/>
      <c r="AF513" s="168"/>
      <c r="AG513" s="171"/>
      <c r="AH513" s="168"/>
      <c r="AI513" s="171"/>
      <c r="AJ513" s="168"/>
      <c r="AK513" s="168"/>
      <c r="AL513" s="168"/>
      <c r="AM513" s="168"/>
      <c r="AN513" s="168"/>
      <c r="AO513" s="168"/>
      <c r="AP513" s="302"/>
      <c r="AQ513" s="168"/>
      <c r="AR513" s="168"/>
      <c r="AS513" s="168"/>
      <c r="AT513" s="168"/>
      <c r="AU513" s="168"/>
      <c r="AV513" s="168"/>
      <c r="AW513" s="168"/>
      <c r="AX513" s="168"/>
      <c r="AY513" s="168"/>
      <c r="AZ513" s="168"/>
      <c r="BA513" s="129"/>
      <c r="BB513" s="129"/>
      <c r="BC513" s="129"/>
      <c r="BD513" s="129"/>
      <c r="BE513" s="129"/>
      <c r="BF513" s="129"/>
      <c r="BG513" s="129"/>
      <c r="BH513" s="129"/>
      <c r="BI513" s="129"/>
      <c r="BJ513" s="62"/>
      <c r="BK513" s="129"/>
      <c r="BL513" s="129"/>
      <c r="BM513" s="168"/>
      <c r="BN513" s="168"/>
      <c r="BO513" s="168"/>
      <c r="BP513" s="171"/>
      <c r="BQ513" s="171"/>
      <c r="BR513" s="171"/>
      <c r="BS513" s="171"/>
      <c r="BT513" s="168"/>
      <c r="BU513" s="302"/>
      <c r="BV513" s="168"/>
      <c r="BW513" s="168"/>
      <c r="BX513" s="168"/>
      <c r="BY513" s="168"/>
      <c r="BZ513" s="168"/>
      <c r="CB513" s="42"/>
      <c r="DS513" s="168"/>
    </row>
    <row r="514" spans="1:123" s="70" customFormat="1">
      <c r="A514" s="67"/>
      <c r="B514" s="95" t="s">
        <v>436</v>
      </c>
      <c r="C514" s="96"/>
      <c r="D514" s="96"/>
      <c r="E514" s="96"/>
      <c r="F514" s="96"/>
      <c r="G514" s="97"/>
      <c r="H514" s="560"/>
      <c r="I514" s="560"/>
      <c r="J514" s="560"/>
      <c r="K514" s="560"/>
      <c r="L514" s="560"/>
      <c r="M514" s="560"/>
      <c r="N514" s="560"/>
      <c r="O514" s="560"/>
      <c r="P514" s="561"/>
      <c r="Q514" s="561"/>
      <c r="R514" s="561"/>
      <c r="S514" s="561"/>
      <c r="T514" s="561"/>
      <c r="U514" s="562"/>
      <c r="V514" s="562"/>
      <c r="W514" s="562"/>
      <c r="X514" s="562"/>
      <c r="Y514" s="562"/>
      <c r="Z514" s="562"/>
      <c r="AA514" s="562"/>
      <c r="AB514" s="562"/>
      <c r="AC514" s="562"/>
      <c r="AD514" s="562"/>
      <c r="AE514" s="562"/>
      <c r="AF514" s="562"/>
      <c r="AG514" s="562"/>
      <c r="AH514" s="562"/>
      <c r="AI514" s="562"/>
      <c r="AJ514" s="562"/>
      <c r="AK514" s="562"/>
      <c r="AL514" s="562"/>
      <c r="AM514" s="562"/>
      <c r="AN514" s="562"/>
      <c r="AO514" s="562"/>
      <c r="AP514" s="563"/>
      <c r="AQ514" s="562"/>
      <c r="AR514" s="562"/>
      <c r="AS514" s="562"/>
      <c r="AT514" s="562"/>
      <c r="AU514" s="562"/>
      <c r="AV514" s="562"/>
      <c r="AW514" s="562"/>
      <c r="AX514" s="562"/>
      <c r="AY514" s="562"/>
      <c r="AZ514" s="562"/>
      <c r="BA514" s="564"/>
      <c r="BB514" s="565"/>
      <c r="BC514" s="565"/>
      <c r="BD514" s="565"/>
      <c r="BE514" s="565"/>
      <c r="BF514" s="565"/>
      <c r="BG514" s="565"/>
      <c r="BH514" s="565"/>
      <c r="BI514" s="562"/>
      <c r="BJ514" s="98"/>
      <c r="BK514" s="98"/>
      <c r="BL514" s="98"/>
      <c r="BM514" s="98"/>
      <c r="BN514" s="98"/>
      <c r="BO514" s="98"/>
      <c r="BP514" s="98"/>
      <c r="BQ514" s="98"/>
      <c r="BR514" s="98"/>
      <c r="BS514" s="98"/>
      <c r="BT514" s="97"/>
      <c r="BU514" s="510"/>
      <c r="BV514" s="97"/>
      <c r="BW514" s="97"/>
      <c r="BX514" s="97"/>
      <c r="BY514" s="97"/>
      <c r="BZ514" s="97"/>
      <c r="DS514" s="97"/>
    </row>
    <row r="515" spans="1:123" s="130" customFormat="1">
      <c r="A515" s="127"/>
      <c r="B515" s="70" t="s">
        <v>437</v>
      </c>
      <c r="C515" s="42"/>
      <c r="D515" s="42"/>
      <c r="E515" s="42"/>
      <c r="F515" s="42"/>
      <c r="G515" s="62"/>
      <c r="H515" s="62"/>
      <c r="I515" s="62"/>
      <c r="J515" s="62"/>
      <c r="K515" s="62"/>
      <c r="L515" s="62"/>
      <c r="M515" s="62"/>
      <c r="N515" s="62"/>
      <c r="O515" s="62"/>
      <c r="P515" s="62"/>
      <c r="Q515" s="62"/>
      <c r="R515" s="62"/>
      <c r="S515" s="62"/>
      <c r="T515" s="62"/>
      <c r="U515" s="128"/>
      <c r="V515" s="128"/>
      <c r="W515" s="128"/>
      <c r="X515" s="128"/>
      <c r="Y515" s="168">
        <f t="shared" ref="Y515:AZ515" si="683">Y258</f>
        <v>14.518000000000001</v>
      </c>
      <c r="Z515" s="168">
        <f t="shared" si="683"/>
        <v>25.403000000000006</v>
      </c>
      <c r="AA515" s="168">
        <f t="shared" si="683"/>
        <v>15.971999999999996</v>
      </c>
      <c r="AB515" s="168">
        <f t="shared" si="683"/>
        <v>27.558000000000007</v>
      </c>
      <c r="AC515" s="168">
        <f t="shared" si="683"/>
        <v>16.899999999999999</v>
      </c>
      <c r="AD515" s="168">
        <f t="shared" si="683"/>
        <v>29.818999999999996</v>
      </c>
      <c r="AE515" s="168">
        <f t="shared" si="683"/>
        <v>21.082999999999998</v>
      </c>
      <c r="AF515" s="168">
        <f t="shared" si="683"/>
        <v>32.069000000000017</v>
      </c>
      <c r="AG515" s="168">
        <f t="shared" si="683"/>
        <v>30.006999999999998</v>
      </c>
      <c r="AH515" s="168">
        <f t="shared" si="683"/>
        <v>35.292999999999999</v>
      </c>
      <c r="AI515" s="168">
        <f t="shared" si="683"/>
        <v>30.620999999999995</v>
      </c>
      <c r="AJ515" s="168">
        <f t="shared" si="683"/>
        <v>43.397999999999996</v>
      </c>
      <c r="AK515" s="168">
        <f t="shared" si="683"/>
        <v>46.658000000000008</v>
      </c>
      <c r="AL515" s="168">
        <f t="shared" si="683"/>
        <v>82.447199999999953</v>
      </c>
      <c r="AM515" s="168">
        <f t="shared" si="683"/>
        <v>70.201999999999998</v>
      </c>
      <c r="AN515" s="168">
        <f t="shared" si="683"/>
        <v>100.81299999999999</v>
      </c>
      <c r="AO515" s="168">
        <f t="shared" si="683"/>
        <v>79.346000000000004</v>
      </c>
      <c r="AP515" s="302">
        <f t="shared" si="683"/>
        <v>120.87400000000002</v>
      </c>
      <c r="AQ515" s="168">
        <f t="shared" si="683"/>
        <v>90.691559664724792</v>
      </c>
      <c r="AR515" s="168">
        <f t="shared" si="683"/>
        <v>132.55756158196562</v>
      </c>
      <c r="AS515" s="168">
        <f t="shared" si="683"/>
        <v>96.881442472322675</v>
      </c>
      <c r="AT515" s="168">
        <f t="shared" si="683"/>
        <v>143.30597015068474</v>
      </c>
      <c r="AU515" s="168">
        <f t="shared" si="683"/>
        <v>107.66598911225353</v>
      </c>
      <c r="AV515" s="168">
        <f t="shared" si="683"/>
        <v>154.68117773405899</v>
      </c>
      <c r="AW515" s="168">
        <f t="shared" si="683"/>
        <v>117.736361003748</v>
      </c>
      <c r="AX515" s="168">
        <f t="shared" si="683"/>
        <v>166.8042425444915</v>
      </c>
      <c r="AY515" s="168">
        <f t="shared" si="683"/>
        <v>128.5094158985689</v>
      </c>
      <c r="AZ515" s="168">
        <f t="shared" si="683"/>
        <v>179.72304504020687</v>
      </c>
      <c r="BA515" s="129"/>
      <c r="BB515" s="129"/>
      <c r="BC515" s="129"/>
      <c r="BD515" s="129"/>
      <c r="BE515" s="129"/>
      <c r="BF515" s="129"/>
      <c r="BG515" s="129"/>
      <c r="BH515" s="129"/>
      <c r="BI515" s="129"/>
      <c r="BJ515" s="62"/>
      <c r="BK515" s="129"/>
      <c r="BL515" s="129"/>
      <c r="BM515" s="168">
        <f>SUM(Y515:Z515)</f>
        <v>39.921000000000006</v>
      </c>
      <c r="BN515" s="168">
        <f>SUM(AA515:AB515)</f>
        <v>43.53</v>
      </c>
      <c r="BO515" s="168">
        <f>SUM(AC515:AD515)</f>
        <v>46.718999999999994</v>
      </c>
      <c r="BP515" s="168">
        <f>SUM(AE515:AF515)</f>
        <v>53.152000000000015</v>
      </c>
      <c r="BQ515" s="168">
        <f>SUM(AG515:AH515)</f>
        <v>65.3</v>
      </c>
      <c r="BR515" s="168">
        <f>SUM(AI515:AJ515)</f>
        <v>74.018999999999991</v>
      </c>
      <c r="BS515" s="168">
        <f>SUM(AJ515:AK515)</f>
        <v>90.056000000000012</v>
      </c>
      <c r="BT515" s="168">
        <f>SUM(AM515:AN515)</f>
        <v>171.01499999999999</v>
      </c>
      <c r="BU515" s="302">
        <f>SUM(AO515:AP515)</f>
        <v>200.22000000000003</v>
      </c>
      <c r="BV515" s="168">
        <f>SUM(AQ515:AR515)</f>
        <v>223.24912124669041</v>
      </c>
      <c r="BW515" s="168">
        <f>SUM(AS515:AT515)</f>
        <v>240.18741262300742</v>
      </c>
      <c r="BX515" s="168">
        <f>SUM(AU515:AV515)</f>
        <v>262.34716684631252</v>
      </c>
      <c r="BY515" s="168">
        <f>SUM(AW515:AX515)</f>
        <v>284.54060354823952</v>
      </c>
      <c r="BZ515" s="168">
        <f>SUM(AY515:AZ515)</f>
        <v>308.23246093877577</v>
      </c>
      <c r="CB515" s="42" t="s">
        <v>609</v>
      </c>
      <c r="DS515" s="168">
        <f>SUM(CU515:CV515)</f>
        <v>0</v>
      </c>
    </row>
    <row r="516" spans="1:123" s="130" customFormat="1">
      <c r="A516" s="127"/>
      <c r="B516" s="70"/>
      <c r="C516" s="42"/>
      <c r="D516" s="42"/>
      <c r="E516" s="42"/>
      <c r="F516" s="42"/>
      <c r="G516" s="62"/>
      <c r="H516" s="62"/>
      <c r="I516" s="62"/>
      <c r="J516" s="62"/>
      <c r="K516" s="62"/>
      <c r="L516" s="62"/>
      <c r="M516" s="62"/>
      <c r="N516" s="62"/>
      <c r="O516" s="62"/>
      <c r="P516" s="62"/>
      <c r="Q516" s="62"/>
      <c r="R516" s="62"/>
      <c r="S516" s="62"/>
      <c r="T516" s="62"/>
      <c r="U516" s="128"/>
      <c r="V516" s="128"/>
      <c r="W516" s="128"/>
      <c r="X516" s="128"/>
      <c r="Y516" s="168"/>
      <c r="Z516" s="168"/>
      <c r="AA516" s="168"/>
      <c r="AB516" s="168"/>
      <c r="AC516" s="168"/>
      <c r="AD516" s="168"/>
      <c r="AE516" s="171"/>
      <c r="AF516" s="168"/>
      <c r="AG516" s="171"/>
      <c r="AH516" s="168"/>
      <c r="AI516" s="171"/>
      <c r="AJ516" s="168"/>
      <c r="AK516" s="168"/>
      <c r="AL516" s="168"/>
      <c r="AM516" s="168"/>
      <c r="AN516" s="168"/>
      <c r="AO516" s="168"/>
      <c r="AP516" s="302"/>
      <c r="AQ516" s="171"/>
      <c r="AR516" s="171"/>
      <c r="AS516" s="171"/>
      <c r="AT516" s="171"/>
      <c r="AU516" s="171"/>
      <c r="AV516" s="171"/>
      <c r="AW516" s="171"/>
      <c r="AX516" s="171"/>
      <c r="AY516" s="171"/>
      <c r="AZ516" s="171"/>
      <c r="BA516" s="129"/>
      <c r="BB516" s="129"/>
      <c r="BC516" s="129"/>
      <c r="BD516" s="129"/>
      <c r="BE516" s="129"/>
      <c r="BF516" s="129"/>
      <c r="BG516" s="129"/>
      <c r="BH516" s="129"/>
      <c r="BI516" s="129"/>
      <c r="BJ516" s="62"/>
      <c r="BK516" s="129"/>
      <c r="BL516" s="129"/>
      <c r="BM516" s="168"/>
      <c r="BN516" s="168"/>
      <c r="BO516" s="168"/>
      <c r="BP516" s="171"/>
      <c r="BQ516" s="171"/>
      <c r="BR516" s="171"/>
      <c r="BS516" s="171"/>
      <c r="BT516" s="168"/>
      <c r="BU516" s="302"/>
      <c r="BV516" s="168"/>
      <c r="BW516" s="168"/>
      <c r="BX516" s="168"/>
      <c r="BY516" s="168"/>
      <c r="BZ516" s="168"/>
      <c r="CB516" s="42"/>
      <c r="DS516" s="168"/>
    </row>
    <row r="517" spans="1:123" s="130" customFormat="1">
      <c r="A517" s="127"/>
      <c r="B517" s="75" t="s">
        <v>438</v>
      </c>
      <c r="C517" s="42"/>
      <c r="D517" s="42"/>
      <c r="E517" s="42"/>
      <c r="F517" s="42"/>
      <c r="G517" s="62"/>
      <c r="H517" s="62"/>
      <c r="I517" s="62"/>
      <c r="J517" s="62"/>
      <c r="K517" s="62"/>
      <c r="L517" s="62"/>
      <c r="M517" s="62"/>
      <c r="N517" s="62"/>
      <c r="O517" s="62"/>
      <c r="P517" s="62"/>
      <c r="Q517" s="62"/>
      <c r="R517" s="62"/>
      <c r="S517" s="62"/>
      <c r="T517" s="62"/>
      <c r="U517" s="128"/>
      <c r="V517" s="128"/>
      <c r="W517" s="128"/>
      <c r="X517" s="128"/>
      <c r="Y517" s="168"/>
      <c r="Z517" s="168"/>
      <c r="AA517" s="168"/>
      <c r="AB517" s="168"/>
      <c r="AC517" s="168"/>
      <c r="AD517" s="168"/>
      <c r="AE517" s="171"/>
      <c r="AF517" s="168"/>
      <c r="AG517" s="171"/>
      <c r="AH517" s="168"/>
      <c r="AI517" s="171"/>
      <c r="AJ517" s="168"/>
      <c r="AK517" s="168"/>
      <c r="AL517" s="168"/>
      <c r="AM517" s="168"/>
      <c r="AN517" s="168"/>
      <c r="AO517" s="168"/>
      <c r="AP517" s="302"/>
      <c r="AQ517" s="171"/>
      <c r="AR517" s="171"/>
      <c r="AS517" s="171"/>
      <c r="AT517" s="171"/>
      <c r="AU517" s="171"/>
      <c r="AV517" s="171"/>
      <c r="AW517" s="171"/>
      <c r="AX517" s="171"/>
      <c r="AY517" s="171"/>
      <c r="AZ517" s="171"/>
      <c r="BA517" s="129"/>
      <c r="BB517" s="129"/>
      <c r="BC517" s="129"/>
      <c r="BD517" s="129"/>
      <c r="BE517" s="129"/>
      <c r="BF517" s="129"/>
      <c r="BG517" s="129"/>
      <c r="BH517" s="129"/>
      <c r="BI517" s="129"/>
      <c r="BJ517" s="62"/>
      <c r="BK517" s="129"/>
      <c r="BL517" s="129"/>
      <c r="BM517" s="168"/>
      <c r="BN517" s="168"/>
      <c r="BO517" s="168"/>
      <c r="BP517" s="171"/>
      <c r="BQ517" s="171"/>
      <c r="BR517" s="171"/>
      <c r="BS517" s="171"/>
      <c r="BT517" s="168"/>
      <c r="BU517" s="302"/>
      <c r="BV517" s="168"/>
      <c r="BW517" s="168"/>
      <c r="BX517" s="168"/>
      <c r="BY517" s="168"/>
      <c r="BZ517" s="168"/>
      <c r="CB517" s="42"/>
      <c r="DS517" s="168"/>
    </row>
    <row r="518" spans="1:123" s="130" customFormat="1">
      <c r="A518" s="127"/>
      <c r="B518" s="70" t="s">
        <v>81</v>
      </c>
      <c r="C518" s="42"/>
      <c r="D518" s="42"/>
      <c r="E518" s="42"/>
      <c r="F518" s="42"/>
      <c r="G518" s="62"/>
      <c r="H518" s="62"/>
      <c r="I518" s="62"/>
      <c r="J518" s="62"/>
      <c r="K518" s="62"/>
      <c r="L518" s="62"/>
      <c r="M518" s="62"/>
      <c r="N518" s="62"/>
      <c r="O518" s="62"/>
      <c r="P518" s="62"/>
      <c r="Q518" s="62"/>
      <c r="R518" s="62"/>
      <c r="S518" s="62"/>
      <c r="T518" s="62"/>
      <c r="U518" s="128"/>
      <c r="V518" s="128"/>
      <c r="W518" s="128"/>
      <c r="X518" s="128"/>
      <c r="Y518" s="168">
        <f>-'Statutory P&amp;L'!Y73</f>
        <v>1.2569999999999999</v>
      </c>
      <c r="Z518" s="168">
        <f>-'Statutory P&amp;L'!Z73</f>
        <v>1.5940000000000001</v>
      </c>
      <c r="AA518" s="168">
        <f>-'Statutory P&amp;L'!AA73</f>
        <v>1.3120000000000001</v>
      </c>
      <c r="AB518" s="168">
        <f>-'Statutory P&amp;L'!AB73</f>
        <v>1.3779999999999999</v>
      </c>
      <c r="AC518" s="168">
        <f>-'Statutory P&amp;L'!AC73</f>
        <v>1.929</v>
      </c>
      <c r="AD518" s="168">
        <f>-'Statutory P&amp;L'!AD73</f>
        <v>1.5029999999999999</v>
      </c>
      <c r="AE518" s="168">
        <f>-'Statutory P&amp;L'!AE73</f>
        <v>1.9279999999999999</v>
      </c>
      <c r="AF518" s="168">
        <f>-'Statutory P&amp;L'!AF73</f>
        <v>1.4489999999999998</v>
      </c>
      <c r="AG518" s="168">
        <f>-'Statutory P&amp;L'!AG73</f>
        <v>1.3680000000000001</v>
      </c>
      <c r="AH518" s="168">
        <f>-'Statutory P&amp;L'!AH73</f>
        <v>1.7739999999999998</v>
      </c>
      <c r="AI518" s="168">
        <f>-'Statutory P&amp;L'!AI73</f>
        <v>1.097</v>
      </c>
      <c r="AJ518" s="168">
        <f>-'Statutory P&amp;L'!AJ73</f>
        <v>1.2360000000000002</v>
      </c>
      <c r="AK518" s="168">
        <f>-'Statutory P&amp;L'!AK73</f>
        <v>1.7350000000000001</v>
      </c>
      <c r="AL518" s="168">
        <f>-'Statutory P&amp;L'!AL73</f>
        <v>2.141</v>
      </c>
      <c r="AM518" s="168">
        <f>-'Statutory P&amp;L'!AM73</f>
        <v>3.2949999999999999</v>
      </c>
      <c r="AN518" s="168">
        <f>-'Statutory P&amp;L'!AN73</f>
        <v>-3.2949999999999999</v>
      </c>
      <c r="AO518" s="168">
        <f>-'Statutory P&amp;L'!AO73</f>
        <v>3.4809999999999999</v>
      </c>
      <c r="AP518" s="302">
        <f>-'Statutory P&amp;L'!AP73</f>
        <v>-3.4809999999999999</v>
      </c>
      <c r="AQ518" s="168">
        <f>-'Statutory P&amp;L'!AQ73</f>
        <v>0</v>
      </c>
      <c r="AR518" s="168">
        <f>-'Statutory P&amp;L'!AR73</f>
        <v>0</v>
      </c>
      <c r="AS518" s="168">
        <f>-'Statutory P&amp;L'!AS73</f>
        <v>0</v>
      </c>
      <c r="AT518" s="168">
        <f>-'Statutory P&amp;L'!AT73</f>
        <v>0</v>
      </c>
      <c r="AU518" s="168">
        <f>-'Statutory P&amp;L'!AU73</f>
        <v>0</v>
      </c>
      <c r="AV518" s="168">
        <f>-'Statutory P&amp;L'!AV73</f>
        <v>0</v>
      </c>
      <c r="AW518" s="168">
        <f>-'Statutory P&amp;L'!AW73</f>
        <v>0</v>
      </c>
      <c r="AX518" s="168">
        <f>-'Statutory P&amp;L'!AX73</f>
        <v>0</v>
      </c>
      <c r="AY518" s="168">
        <f>-'Statutory P&amp;L'!AY73</f>
        <v>0</v>
      </c>
      <c r="AZ518" s="168">
        <f>-'Statutory P&amp;L'!AZ73</f>
        <v>0</v>
      </c>
      <c r="BA518" s="129"/>
      <c r="BB518" s="129"/>
      <c r="BC518" s="129"/>
      <c r="BD518" s="129"/>
      <c r="BE518" s="129"/>
      <c r="BF518" s="129"/>
      <c r="BG518" s="129"/>
      <c r="BH518" s="129"/>
      <c r="BI518" s="129"/>
      <c r="BJ518" s="62"/>
      <c r="BK518" s="129"/>
      <c r="BL518" s="129"/>
      <c r="BM518" s="168">
        <f>SUM(Y518:Z518)</f>
        <v>2.851</v>
      </c>
      <c r="BN518" s="168">
        <f>SUM(AA518:AB518)</f>
        <v>2.69</v>
      </c>
      <c r="BO518" s="168">
        <f>SUM(AC518:AD518)</f>
        <v>3.4319999999999999</v>
      </c>
      <c r="BP518" s="168">
        <f>SUM(AE518:AF518)</f>
        <v>3.3769999999999998</v>
      </c>
      <c r="BQ518" s="168">
        <f>SUM(AG518:AH518)</f>
        <v>3.1419999999999999</v>
      </c>
      <c r="BR518" s="168">
        <f t="shared" ref="BR518:BS520" si="684">SUM(AI518:AJ518)</f>
        <v>2.3330000000000002</v>
      </c>
      <c r="BS518" s="168">
        <f t="shared" si="684"/>
        <v>2.9710000000000001</v>
      </c>
      <c r="BT518" s="168">
        <f>SUM(AM518:AN518)</f>
        <v>0</v>
      </c>
      <c r="BU518" s="302">
        <f>SUM(AO518:AP518)</f>
        <v>0</v>
      </c>
      <c r="BV518" s="168">
        <f>SUM(AQ518:AR518)</f>
        <v>0</v>
      </c>
      <c r="BW518" s="168">
        <f>SUM(AS518:AT518)</f>
        <v>0</v>
      </c>
      <c r="BX518" s="168">
        <f>SUM(AU518:AV518)</f>
        <v>0</v>
      </c>
      <c r="BY518" s="168">
        <f>SUM(AW518:AX518)</f>
        <v>0</v>
      </c>
      <c r="BZ518" s="168">
        <f>SUM(AY518:AZ518)</f>
        <v>0</v>
      </c>
      <c r="CB518" s="42" t="s">
        <v>609</v>
      </c>
      <c r="DS518" s="168">
        <f>SUM(CU518:CV518)</f>
        <v>0</v>
      </c>
    </row>
    <row r="519" spans="1:123" s="130" customFormat="1">
      <c r="A519" s="127"/>
      <c r="B519" s="70" t="s">
        <v>219</v>
      </c>
      <c r="C519" s="42"/>
      <c r="D519" s="42"/>
      <c r="E519" s="42"/>
      <c r="F519" s="42"/>
      <c r="G519" s="62"/>
      <c r="H519" s="62"/>
      <c r="I519" s="62"/>
      <c r="J519" s="62"/>
      <c r="K519" s="62"/>
      <c r="L519" s="62"/>
      <c r="M519" s="62"/>
      <c r="N519" s="62"/>
      <c r="O519" s="62"/>
      <c r="P519" s="62"/>
      <c r="Q519" s="62"/>
      <c r="R519" s="62"/>
      <c r="S519" s="62"/>
      <c r="T519" s="62"/>
      <c r="U519" s="128"/>
      <c r="V519" s="128"/>
      <c r="W519" s="128"/>
      <c r="X519" s="128"/>
      <c r="Y519" s="168">
        <f>-'Statutory P&amp;L'!Y72</f>
        <v>2.0910000000000002</v>
      </c>
      <c r="Z519" s="168">
        <f>-'Statutory P&amp;L'!Z72</f>
        <v>2.0869999999999997</v>
      </c>
      <c r="AA519" s="168">
        <f>-'Statutory P&amp;L'!AA72</f>
        <v>2.33</v>
      </c>
      <c r="AB519" s="168">
        <f>-'Statutory P&amp;L'!AB72</f>
        <v>2.2759999999999998</v>
      </c>
      <c r="AC519" s="168">
        <f>-'Statutory P&amp;L'!AC72</f>
        <v>4.5389999999999997</v>
      </c>
      <c r="AD519" s="168">
        <f>-'Statutory P&amp;L'!AD72</f>
        <v>3.3390000000000004</v>
      </c>
      <c r="AE519" s="168">
        <f>-'Statutory P&amp;L'!AE72</f>
        <v>11.106999999999999</v>
      </c>
      <c r="AF519" s="168">
        <f>-'Statutory P&amp;L'!AF72</f>
        <v>12.615000000000006</v>
      </c>
      <c r="AG519" s="168">
        <f>-'Statutory P&amp;L'!AG72</f>
        <v>11.011999999999999</v>
      </c>
      <c r="AH519" s="168">
        <f>-'Statutory P&amp;L'!AH72</f>
        <v>10.975</v>
      </c>
      <c r="AI519" s="168">
        <f>-'Statutory P&amp;L'!AI72</f>
        <v>9.7680000000000007</v>
      </c>
      <c r="AJ519" s="168">
        <f>-'Statutory P&amp;L'!AJ72</f>
        <v>11.456</v>
      </c>
      <c r="AK519" s="168">
        <f>-'Statutory P&amp;L'!AK72</f>
        <v>26.192</v>
      </c>
      <c r="AL519" s="168">
        <f>-'Statutory P&amp;L'!AL72</f>
        <v>30.294000000000004</v>
      </c>
      <c r="AM519" s="168">
        <f>-'Statutory P&amp;L'!AM72</f>
        <v>35.450000000000003</v>
      </c>
      <c r="AN519" s="168">
        <f>-'Statutory P&amp;L'!AN72</f>
        <v>45.665999999999983</v>
      </c>
      <c r="AO519" s="168">
        <f>-'Statutory P&amp;L'!AO72</f>
        <v>39.546999999999997</v>
      </c>
      <c r="AP519" s="302">
        <f>-'Statutory P&amp;L'!AP72</f>
        <v>56.503000000000014</v>
      </c>
      <c r="AQ519" s="168">
        <f>-'Statutory P&amp;L'!AQ72</f>
        <v>0</v>
      </c>
      <c r="AR519" s="168">
        <f>-'Statutory P&amp;L'!AR72</f>
        <v>0</v>
      </c>
      <c r="AS519" s="168">
        <f>-'Statutory P&amp;L'!AS72</f>
        <v>0</v>
      </c>
      <c r="AT519" s="168">
        <f>-'Statutory P&amp;L'!AT72</f>
        <v>0</v>
      </c>
      <c r="AU519" s="168">
        <f>-'Statutory P&amp;L'!AU72</f>
        <v>0</v>
      </c>
      <c r="AV519" s="168">
        <f>-'Statutory P&amp;L'!AV72</f>
        <v>0</v>
      </c>
      <c r="AW519" s="168">
        <f>-'Statutory P&amp;L'!AW72</f>
        <v>0</v>
      </c>
      <c r="AX519" s="168">
        <f>-'Statutory P&amp;L'!AX72</f>
        <v>0</v>
      </c>
      <c r="AY519" s="168">
        <f>-'Statutory P&amp;L'!AY72</f>
        <v>0</v>
      </c>
      <c r="AZ519" s="168">
        <f>-'Statutory P&amp;L'!AZ72</f>
        <v>0</v>
      </c>
      <c r="BA519" s="129"/>
      <c r="BB519" s="129"/>
      <c r="BC519" s="129"/>
      <c r="BD519" s="129"/>
      <c r="BE519" s="129"/>
      <c r="BF519" s="129"/>
      <c r="BG519" s="129"/>
      <c r="BH519" s="129"/>
      <c r="BI519" s="129"/>
      <c r="BJ519" s="62"/>
      <c r="BK519" s="129"/>
      <c r="BL519" s="129"/>
      <c r="BM519" s="168">
        <f>SUM(Y519:Z519)</f>
        <v>4.1779999999999999</v>
      </c>
      <c r="BN519" s="168">
        <f>SUM(AA519:AB519)</f>
        <v>4.6059999999999999</v>
      </c>
      <c r="BO519" s="168">
        <f>SUM(AC519:AD519)</f>
        <v>7.8780000000000001</v>
      </c>
      <c r="BP519" s="168">
        <f>SUM(AE519:AF519)</f>
        <v>23.722000000000005</v>
      </c>
      <c r="BQ519" s="168">
        <f>SUM(AG519:AH519)</f>
        <v>21.986999999999998</v>
      </c>
      <c r="BR519" s="168">
        <f t="shared" si="684"/>
        <v>21.224</v>
      </c>
      <c r="BS519" s="168">
        <f t="shared" si="684"/>
        <v>37.647999999999996</v>
      </c>
      <c r="BT519" s="168">
        <f>SUM(AM519:AN519)</f>
        <v>81.115999999999985</v>
      </c>
      <c r="BU519" s="302">
        <f>SUM(AO519:AP519)</f>
        <v>96.050000000000011</v>
      </c>
      <c r="BV519" s="168">
        <f>SUM(AQ519:AR519)</f>
        <v>0</v>
      </c>
      <c r="BW519" s="168">
        <f>SUM(AS519:AT519)</f>
        <v>0</v>
      </c>
      <c r="BX519" s="168">
        <f>SUM(AU519:AV519)</f>
        <v>0</v>
      </c>
      <c r="BY519" s="168">
        <f>SUM(AW519:AX519)</f>
        <v>0</v>
      </c>
      <c r="BZ519" s="168">
        <f>SUM(AY519:AZ519)</f>
        <v>0</v>
      </c>
      <c r="CB519" s="42" t="s">
        <v>609</v>
      </c>
      <c r="DS519" s="168">
        <f>SUM(CU519:CV519)</f>
        <v>0</v>
      </c>
    </row>
    <row r="520" spans="1:123" s="130" customFormat="1">
      <c r="A520" s="127"/>
      <c r="B520" s="70" t="s">
        <v>306</v>
      </c>
      <c r="C520" s="42"/>
      <c r="D520" s="42"/>
      <c r="E520" s="42"/>
      <c r="F520" s="42"/>
      <c r="G520" s="62"/>
      <c r="H520" s="62"/>
      <c r="I520" s="62"/>
      <c r="J520" s="62"/>
      <c r="K520" s="62"/>
      <c r="L520" s="62"/>
      <c r="M520" s="62"/>
      <c r="N520" s="62"/>
      <c r="O520" s="62"/>
      <c r="P520" s="62"/>
      <c r="Q520" s="62"/>
      <c r="R520" s="62"/>
      <c r="S520" s="62"/>
      <c r="T520" s="62"/>
      <c r="U520" s="128"/>
      <c r="V520" s="128"/>
      <c r="W520" s="128"/>
      <c r="X520" s="128"/>
      <c r="Y520" s="168">
        <f>-'Statutory P&amp;L'!Y17</f>
        <v>0.158</v>
      </c>
      <c r="Z520" s="168">
        <f>-'Statutory P&amp;L'!Z17</f>
        <v>3.637</v>
      </c>
      <c r="AA520" s="168">
        <f>-'Statutory P&amp;L'!AA17</f>
        <v>-8.4030000000000005</v>
      </c>
      <c r="AB520" s="168">
        <f>-'Statutory P&amp;L'!AB17</f>
        <v>2.8520000000000003</v>
      </c>
      <c r="AC520" s="168">
        <f>-'Statutory P&amp;L'!AC17</f>
        <v>-3.0659999999999998</v>
      </c>
      <c r="AD520" s="168">
        <f>-'Statutory P&amp;L'!AD17</f>
        <v>-2.3580000000000005</v>
      </c>
      <c r="AE520" s="168">
        <f>-'Statutory P&amp;L'!AE17</f>
        <v>4.476</v>
      </c>
      <c r="AF520" s="168">
        <f>-'Statutory P&amp;L'!AF17</f>
        <v>-6.266</v>
      </c>
      <c r="AG520" s="168">
        <f>-'Statutory P&amp;L'!AG17</f>
        <v>1.2070000000000001</v>
      </c>
      <c r="AH520" s="168">
        <f>-'Statutory P&amp;L'!AH17</f>
        <v>2.8980000000000006</v>
      </c>
      <c r="AI520" s="168">
        <f>-'Statutory P&amp;L'!AI17</f>
        <v>0.44800000000000001</v>
      </c>
      <c r="AJ520" s="168">
        <f>-'Statutory P&amp;L'!AJ17</f>
        <v>-32.265000000000001</v>
      </c>
      <c r="AK520" s="168">
        <f>-'Statutory P&amp;L'!AK17</f>
        <v>-1.802</v>
      </c>
      <c r="AL520" s="168">
        <f>-'Statutory P&amp;L'!AL17</f>
        <v>8.4510000000000005</v>
      </c>
      <c r="AM520" s="168">
        <f>-'Statutory P&amp;L'!AM17</f>
        <v>-27.481999999999999</v>
      </c>
      <c r="AN520" s="168">
        <f>-'Statutory P&amp;L'!AN17</f>
        <v>-23.819000000000003</v>
      </c>
      <c r="AO520" s="168">
        <f>-'Statutory P&amp;L'!AO17</f>
        <v>7.9160000000000004</v>
      </c>
      <c r="AP520" s="302">
        <f>-'Statutory P&amp;L'!AP17</f>
        <v>-69.119</v>
      </c>
      <c r="AQ520" s="168">
        <f>-'Statutory P&amp;L'!AQ17</f>
        <v>0</v>
      </c>
      <c r="AR520" s="168">
        <f>-'Statutory P&amp;L'!AR17</f>
        <v>0</v>
      </c>
      <c r="AS520" s="168">
        <f>-'Statutory P&amp;L'!AS17</f>
        <v>0</v>
      </c>
      <c r="AT520" s="168">
        <f>-'Statutory P&amp;L'!AT17</f>
        <v>0</v>
      </c>
      <c r="AU520" s="168">
        <f>-'Statutory P&amp;L'!AU17</f>
        <v>0</v>
      </c>
      <c r="AV520" s="168">
        <f>-'Statutory P&amp;L'!AV17</f>
        <v>0</v>
      </c>
      <c r="AW520" s="168">
        <f>-'Statutory P&amp;L'!AW17</f>
        <v>0</v>
      </c>
      <c r="AX520" s="168">
        <f>-'Statutory P&amp;L'!AX17</f>
        <v>0</v>
      </c>
      <c r="AY520" s="168">
        <f>-'Statutory P&amp;L'!AY17</f>
        <v>0</v>
      </c>
      <c r="AZ520" s="168">
        <f>-'Statutory P&amp;L'!AZ17</f>
        <v>0</v>
      </c>
      <c r="BA520" s="129"/>
      <c r="BB520" s="129"/>
      <c r="BC520" s="129"/>
      <c r="BD520" s="129"/>
      <c r="BE520" s="129"/>
      <c r="BF520" s="129"/>
      <c r="BG520" s="129"/>
      <c r="BH520" s="129"/>
      <c r="BI520" s="129"/>
      <c r="BJ520" s="62"/>
      <c r="BK520" s="129"/>
      <c r="BL520" s="129"/>
      <c r="BM520" s="168">
        <f>SUM(Y520:Z520)</f>
        <v>3.7949999999999999</v>
      </c>
      <c r="BN520" s="168">
        <f>SUM(AA520:AB520)</f>
        <v>-5.5510000000000002</v>
      </c>
      <c r="BO520" s="168">
        <f>SUM(AC520:AD520)</f>
        <v>-5.4240000000000004</v>
      </c>
      <c r="BP520" s="168">
        <f>SUM(AE520:AF520)</f>
        <v>-1.79</v>
      </c>
      <c r="BQ520" s="168">
        <f>SUM(AG520:AH520)</f>
        <v>4.1050000000000004</v>
      </c>
      <c r="BR520" s="168">
        <f t="shared" si="684"/>
        <v>-31.817</v>
      </c>
      <c r="BS520" s="168">
        <f t="shared" si="684"/>
        <v>-34.067</v>
      </c>
      <c r="BT520" s="168">
        <f>SUM(AM520:AN520)</f>
        <v>-51.301000000000002</v>
      </c>
      <c r="BU520" s="302">
        <f>SUM(AO520:AP520)</f>
        <v>-61.203000000000003</v>
      </c>
      <c r="BV520" s="168">
        <f>SUM(AQ520:AR520)</f>
        <v>0</v>
      </c>
      <c r="BW520" s="168">
        <f>SUM(AS520:AT520)</f>
        <v>0</v>
      </c>
      <c r="BX520" s="168">
        <f>SUM(AU520:AV520)</f>
        <v>0</v>
      </c>
      <c r="BY520" s="168">
        <f>SUM(AW520:AX520)</f>
        <v>0</v>
      </c>
      <c r="BZ520" s="168">
        <f>SUM(AY520:AZ520)</f>
        <v>0</v>
      </c>
      <c r="CB520" s="42" t="s">
        <v>609</v>
      </c>
      <c r="DS520" s="168">
        <f>SUM(CU520:CV520)</f>
        <v>0</v>
      </c>
    </row>
    <row r="521" spans="1:123" s="130" customFormat="1">
      <c r="A521" s="127"/>
      <c r="B521" s="70"/>
      <c r="C521" s="42"/>
      <c r="D521" s="42"/>
      <c r="E521" s="42"/>
      <c r="F521" s="42"/>
      <c r="G521" s="62"/>
      <c r="H521" s="62"/>
      <c r="I521" s="62"/>
      <c r="J521" s="62"/>
      <c r="K521" s="62"/>
      <c r="L521" s="62"/>
      <c r="M521" s="62"/>
      <c r="N521" s="62"/>
      <c r="O521" s="62"/>
      <c r="P521" s="62"/>
      <c r="Q521" s="62"/>
      <c r="R521" s="62"/>
      <c r="S521" s="62"/>
      <c r="T521" s="62"/>
      <c r="U521" s="128"/>
      <c r="V521" s="128"/>
      <c r="W521" s="128"/>
      <c r="X521" s="128"/>
      <c r="Y521" s="168"/>
      <c r="Z521" s="168"/>
      <c r="AA521" s="168"/>
      <c r="AB521" s="168"/>
      <c r="AC521" s="168"/>
      <c r="AD521" s="168"/>
      <c r="AE521" s="168"/>
      <c r="AF521" s="168"/>
      <c r="AG521" s="168"/>
      <c r="AH521" s="168"/>
      <c r="AI521" s="168"/>
      <c r="AJ521" s="168"/>
      <c r="AK521" s="168"/>
      <c r="AL521" s="168"/>
      <c r="AM521" s="168"/>
      <c r="AN521" s="168"/>
      <c r="AO521" s="168"/>
      <c r="AP521" s="302"/>
      <c r="AQ521" s="168"/>
      <c r="AR521" s="168"/>
      <c r="AS521" s="168"/>
      <c r="AT521" s="168"/>
      <c r="AU521" s="168"/>
      <c r="AV521" s="168"/>
      <c r="AW521" s="168"/>
      <c r="AX521" s="168"/>
      <c r="AY521" s="168"/>
      <c r="AZ521" s="168"/>
      <c r="BA521" s="129"/>
      <c r="BB521" s="129"/>
      <c r="BC521" s="129"/>
      <c r="BD521" s="129"/>
      <c r="BE521" s="129"/>
      <c r="BF521" s="129"/>
      <c r="BG521" s="129"/>
      <c r="BH521" s="129"/>
      <c r="BI521" s="129"/>
      <c r="BJ521" s="62"/>
      <c r="BK521" s="129"/>
      <c r="BL521" s="129"/>
      <c r="BM521" s="168"/>
      <c r="BN521" s="168"/>
      <c r="BO521" s="168"/>
      <c r="BP521" s="171"/>
      <c r="BQ521" s="171"/>
      <c r="BR521" s="171"/>
      <c r="BS521" s="171"/>
      <c r="BT521" s="168"/>
      <c r="BU521" s="302"/>
      <c r="BV521" s="168"/>
      <c r="BW521" s="168"/>
      <c r="BX521" s="168"/>
      <c r="BY521" s="168"/>
      <c r="BZ521" s="168"/>
      <c r="CB521" s="42"/>
      <c r="DS521" s="168"/>
    </row>
    <row r="522" spans="1:123" s="130" customFormat="1">
      <c r="A522" s="127"/>
      <c r="B522" s="75" t="s">
        <v>448</v>
      </c>
      <c r="C522" s="42"/>
      <c r="D522" s="42"/>
      <c r="E522" s="42"/>
      <c r="F522" s="42"/>
      <c r="G522" s="62"/>
      <c r="H522" s="62"/>
      <c r="I522" s="62"/>
      <c r="J522" s="62"/>
      <c r="K522" s="62"/>
      <c r="L522" s="62"/>
      <c r="M522" s="62"/>
      <c r="N522" s="62"/>
      <c r="O522" s="62"/>
      <c r="P522" s="62"/>
      <c r="Q522" s="62"/>
      <c r="R522" s="62"/>
      <c r="S522" s="62"/>
      <c r="T522" s="62"/>
      <c r="U522" s="128"/>
      <c r="V522" s="128"/>
      <c r="W522" s="128"/>
      <c r="X522" s="128"/>
      <c r="Y522" s="168"/>
      <c r="Z522" s="168"/>
      <c r="AA522" s="168"/>
      <c r="AB522" s="168"/>
      <c r="AC522" s="168"/>
      <c r="AD522" s="168"/>
      <c r="AE522" s="168"/>
      <c r="AF522" s="168"/>
      <c r="AG522" s="168"/>
      <c r="AH522" s="168"/>
      <c r="AI522" s="168"/>
      <c r="AJ522" s="168"/>
      <c r="AK522" s="168"/>
      <c r="AL522" s="168"/>
      <c r="AM522" s="168"/>
      <c r="AN522" s="168"/>
      <c r="AO522" s="168"/>
      <c r="AP522" s="302"/>
      <c r="AQ522" s="168"/>
      <c r="AR522" s="168"/>
      <c r="AS522" s="168"/>
      <c r="AT522" s="168"/>
      <c r="AU522" s="168"/>
      <c r="AV522" s="168"/>
      <c r="AW522" s="168"/>
      <c r="AX522" s="168"/>
      <c r="AY522" s="168"/>
      <c r="AZ522" s="168"/>
      <c r="BA522" s="129"/>
      <c r="BB522" s="129"/>
      <c r="BC522" s="129"/>
      <c r="BD522" s="129"/>
      <c r="BE522" s="129"/>
      <c r="BF522" s="129"/>
      <c r="BG522" s="129"/>
      <c r="BH522" s="129"/>
      <c r="BI522" s="129"/>
      <c r="BJ522" s="62"/>
      <c r="BK522" s="129"/>
      <c r="BL522" s="129"/>
      <c r="BM522" s="168"/>
      <c r="BN522" s="168"/>
      <c r="BO522" s="168"/>
      <c r="BP522" s="171"/>
      <c r="BQ522" s="171"/>
      <c r="BR522" s="171"/>
      <c r="BS522" s="171"/>
      <c r="BT522" s="168"/>
      <c r="BU522" s="302"/>
      <c r="BV522" s="168"/>
      <c r="BW522" s="168"/>
      <c r="BX522" s="168"/>
      <c r="BY522" s="168"/>
      <c r="BZ522" s="168"/>
      <c r="CB522" s="42"/>
      <c r="DS522" s="168"/>
    </row>
    <row r="523" spans="1:123" s="130" customFormat="1">
      <c r="A523" s="127"/>
      <c r="B523" s="70" t="s">
        <v>307</v>
      </c>
      <c r="C523" s="42"/>
      <c r="D523" s="42"/>
      <c r="E523" s="42"/>
      <c r="F523" s="42"/>
      <c r="G523" s="62"/>
      <c r="H523" s="62"/>
      <c r="I523" s="62"/>
      <c r="J523" s="62"/>
      <c r="K523" s="62"/>
      <c r="L523" s="62"/>
      <c r="M523" s="62"/>
      <c r="N523" s="62"/>
      <c r="O523" s="62"/>
      <c r="P523" s="62"/>
      <c r="Q523" s="62"/>
      <c r="R523" s="62"/>
      <c r="S523" s="62"/>
      <c r="T523" s="62"/>
      <c r="U523" s="128"/>
      <c r="V523" s="128"/>
      <c r="W523" s="128"/>
      <c r="X523" s="128"/>
      <c r="Y523" s="168">
        <f>-'Statutory P&amp;L'!Y18</f>
        <v>-0.03</v>
      </c>
      <c r="Z523" s="168">
        <f>-'Statutory P&amp;L'!Z18</f>
        <v>0</v>
      </c>
      <c r="AA523" s="168">
        <f>-'Statutory P&amp;L'!AA18</f>
        <v>-0.45800000000000002</v>
      </c>
      <c r="AB523" s="168">
        <f>-'Statutory P&amp;L'!AB18</f>
        <v>0.55300000000000005</v>
      </c>
      <c r="AC523" s="168">
        <f>-'Statutory P&amp;L'!AC18</f>
        <v>-3.1469999999999998</v>
      </c>
      <c r="AD523" s="168">
        <f>-'Statutory P&amp;L'!AD18</f>
        <v>1.9919999999999998</v>
      </c>
      <c r="AE523" s="168">
        <f>-'Statutory P&amp;L'!AE18</f>
        <v>-2.5310000000000001</v>
      </c>
      <c r="AF523" s="168">
        <f>-'Statutory P&amp;L'!AF18</f>
        <v>5.27</v>
      </c>
      <c r="AG523" s="168">
        <f>-'Statutory P&amp;L'!AG18</f>
        <v>-1.046</v>
      </c>
      <c r="AH523" s="168">
        <f>-'Statutory P&amp;L'!AH18</f>
        <v>-21.835000000000001</v>
      </c>
      <c r="AI523" s="168">
        <f>-'Statutory P&amp;L'!AI18</f>
        <v>-5.4749999999999996</v>
      </c>
      <c r="AJ523" s="168">
        <f>-'Statutory P&amp;L'!AJ18</f>
        <v>-1.7750000000000004</v>
      </c>
      <c r="AK523" s="168">
        <f>-'Statutory P&amp;L'!AK18</f>
        <v>-11.893000000000001</v>
      </c>
      <c r="AL523" s="168">
        <f>-'Statutory P&amp;L'!AL18</f>
        <v>-27.152999999999999</v>
      </c>
      <c r="AM523" s="168">
        <f>-'Statutory P&amp;L'!AM18</f>
        <v>-5.9580000000000002</v>
      </c>
      <c r="AN523" s="168">
        <f>-'Statutory P&amp;L'!AN18</f>
        <v>-0.63900000000000023</v>
      </c>
      <c r="AO523" s="168">
        <f>-'Statutory P&amp;L'!AO18</f>
        <v>-0.187</v>
      </c>
      <c r="AP523" s="302">
        <f>-'Statutory P&amp;L'!AP18</f>
        <v>-2.383</v>
      </c>
      <c r="AQ523" s="168">
        <f>-'Statutory P&amp;L'!AQ18</f>
        <v>0</v>
      </c>
      <c r="AR523" s="168">
        <f>-'Statutory P&amp;L'!AR18</f>
        <v>0</v>
      </c>
      <c r="AS523" s="168">
        <f>-'Statutory P&amp;L'!AS18</f>
        <v>0</v>
      </c>
      <c r="AT523" s="168">
        <f>-'Statutory P&amp;L'!AT18</f>
        <v>0</v>
      </c>
      <c r="AU523" s="168">
        <f>-'Statutory P&amp;L'!AU18</f>
        <v>0</v>
      </c>
      <c r="AV523" s="168">
        <f>-'Statutory P&amp;L'!AV18</f>
        <v>0</v>
      </c>
      <c r="AW523" s="168">
        <f>-'Statutory P&amp;L'!AW18</f>
        <v>0</v>
      </c>
      <c r="AX523" s="168">
        <f>-'Statutory P&amp;L'!AX18</f>
        <v>0</v>
      </c>
      <c r="AY523" s="168">
        <f>-'Statutory P&amp;L'!AY18</f>
        <v>0</v>
      </c>
      <c r="AZ523" s="168">
        <f>-'Statutory P&amp;L'!AZ18</f>
        <v>0</v>
      </c>
      <c r="BA523" s="129"/>
      <c r="BB523" s="129"/>
      <c r="BC523" s="129"/>
      <c r="BD523" s="129"/>
      <c r="BE523" s="129"/>
      <c r="BF523" s="129"/>
      <c r="BG523" s="129"/>
      <c r="BH523" s="129"/>
      <c r="BI523" s="129"/>
      <c r="BJ523" s="62"/>
      <c r="BK523" s="129"/>
      <c r="BL523" s="129"/>
      <c r="BM523" s="168">
        <f>SUM(Y523:Z523)</f>
        <v>-0.03</v>
      </c>
      <c r="BN523" s="168">
        <f>SUM(AA523:AB523)</f>
        <v>9.5000000000000029E-2</v>
      </c>
      <c r="BO523" s="168">
        <f>SUM(AC523:AD523)</f>
        <v>-1.155</v>
      </c>
      <c r="BP523" s="168">
        <f>SUM(AE523:AF523)</f>
        <v>2.7389999999999994</v>
      </c>
      <c r="BQ523" s="168">
        <f>SUM(AG523:AH523)</f>
        <v>-22.881</v>
      </c>
      <c r="BR523" s="168">
        <f>SUM(AI523:AJ523)</f>
        <v>-7.25</v>
      </c>
      <c r="BS523" s="168">
        <f>SUM(AJ523:AK523)</f>
        <v>-13.668000000000001</v>
      </c>
      <c r="BT523" s="168">
        <f>SUM(AM523:AN523)</f>
        <v>-6.5970000000000004</v>
      </c>
      <c r="BU523" s="302">
        <f>SUM(AO523:AP523)</f>
        <v>-2.57</v>
      </c>
      <c r="BV523" s="168">
        <f>SUM(AQ523:AR523)</f>
        <v>0</v>
      </c>
      <c r="BW523" s="168">
        <f>SUM(AS523:AT523)</f>
        <v>0</v>
      </c>
      <c r="BX523" s="168">
        <f>SUM(AU523:AV523)</f>
        <v>0</v>
      </c>
      <c r="BY523" s="168">
        <f>SUM(AW523:AX523)</f>
        <v>0</v>
      </c>
      <c r="BZ523" s="168">
        <f>SUM(AY523:AZ523)</f>
        <v>0</v>
      </c>
      <c r="CB523" s="42" t="s">
        <v>609</v>
      </c>
      <c r="DS523" s="168">
        <f>SUM(CU523:CV523)</f>
        <v>0</v>
      </c>
    </row>
    <row r="524" spans="1:123" s="130" customFormat="1">
      <c r="A524" s="127"/>
      <c r="B524" s="70"/>
      <c r="C524" s="42"/>
      <c r="D524" s="42"/>
      <c r="E524" s="42"/>
      <c r="F524" s="42"/>
      <c r="G524" s="62"/>
      <c r="H524" s="62"/>
      <c r="I524" s="62"/>
      <c r="J524" s="62"/>
      <c r="K524" s="62"/>
      <c r="L524" s="62"/>
      <c r="M524" s="62"/>
      <c r="N524" s="62"/>
      <c r="O524" s="62"/>
      <c r="P524" s="62"/>
      <c r="Q524" s="62"/>
      <c r="R524" s="62"/>
      <c r="S524" s="62"/>
      <c r="T524" s="62"/>
      <c r="U524" s="128"/>
      <c r="V524" s="128"/>
      <c r="W524" s="128"/>
      <c r="X524" s="128"/>
      <c r="Y524" s="168"/>
      <c r="Z524" s="168"/>
      <c r="AA524" s="168"/>
      <c r="AB524" s="168"/>
      <c r="AC524" s="168"/>
      <c r="AD524" s="168"/>
      <c r="AE524" s="171"/>
      <c r="AF524" s="168"/>
      <c r="AG524" s="171"/>
      <c r="AH524" s="168"/>
      <c r="AI524" s="171"/>
      <c r="AJ524" s="168"/>
      <c r="AK524" s="168"/>
      <c r="AL524" s="168"/>
      <c r="AM524" s="168"/>
      <c r="AN524" s="168"/>
      <c r="AO524" s="168"/>
      <c r="AP524" s="302"/>
      <c r="AQ524" s="171"/>
      <c r="AR524" s="171"/>
      <c r="AS524" s="171"/>
      <c r="AT524" s="171"/>
      <c r="AU524" s="171"/>
      <c r="AV524" s="171"/>
      <c r="AW524" s="171"/>
      <c r="AX524" s="171"/>
      <c r="AY524" s="171"/>
      <c r="AZ524" s="171"/>
      <c r="BA524" s="129"/>
      <c r="BB524" s="129"/>
      <c r="BC524" s="129"/>
      <c r="BD524" s="129"/>
      <c r="BE524" s="129"/>
      <c r="BF524" s="129"/>
      <c r="BG524" s="129"/>
      <c r="BH524" s="129"/>
      <c r="BI524" s="129"/>
      <c r="BJ524" s="62"/>
      <c r="BK524" s="129"/>
      <c r="BL524" s="129"/>
      <c r="BM524" s="168"/>
      <c r="BN524" s="168"/>
      <c r="BO524" s="168"/>
      <c r="BP524" s="171"/>
      <c r="BQ524" s="171"/>
      <c r="BR524" s="171"/>
      <c r="BS524" s="171"/>
      <c r="BT524" s="168"/>
      <c r="BU524" s="302"/>
      <c r="BV524" s="168"/>
      <c r="BW524" s="168"/>
      <c r="BX524" s="168"/>
      <c r="BY524" s="168"/>
      <c r="BZ524" s="168"/>
      <c r="CB524" s="42"/>
      <c r="DS524" s="168"/>
    </row>
    <row r="525" spans="1:123" s="130" customFormat="1">
      <c r="A525" s="127"/>
      <c r="B525" s="75" t="s">
        <v>439</v>
      </c>
      <c r="C525" s="42"/>
      <c r="D525" s="42"/>
      <c r="E525" s="42"/>
      <c r="F525" s="42"/>
      <c r="G525" s="62"/>
      <c r="H525" s="62"/>
      <c r="I525" s="62"/>
      <c r="J525" s="62"/>
      <c r="K525" s="62"/>
      <c r="L525" s="62"/>
      <c r="M525" s="62"/>
      <c r="N525" s="62"/>
      <c r="O525" s="62"/>
      <c r="P525" s="62"/>
      <c r="Q525" s="62"/>
      <c r="R525" s="62"/>
      <c r="S525" s="62"/>
      <c r="T525" s="62"/>
      <c r="U525" s="128"/>
      <c r="V525" s="128"/>
      <c r="W525" s="128"/>
      <c r="X525" s="128"/>
      <c r="Y525" s="168"/>
      <c r="Z525" s="168"/>
      <c r="AA525" s="168">
        <f t="shared" ref="AA525:AZ525" si="685">AA391-Z391+AA393-Z393</f>
        <v>-57.750000000000007</v>
      </c>
      <c r="AB525" s="168">
        <f t="shared" si="685"/>
        <v>49.408999999999999</v>
      </c>
      <c r="AC525" s="168">
        <f t="shared" si="685"/>
        <v>-29.410000000000014</v>
      </c>
      <c r="AD525" s="168">
        <f t="shared" si="685"/>
        <v>2.6940000000000039</v>
      </c>
      <c r="AE525" s="168">
        <f t="shared" si="685"/>
        <v>-27.429000000000002</v>
      </c>
      <c r="AF525" s="168">
        <f t="shared" si="685"/>
        <v>28.920000000000016</v>
      </c>
      <c r="AG525" s="168">
        <f t="shared" si="685"/>
        <v>-22.790999999999997</v>
      </c>
      <c r="AH525" s="168">
        <f t="shared" si="685"/>
        <v>50.84899999999999</v>
      </c>
      <c r="AI525" s="168">
        <f t="shared" si="685"/>
        <v>-7.5499999999999883</v>
      </c>
      <c r="AJ525" s="168">
        <f t="shared" si="685"/>
        <v>188.53200000000001</v>
      </c>
      <c r="AK525" s="168">
        <f t="shared" si="685"/>
        <v>542.14800000000002</v>
      </c>
      <c r="AL525" s="168">
        <f t="shared" si="685"/>
        <v>136.99699999999993</v>
      </c>
      <c r="AM525" s="168">
        <f t="shared" si="685"/>
        <v>-107.82099999999991</v>
      </c>
      <c r="AN525" s="168">
        <f t="shared" si="685"/>
        <v>226.62300000000008</v>
      </c>
      <c r="AO525" s="168">
        <f t="shared" si="685"/>
        <v>126.09399999999987</v>
      </c>
      <c r="AP525" s="302">
        <f t="shared" si="685"/>
        <v>-31.77199999999991</v>
      </c>
      <c r="AQ525" s="168">
        <f t="shared" si="685"/>
        <v>3</v>
      </c>
      <c r="AR525" s="168">
        <f t="shared" si="685"/>
        <v>3</v>
      </c>
      <c r="AS525" s="168">
        <f t="shared" si="685"/>
        <v>3</v>
      </c>
      <c r="AT525" s="168">
        <f t="shared" si="685"/>
        <v>3</v>
      </c>
      <c r="AU525" s="168">
        <f t="shared" si="685"/>
        <v>3</v>
      </c>
      <c r="AV525" s="168">
        <f t="shared" si="685"/>
        <v>3</v>
      </c>
      <c r="AW525" s="168">
        <f t="shared" si="685"/>
        <v>3</v>
      </c>
      <c r="AX525" s="168">
        <f t="shared" si="685"/>
        <v>3</v>
      </c>
      <c r="AY525" s="168">
        <f t="shared" si="685"/>
        <v>3</v>
      </c>
      <c r="AZ525" s="168">
        <f t="shared" si="685"/>
        <v>3</v>
      </c>
      <c r="BA525" s="129"/>
      <c r="BB525" s="129"/>
      <c r="BC525" s="129"/>
      <c r="BD525" s="129"/>
      <c r="BE525" s="129"/>
      <c r="BF525" s="129"/>
      <c r="BG525" s="129"/>
      <c r="BH525" s="129"/>
      <c r="BI525" s="129"/>
      <c r="BJ525" s="62"/>
      <c r="BK525" s="129"/>
      <c r="BL525" s="129"/>
      <c r="BM525" s="168"/>
      <c r="BN525" s="168"/>
      <c r="BO525" s="168"/>
      <c r="BP525" s="171"/>
      <c r="BQ525" s="171"/>
      <c r="BR525" s="171"/>
      <c r="BS525" s="171"/>
      <c r="BT525" s="168"/>
      <c r="BU525" s="302"/>
      <c r="BV525" s="168"/>
      <c r="BW525" s="168"/>
      <c r="BX525" s="168"/>
      <c r="BY525" s="168"/>
      <c r="BZ525" s="168"/>
      <c r="CB525" s="42"/>
      <c r="DS525" s="168"/>
    </row>
    <row r="526" spans="1:123" s="42" customFormat="1">
      <c r="A526" s="261"/>
      <c r="B526" s="70" t="s">
        <v>440</v>
      </c>
      <c r="G526" s="62"/>
      <c r="H526" s="62"/>
      <c r="I526" s="62"/>
      <c r="J526" s="62"/>
      <c r="K526" s="62"/>
      <c r="L526" s="62"/>
      <c r="M526" s="62"/>
      <c r="N526" s="62"/>
      <c r="O526" s="62"/>
      <c r="P526" s="62"/>
      <c r="Q526" s="62"/>
      <c r="R526" s="62"/>
      <c r="S526" s="62"/>
      <c r="T526" s="62"/>
      <c r="U526" s="128"/>
      <c r="V526" s="128"/>
      <c r="W526" s="128"/>
      <c r="X526" s="128"/>
      <c r="Y526" s="168"/>
      <c r="Z526" s="168"/>
      <c r="AA526" s="168">
        <f t="shared" ref="AA526:AZ526" si="686">AA394-Z394</f>
        <v>-2.6850000000000005</v>
      </c>
      <c r="AB526" s="168">
        <f t="shared" si="686"/>
        <v>2.0090000000000003</v>
      </c>
      <c r="AC526" s="168">
        <f t="shared" si="686"/>
        <v>-1.7169999999999987</v>
      </c>
      <c r="AD526" s="168">
        <f t="shared" si="686"/>
        <v>2.5809999999999995</v>
      </c>
      <c r="AE526" s="168">
        <f t="shared" si="686"/>
        <v>3.2000000000000028E-2</v>
      </c>
      <c r="AF526" s="168">
        <f t="shared" si="686"/>
        <v>2.0299999999999994</v>
      </c>
      <c r="AG526" s="168">
        <f t="shared" si="686"/>
        <v>0.81599999999999895</v>
      </c>
      <c r="AH526" s="168">
        <f t="shared" si="686"/>
        <v>2.370000000000001</v>
      </c>
      <c r="AI526" s="168">
        <f t="shared" si="686"/>
        <v>-0.52299999999999969</v>
      </c>
      <c r="AJ526" s="168">
        <f t="shared" si="686"/>
        <v>8.9469999999999992</v>
      </c>
      <c r="AK526" s="168">
        <f t="shared" si="686"/>
        <v>129.74799999999999</v>
      </c>
      <c r="AL526" s="168">
        <f t="shared" si="686"/>
        <v>45.694999999999993</v>
      </c>
      <c r="AM526" s="168">
        <f t="shared" si="686"/>
        <v>-84.096000000000004</v>
      </c>
      <c r="AN526" s="168">
        <f t="shared" si="686"/>
        <v>-34.364999999999995</v>
      </c>
      <c r="AO526" s="168">
        <f t="shared" si="686"/>
        <v>-0.90899999999999181</v>
      </c>
      <c r="AP526" s="302">
        <f t="shared" si="686"/>
        <v>15.024999999999991</v>
      </c>
      <c r="AQ526" s="168">
        <f t="shared" si="686"/>
        <v>0</v>
      </c>
      <c r="AR526" s="168">
        <f t="shared" si="686"/>
        <v>0</v>
      </c>
      <c r="AS526" s="168">
        <f t="shared" si="686"/>
        <v>0</v>
      </c>
      <c r="AT526" s="168">
        <f t="shared" si="686"/>
        <v>0</v>
      </c>
      <c r="AU526" s="168">
        <f t="shared" si="686"/>
        <v>0</v>
      </c>
      <c r="AV526" s="168">
        <f t="shared" si="686"/>
        <v>0</v>
      </c>
      <c r="AW526" s="168">
        <f t="shared" si="686"/>
        <v>0</v>
      </c>
      <c r="AX526" s="168">
        <f t="shared" si="686"/>
        <v>0</v>
      </c>
      <c r="AY526" s="168">
        <f t="shared" si="686"/>
        <v>0</v>
      </c>
      <c r="AZ526" s="168">
        <f t="shared" si="686"/>
        <v>0</v>
      </c>
      <c r="BA526" s="62"/>
      <c r="BB526" s="62"/>
      <c r="BC526" s="62"/>
      <c r="BD526" s="62"/>
      <c r="BE526" s="62"/>
      <c r="BF526" s="62"/>
      <c r="BG526" s="62"/>
      <c r="BH526" s="62"/>
      <c r="BI526" s="62"/>
      <c r="BJ526" s="62"/>
      <c r="BK526" s="62"/>
      <c r="BL526" s="62"/>
      <c r="BM526" s="168">
        <f>SUM(Y526:Z526)</f>
        <v>0</v>
      </c>
      <c r="BN526" s="168">
        <f>SUM(AA526:AB526)</f>
        <v>-0.67600000000000016</v>
      </c>
      <c r="BO526" s="168">
        <f>SUM(AC526:AD526)</f>
        <v>0.86400000000000077</v>
      </c>
      <c r="BP526" s="168">
        <f>SUM(AE526:AF526)</f>
        <v>2.0619999999999994</v>
      </c>
      <c r="BQ526" s="168">
        <f>SUM(AG526:AH526)</f>
        <v>3.1859999999999999</v>
      </c>
      <c r="BR526" s="168">
        <f>SUM(AI526:AJ526)</f>
        <v>8.4239999999999995</v>
      </c>
      <c r="BS526" s="168">
        <f>SUM(AJ526:AK526)</f>
        <v>138.69499999999999</v>
      </c>
      <c r="BT526" s="168">
        <f>SUM(AM526:AN526)</f>
        <v>-118.461</v>
      </c>
      <c r="BU526" s="302">
        <f>SUM(AO526:AP526)</f>
        <v>14.116</v>
      </c>
      <c r="BV526" s="168">
        <f>SUM(AQ526:AR526)</f>
        <v>0</v>
      </c>
      <c r="BW526" s="168">
        <f>SUM(AS526:AT526)</f>
        <v>0</v>
      </c>
      <c r="BX526" s="168">
        <f>SUM(AU526:AV526)</f>
        <v>0</v>
      </c>
      <c r="BY526" s="168">
        <f>SUM(AW526:AX526)</f>
        <v>0</v>
      </c>
      <c r="BZ526" s="168">
        <f>SUM(AY526:AZ526)</f>
        <v>0</v>
      </c>
      <c r="CB526" s="42" t="s">
        <v>609</v>
      </c>
      <c r="DS526" s="168">
        <f>SUM(CU526:CV526)</f>
        <v>0</v>
      </c>
    </row>
    <row r="527" spans="1:123" s="42" customFormat="1">
      <c r="A527" s="261"/>
      <c r="B527" s="70" t="s">
        <v>441</v>
      </c>
      <c r="G527" s="62"/>
      <c r="H527" s="62"/>
      <c r="I527" s="62"/>
      <c r="J527" s="62"/>
      <c r="K527" s="62"/>
      <c r="L527" s="62"/>
      <c r="M527" s="62"/>
      <c r="N527" s="62"/>
      <c r="O527" s="62"/>
      <c r="P527" s="62"/>
      <c r="Q527" s="62"/>
      <c r="R527" s="62"/>
      <c r="S527" s="62"/>
      <c r="T527" s="62"/>
      <c r="U527" s="128"/>
      <c r="V527" s="128"/>
      <c r="W527" s="128"/>
      <c r="X527" s="128"/>
      <c r="Y527" s="168"/>
      <c r="Z527" s="168"/>
      <c r="AA527" s="168">
        <f t="shared" ref="AA527:AZ527" si="687">AA392-Z392+AA393-Z393</f>
        <v>-4.7000000000000597E-2</v>
      </c>
      <c r="AB527" s="168">
        <f t="shared" si="687"/>
        <v>0.48099999999999987</v>
      </c>
      <c r="AC527" s="168">
        <f t="shared" si="687"/>
        <v>2.8389999999999995</v>
      </c>
      <c r="AD527" s="168">
        <f t="shared" si="687"/>
        <v>4.1440000000000001</v>
      </c>
      <c r="AE527" s="168">
        <f t="shared" si="687"/>
        <v>-0.67100000000000026</v>
      </c>
      <c r="AF527" s="168">
        <f t="shared" si="687"/>
        <v>4.157</v>
      </c>
      <c r="AG527" s="168">
        <f t="shared" si="687"/>
        <v>-3.1899999999999995</v>
      </c>
      <c r="AH527" s="168">
        <f t="shared" si="687"/>
        <v>4.4529999999999985</v>
      </c>
      <c r="AI527" s="168">
        <f t="shared" si="687"/>
        <v>-3.2480000000000002</v>
      </c>
      <c r="AJ527" s="168">
        <f t="shared" si="687"/>
        <v>4.7270000000000003</v>
      </c>
      <c r="AK527" s="168">
        <f t="shared" si="687"/>
        <v>22.019000000000002</v>
      </c>
      <c r="AL527" s="168">
        <f t="shared" si="687"/>
        <v>16.939</v>
      </c>
      <c r="AM527" s="168">
        <f t="shared" si="687"/>
        <v>-9.1830000000000034</v>
      </c>
      <c r="AN527" s="168">
        <f t="shared" si="687"/>
        <v>8.2690000000000019</v>
      </c>
      <c r="AO527" s="168">
        <f t="shared" si="687"/>
        <v>-6.375</v>
      </c>
      <c r="AP527" s="302">
        <f t="shared" si="687"/>
        <v>12.451000000000004</v>
      </c>
      <c r="AQ527" s="168">
        <f t="shared" si="687"/>
        <v>0</v>
      </c>
      <c r="AR527" s="168">
        <f t="shared" si="687"/>
        <v>0</v>
      </c>
      <c r="AS527" s="168">
        <f t="shared" si="687"/>
        <v>0</v>
      </c>
      <c r="AT527" s="168">
        <f t="shared" si="687"/>
        <v>0</v>
      </c>
      <c r="AU527" s="168">
        <f t="shared" si="687"/>
        <v>0</v>
      </c>
      <c r="AV527" s="168">
        <f t="shared" si="687"/>
        <v>0</v>
      </c>
      <c r="AW527" s="168">
        <f t="shared" si="687"/>
        <v>0</v>
      </c>
      <c r="AX527" s="168">
        <f t="shared" si="687"/>
        <v>0</v>
      </c>
      <c r="AY527" s="168">
        <f t="shared" si="687"/>
        <v>0</v>
      </c>
      <c r="AZ527" s="168">
        <f t="shared" si="687"/>
        <v>0</v>
      </c>
      <c r="BA527" s="62"/>
      <c r="BB527" s="62"/>
      <c r="BC527" s="62"/>
      <c r="BD527" s="62"/>
      <c r="BE527" s="62"/>
      <c r="BF527" s="62"/>
      <c r="BG527" s="62"/>
      <c r="BH527" s="62"/>
      <c r="BI527" s="62"/>
      <c r="BJ527" s="62"/>
      <c r="BK527" s="62"/>
      <c r="BL527" s="62"/>
      <c r="BM527" s="168">
        <f>SUM(Y527:Z527)</f>
        <v>0</v>
      </c>
      <c r="BN527" s="168">
        <f>SUM(AA527:AB527)</f>
        <v>0.43399999999999928</v>
      </c>
      <c r="BO527" s="168">
        <f>SUM(AC527:AD527)</f>
        <v>6.9829999999999997</v>
      </c>
      <c r="BP527" s="168">
        <f>SUM(AE527:AF527)</f>
        <v>3.4859999999999998</v>
      </c>
      <c r="BQ527" s="168">
        <f>SUM(AG527:AH527)</f>
        <v>1.262999999999999</v>
      </c>
      <c r="BR527" s="168">
        <f>SUM(AI527:AJ527)</f>
        <v>1.4790000000000001</v>
      </c>
      <c r="BS527" s="168">
        <f>SUM(AJ527:AK527)</f>
        <v>26.746000000000002</v>
      </c>
      <c r="BT527" s="168">
        <f>SUM(AM527:AN527)</f>
        <v>-0.91400000000000148</v>
      </c>
      <c r="BU527" s="302">
        <f>SUM(AO527:AP527)</f>
        <v>6.0760000000000041</v>
      </c>
      <c r="BV527" s="168">
        <f>SUM(AQ527:AR527)</f>
        <v>0</v>
      </c>
      <c r="BW527" s="168">
        <f>SUM(AS527:AT527)</f>
        <v>0</v>
      </c>
      <c r="BX527" s="168">
        <f>SUM(AU527:AV527)</f>
        <v>0</v>
      </c>
      <c r="BY527" s="168">
        <f>SUM(AW527:AX527)</f>
        <v>0</v>
      </c>
      <c r="BZ527" s="168">
        <f>SUM(AY527:AZ527)</f>
        <v>0</v>
      </c>
      <c r="CB527" s="42" t="s">
        <v>609</v>
      </c>
      <c r="DS527" s="168">
        <f>SUM(CU527:CV527)</f>
        <v>0</v>
      </c>
    </row>
    <row r="528" spans="1:123" s="42" customFormat="1">
      <c r="A528" s="261"/>
      <c r="B528" s="70" t="s">
        <v>589</v>
      </c>
      <c r="G528" s="62"/>
      <c r="H528" s="62"/>
      <c r="I528" s="62"/>
      <c r="J528" s="62"/>
      <c r="K528" s="62"/>
      <c r="L528" s="62"/>
      <c r="M528" s="62"/>
      <c r="N528" s="62"/>
      <c r="O528" s="62"/>
      <c r="P528" s="62"/>
      <c r="Q528" s="62"/>
      <c r="R528" s="62"/>
      <c r="S528" s="62"/>
      <c r="T528" s="62"/>
      <c r="U528" s="128"/>
      <c r="V528" s="128"/>
      <c r="W528" s="128"/>
      <c r="X528" s="128"/>
      <c r="Y528" s="168"/>
      <c r="Z528" s="168"/>
      <c r="AA528" s="168"/>
      <c r="AB528" s="168"/>
      <c r="AC528" s="168"/>
      <c r="AD528" s="168"/>
      <c r="AE528" s="168"/>
      <c r="AF528" s="168"/>
      <c r="AG528" s="168"/>
      <c r="AH528" s="168"/>
      <c r="AI528" s="168"/>
      <c r="AJ528" s="168"/>
      <c r="AK528" s="168"/>
      <c r="AL528" s="168"/>
      <c r="AM528" s="168"/>
      <c r="AN528" s="168"/>
      <c r="AO528" s="168"/>
      <c r="AP528" s="302"/>
      <c r="AQ528" s="168">
        <f t="shared" ref="AQ528:AZ528" si="688">SUM(AQ394:AQ395)-SUM(AP394:AP395)+AQ397-AP397</f>
        <v>0</v>
      </c>
      <c r="AR528" s="168">
        <f t="shared" si="688"/>
        <v>0</v>
      </c>
      <c r="AS528" s="168">
        <f t="shared" si="688"/>
        <v>0</v>
      </c>
      <c r="AT528" s="168">
        <f t="shared" si="688"/>
        <v>0</v>
      </c>
      <c r="AU528" s="168">
        <f t="shared" si="688"/>
        <v>0</v>
      </c>
      <c r="AV528" s="168">
        <f t="shared" si="688"/>
        <v>0</v>
      </c>
      <c r="AW528" s="168">
        <f t="shared" si="688"/>
        <v>0</v>
      </c>
      <c r="AX528" s="168">
        <f t="shared" si="688"/>
        <v>0</v>
      </c>
      <c r="AY528" s="168">
        <f t="shared" si="688"/>
        <v>0</v>
      </c>
      <c r="AZ528" s="168">
        <f t="shared" si="688"/>
        <v>0</v>
      </c>
      <c r="BA528" s="62"/>
      <c r="BB528" s="62"/>
      <c r="BC528" s="62"/>
      <c r="BD528" s="62"/>
      <c r="BE528" s="62"/>
      <c r="BF528" s="62"/>
      <c r="BG528" s="62"/>
      <c r="BH528" s="62"/>
      <c r="BI528" s="62"/>
      <c r="BJ528" s="62"/>
      <c r="BK528" s="62"/>
      <c r="BL528" s="62"/>
      <c r="BM528" s="168">
        <f t="shared" ref="BM528:BW528" si="689">SUM(BM394:BM395)-SUM(BL394:BL395)+BM397-BL397</f>
        <v>15.244</v>
      </c>
      <c r="BN528" s="168">
        <f t="shared" si="689"/>
        <v>-0.67600000000000016</v>
      </c>
      <c r="BO528" s="168">
        <f t="shared" si="689"/>
        <v>0.86400000000000077</v>
      </c>
      <c r="BP528" s="168">
        <f t="shared" si="689"/>
        <v>10.286</v>
      </c>
      <c r="BQ528" s="168">
        <f t="shared" si="689"/>
        <v>2.7480000000000011</v>
      </c>
      <c r="BR528" s="168">
        <f t="shared" si="689"/>
        <v>8.8249999999999957</v>
      </c>
      <c r="BS528" s="168">
        <f t="shared" si="689"/>
        <v>181.999</v>
      </c>
      <c r="BT528" s="168">
        <f t="shared" si="689"/>
        <v>-119.04899999999999</v>
      </c>
      <c r="BU528" s="302">
        <f t="shared" si="689"/>
        <v>18.828999999999994</v>
      </c>
      <c r="BV528" s="168">
        <f t="shared" si="689"/>
        <v>0</v>
      </c>
      <c r="BW528" s="168">
        <f t="shared" si="689"/>
        <v>0</v>
      </c>
      <c r="BX528" s="168">
        <f t="shared" ref="BX528:BZ528" si="690">SUM(BX394:BX395)-SUM(BW394:BW395)+BX397-BW397</f>
        <v>0</v>
      </c>
      <c r="BY528" s="168">
        <f t="shared" si="690"/>
        <v>0</v>
      </c>
      <c r="BZ528" s="168">
        <f t="shared" si="690"/>
        <v>0</v>
      </c>
      <c r="CB528" s="42" t="s">
        <v>609</v>
      </c>
      <c r="DS528" s="168">
        <f>SUM(DS394:DS395)-SUM(DT394:DT395)+DS397-DT397</f>
        <v>0</v>
      </c>
    </row>
    <row r="529" spans="1:123" s="130" customFormat="1">
      <c r="A529" s="127"/>
      <c r="B529" s="70"/>
      <c r="C529" s="42"/>
      <c r="D529" s="42"/>
      <c r="E529" s="42"/>
      <c r="F529" s="42"/>
      <c r="G529" s="62"/>
      <c r="H529" s="62"/>
      <c r="I529" s="62"/>
      <c r="J529" s="62"/>
      <c r="K529" s="62"/>
      <c r="L529" s="62"/>
      <c r="M529" s="62"/>
      <c r="N529" s="62"/>
      <c r="O529" s="62"/>
      <c r="P529" s="62"/>
      <c r="Q529" s="62"/>
      <c r="R529" s="62"/>
      <c r="S529" s="62"/>
      <c r="T529" s="62"/>
      <c r="U529" s="128"/>
      <c r="V529" s="128"/>
      <c r="W529" s="128"/>
      <c r="X529" s="128"/>
      <c r="Y529" s="168"/>
      <c r="Z529" s="168"/>
      <c r="AA529" s="168"/>
      <c r="AB529" s="168"/>
      <c r="AC529" s="168"/>
      <c r="AD529" s="168"/>
      <c r="AE529" s="171"/>
      <c r="AF529" s="168"/>
      <c r="AG529" s="171"/>
      <c r="AH529" s="168"/>
      <c r="AI529" s="171"/>
      <c r="AJ529" s="168"/>
      <c r="AK529" s="168"/>
      <c r="AL529" s="168"/>
      <c r="AM529" s="168"/>
      <c r="AN529" s="168"/>
      <c r="AO529" s="168"/>
      <c r="AP529" s="302"/>
      <c r="AQ529" s="168"/>
      <c r="AR529" s="168"/>
      <c r="AS529" s="168"/>
      <c r="AT529" s="168"/>
      <c r="AU529" s="168"/>
      <c r="AV529" s="168"/>
      <c r="AW529" s="168"/>
      <c r="AX529" s="168"/>
      <c r="AY529" s="168"/>
      <c r="AZ529" s="168"/>
      <c r="BA529" s="129"/>
      <c r="BB529" s="129"/>
      <c r="BC529" s="129"/>
      <c r="BD529" s="129"/>
      <c r="BE529" s="129"/>
      <c r="BF529" s="129"/>
      <c r="BG529" s="129"/>
      <c r="BH529" s="129"/>
      <c r="BI529" s="129"/>
      <c r="BJ529" s="62"/>
      <c r="BK529" s="129"/>
      <c r="BL529" s="129"/>
      <c r="BM529" s="168"/>
      <c r="BN529" s="168"/>
      <c r="BO529" s="168"/>
      <c r="BP529" s="171"/>
      <c r="BQ529" s="171"/>
      <c r="BR529" s="171"/>
      <c r="BS529" s="171"/>
      <c r="BT529" s="168"/>
      <c r="BU529" s="302"/>
      <c r="BV529" s="168"/>
      <c r="BW529" s="168"/>
      <c r="BX529" s="168"/>
      <c r="BY529" s="168"/>
      <c r="BZ529" s="168"/>
      <c r="CB529" s="42"/>
      <c r="DS529" s="168"/>
    </row>
    <row r="530" spans="1:123" s="130" customFormat="1">
      <c r="A530" s="127"/>
      <c r="B530" s="75" t="s">
        <v>442</v>
      </c>
      <c r="C530" s="42"/>
      <c r="D530" s="42"/>
      <c r="E530" s="42"/>
      <c r="F530" s="42"/>
      <c r="G530" s="62"/>
      <c r="H530" s="62"/>
      <c r="I530" s="62"/>
      <c r="J530" s="62"/>
      <c r="K530" s="62"/>
      <c r="L530" s="62"/>
      <c r="M530" s="62"/>
      <c r="N530" s="62"/>
      <c r="O530" s="62"/>
      <c r="P530" s="62"/>
      <c r="Q530" s="62"/>
      <c r="R530" s="62"/>
      <c r="S530" s="62"/>
      <c r="T530" s="62"/>
      <c r="U530" s="128"/>
      <c r="V530" s="128"/>
      <c r="W530" s="128"/>
      <c r="X530" s="128"/>
      <c r="Y530" s="168"/>
      <c r="Z530" s="168"/>
      <c r="AA530" s="168"/>
      <c r="AB530" s="168"/>
      <c r="AC530" s="168"/>
      <c r="AD530" s="168"/>
      <c r="AE530" s="171"/>
      <c r="AF530" s="168"/>
      <c r="AG530" s="171"/>
      <c r="AH530" s="168"/>
      <c r="AI530" s="171"/>
      <c r="AJ530" s="168"/>
      <c r="AK530" s="168"/>
      <c r="AL530" s="168"/>
      <c r="AM530" s="168"/>
      <c r="AN530" s="168"/>
      <c r="AO530" s="168"/>
      <c r="AP530" s="302"/>
      <c r="AQ530" s="168"/>
      <c r="AR530" s="168"/>
      <c r="AS530" s="168"/>
      <c r="AT530" s="168"/>
      <c r="AU530" s="168"/>
      <c r="AV530" s="168"/>
      <c r="AW530" s="168"/>
      <c r="AX530" s="168"/>
      <c r="AY530" s="168"/>
      <c r="AZ530" s="168"/>
      <c r="BA530" s="129"/>
      <c r="BB530" s="129"/>
      <c r="BC530" s="129"/>
      <c r="BD530" s="129"/>
      <c r="BE530" s="129"/>
      <c r="BF530" s="129"/>
      <c r="BG530" s="129"/>
      <c r="BH530" s="129"/>
      <c r="BI530" s="129"/>
      <c r="BJ530" s="62"/>
      <c r="BK530" s="129"/>
      <c r="BL530" s="129"/>
      <c r="BM530" s="168"/>
      <c r="BN530" s="168"/>
      <c r="BO530" s="168"/>
      <c r="BP530" s="171"/>
      <c r="BQ530" s="171"/>
      <c r="BR530" s="171"/>
      <c r="BS530" s="171"/>
      <c r="BT530" s="168"/>
      <c r="BU530" s="302"/>
      <c r="BV530" s="168"/>
      <c r="BW530" s="168"/>
      <c r="BX530" s="168"/>
      <c r="BY530" s="168"/>
      <c r="BZ530" s="168"/>
      <c r="CB530" s="42"/>
      <c r="DS530" s="168"/>
    </row>
    <row r="531" spans="1:123" s="130" customFormat="1">
      <c r="A531" s="127"/>
      <c r="B531" s="70" t="s">
        <v>443</v>
      </c>
      <c r="C531" s="42"/>
      <c r="D531" s="42"/>
      <c r="E531" s="42"/>
      <c r="F531" s="42"/>
      <c r="G531" s="62"/>
      <c r="H531" s="62"/>
      <c r="I531" s="62"/>
      <c r="J531" s="62"/>
      <c r="K531" s="62"/>
      <c r="L531" s="62"/>
      <c r="M531" s="62"/>
      <c r="N531" s="62"/>
      <c r="O531" s="62"/>
      <c r="P531" s="62"/>
      <c r="Q531" s="62"/>
      <c r="R531" s="62"/>
      <c r="S531" s="62"/>
      <c r="T531" s="62"/>
      <c r="U531" s="128"/>
      <c r="V531" s="128"/>
      <c r="W531" s="128"/>
      <c r="X531" s="128"/>
      <c r="Y531" s="168"/>
      <c r="Z531" s="168"/>
      <c r="AA531" s="168"/>
      <c r="AB531" s="171"/>
      <c r="AC531" s="171"/>
      <c r="AD531" s="171"/>
      <c r="AE531" s="168">
        <f t="shared" ref="AE531:AZ531" si="691">-(AE294-AD294)</f>
        <v>11.096999999999994</v>
      </c>
      <c r="AF531" s="168">
        <f t="shared" si="691"/>
        <v>-0.18200000000000216</v>
      </c>
      <c r="AG531" s="168">
        <f t="shared" si="691"/>
        <v>11.007000000000005</v>
      </c>
      <c r="AH531" s="168">
        <f t="shared" si="691"/>
        <v>-6.4110000000000014</v>
      </c>
      <c r="AI531" s="168">
        <f t="shared" si="691"/>
        <v>1.4680000000000035</v>
      </c>
      <c r="AJ531" s="168">
        <f t="shared" si="691"/>
        <v>-55.066000000000003</v>
      </c>
      <c r="AK531" s="168">
        <f t="shared" si="691"/>
        <v>-151.44199999999998</v>
      </c>
      <c r="AL531" s="168">
        <f t="shared" si="691"/>
        <v>-43.958000000000027</v>
      </c>
      <c r="AM531" s="168">
        <f t="shared" si="691"/>
        <v>77.799000000000007</v>
      </c>
      <c r="AN531" s="168">
        <f t="shared" si="691"/>
        <v>-51.66</v>
      </c>
      <c r="AO531" s="168">
        <f t="shared" si="691"/>
        <v>36.631</v>
      </c>
      <c r="AP531" s="302">
        <f t="shared" si="691"/>
        <v>-50.74199999999999</v>
      </c>
      <c r="AQ531" s="168">
        <f t="shared" si="691"/>
        <v>-3</v>
      </c>
      <c r="AR531" s="168">
        <f t="shared" si="691"/>
        <v>-3</v>
      </c>
      <c r="AS531" s="168">
        <f t="shared" si="691"/>
        <v>-3</v>
      </c>
      <c r="AT531" s="168">
        <f t="shared" si="691"/>
        <v>-3</v>
      </c>
      <c r="AU531" s="168">
        <f t="shared" si="691"/>
        <v>-3</v>
      </c>
      <c r="AV531" s="168">
        <f t="shared" si="691"/>
        <v>-3</v>
      </c>
      <c r="AW531" s="168">
        <f t="shared" si="691"/>
        <v>-3</v>
      </c>
      <c r="AX531" s="168">
        <f t="shared" si="691"/>
        <v>-3</v>
      </c>
      <c r="AY531" s="168">
        <f t="shared" si="691"/>
        <v>-3</v>
      </c>
      <c r="AZ531" s="168">
        <f t="shared" si="691"/>
        <v>-3</v>
      </c>
      <c r="BA531" s="129"/>
      <c r="BB531" s="129"/>
      <c r="BC531" s="129"/>
      <c r="BD531" s="129"/>
      <c r="BE531" s="129"/>
      <c r="BF531" s="129"/>
      <c r="BG531" s="129"/>
      <c r="BH531" s="129"/>
      <c r="BI531" s="129"/>
      <c r="BJ531" s="62"/>
      <c r="BK531" s="129"/>
      <c r="BL531" s="129"/>
      <c r="BM531" s="168">
        <f>SUM(Y531:Z531)</f>
        <v>0</v>
      </c>
      <c r="BN531" s="168">
        <f>SUM(AA531:AB531)</f>
        <v>0</v>
      </c>
      <c r="BO531" s="168">
        <f>SUM(AC531:AD531)</f>
        <v>0</v>
      </c>
      <c r="BP531" s="168">
        <f>SUM(AE531:AF531)</f>
        <v>10.914999999999992</v>
      </c>
      <c r="BQ531" s="168">
        <f>SUM(AG531:AH531)</f>
        <v>4.5960000000000036</v>
      </c>
      <c r="BR531" s="168">
        <f t="shared" ref="BR531:BS533" si="692">SUM(AI531:AJ531)</f>
        <v>-53.597999999999999</v>
      </c>
      <c r="BS531" s="168">
        <f t="shared" si="692"/>
        <v>-206.50799999999998</v>
      </c>
      <c r="BT531" s="168">
        <f>SUM(AM531:AN531)</f>
        <v>26.13900000000001</v>
      </c>
      <c r="BU531" s="302">
        <f>SUM(AO531:AP531)</f>
        <v>-14.11099999999999</v>
      </c>
      <c r="BV531" s="168">
        <f>SUM(AQ531:AR531)</f>
        <v>-6</v>
      </c>
      <c r="BW531" s="168">
        <f>SUM(AS531:AT531)</f>
        <v>-6</v>
      </c>
      <c r="BX531" s="168">
        <f>SUM(AU531:AV531)</f>
        <v>-6</v>
      </c>
      <c r="BY531" s="168">
        <f>SUM(AW531:AX531)</f>
        <v>-6</v>
      </c>
      <c r="BZ531" s="168">
        <f>SUM(AY531:AZ531)</f>
        <v>-6</v>
      </c>
      <c r="CB531" s="42" t="s">
        <v>609</v>
      </c>
      <c r="DS531" s="168">
        <f>SUM(CU531:CV531)</f>
        <v>0</v>
      </c>
    </row>
    <row r="532" spans="1:123" s="130" customFormat="1">
      <c r="A532" s="127"/>
      <c r="B532" s="70" t="s">
        <v>444</v>
      </c>
      <c r="C532" s="42"/>
      <c r="D532" s="42"/>
      <c r="E532" s="42"/>
      <c r="F532" s="42"/>
      <c r="G532" s="62"/>
      <c r="H532" s="62"/>
      <c r="I532" s="62"/>
      <c r="J532" s="62"/>
      <c r="K532" s="62"/>
      <c r="L532" s="62"/>
      <c r="M532" s="62"/>
      <c r="N532" s="62"/>
      <c r="O532" s="62"/>
      <c r="P532" s="62"/>
      <c r="Q532" s="62"/>
      <c r="R532" s="62"/>
      <c r="S532" s="62"/>
      <c r="T532" s="62"/>
      <c r="U532" s="128"/>
      <c r="V532" s="128"/>
      <c r="W532" s="128"/>
      <c r="X532" s="128"/>
      <c r="Y532" s="168"/>
      <c r="Z532" s="168"/>
      <c r="AA532" s="168"/>
      <c r="AB532" s="168"/>
      <c r="AC532" s="168"/>
      <c r="AD532" s="168"/>
      <c r="AE532" s="168">
        <f t="shared" ref="AE532:AZ532" si="693">-(AE296-AD296)</f>
        <v>-0.47699999999999998</v>
      </c>
      <c r="AF532" s="168">
        <f t="shared" si="693"/>
        <v>0.13700000000000001</v>
      </c>
      <c r="AG532" s="168">
        <f t="shared" si="693"/>
        <v>-0.33300000000000007</v>
      </c>
      <c r="AH532" s="168">
        <f t="shared" si="693"/>
        <v>0.127</v>
      </c>
      <c r="AI532" s="168">
        <f t="shared" si="693"/>
        <v>-0.372</v>
      </c>
      <c r="AJ532" s="168">
        <f t="shared" si="693"/>
        <v>-0.94200000000000006</v>
      </c>
      <c r="AK532" s="168">
        <f t="shared" si="693"/>
        <v>-19.739000000000001</v>
      </c>
      <c r="AL532" s="168">
        <f t="shared" si="693"/>
        <v>-3.9329999999999998</v>
      </c>
      <c r="AM532" s="168">
        <f t="shared" si="693"/>
        <v>-0.48100000000000165</v>
      </c>
      <c r="AN532" s="168">
        <f t="shared" si="693"/>
        <v>-6.9609999999999985</v>
      </c>
      <c r="AO532" s="168">
        <f t="shared" si="693"/>
        <v>2.5799999999999983</v>
      </c>
      <c r="AP532" s="302">
        <f t="shared" si="693"/>
        <v>0.18800000000000239</v>
      </c>
      <c r="AQ532" s="168">
        <f t="shared" si="693"/>
        <v>0</v>
      </c>
      <c r="AR532" s="168">
        <f t="shared" si="693"/>
        <v>0</v>
      </c>
      <c r="AS532" s="168">
        <f t="shared" si="693"/>
        <v>0</v>
      </c>
      <c r="AT532" s="168">
        <f t="shared" si="693"/>
        <v>0</v>
      </c>
      <c r="AU532" s="168">
        <f t="shared" si="693"/>
        <v>0</v>
      </c>
      <c r="AV532" s="168">
        <f t="shared" si="693"/>
        <v>0</v>
      </c>
      <c r="AW532" s="168">
        <f t="shared" si="693"/>
        <v>0</v>
      </c>
      <c r="AX532" s="168">
        <f t="shared" si="693"/>
        <v>0</v>
      </c>
      <c r="AY532" s="168">
        <f t="shared" si="693"/>
        <v>0</v>
      </c>
      <c r="AZ532" s="168">
        <f t="shared" si="693"/>
        <v>0</v>
      </c>
      <c r="BA532" s="129"/>
      <c r="BB532" s="129"/>
      <c r="BC532" s="129"/>
      <c r="BD532" s="129"/>
      <c r="BE532" s="129"/>
      <c r="BF532" s="129"/>
      <c r="BG532" s="129"/>
      <c r="BH532" s="129"/>
      <c r="BI532" s="129"/>
      <c r="BJ532" s="62"/>
      <c r="BK532" s="129"/>
      <c r="BL532" s="129"/>
      <c r="BM532" s="168">
        <f>SUM(Y532:Z532)</f>
        <v>0</v>
      </c>
      <c r="BN532" s="168">
        <f>SUM(AA532:AB532)</f>
        <v>0</v>
      </c>
      <c r="BO532" s="168">
        <f>SUM(AC532:AD532)</f>
        <v>0</v>
      </c>
      <c r="BP532" s="168">
        <f>SUM(AE532:AF532)</f>
        <v>-0.33999999999999997</v>
      </c>
      <c r="BQ532" s="168">
        <f>SUM(AG532:AH532)</f>
        <v>-0.20600000000000007</v>
      </c>
      <c r="BR532" s="168">
        <f t="shared" si="692"/>
        <v>-1.3140000000000001</v>
      </c>
      <c r="BS532" s="168">
        <f t="shared" si="692"/>
        <v>-20.681000000000001</v>
      </c>
      <c r="BT532" s="168">
        <f>SUM(AM532:AN532)</f>
        <v>-7.4420000000000002</v>
      </c>
      <c r="BU532" s="302">
        <f>SUM(AO532:AP532)</f>
        <v>2.7680000000000007</v>
      </c>
      <c r="BV532" s="168">
        <f>SUM(AQ532:AR532)</f>
        <v>0</v>
      </c>
      <c r="BW532" s="168">
        <f>SUM(AS532:AT532)</f>
        <v>0</v>
      </c>
      <c r="BX532" s="168">
        <f>SUM(AU532:AV532)</f>
        <v>0</v>
      </c>
      <c r="BY532" s="168">
        <f>SUM(AW532:AX532)</f>
        <v>0</v>
      </c>
      <c r="BZ532" s="168">
        <f>SUM(AY532:AZ532)</f>
        <v>0</v>
      </c>
      <c r="CB532" s="42" t="s">
        <v>609</v>
      </c>
      <c r="DS532" s="168">
        <f>SUM(CU532:CV532)</f>
        <v>0</v>
      </c>
    </row>
    <row r="533" spans="1:123" s="130" customFormat="1">
      <c r="A533" s="127"/>
      <c r="B533" s="70" t="s">
        <v>445</v>
      </c>
      <c r="C533" s="42"/>
      <c r="D533" s="42"/>
      <c r="E533" s="42"/>
      <c r="F533" s="42"/>
      <c r="G533" s="62"/>
      <c r="H533" s="62"/>
      <c r="I533" s="62"/>
      <c r="J533" s="62"/>
      <c r="K533" s="62"/>
      <c r="L533" s="62"/>
      <c r="M533" s="62"/>
      <c r="N533" s="62"/>
      <c r="O533" s="62"/>
      <c r="P533" s="62"/>
      <c r="Q533" s="62"/>
      <c r="R533" s="62"/>
      <c r="S533" s="62"/>
      <c r="T533" s="62"/>
      <c r="U533" s="128"/>
      <c r="V533" s="128"/>
      <c r="W533" s="128"/>
      <c r="X533" s="128"/>
      <c r="Y533" s="200"/>
      <c r="Z533" s="200"/>
      <c r="AA533" s="200"/>
      <c r="AB533" s="200"/>
      <c r="AC533" s="200"/>
      <c r="AD533" s="200"/>
      <c r="AE533" s="168">
        <f t="shared" ref="AE533:AP533" si="694">-(AE293-AD293)</f>
        <v>15.175999999999988</v>
      </c>
      <c r="AF533" s="168">
        <f t="shared" si="694"/>
        <v>-23.97199999999998</v>
      </c>
      <c r="AG533" s="168">
        <f t="shared" si="694"/>
        <v>-1.0700000000000216</v>
      </c>
      <c r="AH533" s="168">
        <f t="shared" si="694"/>
        <v>-45.384999999999991</v>
      </c>
      <c r="AI533" s="168">
        <f t="shared" si="694"/>
        <v>8.4470000000000027</v>
      </c>
      <c r="AJ533" s="168">
        <f t="shared" si="694"/>
        <v>-136.34599999999998</v>
      </c>
      <c r="AK533" s="162">
        <f t="shared" si="694"/>
        <v>-501.303</v>
      </c>
      <c r="AL533" s="162">
        <f t="shared" si="694"/>
        <v>-101.93500000000006</v>
      </c>
      <c r="AM533" s="162">
        <f t="shared" si="694"/>
        <v>52.018000000000029</v>
      </c>
      <c r="AN533" s="162">
        <f t="shared" si="694"/>
        <v>-24.599000000000046</v>
      </c>
      <c r="AO533" s="162">
        <f t="shared" si="694"/>
        <v>-120.30099999999993</v>
      </c>
      <c r="AP533" s="458">
        <f t="shared" si="694"/>
        <v>-34.121000000000095</v>
      </c>
      <c r="AQ533" s="221">
        <v>0</v>
      </c>
      <c r="AR533" s="221">
        <v>0</v>
      </c>
      <c r="AS533" s="221">
        <v>0</v>
      </c>
      <c r="AT533" s="221">
        <v>0</v>
      </c>
      <c r="AU533" s="221">
        <v>0</v>
      </c>
      <c r="AV533" s="221">
        <v>0</v>
      </c>
      <c r="AW533" s="221">
        <v>0</v>
      </c>
      <c r="AX533" s="221">
        <v>0</v>
      </c>
      <c r="AY533" s="221">
        <v>0</v>
      </c>
      <c r="AZ533" s="221">
        <v>0</v>
      </c>
      <c r="BA533" s="13"/>
      <c r="BB533" s="129"/>
      <c r="BC533" s="129"/>
      <c r="BD533" s="129"/>
      <c r="BE533" s="129"/>
      <c r="BF533" s="129"/>
      <c r="BG533" s="129"/>
      <c r="BH533" s="129"/>
      <c r="BI533" s="129"/>
      <c r="BJ533" s="62"/>
      <c r="BK533" s="129"/>
      <c r="BL533" s="129"/>
      <c r="BM533" s="168">
        <f>SUM(Y533:Z533)</f>
        <v>0</v>
      </c>
      <c r="BN533" s="168">
        <f>SUM(AA533:AB533)</f>
        <v>0</v>
      </c>
      <c r="BO533" s="168">
        <f>SUM(AC533:AD533)</f>
        <v>0</v>
      </c>
      <c r="BP533" s="168">
        <f>SUM(AE533:AF533)</f>
        <v>-8.7959999999999923</v>
      </c>
      <c r="BQ533" s="168">
        <f>SUM(AG533:AH533)</f>
        <v>-46.455000000000013</v>
      </c>
      <c r="BR533" s="168">
        <f t="shared" si="692"/>
        <v>-127.89899999999997</v>
      </c>
      <c r="BS533" s="168">
        <f t="shared" si="692"/>
        <v>-637.649</v>
      </c>
      <c r="BT533" s="168">
        <f>SUM(AM533:AN533)</f>
        <v>27.418999999999983</v>
      </c>
      <c r="BU533" s="302">
        <f>SUM(AO533:AP533)</f>
        <v>-154.42200000000003</v>
      </c>
      <c r="BV533" s="168">
        <f>SUM(AQ533:AR533)</f>
        <v>0</v>
      </c>
      <c r="BW533" s="168">
        <f>SUM(AS533:AT533)</f>
        <v>0</v>
      </c>
      <c r="BX533" s="168">
        <f>SUM(AU533:AV533)</f>
        <v>0</v>
      </c>
      <c r="BY533" s="168">
        <f>SUM(AW533:AX533)</f>
        <v>0</v>
      </c>
      <c r="BZ533" s="168">
        <f>SUM(AY533:AZ533)</f>
        <v>0</v>
      </c>
      <c r="CB533" s="42" t="s">
        <v>609</v>
      </c>
      <c r="DS533" s="168">
        <f>SUM(CU533:CV533)</f>
        <v>0</v>
      </c>
    </row>
    <row r="534" spans="1:123" s="130" customFormat="1">
      <c r="A534" s="127"/>
      <c r="B534" s="70" t="s">
        <v>590</v>
      </c>
      <c r="C534" s="42"/>
      <c r="D534" s="42"/>
      <c r="E534" s="42"/>
      <c r="F534" s="42"/>
      <c r="G534" s="62"/>
      <c r="H534" s="62"/>
      <c r="I534" s="62"/>
      <c r="J534" s="62"/>
      <c r="K534" s="62"/>
      <c r="L534" s="62"/>
      <c r="M534" s="62"/>
      <c r="N534" s="62"/>
      <c r="O534" s="62"/>
      <c r="P534" s="62"/>
      <c r="Q534" s="62"/>
      <c r="R534" s="62"/>
      <c r="S534" s="62"/>
      <c r="T534" s="62"/>
      <c r="U534" s="128"/>
      <c r="V534" s="128"/>
      <c r="W534" s="128"/>
      <c r="X534" s="128"/>
      <c r="Y534" s="200"/>
      <c r="Z534" s="200"/>
      <c r="AA534" s="200"/>
      <c r="AB534" s="200"/>
      <c r="AC534" s="200"/>
      <c r="AD534" s="200"/>
      <c r="AE534" s="168"/>
      <c r="AF534" s="168"/>
      <c r="AG534" s="168"/>
      <c r="AH534" s="168"/>
      <c r="AI534" s="168"/>
      <c r="AJ534" s="168"/>
      <c r="AK534" s="162"/>
      <c r="AL534" s="162"/>
      <c r="AM534" s="162"/>
      <c r="AN534" s="162"/>
      <c r="AO534" s="162"/>
      <c r="AP534" s="458"/>
      <c r="AQ534" s="221"/>
      <c r="AR534" s="221"/>
      <c r="AS534" s="221"/>
      <c r="AT534" s="221"/>
      <c r="AU534" s="221"/>
      <c r="AV534" s="221"/>
      <c r="AW534" s="221"/>
      <c r="AX534" s="221"/>
      <c r="AY534" s="221"/>
      <c r="AZ534" s="221"/>
      <c r="BA534" s="13"/>
      <c r="BB534" s="129"/>
      <c r="BC534" s="129"/>
      <c r="BD534" s="129"/>
      <c r="BE534" s="129"/>
      <c r="BF534" s="129"/>
      <c r="BG534" s="129"/>
      <c r="BH534" s="129"/>
      <c r="BI534" s="129"/>
      <c r="BJ534" s="62"/>
      <c r="BK534" s="129"/>
      <c r="BL534" s="129"/>
      <c r="BM534" s="168"/>
      <c r="BN534" s="168"/>
      <c r="BO534" s="168"/>
      <c r="BP534" s="168"/>
      <c r="BQ534" s="168"/>
      <c r="BR534" s="168"/>
      <c r="BS534" s="168"/>
      <c r="BT534" s="168"/>
      <c r="BU534" s="302"/>
      <c r="BV534" s="168"/>
      <c r="BW534" s="168"/>
      <c r="BX534" s="168"/>
      <c r="BY534" s="168"/>
      <c r="BZ534" s="168"/>
      <c r="CB534" s="42"/>
      <c r="DS534" s="168"/>
    </row>
    <row r="535" spans="1:123" s="130" customFormat="1">
      <c r="A535" s="127"/>
      <c r="B535" s="70"/>
      <c r="C535" s="42"/>
      <c r="D535" s="42"/>
      <c r="E535" s="42"/>
      <c r="F535" s="42"/>
      <c r="G535" s="62"/>
      <c r="H535" s="62"/>
      <c r="I535" s="62"/>
      <c r="J535" s="62"/>
      <c r="K535" s="62"/>
      <c r="L535" s="62"/>
      <c r="M535" s="62"/>
      <c r="N535" s="62"/>
      <c r="O535" s="62"/>
      <c r="P535" s="62"/>
      <c r="Q535" s="62"/>
      <c r="R535" s="62"/>
      <c r="S535" s="62"/>
      <c r="T535" s="62"/>
      <c r="U535" s="128"/>
      <c r="V535" s="128"/>
      <c r="W535" s="128"/>
      <c r="X535" s="128"/>
      <c r="Y535" s="200"/>
      <c r="Z535" s="200"/>
      <c r="AA535" s="200"/>
      <c r="AB535" s="200"/>
      <c r="AC535" s="200"/>
      <c r="AD535" s="200"/>
      <c r="AE535" s="168"/>
      <c r="AF535" s="168"/>
      <c r="AG535" s="168"/>
      <c r="AH535" s="168"/>
      <c r="AI535" s="168"/>
      <c r="AJ535" s="168"/>
      <c r="AK535" s="200"/>
      <c r="AL535" s="200"/>
      <c r="AM535" s="200"/>
      <c r="AN535" s="200"/>
      <c r="AO535" s="200"/>
      <c r="AP535" s="463"/>
      <c r="AQ535" s="200"/>
      <c r="AR535" s="200"/>
      <c r="AS535" s="200"/>
      <c r="AT535" s="200"/>
      <c r="AU535" s="200"/>
      <c r="AV535" s="200"/>
      <c r="AW535" s="200"/>
      <c r="AX535" s="200"/>
      <c r="AY535" s="200"/>
      <c r="AZ535" s="200"/>
      <c r="BA535" s="13"/>
      <c r="BB535" s="129"/>
      <c r="BC535" s="129"/>
      <c r="BD535" s="129"/>
      <c r="BE535" s="129"/>
      <c r="BF535" s="129"/>
      <c r="BG535" s="129"/>
      <c r="BH535" s="129"/>
      <c r="BI535" s="129"/>
      <c r="BJ535" s="62"/>
      <c r="BK535" s="129"/>
      <c r="BL535" s="129"/>
      <c r="BM535" s="200"/>
      <c r="BN535" s="200"/>
      <c r="BO535" s="200"/>
      <c r="BP535" s="200"/>
      <c r="BQ535" s="200"/>
      <c r="BR535" s="200"/>
      <c r="BS535" s="200"/>
      <c r="BT535" s="200"/>
      <c r="BU535" s="463"/>
      <c r="BV535" s="200"/>
      <c r="BW535" s="200"/>
      <c r="BX535" s="200"/>
      <c r="BY535" s="200"/>
      <c r="BZ535" s="200"/>
      <c r="CB535" s="42"/>
      <c r="DS535" s="200"/>
    </row>
    <row r="536" spans="1:123" s="130" customFormat="1">
      <c r="A536" s="127"/>
      <c r="B536" s="70" t="s">
        <v>446</v>
      </c>
      <c r="C536" s="42"/>
      <c r="D536" s="42"/>
      <c r="E536" s="42"/>
      <c r="F536" s="42"/>
      <c r="G536" s="62"/>
      <c r="H536" s="62"/>
      <c r="I536" s="62"/>
      <c r="J536" s="62"/>
      <c r="K536" s="62"/>
      <c r="L536" s="62"/>
      <c r="M536" s="62"/>
      <c r="N536" s="62"/>
      <c r="O536" s="62"/>
      <c r="P536" s="62"/>
      <c r="Q536" s="62"/>
      <c r="R536" s="62"/>
      <c r="S536" s="62"/>
      <c r="T536" s="62"/>
      <c r="U536" s="128"/>
      <c r="V536" s="128"/>
      <c r="W536" s="128"/>
      <c r="X536" s="128"/>
      <c r="Y536" s="200"/>
      <c r="Z536" s="200"/>
      <c r="AA536" s="200"/>
      <c r="AB536" s="200"/>
      <c r="AC536" s="200"/>
      <c r="AD536" s="200"/>
      <c r="AE536" s="168">
        <f t="shared" ref="AE536:AP536" si="695">AE515+SUM(AE518:AE520,AE525:AE527,AE523,AE531:AE533)-AE537</f>
        <v>0.9299999999999784</v>
      </c>
      <c r="AF536" s="168">
        <f t="shared" si="695"/>
        <v>11.093000000000039</v>
      </c>
      <c r="AG536" s="168">
        <f t="shared" si="695"/>
        <v>-23.063000000000041</v>
      </c>
      <c r="AH536" s="168">
        <f t="shared" si="695"/>
        <v>1.3180000000000476</v>
      </c>
      <c r="AI536" s="168">
        <f t="shared" si="695"/>
        <v>-10.238000000000021</v>
      </c>
      <c r="AJ536" s="168">
        <f t="shared" si="695"/>
        <v>-25.13999999999993</v>
      </c>
      <c r="AK536" s="162">
        <f t="shared" si="695"/>
        <v>58.712999999999916</v>
      </c>
      <c r="AL536" s="162">
        <f t="shared" si="695"/>
        <v>56.217199999999792</v>
      </c>
      <c r="AM536" s="162">
        <f t="shared" si="695"/>
        <v>-39.038999999999859</v>
      </c>
      <c r="AN536" s="162">
        <f t="shared" si="695"/>
        <v>149.60500000000002</v>
      </c>
      <c r="AO536" s="162">
        <f t="shared" si="695"/>
        <v>65.691999999999908</v>
      </c>
      <c r="AP536" s="458">
        <f t="shared" si="695"/>
        <v>-174.47799999999989</v>
      </c>
      <c r="AQ536" s="221">
        <v>0</v>
      </c>
      <c r="AR536" s="221">
        <v>0</v>
      </c>
      <c r="AS536" s="221">
        <v>0</v>
      </c>
      <c r="AT536" s="221">
        <v>0</v>
      </c>
      <c r="AU536" s="221">
        <v>0</v>
      </c>
      <c r="AV536" s="221">
        <v>0</v>
      </c>
      <c r="AW536" s="221">
        <v>0</v>
      </c>
      <c r="AX536" s="221">
        <v>0</v>
      </c>
      <c r="AY536" s="221">
        <v>0</v>
      </c>
      <c r="AZ536" s="221">
        <v>0</v>
      </c>
      <c r="BA536" s="13"/>
      <c r="BB536" s="129"/>
      <c r="BC536" s="129"/>
      <c r="BD536" s="129"/>
      <c r="BE536" s="129"/>
      <c r="BF536" s="129"/>
      <c r="BG536" s="129"/>
      <c r="BH536" s="129"/>
      <c r="BI536" s="129"/>
      <c r="BJ536" s="62"/>
      <c r="BK536" s="129"/>
      <c r="BL536" s="129"/>
      <c r="BM536" s="168">
        <f>SUM(Y536:Z536)</f>
        <v>0</v>
      </c>
      <c r="BN536" s="168">
        <f>SUM(AA536:AB536)</f>
        <v>0</v>
      </c>
      <c r="BO536" s="168">
        <f>SUM(AC536:AD536)</f>
        <v>0</v>
      </c>
      <c r="BP536" s="168">
        <f>SUM(AE536:AF536)</f>
        <v>12.023000000000017</v>
      </c>
      <c r="BQ536" s="168">
        <f>SUM(AG536:AH536)</f>
        <v>-21.744999999999994</v>
      </c>
      <c r="BR536" s="168">
        <f>SUM(AI536:AJ536)</f>
        <v>-35.37799999999995</v>
      </c>
      <c r="BS536" s="168">
        <f>SUM(AJ536:AK536)</f>
        <v>33.572999999999986</v>
      </c>
      <c r="BT536" s="168">
        <f>SUM(AM536:AN536)</f>
        <v>110.56600000000016</v>
      </c>
      <c r="BU536" s="302">
        <f>SUM(AO536:AP536)</f>
        <v>-108.78599999999999</v>
      </c>
      <c r="BV536" s="168">
        <f>SUM(AQ536:AR536)</f>
        <v>0</v>
      </c>
      <c r="BW536" s="168">
        <f>SUM(AS536:AT536)</f>
        <v>0</v>
      </c>
      <c r="BX536" s="168">
        <f>SUM(AU536:AV536)</f>
        <v>0</v>
      </c>
      <c r="BY536" s="168">
        <f>SUM(AW536:AX536)</f>
        <v>0</v>
      </c>
      <c r="BZ536" s="168">
        <f>SUM(AY536:AZ536)</f>
        <v>0</v>
      </c>
      <c r="CB536" s="42" t="s">
        <v>609</v>
      </c>
      <c r="DS536" s="168">
        <f>SUM(CU536:CV536)</f>
        <v>0</v>
      </c>
    </row>
    <row r="537" spans="1:123" s="130" customFormat="1">
      <c r="A537" s="127"/>
      <c r="B537" s="75" t="s">
        <v>447</v>
      </c>
      <c r="C537" s="42"/>
      <c r="D537" s="42"/>
      <c r="E537" s="42"/>
      <c r="F537" s="42"/>
      <c r="G537" s="62"/>
      <c r="H537" s="62"/>
      <c r="I537" s="62"/>
      <c r="J537" s="62"/>
      <c r="K537" s="62"/>
      <c r="L537" s="62"/>
      <c r="M537" s="62"/>
      <c r="N537" s="62"/>
      <c r="O537" s="62"/>
      <c r="P537" s="62"/>
      <c r="Q537" s="62"/>
      <c r="R537" s="62"/>
      <c r="S537" s="62"/>
      <c r="T537" s="62"/>
      <c r="U537" s="128"/>
      <c r="V537" s="128"/>
      <c r="W537" s="128"/>
      <c r="X537" s="128"/>
      <c r="Y537" s="200"/>
      <c r="Z537" s="200"/>
      <c r="AA537" s="200"/>
      <c r="AB537" s="200"/>
      <c r="AC537" s="200"/>
      <c r="AD537" s="200"/>
      <c r="AE537" s="200">
        <f t="shared" ref="AE537:AP537" si="696">AE485</f>
        <v>32.860999999999997</v>
      </c>
      <c r="AF537" s="200">
        <f t="shared" si="696"/>
        <v>45.134000000000007</v>
      </c>
      <c r="AG537" s="200">
        <f t="shared" si="696"/>
        <v>50.050000000000026</v>
      </c>
      <c r="AH537" s="200">
        <f t="shared" si="696"/>
        <v>33.789999999999949</v>
      </c>
      <c r="AI537" s="200">
        <f t="shared" si="696"/>
        <v>44.919000000000032</v>
      </c>
      <c r="AJ537" s="200">
        <f t="shared" si="696"/>
        <v>57.041999999999959</v>
      </c>
      <c r="AK537" s="200">
        <f t="shared" si="696"/>
        <v>23.607999999999997</v>
      </c>
      <c r="AL537" s="200">
        <f t="shared" si="696"/>
        <v>89.768000000000001</v>
      </c>
      <c r="AM537" s="200">
        <f t="shared" si="696"/>
        <v>42.781999999999996</v>
      </c>
      <c r="AN537" s="200">
        <f t="shared" si="696"/>
        <v>86.428000000000011</v>
      </c>
      <c r="AO537" s="200">
        <f t="shared" si="696"/>
        <v>102.13100000000001</v>
      </c>
      <c r="AP537" s="463">
        <f t="shared" si="696"/>
        <v>187.90099999999995</v>
      </c>
      <c r="AQ537" s="200">
        <f t="shared" ref="AQ537:AZ537" si="697">SUM(AQ536,AQ531:AQ533,AQ525:AQ528,AQ523,AQ518:AQ520,AQ515)</f>
        <v>90.691559664724792</v>
      </c>
      <c r="AR537" s="200">
        <f t="shared" si="697"/>
        <v>132.55756158196562</v>
      </c>
      <c r="AS537" s="200">
        <f t="shared" si="697"/>
        <v>96.881442472322675</v>
      </c>
      <c r="AT537" s="200">
        <f t="shared" si="697"/>
        <v>143.30597015068474</v>
      </c>
      <c r="AU537" s="200">
        <f t="shared" si="697"/>
        <v>107.66598911225353</v>
      </c>
      <c r="AV537" s="200">
        <f t="shared" si="697"/>
        <v>154.68117773405899</v>
      </c>
      <c r="AW537" s="200">
        <f t="shared" si="697"/>
        <v>117.736361003748</v>
      </c>
      <c r="AX537" s="200">
        <f t="shared" si="697"/>
        <v>166.8042425444915</v>
      </c>
      <c r="AY537" s="200">
        <f t="shared" si="697"/>
        <v>128.5094158985689</v>
      </c>
      <c r="AZ537" s="200">
        <f t="shared" si="697"/>
        <v>179.72304504020687</v>
      </c>
      <c r="BA537" s="13"/>
      <c r="BB537" s="129"/>
      <c r="BC537" s="129"/>
      <c r="BD537" s="129"/>
      <c r="BE537" s="129"/>
      <c r="BF537" s="129"/>
      <c r="BG537" s="129"/>
      <c r="BH537" s="129"/>
      <c r="BI537" s="129"/>
      <c r="BJ537" s="62"/>
      <c r="BK537" s="129"/>
      <c r="BL537" s="129"/>
      <c r="BM537" s="168">
        <f>SUM(Y537:Z537)</f>
        <v>0</v>
      </c>
      <c r="BN537" s="168">
        <f>SUM(AA537:AB537)</f>
        <v>0</v>
      </c>
      <c r="BO537" s="168">
        <f>SUM(AC537:AD537)</f>
        <v>0</v>
      </c>
      <c r="BP537" s="168">
        <f>SUM(AE537:AF537)</f>
        <v>77.995000000000005</v>
      </c>
      <c r="BQ537" s="168">
        <f>SUM(AG537:AH537)</f>
        <v>83.839999999999975</v>
      </c>
      <c r="BR537" s="168">
        <f>SUM(AI537:AJ537)</f>
        <v>101.96099999999998</v>
      </c>
      <c r="BS537" s="168">
        <f>SUM(AJ537:AK537)</f>
        <v>80.649999999999949</v>
      </c>
      <c r="BT537" s="168">
        <f t="shared" ref="BT537:BZ537" si="698">SUM(BT536,BT531:BT533,BT525:BT528,BT523,BT518:BT520,BT515)</f>
        <v>112.49100000000011</v>
      </c>
      <c r="BU537" s="302">
        <f t="shared" si="698"/>
        <v>-3.032999999999987</v>
      </c>
      <c r="BV537" s="168">
        <f t="shared" si="698"/>
        <v>217.24912124669041</v>
      </c>
      <c r="BW537" s="168">
        <f t="shared" si="698"/>
        <v>234.18741262300742</v>
      </c>
      <c r="BX537" s="168">
        <f t="shared" si="698"/>
        <v>256.34716684631252</v>
      </c>
      <c r="BY537" s="168">
        <f t="shared" si="698"/>
        <v>278.54060354823952</v>
      </c>
      <c r="BZ537" s="168">
        <f t="shared" si="698"/>
        <v>302.23246093877577</v>
      </c>
      <c r="CB537" s="42" t="s">
        <v>609</v>
      </c>
      <c r="DS537" s="168">
        <f t="shared" ref="DS537" si="699">SUM(DS536,DS531:DS533,DS525:DS528,DS523,DS518:DS520,DS515)</f>
        <v>0</v>
      </c>
    </row>
    <row r="538" spans="1:123" s="40" customFormat="1">
      <c r="A538" s="10"/>
      <c r="B538" s="28"/>
      <c r="C538" s="28"/>
      <c r="D538" s="28"/>
      <c r="E538" s="28"/>
      <c r="F538" s="28"/>
      <c r="G538" s="20"/>
      <c r="H538" s="20"/>
      <c r="I538" s="20"/>
      <c r="J538" s="20"/>
      <c r="K538" s="20"/>
      <c r="L538" s="20"/>
      <c r="M538" s="20"/>
      <c r="N538" s="20"/>
      <c r="O538" s="20"/>
      <c r="P538" s="20"/>
      <c r="Q538" s="20"/>
      <c r="R538" s="20"/>
      <c r="S538" s="20"/>
      <c r="T538" s="20"/>
      <c r="U538" s="118"/>
      <c r="V538" s="118"/>
      <c r="W538" s="118"/>
      <c r="X538" s="118"/>
      <c r="Y538" s="118"/>
      <c r="Z538" s="118"/>
      <c r="AA538" s="118"/>
      <c r="AB538" s="118"/>
      <c r="AC538" s="118"/>
      <c r="AD538" s="118"/>
      <c r="AE538" s="118"/>
      <c r="AF538" s="118"/>
      <c r="AG538" s="118"/>
      <c r="AH538" s="118"/>
      <c r="AI538" s="118"/>
      <c r="AJ538" s="118"/>
      <c r="AK538" s="118"/>
      <c r="AL538" s="118"/>
      <c r="AM538" s="118"/>
      <c r="AN538" s="118"/>
      <c r="AO538" s="118"/>
      <c r="AP538" s="475"/>
      <c r="AQ538" s="118"/>
      <c r="AR538" s="118"/>
      <c r="AS538" s="118"/>
      <c r="AT538" s="118"/>
      <c r="AU538" s="118"/>
      <c r="AV538" s="118"/>
      <c r="AW538" s="118"/>
      <c r="AX538" s="118"/>
      <c r="AY538" s="118"/>
      <c r="AZ538" s="118"/>
      <c r="BA538" s="13"/>
      <c r="BB538" s="13"/>
      <c r="BC538" s="13"/>
      <c r="BD538" s="13"/>
      <c r="BE538" s="13"/>
      <c r="BF538" s="13"/>
      <c r="BG538" s="13"/>
      <c r="BH538" s="13"/>
      <c r="BI538" s="13"/>
      <c r="BJ538" s="20"/>
      <c r="BK538" s="13"/>
      <c r="BL538" s="13"/>
      <c r="BM538" s="13"/>
      <c r="BN538" s="13"/>
      <c r="BO538" s="13"/>
      <c r="BP538" s="13"/>
      <c r="BQ538" s="13"/>
      <c r="BR538" s="13"/>
      <c r="BS538" s="13"/>
      <c r="BT538" s="13"/>
      <c r="BU538" s="476"/>
      <c r="BV538" s="13"/>
      <c r="BW538" s="13"/>
      <c r="BX538" s="13"/>
      <c r="BY538" s="13"/>
      <c r="BZ538" s="13"/>
      <c r="CB538" s="28"/>
      <c r="DS538" s="13"/>
    </row>
    <row r="539" spans="1:123" s="40" customFormat="1">
      <c r="A539" s="10"/>
      <c r="B539" s="11" t="s">
        <v>118</v>
      </c>
      <c r="C539" s="11"/>
      <c r="D539" s="11"/>
      <c r="E539" s="11"/>
      <c r="F539" s="11"/>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298"/>
      <c r="AQ539" s="12"/>
      <c r="AR539" s="12"/>
      <c r="AS539" s="12"/>
      <c r="AT539" s="12"/>
      <c r="AU539" s="12"/>
      <c r="AV539" s="12"/>
      <c r="AW539" s="12"/>
      <c r="AX539" s="12"/>
      <c r="AY539" s="12"/>
      <c r="AZ539" s="12"/>
      <c r="BA539" s="13"/>
      <c r="BB539" s="12"/>
      <c r="BC539" s="12"/>
      <c r="BD539" s="12"/>
      <c r="BE539" s="12"/>
      <c r="BF539" s="12"/>
      <c r="BG539" s="12"/>
      <c r="BH539" s="12"/>
      <c r="BI539" s="12"/>
      <c r="BJ539" s="26"/>
      <c r="BK539" s="12"/>
      <c r="BL539" s="12"/>
      <c r="BM539" s="12"/>
      <c r="BN539" s="12"/>
      <c r="BO539" s="12"/>
      <c r="BP539" s="12"/>
      <c r="BQ539" s="12"/>
      <c r="BR539" s="12"/>
      <c r="BS539" s="12"/>
      <c r="BT539" s="12"/>
      <c r="BU539" s="298"/>
      <c r="BV539" s="12"/>
      <c r="BW539" s="12"/>
      <c r="BX539" s="12"/>
      <c r="BY539" s="12"/>
      <c r="BZ539" s="12"/>
      <c r="CB539" s="28"/>
      <c r="DS539" s="12"/>
    </row>
    <row r="540" spans="1:123" s="40" customFormat="1">
      <c r="A540" s="10"/>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476"/>
      <c r="AQ540" s="13"/>
      <c r="AR540" s="13"/>
      <c r="AS540" s="13"/>
      <c r="AT540" s="13"/>
      <c r="AU540" s="13"/>
      <c r="AV540" s="13"/>
      <c r="AW540" s="13"/>
      <c r="AX540" s="13"/>
      <c r="AY540" s="13"/>
      <c r="AZ540" s="13"/>
      <c r="BA540" s="131"/>
      <c r="BB540" s="13"/>
      <c r="BC540" s="13"/>
      <c r="BD540" s="13"/>
      <c r="BE540" s="13"/>
      <c r="BF540" s="13"/>
      <c r="BG540" s="13"/>
      <c r="BH540" s="13"/>
      <c r="BI540" s="13"/>
      <c r="BJ540" s="20"/>
      <c r="BK540" s="13"/>
      <c r="BL540" s="13"/>
      <c r="BM540" s="13"/>
      <c r="BN540" s="13"/>
      <c r="BO540" s="13"/>
      <c r="BP540" s="13"/>
      <c r="BQ540" s="13"/>
      <c r="BR540" s="13"/>
      <c r="BS540" s="13"/>
      <c r="BU540" s="514"/>
      <c r="CB540" s="28"/>
    </row>
    <row r="541" spans="1:123" ht="11.25" customHeight="1">
      <c r="B541" s="28" t="s">
        <v>27</v>
      </c>
      <c r="C541" s="28"/>
      <c r="D541" s="28"/>
      <c r="E541" s="28"/>
      <c r="F541" s="28"/>
      <c r="G541" s="131"/>
      <c r="H541" s="131"/>
      <c r="I541" s="131"/>
      <c r="J541" s="131"/>
      <c r="K541" s="131"/>
      <c r="L541" s="131"/>
      <c r="M541" s="131"/>
      <c r="N541" s="131"/>
      <c r="O541" s="131"/>
      <c r="P541" s="131"/>
      <c r="Q541" s="131"/>
      <c r="R541" s="131"/>
      <c r="S541" s="131"/>
      <c r="T541" s="131"/>
      <c r="U541" s="131"/>
      <c r="V541" s="131"/>
      <c r="W541" s="131"/>
      <c r="X541" s="131"/>
      <c r="Y541" s="337"/>
      <c r="AA541" s="337"/>
      <c r="AB541" s="337"/>
      <c r="AC541" s="337"/>
      <c r="AD541" s="337"/>
      <c r="AE541" s="337"/>
      <c r="AF541" s="337"/>
      <c r="AG541" s="337"/>
      <c r="AH541" s="337"/>
      <c r="AI541" s="337" t="s">
        <v>526</v>
      </c>
      <c r="AJ541" s="131"/>
      <c r="AK541" s="131" t="s">
        <v>526</v>
      </c>
      <c r="AL541" s="131"/>
      <c r="AM541" s="131"/>
      <c r="AN541" s="131"/>
      <c r="AO541" s="131"/>
      <c r="AP541" s="477"/>
      <c r="AQ541" s="131"/>
      <c r="AR541" s="131"/>
      <c r="AS541" s="131"/>
      <c r="AT541" s="131"/>
      <c r="AU541" s="131"/>
      <c r="AV541" s="131"/>
      <c r="AW541" s="131"/>
      <c r="AX541" s="131"/>
      <c r="AY541" s="131"/>
      <c r="AZ541" s="131"/>
      <c r="BA541" s="131"/>
      <c r="BB541" s="131"/>
      <c r="BC541" s="131"/>
      <c r="BD541" s="131"/>
      <c r="BE541" s="131"/>
      <c r="BF541" s="131"/>
      <c r="BG541" s="131"/>
      <c r="BH541" s="131"/>
      <c r="BI541" s="131"/>
      <c r="BJ541" s="131"/>
      <c r="BK541" s="131"/>
      <c r="BL541" s="131"/>
      <c r="BM541" s="131"/>
      <c r="BN541" s="131"/>
      <c r="BO541" s="131"/>
      <c r="BP541" s="131"/>
      <c r="BQ541" s="131"/>
      <c r="BR541" s="131"/>
      <c r="BS541" s="131"/>
    </row>
    <row r="542" spans="1:123">
      <c r="A542" s="10" t="s">
        <v>160</v>
      </c>
      <c r="B542" s="23" t="s">
        <v>7</v>
      </c>
      <c r="C542" s="132"/>
      <c r="D542" s="132"/>
      <c r="E542" s="132"/>
      <c r="F542" s="132"/>
      <c r="G542" s="132"/>
      <c r="H542" s="132"/>
      <c r="I542" s="132"/>
      <c r="J542" s="132"/>
      <c r="K542" s="132"/>
      <c r="L542" s="132"/>
      <c r="M542" s="132"/>
      <c r="N542" s="132"/>
      <c r="O542" s="132"/>
      <c r="P542" s="132"/>
      <c r="Q542" s="132"/>
      <c r="R542" s="132"/>
      <c r="S542" s="132"/>
      <c r="T542" s="132"/>
      <c r="U542" s="132"/>
      <c r="V542" s="132"/>
      <c r="W542" s="132"/>
      <c r="X542" s="132"/>
      <c r="Y542" s="132">
        <f t="shared" ref="Y542:AP543" si="700">Y276</f>
        <v>0.19400000000000001</v>
      </c>
      <c r="Z542" s="132">
        <f t="shared" si="700"/>
        <v>0.3223983732477263</v>
      </c>
      <c r="AA542" s="132">
        <f t="shared" si="700"/>
        <v>0.372</v>
      </c>
      <c r="AB542" s="132">
        <f t="shared" si="700"/>
        <v>0.35660542956200098</v>
      </c>
      <c r="AC542" s="132">
        <f t="shared" si="700"/>
        <v>0.30133303466516909</v>
      </c>
      <c r="AD542" s="132">
        <f t="shared" si="700"/>
        <v>0.41002687051858677</v>
      </c>
      <c r="AE542" s="132">
        <f t="shared" si="700"/>
        <v>0.2253708230011213</v>
      </c>
      <c r="AF542" s="132">
        <f t="shared" si="700"/>
        <v>0.412185990993435</v>
      </c>
      <c r="AG542" s="132">
        <f t="shared" si="700"/>
        <v>0.31347779298954886</v>
      </c>
      <c r="AH542" s="132">
        <f t="shared" si="700"/>
        <v>0.63797700158888304</v>
      </c>
      <c r="AI542" s="132">
        <f t="shared" si="700"/>
        <v>0.39887714551668219</v>
      </c>
      <c r="AJ542" s="132">
        <f t="shared" si="700"/>
        <v>0.66825177017740967</v>
      </c>
      <c r="AK542" s="132">
        <f t="shared" si="700"/>
        <v>3.7588194787186295E-3</v>
      </c>
      <c r="AL542" s="132">
        <f t="shared" si="700"/>
        <v>0.64994941755060776</v>
      </c>
      <c r="AM542" s="132">
        <f t="shared" si="700"/>
        <v>0.49004839416997054</v>
      </c>
      <c r="AN542" s="132">
        <f t="shared" si="700"/>
        <v>0.76959162240462076</v>
      </c>
      <c r="AO542" s="132">
        <f t="shared" si="700"/>
        <v>0.22630631438111201</v>
      </c>
      <c r="AP542" s="478">
        <f t="shared" si="700"/>
        <v>1.3182221117148782</v>
      </c>
      <c r="AQ542" s="792"/>
      <c r="AR542" s="792"/>
      <c r="AS542" s="792"/>
      <c r="AT542" s="792"/>
      <c r="AU542" s="792"/>
      <c r="AV542" s="792"/>
      <c r="AW542" s="792"/>
      <c r="AX542" s="792"/>
      <c r="AY542" s="792"/>
      <c r="AZ542" s="792"/>
      <c r="BA542" s="131"/>
      <c r="BB542" s="131"/>
      <c r="BC542" s="132"/>
      <c r="BD542" s="132"/>
      <c r="BE542" s="132"/>
      <c r="BF542" s="132"/>
      <c r="BG542" s="132"/>
      <c r="BH542" s="132"/>
      <c r="BI542" s="132"/>
      <c r="BJ542" s="132"/>
      <c r="BK542" s="132"/>
      <c r="BL542" s="132"/>
      <c r="BM542" s="132">
        <f t="shared" ref="BM542:BU543" si="701">BM276</f>
        <v>0.51667691103264646</v>
      </c>
      <c r="BN542" s="132">
        <f t="shared" si="701"/>
        <v>0.72862282955131308</v>
      </c>
      <c r="BO542" s="132">
        <f t="shared" si="701"/>
        <v>0.69491184458207</v>
      </c>
      <c r="BP542" s="132">
        <f t="shared" si="701"/>
        <v>0.6372958602354728</v>
      </c>
      <c r="BQ542" s="132">
        <f t="shared" si="701"/>
        <v>0.95091966714243381</v>
      </c>
      <c r="BR542" s="132">
        <f t="shared" si="701"/>
        <v>1.0560447312726986</v>
      </c>
      <c r="BS542" s="132">
        <f t="shared" si="701"/>
        <v>0.6535953604375131</v>
      </c>
      <c r="BT542" s="132">
        <f t="shared" si="701"/>
        <v>1.2566048371163843</v>
      </c>
      <c r="BU542" s="478">
        <f t="shared" si="701"/>
        <v>1.5445094018208716</v>
      </c>
      <c r="BV542" s="792"/>
      <c r="BW542" s="792"/>
      <c r="BX542" s="792"/>
      <c r="BY542" s="792"/>
      <c r="BZ542" s="792"/>
      <c r="DS542" s="792"/>
    </row>
    <row r="543" spans="1:123">
      <c r="A543" s="10" t="s">
        <v>161</v>
      </c>
      <c r="B543" s="23" t="s">
        <v>8</v>
      </c>
      <c r="C543" s="132"/>
      <c r="D543" s="132"/>
      <c r="E543" s="132"/>
      <c r="F543" s="132"/>
      <c r="G543" s="132"/>
      <c r="H543" s="132"/>
      <c r="I543" s="132"/>
      <c r="J543" s="132"/>
      <c r="K543" s="132"/>
      <c r="L543" s="132"/>
      <c r="M543" s="132"/>
      <c r="N543" s="132"/>
      <c r="O543" s="132"/>
      <c r="P543" s="132"/>
      <c r="Q543" s="132"/>
      <c r="R543" s="132"/>
      <c r="S543" s="132"/>
      <c r="T543" s="132"/>
      <c r="U543" s="132"/>
      <c r="V543" s="132"/>
      <c r="W543" s="132"/>
      <c r="X543" s="132"/>
      <c r="Y543" s="132">
        <f t="shared" si="700"/>
        <v>0.193</v>
      </c>
      <c r="Z543" s="132">
        <f t="shared" si="700"/>
        <v>0.32132877503551416</v>
      </c>
      <c r="AA543" s="132">
        <f t="shared" si="700"/>
        <v>0.37</v>
      </c>
      <c r="AB543" s="132">
        <f t="shared" si="700"/>
        <v>0.35526151541630241</v>
      </c>
      <c r="AC543" s="132">
        <f t="shared" si="700"/>
        <v>0.30088720370579314</v>
      </c>
      <c r="AD543" s="132">
        <f t="shared" si="700"/>
        <v>0.40955019088899747</v>
      </c>
      <c r="AE543" s="132">
        <f t="shared" si="700"/>
        <v>0.22511072420111194</v>
      </c>
      <c r="AF543" s="132">
        <f t="shared" si="700"/>
        <v>0.41122658871928119</v>
      </c>
      <c r="AG543" s="132">
        <f t="shared" si="700"/>
        <v>0.3129442415256824</v>
      </c>
      <c r="AH543" s="132">
        <f t="shared" si="700"/>
        <v>0.63607560949414665</v>
      </c>
      <c r="AI543" s="132">
        <f t="shared" si="700"/>
        <v>0.39689999999999998</v>
      </c>
      <c r="AJ543" s="132">
        <f t="shared" si="700"/>
        <v>0.66591160580615771</v>
      </c>
      <c r="AK543" s="132">
        <f t="shared" si="700"/>
        <v>3.8E-3</v>
      </c>
      <c r="AL543" s="132">
        <f t="shared" si="700"/>
        <v>0.64716207725373276</v>
      </c>
      <c r="AM543" s="132">
        <f t="shared" si="700"/>
        <v>0.49004839416997054</v>
      </c>
      <c r="AN543" s="132">
        <f t="shared" si="700"/>
        <v>0.76428226768269891</v>
      </c>
      <c r="AO543" s="132">
        <f t="shared" si="700"/>
        <v>0.22630631438111201</v>
      </c>
      <c r="AP543" s="478">
        <f t="shared" si="700"/>
        <v>1.3079279969360396</v>
      </c>
      <c r="AQ543" s="792"/>
      <c r="AR543" s="792"/>
      <c r="AS543" s="792"/>
      <c r="AT543" s="792"/>
      <c r="AU543" s="792"/>
      <c r="AV543" s="792"/>
      <c r="AW543" s="792"/>
      <c r="AX543" s="792"/>
      <c r="AY543" s="792"/>
      <c r="AZ543" s="792"/>
      <c r="BA543" s="131"/>
      <c r="BB543" s="131"/>
      <c r="BC543" s="132"/>
      <c r="BD543" s="132"/>
      <c r="BE543" s="132"/>
      <c r="BF543" s="132"/>
      <c r="BG543" s="132"/>
      <c r="BH543" s="132"/>
      <c r="BI543" s="132"/>
      <c r="BJ543" s="132"/>
      <c r="BK543" s="132"/>
      <c r="BL543" s="132"/>
      <c r="BM543" s="132">
        <f t="shared" si="701"/>
        <v>0.51496276869760693</v>
      </c>
      <c r="BN543" s="132">
        <f t="shared" si="701"/>
        <v>0.72587691923605058</v>
      </c>
      <c r="BO543" s="132">
        <f t="shared" si="701"/>
        <v>0.69410396991704215</v>
      </c>
      <c r="BP543" s="132">
        <f t="shared" si="701"/>
        <v>0.6358124932337339</v>
      </c>
      <c r="BQ543" s="132">
        <f t="shared" si="701"/>
        <v>0.94808559768016321</v>
      </c>
      <c r="BR543" s="132">
        <f t="shared" si="701"/>
        <v>1.0523465468983924</v>
      </c>
      <c r="BS543" s="132">
        <f t="shared" si="701"/>
        <v>0.65079238433382869</v>
      </c>
      <c r="BT543" s="132">
        <f t="shared" si="701"/>
        <v>1.2479356148544689</v>
      </c>
      <c r="BU543" s="478">
        <f t="shared" si="701"/>
        <v>1.5324481892846504</v>
      </c>
      <c r="BV543" s="792"/>
      <c r="BW543" s="792"/>
      <c r="BX543" s="792"/>
      <c r="BY543" s="792"/>
      <c r="BZ543" s="792"/>
      <c r="DS543" s="792"/>
    </row>
    <row r="544" spans="1:123">
      <c r="A544" s="10" t="s">
        <v>162</v>
      </c>
      <c r="B544" s="133" t="s">
        <v>153</v>
      </c>
      <c r="C544" s="132"/>
      <c r="D544" s="132"/>
      <c r="E544" s="132"/>
      <c r="F544" s="132"/>
      <c r="G544" s="431"/>
      <c r="H544" s="431"/>
      <c r="I544" s="431"/>
      <c r="J544" s="431"/>
      <c r="K544" s="431"/>
      <c r="L544" s="431"/>
      <c r="M544" s="431"/>
      <c r="N544" s="431"/>
      <c r="O544" s="431"/>
      <c r="P544" s="431"/>
      <c r="Q544" s="431"/>
      <c r="R544" s="431"/>
      <c r="S544" s="431"/>
      <c r="T544" s="431"/>
      <c r="U544" s="431"/>
      <c r="V544" s="431"/>
      <c r="W544" s="431"/>
      <c r="X544" s="431"/>
      <c r="Y544" s="431"/>
      <c r="Z544" s="431">
        <f t="shared" ref="Z544:AP544" si="702">Z543/Y543-1</f>
        <v>0.66491593282649819</v>
      </c>
      <c r="AA544" s="431">
        <f t="shared" si="702"/>
        <v>0.15146861640108811</v>
      </c>
      <c r="AB544" s="431">
        <f t="shared" si="702"/>
        <v>-3.9833742118101534E-2</v>
      </c>
      <c r="AC544" s="431">
        <f t="shared" si="702"/>
        <v>-0.15305432575997535</v>
      </c>
      <c r="AD544" s="431">
        <f t="shared" si="702"/>
        <v>0.36114193573168629</v>
      </c>
      <c r="AE544" s="431">
        <f t="shared" si="702"/>
        <v>-0.45034643076964187</v>
      </c>
      <c r="AF544" s="431">
        <f t="shared" si="702"/>
        <v>0.82677475797152589</v>
      </c>
      <c r="AG544" s="431">
        <f t="shared" si="702"/>
        <v>-0.23899803633730998</v>
      </c>
      <c r="AH544" s="431">
        <f t="shared" si="702"/>
        <v>1.0325525288246782</v>
      </c>
      <c r="AI544" s="431">
        <f t="shared" si="702"/>
        <v>-0.37601757703672434</v>
      </c>
      <c r="AJ544" s="431">
        <f t="shared" si="702"/>
        <v>0.67778182364867168</v>
      </c>
      <c r="AK544" s="431">
        <f t="shared" si="702"/>
        <v>-0.99429353690960276</v>
      </c>
      <c r="AL544" s="431">
        <f t="shared" si="702"/>
        <v>169.3058098036139</v>
      </c>
      <c r="AM544" s="431">
        <f t="shared" si="702"/>
        <v>-0.24277331538102886</v>
      </c>
      <c r="AN544" s="431">
        <f t="shared" si="702"/>
        <v>0.55960569767240553</v>
      </c>
      <c r="AO544" s="431">
        <f t="shared" si="702"/>
        <v>-0.70389694495036248</v>
      </c>
      <c r="AP544" s="449">
        <f t="shared" si="702"/>
        <v>4.7794586974423456</v>
      </c>
      <c r="AQ544" s="792"/>
      <c r="AR544" s="792"/>
      <c r="AS544" s="792"/>
      <c r="AT544" s="792"/>
      <c r="AU544" s="792"/>
      <c r="AV544" s="792"/>
      <c r="AW544" s="792"/>
      <c r="AX544" s="792"/>
      <c r="AY544" s="792"/>
      <c r="AZ544" s="792"/>
      <c r="BB544" s="131"/>
      <c r="BC544" s="431"/>
      <c r="BD544" s="431"/>
      <c r="BE544" s="431"/>
      <c r="BF544" s="431"/>
      <c r="BG544" s="431"/>
      <c r="BH544" s="431"/>
      <c r="BI544" s="431"/>
      <c r="BJ544" s="431"/>
      <c r="BK544" s="431"/>
      <c r="BL544" s="431"/>
      <c r="BM544" s="431"/>
      <c r="BN544" s="431">
        <f t="shared" ref="BN544:BU544" si="703">BN543/BM543-1</f>
        <v>0.4095716493677144</v>
      </c>
      <c r="BO544" s="431">
        <f t="shared" si="703"/>
        <v>-4.3771813756591005E-2</v>
      </c>
      <c r="BP544" s="431">
        <f t="shared" si="703"/>
        <v>-8.3980900858808161E-2</v>
      </c>
      <c r="BQ544" s="431">
        <f t="shared" si="703"/>
        <v>0.49114024617259799</v>
      </c>
      <c r="BR544" s="431">
        <f t="shared" si="703"/>
        <v>0.10996997472943537</v>
      </c>
      <c r="BS544" s="431">
        <f t="shared" si="703"/>
        <v>-0.38157977877921911</v>
      </c>
      <c r="BT544" s="431">
        <f t="shared" si="703"/>
        <v>0.91756333493652442</v>
      </c>
      <c r="BU544" s="449">
        <f t="shared" si="703"/>
        <v>0.22798658123348825</v>
      </c>
      <c r="BV544" s="792"/>
      <c r="BW544" s="792"/>
      <c r="BX544" s="792"/>
      <c r="BY544" s="792"/>
      <c r="BZ544" s="792"/>
      <c r="DS544" s="792"/>
    </row>
    <row r="545" spans="1:123">
      <c r="A545" s="10" t="s">
        <v>70</v>
      </c>
      <c r="B545" s="23" t="s">
        <v>137</v>
      </c>
      <c r="C545" s="134"/>
      <c r="D545" s="134"/>
      <c r="E545" s="134"/>
      <c r="F545" s="134"/>
      <c r="G545" s="134"/>
      <c r="H545" s="134"/>
      <c r="I545" s="134"/>
      <c r="J545" s="134"/>
      <c r="K545" s="134"/>
      <c r="L545" s="134"/>
      <c r="M545" s="134"/>
      <c r="N545" s="134"/>
      <c r="O545" s="134"/>
      <c r="P545" s="134"/>
      <c r="Q545" s="134"/>
      <c r="R545" s="134"/>
      <c r="S545" s="134"/>
      <c r="T545" s="134"/>
      <c r="U545" s="134"/>
      <c r="V545" s="134"/>
      <c r="W545" s="134"/>
      <c r="X545" s="134"/>
      <c r="Y545" s="134">
        <f t="shared" ref="Y545:AZ546" si="704">Y23</f>
        <v>0.125</v>
      </c>
      <c r="Z545" s="134">
        <f t="shared" si="704"/>
        <v>0.29499999999999998</v>
      </c>
      <c r="AA545" s="134">
        <f t="shared" si="704"/>
        <v>0.13500000000000001</v>
      </c>
      <c r="AB545" s="134">
        <f t="shared" si="704"/>
        <v>0.32</v>
      </c>
      <c r="AC545" s="134">
        <f t="shared" si="704"/>
        <v>0.13500000000000001</v>
      </c>
      <c r="AD545" s="134">
        <f t="shared" si="704"/>
        <v>0.32500000000000001</v>
      </c>
      <c r="AE545" s="134">
        <f t="shared" si="704"/>
        <v>0.14499999999999999</v>
      </c>
      <c r="AF545" s="134">
        <f t="shared" si="704"/>
        <v>0.35499999999999998</v>
      </c>
      <c r="AG545" s="134">
        <f t="shared" si="704"/>
        <v>0.16</v>
      </c>
      <c r="AH545" s="134">
        <f t="shared" si="704"/>
        <v>0.39</v>
      </c>
      <c r="AI545" s="134">
        <f t="shared" si="704"/>
        <v>0.17</v>
      </c>
      <c r="AJ545" s="134">
        <f t="shared" si="704"/>
        <v>0.38</v>
      </c>
      <c r="AK545" s="134">
        <f t="shared" si="704"/>
        <v>0.17</v>
      </c>
      <c r="AL545" s="134">
        <f t="shared" si="704"/>
        <v>0.47</v>
      </c>
      <c r="AM545" s="134">
        <f t="shared" si="704"/>
        <v>0.2</v>
      </c>
      <c r="AN545" s="134">
        <f t="shared" si="704"/>
        <v>0.59000000000000008</v>
      </c>
      <c r="AO545" s="134">
        <f t="shared" si="704"/>
        <v>0.25</v>
      </c>
      <c r="AP545" s="479">
        <f t="shared" si="704"/>
        <v>0.66</v>
      </c>
      <c r="AQ545" s="134">
        <f t="shared" si="704"/>
        <v>0.27225958058785027</v>
      </c>
      <c r="AR545" s="134">
        <f t="shared" si="704"/>
        <v>0.73903689336088874</v>
      </c>
      <c r="AS545" s="134">
        <f t="shared" si="704"/>
        <v>0.29084184891926634</v>
      </c>
      <c r="AT545" s="134">
        <f t="shared" si="704"/>
        <v>0.79896158103921455</v>
      </c>
      <c r="AU545" s="134">
        <f t="shared" si="704"/>
        <v>0.32321747633015691</v>
      </c>
      <c r="AV545" s="134">
        <f t="shared" si="704"/>
        <v>0.8623808079277081</v>
      </c>
      <c r="AW545" s="134">
        <f t="shared" si="704"/>
        <v>0.35344912343908175</v>
      </c>
      <c r="AX545" s="134">
        <f t="shared" si="704"/>
        <v>0.92996949957676811</v>
      </c>
      <c r="AY545" s="134">
        <f t="shared" si="704"/>
        <v>0.38579025218531793</v>
      </c>
      <c r="AZ545" s="134">
        <f t="shared" si="704"/>
        <v>1.0019945998308399</v>
      </c>
      <c r="BA545" s="20"/>
      <c r="BC545" s="134"/>
      <c r="BD545" s="134"/>
      <c r="BE545" s="134"/>
      <c r="BF545" s="134"/>
      <c r="BG545" s="134"/>
      <c r="BH545" s="134"/>
      <c r="BI545" s="134"/>
      <c r="BJ545" s="134"/>
      <c r="BK545" s="134"/>
      <c r="BL545" s="134"/>
      <c r="BM545" s="134">
        <f t="shared" ref="BM545:BZ546" si="705">BM23</f>
        <v>0.42</v>
      </c>
      <c r="BN545" s="134">
        <f t="shared" si="705"/>
        <v>0.45500000000000002</v>
      </c>
      <c r="BO545" s="134">
        <f t="shared" si="705"/>
        <v>0.46</v>
      </c>
      <c r="BP545" s="134">
        <f t="shared" si="705"/>
        <v>0.5</v>
      </c>
      <c r="BQ545" s="134">
        <f t="shared" si="705"/>
        <v>0.55000000000000004</v>
      </c>
      <c r="BR545" s="134">
        <f t="shared" si="705"/>
        <v>0.55000000000000004</v>
      </c>
      <c r="BS545" s="134">
        <f t="shared" si="705"/>
        <v>0.64</v>
      </c>
      <c r="BT545" s="134">
        <f t="shared" si="705"/>
        <v>0.79</v>
      </c>
      <c r="BU545" s="479">
        <f t="shared" si="705"/>
        <v>0.91</v>
      </c>
      <c r="BV545" s="134">
        <f t="shared" si="705"/>
        <v>1.0112964739487391</v>
      </c>
      <c r="BW545" s="134">
        <f t="shared" si="705"/>
        <v>1.0898034299584809</v>
      </c>
      <c r="BX545" s="134">
        <f t="shared" si="705"/>
        <v>1.185598284257865</v>
      </c>
      <c r="BY545" s="134">
        <f t="shared" si="705"/>
        <v>1.2834186230158497</v>
      </c>
      <c r="BZ545" s="134">
        <f t="shared" si="705"/>
        <v>1.387784852016158</v>
      </c>
      <c r="DS545" s="134">
        <f t="shared" ref="DS545:DS546" si="706">DS23</f>
        <v>0</v>
      </c>
    </row>
    <row r="546" spans="1:123" s="28" customFormat="1">
      <c r="A546" s="10" t="s">
        <v>96</v>
      </c>
      <c r="B546" s="23" t="s">
        <v>84</v>
      </c>
      <c r="C546" s="135"/>
      <c r="D546" s="135"/>
      <c r="E546" s="135"/>
      <c r="F546" s="135"/>
      <c r="G546" s="135"/>
      <c r="H546" s="135"/>
      <c r="I546" s="135"/>
      <c r="J546" s="135"/>
      <c r="K546" s="135"/>
      <c r="L546" s="135"/>
      <c r="M546" s="135"/>
      <c r="N546" s="135"/>
      <c r="O546" s="135"/>
      <c r="P546" s="135"/>
      <c r="Q546" s="135"/>
      <c r="R546" s="135"/>
      <c r="S546" s="135"/>
      <c r="T546" s="135"/>
      <c r="U546" s="135"/>
      <c r="V546" s="135"/>
      <c r="W546" s="135"/>
      <c r="X546" s="135"/>
      <c r="Y546" s="135">
        <f t="shared" si="704"/>
        <v>0</v>
      </c>
      <c r="Z546" s="135">
        <f t="shared" si="704"/>
        <v>0</v>
      </c>
      <c r="AA546" s="135">
        <f t="shared" si="704"/>
        <v>0</v>
      </c>
      <c r="AB546" s="135">
        <f t="shared" si="704"/>
        <v>0</v>
      </c>
      <c r="AC546" s="135">
        <f t="shared" si="704"/>
        <v>0</v>
      </c>
      <c r="AD546" s="135">
        <f t="shared" si="704"/>
        <v>0</v>
      </c>
      <c r="AE546" s="135">
        <f t="shared" si="704"/>
        <v>0</v>
      </c>
      <c r="AF546" s="135">
        <f t="shared" si="704"/>
        <v>0</v>
      </c>
      <c r="AG546" s="135">
        <f t="shared" si="704"/>
        <v>0</v>
      </c>
      <c r="AH546" s="135">
        <f t="shared" si="704"/>
        <v>0</v>
      </c>
      <c r="AI546" s="135">
        <f t="shared" si="704"/>
        <v>0</v>
      </c>
      <c r="AJ546" s="135">
        <f t="shared" si="704"/>
        <v>0</v>
      </c>
      <c r="AK546" s="135">
        <f t="shared" si="704"/>
        <v>0</v>
      </c>
      <c r="AL546" s="135">
        <f t="shared" si="704"/>
        <v>0</v>
      </c>
      <c r="AM546" s="135">
        <f t="shared" si="704"/>
        <v>0</v>
      </c>
      <c r="AN546" s="135">
        <f t="shared" si="704"/>
        <v>0</v>
      </c>
      <c r="AO546" s="135">
        <f t="shared" si="704"/>
        <v>0</v>
      </c>
      <c r="AP546" s="480">
        <f t="shared" si="704"/>
        <v>0</v>
      </c>
      <c r="AQ546" s="135">
        <f t="shared" si="704"/>
        <v>0</v>
      </c>
      <c r="AR546" s="135">
        <f t="shared" si="704"/>
        <v>0</v>
      </c>
      <c r="AS546" s="135">
        <f t="shared" si="704"/>
        <v>0</v>
      </c>
      <c r="AT546" s="135">
        <f t="shared" si="704"/>
        <v>0</v>
      </c>
      <c r="AU546" s="135">
        <f t="shared" si="704"/>
        <v>0</v>
      </c>
      <c r="AV546" s="135">
        <f t="shared" si="704"/>
        <v>0</v>
      </c>
      <c r="AW546" s="135">
        <f t="shared" si="704"/>
        <v>0</v>
      </c>
      <c r="AX546" s="135">
        <f t="shared" si="704"/>
        <v>0</v>
      </c>
      <c r="AY546" s="135">
        <f t="shared" si="704"/>
        <v>0</v>
      </c>
      <c r="AZ546" s="135">
        <f t="shared" si="704"/>
        <v>0</v>
      </c>
      <c r="BA546" s="20"/>
      <c r="BB546" s="20"/>
      <c r="BC546" s="135"/>
      <c r="BD546" s="135"/>
      <c r="BE546" s="135"/>
      <c r="BF546" s="135"/>
      <c r="BG546" s="135"/>
      <c r="BH546" s="135"/>
      <c r="BI546" s="135"/>
      <c r="BJ546" s="135"/>
      <c r="BK546" s="135"/>
      <c r="BL546" s="135"/>
      <c r="BM546" s="135">
        <f t="shared" si="705"/>
        <v>0</v>
      </c>
      <c r="BN546" s="135">
        <f t="shared" si="705"/>
        <v>0</v>
      </c>
      <c r="BO546" s="135">
        <f t="shared" si="705"/>
        <v>0</v>
      </c>
      <c r="BP546" s="135">
        <f t="shared" si="705"/>
        <v>0</v>
      </c>
      <c r="BQ546" s="135">
        <f t="shared" si="705"/>
        <v>0</v>
      </c>
      <c r="BR546" s="135">
        <f t="shared" si="705"/>
        <v>0</v>
      </c>
      <c r="BS546" s="135">
        <f t="shared" si="705"/>
        <v>0</v>
      </c>
      <c r="BT546" s="135">
        <f t="shared" si="705"/>
        <v>0</v>
      </c>
      <c r="BU546" s="480">
        <f t="shared" si="705"/>
        <v>0</v>
      </c>
      <c r="BV546" s="135">
        <f t="shared" si="705"/>
        <v>0</v>
      </c>
      <c r="BW546" s="135">
        <f t="shared" si="705"/>
        <v>0</v>
      </c>
      <c r="BX546" s="135">
        <f t="shared" si="705"/>
        <v>0</v>
      </c>
      <c r="BY546" s="135">
        <f t="shared" si="705"/>
        <v>0</v>
      </c>
      <c r="BZ546" s="135">
        <f t="shared" si="705"/>
        <v>0</v>
      </c>
      <c r="DS546" s="135">
        <f t="shared" si="706"/>
        <v>0</v>
      </c>
    </row>
    <row r="547" spans="1:123" s="28" customFormat="1">
      <c r="A547" s="10" t="s">
        <v>138</v>
      </c>
      <c r="B547" s="23" t="s">
        <v>139</v>
      </c>
      <c r="C547" s="134"/>
      <c r="D547" s="134"/>
      <c r="E547" s="134"/>
      <c r="F547" s="134"/>
      <c r="G547" s="134"/>
      <c r="H547" s="134"/>
      <c r="I547" s="134"/>
      <c r="J547" s="134"/>
      <c r="K547" s="134"/>
      <c r="L547" s="134"/>
      <c r="M547" s="134"/>
      <c r="N547" s="134"/>
      <c r="O547" s="134"/>
      <c r="P547" s="134"/>
      <c r="Q547" s="134"/>
      <c r="R547" s="134"/>
      <c r="S547" s="134"/>
      <c r="T547" s="134"/>
      <c r="U547" s="134"/>
      <c r="V547" s="134"/>
      <c r="W547" s="134"/>
      <c r="X547" s="134"/>
      <c r="Y547" s="134">
        <f t="shared" ref="Y547:AF547" si="707">SUM(Y545:Y546)</f>
        <v>0.125</v>
      </c>
      <c r="Z547" s="134">
        <f t="shared" si="707"/>
        <v>0.29499999999999998</v>
      </c>
      <c r="AA547" s="134">
        <f t="shared" si="707"/>
        <v>0.13500000000000001</v>
      </c>
      <c r="AB547" s="134">
        <f t="shared" si="707"/>
        <v>0.32</v>
      </c>
      <c r="AC547" s="134">
        <f t="shared" si="707"/>
        <v>0.13500000000000001</v>
      </c>
      <c r="AD547" s="134">
        <f t="shared" si="707"/>
        <v>0.32500000000000001</v>
      </c>
      <c r="AE547" s="134">
        <f t="shared" si="707"/>
        <v>0.14499999999999999</v>
      </c>
      <c r="AF547" s="134">
        <f t="shared" si="707"/>
        <v>0.35499999999999998</v>
      </c>
      <c r="AG547" s="134">
        <f t="shared" ref="AG547:AI547" si="708">SUM(AG545:AG546)</f>
        <v>0.16</v>
      </c>
      <c r="AH547" s="134">
        <f>SUM(AH545:AH546)</f>
        <v>0.39</v>
      </c>
      <c r="AI547" s="134">
        <f t="shared" si="708"/>
        <v>0.17</v>
      </c>
      <c r="AJ547" s="134">
        <f>SUM(AJ545:AJ546)</f>
        <v>0.38</v>
      </c>
      <c r="AK547" s="134">
        <f t="shared" ref="AK547:AM547" si="709">SUM(AK545:AK546)</f>
        <v>0.17</v>
      </c>
      <c r="AL547" s="134">
        <f>SUM(AL545:AL546)</f>
        <v>0.47</v>
      </c>
      <c r="AM547" s="134">
        <f t="shared" si="709"/>
        <v>0.2</v>
      </c>
      <c r="AN547" s="134">
        <f>SUM(AN545:AN546)</f>
        <v>0.59000000000000008</v>
      </c>
      <c r="AO547" s="134">
        <f t="shared" ref="AO547" si="710">SUM(AO545:AO546)</f>
        <v>0.25</v>
      </c>
      <c r="AP547" s="479">
        <f>SUM(AP545:AP546)</f>
        <v>0.66</v>
      </c>
      <c r="AQ547" s="134">
        <f t="shared" ref="AQ547:AZ547" si="711">SUM(AQ545:AQ546)</f>
        <v>0.27225958058785027</v>
      </c>
      <c r="AR547" s="134">
        <f t="shared" si="711"/>
        <v>0.73903689336088874</v>
      </c>
      <c r="AS547" s="134">
        <f t="shared" si="711"/>
        <v>0.29084184891926634</v>
      </c>
      <c r="AT547" s="134">
        <f t="shared" si="711"/>
        <v>0.79896158103921455</v>
      </c>
      <c r="AU547" s="134">
        <f t="shared" si="711"/>
        <v>0.32321747633015691</v>
      </c>
      <c r="AV547" s="134">
        <f t="shared" si="711"/>
        <v>0.8623808079277081</v>
      </c>
      <c r="AW547" s="134">
        <f t="shared" si="711"/>
        <v>0.35344912343908175</v>
      </c>
      <c r="AX547" s="134">
        <f t="shared" si="711"/>
        <v>0.92996949957676811</v>
      </c>
      <c r="AY547" s="134">
        <f t="shared" si="711"/>
        <v>0.38579025218531793</v>
      </c>
      <c r="AZ547" s="134">
        <f t="shared" si="711"/>
        <v>1.0019945998308399</v>
      </c>
      <c r="BA547" s="55"/>
      <c r="BB547" s="20"/>
      <c r="BC547" s="134"/>
      <c r="BD547" s="134"/>
      <c r="BE547" s="134"/>
      <c r="BF547" s="134"/>
      <c r="BG547" s="134"/>
      <c r="BH547" s="134"/>
      <c r="BI547" s="134"/>
      <c r="BJ547" s="134"/>
      <c r="BK547" s="134"/>
      <c r="BL547" s="134"/>
      <c r="BM547" s="204">
        <f t="shared" ref="BM547:BZ547" si="712">SUM(BM545:BM546)</f>
        <v>0.42</v>
      </c>
      <c r="BN547" s="204">
        <f t="shared" si="712"/>
        <v>0.45500000000000002</v>
      </c>
      <c r="BO547" s="204">
        <f t="shared" si="712"/>
        <v>0.46</v>
      </c>
      <c r="BP547" s="204">
        <f t="shared" si="712"/>
        <v>0.5</v>
      </c>
      <c r="BQ547" s="204">
        <f t="shared" si="712"/>
        <v>0.55000000000000004</v>
      </c>
      <c r="BR547" s="204">
        <f t="shared" si="712"/>
        <v>0.55000000000000004</v>
      </c>
      <c r="BS547" s="204">
        <f t="shared" si="712"/>
        <v>0.64</v>
      </c>
      <c r="BT547" s="134">
        <f t="shared" si="712"/>
        <v>0.79</v>
      </c>
      <c r="BU547" s="479">
        <f t="shared" si="712"/>
        <v>0.91</v>
      </c>
      <c r="BV547" s="134">
        <f t="shared" si="712"/>
        <v>1.0112964739487391</v>
      </c>
      <c r="BW547" s="134">
        <f t="shared" si="712"/>
        <v>1.0898034299584809</v>
      </c>
      <c r="BX547" s="134">
        <f t="shared" si="712"/>
        <v>1.185598284257865</v>
      </c>
      <c r="BY547" s="134">
        <f t="shared" si="712"/>
        <v>1.2834186230158497</v>
      </c>
      <c r="BZ547" s="134">
        <f t="shared" si="712"/>
        <v>1.387784852016158</v>
      </c>
      <c r="DS547" s="134">
        <f t="shared" ref="DS547" si="713">SUM(DS545:DS546)</f>
        <v>0</v>
      </c>
    </row>
    <row r="548" spans="1:123">
      <c r="A548" s="10" t="s">
        <v>97</v>
      </c>
      <c r="B548" s="23" t="s">
        <v>28</v>
      </c>
      <c r="C548" s="135"/>
      <c r="D548" s="135"/>
      <c r="E548" s="135"/>
      <c r="F548" s="135"/>
      <c r="G548" s="135"/>
      <c r="H548" s="135"/>
      <c r="I548" s="135"/>
      <c r="J548" s="135"/>
      <c r="K548" s="135"/>
      <c r="L548" s="135"/>
      <c r="M548" s="135"/>
      <c r="N548" s="135"/>
      <c r="O548" s="135"/>
      <c r="P548" s="135"/>
      <c r="Q548" s="135"/>
      <c r="R548" s="135"/>
      <c r="S548" s="135"/>
      <c r="T548" s="135"/>
      <c r="U548" s="135"/>
      <c r="V548" s="135"/>
      <c r="W548" s="135"/>
      <c r="X548" s="135"/>
      <c r="Y548" s="135">
        <f t="shared" ref="Y548:AZ548" si="714">(Y545+Y546)*(1+1/(1-Y17)*Y17*Y30)</f>
        <v>0.17857142857142858</v>
      </c>
      <c r="Z548" s="135">
        <f t="shared" si="714"/>
        <v>0.42142857142857143</v>
      </c>
      <c r="AA548" s="135">
        <f t="shared" si="714"/>
        <v>0.19285714285714287</v>
      </c>
      <c r="AB548" s="135">
        <f t="shared" si="714"/>
        <v>0.45714285714285718</v>
      </c>
      <c r="AC548" s="135">
        <f t="shared" si="714"/>
        <v>0.19285714285714287</v>
      </c>
      <c r="AD548" s="135">
        <f t="shared" si="714"/>
        <v>0.4642857142857143</v>
      </c>
      <c r="AE548" s="135">
        <f t="shared" si="714"/>
        <v>0.20714285714285713</v>
      </c>
      <c r="AF548" s="135">
        <f t="shared" si="714"/>
        <v>0.50714285714285712</v>
      </c>
      <c r="AG548" s="135">
        <f t="shared" si="714"/>
        <v>0.22857142857142859</v>
      </c>
      <c r="AH548" s="135">
        <f t="shared" si="714"/>
        <v>0.55714285714285716</v>
      </c>
      <c r="AI548" s="135">
        <f t="shared" si="714"/>
        <v>0.24285714285714288</v>
      </c>
      <c r="AJ548" s="135">
        <f t="shared" si="714"/>
        <v>0.54285714285714293</v>
      </c>
      <c r="AK548" s="135">
        <f t="shared" si="714"/>
        <v>0.24285714285714288</v>
      </c>
      <c r="AL548" s="135">
        <f t="shared" si="714"/>
        <v>0.67142857142857137</v>
      </c>
      <c r="AM548" s="135">
        <f t="shared" si="714"/>
        <v>0.28571428571428575</v>
      </c>
      <c r="AN548" s="135">
        <f t="shared" si="714"/>
        <v>0.84285714285714297</v>
      </c>
      <c r="AO548" s="135">
        <f t="shared" si="714"/>
        <v>0.35714285714285715</v>
      </c>
      <c r="AP548" s="480">
        <f t="shared" si="714"/>
        <v>0.94285714285714295</v>
      </c>
      <c r="AQ548" s="135">
        <f t="shared" si="714"/>
        <v>0.38894225798264326</v>
      </c>
      <c r="AR548" s="135">
        <f t="shared" si="714"/>
        <v>1.0557669905155553</v>
      </c>
      <c r="AS548" s="135">
        <f t="shared" si="714"/>
        <v>0.41548835559895192</v>
      </c>
      <c r="AT548" s="135">
        <f t="shared" si="714"/>
        <v>1.141373687198878</v>
      </c>
      <c r="AU548" s="135">
        <f t="shared" si="714"/>
        <v>0.46173925190022413</v>
      </c>
      <c r="AV548" s="135">
        <f t="shared" si="714"/>
        <v>1.2319725827538688</v>
      </c>
      <c r="AW548" s="135">
        <f t="shared" si="714"/>
        <v>0.50492731919868827</v>
      </c>
      <c r="AX548" s="135">
        <f t="shared" si="714"/>
        <v>1.3285278565382401</v>
      </c>
      <c r="AY548" s="135">
        <f t="shared" si="714"/>
        <v>0.55112893169331134</v>
      </c>
      <c r="AZ548" s="135">
        <f t="shared" si="714"/>
        <v>1.4314208569011999</v>
      </c>
      <c r="BA548" s="431"/>
      <c r="BB548" s="55"/>
      <c r="BC548" s="135"/>
      <c r="BD548" s="135"/>
      <c r="BE548" s="135"/>
      <c r="BF548" s="135"/>
      <c r="BG548" s="135"/>
      <c r="BH548" s="135"/>
      <c r="BI548" s="135"/>
      <c r="BJ548" s="135"/>
      <c r="BK548" s="135"/>
      <c r="BL548" s="135"/>
      <c r="BM548" s="135">
        <f t="shared" ref="BM548:BZ548" si="715">(BM545+BM546)*(1+1/(1-BM17)*BM17*BL30)</f>
        <v>0.42</v>
      </c>
      <c r="BN548" s="135">
        <f t="shared" si="715"/>
        <v>0.65</v>
      </c>
      <c r="BO548" s="135">
        <f t="shared" si="715"/>
        <v>0.65714285714285714</v>
      </c>
      <c r="BP548" s="135">
        <f t="shared" si="715"/>
        <v>0.7142857142857143</v>
      </c>
      <c r="BQ548" s="135">
        <f t="shared" si="715"/>
        <v>0.78571428571428581</v>
      </c>
      <c r="BR548" s="135">
        <f t="shared" si="715"/>
        <v>0.78571428571428581</v>
      </c>
      <c r="BS548" s="135">
        <f t="shared" si="715"/>
        <v>0.91428571428571437</v>
      </c>
      <c r="BT548" s="135">
        <f t="shared" si="715"/>
        <v>1.1285714285714286</v>
      </c>
      <c r="BU548" s="480">
        <f t="shared" si="715"/>
        <v>1.3</v>
      </c>
      <c r="BV548" s="135">
        <f t="shared" si="715"/>
        <v>1.4447092484981987</v>
      </c>
      <c r="BW548" s="135">
        <f t="shared" si="715"/>
        <v>1.5568620427978299</v>
      </c>
      <c r="BX548" s="135">
        <f t="shared" si="715"/>
        <v>1.6937118346540929</v>
      </c>
      <c r="BY548" s="135">
        <f t="shared" si="715"/>
        <v>1.8334551757369282</v>
      </c>
      <c r="BZ548" s="135">
        <f t="shared" si="715"/>
        <v>1.9825497885945114</v>
      </c>
      <c r="DS548" s="135" t="e">
        <f>(DS545+DS546)*(1+1/(1-DS17)*DS17*DT30)</f>
        <v>#DIV/0!</v>
      </c>
    </row>
    <row r="549" spans="1:123">
      <c r="A549" s="10" t="s">
        <v>68</v>
      </c>
      <c r="B549" s="23" t="s">
        <v>29</v>
      </c>
      <c r="C549" s="136"/>
      <c r="D549" s="136"/>
      <c r="E549" s="136"/>
      <c r="F549" s="136"/>
      <c r="G549" s="136"/>
      <c r="H549" s="136"/>
      <c r="I549" s="136"/>
      <c r="J549" s="136"/>
      <c r="K549" s="136"/>
      <c r="L549" s="136"/>
      <c r="M549" s="136"/>
      <c r="N549" s="136"/>
      <c r="O549" s="136"/>
      <c r="P549" s="136"/>
      <c r="Q549" s="136"/>
      <c r="R549" s="136"/>
      <c r="S549" s="136"/>
      <c r="T549" s="136"/>
      <c r="U549" s="136"/>
      <c r="V549" s="136"/>
      <c r="W549" s="136"/>
      <c r="X549" s="136"/>
      <c r="Y549" s="136">
        <f t="shared" ref="Y549:AZ549" si="716">Y288/Y272</f>
        <v>5.5500948869910998</v>
      </c>
      <c r="Z549" s="136">
        <f t="shared" si="716"/>
        <v>5.4158165283859985</v>
      </c>
      <c r="AA549" s="136">
        <f t="shared" si="716"/>
        <v>5.8371747098939064</v>
      </c>
      <c r="AB549" s="136">
        <f t="shared" si="716"/>
        <v>5.5951404428335243</v>
      </c>
      <c r="AC549" s="136">
        <f t="shared" si="716"/>
        <v>6.4654472559414238</v>
      </c>
      <c r="AD549" s="136">
        <f t="shared" si="716"/>
        <v>6.5765949689683847</v>
      </c>
      <c r="AE549" s="136">
        <f t="shared" si="716"/>
        <v>6.4378881321404542</v>
      </c>
      <c r="AF549" s="136">
        <f t="shared" si="716"/>
        <v>6.643541830432067</v>
      </c>
      <c r="AG549" s="136">
        <f t="shared" si="716"/>
        <v>7.4663749076842061</v>
      </c>
      <c r="AH549" s="136">
        <f t="shared" si="716"/>
        <v>8.0411129007668958</v>
      </c>
      <c r="AI549" s="136">
        <f t="shared" si="716"/>
        <v>8.2508834351743143</v>
      </c>
      <c r="AJ549" s="136">
        <f t="shared" si="716"/>
        <v>10.796303819603272</v>
      </c>
      <c r="AK549" s="136">
        <f t="shared" si="716"/>
        <v>11.836135810909584</v>
      </c>
      <c r="AL549" s="136">
        <f t="shared" si="716"/>
        <v>13.960235640919725</v>
      </c>
      <c r="AM549" s="136">
        <f t="shared" si="716"/>
        <v>13.706291242096121</v>
      </c>
      <c r="AN549" s="136">
        <f t="shared" si="716"/>
        <v>15.121334547412452</v>
      </c>
      <c r="AO549" s="136">
        <f t="shared" si="716"/>
        <v>15.986225410879184</v>
      </c>
      <c r="AP549" s="481">
        <f t="shared" si="716"/>
        <v>17.787911860209569</v>
      </c>
      <c r="AQ549" s="136">
        <f t="shared" si="716"/>
        <v>17.905796376174859</v>
      </c>
      <c r="AR549" s="136">
        <f t="shared" si="716"/>
        <v>18.770516631526839</v>
      </c>
      <c r="AS549" s="136">
        <f t="shared" si="716"/>
        <v>18.862456449363851</v>
      </c>
      <c r="AT549" s="136">
        <f t="shared" si="716"/>
        <v>19.800786263581841</v>
      </c>
      <c r="AU549" s="136">
        <f t="shared" si="716"/>
        <v>19.925303186343076</v>
      </c>
      <c r="AV549" s="136">
        <f t="shared" si="716"/>
        <v>20.928825414517085</v>
      </c>
      <c r="AW549" s="136">
        <f t="shared" si="716"/>
        <v>21.07629924498675</v>
      </c>
      <c r="AX549" s="136">
        <f t="shared" si="716"/>
        <v>22.153572428588848</v>
      </c>
      <c r="AY549" s="136">
        <f t="shared" si="716"/>
        <v>22.325860792398704</v>
      </c>
      <c r="AZ549" s="136">
        <f t="shared" si="716"/>
        <v>23.48160069379929</v>
      </c>
      <c r="BA549" s="431"/>
      <c r="BB549" s="131"/>
      <c r="BC549" s="131"/>
      <c r="BD549" s="131"/>
      <c r="BE549" s="131"/>
      <c r="BF549" s="131"/>
      <c r="BG549" s="131"/>
      <c r="BH549" s="131"/>
      <c r="BI549" s="136"/>
      <c r="BJ549" s="136"/>
      <c r="BK549" s="136"/>
      <c r="BL549" s="136"/>
      <c r="BM549" s="136">
        <f t="shared" ref="BM549:BZ549" si="717">BM288/BM272</f>
        <v>5.4158165283859985</v>
      </c>
      <c r="BN549" s="136">
        <f t="shared" si="717"/>
        <v>5.5951404428335243</v>
      </c>
      <c r="BO549" s="136">
        <f t="shared" si="717"/>
        <v>6.5765949689683838</v>
      </c>
      <c r="BP549" s="136">
        <f t="shared" si="717"/>
        <v>6.643541830432067</v>
      </c>
      <c r="BQ549" s="136">
        <f t="shared" si="717"/>
        <v>8.041112900766894</v>
      </c>
      <c r="BR549" s="136">
        <f t="shared" si="717"/>
        <v>10.796303819603272</v>
      </c>
      <c r="BS549" s="136">
        <f t="shared" si="717"/>
        <v>13.960235640919723</v>
      </c>
      <c r="BT549" s="136">
        <f t="shared" si="717"/>
        <v>15.121334547412451</v>
      </c>
      <c r="BU549" s="481">
        <f t="shared" si="717"/>
        <v>17.787911860209569</v>
      </c>
      <c r="BV549" s="136">
        <f t="shared" si="717"/>
        <v>18.770516631526831</v>
      </c>
      <c r="BW549" s="136">
        <f t="shared" si="717"/>
        <v>19.800786263581834</v>
      </c>
      <c r="BX549" s="136">
        <f t="shared" si="717"/>
        <v>20.928825414517075</v>
      </c>
      <c r="BY549" s="136">
        <f t="shared" si="717"/>
        <v>22.153572428588845</v>
      </c>
      <c r="BZ549" s="136">
        <f t="shared" si="717"/>
        <v>23.48160069379929</v>
      </c>
      <c r="DS549" s="136" t="e">
        <f t="shared" ref="DS549" si="718">DS288/DS272</f>
        <v>#DIV/0!</v>
      </c>
    </row>
    <row r="550" spans="1:123">
      <c r="A550" s="10" t="s">
        <v>69</v>
      </c>
      <c r="B550" s="23" t="s">
        <v>37</v>
      </c>
      <c r="C550" s="136"/>
      <c r="D550" s="136"/>
      <c r="E550" s="136"/>
      <c r="F550" s="136"/>
      <c r="G550" s="136"/>
      <c r="H550" s="136"/>
      <c r="I550" s="136"/>
      <c r="J550" s="136"/>
      <c r="K550" s="136"/>
      <c r="L550" s="136"/>
      <c r="M550" s="136"/>
      <c r="N550" s="136"/>
      <c r="O550" s="136"/>
      <c r="P550" s="136"/>
      <c r="Q550" s="136"/>
      <c r="R550" s="136"/>
      <c r="S550" s="136"/>
      <c r="T550" s="136"/>
      <c r="U550" s="136"/>
      <c r="V550" s="136"/>
      <c r="W550" s="136"/>
      <c r="X550" s="136"/>
      <c r="Y550" s="136">
        <f t="shared" ref="Y550:AZ550" si="719">(Y288-Y300)/Y272</f>
        <v>1.6011220415673371</v>
      </c>
      <c r="Z550" s="136">
        <f t="shared" si="719"/>
        <v>1.2831060558455882</v>
      </c>
      <c r="AA550" s="136">
        <f t="shared" si="719"/>
        <v>1.5808548225140719</v>
      </c>
      <c r="AB550" s="136">
        <f t="shared" si="719"/>
        <v>1.4117145635414559</v>
      </c>
      <c r="AC550" s="136">
        <f t="shared" si="719"/>
        <v>1.9923602537428136</v>
      </c>
      <c r="AD550" s="136">
        <f t="shared" si="719"/>
        <v>1.1190325350696277</v>
      </c>
      <c r="AE550" s="136">
        <f t="shared" si="719"/>
        <v>1.0753436958052061</v>
      </c>
      <c r="AF550" s="136">
        <f t="shared" si="719"/>
        <v>1.455212799099286</v>
      </c>
      <c r="AG550" s="136">
        <f t="shared" si="719"/>
        <v>0.59973755297532638</v>
      </c>
      <c r="AH550" s="136">
        <f t="shared" si="719"/>
        <v>1.7285475535447543</v>
      </c>
      <c r="AI550" s="136">
        <f t="shared" si="719"/>
        <v>1.3365331768840432</v>
      </c>
      <c r="AJ550" s="136">
        <f t="shared" si="719"/>
        <v>4.0598479418580382</v>
      </c>
      <c r="AK550" s="136">
        <f t="shared" si="719"/>
        <v>-5.9600011102080668</v>
      </c>
      <c r="AL550" s="136">
        <f t="shared" si="719"/>
        <v>-4.0908672447055761</v>
      </c>
      <c r="AM550" s="136">
        <f t="shared" si="719"/>
        <v>-4.7929987393642479</v>
      </c>
      <c r="AN550" s="136">
        <f t="shared" si="719"/>
        <v>-2.5387897136981916</v>
      </c>
      <c r="AO550" s="136">
        <f t="shared" si="719"/>
        <v>-5.1335378047689089</v>
      </c>
      <c r="AP550" s="481">
        <f t="shared" si="719"/>
        <v>-4.5271002362055581</v>
      </c>
      <c r="AQ550" s="136">
        <f t="shared" si="719"/>
        <v>-4.409215720240268</v>
      </c>
      <c r="AR550" s="136">
        <f t="shared" si="719"/>
        <v>-3.5444954648882883</v>
      </c>
      <c r="AS550" s="136">
        <f t="shared" si="719"/>
        <v>-3.4525556470512737</v>
      </c>
      <c r="AT550" s="136">
        <f t="shared" si="719"/>
        <v>-2.5142258328332838</v>
      </c>
      <c r="AU550" s="136">
        <f t="shared" si="719"/>
        <v>-2.3897089100720508</v>
      </c>
      <c r="AV550" s="136">
        <f t="shared" si="719"/>
        <v>-1.3861866818980417</v>
      </c>
      <c r="AW550" s="136">
        <f t="shared" si="719"/>
        <v>-1.2387128514283745</v>
      </c>
      <c r="AX550" s="136">
        <f t="shared" si="719"/>
        <v>-0.16143966782627658</v>
      </c>
      <c r="AY550" s="136">
        <f t="shared" si="719"/>
        <v>1.0848695983576562E-2</v>
      </c>
      <c r="AZ550" s="136">
        <f t="shared" si="719"/>
        <v>1.1665885973841643</v>
      </c>
      <c r="BA550" s="431"/>
      <c r="BB550" s="131"/>
      <c r="BC550" s="131"/>
      <c r="BD550" s="131"/>
      <c r="BE550" s="131"/>
      <c r="BF550" s="131"/>
      <c r="BG550" s="131"/>
      <c r="BH550" s="131"/>
      <c r="BI550" s="136"/>
      <c r="BJ550" s="136"/>
      <c r="BK550" s="136"/>
      <c r="BL550" s="136"/>
      <c r="BM550" s="136">
        <f t="shared" ref="BM550:BZ550" si="720">(BM288-BM300)/BM273</f>
        <v>1.2831060558455882</v>
      </c>
      <c r="BN550" s="136">
        <f t="shared" si="720"/>
        <v>1.4117145635414559</v>
      </c>
      <c r="BO550" s="136">
        <f t="shared" si="720"/>
        <v>1.1819004784964007</v>
      </c>
      <c r="BP550" s="136">
        <f t="shared" si="720"/>
        <v>1.457083175085454</v>
      </c>
      <c r="BQ550" s="136">
        <f t="shared" si="720"/>
        <v>1.7317480408262178</v>
      </c>
      <c r="BR550" s="136">
        <f t="shared" si="720"/>
        <v>4.9011966660570119</v>
      </c>
      <c r="BS550" s="136">
        <f t="shared" si="720"/>
        <v>-4.4419704117711865</v>
      </c>
      <c r="BT550" s="136">
        <f t="shared" si="720"/>
        <v>-2.6923330685978981</v>
      </c>
      <c r="BU550" s="481">
        <f t="shared" si="720"/>
        <v>-4.527487133427349</v>
      </c>
      <c r="BV550" s="136">
        <f t="shared" si="720"/>
        <v>-3.5444954648882923</v>
      </c>
      <c r="BW550" s="136">
        <f t="shared" si="720"/>
        <v>-2.5142258328332914</v>
      </c>
      <c r="BX550" s="136">
        <f t="shared" si="720"/>
        <v>-1.3861866818980495</v>
      </c>
      <c r="BY550" s="136">
        <f t="shared" si="720"/>
        <v>-0.1614396678262805</v>
      </c>
      <c r="BZ550" s="136">
        <f t="shared" si="720"/>
        <v>1.1665885973841643</v>
      </c>
      <c r="DS550" s="136" t="e">
        <f t="shared" ref="DS550" si="721">(DS288-DS300)/DS273</f>
        <v>#DIV/0!</v>
      </c>
    </row>
    <row r="551" spans="1:123">
      <c r="G551" s="431"/>
      <c r="H551" s="431"/>
      <c r="I551" s="431"/>
      <c r="J551" s="431"/>
      <c r="K551" s="431"/>
      <c r="L551" s="431"/>
      <c r="M551" s="431"/>
      <c r="N551" s="431"/>
      <c r="O551" s="431"/>
      <c r="P551" s="431"/>
      <c r="Q551" s="431"/>
      <c r="R551" s="431"/>
      <c r="S551" s="431"/>
      <c r="T551" s="431"/>
      <c r="U551" s="136"/>
      <c r="V551" s="136"/>
      <c r="W551" s="136"/>
      <c r="X551" s="136"/>
      <c r="Y551" s="136"/>
      <c r="Z551" s="136"/>
      <c r="AA551" s="136"/>
      <c r="AB551" s="136"/>
      <c r="AC551" s="136"/>
      <c r="AD551" s="136"/>
      <c r="AE551" s="136"/>
      <c r="AF551" s="136"/>
      <c r="AG551" s="136"/>
      <c r="AH551" s="136"/>
      <c r="AI551" s="136"/>
      <c r="AJ551" s="136"/>
      <c r="AK551" s="136"/>
      <c r="AL551" s="136"/>
      <c r="AM551" s="136"/>
      <c r="AN551" s="136"/>
      <c r="AO551" s="136"/>
      <c r="AP551" s="481"/>
      <c r="AQ551" s="136"/>
      <c r="AR551" s="136"/>
      <c r="AS551" s="136"/>
      <c r="AT551" s="136"/>
      <c r="AU551" s="136"/>
      <c r="AV551" s="136"/>
      <c r="AW551" s="136"/>
      <c r="AX551" s="136"/>
      <c r="AY551" s="136"/>
      <c r="AZ551" s="136"/>
      <c r="BB551" s="131"/>
      <c r="BC551" s="131"/>
      <c r="BD551" s="131"/>
      <c r="BE551" s="131"/>
      <c r="BF551" s="131"/>
      <c r="BG551" s="131"/>
      <c r="BH551" s="131"/>
      <c r="BI551" s="131"/>
      <c r="BJ551" s="131"/>
      <c r="BK551" s="131"/>
      <c r="BL551" s="131"/>
      <c r="BM551" s="131"/>
      <c r="BN551" s="131"/>
      <c r="BO551" s="131"/>
      <c r="BP551" s="131"/>
      <c r="BQ551" s="131"/>
      <c r="BR551" s="131"/>
      <c r="BS551" s="131"/>
    </row>
    <row r="552" spans="1:123">
      <c r="B552" s="28" t="s">
        <v>51</v>
      </c>
      <c r="C552" s="28"/>
      <c r="D552" s="28"/>
      <c r="E552" s="28"/>
      <c r="F552" s="28"/>
      <c r="W552" s="432"/>
      <c r="X552" s="432"/>
    </row>
    <row r="553" spans="1:123">
      <c r="A553" s="10" t="s">
        <v>135</v>
      </c>
      <c r="B553" s="23" t="s">
        <v>140</v>
      </c>
      <c r="C553" s="49"/>
      <c r="D553" s="49"/>
      <c r="E553" s="49"/>
      <c r="F553" s="49"/>
      <c r="G553" s="49"/>
      <c r="H553" s="49"/>
      <c r="I553" s="49"/>
      <c r="J553" s="49"/>
      <c r="K553" s="49"/>
      <c r="L553" s="49"/>
      <c r="M553" s="49"/>
      <c r="N553" s="49"/>
      <c r="O553" s="49"/>
      <c r="P553" s="49"/>
      <c r="Q553" s="49"/>
      <c r="R553" s="49"/>
      <c r="S553" s="49"/>
      <c r="T553" s="49"/>
      <c r="U553" s="49"/>
      <c r="V553" s="49"/>
      <c r="W553" s="49"/>
      <c r="X553" s="49"/>
      <c r="Y553" s="49">
        <f t="shared" ref="Y553:AZ553" si="722">Y288</f>
        <v>354.35399999999998</v>
      </c>
      <c r="Z553" s="49">
        <f t="shared" si="722"/>
        <v>345.7808</v>
      </c>
      <c r="AA553" s="49">
        <f t="shared" si="722"/>
        <v>372.68299999999999</v>
      </c>
      <c r="AB553" s="49">
        <f t="shared" si="722"/>
        <v>357.23</v>
      </c>
      <c r="AC553" s="49">
        <f t="shared" si="722"/>
        <v>474.25799999999998</v>
      </c>
      <c r="AD553" s="49">
        <f t="shared" si="722"/>
        <v>483.39800000000008</v>
      </c>
      <c r="AE553" s="49">
        <f t="shared" si="722"/>
        <v>475.096</v>
      </c>
      <c r="AF553" s="49">
        <f t="shared" si="722"/>
        <v>490.41800000000001</v>
      </c>
      <c r="AG553" s="49">
        <f t="shared" si="722"/>
        <v>555.34299999999996</v>
      </c>
      <c r="AH553" s="49">
        <f t="shared" si="722"/>
        <v>598.28700000000003</v>
      </c>
      <c r="AI553" s="49">
        <f t="shared" si="722"/>
        <v>614.35300000000007</v>
      </c>
      <c r="AJ553" s="49">
        <f t="shared" si="722"/>
        <v>997.67700000000013</v>
      </c>
      <c r="AK553" s="49">
        <f t="shared" si="722"/>
        <v>1201.729</v>
      </c>
      <c r="AL553" s="49">
        <f t="shared" si="722"/>
        <v>1513.3680000000002</v>
      </c>
      <c r="AM553" s="49">
        <f t="shared" si="722"/>
        <v>1485.8390000000002</v>
      </c>
      <c r="AN553" s="49">
        <f t="shared" si="722"/>
        <v>1749.2110000000002</v>
      </c>
      <c r="AO553" s="49">
        <f t="shared" si="722"/>
        <v>1863.7929999999999</v>
      </c>
      <c r="AP553" s="482">
        <f t="shared" si="722"/>
        <v>2073.8470000000002</v>
      </c>
      <c r="AQ553" s="49">
        <f t="shared" si="722"/>
        <v>2087.5908532247254</v>
      </c>
      <c r="AR553" s="49">
        <f t="shared" si="722"/>
        <v>2188.4063689240375</v>
      </c>
      <c r="AS553" s="49">
        <f t="shared" si="722"/>
        <v>2199.1253963680824</v>
      </c>
      <c r="AT553" s="49">
        <f t="shared" si="722"/>
        <v>2308.5228616534546</v>
      </c>
      <c r="AU553" s="49">
        <f t="shared" si="722"/>
        <v>2323.0399701677629</v>
      </c>
      <c r="AV553" s="49">
        <f t="shared" si="722"/>
        <v>2440.0380517125332</v>
      </c>
      <c r="AW553" s="49">
        <f t="shared" si="722"/>
        <v>2457.2316471891427</v>
      </c>
      <c r="AX553" s="49">
        <f t="shared" si="722"/>
        <v>2582.8281633823221</v>
      </c>
      <c r="AY553" s="49">
        <f t="shared" si="722"/>
        <v>2602.9148216269714</v>
      </c>
      <c r="AZ553" s="49">
        <f t="shared" si="722"/>
        <v>2737.6595711026789</v>
      </c>
      <c r="BB553" s="49"/>
      <c r="BC553" s="49"/>
      <c r="BD553" s="49"/>
      <c r="BE553" s="49"/>
      <c r="BF553" s="49"/>
      <c r="BG553" s="49"/>
      <c r="BH553" s="49"/>
      <c r="BI553" s="49"/>
      <c r="BJ553" s="49"/>
      <c r="BK553" s="49"/>
      <c r="BL553" s="49"/>
      <c r="BM553" s="49">
        <f>BM288</f>
        <v>345.7808</v>
      </c>
      <c r="BN553" s="49">
        <f>BN288</f>
        <v>357.23</v>
      </c>
      <c r="BO553" s="49">
        <f>BO288</f>
        <v>483.39800000000002</v>
      </c>
      <c r="BP553" s="49">
        <f>AH288</f>
        <v>598.28700000000003</v>
      </c>
      <c r="BQ553" s="49">
        <f>AI288</f>
        <v>614.35300000000007</v>
      </c>
      <c r="BR553" s="49">
        <f>AJ288</f>
        <v>997.67700000000013</v>
      </c>
      <c r="BS553" s="49">
        <f>AK288</f>
        <v>1201.729</v>
      </c>
      <c r="BT553" s="49">
        <f>BT288</f>
        <v>1749.211</v>
      </c>
      <c r="BU553" s="482">
        <f>BU288</f>
        <v>2073.8470000000002</v>
      </c>
      <c r="BV553" s="49">
        <f>BV288</f>
        <v>2188.406368924037</v>
      </c>
      <c r="BW553" s="49">
        <f>BW288</f>
        <v>2308.5228616534537</v>
      </c>
      <c r="BX553" s="49">
        <f t="shared" ref="BX553:BZ553" si="723">BX288</f>
        <v>2440.0380517125323</v>
      </c>
      <c r="BY553" s="49">
        <f t="shared" si="723"/>
        <v>2582.8281633823217</v>
      </c>
      <c r="BZ553" s="49">
        <f t="shared" si="723"/>
        <v>2737.6595711026789</v>
      </c>
      <c r="DS553" s="49">
        <f>DS288</f>
        <v>0</v>
      </c>
    </row>
    <row r="554" spans="1:123">
      <c r="A554" s="10" t="s">
        <v>136</v>
      </c>
      <c r="B554" s="23" t="s">
        <v>132</v>
      </c>
      <c r="C554" s="49"/>
      <c r="D554" s="49"/>
      <c r="E554" s="49"/>
      <c r="F554" s="49"/>
      <c r="G554" s="49"/>
      <c r="H554" s="49"/>
      <c r="I554" s="49"/>
      <c r="J554" s="49"/>
      <c r="K554" s="49"/>
      <c r="L554" s="49"/>
      <c r="M554" s="49"/>
      <c r="N554" s="49"/>
      <c r="O554" s="49"/>
      <c r="P554" s="49"/>
      <c r="Q554" s="49"/>
      <c r="R554" s="49"/>
      <c r="S554" s="49"/>
      <c r="T554" s="49"/>
      <c r="U554" s="49"/>
      <c r="V554" s="49"/>
      <c r="W554" s="49"/>
      <c r="X554" s="49"/>
      <c r="Y554" s="49">
        <f t="shared" ref="Y554:AZ554" si="724">Y288-Y300</f>
        <v>102.226</v>
      </c>
      <c r="Z554" s="49">
        <f t="shared" si="724"/>
        <v>81.921800000000019</v>
      </c>
      <c r="AA554" s="49">
        <f t="shared" si="724"/>
        <v>100.93200000000002</v>
      </c>
      <c r="AB554" s="49">
        <f t="shared" si="724"/>
        <v>90.133000000000038</v>
      </c>
      <c r="AC554" s="49">
        <f t="shared" si="724"/>
        <v>146.14499999999998</v>
      </c>
      <c r="AD554" s="49">
        <f t="shared" si="724"/>
        <v>82.252000000000066</v>
      </c>
      <c r="AE554" s="49">
        <f t="shared" si="724"/>
        <v>79.357000000000028</v>
      </c>
      <c r="AF554" s="49">
        <f t="shared" si="724"/>
        <v>107.42200000000003</v>
      </c>
      <c r="AG554" s="49">
        <f t="shared" si="724"/>
        <v>44.607999999999947</v>
      </c>
      <c r="AH554" s="49">
        <f t="shared" si="724"/>
        <v>128.61000000000001</v>
      </c>
      <c r="AI554" s="49">
        <f t="shared" si="724"/>
        <v>99.517000000000053</v>
      </c>
      <c r="AJ554" s="49">
        <f t="shared" si="724"/>
        <v>375.16700000000014</v>
      </c>
      <c r="AK554" s="49">
        <f t="shared" si="724"/>
        <v>-605.12200000000007</v>
      </c>
      <c r="AL554" s="49">
        <f t="shared" si="724"/>
        <v>-443.47299999999973</v>
      </c>
      <c r="AM554" s="49">
        <f t="shared" si="724"/>
        <v>-519.58799999999974</v>
      </c>
      <c r="AN554" s="49">
        <f t="shared" si="724"/>
        <v>-293.68299999999977</v>
      </c>
      <c r="AO554" s="49">
        <f t="shared" si="724"/>
        <v>-598.50600000000009</v>
      </c>
      <c r="AP554" s="482">
        <f t="shared" si="724"/>
        <v>-527.80299999999988</v>
      </c>
      <c r="AQ554" s="49">
        <f t="shared" si="724"/>
        <v>-514.05914677527471</v>
      </c>
      <c r="AR554" s="49">
        <f t="shared" si="724"/>
        <v>-413.24363107596264</v>
      </c>
      <c r="AS554" s="49">
        <f t="shared" si="724"/>
        <v>-402.52460363191767</v>
      </c>
      <c r="AT554" s="49">
        <f t="shared" si="724"/>
        <v>-293.12713834654551</v>
      </c>
      <c r="AU554" s="49">
        <f t="shared" si="724"/>
        <v>-278.61002983223716</v>
      </c>
      <c r="AV554" s="49">
        <f t="shared" si="724"/>
        <v>-161.61194828746693</v>
      </c>
      <c r="AW554" s="49">
        <f t="shared" si="724"/>
        <v>-144.41835281085741</v>
      </c>
      <c r="AX554" s="49">
        <f t="shared" si="724"/>
        <v>-18.821836617677945</v>
      </c>
      <c r="AY554" s="49">
        <f t="shared" si="724"/>
        <v>1.2648216269712975</v>
      </c>
      <c r="AZ554" s="49">
        <f t="shared" si="724"/>
        <v>136.00957110267882</v>
      </c>
      <c r="BB554" s="49"/>
      <c r="BC554" s="49"/>
      <c r="BD554" s="49"/>
      <c r="BE554" s="49"/>
      <c r="BF554" s="49"/>
      <c r="BG554" s="49"/>
      <c r="BH554" s="49"/>
      <c r="BI554" s="49"/>
      <c r="BJ554" s="49"/>
      <c r="BK554" s="49"/>
      <c r="BL554" s="49"/>
      <c r="BM554" s="49">
        <f>BM288-BM300</f>
        <v>81.921800000000019</v>
      </c>
      <c r="BN554" s="49">
        <f>BN288-BN300</f>
        <v>90.133000000000038</v>
      </c>
      <c r="BO554" s="49">
        <f>BO288-BO300</f>
        <v>82.25200000000001</v>
      </c>
      <c r="BP554" s="49">
        <f>AH288-BP300</f>
        <v>215.29100000000005</v>
      </c>
      <c r="BQ554" s="49">
        <f>AI288-BQ300</f>
        <v>144.67600000000004</v>
      </c>
      <c r="BR554" s="49">
        <f>AJ288-BR300</f>
        <v>375.16700000000014</v>
      </c>
      <c r="BS554" s="49">
        <f>AK288-BS300</f>
        <v>-755.11199999999985</v>
      </c>
      <c r="BT554" s="49">
        <f>BT288-BT300</f>
        <v>-293.68299999999999</v>
      </c>
      <c r="BU554" s="482">
        <f>BU288-BU300</f>
        <v>-527.80299999999988</v>
      </c>
      <c r="BV554" s="49">
        <f>BV288-BV300</f>
        <v>-413.24363107596309</v>
      </c>
      <c r="BW554" s="49">
        <f>BW288-BW300</f>
        <v>-293.12713834654642</v>
      </c>
      <c r="BX554" s="49">
        <f t="shared" ref="BX554:BZ554" si="725">BX288-BX300</f>
        <v>-161.61194828746784</v>
      </c>
      <c r="BY554" s="49">
        <f t="shared" si="725"/>
        <v>-18.8218366176784</v>
      </c>
      <c r="BZ554" s="49">
        <f t="shared" si="725"/>
        <v>136.00957110267882</v>
      </c>
      <c r="DS554" s="49">
        <f>DS288-DS300</f>
        <v>0</v>
      </c>
    </row>
    <row r="555" spans="1:123">
      <c r="A555" s="10" t="s">
        <v>143</v>
      </c>
      <c r="B555" s="23" t="s">
        <v>141</v>
      </c>
      <c r="C555" s="28"/>
      <c r="D555" s="865"/>
      <c r="E555" s="865"/>
      <c r="F555" s="865"/>
      <c r="G555" s="865"/>
      <c r="H555" s="865"/>
      <c r="I555" s="865"/>
      <c r="J555" s="865"/>
      <c r="K555" s="865"/>
      <c r="L555" s="865"/>
      <c r="M555" s="865"/>
      <c r="N555" s="865"/>
      <c r="O555" s="865"/>
      <c r="P555" s="865"/>
      <c r="Q555" s="865"/>
      <c r="R555" s="865"/>
      <c r="S555" s="865"/>
      <c r="T555" s="865"/>
      <c r="U555" s="865"/>
      <c r="V555" s="865"/>
      <c r="W555" s="865"/>
      <c r="X555" s="865"/>
      <c r="Y555" s="865">
        <f t="shared" ref="Y555:AZ556" si="726">AVERAGE(X553:Y553)</f>
        <v>354.35399999999998</v>
      </c>
      <c r="Z555" s="865">
        <f t="shared" si="726"/>
        <v>350.06740000000002</v>
      </c>
      <c r="AA555" s="865">
        <f t="shared" si="726"/>
        <v>359.2319</v>
      </c>
      <c r="AB555" s="865">
        <f t="shared" si="726"/>
        <v>364.95650000000001</v>
      </c>
      <c r="AC555" s="865">
        <f t="shared" si="726"/>
        <v>415.74400000000003</v>
      </c>
      <c r="AD555" s="865">
        <f t="shared" si="726"/>
        <v>478.82800000000003</v>
      </c>
      <c r="AE555" s="865">
        <f t="shared" si="726"/>
        <v>479.24700000000007</v>
      </c>
      <c r="AF555" s="865">
        <f t="shared" si="726"/>
        <v>482.75700000000001</v>
      </c>
      <c r="AG555" s="865">
        <f t="shared" si="726"/>
        <v>522.88049999999998</v>
      </c>
      <c r="AH555" s="865">
        <f t="shared" si="726"/>
        <v>576.81500000000005</v>
      </c>
      <c r="AI555" s="865">
        <f t="shared" si="726"/>
        <v>606.32000000000005</v>
      </c>
      <c r="AJ555" s="865">
        <f t="shared" si="726"/>
        <v>806.0150000000001</v>
      </c>
      <c r="AK555" s="865">
        <f t="shared" si="726"/>
        <v>1099.703</v>
      </c>
      <c r="AL555" s="865">
        <f t="shared" si="726"/>
        <v>1357.5485000000001</v>
      </c>
      <c r="AM555" s="865">
        <f t="shared" si="726"/>
        <v>1499.6035000000002</v>
      </c>
      <c r="AN555" s="865">
        <f t="shared" si="726"/>
        <v>1617.5250000000001</v>
      </c>
      <c r="AO555" s="865">
        <f t="shared" si="726"/>
        <v>1806.502</v>
      </c>
      <c r="AP555" s="866">
        <f t="shared" si="726"/>
        <v>1968.8200000000002</v>
      </c>
      <c r="AQ555" s="865">
        <f t="shared" si="726"/>
        <v>2080.7189266123628</v>
      </c>
      <c r="AR555" s="865">
        <f t="shared" si="726"/>
        <v>2137.9986110743812</v>
      </c>
      <c r="AS555" s="865">
        <f t="shared" si="726"/>
        <v>2193.7658826460602</v>
      </c>
      <c r="AT555" s="865">
        <f t="shared" si="726"/>
        <v>2253.8241290107685</v>
      </c>
      <c r="AU555" s="865">
        <f t="shared" si="726"/>
        <v>2315.7814159106088</v>
      </c>
      <c r="AV555" s="865">
        <f t="shared" si="726"/>
        <v>2381.5390109401478</v>
      </c>
      <c r="AW555" s="865">
        <f t="shared" si="726"/>
        <v>2448.6348494508379</v>
      </c>
      <c r="AX555" s="865">
        <f t="shared" si="726"/>
        <v>2520.0299052857326</v>
      </c>
      <c r="AY555" s="865">
        <f t="shared" si="726"/>
        <v>2592.871492504647</v>
      </c>
      <c r="AZ555" s="865">
        <f t="shared" si="726"/>
        <v>2670.2871963648249</v>
      </c>
      <c r="BB555" s="137"/>
      <c r="BC555" s="137"/>
      <c r="BD555" s="137"/>
      <c r="BE555" s="137"/>
      <c r="BF555" s="137"/>
      <c r="BG555" s="137"/>
      <c r="BH555" s="137"/>
      <c r="BI555" s="55"/>
      <c r="BJ555" s="55"/>
      <c r="BK555" s="55"/>
      <c r="BL555" s="55"/>
      <c r="BM555" s="55">
        <f t="shared" ref="BM555:BO556" si="727">SUMPRODUCT(AA555:AB555,AA$5:AB$5)/SUM(AA$5:AB$5)</f>
        <v>362.11772575342462</v>
      </c>
      <c r="BN555" s="55">
        <f t="shared" si="727"/>
        <v>390.14153424657536</v>
      </c>
      <c r="BO555" s="55">
        <f t="shared" si="727"/>
        <v>447.54524931506853</v>
      </c>
      <c r="BP555" s="55">
        <f>SUMPRODUCT(AE555:AF555,AE$5:AF$5)/SUM(AE$5:AF$5)</f>
        <v>481.0115901639345</v>
      </c>
      <c r="BQ555" s="55">
        <f>SUMPRODUCT(AG555:AH555,AG$5:AH$5)/SUM(AG$5:AH$5)</f>
        <v>550.06939863013702</v>
      </c>
      <c r="BR555" s="55">
        <f>SUMPRODUCT(AI555:AJ555,AI$5:AJ$5)/SUM(AI$5:AJ$5)</f>
        <v>706.98816438356164</v>
      </c>
      <c r="BS555" s="55">
        <f>SUMPRODUCT(AJ555:AK555,AJ$5:AK$5)/SUM(AJ$5:AK$5)</f>
        <v>951.65206301369869</v>
      </c>
      <c r="BT555" s="55">
        <f>SUMPRODUCT(AM555:AN555,AM$5:AN$5)/SUM(AM$5:AN$5)</f>
        <v>1558.8864398907106</v>
      </c>
      <c r="BU555" s="453">
        <f>SUMPRODUCT(AO555:AP555,AO$5:AP$5)/SUM(AO$5:AP$5)</f>
        <v>1888.3280602739726</v>
      </c>
      <c r="BV555" s="55">
        <f>SUMPRODUCT(AP555:AQ555,AP$5:AQ$5)/SUM(AP$5:AQ$5)</f>
        <v>2024.3096047036647</v>
      </c>
      <c r="BW555" s="55">
        <f>SUMPRODUCT(AR555:AS555,AR$5:AS$5)/SUM(AR$5:AS$5)</f>
        <v>2165.6530662921177</v>
      </c>
      <c r="BX555" s="55">
        <f>SUMPRODUCT(AS555:AU555,AS$5:AU$5)/SUM(AS$5:AU$5)</f>
        <v>2254.5093132324469</v>
      </c>
      <c r="BY555" s="55">
        <f>SUMPRODUCT(AT555:AW555,AT$5:AW$5)/SUM(AT$5:AW$5)</f>
        <v>2349.6344030822588</v>
      </c>
      <c r="BZ555" s="55">
        <f>SUMPRODUCT(AU555:AY555,AU$5:AY$5)/SUM(AU$5:AY$5)</f>
        <v>2451.7301009294756</v>
      </c>
      <c r="DS555" s="55" t="e">
        <f>SUMPRODUCT(CT555:CU555,CT$5:CU$5)/SUM(CT$5:CU$5)</f>
        <v>#DIV/0!</v>
      </c>
    </row>
    <row r="556" spans="1:123">
      <c r="A556" s="10" t="s">
        <v>144</v>
      </c>
      <c r="B556" s="23" t="s">
        <v>142</v>
      </c>
      <c r="C556" s="28"/>
      <c r="D556" s="865"/>
      <c r="E556" s="865"/>
      <c r="F556" s="865"/>
      <c r="G556" s="865"/>
      <c r="H556" s="865"/>
      <c r="I556" s="865"/>
      <c r="J556" s="865"/>
      <c r="K556" s="865"/>
      <c r="L556" s="865"/>
      <c r="M556" s="865"/>
      <c r="N556" s="865"/>
      <c r="O556" s="865"/>
      <c r="P556" s="865"/>
      <c r="Q556" s="865"/>
      <c r="R556" s="865"/>
      <c r="S556" s="865"/>
      <c r="T556" s="865"/>
      <c r="U556" s="865"/>
      <c r="V556" s="865"/>
      <c r="W556" s="865"/>
      <c r="X556" s="865"/>
      <c r="Y556" s="865">
        <f t="shared" si="726"/>
        <v>102.226</v>
      </c>
      <c r="Z556" s="865">
        <f t="shared" si="726"/>
        <v>92.073900000000009</v>
      </c>
      <c r="AA556" s="865">
        <f t="shared" si="726"/>
        <v>91.426900000000018</v>
      </c>
      <c r="AB556" s="865">
        <f t="shared" si="726"/>
        <v>95.532500000000027</v>
      </c>
      <c r="AC556" s="865">
        <f t="shared" si="726"/>
        <v>118.13900000000001</v>
      </c>
      <c r="AD556" s="865">
        <f t="shared" si="726"/>
        <v>114.19850000000002</v>
      </c>
      <c r="AE556" s="865">
        <f t="shared" si="726"/>
        <v>80.804500000000047</v>
      </c>
      <c r="AF556" s="865">
        <f t="shared" si="726"/>
        <v>93.389500000000027</v>
      </c>
      <c r="AG556" s="865">
        <f t="shared" si="726"/>
        <v>76.014999999999986</v>
      </c>
      <c r="AH556" s="865">
        <f t="shared" si="726"/>
        <v>86.60899999999998</v>
      </c>
      <c r="AI556" s="865">
        <f t="shared" si="726"/>
        <v>114.06350000000003</v>
      </c>
      <c r="AJ556" s="865">
        <f t="shared" si="726"/>
        <v>237.3420000000001</v>
      </c>
      <c r="AK556" s="865">
        <f t="shared" si="726"/>
        <v>-114.97749999999996</v>
      </c>
      <c r="AL556" s="865">
        <f t="shared" si="726"/>
        <v>-524.2974999999999</v>
      </c>
      <c r="AM556" s="865">
        <f t="shared" si="726"/>
        <v>-481.53049999999973</v>
      </c>
      <c r="AN556" s="865">
        <f t="shared" si="726"/>
        <v>-406.63549999999975</v>
      </c>
      <c r="AO556" s="865">
        <f t="shared" si="726"/>
        <v>-446.09449999999993</v>
      </c>
      <c r="AP556" s="866">
        <f t="shared" si="726"/>
        <v>-563.15449999999998</v>
      </c>
      <c r="AQ556" s="865">
        <f t="shared" si="726"/>
        <v>-520.9310733876373</v>
      </c>
      <c r="AR556" s="865">
        <f t="shared" si="726"/>
        <v>-463.65138892561868</v>
      </c>
      <c r="AS556" s="865">
        <f t="shared" si="726"/>
        <v>-407.88411735394016</v>
      </c>
      <c r="AT556" s="865">
        <f t="shared" si="726"/>
        <v>-347.82587098923159</v>
      </c>
      <c r="AU556" s="865">
        <f t="shared" si="726"/>
        <v>-285.86858408939133</v>
      </c>
      <c r="AV556" s="865">
        <f t="shared" si="726"/>
        <v>-220.11098905985205</v>
      </c>
      <c r="AW556" s="865">
        <f t="shared" si="726"/>
        <v>-153.01515054916217</v>
      </c>
      <c r="AX556" s="865">
        <f t="shared" si="726"/>
        <v>-81.62009471426768</v>
      </c>
      <c r="AY556" s="865">
        <f t="shared" si="726"/>
        <v>-8.778507495353324</v>
      </c>
      <c r="AZ556" s="865">
        <f t="shared" si="726"/>
        <v>68.637196364825058</v>
      </c>
      <c r="BB556" s="137"/>
      <c r="BC556" s="137"/>
      <c r="BD556" s="137"/>
      <c r="BE556" s="137"/>
      <c r="BF556" s="137"/>
      <c r="BG556" s="137"/>
      <c r="BH556" s="137"/>
      <c r="BI556" s="55"/>
      <c r="BJ556" s="55"/>
      <c r="BK556" s="55"/>
      <c r="BL556" s="55"/>
      <c r="BM556" s="55">
        <f t="shared" si="727"/>
        <v>93.496572328767158</v>
      </c>
      <c r="BN556" s="55">
        <f t="shared" si="727"/>
        <v>106.74284657534248</v>
      </c>
      <c r="BO556" s="55">
        <f t="shared" si="727"/>
        <v>116.15255616438358</v>
      </c>
      <c r="BP556" s="55">
        <f>SUMPRODUCT(AE556:AF556,AE$5:AF$5)/SUM(AE$5:AF$5)</f>
        <v>87.131385245901683</v>
      </c>
      <c r="BQ556" s="55">
        <f>SUMPRODUCT(AG556:AH556,AG$5:AH$5)/SUM(AG$5:AH$5)</f>
        <v>81.355536986301345</v>
      </c>
      <c r="BR556" s="55">
        <f>SUMPRODUCT(AI556:AJ556,AI$5:AJ$5)/SUM(AI$5:AJ$5)</f>
        <v>176.2093739726028</v>
      </c>
      <c r="BS556" s="55">
        <f>SUMPRODUCT(AJ556:AK556,AJ$5:AK$5)/SUM(AJ$5:AK$5)</f>
        <v>62.630138356164458</v>
      </c>
      <c r="BT556" s="55">
        <f>SUMPRODUCT(AM556:AN556,AM$5:AN$5)/SUM(AM$5:AN$5)</f>
        <v>-443.87836885245878</v>
      </c>
      <c r="BU556" s="453">
        <f>SUMPRODUCT(AO556:AP556,AO$5:AP$5)/SUM(AO$5:AP$5)</f>
        <v>-505.1055684931506</v>
      </c>
      <c r="BV556" s="55">
        <f>SUMPRODUCT(AQ556:AR556,AQ$5:AR$5)/SUM(AQ$5:AR$5)</f>
        <v>-492.05583519308544</v>
      </c>
      <c r="BW556" s="55">
        <f>SUMPRODUCT(AS556:AT556,AS$5:AT$5)/SUM(AS$5:AT$5)</f>
        <v>-377.60817946049804</v>
      </c>
      <c r="BX556" s="55">
        <f>SUMPRODUCT(AU556:AV556,AU$5:AV$5)/SUM(AU$5:AV$5)</f>
        <v>-252.8101210144317</v>
      </c>
      <c r="BY556" s="55">
        <f>SUMPRODUCT(AW556:AX556,AW$5:AX$5)/SUM(AW$5:AX$5)</f>
        <v>-117.02421829266741</v>
      </c>
      <c r="BZ556" s="55">
        <f>SUMPRODUCT(AY556:AZ556,AY$5:AZ$5)/SUM(AY$5:AZ$5)</f>
        <v>30.24749116292838</v>
      </c>
      <c r="DS556" s="55" t="e">
        <f>SUMPRODUCT(CU556:CV556,CU$5:CV$5)/SUM(CU$5:CV$5)</f>
        <v>#DIV/0!</v>
      </c>
    </row>
    <row r="557" spans="1:123">
      <c r="A557" s="10" t="s">
        <v>154</v>
      </c>
      <c r="B557" s="23" t="s">
        <v>541</v>
      </c>
      <c r="F557" s="431"/>
      <c r="G557" s="431"/>
      <c r="H557" s="431"/>
      <c r="I557" s="431"/>
      <c r="J557" s="431"/>
      <c r="K557" s="431"/>
      <c r="L557" s="431"/>
      <c r="M557" s="431"/>
      <c r="N557" s="431"/>
      <c r="O557" s="431"/>
      <c r="P557" s="431"/>
      <c r="Q557" s="431"/>
      <c r="R557" s="431"/>
      <c r="S557" s="431"/>
      <c r="T557" s="431"/>
      <c r="U557" s="431"/>
      <c r="V557" s="431"/>
      <c r="W557" s="431"/>
      <c r="X557" s="431"/>
      <c r="Y557" s="420">
        <f>Y258/Y555*Y$5</f>
        <v>8.1272663715552459E-2</v>
      </c>
      <c r="Z557" s="420">
        <f t="shared" ref="Z557:AZ557" si="728">Z258/Z555*Z$5</f>
        <v>0.14633480352325021</v>
      </c>
      <c r="AA557" s="420">
        <f t="shared" si="728"/>
        <v>8.8198144308792539E-2</v>
      </c>
      <c r="AB557" s="420">
        <f t="shared" si="728"/>
        <v>0.15227229116604102</v>
      </c>
      <c r="AC557" s="420">
        <f t="shared" si="728"/>
        <v>8.0637258798056319E-2</v>
      </c>
      <c r="AD557" s="420">
        <f t="shared" si="728"/>
        <v>0.12558212462316481</v>
      </c>
      <c r="AE557" s="420">
        <f t="shared" si="728"/>
        <v>8.7505684869225525E-2</v>
      </c>
      <c r="AF557" s="420">
        <f t="shared" si="728"/>
        <v>0.13358771927368557</v>
      </c>
      <c r="AG557" s="420">
        <f t="shared" si="728"/>
        <v>0.11384007518884832</v>
      </c>
      <c r="AH557" s="420">
        <f t="shared" si="728"/>
        <v>0.12338612354191331</v>
      </c>
      <c r="AI557" s="420">
        <f t="shared" si="728"/>
        <v>0.10018265035825534</v>
      </c>
      <c r="AJ557" s="420">
        <f t="shared" si="728"/>
        <v>0.10857776079527465</v>
      </c>
      <c r="AK557" s="420">
        <f t="shared" si="728"/>
        <v>8.4163880374183264E-2</v>
      </c>
      <c r="AL557" s="420">
        <f t="shared" si="728"/>
        <v>0.1224714462700931</v>
      </c>
      <c r="AM557" s="420">
        <f t="shared" si="728"/>
        <v>9.3118570863970823E-2</v>
      </c>
      <c r="AN557" s="420">
        <f t="shared" si="728"/>
        <v>0.12533582798710075</v>
      </c>
      <c r="AO557" s="420">
        <f t="shared" si="728"/>
        <v>8.7128779939015466E-2</v>
      </c>
      <c r="AP557" s="447">
        <f t="shared" si="728"/>
        <v>0.1238058514562471</v>
      </c>
      <c r="AQ557" s="420">
        <f t="shared" si="728"/>
        <v>8.6462640530064125E-2</v>
      </c>
      <c r="AR557" s="420">
        <f t="shared" si="728"/>
        <v>0.12502917842666741</v>
      </c>
      <c r="AS557" s="420">
        <f t="shared" si="728"/>
        <v>8.7604287097799771E-2</v>
      </c>
      <c r="AT557" s="420">
        <f t="shared" si="728"/>
        <v>0.12822081974183597</v>
      </c>
      <c r="AU557" s="420">
        <f t="shared" si="728"/>
        <v>9.2479235847889418E-2</v>
      </c>
      <c r="AV557" s="420">
        <f t="shared" si="728"/>
        <v>0.13061392116656292</v>
      </c>
      <c r="AW557" s="420">
        <f t="shared" si="728"/>
        <v>9.5380945622942831E-2</v>
      </c>
      <c r="AX557" s="420">
        <f t="shared" si="728"/>
        <v>0.13347984307084576</v>
      </c>
      <c r="AY557" s="420">
        <f t="shared" si="728"/>
        <v>9.8317086025405245E-2</v>
      </c>
      <c r="AZ557" s="420">
        <f t="shared" si="728"/>
        <v>0.1357250731585968</v>
      </c>
      <c r="BC557" s="431"/>
      <c r="BD557" s="431"/>
      <c r="BE557" s="431"/>
      <c r="BF557" s="431"/>
      <c r="BG557" s="431"/>
      <c r="BH557" s="431"/>
      <c r="BI557" s="431"/>
      <c r="BJ557" s="431"/>
      <c r="BK557" s="431"/>
      <c r="BL557" s="431"/>
      <c r="BM557" s="420">
        <f t="shared" ref="BM557:BZ557" si="729">BM258/BM555*BM$5</f>
        <v>0.11024315343011751</v>
      </c>
      <c r="BN557" s="420">
        <f t="shared" si="729"/>
        <v>0.11157489315784662</v>
      </c>
      <c r="BO557" s="420">
        <f t="shared" si="729"/>
        <v>0.10438944457906683</v>
      </c>
      <c r="BP557" s="420">
        <f t="shared" si="729"/>
        <v>0.1105004558869053</v>
      </c>
      <c r="BQ557" s="420">
        <f t="shared" si="729"/>
        <v>0.11871229368988635</v>
      </c>
      <c r="BR557" s="420">
        <f t="shared" si="729"/>
        <v>0.10469623641371531</v>
      </c>
      <c r="BS557" s="420">
        <f t="shared" si="729"/>
        <v>0.13566428847025108</v>
      </c>
      <c r="BT557" s="420">
        <f t="shared" si="729"/>
        <v>0.10970330847960252</v>
      </c>
      <c r="BU557" s="447">
        <f t="shared" si="729"/>
        <v>0.1060303049094926</v>
      </c>
      <c r="BV557" s="420">
        <f t="shared" si="729"/>
        <v>0.11028407943525589</v>
      </c>
      <c r="BW557" s="420">
        <f t="shared" si="729"/>
        <v>0.11090761320982949</v>
      </c>
      <c r="BX557" s="420">
        <f t="shared" si="729"/>
        <v>0.11636552810250632</v>
      </c>
      <c r="BY557" s="420">
        <f t="shared" si="729"/>
        <v>0.12109994779399644</v>
      </c>
      <c r="BZ557" s="420">
        <f t="shared" si="729"/>
        <v>0.12572038856231432</v>
      </c>
      <c r="DS557" s="420" t="e">
        <f>DS258/DS555*DS$5</f>
        <v>#DIV/0!</v>
      </c>
    </row>
    <row r="558" spans="1:123">
      <c r="A558" s="10" t="s">
        <v>155</v>
      </c>
      <c r="B558" s="23" t="s">
        <v>542</v>
      </c>
      <c r="F558" s="431"/>
      <c r="G558" s="431"/>
      <c r="H558" s="431"/>
      <c r="I558" s="431"/>
      <c r="J558" s="431"/>
      <c r="K558" s="431"/>
      <c r="L558" s="431"/>
      <c r="M558" s="431"/>
      <c r="N558" s="431"/>
      <c r="O558" s="431"/>
      <c r="P558" s="431"/>
      <c r="Q558" s="431"/>
      <c r="R558" s="431"/>
      <c r="S558" s="431"/>
      <c r="T558" s="431"/>
      <c r="U558" s="431"/>
      <c r="V558" s="431"/>
      <c r="W558" s="431"/>
      <c r="X558" s="431"/>
      <c r="Y558" s="420">
        <f>Y258/Y556*Y$5</f>
        <v>0.28172180735097602</v>
      </c>
      <c r="Z558" s="420">
        <f t="shared" ref="Z558:AZ558" si="730">Z258/Z556*Z$5</f>
        <v>0.55636878853719707</v>
      </c>
      <c r="AA558" s="420">
        <f t="shared" si="730"/>
        <v>0.3465455676231145</v>
      </c>
      <c r="AB558" s="420">
        <f t="shared" si="730"/>
        <v>0.58171577663035334</v>
      </c>
      <c r="AC558" s="420">
        <f t="shared" si="730"/>
        <v>0.28377129078237606</v>
      </c>
      <c r="AD558" s="420">
        <f t="shared" si="730"/>
        <v>0.52655890899670965</v>
      </c>
      <c r="AE558" s="420">
        <f t="shared" si="730"/>
        <v>0.51899135514138084</v>
      </c>
      <c r="AF558" s="420">
        <f t="shared" si="730"/>
        <v>0.69055307709546154</v>
      </c>
      <c r="AG558" s="420">
        <f t="shared" si="730"/>
        <v>0.7830659137641599</v>
      </c>
      <c r="AH558" s="420">
        <f t="shared" si="730"/>
        <v>0.8217502436332107</v>
      </c>
      <c r="AI558" s="420">
        <f t="shared" si="730"/>
        <v>0.53253446163950224</v>
      </c>
      <c r="AJ558" s="420">
        <f t="shared" si="730"/>
        <v>0.36873079297976458</v>
      </c>
      <c r="AK558" s="420">
        <f t="shared" si="730"/>
        <v>-0.8049859471560129</v>
      </c>
      <c r="AL558" s="420">
        <f t="shared" si="730"/>
        <v>-0.31711180804179978</v>
      </c>
      <c r="AM558" s="420">
        <f t="shared" si="730"/>
        <v>-0.28999395631763464</v>
      </c>
      <c r="AN558" s="420">
        <f t="shared" si="730"/>
        <v>-0.49856403379644731</v>
      </c>
      <c r="AO558" s="420">
        <f t="shared" si="730"/>
        <v>-0.352836260517427</v>
      </c>
      <c r="AP558" s="447">
        <f t="shared" si="730"/>
        <v>-0.43283226266342267</v>
      </c>
      <c r="AQ558" s="420">
        <f t="shared" si="730"/>
        <v>-0.34535173996409768</v>
      </c>
      <c r="AR558" s="420">
        <f t="shared" si="730"/>
        <v>-0.57653706255341231</v>
      </c>
      <c r="AS558" s="420">
        <f t="shared" si="730"/>
        <v>-0.47117131565561093</v>
      </c>
      <c r="AT558" s="420">
        <f t="shared" si="730"/>
        <v>-0.83083865082777875</v>
      </c>
      <c r="AU558" s="420">
        <f t="shared" si="730"/>
        <v>-0.74916135474049828</v>
      </c>
      <c r="AV558" s="420">
        <f t="shared" si="730"/>
        <v>-1.4132059010713338</v>
      </c>
      <c r="AW558" s="420">
        <f t="shared" si="730"/>
        <v>-1.5263397551661069</v>
      </c>
      <c r="AX558" s="420">
        <f t="shared" si="730"/>
        <v>-4.1212056598186955</v>
      </c>
      <c r="AY558" s="420">
        <f t="shared" si="730"/>
        <v>-29.039511524748082</v>
      </c>
      <c r="AZ558" s="420">
        <f t="shared" si="730"/>
        <v>5.280299083818849</v>
      </c>
      <c r="BC558" s="431"/>
      <c r="BD558" s="431"/>
      <c r="BE558" s="431"/>
      <c r="BF558" s="431"/>
      <c r="BG558" s="431"/>
      <c r="BH558" s="431"/>
      <c r="BI558" s="431"/>
      <c r="BJ558" s="431"/>
      <c r="BK558" s="431"/>
      <c r="BL558" s="431"/>
      <c r="BM558" s="420">
        <f t="shared" ref="BM558:BZ558" si="731">BM258/BM556*BM$5</f>
        <v>0.42697821968941913</v>
      </c>
      <c r="BN558" s="420">
        <f t="shared" si="731"/>
        <v>0.40780250289910669</v>
      </c>
      <c r="BO558" s="420">
        <f t="shared" si="731"/>
        <v>0.40222102330560389</v>
      </c>
      <c r="BP558" s="420">
        <f t="shared" si="731"/>
        <v>0.6100212896879208</v>
      </c>
      <c r="BQ558" s="420">
        <f t="shared" si="731"/>
        <v>0.80264973250677729</v>
      </c>
      <c r="BR558" s="420">
        <f t="shared" si="731"/>
        <v>0.42006278287730897</v>
      </c>
      <c r="BS558" s="420">
        <f t="shared" si="731"/>
        <v>2.0613909435391276</v>
      </c>
      <c r="BT558" s="420">
        <f t="shared" si="731"/>
        <v>-0.38527446255630415</v>
      </c>
      <c r="BU558" s="447">
        <f t="shared" si="731"/>
        <v>-0.39639238307608377</v>
      </c>
      <c r="BV558" s="420">
        <f t="shared" si="731"/>
        <v>-0.45370688706310375</v>
      </c>
      <c r="BW558" s="420">
        <f t="shared" si="731"/>
        <v>-0.63607576765464013</v>
      </c>
      <c r="BX558" s="420">
        <f t="shared" si="731"/>
        <v>-1.0377241456695334</v>
      </c>
      <c r="BY558" s="420">
        <f t="shared" si="731"/>
        <v>-2.4314676713894228</v>
      </c>
      <c r="BZ558" s="420">
        <f t="shared" si="731"/>
        <v>10.190347995424773</v>
      </c>
      <c r="DS558" s="420" t="e">
        <f>DS258/DS556*DS$5</f>
        <v>#DIV/0!</v>
      </c>
    </row>
    <row r="559" spans="1:123">
      <c r="A559" s="10" t="s">
        <v>544</v>
      </c>
      <c r="B559" s="23" t="s">
        <v>543</v>
      </c>
      <c r="F559" s="431"/>
      <c r="G559" s="431"/>
      <c r="H559" s="431"/>
      <c r="I559" s="431"/>
      <c r="J559" s="431"/>
      <c r="K559" s="431"/>
      <c r="L559" s="431"/>
      <c r="M559" s="431"/>
      <c r="N559" s="431"/>
      <c r="O559" s="431"/>
      <c r="P559" s="431"/>
      <c r="Q559" s="431"/>
      <c r="R559" s="431"/>
      <c r="S559" s="431"/>
      <c r="T559" s="431"/>
      <c r="U559" s="431"/>
      <c r="V559" s="431"/>
      <c r="W559" s="431"/>
      <c r="X559" s="431"/>
      <c r="Y559" s="431">
        <f>Y258/SUM(Y470,Y396+Y405)</f>
        <v>3.2773488645085558E-2</v>
      </c>
      <c r="Z559" s="431">
        <f t="shared" ref="Z559:AZ559" si="732">Z258/SUM(Z470,Z396+Z405)</f>
        <v>5.7619245277027394E-2</v>
      </c>
      <c r="AA559" s="431">
        <f t="shared" si="732"/>
        <v>3.2820976491862559E-2</v>
      </c>
      <c r="AB559" s="431">
        <f t="shared" si="732"/>
        <v>5.760066216306603E-2</v>
      </c>
      <c r="AC559" s="431">
        <f t="shared" si="732"/>
        <v>3.158235051176489E-2</v>
      </c>
      <c r="AD559" s="431">
        <f t="shared" si="732"/>
        <v>5.0723540628673187E-2</v>
      </c>
      <c r="AE559" s="431">
        <f t="shared" si="732"/>
        <v>3.7322310538334895E-2</v>
      </c>
      <c r="AF559" s="431">
        <f t="shared" si="732"/>
        <v>4.4405334898946006E-2</v>
      </c>
      <c r="AG559" s="431">
        <f t="shared" si="732"/>
        <v>3.6669835830781289E-2</v>
      </c>
      <c r="AH559" s="431">
        <f t="shared" si="732"/>
        <v>4.3540964999938314E-2</v>
      </c>
      <c r="AI559" s="431">
        <f t="shared" si="732"/>
        <v>3.6234953873534426E-2</v>
      </c>
      <c r="AJ559" s="431">
        <f t="shared" si="732"/>
        <v>4.1510159458009191E-2</v>
      </c>
      <c r="AK559" s="431">
        <f t="shared" si="732"/>
        <v>2.4516364297473069E-2</v>
      </c>
      <c r="AL559" s="431">
        <f t="shared" si="732"/>
        <v>3.9305529467514727E-2</v>
      </c>
      <c r="AM559" s="431">
        <f t="shared" si="732"/>
        <v>3.2416163660945824E-2</v>
      </c>
      <c r="AN559" s="431">
        <f t="shared" si="732"/>
        <v>4.2089384989721153E-2</v>
      </c>
      <c r="AO559" s="431">
        <f t="shared" si="732"/>
        <v>3.0081715688244456E-2</v>
      </c>
      <c r="AP559" s="449">
        <f t="shared" si="732"/>
        <v>4.102126573583683E-2</v>
      </c>
      <c r="AQ559" s="431">
        <f t="shared" si="732"/>
        <v>3.0635295332539975E-2</v>
      </c>
      <c r="AR559" s="431">
        <f t="shared" si="732"/>
        <v>4.3302803335619151E-2</v>
      </c>
      <c r="AS559" s="431">
        <f t="shared" si="732"/>
        <v>3.1537991511323783E-2</v>
      </c>
      <c r="AT559" s="431">
        <f t="shared" si="732"/>
        <v>4.5046442228446802E-2</v>
      </c>
      <c r="AU559" s="431">
        <f t="shared" si="732"/>
        <v>3.3689723865802261E-2</v>
      </c>
      <c r="AV559" s="431">
        <f t="shared" si="732"/>
        <v>4.6691848313472131E-2</v>
      </c>
      <c r="AW559" s="431">
        <f t="shared" si="732"/>
        <v>3.5356236459190019E-2</v>
      </c>
      <c r="AX559" s="431">
        <f t="shared" si="732"/>
        <v>4.8270715050533937E-2</v>
      </c>
      <c r="AY559" s="431">
        <f t="shared" si="732"/>
        <v>3.6973829768771664E-2</v>
      </c>
      <c r="AZ559" s="431">
        <f t="shared" si="732"/>
        <v>4.9778839808936368E-2</v>
      </c>
      <c r="BC559" s="431"/>
      <c r="BD559" s="431"/>
      <c r="BE559" s="431"/>
      <c r="BF559" s="431"/>
      <c r="BG559" s="431"/>
      <c r="BH559" s="431"/>
      <c r="BI559" s="431"/>
      <c r="BJ559" s="431"/>
      <c r="BK559" s="431"/>
      <c r="BL559" s="431"/>
      <c r="BM559" s="431">
        <f t="shared" ref="BM559:BZ559" si="733">BM258/SUM(BM470,BM396+BM405)</f>
        <v>9.0549064705121848E-2</v>
      </c>
      <c r="BN559" s="431">
        <f t="shared" si="733"/>
        <v>9.0984716741355096E-2</v>
      </c>
      <c r="BO559" s="431">
        <f t="shared" si="733"/>
        <v>7.9471246340621166E-2</v>
      </c>
      <c r="BP559" s="431">
        <f t="shared" si="733"/>
        <v>7.3598564362742133E-2</v>
      </c>
      <c r="BQ559" s="431">
        <f t="shared" si="733"/>
        <v>8.0560593162836036E-2</v>
      </c>
      <c r="BR559" s="431">
        <f t="shared" si="733"/>
        <v>7.0799126524779543E-2</v>
      </c>
      <c r="BS559" s="431">
        <f t="shared" si="733"/>
        <v>6.1549067075769508E-2</v>
      </c>
      <c r="BT559" s="431">
        <f t="shared" si="733"/>
        <v>7.1398690387322702E-2</v>
      </c>
      <c r="BU559" s="449">
        <f t="shared" si="733"/>
        <v>6.7949086036941359E-2</v>
      </c>
      <c r="BV559" s="431">
        <f t="shared" si="733"/>
        <v>7.2929168859352814E-2</v>
      </c>
      <c r="BW559" s="431">
        <f t="shared" si="733"/>
        <v>7.5499913892950396E-2</v>
      </c>
      <c r="BX559" s="431">
        <f t="shared" si="733"/>
        <v>7.9191756225941878E-2</v>
      </c>
      <c r="BY559" s="431">
        <f t="shared" si="733"/>
        <v>8.2341900809390384E-2</v>
      </c>
      <c r="BZ559" s="431">
        <f t="shared" si="733"/>
        <v>8.5372770606868945E-2</v>
      </c>
      <c r="DS559" s="431" t="e">
        <f t="shared" ref="DS559" si="734">DS258/SUM(DS470,DS396+DS405)</f>
        <v>#DIV/0!</v>
      </c>
    </row>
    <row r="560" spans="1:123">
      <c r="F560" s="230"/>
      <c r="G560" s="230"/>
      <c r="H560" s="230"/>
      <c r="I560" s="230"/>
      <c r="J560" s="230"/>
      <c r="K560" s="230"/>
      <c r="L560" s="230"/>
      <c r="M560" s="138"/>
      <c r="N560" s="138"/>
      <c r="O560" s="138"/>
      <c r="P560" s="138"/>
      <c r="Q560" s="138"/>
      <c r="R560" s="138"/>
      <c r="S560" s="138"/>
      <c r="T560" s="138"/>
      <c r="U560" s="138"/>
      <c r="V560" s="138"/>
      <c r="W560" s="138"/>
      <c r="X560" s="138"/>
      <c r="Y560" s="138"/>
      <c r="Z560" s="138"/>
      <c r="AA560" s="138"/>
      <c r="AB560" s="138"/>
      <c r="AC560" s="138"/>
      <c r="AD560" s="138"/>
      <c r="AE560" s="138"/>
      <c r="AF560" s="138"/>
      <c r="AG560" s="138"/>
      <c r="AH560" s="138"/>
      <c r="AI560" s="138"/>
      <c r="AJ560" s="138"/>
      <c r="AK560" s="138"/>
      <c r="AL560" s="138"/>
      <c r="AM560" s="138"/>
      <c r="AN560" s="138"/>
      <c r="AO560" s="138"/>
      <c r="AP560" s="483"/>
      <c r="AQ560" s="138"/>
      <c r="AR560" s="138"/>
      <c r="AS560" s="138"/>
      <c r="AT560" s="138"/>
      <c r="AU560" s="138"/>
      <c r="AV560" s="138"/>
      <c r="AW560" s="138"/>
      <c r="AX560" s="138"/>
      <c r="AY560" s="138"/>
      <c r="AZ560" s="138"/>
      <c r="BA560" s="13"/>
      <c r="BC560" s="230"/>
      <c r="BD560" s="230"/>
      <c r="BE560" s="230"/>
      <c r="BF560" s="230"/>
      <c r="BG560" s="230"/>
      <c r="BH560" s="230"/>
      <c r="BI560" s="138"/>
      <c r="BJ560" s="138"/>
      <c r="BK560" s="138"/>
      <c r="BL560" s="138"/>
      <c r="BM560" s="138"/>
      <c r="BN560" s="138"/>
      <c r="BO560" s="138"/>
      <c r="BP560" s="138"/>
      <c r="BQ560" s="138"/>
      <c r="BR560" s="138"/>
      <c r="BS560" s="138"/>
      <c r="BT560" s="138"/>
      <c r="BU560" s="483"/>
      <c r="BV560" s="431"/>
      <c r="BW560" s="431"/>
      <c r="BX560" s="431"/>
      <c r="BY560" s="431"/>
      <c r="BZ560" s="431"/>
      <c r="DS560" s="431"/>
    </row>
    <row r="561" spans="1:123" s="40" customFormat="1">
      <c r="A561" s="10"/>
      <c r="B561" s="11" t="s">
        <v>54</v>
      </c>
      <c r="C561" s="11"/>
      <c r="D561" s="11"/>
      <c r="E561" s="11"/>
      <c r="F561" s="11"/>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298"/>
      <c r="AQ561" s="12"/>
      <c r="AR561" s="12"/>
      <c r="AS561" s="12"/>
      <c r="AT561" s="12"/>
      <c r="AU561" s="12"/>
      <c r="AV561" s="12"/>
      <c r="AW561" s="12"/>
      <c r="AX561" s="12"/>
      <c r="AY561" s="12"/>
      <c r="AZ561" s="12"/>
      <c r="BA561" s="27"/>
      <c r="BB561" s="12"/>
      <c r="BC561" s="12"/>
      <c r="BD561" s="12"/>
      <c r="BE561" s="12"/>
      <c r="BF561" s="12"/>
      <c r="BG561" s="12"/>
      <c r="BH561" s="12"/>
      <c r="BI561" s="12"/>
      <c r="BJ561" s="26"/>
      <c r="BK561" s="12"/>
      <c r="BL561" s="12"/>
      <c r="BM561" s="12"/>
      <c r="BN561" s="12"/>
      <c r="BO561" s="12"/>
      <c r="BP561" s="12"/>
      <c r="BQ561" s="12"/>
      <c r="BR561" s="12"/>
      <c r="BS561" s="12"/>
      <c r="BT561" s="12"/>
      <c r="BU561" s="298"/>
      <c r="BV561" s="12"/>
      <c r="BW561" s="12"/>
      <c r="BX561" s="12"/>
      <c r="BY561" s="12"/>
      <c r="BZ561" s="12"/>
      <c r="CB561" s="28"/>
      <c r="DS561" s="12"/>
    </row>
    <row r="562" spans="1:123">
      <c r="B562" s="139"/>
      <c r="BA562" s="70"/>
    </row>
    <row r="563" spans="1:123" s="70" customFormat="1">
      <c r="A563" s="78" t="s">
        <v>186</v>
      </c>
      <c r="B563" s="101"/>
      <c r="AE563" s="51"/>
      <c r="AF563" s="51"/>
      <c r="AG563" s="51"/>
      <c r="AH563" s="51"/>
      <c r="AI563" s="51"/>
      <c r="AJ563" s="51"/>
      <c r="AK563" s="51"/>
      <c r="AL563" s="51"/>
      <c r="AM563" s="51"/>
      <c r="AN563" s="51"/>
      <c r="AO563" s="51"/>
      <c r="AP563" s="443"/>
      <c r="AQ563" s="51"/>
      <c r="AR563" s="51"/>
      <c r="AS563" s="51"/>
      <c r="AT563" s="51"/>
      <c r="AU563" s="51"/>
      <c r="AV563" s="51"/>
      <c r="AW563" s="51"/>
      <c r="AX563" s="51"/>
      <c r="AY563" s="51"/>
      <c r="AZ563" s="51"/>
      <c r="BU563" s="306"/>
    </row>
    <row r="564" spans="1:123" s="70" customFormat="1">
      <c r="A564" s="78"/>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39"/>
      <c r="AJ564" s="25"/>
      <c r="AK564" s="25"/>
      <c r="AL564" s="25"/>
      <c r="AM564" s="25"/>
      <c r="AN564" s="25"/>
      <c r="AO564" s="25"/>
      <c r="AP564" s="440"/>
      <c r="AQ564" s="39"/>
      <c r="AR564" s="39"/>
      <c r="AS564" s="39"/>
      <c r="AT564" s="39"/>
      <c r="AU564" s="39"/>
      <c r="AV564" s="39"/>
      <c r="AW564" s="39"/>
      <c r="AX564" s="39"/>
      <c r="AY564" s="39"/>
      <c r="AZ564" s="39"/>
      <c r="BA564" s="25"/>
      <c r="BB564" s="25"/>
      <c r="BC564" s="25"/>
      <c r="BD564" s="25"/>
      <c r="BE564" s="25"/>
      <c r="BF564" s="25"/>
      <c r="BG564" s="25"/>
      <c r="BH564" s="25"/>
      <c r="BI564" s="25"/>
      <c r="BJ564" s="25"/>
      <c r="BK564" s="25"/>
      <c r="BL564" s="25"/>
      <c r="BM564" s="25"/>
      <c r="BN564" s="25"/>
      <c r="BO564" s="25"/>
      <c r="BP564" s="25"/>
      <c r="BQ564" s="25"/>
      <c r="BR564" s="25"/>
      <c r="BS564" s="25"/>
      <c r="BU564" s="306"/>
    </row>
    <row r="565" spans="1:123" s="70" customFormat="1">
      <c r="A565" s="78"/>
      <c r="B565" s="75" t="s">
        <v>467</v>
      </c>
      <c r="G565" s="25"/>
      <c r="H565" s="25"/>
      <c r="I565" s="25"/>
      <c r="J565" s="25"/>
      <c r="K565" s="25"/>
      <c r="L565" s="25"/>
      <c r="M565" s="25"/>
      <c r="N565" s="25"/>
      <c r="O565" s="25"/>
      <c r="P565" s="25"/>
      <c r="Q565" s="25"/>
      <c r="R565" s="25"/>
      <c r="S565" s="25"/>
      <c r="T565" s="112"/>
      <c r="U565" s="112"/>
      <c r="V565" s="112"/>
      <c r="W565" s="112"/>
      <c r="X565" s="112"/>
      <c r="Y565" s="112"/>
      <c r="Z565" s="112"/>
      <c r="AA565" s="112"/>
      <c r="AB565" s="112"/>
      <c r="AC565" s="112"/>
      <c r="AD565" s="112"/>
      <c r="AE565" s="164"/>
      <c r="AF565" s="164"/>
      <c r="AG565" s="164"/>
      <c r="AH565" s="164"/>
      <c r="AI565" s="164"/>
      <c r="AJ565" s="164"/>
      <c r="AK565" s="164"/>
      <c r="AL565" s="164"/>
      <c r="AM565" s="164"/>
      <c r="AN565" s="164"/>
      <c r="AO565" s="164"/>
      <c r="AP565" s="484"/>
      <c r="AQ565" s="164">
        <f t="shared" ref="AQ565:AZ565" si="735">AQ258</f>
        <v>90.691559664724792</v>
      </c>
      <c r="AR565" s="164">
        <f t="shared" si="735"/>
        <v>132.55756158196562</v>
      </c>
      <c r="AS565" s="164">
        <f t="shared" si="735"/>
        <v>96.881442472322675</v>
      </c>
      <c r="AT565" s="164">
        <f t="shared" si="735"/>
        <v>143.30597015068474</v>
      </c>
      <c r="AU565" s="164">
        <f t="shared" si="735"/>
        <v>107.66598911225353</v>
      </c>
      <c r="AV565" s="164">
        <f t="shared" si="735"/>
        <v>154.68117773405899</v>
      </c>
      <c r="AW565" s="164">
        <f t="shared" si="735"/>
        <v>117.736361003748</v>
      </c>
      <c r="AX565" s="164">
        <f t="shared" si="735"/>
        <v>166.8042425444915</v>
      </c>
      <c r="AY565" s="164">
        <f t="shared" si="735"/>
        <v>128.5094158985689</v>
      </c>
      <c r="AZ565" s="164">
        <f t="shared" si="735"/>
        <v>179.72304504020687</v>
      </c>
      <c r="BA565" s="25"/>
      <c r="BB565" s="25"/>
      <c r="BC565" s="25"/>
      <c r="BD565" s="25"/>
      <c r="BE565" s="25"/>
      <c r="BF565" s="25"/>
      <c r="BG565" s="25"/>
      <c r="BH565" s="25"/>
      <c r="BI565" s="25"/>
      <c r="BJ565" s="112"/>
      <c r="BK565" s="112"/>
      <c r="BL565" s="112"/>
      <c r="BM565" s="140"/>
      <c r="BN565" s="76"/>
      <c r="BO565" s="76">
        <f>SUM(AC565:AD565)</f>
        <v>0</v>
      </c>
      <c r="BP565" s="76">
        <f>SUM(AE565:AF565)</f>
        <v>0</v>
      </c>
      <c r="BQ565" s="76">
        <f>SUM(AG565:AH565)</f>
        <v>0</v>
      </c>
      <c r="BR565" s="76">
        <f t="shared" ref="BR565:BS569" si="736">SUM(AI565:AJ565)</f>
        <v>0</v>
      </c>
      <c r="BS565" s="76">
        <f t="shared" si="736"/>
        <v>0</v>
      </c>
      <c r="BT565" s="76">
        <f t="shared" ref="BT565:BT570" si="737">SUM(AM565:AN565)</f>
        <v>0</v>
      </c>
      <c r="BU565" s="515">
        <f t="shared" ref="BU565:BU570" si="738">SUM(AO565:AP565)</f>
        <v>0</v>
      </c>
      <c r="BV565" s="76">
        <f t="shared" ref="BV565:BV570" si="739">SUM(AQ565:AR565)</f>
        <v>223.24912124669041</v>
      </c>
      <c r="BW565" s="76">
        <f t="shared" ref="BW565:BW570" si="740">SUM(AS565:AT565)</f>
        <v>240.18741262300742</v>
      </c>
      <c r="BX565" s="76">
        <f t="shared" ref="BX565:BX570" si="741">SUM(AU565:AV565)</f>
        <v>262.34716684631252</v>
      </c>
      <c r="BY565" s="76">
        <f t="shared" ref="BY565:BY570" si="742">SUM(AW565:AX565)</f>
        <v>284.54060354823952</v>
      </c>
      <c r="BZ565" s="76">
        <f t="shared" ref="BZ565:BZ570" si="743">SUM(AY565:AZ565)</f>
        <v>308.23246093877577</v>
      </c>
      <c r="DS565" s="76">
        <f t="shared" ref="DS565:DS570" si="744">SUM(CU565:CV565)</f>
        <v>0</v>
      </c>
    </row>
    <row r="566" spans="1:123" s="70" customFormat="1">
      <c r="A566" s="78"/>
      <c r="B566" s="75" t="s">
        <v>217</v>
      </c>
      <c r="G566" s="25"/>
      <c r="H566" s="25"/>
      <c r="I566" s="25"/>
      <c r="J566" s="25"/>
      <c r="K566" s="25"/>
      <c r="L566" s="25"/>
      <c r="M566" s="25"/>
      <c r="N566" s="25"/>
      <c r="O566" s="25"/>
      <c r="P566" s="25"/>
      <c r="Q566" s="25"/>
      <c r="R566" s="25"/>
      <c r="S566" s="25"/>
      <c r="T566" s="112"/>
      <c r="U566" s="112"/>
      <c r="V566" s="112"/>
      <c r="W566" s="112"/>
      <c r="X566" s="112"/>
      <c r="Y566" s="112"/>
      <c r="Z566" s="112"/>
      <c r="AA566" s="112"/>
      <c r="AB566" s="112"/>
      <c r="AC566" s="112"/>
      <c r="AD566" s="112"/>
      <c r="AE566" s="120"/>
      <c r="AF566" s="120"/>
      <c r="AG566" s="120"/>
      <c r="AH566" s="120"/>
      <c r="AI566" s="120"/>
      <c r="AJ566" s="120"/>
      <c r="AK566" s="120"/>
      <c r="AL566" s="120"/>
      <c r="AM566" s="120"/>
      <c r="AN566" s="120"/>
      <c r="AO566" s="120"/>
      <c r="AP566" s="485"/>
      <c r="AQ566" s="120">
        <v>0</v>
      </c>
      <c r="AR566" s="120">
        <v>0</v>
      </c>
      <c r="AS566" s="120">
        <v>0</v>
      </c>
      <c r="AT566" s="120">
        <v>0</v>
      </c>
      <c r="AU566" s="120">
        <v>0</v>
      </c>
      <c r="AV566" s="120">
        <v>0</v>
      </c>
      <c r="AW566" s="120">
        <v>0</v>
      </c>
      <c r="AX566" s="120">
        <v>0</v>
      </c>
      <c r="AY566" s="120">
        <v>0</v>
      </c>
      <c r="AZ566" s="120">
        <v>0</v>
      </c>
      <c r="BA566" s="25"/>
      <c r="BB566" s="25"/>
      <c r="BC566" s="25"/>
      <c r="BD566" s="25"/>
      <c r="BE566" s="25"/>
      <c r="BF566" s="25"/>
      <c r="BG566" s="25"/>
      <c r="BH566" s="25"/>
      <c r="BI566" s="25"/>
      <c r="BJ566" s="112"/>
      <c r="BK566" s="112"/>
      <c r="BL566" s="112"/>
      <c r="BM566" s="140"/>
      <c r="BN566" s="76"/>
      <c r="BO566" s="72">
        <f>SUM(AC566:AD566)</f>
        <v>0</v>
      </c>
      <c r="BP566" s="72">
        <f>SUM(AE566:AF566)</f>
        <v>0</v>
      </c>
      <c r="BQ566" s="72">
        <f>SUM(AG566:AH566)</f>
        <v>0</v>
      </c>
      <c r="BR566" s="72">
        <f t="shared" si="736"/>
        <v>0</v>
      </c>
      <c r="BS566" s="72">
        <f t="shared" si="736"/>
        <v>0</v>
      </c>
      <c r="BT566" s="72">
        <f t="shared" si="737"/>
        <v>0</v>
      </c>
      <c r="BU566" s="516">
        <f t="shared" si="738"/>
        <v>0</v>
      </c>
      <c r="BV566" s="72">
        <f t="shared" si="739"/>
        <v>0</v>
      </c>
      <c r="BW566" s="72">
        <f t="shared" si="740"/>
        <v>0</v>
      </c>
      <c r="BX566" s="72">
        <f t="shared" si="741"/>
        <v>0</v>
      </c>
      <c r="BY566" s="72">
        <f t="shared" si="742"/>
        <v>0</v>
      </c>
      <c r="BZ566" s="72">
        <f t="shared" si="743"/>
        <v>0</v>
      </c>
      <c r="DS566" s="72">
        <f t="shared" si="744"/>
        <v>0</v>
      </c>
    </row>
    <row r="567" spans="1:123" s="70" customFormat="1">
      <c r="A567" s="78" t="s">
        <v>185</v>
      </c>
      <c r="B567" s="70" t="s">
        <v>201</v>
      </c>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73"/>
      <c r="AF567" s="73"/>
      <c r="AG567" s="73"/>
      <c r="AH567" s="73"/>
      <c r="AI567" s="73"/>
      <c r="AJ567" s="73"/>
      <c r="AK567" s="120"/>
      <c r="AL567" s="120"/>
      <c r="AM567" s="120"/>
      <c r="AN567" s="120"/>
      <c r="AO567" s="120"/>
      <c r="AP567" s="485"/>
      <c r="AQ567" s="120">
        <v>0</v>
      </c>
      <c r="AR567" s="120">
        <v>0</v>
      </c>
      <c r="AS567" s="120">
        <v>0</v>
      </c>
      <c r="AT567" s="120">
        <v>0</v>
      </c>
      <c r="AU567" s="120">
        <v>0</v>
      </c>
      <c r="AV567" s="120">
        <v>0</v>
      </c>
      <c r="AW567" s="120">
        <v>0</v>
      </c>
      <c r="AX567" s="120">
        <v>0</v>
      </c>
      <c r="AY567" s="120">
        <v>0</v>
      </c>
      <c r="AZ567" s="120">
        <v>0</v>
      </c>
      <c r="BA567" s="25"/>
      <c r="BB567" s="25"/>
      <c r="BC567" s="25"/>
      <c r="BD567" s="25"/>
      <c r="BE567" s="25"/>
      <c r="BF567" s="25"/>
      <c r="BG567" s="25"/>
      <c r="BH567" s="25"/>
      <c r="BI567" s="25"/>
      <c r="BJ567" s="71"/>
      <c r="BK567" s="71"/>
      <c r="BL567" s="71"/>
      <c r="BM567" s="72"/>
      <c r="BN567" s="72"/>
      <c r="BO567" s="72">
        <f>SUM(AC567:AD567)</f>
        <v>0</v>
      </c>
      <c r="BP567" s="72">
        <f>SUM(AE567:AF567)</f>
        <v>0</v>
      </c>
      <c r="BQ567" s="72">
        <f>SUM(AG567:AH567)</f>
        <v>0</v>
      </c>
      <c r="BR567" s="72">
        <f t="shared" si="736"/>
        <v>0</v>
      </c>
      <c r="BS567" s="72">
        <f t="shared" si="736"/>
        <v>0</v>
      </c>
      <c r="BT567" s="72">
        <f t="shared" si="737"/>
        <v>0</v>
      </c>
      <c r="BU567" s="516">
        <f t="shared" si="738"/>
        <v>0</v>
      </c>
      <c r="BV567" s="72">
        <f t="shared" si="739"/>
        <v>0</v>
      </c>
      <c r="BW567" s="72">
        <f t="shared" si="740"/>
        <v>0</v>
      </c>
      <c r="BX567" s="72">
        <f t="shared" si="741"/>
        <v>0</v>
      </c>
      <c r="BY567" s="72">
        <f t="shared" si="742"/>
        <v>0</v>
      </c>
      <c r="BZ567" s="72">
        <f t="shared" si="743"/>
        <v>0</v>
      </c>
      <c r="DS567" s="72">
        <f t="shared" si="744"/>
        <v>0</v>
      </c>
    </row>
    <row r="568" spans="1:123" s="70" customFormat="1">
      <c r="A568" s="78"/>
      <c r="B568" s="70" t="s">
        <v>219</v>
      </c>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73"/>
      <c r="AF568" s="73"/>
      <c r="AG568" s="73"/>
      <c r="AH568" s="73"/>
      <c r="AI568" s="73"/>
      <c r="AJ568" s="73"/>
      <c r="AK568" s="120"/>
      <c r="AL568" s="120"/>
      <c r="AM568" s="120"/>
      <c r="AN568" s="120"/>
      <c r="AO568" s="120"/>
      <c r="AP568" s="485"/>
      <c r="AQ568" s="120">
        <v>0</v>
      </c>
      <c r="AR568" s="120">
        <v>0</v>
      </c>
      <c r="AS568" s="120">
        <v>0</v>
      </c>
      <c r="AT568" s="120">
        <v>0</v>
      </c>
      <c r="AU568" s="120">
        <v>0</v>
      </c>
      <c r="AV568" s="120">
        <v>0</v>
      </c>
      <c r="AW568" s="120">
        <v>0</v>
      </c>
      <c r="AX568" s="120">
        <v>0</v>
      </c>
      <c r="AY568" s="120">
        <v>0</v>
      </c>
      <c r="AZ568" s="120">
        <v>0</v>
      </c>
      <c r="BA568" s="25"/>
      <c r="BB568" s="25"/>
      <c r="BC568" s="25"/>
      <c r="BD568" s="25"/>
      <c r="BE568" s="25"/>
      <c r="BF568" s="25"/>
      <c r="BG568" s="25"/>
      <c r="BH568" s="25"/>
      <c r="BI568" s="25"/>
      <c r="BJ568" s="71"/>
      <c r="BK568" s="71"/>
      <c r="BL568" s="71"/>
      <c r="BM568" s="72"/>
      <c r="BN568" s="72"/>
      <c r="BO568" s="72">
        <f>SUM(AC568:AD568)</f>
        <v>0</v>
      </c>
      <c r="BP568" s="72">
        <f>SUM(AE568:AF568)</f>
        <v>0</v>
      </c>
      <c r="BQ568" s="72">
        <f>SUM(AG568:AH568)</f>
        <v>0</v>
      </c>
      <c r="BR568" s="72">
        <f t="shared" si="736"/>
        <v>0</v>
      </c>
      <c r="BS568" s="72">
        <f t="shared" si="736"/>
        <v>0</v>
      </c>
      <c r="BT568" s="72">
        <f t="shared" si="737"/>
        <v>0</v>
      </c>
      <c r="BU568" s="516">
        <f t="shared" si="738"/>
        <v>0</v>
      </c>
      <c r="BV568" s="72">
        <f t="shared" si="739"/>
        <v>0</v>
      </c>
      <c r="BW568" s="72">
        <f t="shared" si="740"/>
        <v>0</v>
      </c>
      <c r="BX568" s="72">
        <f t="shared" si="741"/>
        <v>0</v>
      </c>
      <c r="BY568" s="72">
        <f t="shared" si="742"/>
        <v>0</v>
      </c>
      <c r="BZ568" s="72">
        <f t="shared" si="743"/>
        <v>0</v>
      </c>
      <c r="DS568" s="72">
        <f t="shared" si="744"/>
        <v>0</v>
      </c>
    </row>
    <row r="569" spans="1:123" s="70" customFormat="1">
      <c r="A569" s="78"/>
      <c r="B569" s="70" t="s">
        <v>81</v>
      </c>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73"/>
      <c r="AF569" s="73"/>
      <c r="AG569" s="73"/>
      <c r="AH569" s="73"/>
      <c r="AI569" s="73"/>
      <c r="AJ569" s="73"/>
      <c r="AK569" s="120"/>
      <c r="AL569" s="120"/>
      <c r="AM569" s="120"/>
      <c r="AN569" s="120"/>
      <c r="AO569" s="120"/>
      <c r="AP569" s="485"/>
      <c r="AQ569" s="120">
        <v>0</v>
      </c>
      <c r="AR569" s="120">
        <v>0</v>
      </c>
      <c r="AS569" s="120">
        <v>0</v>
      </c>
      <c r="AT569" s="120">
        <v>0</v>
      </c>
      <c r="AU569" s="120">
        <v>0</v>
      </c>
      <c r="AV569" s="120">
        <v>0</v>
      </c>
      <c r="AW569" s="120">
        <v>0</v>
      </c>
      <c r="AX569" s="120">
        <v>0</v>
      </c>
      <c r="AY569" s="120">
        <v>0</v>
      </c>
      <c r="AZ569" s="120">
        <v>0</v>
      </c>
      <c r="BA569" s="25"/>
      <c r="BB569" s="25"/>
      <c r="BC569" s="25"/>
      <c r="BD569" s="25"/>
      <c r="BE569" s="25"/>
      <c r="BF569" s="25"/>
      <c r="BG569" s="25"/>
      <c r="BH569" s="25"/>
      <c r="BI569" s="25"/>
      <c r="BJ569" s="25"/>
      <c r="BK569" s="25"/>
      <c r="BL569" s="25"/>
      <c r="BM569" s="72"/>
      <c r="BN569" s="72"/>
      <c r="BO569" s="72">
        <f>SUM(AC569:AD569)</f>
        <v>0</v>
      </c>
      <c r="BP569" s="72">
        <f>SUM(AE569:AF569)</f>
        <v>0</v>
      </c>
      <c r="BQ569" s="72">
        <f>SUM(AG569:AH569)</f>
        <v>0</v>
      </c>
      <c r="BR569" s="72">
        <f t="shared" si="736"/>
        <v>0</v>
      </c>
      <c r="BS569" s="72">
        <f t="shared" si="736"/>
        <v>0</v>
      </c>
      <c r="BT569" s="72">
        <f t="shared" si="737"/>
        <v>0</v>
      </c>
      <c r="BU569" s="516">
        <f t="shared" si="738"/>
        <v>0</v>
      </c>
      <c r="BV569" s="72">
        <f t="shared" si="739"/>
        <v>0</v>
      </c>
      <c r="BW569" s="72">
        <f t="shared" si="740"/>
        <v>0</v>
      </c>
      <c r="BX569" s="72">
        <f t="shared" si="741"/>
        <v>0</v>
      </c>
      <c r="BY569" s="72">
        <f t="shared" si="742"/>
        <v>0</v>
      </c>
      <c r="BZ569" s="72">
        <f t="shared" si="743"/>
        <v>0</v>
      </c>
      <c r="DS569" s="72">
        <f t="shared" si="744"/>
        <v>0</v>
      </c>
    </row>
    <row r="570" spans="1:123" s="70" customFormat="1">
      <c r="A570" s="78" t="s">
        <v>209</v>
      </c>
      <c r="B570" s="70" t="s">
        <v>202</v>
      </c>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73"/>
      <c r="AF570" s="73"/>
      <c r="AG570" s="73"/>
      <c r="AH570" s="73"/>
      <c r="AI570" s="73"/>
      <c r="AJ570" s="73"/>
      <c r="AK570" s="120"/>
      <c r="AL570" s="120"/>
      <c r="AM570" s="120"/>
      <c r="AN570" s="120"/>
      <c r="AO570" s="120"/>
      <c r="AP570" s="485"/>
      <c r="AQ570" s="120">
        <v>0</v>
      </c>
      <c r="AR570" s="120">
        <v>0</v>
      </c>
      <c r="AS570" s="120">
        <v>0</v>
      </c>
      <c r="AT570" s="120">
        <v>0</v>
      </c>
      <c r="AU570" s="120">
        <v>0</v>
      </c>
      <c r="AV570" s="120">
        <v>0</v>
      </c>
      <c r="AW570" s="120">
        <v>0</v>
      </c>
      <c r="AX570" s="120">
        <v>0</v>
      </c>
      <c r="AY570" s="120">
        <v>0</v>
      </c>
      <c r="AZ570" s="120">
        <v>0</v>
      </c>
      <c r="BA570" s="25"/>
      <c r="BB570" s="25"/>
      <c r="BC570" s="25"/>
      <c r="BD570" s="25"/>
      <c r="BE570" s="25"/>
      <c r="BF570" s="25"/>
      <c r="BG570" s="25"/>
      <c r="BH570" s="25"/>
      <c r="BI570" s="25"/>
      <c r="BJ570" s="71"/>
      <c r="BK570" s="71"/>
      <c r="BL570" s="71"/>
      <c r="BM570" s="72"/>
      <c r="BN570" s="73"/>
      <c r="BO570" s="73">
        <f>BO473</f>
        <v>0</v>
      </c>
      <c r="BP570" s="73">
        <f>BP473</f>
        <v>0.49400000000000066</v>
      </c>
      <c r="BQ570" s="73">
        <f>BQ473</f>
        <v>-1.0000000000000004</v>
      </c>
      <c r="BR570" s="73">
        <f>BR473</f>
        <v>1.1460000000000008</v>
      </c>
      <c r="BS570" s="73">
        <f>BS473</f>
        <v>10.414</v>
      </c>
      <c r="BT570" s="72">
        <f t="shared" si="737"/>
        <v>0</v>
      </c>
      <c r="BU570" s="516">
        <f t="shared" si="738"/>
        <v>0</v>
      </c>
      <c r="BV570" s="72">
        <f t="shared" si="739"/>
        <v>0</v>
      </c>
      <c r="BW570" s="72">
        <f t="shared" si="740"/>
        <v>0</v>
      </c>
      <c r="BX570" s="72">
        <f t="shared" si="741"/>
        <v>0</v>
      </c>
      <c r="BY570" s="72">
        <f t="shared" si="742"/>
        <v>0</v>
      </c>
      <c r="BZ570" s="72">
        <f t="shared" si="743"/>
        <v>0</v>
      </c>
      <c r="DS570" s="72">
        <f t="shared" si="744"/>
        <v>0</v>
      </c>
    </row>
    <row r="571" spans="1:123" s="70" customFormat="1">
      <c r="A571" s="78"/>
      <c r="B571" s="75" t="s">
        <v>489</v>
      </c>
      <c r="G571" s="25"/>
      <c r="H571" s="25"/>
      <c r="I571" s="25"/>
      <c r="J571" s="25"/>
      <c r="K571" s="25"/>
      <c r="L571" s="25"/>
      <c r="M571" s="25"/>
      <c r="N571" s="25"/>
      <c r="O571" s="25"/>
      <c r="P571" s="25"/>
      <c r="Q571" s="25"/>
      <c r="R571" s="25"/>
      <c r="S571" s="25"/>
      <c r="T571" s="112"/>
      <c r="U571" s="112"/>
      <c r="V571" s="112"/>
      <c r="W571" s="112"/>
      <c r="X571" s="112"/>
      <c r="Y571" s="112"/>
      <c r="Z571" s="112"/>
      <c r="AA571" s="112"/>
      <c r="AB571" s="112"/>
      <c r="AC571" s="112"/>
      <c r="AD571" s="112"/>
      <c r="AE571" s="140"/>
      <c r="AF571" s="140"/>
      <c r="AG571" s="140"/>
      <c r="AH571" s="140"/>
      <c r="AI571" s="140"/>
      <c r="AJ571" s="140"/>
      <c r="AK571" s="140"/>
      <c r="AL571" s="140"/>
      <c r="AM571" s="140"/>
      <c r="AN571" s="140"/>
      <c r="AO571" s="140"/>
      <c r="AP571" s="486"/>
      <c r="AQ571" s="140">
        <f t="shared" ref="AQ571:AZ571" si="745">SUM(AQ565:AQ570)</f>
        <v>90.691559664724792</v>
      </c>
      <c r="AR571" s="140">
        <f t="shared" si="745"/>
        <v>132.55756158196562</v>
      </c>
      <c r="AS571" s="140">
        <f t="shared" si="745"/>
        <v>96.881442472322675</v>
      </c>
      <c r="AT571" s="140">
        <f t="shared" si="745"/>
        <v>143.30597015068474</v>
      </c>
      <c r="AU571" s="140">
        <f t="shared" si="745"/>
        <v>107.66598911225353</v>
      </c>
      <c r="AV571" s="140">
        <f t="shared" si="745"/>
        <v>154.68117773405899</v>
      </c>
      <c r="AW571" s="140">
        <f t="shared" si="745"/>
        <v>117.736361003748</v>
      </c>
      <c r="AX571" s="140">
        <f t="shared" si="745"/>
        <v>166.8042425444915</v>
      </c>
      <c r="AY571" s="140">
        <f t="shared" si="745"/>
        <v>128.5094158985689</v>
      </c>
      <c r="AZ571" s="140">
        <f t="shared" si="745"/>
        <v>179.72304504020687</v>
      </c>
      <c r="BA571" s="25"/>
      <c r="BB571" s="25"/>
      <c r="BC571" s="25"/>
      <c r="BD571" s="25"/>
      <c r="BE571" s="25"/>
      <c r="BF571" s="25"/>
      <c r="BG571" s="25"/>
      <c r="BH571" s="25"/>
      <c r="BI571" s="25"/>
      <c r="BJ571" s="112"/>
      <c r="BK571" s="112"/>
      <c r="BL571" s="112"/>
      <c r="BM571" s="140"/>
      <c r="BN571" s="140"/>
      <c r="BO571" s="140">
        <f t="shared" ref="BO571:BZ571" si="746">SUM(BO565:BO570)</f>
        <v>0</v>
      </c>
      <c r="BP571" s="140">
        <f t="shared" si="746"/>
        <v>0.49400000000000066</v>
      </c>
      <c r="BQ571" s="140">
        <f t="shared" si="746"/>
        <v>-1.0000000000000004</v>
      </c>
      <c r="BR571" s="140">
        <f t="shared" si="746"/>
        <v>1.1460000000000008</v>
      </c>
      <c r="BS571" s="140">
        <f t="shared" si="746"/>
        <v>10.414</v>
      </c>
      <c r="BT571" s="140">
        <f t="shared" si="746"/>
        <v>0</v>
      </c>
      <c r="BU571" s="486">
        <f t="shared" si="746"/>
        <v>0</v>
      </c>
      <c r="BV571" s="140">
        <f t="shared" si="746"/>
        <v>223.24912124669041</v>
      </c>
      <c r="BW571" s="140">
        <f t="shared" si="746"/>
        <v>240.18741262300742</v>
      </c>
      <c r="BX571" s="140">
        <f t="shared" si="746"/>
        <v>262.34716684631252</v>
      </c>
      <c r="BY571" s="140">
        <f t="shared" si="746"/>
        <v>284.54060354823952</v>
      </c>
      <c r="BZ571" s="140">
        <f t="shared" si="746"/>
        <v>308.23246093877577</v>
      </c>
      <c r="DS571" s="140">
        <f t="shared" ref="DS571" si="747">SUM(DS565:DS570)</f>
        <v>0</v>
      </c>
    </row>
    <row r="572" spans="1:123" s="367" customFormat="1">
      <c r="A572" s="365"/>
      <c r="B572" s="366" t="s">
        <v>89</v>
      </c>
      <c r="G572" s="368"/>
      <c r="H572" s="368"/>
      <c r="I572" s="368"/>
      <c r="J572" s="368"/>
      <c r="K572" s="368"/>
      <c r="L572" s="368"/>
      <c r="M572" s="368"/>
      <c r="N572" s="368"/>
      <c r="O572" s="368"/>
      <c r="P572" s="368"/>
      <c r="Q572" s="368"/>
      <c r="R572" s="368"/>
      <c r="S572" s="368"/>
      <c r="T572" s="369"/>
      <c r="U572" s="369"/>
      <c r="V572" s="369"/>
      <c r="W572" s="369"/>
      <c r="X572" s="369"/>
      <c r="Y572" s="369"/>
      <c r="Z572" s="369"/>
      <c r="AA572" s="369"/>
      <c r="AB572" s="369"/>
      <c r="AC572" s="369"/>
      <c r="AD572" s="369"/>
      <c r="AE572" s="370"/>
      <c r="AF572" s="370"/>
      <c r="AG572" s="370"/>
      <c r="AH572" s="370"/>
      <c r="AI572" s="370"/>
      <c r="AJ572" s="370"/>
      <c r="AK572" s="370"/>
      <c r="AL572" s="370"/>
      <c r="AM572" s="370"/>
      <c r="AN572" s="370"/>
      <c r="AO572" s="370"/>
      <c r="AP572" s="487"/>
      <c r="AQ572" s="370">
        <f t="shared" ref="AQ572:AZ572" si="748">AQ258</f>
        <v>90.691559664724792</v>
      </c>
      <c r="AR572" s="370">
        <f t="shared" si="748"/>
        <v>132.55756158196562</v>
      </c>
      <c r="AS572" s="370">
        <f t="shared" si="748"/>
        <v>96.881442472322675</v>
      </c>
      <c r="AT572" s="370">
        <f t="shared" si="748"/>
        <v>143.30597015068474</v>
      </c>
      <c r="AU572" s="370">
        <f t="shared" si="748"/>
        <v>107.66598911225353</v>
      </c>
      <c r="AV572" s="370">
        <f t="shared" si="748"/>
        <v>154.68117773405899</v>
      </c>
      <c r="AW572" s="370">
        <f t="shared" si="748"/>
        <v>117.736361003748</v>
      </c>
      <c r="AX572" s="370">
        <f t="shared" si="748"/>
        <v>166.8042425444915</v>
      </c>
      <c r="AY572" s="370">
        <f t="shared" si="748"/>
        <v>128.5094158985689</v>
      </c>
      <c r="AZ572" s="370">
        <f t="shared" si="748"/>
        <v>179.72304504020687</v>
      </c>
      <c r="BA572" s="368"/>
      <c r="BB572" s="368"/>
      <c r="BC572" s="368"/>
      <c r="BD572" s="368"/>
      <c r="BE572" s="368"/>
      <c r="BF572" s="368"/>
      <c r="BG572" s="368"/>
      <c r="BH572" s="368"/>
      <c r="BI572" s="368"/>
      <c r="BJ572" s="369"/>
      <c r="BK572" s="369"/>
      <c r="BL572" s="369"/>
      <c r="BM572" s="370"/>
      <c r="BN572" s="370"/>
      <c r="BO572" s="370">
        <f t="shared" ref="BO572:BZ572" si="749">BO258</f>
        <v>46.718999999999994</v>
      </c>
      <c r="BP572" s="370">
        <f t="shared" si="749"/>
        <v>53.152000000000015</v>
      </c>
      <c r="BQ572" s="370">
        <f t="shared" si="749"/>
        <v>65.3</v>
      </c>
      <c r="BR572" s="370">
        <f t="shared" si="749"/>
        <v>74.018999999999991</v>
      </c>
      <c r="BS572" s="370">
        <f t="shared" si="749"/>
        <v>129.10519999999997</v>
      </c>
      <c r="BT572" s="370">
        <f t="shared" si="749"/>
        <v>171.01499999999999</v>
      </c>
      <c r="BU572" s="487">
        <f t="shared" si="749"/>
        <v>200.22000000000003</v>
      </c>
      <c r="BV572" s="370">
        <f t="shared" si="749"/>
        <v>223.24912124669041</v>
      </c>
      <c r="BW572" s="370">
        <f t="shared" si="749"/>
        <v>240.18741262300742</v>
      </c>
      <c r="BX572" s="370">
        <f t="shared" si="749"/>
        <v>262.34716684631252</v>
      </c>
      <c r="BY572" s="370">
        <f t="shared" si="749"/>
        <v>284.54060354823952</v>
      </c>
      <c r="BZ572" s="370">
        <f t="shared" si="749"/>
        <v>308.23246093877577</v>
      </c>
      <c r="DS572" s="370">
        <f t="shared" ref="DS572" si="750">DS258</f>
        <v>0</v>
      </c>
    </row>
    <row r="573" spans="1:123" s="70" customFormat="1">
      <c r="A573" s="78"/>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440"/>
      <c r="AQ573" s="25"/>
      <c r="AR573" s="25"/>
      <c r="AS573" s="25"/>
      <c r="AT573" s="25"/>
      <c r="AU573" s="25"/>
      <c r="AV573" s="25"/>
      <c r="AW573" s="25"/>
      <c r="AX573" s="25"/>
      <c r="AY573" s="25"/>
      <c r="AZ573" s="25"/>
      <c r="BA573" s="25"/>
      <c r="BB573" s="25"/>
      <c r="BC573" s="25"/>
      <c r="BD573" s="25"/>
      <c r="BE573" s="25"/>
      <c r="BF573" s="25"/>
      <c r="BG573" s="25"/>
      <c r="BH573" s="25"/>
      <c r="BI573" s="25"/>
      <c r="BJ573" s="71"/>
      <c r="BK573" s="71"/>
      <c r="BL573" s="71"/>
      <c r="BM573" s="72"/>
      <c r="BN573" s="72"/>
      <c r="BO573" s="72"/>
      <c r="BP573" s="72"/>
      <c r="BQ573" s="72"/>
      <c r="BR573" s="72"/>
      <c r="BS573" s="72"/>
      <c r="BT573" s="72"/>
      <c r="BU573" s="516"/>
      <c r="BV573" s="71"/>
      <c r="BW573" s="71"/>
      <c r="BX573" s="71"/>
      <c r="BY573" s="71"/>
      <c r="BZ573" s="71"/>
      <c r="DS573" s="71"/>
    </row>
    <row r="574" spans="1:123" s="70" customFormat="1">
      <c r="A574" s="78" t="s">
        <v>55</v>
      </c>
      <c r="B574" s="70" t="s">
        <v>203</v>
      </c>
      <c r="G574" s="25"/>
      <c r="H574" s="25"/>
      <c r="I574" s="25"/>
      <c r="J574" s="25"/>
      <c r="K574" s="25"/>
      <c r="L574" s="25"/>
      <c r="M574" s="25"/>
      <c r="N574" s="25"/>
      <c r="O574" s="25"/>
      <c r="P574" s="25"/>
      <c r="Q574" s="25"/>
      <c r="R574" s="25"/>
      <c r="S574" s="25"/>
      <c r="T574" s="25"/>
      <c r="U574" s="141"/>
      <c r="V574" s="141"/>
      <c r="W574" s="141"/>
      <c r="X574" s="141"/>
      <c r="Y574" s="141"/>
      <c r="Z574" s="141"/>
      <c r="AA574" s="141"/>
      <c r="AB574" s="141"/>
      <c r="AC574" s="141"/>
      <c r="AD574" s="141"/>
      <c r="AE574" s="141"/>
      <c r="AF574" s="141"/>
      <c r="AG574" s="141"/>
      <c r="AH574" s="141"/>
      <c r="AI574" s="141"/>
      <c r="AJ574" s="141"/>
      <c r="AK574" s="141"/>
      <c r="AL574" s="141"/>
      <c r="AM574" s="141"/>
      <c r="AN574" s="141"/>
      <c r="AO574" s="141"/>
      <c r="AP574" s="488"/>
      <c r="AQ574" s="141"/>
      <c r="AR574" s="141"/>
      <c r="AS574" s="141"/>
      <c r="AT574" s="141"/>
      <c r="AU574" s="141"/>
      <c r="AV574" s="141"/>
      <c r="AW574" s="141"/>
      <c r="AX574" s="141"/>
      <c r="AY574" s="141"/>
      <c r="AZ574" s="141"/>
      <c r="BA574" s="25"/>
      <c r="BB574" s="25"/>
      <c r="BC574" s="25"/>
      <c r="BD574" s="25"/>
      <c r="BE574" s="25"/>
      <c r="BF574" s="25"/>
      <c r="BG574" s="25"/>
      <c r="BH574" s="25"/>
      <c r="BI574" s="25"/>
      <c r="BJ574" s="71"/>
      <c r="BK574" s="71"/>
      <c r="BL574" s="71"/>
      <c r="BM574" s="72"/>
      <c r="BN574" s="72"/>
      <c r="BO574" s="72">
        <f ca="1">IF(BO$1&gt;=Summary!$G$3,0,NPV(Summary!$G$8,OFFSET(BO571,0,1,1,MATCH(Summary!$G$3,BP$1:$CO$1,0))))</f>
        <v>472.95023133535398</v>
      </c>
      <c r="BP574" s="72">
        <f ca="1">IF(BP$1&gt;=Summary!$G$3,0,NPV(Summary!$G$8,OFFSET(BP571,0,1,1,MATCH(Summary!$G$3,BQ$1:$CO$1,0))))</f>
        <v>517.38650331221254</v>
      </c>
      <c r="BQ574" s="72">
        <f ca="1">IF(BQ$1&gt;=Summary!$G$3,0,NPV(Summary!$G$8,OFFSET(BQ571,0,1,1,MATCH(Summary!$G$3,BR$1:$CO$1,0))))</f>
        <v>567.53822112687271</v>
      </c>
      <c r="BR574" s="72">
        <f ca="1">IF(BR$1&gt;=Summary!$G$3,0,NPV(Summary!$G$8,OFFSET(BR571,0,1,1,MATCH(Summary!$G$3,BS$1:$CO$1,0))))</f>
        <v>620.30835213392561</v>
      </c>
      <c r="BS574" s="72">
        <f ca="1">IF(BS$1&gt;=Summary!$G$3,0,NPV(Summary!$G$8,OFFSET(BS571,0,1,1,MATCH(Summary!$G$3,BT$1:$CO$1,0))))</f>
        <v>668.82364558664858</v>
      </c>
      <c r="BT574" s="72">
        <f ca="1">IF(BT$1&gt;=Summary!$G$3,0,NPV(Summary!$G$8,OFFSET(BT571,0,1,1,MATCH(Summary!$G$3,BU$1:$CO$1,0))))</f>
        <v>732.36189191738026</v>
      </c>
      <c r="BU574" s="72">
        <f ca="1">IF(BU$1&gt;=Summary!$G$3,0,NPV(Summary!$G$8,OFFSET(BU571,0,1,1,MATCH(Summary!$G$3,BV$1:$CO$1,0))))</f>
        <v>801.93627164953136</v>
      </c>
      <c r="BV574" s="275">
        <f ca="1">IF(BV$1&gt;=Summary!$G$3,0,NPV(Summary!$G$8,OFFSET(BV571,0,1,1,MATCH(Summary!$G$3,BW$1:$CO$1,0))))</f>
        <v>654.87109620954641</v>
      </c>
      <c r="BW574" s="72">
        <f ca="1">IF(BW$1&gt;=Summary!$G$3,0,NPV(Summary!$G$8,OFFSET(BW571,0,1,1,MATCH(Summary!$G$3,BX$1:$CO$1,0))))</f>
        <v>476.89643772644592</v>
      </c>
      <c r="BX574" s="72">
        <f ca="1">IF(BX$1&gt;=Summary!$G$3,0,NPV(Summary!$G$8,OFFSET(BX571,0,1,1,MATCH(Summary!$G$3,BY$1:$CO$1,0))))</f>
        <v>259.8544324641457</v>
      </c>
      <c r="BY574" s="72">
        <f ca="1">IF(BY$1&gt;=Summary!$G$3,0,NPV(Summary!$G$8,OFFSET(BY571,0,1,1,MATCH(Summary!$G$3,BZ$1:$CO$1,0))))</f>
        <v>0</v>
      </c>
      <c r="BZ574" s="72">
        <f ca="1">IF(BZ$1&gt;=Summary!$G$3,0,NPV(Summary!$G$8,OFFSET(BZ571,0,1,1,MATCH(Summary!$G$3,CA$1:$CO$1,0))))</f>
        <v>0</v>
      </c>
      <c r="DS574" s="72" t="e">
        <f ca="1">IF(DS$1=Summary!$G$3,0,NPV(Summary!$G$8,OFFSET(DS571,0,1,1,MATCH(Summary!$G$3,$CN$1:DW$1,0))))</f>
        <v>#VALUE!</v>
      </c>
    </row>
    <row r="575" spans="1:123" s="70" customFormat="1">
      <c r="A575" s="78" t="s">
        <v>0</v>
      </c>
      <c r="B575" s="70" t="s">
        <v>204</v>
      </c>
      <c r="G575" s="25"/>
      <c r="H575" s="25"/>
      <c r="I575" s="25"/>
      <c r="J575" s="25"/>
      <c r="K575" s="25"/>
      <c r="L575" s="25"/>
      <c r="M575" s="25"/>
      <c r="N575" s="25"/>
      <c r="O575" s="25"/>
      <c r="P575" s="25"/>
      <c r="Q575" s="25"/>
      <c r="R575" s="25"/>
      <c r="S575" s="25"/>
      <c r="T575" s="25"/>
      <c r="U575" s="141"/>
      <c r="V575" s="141"/>
      <c r="W575" s="141"/>
      <c r="X575" s="141"/>
      <c r="Y575" s="141"/>
      <c r="Z575" s="141"/>
      <c r="AA575" s="141"/>
      <c r="AB575" s="141"/>
      <c r="AC575" s="141"/>
      <c r="AD575" s="141"/>
      <c r="AE575" s="141"/>
      <c r="AF575" s="141"/>
      <c r="AG575" s="141"/>
      <c r="AH575" s="141"/>
      <c r="AI575" s="141"/>
      <c r="AJ575" s="141"/>
      <c r="AK575" s="141"/>
      <c r="AL575" s="141"/>
      <c r="AM575" s="141"/>
      <c r="AN575" s="141"/>
      <c r="AO575" s="141"/>
      <c r="AP575" s="488"/>
      <c r="AQ575" s="141"/>
      <c r="AR575" s="141"/>
      <c r="AS575" s="141"/>
      <c r="AT575" s="141"/>
      <c r="AU575" s="141"/>
      <c r="AV575" s="141"/>
      <c r="AW575" s="141"/>
      <c r="AX575" s="141"/>
      <c r="AY575" s="141"/>
      <c r="AZ575" s="141"/>
      <c r="BA575" s="25"/>
      <c r="BB575" s="25"/>
      <c r="BC575" s="25"/>
      <c r="BD575" s="25"/>
      <c r="BE575" s="25"/>
      <c r="BF575" s="25"/>
      <c r="BG575" s="25"/>
      <c r="BH575" s="25"/>
      <c r="BI575" s="25"/>
      <c r="BJ575" s="25"/>
      <c r="BK575" s="25"/>
      <c r="BL575" s="25"/>
      <c r="BM575" s="73"/>
      <c r="BN575" s="73"/>
      <c r="BO575" s="73">
        <f ca="1">IFERROR(IF(BO$1=Summary!$G$3,BO$571*(1+Summary!$G$4)/(Summary!$G$8-Summary!$G$4),(OFFSET(BO$571,0,MATCH(Summary!$G$3,BP$1:$KA$1,0),1,1))*(1+Summary!$G$4)/(Summary!$G$8-Summary!$G$4)/((1+Summary!$G$8)^COUNTA(OFFSET(BO$1,0,0,1,MATCH(Summary!$G$3,BP$1:$KA$1,0))))),0)</f>
        <v>1681.236778442807</v>
      </c>
      <c r="BP575" s="73">
        <f ca="1">IFERROR(IF(BP$1=Summary!$G$3,BP$571*(1+Summary!$G$4)/(Summary!$G$8-Summary!$G$4),(OFFSET(BP$571,0,MATCH(Summary!$G$3,BQ$1:$KA$1,0),1,1))*(1+Summary!$G$4)/(Summary!$G$8-Summary!$G$4)/((1+Summary!$G$8)^COUNTA(OFFSET(BP$1,0,0,1,MATCH(Summary!$G$3,BQ$1:$KA$1,0))))),0)</f>
        <v>1840.9542723948739</v>
      </c>
      <c r="BQ575" s="73">
        <f ca="1">IFERROR(IF(BQ$1=Summary!$G$3,BQ$571*(1+Summary!$G$4)/(Summary!$G$8-Summary!$G$4),(OFFSET(BQ$571,0,MATCH(Summary!$G$3,BR$1:$KA$1,0),1,1))*(1+Summary!$G$4)/(Summary!$G$8-Summary!$G$4)/((1+Summary!$G$8)^COUNTA(OFFSET(BQ$1,0,0,1,MATCH(Summary!$G$3,BR$1:$KA$1,0))))),0)</f>
        <v>2015.8449282723868</v>
      </c>
      <c r="BR575" s="73">
        <f ca="1">IFERROR(IF(BR$1=Summary!$G$3,BR$571*(1+Summary!$G$4)/(Summary!$G$8-Summary!$G$4),(OFFSET(BR$571,0,MATCH(Summary!$G$3,BS$1:$KA$1,0),1,1))*(1+Summary!$G$4)/(Summary!$G$8-Summary!$G$4)/((1+Summary!$G$8)^COUNTA(OFFSET(BR$1,0,0,1,MATCH(Summary!$G$3,BS$1:$KA$1,0))))),0)</f>
        <v>2207.3501964582638</v>
      </c>
      <c r="BS575" s="73">
        <f ca="1">IFERROR(IF(BS$1=Summary!$G$3,BS$571*(1+Summary!$G$4)/(Summary!$G$8-Summary!$G$4),(OFFSET(BS$571,0,MATCH(Summary!$G$3,BT$1:$KA$1,0),1,1))*(1+Summary!$G$4)/(Summary!$G$8-Summary!$G$4)/((1+Summary!$G$8)^COUNTA(OFFSET(BS$1,0,0,1,MATCH(Summary!$G$3,BT$1:$KA$1,0))))),0)</f>
        <v>2417.0484651217985</v>
      </c>
      <c r="BT575" s="73">
        <f ca="1">IFERROR(IF(BT$1=Summary!$G$3,BT$571*(1+Summary!$G$4)/(Summary!$G$8-Summary!$G$4),(OFFSET(BT$571,0,MATCH(Summary!$G$3,BU$1:$KA$1,0),1,1))*(1+Summary!$G$4)/(Summary!$G$8-Summary!$G$4)/((1+Summary!$G$8)^COUNTA(OFFSET(BT$1,0,0,1,MATCH(Summary!$G$3,BU$1:$KA$1,0))))),0)</f>
        <v>2646.6680693083695</v>
      </c>
      <c r="BU575" s="73">
        <f ca="1">IFERROR(IF(BU$1=Summary!$G$3,BU$571*(1+Summary!$G$4)/(Summary!$G$8-Summary!$G$4),(OFFSET(BU$571,0,MATCH(Summary!$G$3,BV$1:$KA$1,0),1,1))*(1+Summary!$G$4)/(Summary!$G$8-Summary!$G$4)/((1+Summary!$G$8)^COUNTA(OFFSET(BU$1,0,0,1,MATCH(Summary!$G$3,BV$1:$KA$1,0))))),0)</f>
        <v>2898.1015358926647</v>
      </c>
      <c r="BV575" s="276">
        <f ca="1">IFERROR(IF(BV$1=Summary!$G$3,BV$571*(1+Summary!$G$4)/(Summary!$G$8-Summary!$G$4),(OFFSET(BV$571,0,MATCH(Summary!$G$3,BW$1:$KA$1,0),1,1))*(1+Summary!$G$4)/(Summary!$G$8-Summary!$G$4)/((1+Summary!$G$8)^COUNTA(OFFSET(BV$1,0,0,1,MATCH(Summary!$G$3,BW$1:$KA$1,0))))),0)</f>
        <v>3173.4211818024678</v>
      </c>
      <c r="BW575" s="73">
        <f ca="1">IFERROR(IF(BW$1=Summary!$G$3,BW$571*(1+Summary!$G$4)/(Summary!$G$8-Summary!$G$4),(OFFSET(BW$571,0,MATCH(Summary!$G$3,BX$1:$KA$1,0),1,1))*(1+Summary!$G$4)/(Summary!$G$8-Summary!$G$4)/((1+Summary!$G$8)^COUNTA(OFFSET(BW$1,0,0,1,MATCH(Summary!$G$3,BX$1:$KA$1,0))))),0)</f>
        <v>3474.8961940737022</v>
      </c>
      <c r="BX575" s="73">
        <f ca="1">IFERROR(IF(BX$1=Summary!$G$3,BX$571*(1+Summary!$G$4)/(Summary!$G$8-Summary!$G$4),(OFFSET(BX$571,0,MATCH(Summary!$G$3,BY$1:$KA$1,0),1,1))*(1+Summary!$G$4)/(Summary!$G$8-Summary!$G$4)/((1+Summary!$G$8)^COUNTA(OFFSET(BX$1,0,0,1,MATCH(Summary!$G$3,BY$1:$KA$1,0))))),0)</f>
        <v>3805.0113325107041</v>
      </c>
      <c r="BY575" s="73">
        <f ca="1">IFERROR(IF(BY$1=Summary!$G$3,BY$571*(1+Summary!$G$4)/(Summary!$G$8-Summary!$G$4),(OFFSET(BY$571,0,MATCH(Summary!$G$3,BZ$1:$KA$1,0),1,1))*(1+Summary!$G$4)/(Summary!$G$8-Summary!$G$4)/((1+Summary!$G$8)^COUNTA(OFFSET(BY$1,0,0,1,MATCH(Summary!$G$3,BZ$1:$KA$1,0))))),0)</f>
        <v>4166.4874090992207</v>
      </c>
      <c r="BZ575" s="73">
        <f ca="1">IFERROR(IF(BZ$1=Summary!$G$3,BZ$571*(1+Summary!$G$4)/(Summary!$G$8-Summary!$G$4),(OFFSET(BZ$571,0,MATCH(Summary!$G$3,CA$1:$KA$1,0),1,1))*(1+Summary!$G$4)/(Summary!$G$8-Summary!$G$4)/((1+Summary!$G$8)^COUNTA(OFFSET(BZ$1,0,0,1,MATCH(Summary!$G$3,CA$1:$KA$1,0))))),0)</f>
        <v>0</v>
      </c>
      <c r="DS575" s="73" t="e">
        <f ca="1">IF(DS$1=Summary!$G$3,DS$571*(1+Summary!$G$4)/(Summary!$G$8-Summary!$G$4),(OFFSET(DS$571,0,MATCH(Summary!$G$3,DW$1:$JZ$1,0),1,1))*(1+Summary!$G$4)/(Summary!$G$8-Summary!$G$4)/((1+Summary!$G$8)^COUNTA(OFFSET(DS$1,0,0,1,MATCH(Summary!$G$3,DW$1:$JZ$1,0)))))</f>
        <v>#VALUE!</v>
      </c>
    </row>
    <row r="576" spans="1:123" s="70" customFormat="1">
      <c r="A576" s="78"/>
      <c r="B576" s="75" t="s">
        <v>449</v>
      </c>
      <c r="G576" s="25"/>
      <c r="H576" s="25"/>
      <c r="I576" s="25"/>
      <c r="J576" s="25"/>
      <c r="K576" s="25"/>
      <c r="L576" s="25"/>
      <c r="M576" s="25"/>
      <c r="N576" s="25"/>
      <c r="O576" s="25"/>
      <c r="P576" s="25"/>
      <c r="Q576" s="25"/>
      <c r="R576" s="25"/>
      <c r="S576" s="25"/>
      <c r="T576" s="25"/>
      <c r="U576" s="88"/>
      <c r="V576" s="88"/>
      <c r="W576" s="88"/>
      <c r="X576" s="88"/>
      <c r="Y576" s="88"/>
      <c r="Z576" s="88"/>
      <c r="AA576" s="88"/>
      <c r="AB576" s="88"/>
      <c r="AC576" s="88"/>
      <c r="AD576" s="88"/>
      <c r="AE576" s="88"/>
      <c r="AF576" s="88"/>
      <c r="AG576" s="88"/>
      <c r="AH576" s="88"/>
      <c r="AI576" s="88"/>
      <c r="AJ576" s="88"/>
      <c r="AK576" s="88"/>
      <c r="AL576" s="88"/>
      <c r="AM576" s="88"/>
      <c r="AN576" s="88"/>
      <c r="AO576" s="88"/>
      <c r="AP576" s="489"/>
      <c r="AQ576" s="88"/>
      <c r="AR576" s="88"/>
      <c r="AS576" s="88"/>
      <c r="AT576" s="88"/>
      <c r="AU576" s="88"/>
      <c r="AV576" s="88"/>
      <c r="AW576" s="88"/>
      <c r="AX576" s="88"/>
      <c r="AY576" s="88"/>
      <c r="AZ576" s="88"/>
      <c r="BA576" s="25"/>
      <c r="BB576" s="25"/>
      <c r="BC576" s="25"/>
      <c r="BD576" s="25"/>
      <c r="BE576" s="25"/>
      <c r="BF576" s="25"/>
      <c r="BG576" s="25"/>
      <c r="BH576" s="25"/>
      <c r="BI576" s="25"/>
      <c r="BJ576" s="86"/>
      <c r="BK576" s="86"/>
      <c r="BL576" s="86"/>
      <c r="BM576" s="76"/>
      <c r="BN576" s="76"/>
      <c r="BO576" s="76">
        <f t="shared" ref="BO576:BT576" ca="1" si="751">SUM(BO574:BO575)</f>
        <v>2154.1870097781612</v>
      </c>
      <c r="BP576" s="76">
        <f t="shared" ca="1" si="751"/>
        <v>2358.3407757070863</v>
      </c>
      <c r="BQ576" s="76">
        <f t="shared" ca="1" si="751"/>
        <v>2583.3831493992593</v>
      </c>
      <c r="BR576" s="76">
        <f ca="1">SUM(BR574:BR575)</f>
        <v>2827.6585485921896</v>
      </c>
      <c r="BS576" s="76">
        <f ca="1">SUM(BS574:BS575)</f>
        <v>3085.8721107084471</v>
      </c>
      <c r="BT576" s="76">
        <f t="shared" ca="1" si="751"/>
        <v>3379.0299612257495</v>
      </c>
      <c r="BU576" s="515">
        <f ca="1">SUM(BU574:BU575)</f>
        <v>3700.0378075421959</v>
      </c>
      <c r="BV576" s="76">
        <f ca="1">SUM(BV574:BV575)</f>
        <v>3828.2922780120143</v>
      </c>
      <c r="BW576" s="76">
        <f ca="1">SUM(BW574:BW575)</f>
        <v>3951.7926318001482</v>
      </c>
      <c r="BX576" s="76">
        <f t="shared" ref="BX576" ca="1" si="752">SUM(BX574:BX575)</f>
        <v>4064.8657649748498</v>
      </c>
      <c r="BY576" s="76">
        <f ca="1">SUM(BY574:BY575)</f>
        <v>4166.4874090992207</v>
      </c>
      <c r="BZ576" s="76">
        <f t="shared" ref="BZ576" ca="1" si="753">SUM(BZ574:BZ575)</f>
        <v>0</v>
      </c>
      <c r="DS576" s="76" t="e">
        <f ca="1">SUM(DS574:DS575)</f>
        <v>#VALUE!</v>
      </c>
    </row>
    <row r="577" spans="1:123" s="70" customFormat="1">
      <c r="A577" s="78"/>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440"/>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73"/>
      <c r="BN577" s="73"/>
      <c r="BO577" s="73"/>
      <c r="BP577" s="73"/>
      <c r="BQ577" s="73"/>
      <c r="BR577" s="73"/>
      <c r="BS577" s="73"/>
      <c r="BT577" s="50"/>
      <c r="BU577" s="517"/>
    </row>
    <row r="578" spans="1:123" s="70" customFormat="1">
      <c r="A578" s="78"/>
      <c r="B578" s="70" t="s">
        <v>133</v>
      </c>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440"/>
      <c r="AQ578" s="25"/>
      <c r="AR578" s="25"/>
      <c r="AS578" s="25"/>
      <c r="AT578" s="25"/>
      <c r="AU578" s="25"/>
      <c r="AV578" s="25"/>
      <c r="AW578" s="25"/>
      <c r="AX578" s="25"/>
      <c r="AY578" s="25"/>
      <c r="AZ578" s="25"/>
      <c r="BA578" s="25"/>
      <c r="BB578" s="25"/>
      <c r="BC578" s="25"/>
      <c r="BD578" s="25"/>
      <c r="BE578" s="25"/>
      <c r="BF578" s="25"/>
      <c r="BG578" s="25"/>
      <c r="BH578" s="25"/>
      <c r="BI578" s="25"/>
      <c r="BJ578" s="86"/>
      <c r="BK578" s="86"/>
      <c r="BL578" s="25"/>
      <c r="BM578" s="73"/>
      <c r="BN578" s="73"/>
      <c r="BO578" s="73"/>
      <c r="BP578" s="73"/>
      <c r="BQ578" s="73">
        <f>-AI285/(1-BQ17)*BQ17*BQ20*BQ30</f>
        <v>10.754100000000001</v>
      </c>
      <c r="BR578" s="73">
        <f>-AJ285/(1-BR17)*BR17*BR20*BR30</f>
        <v>6.2453999999999992</v>
      </c>
      <c r="BS578" s="73">
        <f>-AK285/(1-BS17)*BS17*BS20*BS30</f>
        <v>13.6608</v>
      </c>
      <c r="BT578" s="73">
        <f>-BT285/(1-BT17)*BT17*BT20*BT30</f>
        <v>30.221999999999994</v>
      </c>
      <c r="BU578" s="490">
        <f>-BU285/(1-BU17)*BU17*BU20*BU30</f>
        <v>38.821800000000003</v>
      </c>
      <c r="BV578" s="73">
        <f>-BV285/(1-BV17)*BV17*BV20*BV30</f>
        <v>32.606925696796097</v>
      </c>
      <c r="BW578" s="73">
        <f>-BW285/(1-BW17)*BW17*BW20*BW30</f>
        <v>36.021275968077177</v>
      </c>
      <c r="BX578" s="73">
        <f t="shared" ref="BX578" si="754">-BX285/(1-BX17)*BX17*BX20*BX30</f>
        <v>39.249593036170147</v>
      </c>
      <c r="BY578" s="73">
        <f>-BY285/(1-BY17)*BY17*BY20*BY30</f>
        <v>42.525147563535036</v>
      </c>
      <c r="BZ578" s="73">
        <f t="shared" ref="BZ578" si="755">-BZ285/(1-BZ17)*BZ17*BZ20*BZ30</f>
        <v>46.020315965525569</v>
      </c>
      <c r="DS578" s="73" t="e">
        <f>-DS285/(1-DS17)*DS17*DS20*DS30</f>
        <v>#DIV/0!</v>
      </c>
    </row>
    <row r="579" spans="1:123" s="70" customFormat="1">
      <c r="A579" s="78" t="s">
        <v>56</v>
      </c>
      <c r="B579" s="70" t="s">
        <v>205</v>
      </c>
      <c r="G579" s="25"/>
      <c r="H579" s="25"/>
      <c r="I579" s="25"/>
      <c r="J579" s="25"/>
      <c r="K579" s="25"/>
      <c r="L579" s="25"/>
      <c r="M579" s="25"/>
      <c r="N579" s="25"/>
      <c r="O579" s="25"/>
      <c r="P579" s="25"/>
      <c r="Q579" s="25"/>
      <c r="R579" s="25"/>
      <c r="S579" s="25"/>
      <c r="T579" s="25"/>
      <c r="U579" s="88"/>
      <c r="V579" s="88"/>
      <c r="W579" s="88"/>
      <c r="X579" s="88"/>
      <c r="Y579" s="88"/>
      <c r="Z579" s="88"/>
      <c r="AA579" s="88"/>
      <c r="AB579" s="88"/>
      <c r="AC579" s="88"/>
      <c r="AD579" s="88"/>
      <c r="AE579" s="88"/>
      <c r="AF579" s="88"/>
      <c r="AG579" s="88"/>
      <c r="AH579" s="88"/>
      <c r="AI579" s="88"/>
      <c r="AJ579" s="88"/>
      <c r="AK579" s="88"/>
      <c r="AL579" s="88"/>
      <c r="AM579" s="88"/>
      <c r="AN579" s="88"/>
      <c r="AO579" s="88"/>
      <c r="AP579" s="489"/>
      <c r="AQ579" s="88"/>
      <c r="AR579" s="88"/>
      <c r="AS579" s="88"/>
      <c r="AT579" s="88"/>
      <c r="AU579" s="88"/>
      <c r="AV579" s="88"/>
      <c r="AW579" s="88"/>
      <c r="AX579" s="88"/>
      <c r="AY579" s="88"/>
      <c r="AZ579" s="88"/>
      <c r="BA579" s="25"/>
      <c r="BB579" s="25"/>
      <c r="BC579" s="25"/>
      <c r="BD579" s="25"/>
      <c r="BE579" s="25"/>
      <c r="BF579" s="25"/>
      <c r="BG579" s="25"/>
      <c r="BH579" s="25"/>
      <c r="BI579" s="25"/>
      <c r="BJ579" s="86"/>
      <c r="BK579" s="71"/>
      <c r="BL579" s="71"/>
      <c r="BM579" s="72"/>
      <c r="BN579" s="72"/>
      <c r="BO579" s="72"/>
      <c r="BP579" s="72"/>
      <c r="BQ579" s="72">
        <f ca="1">IF(BQ$1&gt;=Summary!$G$3,0,NPV(Summary!$G$8,OFFSET(BQ578,0,1,1,MATCH(Summary!$G$3,BR$1:$CJ$1,0))))</f>
        <v>150.09691624425071</v>
      </c>
      <c r="BR579" s="72">
        <f ca="1">IF(BR$1&gt;=Summary!$G$3,0,NPV(Summary!$G$8,OFFSET(BR578,0,1,1,MATCH(Summary!$G$3,BS$1:$CJ$1,0))))</f>
        <v>158.11072328745453</v>
      </c>
      <c r="BS579" s="72">
        <f ca="1">IF(BS$1&gt;=Summary!$G$3,0,NPV(Summary!$G$8,OFFSET(BS578,0,1,1,MATCH(Summary!$G$3,BT$1:$CJ$1,0))))</f>
        <v>159.47044199976273</v>
      </c>
      <c r="BT579" s="72">
        <f ca="1">IF(BT$1&gt;=Summary!$G$3,0,NPV(Summary!$G$8,OFFSET(BT578,0,1,1,MATCH(Summary!$G$3,BU$1:$CJ$1,0))))</f>
        <v>144.39813398974019</v>
      </c>
      <c r="BU579" s="516">
        <f ca="1">IF(BU$1&gt;=Summary!$G$3,0,NPV(Summary!$G$8,OFFSET(BU578,0,1,1,MATCH(Summary!$G$3,BV$1:$CJ$1,0))))</f>
        <v>119.29415671876548</v>
      </c>
      <c r="BV579" s="72">
        <f ca="1">IF(BV$1&gt;=Summary!$G$3,0,NPV(Summary!$G$8,OFFSET(BV578,0,1,1,MATCH(Summary!$G$3,BW$1:$CJ$1,0))))</f>
        <v>98.020175910252107</v>
      </c>
      <c r="BW579" s="72">
        <f ca="1">IF(BW$1&gt;=Summary!$G$3,0,NPV(Summary!$G$8,OFFSET(BW578,0,1,1,MATCH(Summary!$G$3,BX$1:$CJ$1,0))))</f>
        <v>71.310816653648885</v>
      </c>
      <c r="BX579" s="72">
        <f ca="1">IF(BX$1&gt;=Summary!$G$3,0,NPV(Summary!$G$8,OFFSET(BX578,0,1,1,MATCH(Summary!$G$3,BY$1:$CJ$1,0))))</f>
        <v>38.835751199575377</v>
      </c>
      <c r="BY579" s="72">
        <f ca="1">IF(BY$1&gt;=Summary!$G$3,0,NPV(Summary!$G$8,OFFSET(BY578,0,1,1,MATCH(Summary!$G$3,BZ$1:$CJ$1,0))))</f>
        <v>0</v>
      </c>
      <c r="BZ579" s="72">
        <f ca="1">IF(BZ$1&gt;=Summary!$G$3,0,NPV(Summary!$G$8,OFFSET(BZ578,0,1,1,MATCH(Summary!$G$3,CA$1:$CJ$1,0))))</f>
        <v>0</v>
      </c>
      <c r="DS579" s="72" t="e">
        <f ca="1">IF(DS$1=Summary!$G$3,0,NPV(Summary!$G$8,OFFSET(DS578,0,1,1,MATCH(Summary!$G$3,$CJ$1:DW$1,0))))</f>
        <v>#VALUE!</v>
      </c>
    </row>
    <row r="580" spans="1:123" s="70" customFormat="1">
      <c r="A580" s="78" t="s">
        <v>57</v>
      </c>
      <c r="B580" s="70" t="s">
        <v>206</v>
      </c>
      <c r="G580" s="25"/>
      <c r="H580" s="25"/>
      <c r="I580" s="25"/>
      <c r="J580" s="25"/>
      <c r="K580" s="25"/>
      <c r="L580" s="25"/>
      <c r="M580" s="25"/>
      <c r="N580" s="25"/>
      <c r="O580" s="25"/>
      <c r="P580" s="25"/>
      <c r="Q580" s="25"/>
      <c r="R580" s="25"/>
      <c r="S580" s="25"/>
      <c r="T580" s="25"/>
      <c r="U580" s="88"/>
      <c r="V580" s="88"/>
      <c r="W580" s="88"/>
      <c r="X580" s="88"/>
      <c r="Y580" s="88"/>
      <c r="Z580" s="88"/>
      <c r="AA580" s="88"/>
      <c r="AB580" s="88"/>
      <c r="AC580" s="88"/>
      <c r="AD580" s="88"/>
      <c r="AE580" s="88"/>
      <c r="AF580" s="88"/>
      <c r="AG580" s="88"/>
      <c r="AH580" s="88"/>
      <c r="AI580" s="88"/>
      <c r="AJ580" s="88"/>
      <c r="AK580" s="88"/>
      <c r="AL580" s="88"/>
      <c r="AM580" s="88"/>
      <c r="AN580" s="88"/>
      <c r="AO580" s="88"/>
      <c r="AP580" s="489"/>
      <c r="AQ580" s="88"/>
      <c r="AR580" s="88"/>
      <c r="AS580" s="88"/>
      <c r="AT580" s="88"/>
      <c r="AU580" s="88"/>
      <c r="AV580" s="88"/>
      <c r="AW580" s="88"/>
      <c r="AX580" s="88"/>
      <c r="AY580" s="88"/>
      <c r="AZ580" s="88"/>
      <c r="BA580" s="25"/>
      <c r="BB580" s="25"/>
      <c r="BC580" s="25"/>
      <c r="BD580" s="25"/>
      <c r="BE580" s="25"/>
      <c r="BF580" s="25"/>
      <c r="BG580" s="25"/>
      <c r="BH580" s="25"/>
      <c r="BI580" s="25"/>
      <c r="BJ580" s="86"/>
      <c r="BK580" s="71"/>
      <c r="BL580" s="71"/>
      <c r="BM580" s="72"/>
      <c r="BN580" s="72"/>
      <c r="BO580" s="72"/>
      <c r="BP580" s="72"/>
      <c r="BQ580" s="72">
        <f ca="1">IFERROR(IF(BQ$1=Summary!$G$3,BQ578*(1+Summary!$G$4)/(Summary!$G$8-Summary!$G$4),OFFSET(BQ578,0,MATCH(Summary!$G$3,BR$1:$CK$1,0),1,1)*(1+Summary!$G$4)/(Summary!$G$8-Summary!$G$4)/(1+Summary!$G$8)^COUNTA(OFFSET(BQ$1,0,0,1,MATCH(Summary!$G$3,BR$1:$CK$1,0)))),0)</f>
        <v>301.27195194992174</v>
      </c>
      <c r="BR580" s="72">
        <f ca="1">IFERROR(IF(BR$1=Summary!$G$3,BR578*(1+Summary!$G$4)/(Summary!$G$8-Summary!$G$4),OFFSET(BR578,0,MATCH(Summary!$G$3,BS$1:$CK$1,0),1,1)*(1+Summary!$G$4)/(Summary!$G$8-Summary!$G$4)/(1+Summary!$G$8)^COUNTA(OFFSET(BR$1,0,0,1,MATCH(Summary!$G$3,BS$1:$CK$1,0)))),0)</f>
        <v>329.89278738516435</v>
      </c>
      <c r="BS580" s="72">
        <f ca="1">IFERROR(IF(BS$1=Summary!$G$3,BS578*(1+Summary!$G$4)/(Summary!$G$8-Summary!$G$4),OFFSET(BS578,0,MATCH(Summary!$G$3,BT$1:$CK$1,0),1,1)*(1+Summary!$G$4)/(Summary!$G$8-Summary!$G$4)/(1+Summary!$G$8)^COUNTA(OFFSET(BS$1,0,0,1,MATCH(Summary!$G$3,BT$1:$CK$1,0)))),0)</f>
        <v>361.23260218675495</v>
      </c>
      <c r="BT580" s="72">
        <f ca="1">IFERROR(IF(BT$1=Summary!$G$3,BT578*(1+Summary!$G$4)/(Summary!$G$8-Summary!$G$4),OFFSET(BT578,0,MATCH(Summary!$G$3,BU$1:$CK$1,0),1,1)*(1+Summary!$G$4)/(Summary!$G$8-Summary!$G$4)/(1+Summary!$G$8)^COUNTA(OFFSET(BT$1,0,0,1,MATCH(Summary!$G$3,BU$1:$CK$1,0)))),0)</f>
        <v>395.54969939449671</v>
      </c>
      <c r="BU580" s="516">
        <f ca="1">IFERROR(IF(BU$1=Summary!$G$3,BU578*(1+Summary!$G$4)/(Summary!$G$8-Summary!$G$4),OFFSET(BU578,0,MATCH(Summary!$G$3,BV$1:$CK$1,0),1,1)*(1+Summary!$G$4)/(Summary!$G$8-Summary!$G$4)/(1+Summary!$G$8)^COUNTA(OFFSET(BU$1,0,0,1,MATCH(Summary!$G$3,BV$1:$CK$1,0)))),0)</f>
        <v>433.12692083697385</v>
      </c>
      <c r="BV580" s="72">
        <f ca="1">IFERROR(IF(BV$1=Summary!$G$3,BV578*(1+Summary!$G$4)/(Summary!$G$8-Summary!$G$4),OFFSET(BV578,0,MATCH(Summary!$G$3,BW$1:$CK$1,0),1,1)*(1+Summary!$G$4)/(Summary!$G$8-Summary!$G$4)/(1+Summary!$G$8)^COUNTA(OFFSET(BV$1,0,0,1,MATCH(Summary!$G$3,BW$1:$CK$1,0)))),0)</f>
        <v>474.27397831648642</v>
      </c>
      <c r="BW580" s="72">
        <f ca="1">IFERROR(IF(BW$1=Summary!$G$3,BW578*(1+Summary!$G$4)/(Summary!$G$8-Summary!$G$4),OFFSET(BW578,0,MATCH(Summary!$G$3,BX$1:$CK$1,0),1,1)*(1+Summary!$G$4)/(Summary!$G$8-Summary!$G$4)/(1+Summary!$G$8)^COUNTA(OFFSET(BW$1,0,0,1,MATCH(Summary!$G$3,BX$1:$CK$1,0)))),0)</f>
        <v>519.33000625655256</v>
      </c>
      <c r="BX580" s="72">
        <f ca="1">IFERROR(IF(BX$1=Summary!$G$3,BX578*(1+Summary!$G$4)/(Summary!$G$8-Summary!$G$4),OFFSET(BX578,0,MATCH(Summary!$G$3,BY$1:$CK$1,0),1,1)*(1+Summary!$G$4)/(Summary!$G$8-Summary!$G$4)/(1+Summary!$G$8)^COUNTA(OFFSET(BX$1,0,0,1,MATCH(Summary!$G$3,BY$1:$CK$1,0)))),0)</f>
        <v>568.66635685092513</v>
      </c>
      <c r="BY580" s="72">
        <f ca="1">IFERROR(IF(BY$1=Summary!$G$3,BY578*(1+Summary!$G$4)/(Summary!$G$8-Summary!$G$4),OFFSET(BY578,0,MATCH(Summary!$G$3,BZ$1:$CK$1,0),1,1)*(1+Summary!$G$4)/(Summary!$G$8-Summary!$G$4)/(1+Summary!$G$8)^COUNTA(OFFSET(BY$1,0,0,1,MATCH(Summary!$G$3,BZ$1:$CK$1,0)))),0)</f>
        <v>622.68966075176297</v>
      </c>
      <c r="BZ580" s="72">
        <f ca="1">IFERROR(IF(BZ$1=Summary!$G$3,BZ578*(1+Summary!$G$4)/(Summary!$G$8-Summary!$G$4),OFFSET(BZ578,0,MATCH(Summary!$G$3,CA$1:$CK$1,0),1,1)*(1+Summary!$G$4)/(Summary!$G$8-Summary!$G$4)/(1+Summary!$G$8)^COUNTA(OFFSET(BZ$1,0,0,1,MATCH(Summary!$G$3,CA$1:$CK$1,0)))),0)</f>
        <v>0</v>
      </c>
      <c r="DS580" s="72" t="e">
        <f ca="1">IF(DS$1=Summary!$G$3,DS578*(1+Summary!$G$4)/(Summary!$G$8-Summary!$G$4),OFFSET(DS578,0,MATCH(Summary!$G$3,$CJ$1:DW$1,0),1,1)*(1+Summary!$G$4)/(Summary!$G$8-Summary!$G$4)/(1+Summary!$G$8)^COUNTA(OFFSET(DS$1,0,0,1,MATCH(Summary!$G$3,$CJ$1:DW$1,0))))</f>
        <v>#VALUE!</v>
      </c>
    </row>
    <row r="581" spans="1:123" s="70" customFormat="1">
      <c r="A581" s="78"/>
      <c r="B581" s="75" t="s">
        <v>207</v>
      </c>
      <c r="G581" s="25"/>
      <c r="H581" s="25"/>
      <c r="I581" s="25"/>
      <c r="J581" s="25"/>
      <c r="K581" s="25"/>
      <c r="L581" s="25"/>
      <c r="M581" s="25"/>
      <c r="N581" s="25"/>
      <c r="O581" s="25"/>
      <c r="P581" s="25"/>
      <c r="Q581" s="25"/>
      <c r="R581" s="25"/>
      <c r="S581" s="25"/>
      <c r="T581" s="25"/>
      <c r="U581" s="88"/>
      <c r="V581" s="88"/>
      <c r="W581" s="88"/>
      <c r="X581" s="88"/>
      <c r="Y581" s="88"/>
      <c r="Z581" s="88"/>
      <c r="AA581" s="88"/>
      <c r="AB581" s="88"/>
      <c r="AC581" s="88"/>
      <c r="AD581" s="88"/>
      <c r="AE581" s="88"/>
      <c r="AF581" s="88"/>
      <c r="AG581" s="88"/>
      <c r="AH581" s="88"/>
      <c r="AI581" s="88"/>
      <c r="AJ581" s="88"/>
      <c r="AK581" s="88"/>
      <c r="AL581" s="88"/>
      <c r="AM581" s="88"/>
      <c r="AN581" s="88"/>
      <c r="AO581" s="88"/>
      <c r="AP581" s="489"/>
      <c r="AQ581" s="88"/>
      <c r="AR581" s="88"/>
      <c r="AS581" s="88"/>
      <c r="AT581" s="88"/>
      <c r="AU581" s="88"/>
      <c r="AV581" s="88"/>
      <c r="AW581" s="88"/>
      <c r="AX581" s="88"/>
      <c r="AY581" s="88"/>
      <c r="AZ581" s="88"/>
      <c r="BA581" s="25"/>
      <c r="BB581" s="25"/>
      <c r="BC581" s="25"/>
      <c r="BD581" s="25"/>
      <c r="BE581" s="25"/>
      <c r="BF581" s="25"/>
      <c r="BG581" s="25"/>
      <c r="BH581" s="25"/>
      <c r="BI581" s="25"/>
      <c r="BJ581" s="86"/>
      <c r="BK581" s="86"/>
      <c r="BL581" s="86"/>
      <c r="BM581" s="76"/>
      <c r="BN581" s="76"/>
      <c r="BO581" s="76"/>
      <c r="BP581" s="76"/>
      <c r="BQ581" s="76">
        <f t="shared" ref="BQ581:BZ581" ca="1" si="756">SUM(BQ579:BQ580)</f>
        <v>451.36886819417248</v>
      </c>
      <c r="BR581" s="76">
        <f t="shared" ca="1" si="756"/>
        <v>488.00351067261886</v>
      </c>
      <c r="BS581" s="76">
        <f t="shared" ca="1" si="756"/>
        <v>520.70304418651767</v>
      </c>
      <c r="BT581" s="76">
        <f t="shared" ca="1" si="756"/>
        <v>539.9478333842369</v>
      </c>
      <c r="BU581" s="515">
        <f t="shared" ca="1" si="756"/>
        <v>552.42107755573932</v>
      </c>
      <c r="BV581" s="76">
        <f t="shared" ca="1" si="756"/>
        <v>572.29415422673856</v>
      </c>
      <c r="BW581" s="76">
        <f t="shared" ca="1" si="756"/>
        <v>590.64082291020145</v>
      </c>
      <c r="BX581" s="76">
        <f t="shared" ca="1" si="756"/>
        <v>607.50210805050051</v>
      </c>
      <c r="BY581" s="76">
        <f t="shared" ca="1" si="756"/>
        <v>622.68966075176297</v>
      </c>
      <c r="BZ581" s="76">
        <f t="shared" ca="1" si="756"/>
        <v>0</v>
      </c>
      <c r="DS581" s="76" t="e">
        <f t="shared" ref="DS581" ca="1" si="757">SUM(DS579:DS580)</f>
        <v>#VALUE!</v>
      </c>
    </row>
    <row r="582" spans="1:123" s="70" customFormat="1">
      <c r="A582" s="78"/>
      <c r="B582" s="75"/>
      <c r="G582" s="25"/>
      <c r="H582" s="25"/>
      <c r="I582" s="25"/>
      <c r="J582" s="25"/>
      <c r="K582" s="25"/>
      <c r="L582" s="25"/>
      <c r="M582" s="25"/>
      <c r="N582" s="25"/>
      <c r="O582" s="25"/>
      <c r="P582" s="25"/>
      <c r="Q582" s="25"/>
      <c r="R582" s="25"/>
      <c r="S582" s="25"/>
      <c r="T582" s="25"/>
      <c r="U582" s="88"/>
      <c r="V582" s="88"/>
      <c r="W582" s="88"/>
      <c r="X582" s="88"/>
      <c r="Y582" s="88"/>
      <c r="Z582" s="88"/>
      <c r="AA582" s="88"/>
      <c r="AB582" s="88"/>
      <c r="AC582" s="88"/>
      <c r="AD582" s="88"/>
      <c r="AE582" s="88"/>
      <c r="AF582" s="88"/>
      <c r="AG582" s="88"/>
      <c r="AH582" s="88"/>
      <c r="AI582" s="88"/>
      <c r="AJ582" s="88"/>
      <c r="AK582" s="88"/>
      <c r="AL582" s="88"/>
      <c r="AM582" s="88"/>
      <c r="AN582" s="88"/>
      <c r="AO582" s="88"/>
      <c r="AP582" s="489"/>
      <c r="AQ582" s="88"/>
      <c r="AR582" s="88"/>
      <c r="AS582" s="88"/>
      <c r="AT582" s="88"/>
      <c r="AU582" s="88"/>
      <c r="AV582" s="88"/>
      <c r="AW582" s="88"/>
      <c r="AX582" s="88"/>
      <c r="AY582" s="88"/>
      <c r="AZ582" s="88"/>
      <c r="BA582" s="25"/>
      <c r="BB582" s="25"/>
      <c r="BC582" s="25"/>
      <c r="BD582" s="25"/>
      <c r="BE582" s="25"/>
      <c r="BF582" s="25"/>
      <c r="BG582" s="25"/>
      <c r="BH582" s="25"/>
      <c r="BI582" s="25"/>
      <c r="BJ582" s="86"/>
      <c r="BK582" s="86"/>
      <c r="BL582" s="86"/>
      <c r="BM582" s="76"/>
      <c r="BN582" s="76"/>
      <c r="BO582" s="76"/>
      <c r="BP582" s="76"/>
      <c r="BQ582" s="76"/>
      <c r="BR582" s="76"/>
      <c r="BS582" s="76"/>
      <c r="BT582" s="76"/>
      <c r="BU582" s="515"/>
      <c r="BV582" s="76"/>
      <c r="BW582" s="76"/>
      <c r="BX582" s="76"/>
      <c r="BY582" s="76"/>
      <c r="BZ582" s="76"/>
      <c r="DS582" s="76"/>
    </row>
    <row r="583" spans="1:123" s="70" customFormat="1">
      <c r="A583" s="78"/>
      <c r="B583" s="75" t="s">
        <v>450</v>
      </c>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440"/>
      <c r="AQ583" s="25"/>
      <c r="AR583" s="25"/>
      <c r="AS583" s="25"/>
      <c r="AT583" s="25"/>
      <c r="AU583" s="25"/>
      <c r="AV583" s="25"/>
      <c r="AW583" s="25"/>
      <c r="AX583" s="25"/>
      <c r="AY583" s="25"/>
      <c r="AZ583" s="25"/>
      <c r="BA583" s="25"/>
      <c r="BB583" s="25"/>
      <c r="BC583" s="25"/>
      <c r="BD583" s="25"/>
      <c r="BE583" s="88"/>
      <c r="BF583" s="88"/>
      <c r="BG583" s="88"/>
      <c r="BH583" s="88"/>
      <c r="BI583" s="88"/>
      <c r="BJ583" s="88"/>
      <c r="BK583" s="88"/>
      <c r="BL583" s="88"/>
      <c r="BM583" s="77"/>
      <c r="BN583" s="77"/>
      <c r="BO583" s="77"/>
      <c r="BP583" s="77"/>
      <c r="BQ583" s="89">
        <f t="shared" ref="BQ583:BZ583" ca="1" si="758">BQ576+BQ581</f>
        <v>3034.7520175934319</v>
      </c>
      <c r="BR583" s="89">
        <f t="shared" ca="1" si="758"/>
        <v>3315.6620592648087</v>
      </c>
      <c r="BS583" s="89">
        <f t="shared" ca="1" si="758"/>
        <v>3606.5751548949647</v>
      </c>
      <c r="BT583" s="89">
        <f t="shared" ca="1" si="758"/>
        <v>3918.9777946099866</v>
      </c>
      <c r="BU583" s="511">
        <f t="shared" ca="1" si="758"/>
        <v>4252.4588850979353</v>
      </c>
      <c r="BV583" s="89">
        <f t="shared" ca="1" si="758"/>
        <v>4400.5864322387533</v>
      </c>
      <c r="BW583" s="89">
        <f t="shared" ca="1" si="758"/>
        <v>4542.4334547103499</v>
      </c>
      <c r="BX583" s="89">
        <f t="shared" ca="1" si="758"/>
        <v>4672.3678730253505</v>
      </c>
      <c r="BY583" s="89">
        <f t="shared" ca="1" si="758"/>
        <v>4789.1770698509836</v>
      </c>
      <c r="BZ583" s="89">
        <f t="shared" ca="1" si="758"/>
        <v>0</v>
      </c>
      <c r="DS583" s="89" t="e">
        <f t="shared" ref="DS583" ca="1" si="759">DS576+DS581</f>
        <v>#VALUE!</v>
      </c>
    </row>
    <row r="584" spans="1:123" s="70" customFormat="1">
      <c r="A584" s="78"/>
      <c r="B584" s="70" t="s">
        <v>451</v>
      </c>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440"/>
      <c r="AQ584" s="25"/>
      <c r="AR584" s="25"/>
      <c r="AS584" s="25"/>
      <c r="AT584" s="25"/>
      <c r="AU584" s="25"/>
      <c r="AV584" s="25"/>
      <c r="AW584" s="25"/>
      <c r="AX584" s="25"/>
      <c r="AY584" s="25"/>
      <c r="AZ584" s="25"/>
      <c r="BA584" s="25"/>
      <c r="BB584" s="25"/>
      <c r="BC584" s="25"/>
      <c r="BD584" s="25"/>
      <c r="BE584" s="88"/>
      <c r="BF584" s="88"/>
      <c r="BG584" s="88"/>
      <c r="BH584" s="88"/>
      <c r="BI584" s="88"/>
      <c r="BJ584" s="88"/>
      <c r="BK584" s="88"/>
      <c r="BL584" s="88"/>
      <c r="BM584" s="77"/>
      <c r="BN584" s="77"/>
      <c r="BO584" s="77"/>
      <c r="BP584" s="77"/>
      <c r="BQ584" s="39">
        <f t="shared" ref="BQ584:BZ584" si="760">-(BQ405+BQ396-BQ292)</f>
        <v>-135.69499999999999</v>
      </c>
      <c r="BR584" s="39">
        <f t="shared" si="760"/>
        <v>211.52700000000002</v>
      </c>
      <c r="BS584" s="39">
        <f t="shared" si="760"/>
        <v>-323.87800000000004</v>
      </c>
      <c r="BT584" s="39">
        <f t="shared" si="760"/>
        <v>-268.63499999999999</v>
      </c>
      <c r="BU584" s="512">
        <f t="shared" si="760"/>
        <v>-593.50499999999988</v>
      </c>
      <c r="BV584" s="39">
        <f t="shared" si="760"/>
        <v>-478.94563107596315</v>
      </c>
      <c r="BW584" s="39">
        <f t="shared" si="760"/>
        <v>-358.8291383465463</v>
      </c>
      <c r="BX584" s="39">
        <f t="shared" si="760"/>
        <v>-227.31394828746761</v>
      </c>
      <c r="BY584" s="39">
        <f t="shared" si="760"/>
        <v>-84.523836617678171</v>
      </c>
      <c r="BZ584" s="39">
        <f t="shared" si="760"/>
        <v>70.307571102679049</v>
      </c>
      <c r="DS584" s="39">
        <f t="shared" ref="DS584" si="761">-(DS405+DS396-DS292)</f>
        <v>0</v>
      </c>
    </row>
    <row r="585" spans="1:123" s="70" customFormat="1">
      <c r="A585" s="78"/>
      <c r="B585" s="70" t="s">
        <v>452</v>
      </c>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440"/>
      <c r="AQ585" s="25"/>
      <c r="AR585" s="25"/>
      <c r="AS585" s="25"/>
      <c r="AT585" s="25"/>
      <c r="AU585" s="25"/>
      <c r="AV585" s="25"/>
      <c r="AW585" s="25"/>
      <c r="AX585" s="25"/>
      <c r="AY585" s="25"/>
      <c r="AZ585" s="25"/>
      <c r="BA585" s="25"/>
      <c r="BB585" s="25"/>
      <c r="BC585" s="25"/>
      <c r="BD585" s="25"/>
      <c r="BE585" s="88"/>
      <c r="BF585" s="88"/>
      <c r="BG585" s="88"/>
      <c r="BH585" s="88"/>
      <c r="BI585" s="88"/>
      <c r="BJ585" s="88"/>
      <c r="BK585" s="88"/>
      <c r="BL585" s="88"/>
      <c r="BM585" s="77"/>
      <c r="BN585" s="77"/>
      <c r="BO585" s="77"/>
      <c r="BP585" s="77"/>
      <c r="BQ585" s="39">
        <f t="shared" ref="BQ585:BZ585" si="762">-BQ469</f>
        <v>-119.533</v>
      </c>
      <c r="BR585" s="39">
        <f t="shared" si="762"/>
        <v>-143.18299999999999</v>
      </c>
      <c r="BS585" s="39">
        <f t="shared" si="762"/>
        <v>-233.51499999999999</v>
      </c>
      <c r="BT585" s="39">
        <f t="shared" si="762"/>
        <v>-236.89099999999999</v>
      </c>
      <c r="BU585" s="512">
        <f t="shared" si="762"/>
        <v>-382.07799999999997</v>
      </c>
      <c r="BV585" s="39">
        <f t="shared" si="762"/>
        <v>-382.07799999999997</v>
      </c>
      <c r="BW585" s="39">
        <f t="shared" si="762"/>
        <v>-382.07799999999997</v>
      </c>
      <c r="BX585" s="39">
        <f t="shared" si="762"/>
        <v>-382.07799999999997</v>
      </c>
      <c r="BY585" s="39">
        <f t="shared" si="762"/>
        <v>-382.07799999999997</v>
      </c>
      <c r="BZ585" s="39">
        <f t="shared" si="762"/>
        <v>-382.07799999999997</v>
      </c>
      <c r="DS585" s="39">
        <f t="shared" ref="DS585" si="763">-DS469</f>
        <v>0</v>
      </c>
    </row>
    <row r="586" spans="1:123" s="70" customFormat="1">
      <c r="A586" s="78"/>
      <c r="B586" s="70" t="s">
        <v>453</v>
      </c>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440"/>
      <c r="AQ586" s="25"/>
      <c r="AR586" s="25"/>
      <c r="AS586" s="25"/>
      <c r="AT586" s="25"/>
      <c r="AU586" s="25"/>
      <c r="AV586" s="25"/>
      <c r="AW586" s="25"/>
      <c r="AX586" s="25"/>
      <c r="AY586" s="25"/>
      <c r="AZ586" s="25"/>
      <c r="BA586" s="25"/>
      <c r="BB586" s="25"/>
      <c r="BC586" s="25"/>
      <c r="BD586" s="25"/>
      <c r="BE586" s="88"/>
      <c r="BF586" s="88"/>
      <c r="BG586" s="88"/>
      <c r="BH586" s="88"/>
      <c r="BI586" s="88"/>
      <c r="BJ586" s="88"/>
      <c r="BK586" s="88"/>
      <c r="BL586" s="88"/>
      <c r="BM586" s="77"/>
      <c r="BN586" s="77"/>
      <c r="BO586" s="77"/>
      <c r="BP586" s="77"/>
      <c r="BQ586" s="39">
        <f t="shared" ref="BQ586:BZ586" si="764">-BQ301</f>
        <v>-280.64299999999997</v>
      </c>
      <c r="BR586" s="39">
        <f t="shared" si="764"/>
        <v>-250.1</v>
      </c>
      <c r="BS586" s="39">
        <f t="shared" si="764"/>
        <v>-238.52600000000001</v>
      </c>
      <c r="BT586" s="39">
        <f t="shared" si="764"/>
        <v>-250.911</v>
      </c>
      <c r="BU586" s="512">
        <f t="shared" si="764"/>
        <v>-301.85500000000002</v>
      </c>
      <c r="BV586" s="39">
        <f t="shared" si="764"/>
        <v>-301.85500000000002</v>
      </c>
      <c r="BW586" s="39">
        <f t="shared" si="764"/>
        <v>-301.85500000000002</v>
      </c>
      <c r="BX586" s="39">
        <f t="shared" si="764"/>
        <v>-301.85500000000002</v>
      </c>
      <c r="BY586" s="39">
        <f t="shared" si="764"/>
        <v>-301.85500000000002</v>
      </c>
      <c r="BZ586" s="39">
        <f t="shared" si="764"/>
        <v>-301.85500000000002</v>
      </c>
      <c r="DS586" s="39">
        <f t="shared" ref="DS586" si="765">-DS301</f>
        <v>0</v>
      </c>
    </row>
    <row r="587" spans="1:123" s="70" customFormat="1">
      <c r="A587" s="78"/>
      <c r="B587" s="75" t="s">
        <v>45</v>
      </c>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440"/>
      <c r="AQ587" s="25"/>
      <c r="AR587" s="25"/>
      <c r="AS587" s="25"/>
      <c r="AT587" s="25"/>
      <c r="AU587" s="25"/>
      <c r="AV587" s="25"/>
      <c r="AW587" s="25"/>
      <c r="AX587" s="25"/>
      <c r="AY587" s="25"/>
      <c r="AZ587" s="25"/>
      <c r="BA587" s="25"/>
      <c r="BB587" s="25"/>
      <c r="BC587" s="25"/>
      <c r="BD587" s="25"/>
      <c r="BE587" s="88"/>
      <c r="BF587" s="88"/>
      <c r="BG587" s="88"/>
      <c r="BH587" s="88"/>
      <c r="BI587" s="88"/>
      <c r="BJ587" s="88"/>
      <c r="BK587" s="88"/>
      <c r="BL587" s="88"/>
      <c r="BM587" s="77"/>
      <c r="BN587" s="77"/>
      <c r="BO587" s="77"/>
      <c r="BP587" s="77"/>
      <c r="BQ587" s="89">
        <f t="shared" ref="BQ587:BV587" ca="1" si="766">SUM(BQ583:BQ586)</f>
        <v>2498.8810175934318</v>
      </c>
      <c r="BR587" s="89">
        <f t="shared" ca="1" si="766"/>
        <v>3133.9060592648088</v>
      </c>
      <c r="BS587" s="89">
        <f t="shared" ref="BS587" ca="1" si="767">SUM(BS583:BS586)</f>
        <v>2810.6561548949649</v>
      </c>
      <c r="BT587" s="89">
        <f t="shared" ca="1" si="766"/>
        <v>3162.5407946099863</v>
      </c>
      <c r="BU587" s="511">
        <f t="shared" ca="1" si="766"/>
        <v>2975.0208850979352</v>
      </c>
      <c r="BV587" s="89">
        <f t="shared" ca="1" si="766"/>
        <v>3237.70780116279</v>
      </c>
      <c r="BW587" s="89">
        <f t="shared" ref="BW587:BZ587" ca="1" si="768">SUM(BW583:BW586)</f>
        <v>3499.6713163638033</v>
      </c>
      <c r="BX587" s="89">
        <f t="shared" ca="1" si="768"/>
        <v>3761.1209247378829</v>
      </c>
      <c r="BY587" s="89">
        <f t="shared" ca="1" si="768"/>
        <v>4020.720233233305</v>
      </c>
      <c r="BZ587" s="89">
        <f t="shared" ca="1" si="768"/>
        <v>-613.62542889732094</v>
      </c>
      <c r="DS587" s="89" t="e">
        <f t="shared" ref="DS587" ca="1" si="769">SUM(DS583:DS586)</f>
        <v>#VALUE!</v>
      </c>
    </row>
    <row r="588" spans="1:123" s="70" customFormat="1">
      <c r="A588" s="78"/>
      <c r="B588" s="70" t="s">
        <v>4</v>
      </c>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440"/>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73"/>
      <c r="BN588" s="73"/>
      <c r="BO588" s="73"/>
      <c r="BP588" s="73"/>
      <c r="BQ588" s="39">
        <f t="shared" ref="BQ588:BZ588" si="770">BQ273</f>
        <v>74.266000000000005</v>
      </c>
      <c r="BR588" s="39">
        <f t="shared" si="770"/>
        <v>76.546000000000006</v>
      </c>
      <c r="BS588" s="39">
        <f t="shared" si="770"/>
        <v>99.837000000000003</v>
      </c>
      <c r="BT588" s="39">
        <f t="shared" si="770"/>
        <v>109.08122899999999</v>
      </c>
      <c r="BU588" s="512">
        <f t="shared" si="770"/>
        <v>116.577471</v>
      </c>
      <c r="BV588" s="39">
        <f t="shared" si="770"/>
        <v>116.587434</v>
      </c>
      <c r="BW588" s="39">
        <f t="shared" si="770"/>
        <v>116.587434</v>
      </c>
      <c r="BX588" s="39">
        <f t="shared" si="770"/>
        <v>116.587434</v>
      </c>
      <c r="BY588" s="39">
        <f t="shared" si="770"/>
        <v>116.587434</v>
      </c>
      <c r="BZ588" s="39">
        <f t="shared" si="770"/>
        <v>116.587434</v>
      </c>
      <c r="DS588" s="39" t="e">
        <f t="shared" ref="DS588" si="771">DS273</f>
        <v>#DIV/0!</v>
      </c>
    </row>
    <row r="589" spans="1:123" s="70" customFormat="1">
      <c r="A589" s="78"/>
      <c r="B589" s="75" t="s">
        <v>208</v>
      </c>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440"/>
      <c r="AQ589" s="25"/>
      <c r="AR589" s="25"/>
      <c r="AS589" s="25"/>
      <c r="AT589" s="25"/>
      <c r="AU589" s="25"/>
      <c r="AV589" s="25"/>
      <c r="AW589" s="25"/>
      <c r="AX589" s="25"/>
      <c r="AY589" s="25"/>
      <c r="AZ589" s="25"/>
      <c r="BA589" s="25"/>
      <c r="BB589" s="25"/>
      <c r="BC589" s="25"/>
      <c r="BD589" s="25"/>
      <c r="BE589" s="88"/>
      <c r="BF589" s="88"/>
      <c r="BG589" s="88"/>
      <c r="BH589" s="88"/>
      <c r="BI589" s="88"/>
      <c r="BJ589" s="88"/>
      <c r="BK589" s="88"/>
      <c r="BL589" s="88"/>
      <c r="BM589" s="77"/>
      <c r="BN589" s="77"/>
      <c r="BO589" s="77"/>
      <c r="BP589" s="77"/>
      <c r="BQ589" s="89">
        <f t="shared" ref="BQ589:BZ589" ca="1" si="772">BQ587/BQ588</f>
        <v>33.647712514386548</v>
      </c>
      <c r="BR589" s="89">
        <f t="shared" ca="1" si="772"/>
        <v>40.941473875379621</v>
      </c>
      <c r="BS589" s="89">
        <f t="shared" ca="1" si="772"/>
        <v>28.152450042518954</v>
      </c>
      <c r="BT589" s="89">
        <f t="shared" ca="1" si="772"/>
        <v>28.992529911906168</v>
      </c>
      <c r="BU589" s="511">
        <f t="shared" ca="1" si="772"/>
        <v>25.519689692856137</v>
      </c>
      <c r="BV589" s="89">
        <f t="shared" ca="1" si="772"/>
        <v>27.770641226761967</v>
      </c>
      <c r="BW589" s="89">
        <f t="shared" ca="1" si="772"/>
        <v>30.017568757571276</v>
      </c>
      <c r="BX589" s="89">
        <f t="shared" ca="1" si="772"/>
        <v>32.260088379146268</v>
      </c>
      <c r="BY589" s="89">
        <f t="shared" ca="1" si="772"/>
        <v>34.486737509235383</v>
      </c>
      <c r="BZ589" s="89">
        <f t="shared" ca="1" si="772"/>
        <v>-5.2632209822657297</v>
      </c>
      <c r="DS589" s="89" t="e">
        <f t="shared" ref="DS589" ca="1" si="773">DS587/DS588</f>
        <v>#VALUE!</v>
      </c>
    </row>
    <row r="590" spans="1:123" s="70" customFormat="1">
      <c r="A590" s="78"/>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440"/>
      <c r="AQ590" s="25"/>
      <c r="AR590" s="25"/>
      <c r="AS590" s="25"/>
      <c r="AT590" s="25"/>
      <c r="AU590" s="25"/>
      <c r="AV590" s="25"/>
      <c r="AW590" s="25"/>
      <c r="AX590" s="25"/>
      <c r="AY590" s="25"/>
      <c r="AZ590" s="25"/>
      <c r="BA590" s="73"/>
      <c r="BB590" s="25"/>
      <c r="BC590" s="25"/>
      <c r="BD590" s="25"/>
      <c r="BE590" s="25"/>
      <c r="BF590" s="25"/>
      <c r="BG590" s="25"/>
      <c r="BH590" s="25"/>
      <c r="BI590" s="25"/>
      <c r="BU590" s="306"/>
    </row>
    <row r="591" spans="1:123" s="70" customFormat="1">
      <c r="A591" s="67"/>
      <c r="B591" s="79"/>
      <c r="C591" s="69"/>
      <c r="D591" s="69"/>
      <c r="E591" s="69"/>
      <c r="F591" s="69"/>
      <c r="H591" s="630"/>
      <c r="I591" s="630"/>
      <c r="J591" s="630"/>
      <c r="K591" s="630"/>
      <c r="L591" s="630"/>
      <c r="M591" s="630"/>
      <c r="N591" s="630"/>
      <c r="O591" s="630"/>
      <c r="P591" s="829"/>
      <c r="Q591" s="829"/>
      <c r="R591" s="829"/>
      <c r="S591" s="829"/>
      <c r="T591" s="829"/>
      <c r="U591" s="830"/>
      <c r="V591" s="830"/>
      <c r="W591" s="830"/>
      <c r="X591" s="830"/>
      <c r="Y591" s="830"/>
      <c r="Z591" s="830"/>
      <c r="AA591" s="830"/>
      <c r="AB591" s="830"/>
      <c r="AC591" s="830"/>
      <c r="AD591" s="830"/>
      <c r="AE591" s="830"/>
      <c r="AF591" s="830"/>
      <c r="AG591" s="830"/>
      <c r="AH591" s="830"/>
      <c r="AI591" s="830"/>
      <c r="AJ591" s="830"/>
      <c r="AK591" s="830"/>
      <c r="AL591" s="830"/>
      <c r="AM591" s="830"/>
      <c r="AN591" s="830"/>
      <c r="AO591" s="830"/>
      <c r="AP591" s="831"/>
      <c r="AQ591" s="830"/>
      <c r="AR591" s="830"/>
      <c r="AS591" s="830"/>
      <c r="AT591" s="830"/>
      <c r="AU591" s="830"/>
      <c r="AV591" s="830"/>
      <c r="AW591" s="830"/>
      <c r="AX591" s="830"/>
      <c r="AY591" s="830"/>
      <c r="AZ591" s="830"/>
      <c r="BA591" s="564"/>
      <c r="BB591" s="564"/>
      <c r="BC591" s="564"/>
      <c r="BD591" s="564"/>
      <c r="BE591" s="564"/>
      <c r="BF591" s="564"/>
      <c r="BG591" s="564"/>
      <c r="BH591" s="564"/>
      <c r="BI591" s="830"/>
      <c r="BJ591" s="251"/>
      <c r="BK591" s="251"/>
      <c r="BL591" s="251"/>
      <c r="BM591" s="251"/>
      <c r="BN591" s="251"/>
      <c r="BO591" s="251"/>
      <c r="BP591" s="251"/>
      <c r="BQ591" s="251"/>
      <c r="BR591" s="251"/>
      <c r="BS591" s="251"/>
      <c r="BU591" s="306"/>
    </row>
    <row r="592" spans="1:123">
      <c r="B592" s="212"/>
      <c r="T592" s="73"/>
      <c r="U592" s="73"/>
      <c r="V592" s="73"/>
      <c r="W592" s="73"/>
      <c r="X592" s="73"/>
      <c r="Y592" s="73"/>
      <c r="Z592" s="73"/>
      <c r="AA592" s="73"/>
      <c r="AB592" s="73"/>
      <c r="AC592" s="73"/>
      <c r="AD592" s="73"/>
      <c r="AE592" s="73"/>
      <c r="AF592" s="73"/>
      <c r="AG592" s="73"/>
      <c r="AH592" s="73"/>
      <c r="AI592" s="73"/>
      <c r="AJ592" s="73"/>
      <c r="AK592" s="73"/>
      <c r="AL592" s="73"/>
      <c r="AM592" s="73"/>
      <c r="AN592" s="73"/>
      <c r="AO592" s="73"/>
      <c r="AP592" s="490"/>
      <c r="AQ592" s="73"/>
      <c r="AR592" s="73"/>
      <c r="AS592" s="73"/>
      <c r="AT592" s="73"/>
      <c r="AU592" s="73"/>
      <c r="AV592" s="73"/>
      <c r="AW592" s="73"/>
      <c r="AX592" s="73"/>
      <c r="AY592" s="73"/>
      <c r="AZ592" s="73"/>
      <c r="BA592" s="73"/>
      <c r="BB592" s="73"/>
      <c r="BC592" s="73"/>
      <c r="BD592" s="73"/>
      <c r="BE592" s="73"/>
      <c r="BF592" s="73"/>
      <c r="BG592" s="73"/>
      <c r="BH592" s="73"/>
      <c r="BI592" s="73"/>
      <c r="BJ592" s="50"/>
      <c r="BK592" s="50"/>
      <c r="BL592" s="50"/>
      <c r="BM592" s="50"/>
      <c r="BN592" s="50"/>
      <c r="BO592" s="50"/>
      <c r="BP592" s="50"/>
      <c r="BQ592" s="50"/>
      <c r="BR592" s="50"/>
      <c r="BS592" s="50"/>
      <c r="BT592" s="50"/>
      <c r="BU592" s="517"/>
      <c r="BV592" s="50"/>
      <c r="BW592" s="50"/>
      <c r="BX592" s="50"/>
      <c r="BY592" s="50"/>
      <c r="BZ592" s="50"/>
      <c r="DS592" s="50"/>
    </row>
    <row r="593" spans="2:125">
      <c r="T593" s="73"/>
      <c r="U593" s="73"/>
      <c r="V593" s="73"/>
      <c r="W593" s="73"/>
      <c r="X593" s="73"/>
      <c r="Y593" s="73"/>
      <c r="Z593" s="73"/>
      <c r="AA593" s="73"/>
      <c r="AB593" s="73"/>
      <c r="AC593" s="73"/>
      <c r="AD593" s="73"/>
      <c r="AE593" s="73"/>
      <c r="AF593" s="73"/>
      <c r="AG593" s="73"/>
      <c r="AH593" s="73"/>
      <c r="AI593" s="73"/>
      <c r="AJ593" s="73"/>
      <c r="AK593" s="73"/>
      <c r="AL593" s="73"/>
      <c r="AM593" s="73"/>
      <c r="AN593" s="73"/>
      <c r="AO593" s="73"/>
      <c r="AP593" s="490"/>
      <c r="AQ593" s="73"/>
      <c r="AR593" s="73"/>
      <c r="AS593" s="73"/>
      <c r="AT593" s="73"/>
      <c r="AU593" s="73"/>
      <c r="AV593" s="73"/>
      <c r="AW593" s="73"/>
      <c r="AX593" s="73"/>
      <c r="AY593" s="73"/>
      <c r="AZ593" s="73"/>
      <c r="BA593" s="73"/>
      <c r="BB593" s="73"/>
      <c r="BC593" s="73"/>
      <c r="BD593" s="73"/>
      <c r="BE593" s="73"/>
      <c r="BF593" s="73"/>
      <c r="BG593" s="73"/>
      <c r="BH593" s="73"/>
      <c r="BI593" s="73"/>
      <c r="BJ593" s="50"/>
      <c r="BK593" s="50"/>
      <c r="BL593" s="50"/>
      <c r="BM593" s="50"/>
      <c r="BN593" s="50"/>
      <c r="BO593" s="50"/>
      <c r="BP593" s="50"/>
      <c r="BQ593" s="50"/>
      <c r="BR593" s="187"/>
      <c r="BS593" s="187"/>
      <c r="BT593" s="50"/>
      <c r="BU593" s="517"/>
      <c r="BV593" s="50"/>
      <c r="BW593" s="50"/>
      <c r="BX593" s="50"/>
      <c r="BY593" s="50"/>
      <c r="BZ593" s="50"/>
      <c r="DS593" s="50"/>
    </row>
    <row r="594" spans="2:125">
      <c r="T594" s="73"/>
      <c r="U594" s="73"/>
      <c r="V594" s="73"/>
      <c r="W594" s="73"/>
      <c r="X594" s="73"/>
      <c r="Y594" s="73"/>
      <c r="Z594" s="73"/>
      <c r="AA594" s="73"/>
      <c r="AB594" s="73"/>
      <c r="AC594" s="73"/>
      <c r="AD594" s="73"/>
      <c r="AE594" s="73"/>
      <c r="AF594" s="73"/>
      <c r="AG594" s="73"/>
      <c r="AH594" s="73"/>
      <c r="AI594" s="73"/>
      <c r="AJ594" s="73"/>
      <c r="AK594" s="73"/>
      <c r="AL594" s="73"/>
      <c r="AM594" s="73"/>
      <c r="AN594" s="73"/>
      <c r="AO594" s="73"/>
      <c r="AP594" s="490"/>
      <c r="AQ594" s="73"/>
      <c r="AR594" s="73"/>
      <c r="AS594" s="73"/>
      <c r="AT594" s="73"/>
      <c r="AU594" s="73"/>
      <c r="AV594" s="73"/>
      <c r="AW594" s="73"/>
      <c r="AX594" s="73"/>
      <c r="AY594" s="73"/>
      <c r="AZ594" s="73"/>
      <c r="BA594" s="73"/>
      <c r="BB594" s="73"/>
      <c r="BC594" s="73"/>
      <c r="BD594" s="73"/>
      <c r="BE594" s="73"/>
      <c r="BF594" s="73"/>
      <c r="BG594" s="73"/>
      <c r="BH594" s="73"/>
      <c r="BI594" s="73"/>
      <c r="BJ594" s="50"/>
      <c r="BK594" s="50"/>
      <c r="BL594" s="50"/>
      <c r="BM594" s="50"/>
      <c r="BN594" s="50"/>
      <c r="BO594" s="50"/>
      <c r="BP594" s="50"/>
      <c r="BQ594" s="50"/>
      <c r="BR594" s="187"/>
      <c r="BS594" s="187"/>
      <c r="BT594" s="50"/>
      <c r="BU594" s="517"/>
      <c r="BV594" s="50"/>
      <c r="BW594" s="50"/>
      <c r="BX594" s="50"/>
      <c r="BY594" s="50"/>
      <c r="BZ594" s="50"/>
      <c r="DS594" s="50"/>
    </row>
    <row r="595" spans="2:125">
      <c r="T595" s="73"/>
      <c r="U595" s="73"/>
      <c r="V595" s="73"/>
      <c r="W595" s="73"/>
      <c r="X595" s="73"/>
      <c r="Y595" s="73"/>
      <c r="Z595" s="73"/>
      <c r="AA595" s="73"/>
      <c r="AB595" s="73"/>
      <c r="AC595" s="73"/>
      <c r="AD595" s="73"/>
      <c r="AE595" s="73"/>
      <c r="AF595" s="73"/>
      <c r="AG595" s="73"/>
      <c r="AH595" s="73"/>
      <c r="AI595" s="73"/>
      <c r="AJ595" s="73"/>
      <c r="AK595" s="73"/>
      <c r="AL595" s="73"/>
      <c r="AM595" s="73"/>
      <c r="AN595" s="73"/>
      <c r="AO595" s="73"/>
      <c r="AP595" s="490"/>
      <c r="AQ595" s="73"/>
      <c r="AR595" s="73"/>
      <c r="AS595" s="73"/>
      <c r="AT595" s="73"/>
      <c r="AU595" s="73"/>
      <c r="AV595" s="73"/>
      <c r="AW595" s="73"/>
      <c r="AX595" s="73"/>
      <c r="AY595" s="73"/>
      <c r="AZ595" s="73"/>
      <c r="BA595" s="73"/>
      <c r="BB595" s="73"/>
      <c r="BC595" s="73"/>
      <c r="BD595" s="73"/>
      <c r="BE595" s="73"/>
      <c r="BF595" s="73"/>
      <c r="BG595" s="73"/>
      <c r="BH595" s="73"/>
      <c r="BI595" s="73"/>
      <c r="BJ595" s="50"/>
      <c r="BK595" s="50"/>
      <c r="BL595" s="50"/>
      <c r="BM595" s="50"/>
      <c r="BN595" s="50"/>
      <c r="BO595" s="50"/>
      <c r="BP595" s="50"/>
      <c r="BQ595" s="50"/>
      <c r="BR595" s="187"/>
      <c r="BS595" s="187"/>
      <c r="BT595" s="50"/>
      <c r="BU595" s="517"/>
      <c r="BV595" s="50"/>
      <c r="BW595" s="50"/>
      <c r="BX595" s="50"/>
      <c r="BY595" s="50"/>
      <c r="BZ595" s="50"/>
      <c r="DS595" s="50"/>
    </row>
    <row r="596" spans="2:125">
      <c r="T596" s="73"/>
      <c r="U596" s="73"/>
      <c r="V596" s="73"/>
      <c r="W596" s="73"/>
      <c r="X596" s="73"/>
      <c r="Y596" s="73"/>
      <c r="Z596" s="73"/>
      <c r="AA596" s="73"/>
      <c r="AB596" s="73"/>
      <c r="AC596" s="73"/>
      <c r="AD596" s="73"/>
      <c r="AE596" s="73"/>
      <c r="AF596" s="73"/>
      <c r="AG596" s="73"/>
      <c r="AH596" s="73"/>
      <c r="AI596" s="73"/>
      <c r="AJ596" s="73"/>
      <c r="AK596" s="73"/>
      <c r="AL596" s="73"/>
      <c r="AM596" s="73"/>
      <c r="AN596" s="73"/>
      <c r="AO596" s="73"/>
      <c r="AP596" s="490"/>
      <c r="AQ596" s="73"/>
      <c r="AR596" s="73"/>
      <c r="AS596" s="73"/>
      <c r="AT596" s="73"/>
      <c r="AU596" s="73"/>
      <c r="AV596" s="73"/>
      <c r="AW596" s="73"/>
      <c r="AX596" s="73"/>
      <c r="AY596" s="73"/>
      <c r="AZ596" s="73"/>
      <c r="BA596" s="73"/>
      <c r="BB596" s="73"/>
      <c r="BC596" s="73"/>
      <c r="BD596" s="73"/>
      <c r="BE596" s="73"/>
      <c r="BF596" s="73"/>
      <c r="BG596" s="73"/>
      <c r="BH596" s="73"/>
      <c r="BI596" s="73"/>
      <c r="BJ596" s="50"/>
      <c r="BK596" s="50"/>
      <c r="BL596" s="50"/>
      <c r="BM596" s="50"/>
      <c r="BN596" s="50"/>
      <c r="BO596" s="50"/>
      <c r="BP596" s="50"/>
      <c r="BQ596" s="50"/>
      <c r="BR596" s="187"/>
      <c r="BS596" s="187"/>
      <c r="BT596" s="50"/>
      <c r="BU596" s="517"/>
      <c r="BV596" s="50"/>
      <c r="BW596" s="50"/>
      <c r="BX596" s="50"/>
      <c r="BY596" s="50"/>
      <c r="BZ596" s="50"/>
      <c r="DS596" s="50"/>
    </row>
    <row r="597" spans="2:125">
      <c r="B597" s="28"/>
      <c r="T597" s="73"/>
      <c r="U597" s="73"/>
      <c r="V597" s="73"/>
      <c r="W597" s="73"/>
      <c r="X597" s="73"/>
      <c r="Y597" s="73"/>
      <c r="Z597" s="73"/>
      <c r="AA597" s="73"/>
      <c r="AB597" s="73"/>
      <c r="AC597" s="73"/>
      <c r="AD597" s="73"/>
      <c r="AE597" s="73"/>
      <c r="AF597" s="73"/>
      <c r="AG597" s="73"/>
      <c r="AH597" s="73"/>
      <c r="AI597" s="73"/>
      <c r="AJ597" s="73"/>
      <c r="AK597" s="73"/>
      <c r="AL597" s="73"/>
      <c r="AM597" s="73"/>
      <c r="AN597" s="73"/>
      <c r="AO597" s="73"/>
      <c r="AP597" s="490"/>
      <c r="AQ597" s="73"/>
      <c r="AR597" s="73"/>
      <c r="AS597" s="73"/>
      <c r="AT597" s="73"/>
      <c r="AU597" s="73"/>
      <c r="AV597" s="73"/>
      <c r="AW597" s="73"/>
      <c r="AX597" s="73"/>
      <c r="AY597" s="73"/>
      <c r="AZ597" s="73"/>
      <c r="BA597" s="73"/>
      <c r="BB597" s="73"/>
      <c r="BC597" s="73"/>
      <c r="BD597" s="73"/>
      <c r="BE597" s="73"/>
      <c r="BF597" s="73"/>
      <c r="BG597" s="73"/>
      <c r="BH597" s="73"/>
      <c r="BI597" s="73"/>
      <c r="BJ597" s="50"/>
      <c r="BK597" s="50"/>
      <c r="BL597" s="50"/>
      <c r="BM597" s="50"/>
      <c r="BN597" s="50"/>
      <c r="BO597" s="50"/>
      <c r="BP597" s="50"/>
      <c r="BQ597" s="50"/>
      <c r="BR597" s="50"/>
      <c r="BS597" s="50"/>
      <c r="BT597" s="50"/>
      <c r="BU597" s="517"/>
      <c r="BV597" s="50"/>
      <c r="BW597" s="50"/>
      <c r="BX597" s="50"/>
      <c r="BY597" s="50"/>
      <c r="BZ597" s="50"/>
      <c r="DS597" s="50"/>
    </row>
    <row r="598" spans="2:125">
      <c r="B598" s="28"/>
      <c r="T598" s="73"/>
      <c r="U598" s="73"/>
      <c r="V598" s="73"/>
      <c r="W598" s="73"/>
      <c r="X598" s="73"/>
      <c r="Y598" s="73"/>
      <c r="Z598" s="73"/>
      <c r="AA598" s="73"/>
      <c r="AB598" s="73"/>
      <c r="AC598" s="73"/>
      <c r="AD598" s="73"/>
      <c r="AE598" s="73"/>
      <c r="AF598" s="73"/>
      <c r="AG598" s="73"/>
      <c r="AH598" s="73"/>
      <c r="AI598" s="73"/>
      <c r="AJ598" s="73"/>
      <c r="AK598" s="73"/>
      <c r="AL598" s="73"/>
      <c r="AM598" s="73"/>
      <c r="AN598" s="73"/>
      <c r="AO598" s="73"/>
      <c r="AP598" s="490"/>
      <c r="AQ598" s="73"/>
      <c r="AR598" s="73"/>
      <c r="AS598" s="73"/>
      <c r="AT598" s="73"/>
      <c r="AU598" s="73"/>
      <c r="AV598" s="73"/>
      <c r="AW598" s="73"/>
      <c r="AX598" s="73"/>
      <c r="AY598" s="73"/>
      <c r="AZ598" s="73"/>
      <c r="BA598" s="73"/>
      <c r="BB598" s="73"/>
      <c r="BC598" s="73"/>
      <c r="BD598" s="73"/>
      <c r="BE598" s="73"/>
      <c r="BF598" s="73"/>
      <c r="BG598" s="73"/>
      <c r="BH598" s="73"/>
      <c r="BI598" s="73"/>
      <c r="BJ598" s="50"/>
      <c r="BK598" s="50"/>
      <c r="BL598" s="50"/>
      <c r="BM598" s="50"/>
      <c r="BN598" s="50"/>
      <c r="BO598" s="50"/>
      <c r="BP598" s="50"/>
      <c r="BQ598" s="50"/>
      <c r="BR598" s="50"/>
      <c r="BS598" s="50"/>
      <c r="BT598" s="50"/>
      <c r="BU598" s="517"/>
      <c r="BV598" s="50"/>
      <c r="BW598" s="50"/>
      <c r="BX598" s="50"/>
      <c r="BY598" s="50"/>
      <c r="BZ598" s="50"/>
      <c r="DS598" s="50"/>
    </row>
    <row r="599" spans="2:125">
      <c r="T599" s="73"/>
      <c r="U599" s="73"/>
      <c r="V599" s="73"/>
      <c r="W599" s="73"/>
      <c r="X599" s="73"/>
      <c r="Y599" s="73"/>
      <c r="Z599" s="73"/>
      <c r="AA599" s="73"/>
      <c r="AB599" s="73"/>
      <c r="AC599" s="73"/>
      <c r="AD599" s="73"/>
      <c r="AE599" s="73"/>
      <c r="AF599" s="73"/>
      <c r="AG599" s="73"/>
      <c r="AH599" s="73"/>
      <c r="AI599" s="73"/>
      <c r="AJ599" s="73"/>
      <c r="AK599" s="73"/>
      <c r="AL599" s="73"/>
      <c r="AM599" s="73"/>
      <c r="AN599" s="73"/>
      <c r="AO599" s="73"/>
      <c r="AP599" s="490"/>
      <c r="AQ599" s="73"/>
      <c r="AR599" s="73"/>
      <c r="AS599" s="73"/>
      <c r="AT599" s="73"/>
      <c r="AU599" s="73"/>
      <c r="AV599" s="73"/>
      <c r="AW599" s="73"/>
      <c r="AX599" s="73"/>
      <c r="AY599" s="73"/>
      <c r="AZ599" s="73"/>
      <c r="BA599" s="73"/>
      <c r="BB599" s="73"/>
      <c r="BC599" s="73"/>
      <c r="BD599" s="73"/>
      <c r="BE599" s="73"/>
      <c r="BF599" s="73"/>
      <c r="BG599" s="73"/>
      <c r="BH599" s="73"/>
      <c r="BI599" s="73"/>
      <c r="BJ599" s="50"/>
      <c r="BK599" s="50"/>
      <c r="BL599" s="50"/>
      <c r="BM599" s="50"/>
      <c r="BN599" s="50"/>
      <c r="BO599" s="50"/>
      <c r="BP599" s="50"/>
      <c r="BQ599" s="50"/>
      <c r="BR599" s="22"/>
      <c r="BS599" s="22"/>
      <c r="BT599" s="50"/>
      <c r="BU599" s="517"/>
      <c r="BV599" s="50"/>
      <c r="BW599" s="50"/>
      <c r="BX599" s="50"/>
      <c r="BY599" s="50"/>
      <c r="BZ599" s="50"/>
      <c r="DS599" s="50"/>
    </row>
    <row r="600" spans="2:125">
      <c r="T600" s="73"/>
      <c r="U600" s="73"/>
      <c r="V600" s="73"/>
      <c r="W600" s="73"/>
      <c r="X600" s="73"/>
      <c r="Y600" s="73"/>
      <c r="Z600" s="73"/>
      <c r="AA600" s="73"/>
      <c r="AB600" s="73"/>
      <c r="AC600" s="73"/>
      <c r="AD600" s="73"/>
      <c r="AE600" s="73"/>
      <c r="AF600" s="73"/>
      <c r="AG600" s="73"/>
      <c r="AH600" s="73"/>
      <c r="AI600" s="73"/>
      <c r="AJ600" s="73"/>
      <c r="AK600" s="73"/>
      <c r="AL600" s="73"/>
      <c r="AM600" s="73"/>
      <c r="AN600" s="73"/>
      <c r="AO600" s="73"/>
      <c r="AP600" s="490"/>
      <c r="AQ600" s="73"/>
      <c r="AR600" s="73"/>
      <c r="AS600" s="73"/>
      <c r="AT600" s="73"/>
      <c r="AU600" s="73"/>
      <c r="AV600" s="73"/>
      <c r="AW600" s="73"/>
      <c r="AX600" s="73"/>
      <c r="AY600" s="73"/>
      <c r="AZ600" s="73"/>
      <c r="BA600" s="73"/>
      <c r="BB600" s="73"/>
      <c r="BC600" s="73"/>
      <c r="BD600" s="73"/>
      <c r="BE600" s="73"/>
      <c r="BF600" s="73"/>
      <c r="BG600" s="73"/>
      <c r="BH600" s="73"/>
      <c r="BI600" s="73"/>
      <c r="BJ600" s="50"/>
      <c r="BK600" s="50"/>
      <c r="BL600" s="50"/>
      <c r="BM600" s="50"/>
      <c r="BN600" s="50"/>
      <c r="BO600" s="50"/>
      <c r="BP600" s="50"/>
      <c r="BQ600" s="50"/>
      <c r="BR600" s="50"/>
      <c r="BS600" s="50"/>
      <c r="BT600" s="50"/>
      <c r="BU600" s="517"/>
      <c r="BV600" s="50"/>
      <c r="BW600" s="50"/>
      <c r="BX600" s="50"/>
      <c r="BY600" s="50"/>
      <c r="BZ600" s="50"/>
      <c r="DS600" s="50"/>
    </row>
    <row r="601" spans="2:125">
      <c r="T601" s="73"/>
      <c r="U601" s="73"/>
      <c r="V601" s="73"/>
      <c r="W601" s="73"/>
      <c r="X601" s="73"/>
      <c r="Y601" s="73"/>
      <c r="Z601" s="73"/>
      <c r="AA601" s="73"/>
      <c r="AB601" s="73"/>
      <c r="AC601" s="73"/>
      <c r="AD601" s="73"/>
      <c r="AE601" s="73"/>
      <c r="AF601" s="73"/>
      <c r="AG601" s="73"/>
      <c r="AH601" s="73"/>
      <c r="AI601" s="73"/>
      <c r="AJ601" s="73"/>
      <c r="AK601" s="73"/>
      <c r="AL601" s="73"/>
      <c r="AM601" s="73"/>
      <c r="AN601" s="73"/>
      <c r="AO601" s="73"/>
      <c r="AP601" s="490"/>
      <c r="AQ601" s="73"/>
      <c r="AR601" s="73"/>
      <c r="AS601" s="73"/>
      <c r="AT601" s="73"/>
      <c r="AU601" s="73"/>
      <c r="AV601" s="73"/>
      <c r="AW601" s="73"/>
      <c r="AX601" s="73"/>
      <c r="AY601" s="73"/>
      <c r="AZ601" s="73"/>
      <c r="BA601" s="73"/>
      <c r="BB601" s="73"/>
      <c r="BC601" s="73"/>
      <c r="BD601" s="73"/>
      <c r="BE601" s="73"/>
      <c r="BF601" s="73"/>
      <c r="BG601" s="73"/>
      <c r="BH601" s="73"/>
      <c r="BI601" s="73"/>
      <c r="BJ601" s="50"/>
      <c r="BK601" s="50"/>
      <c r="BL601" s="50"/>
      <c r="BM601" s="50"/>
      <c r="BN601" s="50"/>
      <c r="BO601" s="50"/>
      <c r="BP601" s="50"/>
      <c r="BQ601" s="50"/>
      <c r="BR601" s="187"/>
      <c r="BS601" s="187"/>
      <c r="BT601" s="50"/>
      <c r="BU601" s="517"/>
      <c r="BV601" s="50"/>
      <c r="BW601" s="50"/>
      <c r="BX601" s="50"/>
      <c r="BY601" s="50"/>
      <c r="BZ601" s="50"/>
      <c r="DS601" s="50"/>
    </row>
    <row r="602" spans="2:125">
      <c r="T602" s="73"/>
      <c r="U602" s="73"/>
      <c r="V602" s="73"/>
      <c r="W602" s="73"/>
      <c r="X602" s="73"/>
      <c r="Y602" s="73"/>
      <c r="Z602" s="73"/>
      <c r="AA602" s="73"/>
      <c r="AB602" s="73"/>
      <c r="AC602" s="73"/>
      <c r="AD602" s="73"/>
      <c r="AE602" s="73"/>
      <c r="AF602" s="73"/>
      <c r="AG602" s="73"/>
      <c r="AH602" s="73"/>
      <c r="AI602" s="73"/>
      <c r="AJ602" s="73"/>
      <c r="AK602" s="73"/>
      <c r="AL602" s="73"/>
      <c r="AM602" s="73"/>
      <c r="AN602" s="73"/>
      <c r="AO602" s="73"/>
      <c r="AP602" s="490"/>
      <c r="AQ602" s="73"/>
      <c r="AR602" s="73"/>
      <c r="AS602" s="73"/>
      <c r="AT602" s="73"/>
      <c r="AU602" s="73"/>
      <c r="AV602" s="73"/>
      <c r="AW602" s="73"/>
      <c r="AX602" s="73"/>
      <c r="AY602" s="73"/>
      <c r="AZ602" s="73"/>
      <c r="BA602" s="73"/>
      <c r="BB602" s="73"/>
      <c r="BC602" s="73"/>
      <c r="BD602" s="73"/>
      <c r="BE602" s="73"/>
      <c r="BF602" s="73"/>
      <c r="BG602" s="73"/>
      <c r="BH602" s="73"/>
      <c r="BI602" s="73"/>
      <c r="BJ602" s="50"/>
      <c r="BK602" s="50"/>
      <c r="BL602" s="50"/>
      <c r="BM602" s="50"/>
      <c r="BN602" s="50"/>
      <c r="BO602" s="50"/>
      <c r="BP602" s="50"/>
      <c r="BQ602" s="50"/>
      <c r="BR602" s="50"/>
      <c r="BS602" s="50"/>
      <c r="BT602" s="50"/>
      <c r="BU602" s="517"/>
      <c r="BV602" s="50"/>
      <c r="BW602" s="50"/>
      <c r="BX602" s="50"/>
      <c r="BY602" s="50"/>
      <c r="BZ602" s="50"/>
      <c r="DS602" s="50"/>
      <c r="DU602" s="23"/>
    </row>
    <row r="603" spans="2:125">
      <c r="T603" s="73"/>
      <c r="U603" s="73"/>
      <c r="V603" s="73"/>
      <c r="W603" s="73"/>
      <c r="X603" s="73"/>
      <c r="Y603" s="73"/>
      <c r="Z603" s="73"/>
      <c r="AA603" s="73"/>
      <c r="AB603" s="73"/>
      <c r="AC603" s="73"/>
      <c r="AD603" s="73"/>
      <c r="AE603" s="73"/>
      <c r="AF603" s="73"/>
      <c r="AG603" s="73"/>
      <c r="AH603" s="73"/>
      <c r="AI603" s="73"/>
      <c r="AJ603" s="73"/>
      <c r="AK603" s="73"/>
      <c r="AL603" s="73"/>
      <c r="AM603" s="73"/>
      <c r="AN603" s="73"/>
      <c r="AO603" s="73"/>
      <c r="AP603" s="490"/>
      <c r="AQ603" s="73"/>
      <c r="AR603" s="73"/>
      <c r="AS603" s="73"/>
      <c r="AT603" s="73"/>
      <c r="AU603" s="73"/>
      <c r="AV603" s="73"/>
      <c r="AW603" s="73"/>
      <c r="AX603" s="73"/>
      <c r="AY603" s="73"/>
      <c r="AZ603" s="73"/>
      <c r="BA603" s="73"/>
      <c r="BB603" s="73"/>
      <c r="BC603" s="73"/>
      <c r="BD603" s="73"/>
      <c r="BE603" s="73"/>
      <c r="BF603" s="73"/>
      <c r="BG603" s="73"/>
      <c r="BH603" s="73"/>
      <c r="BI603" s="73"/>
      <c r="BJ603" s="50"/>
      <c r="BK603" s="50"/>
      <c r="BL603" s="50"/>
      <c r="BM603" s="50"/>
      <c r="BN603" s="50"/>
      <c r="BO603" s="50"/>
      <c r="BP603" s="50"/>
      <c r="BQ603" s="50"/>
      <c r="BR603" s="187"/>
      <c r="BS603" s="187"/>
      <c r="BT603" s="50"/>
      <c r="BU603" s="517"/>
      <c r="BV603" s="50"/>
      <c r="BW603" s="50"/>
      <c r="BX603" s="50"/>
      <c r="BY603" s="50"/>
      <c r="BZ603" s="50"/>
      <c r="DS603" s="50"/>
    </row>
    <row r="604" spans="2:125">
      <c r="T604" s="73"/>
      <c r="U604" s="73"/>
      <c r="V604" s="73"/>
      <c r="W604" s="73"/>
      <c r="X604" s="73"/>
      <c r="Y604" s="73"/>
      <c r="Z604" s="73"/>
      <c r="AA604" s="73"/>
      <c r="AB604" s="73"/>
      <c r="AC604" s="73"/>
      <c r="AD604" s="73"/>
      <c r="AE604" s="73"/>
      <c r="AF604" s="73"/>
      <c r="AG604" s="73"/>
      <c r="AH604" s="73"/>
      <c r="AI604" s="73"/>
      <c r="AJ604" s="73"/>
      <c r="AK604" s="73"/>
      <c r="AL604" s="73"/>
      <c r="AM604" s="73"/>
      <c r="AN604" s="73"/>
      <c r="AO604" s="73"/>
      <c r="AP604" s="490"/>
      <c r="AQ604" s="73"/>
      <c r="AR604" s="73"/>
      <c r="AS604" s="73"/>
      <c r="AT604" s="73"/>
      <c r="AU604" s="73"/>
      <c r="AV604" s="73"/>
      <c r="AW604" s="73"/>
      <c r="AX604" s="73"/>
      <c r="AY604" s="73"/>
      <c r="AZ604" s="73"/>
      <c r="BA604" s="73"/>
      <c r="BB604" s="73"/>
      <c r="BC604" s="73"/>
      <c r="BD604" s="73"/>
      <c r="BE604" s="73"/>
      <c r="BF604" s="73"/>
      <c r="BG604" s="73"/>
      <c r="BH604" s="73"/>
      <c r="BI604" s="73"/>
      <c r="BJ604" s="50"/>
      <c r="BK604" s="50"/>
      <c r="BL604" s="50"/>
      <c r="BM604" s="50"/>
      <c r="BN604" s="50"/>
      <c r="BO604" s="50"/>
      <c r="BP604" s="50"/>
      <c r="BQ604" s="50"/>
      <c r="BR604" s="50"/>
      <c r="BS604" s="50"/>
      <c r="BT604" s="50"/>
      <c r="BU604" s="517"/>
      <c r="BV604" s="50"/>
      <c r="BW604" s="50"/>
      <c r="BX604" s="50"/>
      <c r="BY604" s="50"/>
      <c r="BZ604" s="50"/>
      <c r="DS604" s="50"/>
    </row>
    <row r="605" spans="2:125">
      <c r="T605" s="73"/>
      <c r="U605" s="73"/>
      <c r="V605" s="73"/>
      <c r="W605" s="73"/>
      <c r="X605" s="73"/>
      <c r="Y605" s="73"/>
      <c r="Z605" s="73"/>
      <c r="AA605" s="73"/>
      <c r="AB605" s="73"/>
      <c r="AC605" s="73"/>
      <c r="AD605" s="73"/>
      <c r="AE605" s="73"/>
      <c r="AF605" s="73"/>
      <c r="AG605" s="73"/>
      <c r="AH605" s="73"/>
      <c r="AI605" s="73"/>
      <c r="AJ605" s="73"/>
      <c r="AK605" s="73"/>
      <c r="AL605" s="73"/>
      <c r="AM605" s="73"/>
      <c r="AN605" s="73"/>
      <c r="AO605" s="73"/>
      <c r="AP605" s="490"/>
      <c r="AQ605" s="73"/>
      <c r="AR605" s="73"/>
      <c r="AS605" s="73"/>
      <c r="AT605" s="73"/>
      <c r="AU605" s="73"/>
      <c r="AV605" s="73"/>
      <c r="AW605" s="73"/>
      <c r="AX605" s="73"/>
      <c r="AY605" s="73"/>
      <c r="AZ605" s="73"/>
      <c r="BA605" s="73"/>
      <c r="BB605" s="73"/>
      <c r="BC605" s="73"/>
      <c r="BD605" s="73"/>
      <c r="BE605" s="73"/>
      <c r="BF605" s="73"/>
      <c r="BG605" s="73"/>
      <c r="BH605" s="73"/>
      <c r="BI605" s="73"/>
      <c r="BJ605" s="50"/>
      <c r="BK605" s="50"/>
      <c r="BL605" s="50"/>
      <c r="BM605" s="50"/>
      <c r="BN605" s="50"/>
      <c r="BO605" s="50"/>
      <c r="BP605" s="50"/>
      <c r="BQ605" s="50"/>
      <c r="BR605" s="50"/>
      <c r="BS605" s="50"/>
      <c r="BT605" s="50"/>
      <c r="BU605" s="517"/>
      <c r="BV605" s="50"/>
      <c r="BW605" s="50"/>
      <c r="BX605" s="50"/>
      <c r="BY605" s="50"/>
      <c r="BZ605" s="50"/>
      <c r="DS605" s="50"/>
    </row>
    <row r="606" spans="2:125">
      <c r="T606" s="73"/>
      <c r="U606" s="73"/>
      <c r="V606" s="73"/>
      <c r="W606" s="73"/>
      <c r="X606" s="73"/>
      <c r="Y606" s="73"/>
      <c r="Z606" s="73"/>
      <c r="AA606" s="73"/>
      <c r="AB606" s="73"/>
      <c r="AC606" s="73"/>
      <c r="AD606" s="73"/>
      <c r="AE606" s="73"/>
      <c r="AF606" s="73"/>
      <c r="AG606" s="73"/>
      <c r="AH606" s="73"/>
      <c r="AI606" s="73"/>
      <c r="AJ606" s="73"/>
      <c r="AK606" s="73"/>
      <c r="AL606" s="73"/>
      <c r="AM606" s="73"/>
      <c r="AN606" s="73"/>
      <c r="AO606" s="73"/>
      <c r="AP606" s="490"/>
      <c r="AQ606" s="73"/>
      <c r="AR606" s="73"/>
      <c r="AS606" s="73"/>
      <c r="AT606" s="73"/>
      <c r="AU606" s="73"/>
      <c r="AV606" s="73"/>
      <c r="AW606" s="73"/>
      <c r="AX606" s="73"/>
      <c r="AY606" s="73"/>
      <c r="AZ606" s="73"/>
      <c r="BA606" s="73"/>
      <c r="BB606" s="73"/>
      <c r="BC606" s="73"/>
      <c r="BD606" s="73"/>
      <c r="BE606" s="73"/>
      <c r="BF606" s="73"/>
      <c r="BG606" s="73"/>
      <c r="BH606" s="73"/>
      <c r="BI606" s="73"/>
      <c r="BJ606" s="50"/>
      <c r="BK606" s="50"/>
      <c r="BL606" s="50"/>
      <c r="BM606" s="50"/>
      <c r="BN606" s="50"/>
      <c r="BO606" s="50"/>
      <c r="BP606" s="50"/>
      <c r="BQ606" s="50"/>
      <c r="BR606" s="187"/>
      <c r="BS606" s="187"/>
      <c r="BT606" s="50"/>
      <c r="BU606" s="517"/>
      <c r="BV606" s="50"/>
      <c r="BW606" s="50"/>
      <c r="BX606" s="50"/>
      <c r="BY606" s="50"/>
      <c r="BZ606" s="50"/>
      <c r="DS606" s="50"/>
    </row>
    <row r="607" spans="2:125">
      <c r="T607" s="73"/>
      <c r="U607" s="73"/>
      <c r="V607" s="73"/>
      <c r="W607" s="73"/>
      <c r="X607" s="73"/>
      <c r="Y607" s="73"/>
      <c r="Z607" s="73"/>
      <c r="AA607" s="73"/>
      <c r="AB607" s="73"/>
      <c r="AC607" s="73"/>
      <c r="AD607" s="73"/>
      <c r="AE607" s="73"/>
      <c r="AF607" s="73"/>
      <c r="AG607" s="73"/>
      <c r="AH607" s="73"/>
      <c r="AI607" s="73"/>
      <c r="AJ607" s="73"/>
      <c r="AK607" s="73"/>
      <c r="AL607" s="73"/>
      <c r="AM607" s="73"/>
      <c r="AN607" s="73"/>
      <c r="AO607" s="73"/>
      <c r="AP607" s="490"/>
      <c r="AQ607" s="73"/>
      <c r="AR607" s="73"/>
      <c r="AS607" s="73"/>
      <c r="AT607" s="73"/>
      <c r="AU607" s="73"/>
      <c r="AV607" s="73"/>
      <c r="AW607" s="73"/>
      <c r="AX607" s="73"/>
      <c r="AY607" s="73"/>
      <c r="AZ607" s="73"/>
      <c r="BA607" s="73"/>
      <c r="BB607" s="73"/>
      <c r="BC607" s="73"/>
      <c r="BD607" s="73"/>
      <c r="BE607" s="73"/>
      <c r="BF607" s="73"/>
      <c r="BG607" s="73"/>
      <c r="BH607" s="73"/>
      <c r="BI607" s="73"/>
      <c r="BJ607" s="50"/>
      <c r="BK607" s="50"/>
      <c r="BL607" s="50"/>
      <c r="BM607" s="50"/>
      <c r="BN607" s="50"/>
      <c r="BO607" s="50"/>
      <c r="BP607" s="50"/>
      <c r="BQ607" s="50"/>
      <c r="BR607" s="50"/>
      <c r="BS607" s="50"/>
      <c r="BT607" s="50"/>
      <c r="BU607" s="517"/>
      <c r="BV607" s="50"/>
      <c r="BW607" s="50"/>
      <c r="BX607" s="50"/>
      <c r="BY607" s="50"/>
      <c r="BZ607" s="50"/>
      <c r="DS607" s="50"/>
    </row>
    <row r="608" spans="2:125">
      <c r="B608" s="212"/>
      <c r="T608" s="73"/>
      <c r="U608" s="73"/>
      <c r="V608" s="73"/>
      <c r="W608" s="73"/>
      <c r="X608" s="73"/>
      <c r="Y608" s="73"/>
      <c r="Z608" s="73"/>
      <c r="AA608" s="73"/>
      <c r="AB608" s="73"/>
      <c r="AC608" s="73"/>
      <c r="AD608" s="73"/>
      <c r="AE608" s="73"/>
      <c r="AF608" s="73"/>
      <c r="AG608" s="73"/>
      <c r="AH608" s="73"/>
      <c r="AI608" s="73"/>
      <c r="AJ608" s="73"/>
      <c r="AK608" s="73"/>
      <c r="AL608" s="73"/>
      <c r="AM608" s="73"/>
      <c r="AN608" s="73"/>
      <c r="AO608" s="73"/>
      <c r="AP608" s="490"/>
      <c r="AQ608" s="73"/>
      <c r="AR608" s="73"/>
      <c r="AS608" s="73"/>
      <c r="AT608" s="73"/>
      <c r="AU608" s="73"/>
      <c r="AV608" s="73"/>
      <c r="AW608" s="73"/>
      <c r="AX608" s="73"/>
      <c r="AY608" s="73"/>
      <c r="AZ608" s="73"/>
      <c r="BA608" s="73"/>
      <c r="BB608" s="73"/>
      <c r="BC608" s="73"/>
      <c r="BD608" s="73"/>
      <c r="BE608" s="73"/>
      <c r="BF608" s="73"/>
      <c r="BG608" s="73"/>
      <c r="BH608" s="73"/>
      <c r="BI608" s="73"/>
      <c r="BJ608" s="50"/>
      <c r="BK608" s="50"/>
      <c r="BL608" s="50"/>
      <c r="BM608" s="50"/>
      <c r="BN608" s="50"/>
      <c r="BO608" s="50"/>
      <c r="BP608" s="50"/>
      <c r="BQ608" s="50"/>
      <c r="BR608" s="50"/>
      <c r="BS608" s="50"/>
      <c r="BT608" s="50"/>
      <c r="BU608" s="517"/>
      <c r="BV608" s="50"/>
      <c r="BW608" s="50"/>
      <c r="BX608" s="50"/>
      <c r="BY608" s="50"/>
      <c r="BZ608" s="50"/>
      <c r="DS608" s="50"/>
    </row>
    <row r="609" spans="2:123">
      <c r="T609" s="73"/>
      <c r="U609" s="73"/>
      <c r="V609" s="73"/>
      <c r="W609" s="73"/>
      <c r="X609" s="73"/>
      <c r="Y609" s="73"/>
      <c r="Z609" s="73"/>
      <c r="AA609" s="73"/>
      <c r="AB609" s="73"/>
      <c r="AC609" s="73"/>
      <c r="AD609" s="73"/>
      <c r="AE609" s="73"/>
      <c r="AF609" s="73"/>
      <c r="AG609" s="73"/>
      <c r="AH609" s="73"/>
      <c r="AI609" s="73"/>
      <c r="AJ609" s="73"/>
      <c r="AK609" s="73"/>
      <c r="AL609" s="73"/>
      <c r="AM609" s="73"/>
      <c r="AN609" s="73"/>
      <c r="AO609" s="73"/>
      <c r="AP609" s="490"/>
      <c r="AQ609" s="73"/>
      <c r="AR609" s="73"/>
      <c r="AS609" s="73"/>
      <c r="AT609" s="73"/>
      <c r="AU609" s="73"/>
      <c r="AV609" s="73"/>
      <c r="AW609" s="73"/>
      <c r="AX609" s="73"/>
      <c r="AY609" s="73"/>
      <c r="AZ609" s="73"/>
      <c r="BA609" s="73"/>
      <c r="BB609" s="73"/>
      <c r="BC609" s="73"/>
      <c r="BD609" s="73"/>
      <c r="BE609" s="73"/>
      <c r="BF609" s="73"/>
      <c r="BG609" s="73"/>
      <c r="BH609" s="73"/>
      <c r="BI609" s="73"/>
      <c r="BJ609" s="50"/>
      <c r="BK609" s="50"/>
      <c r="BL609" s="50"/>
      <c r="BM609" s="50"/>
      <c r="BN609" s="50"/>
      <c r="BO609" s="50"/>
      <c r="BP609" s="50"/>
      <c r="BQ609" s="50"/>
      <c r="BR609" s="187"/>
      <c r="BS609" s="187"/>
      <c r="BT609" s="50"/>
      <c r="BU609" s="517"/>
      <c r="BV609" s="50"/>
      <c r="BW609" s="50"/>
      <c r="BX609" s="50"/>
      <c r="BY609" s="50"/>
      <c r="BZ609" s="50"/>
      <c r="DS609" s="50"/>
    </row>
    <row r="610" spans="2:123">
      <c r="T610" s="73"/>
      <c r="U610" s="73"/>
      <c r="V610" s="73"/>
      <c r="W610" s="73"/>
      <c r="X610" s="73"/>
      <c r="Y610" s="73"/>
      <c r="Z610" s="73"/>
      <c r="AA610" s="73"/>
      <c r="AB610" s="73"/>
      <c r="AC610" s="73"/>
      <c r="AD610" s="73"/>
      <c r="AE610" s="73"/>
      <c r="AF610" s="73"/>
      <c r="AG610" s="73"/>
      <c r="AH610" s="73"/>
      <c r="AI610" s="73"/>
      <c r="AJ610" s="73"/>
      <c r="AK610" s="73"/>
      <c r="AL610" s="73"/>
      <c r="AM610" s="73"/>
      <c r="AN610" s="73"/>
      <c r="AO610" s="73"/>
      <c r="AP610" s="490"/>
      <c r="AQ610" s="73"/>
      <c r="AR610" s="73"/>
      <c r="AS610" s="73"/>
      <c r="AT610" s="73"/>
      <c r="AU610" s="73"/>
      <c r="AV610" s="73"/>
      <c r="AW610" s="73"/>
      <c r="AX610" s="73"/>
      <c r="AY610" s="73"/>
      <c r="AZ610" s="73"/>
      <c r="BA610" s="73"/>
      <c r="BB610" s="73"/>
      <c r="BC610" s="73"/>
      <c r="BD610" s="73"/>
      <c r="BE610" s="73"/>
      <c r="BF610" s="73"/>
      <c r="BG610" s="73"/>
      <c r="BH610" s="73"/>
      <c r="BI610" s="73"/>
      <c r="BJ610" s="50"/>
      <c r="BK610" s="50"/>
      <c r="BL610" s="50"/>
      <c r="BM610" s="50"/>
      <c r="BN610" s="50"/>
      <c r="BO610" s="50"/>
      <c r="BP610" s="50"/>
      <c r="BQ610" s="50"/>
      <c r="BR610" s="187"/>
      <c r="BS610" s="187"/>
      <c r="BT610" s="50"/>
      <c r="BU610" s="517"/>
      <c r="BV610" s="50"/>
      <c r="BW610" s="50"/>
      <c r="BX610" s="50"/>
      <c r="BY610" s="50"/>
      <c r="BZ610" s="50"/>
      <c r="DS610" s="50"/>
    </row>
    <row r="611" spans="2:123">
      <c r="T611" s="73"/>
      <c r="U611" s="73"/>
      <c r="V611" s="73"/>
      <c r="W611" s="73"/>
      <c r="X611" s="73"/>
      <c r="Y611" s="73"/>
      <c r="Z611" s="73"/>
      <c r="AA611" s="73"/>
      <c r="AB611" s="73"/>
      <c r="AC611" s="73"/>
      <c r="AD611" s="73"/>
      <c r="AE611" s="73"/>
      <c r="AF611" s="73"/>
      <c r="AG611" s="73"/>
      <c r="AH611" s="73"/>
      <c r="AI611" s="73"/>
      <c r="AJ611" s="73"/>
      <c r="AK611" s="73"/>
      <c r="AL611" s="73"/>
      <c r="AM611" s="73"/>
      <c r="AN611" s="73"/>
      <c r="AO611" s="73"/>
      <c r="AP611" s="490"/>
      <c r="AQ611" s="73"/>
      <c r="AR611" s="73"/>
      <c r="AS611" s="73"/>
      <c r="AT611" s="73"/>
      <c r="AU611" s="73"/>
      <c r="AV611" s="73"/>
      <c r="AW611" s="73"/>
      <c r="AX611" s="73"/>
      <c r="AY611" s="73"/>
      <c r="AZ611" s="73"/>
      <c r="BA611" s="73"/>
      <c r="BB611" s="73"/>
      <c r="BC611" s="73"/>
      <c r="BD611" s="73"/>
      <c r="BE611" s="73"/>
      <c r="BF611" s="73"/>
      <c r="BG611" s="73"/>
      <c r="BH611" s="73"/>
      <c r="BI611" s="73"/>
      <c r="BJ611" s="50"/>
      <c r="BK611" s="50"/>
      <c r="BL611" s="50"/>
      <c r="BM611" s="50"/>
      <c r="BN611" s="50"/>
      <c r="BO611" s="50"/>
      <c r="BP611" s="50"/>
      <c r="BQ611" s="50"/>
      <c r="BR611" s="187"/>
      <c r="BS611" s="187"/>
      <c r="BT611" s="50"/>
      <c r="BU611" s="517"/>
      <c r="BV611" s="50"/>
      <c r="BW611" s="50"/>
      <c r="BX611" s="50"/>
      <c r="BY611" s="50"/>
      <c r="BZ611" s="50"/>
      <c r="DS611" s="50"/>
    </row>
    <row r="612" spans="2:123">
      <c r="B612" s="28"/>
      <c r="T612" s="73"/>
      <c r="U612" s="73"/>
      <c r="V612" s="73"/>
      <c r="W612" s="73"/>
      <c r="X612" s="73"/>
      <c r="Y612" s="73"/>
      <c r="Z612" s="73"/>
      <c r="AA612" s="73"/>
      <c r="AB612" s="73"/>
      <c r="AC612" s="73"/>
      <c r="AD612" s="73"/>
      <c r="AE612" s="73"/>
      <c r="AF612" s="73"/>
      <c r="AG612" s="73"/>
      <c r="AH612" s="73"/>
      <c r="AI612" s="73"/>
      <c r="AJ612" s="73"/>
      <c r="AK612" s="73"/>
      <c r="AL612" s="73"/>
      <c r="AM612" s="73"/>
      <c r="AN612" s="73"/>
      <c r="AO612" s="73"/>
      <c r="AP612" s="490"/>
      <c r="AQ612" s="73"/>
      <c r="AR612" s="73"/>
      <c r="AS612" s="73"/>
      <c r="AT612" s="73"/>
      <c r="AU612" s="73"/>
      <c r="AV612" s="73"/>
      <c r="AW612" s="73"/>
      <c r="AX612" s="73"/>
      <c r="AY612" s="73"/>
      <c r="AZ612" s="73"/>
      <c r="BA612" s="73"/>
      <c r="BB612" s="73"/>
      <c r="BC612" s="73"/>
      <c r="BD612" s="73"/>
      <c r="BE612" s="73"/>
      <c r="BF612" s="73"/>
      <c r="BG612" s="73"/>
      <c r="BH612" s="73"/>
      <c r="BI612" s="73"/>
      <c r="BJ612" s="50"/>
      <c r="BK612" s="50"/>
      <c r="BL612" s="50"/>
      <c r="BM612" s="50"/>
      <c r="BN612" s="50"/>
      <c r="BO612" s="50"/>
      <c r="BP612" s="50"/>
      <c r="BQ612" s="50"/>
      <c r="BR612" s="142"/>
      <c r="BS612" s="142"/>
      <c r="BT612" s="50"/>
      <c r="BU612" s="517"/>
      <c r="BV612" s="50"/>
      <c r="BW612" s="50"/>
      <c r="BX612" s="50"/>
      <c r="BY612" s="50"/>
      <c r="BZ612" s="50"/>
      <c r="DS612" s="50"/>
    </row>
    <row r="613" spans="2:123">
      <c r="T613" s="73"/>
      <c r="U613" s="73"/>
      <c r="V613" s="73"/>
      <c r="W613" s="73"/>
      <c r="X613" s="73"/>
      <c r="Y613" s="73"/>
      <c r="Z613" s="73"/>
      <c r="AA613" s="73"/>
      <c r="AB613" s="73"/>
      <c r="AC613" s="73"/>
      <c r="AD613" s="73"/>
      <c r="AE613" s="73"/>
      <c r="AF613" s="73"/>
      <c r="AG613" s="73"/>
      <c r="AH613" s="73"/>
      <c r="AI613" s="73"/>
      <c r="AJ613" s="73"/>
      <c r="AK613" s="73"/>
      <c r="AL613" s="73"/>
      <c r="AM613" s="73"/>
      <c r="AN613" s="73"/>
      <c r="AO613" s="73"/>
      <c r="AP613" s="490"/>
      <c r="AQ613" s="73"/>
      <c r="AR613" s="73"/>
      <c r="AS613" s="73"/>
      <c r="AT613" s="73"/>
      <c r="AU613" s="73"/>
      <c r="AV613" s="73"/>
      <c r="AW613" s="73"/>
      <c r="AX613" s="73"/>
      <c r="AY613" s="73"/>
      <c r="AZ613" s="73"/>
      <c r="BA613" s="73"/>
      <c r="BB613" s="73"/>
      <c r="BC613" s="73"/>
      <c r="BD613" s="73"/>
      <c r="BE613" s="73"/>
      <c r="BF613" s="73"/>
      <c r="BG613" s="73"/>
      <c r="BH613" s="73"/>
      <c r="BI613" s="73"/>
      <c r="BJ613" s="50"/>
      <c r="BK613" s="50"/>
      <c r="BL613" s="50"/>
      <c r="BM613" s="50"/>
      <c r="BN613" s="50"/>
      <c r="BO613" s="50"/>
      <c r="BP613" s="50"/>
      <c r="BQ613" s="50"/>
      <c r="BR613" s="50"/>
      <c r="BS613" s="50"/>
      <c r="BT613" s="50"/>
      <c r="BU613" s="517"/>
      <c r="BV613" s="50"/>
      <c r="BW613" s="50"/>
      <c r="BX613" s="50"/>
      <c r="BY613" s="50"/>
      <c r="BZ613" s="50"/>
      <c r="DS613" s="50"/>
    </row>
    <row r="614" spans="2:123">
      <c r="T614" s="73"/>
      <c r="U614" s="73"/>
      <c r="V614" s="73"/>
      <c r="W614" s="73"/>
      <c r="X614" s="73"/>
      <c r="Y614" s="73"/>
      <c r="Z614" s="73"/>
      <c r="AA614" s="73"/>
      <c r="AB614" s="73"/>
      <c r="AC614" s="73"/>
      <c r="AD614" s="73"/>
      <c r="AE614" s="73"/>
      <c r="AF614" s="73"/>
      <c r="AG614" s="73"/>
      <c r="AH614" s="73"/>
      <c r="AI614" s="73"/>
      <c r="AJ614" s="73"/>
      <c r="AK614" s="73"/>
      <c r="AL614" s="73"/>
      <c r="AM614" s="73"/>
      <c r="AN614" s="73"/>
      <c r="AO614" s="73"/>
      <c r="AP614" s="490"/>
      <c r="AQ614" s="73"/>
      <c r="AR614" s="73"/>
      <c r="AS614" s="73"/>
      <c r="AT614" s="73"/>
      <c r="AU614" s="73"/>
      <c r="AV614" s="73"/>
      <c r="AW614" s="73"/>
      <c r="AX614" s="73"/>
      <c r="AY614" s="73"/>
      <c r="AZ614" s="73"/>
      <c r="BA614" s="73"/>
      <c r="BB614" s="73"/>
      <c r="BC614" s="73"/>
      <c r="BD614" s="73"/>
      <c r="BE614" s="73"/>
      <c r="BF614" s="73"/>
      <c r="BG614" s="73"/>
      <c r="BH614" s="73"/>
      <c r="BI614" s="73"/>
      <c r="BJ614" s="50"/>
      <c r="BK614" s="50"/>
      <c r="BL614" s="50"/>
      <c r="BM614" s="50"/>
      <c r="BN614" s="50"/>
      <c r="BO614" s="50"/>
      <c r="BP614" s="50"/>
      <c r="BQ614" s="50"/>
      <c r="BR614" s="187"/>
      <c r="BS614" s="187"/>
      <c r="BT614" s="50"/>
      <c r="BU614" s="517"/>
      <c r="BV614" s="50"/>
      <c r="BW614" s="50"/>
      <c r="BX614" s="50"/>
      <c r="BY614" s="50"/>
      <c r="BZ614" s="50"/>
      <c r="DS614" s="50"/>
    </row>
    <row r="615" spans="2:123">
      <c r="T615" s="73"/>
      <c r="U615" s="73"/>
      <c r="V615" s="73"/>
      <c r="W615" s="73"/>
      <c r="X615" s="73"/>
      <c r="Y615" s="73"/>
      <c r="Z615" s="73"/>
      <c r="AA615" s="73"/>
      <c r="AB615" s="73"/>
      <c r="AC615" s="73"/>
      <c r="AD615" s="73"/>
      <c r="AE615" s="73"/>
      <c r="AF615" s="73"/>
      <c r="AG615" s="73"/>
      <c r="AH615" s="73"/>
      <c r="AI615" s="73"/>
      <c r="AJ615" s="73"/>
      <c r="AK615" s="73"/>
      <c r="AL615" s="73"/>
      <c r="AM615" s="73"/>
      <c r="AN615" s="73"/>
      <c r="AO615" s="73"/>
      <c r="AP615" s="490"/>
      <c r="AQ615" s="73"/>
      <c r="AR615" s="73"/>
      <c r="AS615" s="73"/>
      <c r="AT615" s="73"/>
      <c r="AU615" s="73"/>
      <c r="AV615" s="73"/>
      <c r="AW615" s="73"/>
      <c r="AX615" s="73"/>
      <c r="AY615" s="73"/>
      <c r="AZ615" s="73"/>
      <c r="BA615" s="73"/>
      <c r="BB615" s="73"/>
      <c r="BC615" s="73"/>
      <c r="BD615" s="73"/>
      <c r="BE615" s="73"/>
      <c r="BF615" s="73"/>
      <c r="BG615" s="73"/>
      <c r="BH615" s="73"/>
      <c r="BI615" s="73"/>
      <c r="BJ615" s="50"/>
      <c r="BK615" s="50"/>
      <c r="BL615" s="50"/>
      <c r="BM615" s="50"/>
      <c r="BN615" s="50"/>
      <c r="BO615" s="50"/>
      <c r="BP615" s="50"/>
      <c r="BQ615" s="50"/>
      <c r="BR615" s="187"/>
      <c r="BS615" s="187"/>
      <c r="BT615" s="50"/>
      <c r="BU615" s="517"/>
      <c r="BV615" s="50"/>
      <c r="BW615" s="50"/>
      <c r="BX615" s="50"/>
      <c r="BY615" s="50"/>
      <c r="BZ615" s="50"/>
      <c r="DS615" s="50"/>
    </row>
    <row r="616" spans="2:123">
      <c r="T616" s="73"/>
      <c r="U616" s="73"/>
      <c r="V616" s="73"/>
      <c r="W616" s="73"/>
      <c r="X616" s="73"/>
      <c r="Y616" s="73"/>
      <c r="Z616" s="73"/>
      <c r="AA616" s="73"/>
      <c r="AB616" s="73"/>
      <c r="AC616" s="73"/>
      <c r="AD616" s="73"/>
      <c r="AE616" s="73"/>
      <c r="AF616" s="73"/>
      <c r="AG616" s="73"/>
      <c r="AH616" s="73"/>
      <c r="AI616" s="73"/>
      <c r="AJ616" s="73"/>
      <c r="AK616" s="73"/>
      <c r="AL616" s="73"/>
      <c r="AM616" s="73"/>
      <c r="AN616" s="73"/>
      <c r="AO616" s="73"/>
      <c r="AP616" s="490"/>
      <c r="AQ616" s="73"/>
      <c r="AR616" s="73"/>
      <c r="AS616" s="73"/>
      <c r="AT616" s="73"/>
      <c r="AU616" s="73"/>
      <c r="AV616" s="73"/>
      <c r="AW616" s="73"/>
      <c r="AX616" s="73"/>
      <c r="AY616" s="73"/>
      <c r="AZ616" s="73"/>
      <c r="BA616" s="73"/>
      <c r="BB616" s="73"/>
      <c r="BC616" s="73"/>
      <c r="BD616" s="73"/>
      <c r="BE616" s="73"/>
      <c r="BF616" s="73"/>
      <c r="BG616" s="73"/>
      <c r="BH616" s="73"/>
      <c r="BI616" s="73"/>
      <c r="BJ616" s="50"/>
      <c r="BK616" s="50"/>
      <c r="BL616" s="50"/>
      <c r="BM616" s="50"/>
      <c r="BN616" s="50"/>
      <c r="BO616" s="50"/>
      <c r="BP616" s="50"/>
      <c r="BQ616" s="50"/>
      <c r="BR616" s="187"/>
      <c r="BS616" s="187"/>
      <c r="BT616" s="50"/>
      <c r="BU616" s="517"/>
      <c r="BV616" s="50"/>
      <c r="BW616" s="50"/>
      <c r="BX616" s="50"/>
      <c r="BY616" s="50"/>
      <c r="BZ616" s="50"/>
      <c r="DS616" s="50"/>
    </row>
    <row r="617" spans="2:123">
      <c r="T617" s="73"/>
      <c r="U617" s="73"/>
      <c r="V617" s="73"/>
      <c r="W617" s="73"/>
      <c r="X617" s="73"/>
      <c r="Y617" s="73"/>
      <c r="Z617" s="73"/>
      <c r="AA617" s="73"/>
      <c r="AB617" s="73"/>
      <c r="AC617" s="73"/>
      <c r="AD617" s="73"/>
      <c r="AE617" s="73"/>
      <c r="AF617" s="73"/>
      <c r="AG617" s="73"/>
      <c r="AH617" s="73"/>
      <c r="AI617" s="73"/>
      <c r="AJ617" s="73"/>
      <c r="AK617" s="73"/>
      <c r="AL617" s="73"/>
      <c r="AM617" s="73"/>
      <c r="AN617" s="73"/>
      <c r="AO617" s="73"/>
      <c r="AP617" s="490"/>
      <c r="AQ617" s="73"/>
      <c r="AR617" s="73"/>
      <c r="AS617" s="73"/>
      <c r="AT617" s="73"/>
      <c r="AU617" s="73"/>
      <c r="AV617" s="73"/>
      <c r="AW617" s="73"/>
      <c r="AX617" s="73"/>
      <c r="AY617" s="73"/>
      <c r="AZ617" s="73"/>
      <c r="BA617" s="73"/>
      <c r="BB617" s="73"/>
      <c r="BC617" s="73"/>
      <c r="BD617" s="73"/>
      <c r="BE617" s="73"/>
      <c r="BF617" s="73"/>
      <c r="BG617" s="73"/>
      <c r="BH617" s="73"/>
      <c r="BI617" s="73"/>
      <c r="BJ617" s="50"/>
      <c r="BK617" s="50"/>
      <c r="BL617" s="50"/>
      <c r="BM617" s="50"/>
      <c r="BN617" s="50"/>
      <c r="BO617" s="50"/>
      <c r="BP617" s="50"/>
      <c r="BQ617" s="50"/>
      <c r="BR617" s="51"/>
      <c r="BS617" s="51"/>
      <c r="BT617" s="50"/>
      <c r="BU617" s="517"/>
      <c r="BV617" s="50"/>
      <c r="BW617" s="50"/>
      <c r="BX617" s="50"/>
      <c r="BY617" s="50"/>
      <c r="BZ617" s="50"/>
      <c r="DS617" s="50"/>
    </row>
    <row r="618" spans="2:123">
      <c r="T618" s="73"/>
      <c r="U618" s="73"/>
      <c r="V618" s="73"/>
      <c r="W618" s="73"/>
      <c r="X618" s="73"/>
      <c r="Y618" s="73"/>
      <c r="Z618" s="73"/>
      <c r="AA618" s="73"/>
      <c r="AB618" s="73"/>
      <c r="AC618" s="73"/>
      <c r="AD618" s="73"/>
      <c r="AE618" s="73"/>
      <c r="AF618" s="73"/>
      <c r="AG618" s="73"/>
      <c r="AH618" s="73"/>
      <c r="AI618" s="73"/>
      <c r="AJ618" s="73"/>
      <c r="AK618" s="73"/>
      <c r="AL618" s="73"/>
      <c r="AM618" s="73"/>
      <c r="AN618" s="73"/>
      <c r="AO618" s="73"/>
      <c r="AP618" s="490"/>
      <c r="AQ618" s="73"/>
      <c r="AR618" s="73"/>
      <c r="AS618" s="73"/>
      <c r="AT618" s="73"/>
      <c r="AU618" s="73"/>
      <c r="AV618" s="73"/>
      <c r="AW618" s="73"/>
      <c r="AX618" s="73"/>
      <c r="AY618" s="73"/>
      <c r="AZ618" s="73"/>
      <c r="BA618" s="73"/>
      <c r="BB618" s="73"/>
      <c r="BC618" s="73"/>
      <c r="BD618" s="73"/>
      <c r="BE618" s="73"/>
      <c r="BF618" s="73"/>
      <c r="BG618" s="73"/>
      <c r="BH618" s="73"/>
      <c r="BI618" s="73"/>
      <c r="BJ618" s="50"/>
      <c r="BK618" s="50"/>
      <c r="BL618" s="50"/>
      <c r="BM618" s="50"/>
      <c r="BN618" s="50"/>
      <c r="BO618" s="50"/>
      <c r="BP618" s="50"/>
      <c r="BQ618" s="50"/>
      <c r="BR618" s="50"/>
      <c r="BS618" s="50"/>
      <c r="BT618" s="50"/>
      <c r="BU618" s="517"/>
      <c r="BV618" s="50"/>
      <c r="BW618" s="50"/>
      <c r="BX618" s="50"/>
      <c r="BY618" s="50"/>
      <c r="BZ618" s="50"/>
      <c r="DS618" s="50"/>
    </row>
    <row r="619" spans="2:123">
      <c r="T619" s="73"/>
      <c r="U619" s="73"/>
      <c r="V619" s="73"/>
      <c r="W619" s="73"/>
      <c r="X619" s="73"/>
      <c r="Y619" s="73"/>
      <c r="Z619" s="73"/>
      <c r="AA619" s="73"/>
      <c r="AB619" s="73"/>
      <c r="AC619" s="73"/>
      <c r="AD619" s="73"/>
      <c r="AE619" s="73"/>
      <c r="AF619" s="73"/>
      <c r="AG619" s="73"/>
      <c r="AH619" s="73"/>
      <c r="AI619" s="73"/>
      <c r="AJ619" s="73"/>
      <c r="AK619" s="73"/>
      <c r="AL619" s="73"/>
      <c r="AM619" s="73"/>
      <c r="AN619" s="73"/>
      <c r="AO619" s="73"/>
      <c r="AP619" s="490"/>
      <c r="AQ619" s="73"/>
      <c r="AR619" s="73"/>
      <c r="AS619" s="73"/>
      <c r="AT619" s="73"/>
      <c r="AU619" s="73"/>
      <c r="AV619" s="73"/>
      <c r="AW619" s="73"/>
      <c r="AX619" s="73"/>
      <c r="AY619" s="73"/>
      <c r="AZ619" s="73"/>
      <c r="BA619" s="73"/>
      <c r="BB619" s="73"/>
      <c r="BC619" s="73"/>
      <c r="BD619" s="73"/>
      <c r="BE619" s="73"/>
      <c r="BF619" s="73"/>
      <c r="BG619" s="73"/>
      <c r="BH619" s="73"/>
      <c r="BI619" s="73"/>
      <c r="BJ619" s="50"/>
      <c r="BK619" s="50"/>
      <c r="BL619" s="50"/>
      <c r="BM619" s="50"/>
      <c r="BN619" s="50"/>
      <c r="BO619" s="50"/>
      <c r="BP619" s="50"/>
      <c r="BQ619" s="50"/>
      <c r="BR619" s="50"/>
      <c r="BS619" s="50"/>
      <c r="BT619" s="50"/>
      <c r="BU619" s="517"/>
      <c r="BV619" s="50"/>
      <c r="BW619" s="50"/>
      <c r="BX619" s="50"/>
      <c r="BY619" s="50"/>
      <c r="BZ619" s="50"/>
      <c r="DS619" s="50"/>
    </row>
    <row r="620" spans="2:123">
      <c r="T620" s="73"/>
      <c r="U620" s="73"/>
      <c r="V620" s="73"/>
      <c r="W620" s="73"/>
      <c r="X620" s="73"/>
      <c r="Y620" s="73"/>
      <c r="Z620" s="73"/>
      <c r="AA620" s="73"/>
      <c r="AB620" s="73"/>
      <c r="AC620" s="73"/>
      <c r="AD620" s="73"/>
      <c r="AE620" s="73"/>
      <c r="AF620" s="73"/>
      <c r="AG620" s="73"/>
      <c r="AH620" s="73"/>
      <c r="AI620" s="73"/>
      <c r="AJ620" s="73"/>
      <c r="AK620" s="73"/>
      <c r="AL620" s="73"/>
      <c r="AM620" s="73"/>
      <c r="AN620" s="73"/>
      <c r="AO620" s="73"/>
      <c r="AP620" s="490"/>
      <c r="AQ620" s="73"/>
      <c r="AR620" s="73"/>
      <c r="AS620" s="73"/>
      <c r="AT620" s="73"/>
      <c r="AU620" s="73"/>
      <c r="AV620" s="73"/>
      <c r="AW620" s="73"/>
      <c r="AX620" s="73"/>
      <c r="AY620" s="73"/>
      <c r="AZ620" s="73"/>
      <c r="BA620" s="73"/>
      <c r="BB620" s="73"/>
      <c r="BC620" s="73"/>
      <c r="BD620" s="73"/>
      <c r="BE620" s="73"/>
      <c r="BF620" s="73"/>
      <c r="BG620" s="73"/>
      <c r="BH620" s="73"/>
      <c r="BI620" s="73"/>
      <c r="BJ620" s="50"/>
      <c r="BK620" s="50"/>
      <c r="BL620" s="50"/>
      <c r="BM620" s="50"/>
      <c r="BN620" s="50"/>
      <c r="BO620" s="50"/>
      <c r="BP620" s="50"/>
      <c r="BQ620" s="50"/>
      <c r="BR620" s="867"/>
      <c r="BS620" s="867"/>
      <c r="BT620" s="50"/>
      <c r="BU620" s="517"/>
      <c r="BV620" s="50"/>
      <c r="BW620" s="50"/>
      <c r="BX620" s="50"/>
      <c r="BY620" s="50"/>
      <c r="BZ620" s="50"/>
      <c r="DS620" s="50"/>
    </row>
    <row r="621" spans="2:123">
      <c r="T621" s="73"/>
      <c r="U621" s="73"/>
      <c r="V621" s="73"/>
      <c r="W621" s="73"/>
      <c r="X621" s="73"/>
      <c r="Y621" s="73"/>
      <c r="Z621" s="73"/>
      <c r="AA621" s="73"/>
      <c r="AB621" s="73"/>
      <c r="AC621" s="73"/>
      <c r="AD621" s="73"/>
      <c r="AE621" s="73"/>
      <c r="AF621" s="73"/>
      <c r="AG621" s="73"/>
      <c r="AH621" s="73"/>
      <c r="AI621" s="73"/>
      <c r="AJ621" s="73"/>
      <c r="AK621" s="73"/>
      <c r="AL621" s="73"/>
      <c r="AM621" s="73"/>
      <c r="AN621" s="73"/>
      <c r="AO621" s="73"/>
      <c r="AP621" s="490"/>
      <c r="AQ621" s="73"/>
      <c r="AR621" s="73"/>
      <c r="AS621" s="73"/>
      <c r="AT621" s="73"/>
      <c r="AU621" s="73"/>
      <c r="AV621" s="73"/>
      <c r="AW621" s="73"/>
      <c r="AX621" s="73"/>
      <c r="AY621" s="73"/>
      <c r="AZ621" s="73"/>
      <c r="BA621" s="73"/>
      <c r="BB621" s="73"/>
      <c r="BC621" s="73"/>
      <c r="BD621" s="73"/>
      <c r="BE621" s="73"/>
      <c r="BF621" s="73"/>
      <c r="BG621" s="73"/>
      <c r="BH621" s="73"/>
      <c r="BI621" s="73"/>
      <c r="BJ621" s="50"/>
      <c r="BK621" s="50"/>
      <c r="BL621" s="50"/>
      <c r="BM621" s="50"/>
      <c r="BN621" s="50"/>
      <c r="BO621" s="50"/>
      <c r="BP621" s="50"/>
      <c r="BQ621" s="50"/>
      <c r="BR621" s="867"/>
      <c r="BS621" s="867"/>
      <c r="BT621" s="50"/>
      <c r="BU621" s="517"/>
      <c r="BV621" s="50"/>
      <c r="BW621" s="50"/>
      <c r="BX621" s="50"/>
      <c r="BY621" s="50"/>
      <c r="BZ621" s="50"/>
      <c r="DS621" s="50"/>
    </row>
    <row r="622" spans="2:123">
      <c r="B622" s="28"/>
    </row>
    <row r="625" spans="2:71">
      <c r="B625" s="28"/>
    </row>
    <row r="628" spans="2:71">
      <c r="BR628" s="73"/>
      <c r="BS628" s="73"/>
    </row>
    <row r="631" spans="2:71">
      <c r="B631" s="212"/>
    </row>
    <row r="632" spans="2:71" hidden="1">
      <c r="BR632" s="278"/>
      <c r="BS632" s="278"/>
    </row>
    <row r="633" spans="2:71" hidden="1">
      <c r="BR633" s="278"/>
      <c r="BS633" s="278"/>
    </row>
    <row r="634" spans="2:71" hidden="1">
      <c r="BR634" s="278"/>
      <c r="BS634" s="278"/>
    </row>
    <row r="635" spans="2:71" hidden="1">
      <c r="BR635" s="278"/>
      <c r="BS635" s="278"/>
    </row>
    <row r="636" spans="2:71" hidden="1">
      <c r="BR636" s="278"/>
      <c r="BS636" s="278"/>
    </row>
    <row r="637" spans="2:71" hidden="1">
      <c r="BR637" s="278"/>
      <c r="BS637" s="278"/>
    </row>
    <row r="639" spans="2:71">
      <c r="B639" s="212"/>
    </row>
    <row r="640" spans="2:71" hidden="1">
      <c r="BR640" s="278"/>
      <c r="BS640" s="278"/>
    </row>
    <row r="641" spans="2:71" hidden="1">
      <c r="BR641" s="278"/>
      <c r="BS641" s="278"/>
    </row>
    <row r="642" spans="2:71" hidden="1">
      <c r="BR642" s="278"/>
      <c r="BS642" s="278"/>
    </row>
    <row r="643" spans="2:71" hidden="1">
      <c r="BR643" s="278"/>
      <c r="BS643" s="278"/>
    </row>
    <row r="644" spans="2:71" hidden="1">
      <c r="BR644" s="278"/>
      <c r="BS644" s="278"/>
    </row>
    <row r="645" spans="2:71" hidden="1">
      <c r="BR645" s="278"/>
      <c r="BS645" s="278"/>
    </row>
    <row r="647" spans="2:71">
      <c r="BO647" s="55"/>
      <c r="BP647" s="55"/>
      <c r="BQ647" s="55"/>
    </row>
    <row r="648" spans="2:71">
      <c r="AI648" s="683"/>
      <c r="AJ648" s="683"/>
      <c r="AK648" s="752"/>
      <c r="AL648" s="752"/>
      <c r="AM648" s="752"/>
      <c r="AN648" s="752"/>
      <c r="AO648" s="752"/>
      <c r="AP648" s="753"/>
      <c r="AQ648" s="752"/>
      <c r="AR648" s="752"/>
      <c r="AS648" s="752"/>
      <c r="AT648" s="752"/>
      <c r="AU648" s="752"/>
      <c r="AV648" s="752"/>
      <c r="AW648" s="752"/>
      <c r="AX648" s="752"/>
      <c r="AY648" s="752"/>
      <c r="AZ648" s="752"/>
      <c r="BO648" s="55"/>
      <c r="BP648" s="683"/>
      <c r="BQ648" s="683"/>
      <c r="BR648" s="279"/>
      <c r="BS648" s="279"/>
    </row>
    <row r="650" spans="2:71">
      <c r="B650" s="212"/>
    </row>
    <row r="651" spans="2:71">
      <c r="BQ651" s="92"/>
    </row>
    <row r="661" spans="2:71">
      <c r="BQ661" s="92"/>
    </row>
    <row r="663" spans="2:71">
      <c r="B663" s="28"/>
    </row>
    <row r="664" spans="2:71">
      <c r="B664" s="166"/>
    </row>
    <row r="665" spans="2:71" hidden="1">
      <c r="BR665" s="278"/>
      <c r="BS665" s="278"/>
    </row>
    <row r="666" spans="2:71" hidden="1">
      <c r="BR666" s="278"/>
      <c r="BS666" s="278"/>
    </row>
    <row r="667" spans="2:71" hidden="1">
      <c r="BR667" s="278"/>
      <c r="BS667" s="278"/>
    </row>
    <row r="668" spans="2:71" hidden="1"/>
    <row r="669" spans="2:71" hidden="1"/>
    <row r="670" spans="2:71" hidden="1"/>
    <row r="672" spans="2:71">
      <c r="B672" s="166"/>
      <c r="BQ672" s="20"/>
    </row>
    <row r="673" spans="2:71" hidden="1"/>
    <row r="674" spans="2:71" hidden="1"/>
    <row r="675" spans="2:71" hidden="1">
      <c r="BQ675" s="268"/>
    </row>
    <row r="676" spans="2:71" hidden="1">
      <c r="BR676" s="278"/>
      <c r="BS676" s="278"/>
    </row>
    <row r="677" spans="2:71">
      <c r="BR677" s="278"/>
      <c r="BS677" s="278"/>
    </row>
    <row r="678" spans="2:71">
      <c r="B678" s="166"/>
      <c r="BO678" s="20"/>
      <c r="BP678" s="20"/>
      <c r="BQ678" s="20"/>
      <c r="BR678" s="20"/>
      <c r="BS678" s="20"/>
    </row>
    <row r="679" spans="2:71" hidden="1">
      <c r="BO679" s="253"/>
      <c r="BP679" s="253"/>
      <c r="BQ679" s="253"/>
    </row>
    <row r="680" spans="2:71" hidden="1">
      <c r="BO680" s="253"/>
      <c r="BP680" s="253"/>
      <c r="BQ680" s="253"/>
    </row>
    <row r="681" spans="2:71" hidden="1"/>
    <row r="682" spans="2:71" hidden="1">
      <c r="BO682" s="253"/>
      <c r="BP682" s="253"/>
      <c r="BQ682" s="253"/>
    </row>
    <row r="683" spans="2:71" hidden="1">
      <c r="BO683" s="253"/>
      <c r="BP683" s="253"/>
      <c r="BQ683" s="253"/>
    </row>
    <row r="684" spans="2:71" hidden="1"/>
    <row r="685" spans="2:71" hidden="1">
      <c r="BO685" s="253"/>
      <c r="BP685" s="253"/>
      <c r="BQ685" s="253"/>
    </row>
    <row r="686" spans="2:71" hidden="1"/>
    <row r="687" spans="2:71" hidden="1">
      <c r="BO687" s="253"/>
      <c r="BP687" s="253"/>
      <c r="BQ687" s="253"/>
    </row>
    <row r="688" spans="2:71" hidden="1"/>
    <row r="690" spans="2:71">
      <c r="B690" s="166"/>
      <c r="BO690" s="20"/>
      <c r="BP690" s="20"/>
      <c r="BQ690" s="20"/>
      <c r="BR690" s="20"/>
      <c r="BS690" s="20"/>
    </row>
    <row r="691" spans="2:71" hidden="1">
      <c r="BO691" s="253"/>
      <c r="BP691" s="253"/>
      <c r="BQ691" s="253"/>
    </row>
    <row r="692" spans="2:71" hidden="1">
      <c r="BO692" s="253"/>
      <c r="BP692" s="253"/>
      <c r="BQ692" s="253"/>
    </row>
    <row r="693" spans="2:71" hidden="1">
      <c r="BO693" s="253"/>
      <c r="BP693" s="253"/>
      <c r="BQ693" s="253"/>
    </row>
    <row r="694" spans="2:71" hidden="1">
      <c r="BO694" s="253"/>
      <c r="BP694" s="253"/>
      <c r="BQ694" s="253"/>
    </row>
    <row r="695" spans="2:71" hidden="1">
      <c r="BO695" s="253"/>
      <c r="BP695" s="253"/>
      <c r="BQ695" s="253"/>
    </row>
    <row r="696" spans="2:71" hidden="1">
      <c r="BO696" s="253"/>
      <c r="BP696" s="253"/>
      <c r="BQ696" s="253"/>
    </row>
    <row r="697" spans="2:71" hidden="1">
      <c r="B697" s="28"/>
      <c r="BO697" s="20"/>
      <c r="BP697" s="20"/>
      <c r="BQ697" s="20"/>
      <c r="BR697" s="20"/>
      <c r="BS697" s="20"/>
    </row>
    <row r="698" spans="2:71" hidden="1">
      <c r="BO698" s="253"/>
      <c r="BP698" s="253"/>
      <c r="BQ698" s="253"/>
    </row>
    <row r="699" spans="2:71" hidden="1">
      <c r="BO699" s="253"/>
      <c r="BP699" s="253"/>
      <c r="BQ699" s="253"/>
    </row>
    <row r="700" spans="2:71" hidden="1">
      <c r="BO700" s="253"/>
      <c r="BP700" s="253"/>
      <c r="BQ700" s="253"/>
    </row>
    <row r="701" spans="2:71" hidden="1">
      <c r="BO701" s="20"/>
      <c r="BP701" s="20"/>
      <c r="BQ701" s="20"/>
    </row>
    <row r="702" spans="2:71" hidden="1"/>
    <row r="704" spans="2:71">
      <c r="B704" s="212"/>
    </row>
    <row r="705" spans="2:71">
      <c r="BR705" s="253"/>
      <c r="BS705" s="253"/>
    </row>
    <row r="706" spans="2:71">
      <c r="BR706" s="253"/>
      <c r="BS706" s="253"/>
    </row>
    <row r="707" spans="2:71">
      <c r="BR707" s="253"/>
      <c r="BS707" s="253"/>
    </row>
    <row r="708" spans="2:71">
      <c r="B708" s="28"/>
      <c r="BR708" s="20"/>
      <c r="BS708" s="20"/>
    </row>
    <row r="710" spans="2:71">
      <c r="B710" s="212"/>
    </row>
    <row r="711" spans="2:71">
      <c r="BR711" s="253"/>
      <c r="BS711" s="253"/>
    </row>
    <row r="712" spans="2:71">
      <c r="BR712" s="253"/>
      <c r="BS712" s="253"/>
    </row>
    <row r="713" spans="2:71">
      <c r="BR713" s="253"/>
      <c r="BS713" s="253"/>
    </row>
    <row r="714" spans="2:71">
      <c r="B714" s="28"/>
      <c r="BR714" s="20"/>
      <c r="BS714" s="20"/>
    </row>
    <row r="716" spans="2:71">
      <c r="B716" s="28"/>
      <c r="BP716" s="20"/>
      <c r="BQ716" s="20"/>
      <c r="BR716" s="20"/>
      <c r="BS716" s="20"/>
    </row>
    <row r="717" spans="2:71">
      <c r="BP717" s="253"/>
      <c r="BQ717" s="253"/>
      <c r="BR717" s="253"/>
      <c r="BS717" s="253"/>
    </row>
    <row r="718" spans="2:71">
      <c r="BP718" s="269"/>
      <c r="BQ718" s="269"/>
      <c r="BR718" s="269"/>
      <c r="BS718" s="269"/>
    </row>
  </sheetData>
  <phoneticPr fontId="25" type="noConversion"/>
  <pageMargins left="0.75" right="0.75" top="1" bottom="1" header="0.5" footer="0.5"/>
  <pageSetup paperSize="123" scale="65" orientation="landscape" r:id="rId1"/>
  <headerFooter alignWithMargins="0"/>
  <customProperties>
    <customPr name="Qube.Worksheet.ID" r:id="rId2"/>
    <customPr name="Qube.Worksheet.Visibility" r:id="rId3"/>
    <customPr name="QXL_SHEET_ID" r:id="rId4"/>
  </customProperties>
  <drawing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56181-464F-476E-B979-9649D1089893}">
  <sheetPr codeName="Sheet9"/>
  <dimension ref="A1:BX76"/>
  <sheetViews>
    <sheetView showGridLines="0" zoomScaleNormal="100" workbookViewId="0">
      <selection activeCell="B71" sqref="B71"/>
    </sheetView>
  </sheetViews>
  <sheetFormatPr defaultRowHeight="12.75" outlineLevelRow="1" outlineLevelCol="1"/>
  <cols>
    <col min="2" max="2" width="43" bestFit="1" customWidth="1"/>
    <col min="3" max="24" width="0" hidden="1" customWidth="1" outlineLevel="1"/>
    <col min="25" max="25" width="0" hidden="1" customWidth="1" collapsed="1"/>
    <col min="26" max="34" width="0" hidden="1" customWidth="1"/>
    <col min="40" max="40" width="9" customWidth="1"/>
    <col min="42" max="42" width="9" style="303" customWidth="1"/>
    <col min="43" max="46" width="9" customWidth="1" outlineLevel="1"/>
    <col min="48" max="58" width="0" hidden="1" customWidth="1" outlineLevel="1"/>
    <col min="59" max="59" width="9" collapsed="1"/>
    <col min="67" max="67" width="9" style="303"/>
  </cols>
  <sheetData>
    <row r="1" spans="1:71" s="14" customFormat="1">
      <c r="A1" s="10"/>
      <c r="B1" s="11" t="s">
        <v>48</v>
      </c>
      <c r="C1" s="12"/>
      <c r="D1" s="12" t="s">
        <v>95</v>
      </c>
      <c r="E1" s="12" t="s">
        <v>94</v>
      </c>
      <c r="F1" s="12" t="s">
        <v>93</v>
      </c>
      <c r="G1" s="12" t="s">
        <v>40</v>
      </c>
      <c r="H1" s="12" t="str">
        <f t="shared" ref="H1:P1" si="0">IF(LEFT(G1,1)="1","2H"&amp;TEXT(MID(G1,3,2),"00")&amp;"A","1H"&amp;TEXT(MID(G1,3,2)+1,"00")&amp;"A")</f>
        <v>2H08A</v>
      </c>
      <c r="I1" s="12" t="str">
        <f t="shared" si="0"/>
        <v>1H09A</v>
      </c>
      <c r="J1" s="12" t="str">
        <f t="shared" si="0"/>
        <v>2H09A</v>
      </c>
      <c r="K1" s="12" t="str">
        <f t="shared" si="0"/>
        <v>1H10A</v>
      </c>
      <c r="L1" s="12" t="str">
        <f t="shared" si="0"/>
        <v>2H10A</v>
      </c>
      <c r="M1" s="12" t="str">
        <f t="shared" si="0"/>
        <v>1H11A</v>
      </c>
      <c r="N1" s="12" t="str">
        <f t="shared" si="0"/>
        <v>2H11A</v>
      </c>
      <c r="O1" s="12" t="str">
        <f t="shared" si="0"/>
        <v>1H12A</v>
      </c>
      <c r="P1" s="12" t="str">
        <f t="shared" si="0"/>
        <v>2H12A</v>
      </c>
      <c r="Q1" s="12" t="s">
        <v>83</v>
      </c>
      <c r="R1" s="12" t="str">
        <f>IF(LEFT(Q1,1)="1","2H"&amp;TEXT(MID(Q1,3,2),"00")&amp;"A","1H"&amp;TEXT(MID(Q1,3,2)+1,"00")&amp;"A")</f>
        <v>2H13A</v>
      </c>
      <c r="S1" s="12" t="s">
        <v>85</v>
      </c>
      <c r="T1" s="12" t="str">
        <f>IF(LEFT(S1,1)="1","2H"&amp;TEXT(MID(S1,3,2),"00")&amp;"A","1H"&amp;TEXT(MID(S1,3,2)+1,"00")&amp;"E")</f>
        <v>2H14A</v>
      </c>
      <c r="U1" s="12" t="str">
        <f>IF(LEFT(T1,1)="1","2H"&amp;TEXT(MID(T1,3,2),"00")&amp;"A","1H"&amp;TEXT(MID(T1,3,2)+1,"00")&amp;"A")</f>
        <v>1H15A</v>
      </c>
      <c r="V1" s="12" t="str">
        <f>IF(LEFT(U1,1)="1","2H"&amp;TEXT(MID(U1,3,2),"00")&amp;"A","1H"&amp;TEXT(MID(U1,3,2)+1,"00")&amp;"A")</f>
        <v>2H15A</v>
      </c>
      <c r="W1" s="12" t="str">
        <f>IF(LEFT(V1,1)="1","2H"&amp;TEXT(MID(V1,3,2),"00")&amp;"E","1H"&amp;TEXT(MID(V1,3,2)+1,"00")&amp;"A")</f>
        <v>1H16A</v>
      </c>
      <c r="X1" s="12" t="str">
        <f t="shared" ref="X1:AC1" si="1">IF(LEFT(W1,1)="1","2H"&amp;TEXT(MID(W1,3,2),"00")&amp;"A","1H"&amp;TEXT(MID(W1,3,2)+1,"00")&amp;"A")</f>
        <v>2H16A</v>
      </c>
      <c r="Y1" s="12" t="str">
        <f t="shared" si="1"/>
        <v>1H17A</v>
      </c>
      <c r="Z1" s="12" t="str">
        <f t="shared" si="1"/>
        <v>2H17A</v>
      </c>
      <c r="AA1" s="12" t="str">
        <f t="shared" si="1"/>
        <v>1H18A</v>
      </c>
      <c r="AB1" s="12" t="str">
        <f t="shared" si="1"/>
        <v>2H18A</v>
      </c>
      <c r="AC1" s="12" t="str">
        <f t="shared" si="1"/>
        <v>1H19A</v>
      </c>
      <c r="AD1" s="12" t="str">
        <f>IF(LEFT(AC1,1)="1","2H"&amp;TEXT(MID(AC1,3,2),"00")&amp;"A","1H"&amp;TEXT(MID(AC1,3,2)+1,"00")&amp;"A")</f>
        <v>2H19A</v>
      </c>
      <c r="AE1" s="12" t="str">
        <f>IF(LEFT(AD1,1)="1","2H"&amp;TEXT(MID(AD1,3,2),"00")&amp;"A","1H"&amp;TEXT(MID(AD1,3,2)+1,"00")&amp;"A")</f>
        <v>1H20A</v>
      </c>
      <c r="AF1" s="12" t="str">
        <f>IF(LEFT(AE1,1)="1","2H"&amp;TEXT(MID(AE1,3,2),"00")&amp;"A","1H"&amp;TEXT(MID(AE1,3,2)+1,"00")&amp;"A")</f>
        <v>2H20A</v>
      </c>
      <c r="AG1" s="12" t="str">
        <f>IF(LEFT(AF1,1)="1","2H"&amp;TEXT(MID(AF1,3,2),"00")&amp;"A","1H"&amp;TEXT(MID(AF1,3,2)+1,"00")&amp;"A")</f>
        <v>1H21A</v>
      </c>
      <c r="AH1" s="12" t="str">
        <f>IF(LEFT(AG1,1)="1","2H"&amp;TEXT(MID(AG1,3,2),"00")&amp;"A","1H"&amp;TEXT(MID(AG1,3,2)+1,"00")&amp;"E")</f>
        <v>2H21A</v>
      </c>
      <c r="AI1" s="12" t="str">
        <f>IF(LEFT(AH1,1)="1","2H"&amp;TEXT(MID(AH1,3,2),"00")&amp;"A","1H"&amp;TEXT(MID(AH1,3,2)+1,"00")&amp;"A")</f>
        <v>1H22A</v>
      </c>
      <c r="AJ1" s="12" t="str">
        <f>IF(LEFT(AI1,1)="1","2H"&amp;TEXT(MID(AI1,3,2),"00")&amp;"A","1H"&amp;TEXT(MID(AI1,3,2)+1,"00")&amp;"E")</f>
        <v>2H22A</v>
      </c>
      <c r="AK1" s="12" t="str">
        <f>IF(LEFT(AJ1,1)="1","2H"&amp;TEXT(MID(AJ1,3,2),"00")&amp;"A","1H"&amp;TEXT(MID(AJ1,3,2)+1,"00")&amp;"A")</f>
        <v>1H23A</v>
      </c>
      <c r="AL1" s="12" t="str">
        <f>IF(LEFT(AK1,1)="1","2H"&amp;TEXT(MID(AK1,3,2),"00")&amp;"A","1H"&amp;TEXT(MID(AK1,3,2)+1,"00")&amp;"E")</f>
        <v>2H23A</v>
      </c>
      <c r="AM1" s="12" t="str">
        <f>IF(LEFT(AL1,1)="1","2H"&amp;TEXT(MID(AL1,3,2),"00")&amp;"A","1H"&amp;TEXT(MID(AL1,3,2)+1,"00")&amp;"A")</f>
        <v>1H24A</v>
      </c>
      <c r="AN1" s="12" t="str">
        <f>IF(LEFT(AM1,1)="1","2H"&amp;TEXT(MID(AM1,3,2),"00")&amp;"A","1H"&amp;TEXT(MID(AM1,3,2)+1,"00")&amp;"A")</f>
        <v>2H24A</v>
      </c>
      <c r="AO1" s="12" t="str">
        <f>IF(LEFT(AN1,1)="1","2H"&amp;TEXT(MID(AN1,3,2),"00")&amp;"A","1H"&amp;TEXT(MID(AN1,3,2)+1,"00")&amp;"A")</f>
        <v>1H25A</v>
      </c>
      <c r="AP1" s="298" t="str">
        <f>IF(LEFT(AO1,1)="1","2H"&amp;TEXT(MID(AO1,3,2),"00")&amp;"A","1H"&amp;TEXT(MID(AO1,3,2)+1,"00")&amp;"A")</f>
        <v>2H25A</v>
      </c>
      <c r="AQ1" s="12" t="str">
        <f t="shared" ref="AQ1:AT1" si="2">IF(LEFT(AP1,1)="1","2H"&amp;TEXT(MID(AP1,3,2),"00")&amp;"E","1H"&amp;TEXT(MID(AP1,3,2)+1,"00")&amp;"E")</f>
        <v>1H26E</v>
      </c>
      <c r="AR1" s="12" t="str">
        <f t="shared" si="2"/>
        <v>2H26E</v>
      </c>
      <c r="AS1" s="12" t="str">
        <f t="shared" si="2"/>
        <v>1H27E</v>
      </c>
      <c r="AT1" s="12" t="str">
        <f t="shared" si="2"/>
        <v>2H27E</v>
      </c>
      <c r="AU1" s="13"/>
      <c r="AV1" s="12" t="s">
        <v>117</v>
      </c>
      <c r="AW1" s="12" t="s">
        <v>116</v>
      </c>
      <c r="AX1" s="12" t="s">
        <v>61</v>
      </c>
      <c r="AY1" s="12" t="str">
        <f>"FY"&amp;TEXT(MID(AX1,3,2)+1,"00")&amp;"A"</f>
        <v>FY09A</v>
      </c>
      <c r="AZ1" s="12" t="str">
        <f t="shared" ref="AZ1:BN1" si="3">"FY"&amp;TEXT(MID(AY1,3,2)+1,"00")&amp;"A"</f>
        <v>FY10A</v>
      </c>
      <c r="BA1" s="12" t="str">
        <f t="shared" si="3"/>
        <v>FY11A</v>
      </c>
      <c r="BB1" s="12" t="str">
        <f t="shared" si="3"/>
        <v>FY12A</v>
      </c>
      <c r="BC1" s="12" t="str">
        <f t="shared" si="3"/>
        <v>FY13A</v>
      </c>
      <c r="BD1" s="12" t="str">
        <f t="shared" si="3"/>
        <v>FY14A</v>
      </c>
      <c r="BE1" s="12" t="str">
        <f t="shared" si="3"/>
        <v>FY15A</v>
      </c>
      <c r="BF1" s="12" t="str">
        <f t="shared" si="3"/>
        <v>FY16A</v>
      </c>
      <c r="BG1" s="12" t="str">
        <f t="shared" si="3"/>
        <v>FY17A</v>
      </c>
      <c r="BH1" s="12" t="str">
        <f t="shared" si="3"/>
        <v>FY18A</v>
      </c>
      <c r="BI1" s="12" t="str">
        <f t="shared" si="3"/>
        <v>FY19A</v>
      </c>
      <c r="BJ1" s="12" t="str">
        <f t="shared" si="3"/>
        <v>FY20A</v>
      </c>
      <c r="BK1" s="12" t="str">
        <f t="shared" si="3"/>
        <v>FY21A</v>
      </c>
      <c r="BL1" s="12" t="str">
        <f t="shared" si="3"/>
        <v>FY22A</v>
      </c>
      <c r="BM1" s="12" t="str">
        <f t="shared" si="3"/>
        <v>FY23A</v>
      </c>
      <c r="BN1" s="12" t="str">
        <f t="shared" si="3"/>
        <v>FY24A</v>
      </c>
      <c r="BO1" s="298" t="str">
        <f>"FY"&amp;TEXT(MID(BN1,3,2)+1,"00")&amp;"A"</f>
        <v>FY25A</v>
      </c>
      <c r="BP1" s="12" t="str">
        <f>"FY"&amp;TEXT(MID(BO1,3,2)+1,"00")&amp;"E"</f>
        <v>FY26E</v>
      </c>
      <c r="BQ1" s="12" t="str">
        <f>"FY"&amp;TEXT(MID(BP1,3,2)+1,"00")&amp;"E"</f>
        <v>FY27E</v>
      </c>
    </row>
    <row r="2" spans="1:71" s="18" customFormat="1" outlineLevel="1">
      <c r="A2" s="10"/>
      <c r="B2" s="15" t="s">
        <v>62</v>
      </c>
      <c r="C2" s="16"/>
      <c r="D2" s="16" t="str">
        <f>RIGHT(D1,1)</f>
        <v>A</v>
      </c>
      <c r="E2" s="16" t="str">
        <f>RIGHT(E1,1)</f>
        <v>A</v>
      </c>
      <c r="F2" s="16" t="str">
        <f>RIGHT(F1,1)</f>
        <v>A</v>
      </c>
      <c r="G2" s="16" t="str">
        <f t="shared" ref="G2:AT2" si="4">RIGHT(G1,1)</f>
        <v>A</v>
      </c>
      <c r="H2" s="16" t="str">
        <f t="shared" si="4"/>
        <v>A</v>
      </c>
      <c r="I2" s="16" t="str">
        <f t="shared" si="4"/>
        <v>A</v>
      </c>
      <c r="J2" s="16" t="str">
        <f t="shared" si="4"/>
        <v>A</v>
      </c>
      <c r="K2" s="16" t="str">
        <f t="shared" si="4"/>
        <v>A</v>
      </c>
      <c r="L2" s="16" t="str">
        <f t="shared" si="4"/>
        <v>A</v>
      </c>
      <c r="M2" s="16" t="str">
        <f t="shared" si="4"/>
        <v>A</v>
      </c>
      <c r="N2" s="16" t="str">
        <f t="shared" si="4"/>
        <v>A</v>
      </c>
      <c r="O2" s="16" t="str">
        <f t="shared" si="4"/>
        <v>A</v>
      </c>
      <c r="P2" s="16" t="str">
        <f t="shared" si="4"/>
        <v>A</v>
      </c>
      <c r="Q2" s="16" t="str">
        <f t="shared" si="4"/>
        <v>A</v>
      </c>
      <c r="R2" s="16" t="str">
        <f t="shared" si="4"/>
        <v>A</v>
      </c>
      <c r="S2" s="16" t="str">
        <f t="shared" si="4"/>
        <v>A</v>
      </c>
      <c r="T2" s="16" t="str">
        <f t="shared" si="4"/>
        <v>A</v>
      </c>
      <c r="U2" s="16" t="str">
        <f t="shared" si="4"/>
        <v>A</v>
      </c>
      <c r="V2" s="16" t="str">
        <f t="shared" si="4"/>
        <v>A</v>
      </c>
      <c r="W2" s="16" t="str">
        <f t="shared" si="4"/>
        <v>A</v>
      </c>
      <c r="X2" s="16" t="str">
        <f t="shared" si="4"/>
        <v>A</v>
      </c>
      <c r="Y2" s="16" t="str">
        <f t="shared" si="4"/>
        <v>A</v>
      </c>
      <c r="Z2" s="16" t="str">
        <f t="shared" si="4"/>
        <v>A</v>
      </c>
      <c r="AA2" s="16" t="str">
        <f t="shared" si="4"/>
        <v>A</v>
      </c>
      <c r="AB2" s="16" t="str">
        <f t="shared" si="4"/>
        <v>A</v>
      </c>
      <c r="AC2" s="16" t="str">
        <f t="shared" si="4"/>
        <v>A</v>
      </c>
      <c r="AD2" s="16" t="str">
        <f t="shared" si="4"/>
        <v>A</v>
      </c>
      <c r="AE2" s="16" t="str">
        <f t="shared" si="4"/>
        <v>A</v>
      </c>
      <c r="AF2" s="16" t="str">
        <f t="shared" si="4"/>
        <v>A</v>
      </c>
      <c r="AG2" s="16" t="str">
        <f t="shared" si="4"/>
        <v>A</v>
      </c>
      <c r="AH2" s="16" t="str">
        <f t="shared" si="4"/>
        <v>A</v>
      </c>
      <c r="AI2" s="16" t="s">
        <v>87</v>
      </c>
      <c r="AJ2" s="16" t="str">
        <f>RIGHT(AJ1,1)</f>
        <v>A</v>
      </c>
      <c r="AK2" s="16" t="s">
        <v>87</v>
      </c>
      <c r="AL2" s="16" t="str">
        <f>RIGHT(AL1,1)</f>
        <v>A</v>
      </c>
      <c r="AM2" s="16" t="s">
        <v>87</v>
      </c>
      <c r="AN2" s="16" t="str">
        <f t="shared" si="4"/>
        <v>A</v>
      </c>
      <c r="AO2" s="16" t="s">
        <v>87</v>
      </c>
      <c r="AP2" s="299" t="str">
        <f t="shared" ref="AP2" si="5">RIGHT(AP1,1)</f>
        <v>A</v>
      </c>
      <c r="AQ2" s="16" t="str">
        <f t="shared" si="4"/>
        <v>E</v>
      </c>
      <c r="AR2" s="16" t="str">
        <f t="shared" si="4"/>
        <v>E</v>
      </c>
      <c r="AS2" s="16" t="str">
        <f t="shared" si="4"/>
        <v>E</v>
      </c>
      <c r="AT2" s="16" t="str">
        <f t="shared" si="4"/>
        <v>E</v>
      </c>
      <c r="AU2" s="17"/>
      <c r="AV2" s="16" t="str">
        <f t="shared" ref="AV2:BQ2" si="6">RIGHT(AV1,1)</f>
        <v>A</v>
      </c>
      <c r="AW2" s="16" t="str">
        <f t="shared" si="6"/>
        <v>A</v>
      </c>
      <c r="AX2" s="16" t="str">
        <f t="shared" si="6"/>
        <v>A</v>
      </c>
      <c r="AY2" s="16" t="str">
        <f t="shared" si="6"/>
        <v>A</v>
      </c>
      <c r="AZ2" s="16" t="str">
        <f t="shared" si="6"/>
        <v>A</v>
      </c>
      <c r="BA2" s="16" t="str">
        <f t="shared" si="6"/>
        <v>A</v>
      </c>
      <c r="BB2" s="16" t="str">
        <f t="shared" si="6"/>
        <v>A</v>
      </c>
      <c r="BC2" s="16" t="str">
        <f t="shared" si="6"/>
        <v>A</v>
      </c>
      <c r="BD2" s="16" t="str">
        <f t="shared" si="6"/>
        <v>A</v>
      </c>
      <c r="BE2" s="16" t="str">
        <f t="shared" si="6"/>
        <v>A</v>
      </c>
      <c r="BF2" s="16" t="str">
        <f t="shared" si="6"/>
        <v>A</v>
      </c>
      <c r="BG2" s="16" t="str">
        <f t="shared" si="6"/>
        <v>A</v>
      </c>
      <c r="BH2" s="16" t="str">
        <f t="shared" si="6"/>
        <v>A</v>
      </c>
      <c r="BI2" s="16" t="str">
        <f t="shared" si="6"/>
        <v>A</v>
      </c>
      <c r="BJ2" s="16" t="str">
        <f t="shared" si="6"/>
        <v>A</v>
      </c>
      <c r="BK2" s="16" t="str">
        <f t="shared" si="6"/>
        <v>A</v>
      </c>
      <c r="BL2" s="16" t="str">
        <f t="shared" si="6"/>
        <v>A</v>
      </c>
      <c r="BM2" s="16" t="str">
        <f t="shared" si="6"/>
        <v>A</v>
      </c>
      <c r="BN2" s="16" t="str">
        <f t="shared" si="6"/>
        <v>A</v>
      </c>
      <c r="BO2" s="299" t="str">
        <f t="shared" si="6"/>
        <v>A</v>
      </c>
      <c r="BP2" s="16" t="str">
        <f t="shared" si="6"/>
        <v>E</v>
      </c>
      <c r="BQ2" s="16" t="str">
        <f t="shared" si="6"/>
        <v>E</v>
      </c>
    </row>
    <row r="3" spans="1:71" s="14" customFormat="1" outlineLevel="1">
      <c r="A3" s="10"/>
      <c r="B3" s="15" t="s">
        <v>49</v>
      </c>
      <c r="C3" s="16"/>
      <c r="D3" s="16">
        <f>IF(LEFT(D1,1)="1",DATE(MID(D1,3,2)+1999,12,31),DATE(MID(D1,3,2)+2000,6,30))</f>
        <v>38898</v>
      </c>
      <c r="E3" s="16">
        <f>IF(LEFT(E1,1)="1",DATE(MID(E1,3,2)+1999,12,31),DATE(MID(E1,3,2)+2000,6,30))</f>
        <v>39082</v>
      </c>
      <c r="F3" s="16">
        <f>IF(LEFT(F1,1)="1",DATE(MID(F1,3,2)+1999,12,31),DATE(MID(F1,3,2)+2000,6,30))</f>
        <v>39263</v>
      </c>
      <c r="G3" s="16">
        <f>IF(LEFT(G1,1)="1",DATE(MID(G1,3,2)+1999,12,31),DATE(MID(G1,3,2)+2000,6,30))</f>
        <v>39447</v>
      </c>
      <c r="H3" s="16">
        <f t="shared" ref="H3:AT3" si="7">IF(LEFT(H1,1)="1",DATE(MID(H1,3,2)+1999,12,31),DATE(MID(H1,3,2)+2000,6,30))</f>
        <v>39629</v>
      </c>
      <c r="I3" s="16">
        <f t="shared" si="7"/>
        <v>39813</v>
      </c>
      <c r="J3" s="16">
        <f t="shared" si="7"/>
        <v>39994</v>
      </c>
      <c r="K3" s="16">
        <f t="shared" si="7"/>
        <v>40178</v>
      </c>
      <c r="L3" s="16">
        <f t="shared" si="7"/>
        <v>40359</v>
      </c>
      <c r="M3" s="16">
        <f t="shared" si="7"/>
        <v>40543</v>
      </c>
      <c r="N3" s="16">
        <f t="shared" si="7"/>
        <v>40724</v>
      </c>
      <c r="O3" s="16">
        <f t="shared" si="7"/>
        <v>40908</v>
      </c>
      <c r="P3" s="16">
        <f t="shared" si="7"/>
        <v>41090</v>
      </c>
      <c r="Q3" s="16">
        <f t="shared" si="7"/>
        <v>41274</v>
      </c>
      <c r="R3" s="16">
        <f t="shared" si="7"/>
        <v>41455</v>
      </c>
      <c r="S3" s="16">
        <f t="shared" si="7"/>
        <v>41639</v>
      </c>
      <c r="T3" s="16">
        <f t="shared" si="7"/>
        <v>41820</v>
      </c>
      <c r="U3" s="16">
        <f t="shared" si="7"/>
        <v>42004</v>
      </c>
      <c r="V3" s="16">
        <f t="shared" si="7"/>
        <v>42185</v>
      </c>
      <c r="W3" s="16">
        <f t="shared" si="7"/>
        <v>42369</v>
      </c>
      <c r="X3" s="16">
        <f t="shared" si="7"/>
        <v>42551</v>
      </c>
      <c r="Y3" s="16">
        <f t="shared" si="7"/>
        <v>42735</v>
      </c>
      <c r="Z3" s="16">
        <f t="shared" si="7"/>
        <v>42916</v>
      </c>
      <c r="AA3" s="16">
        <f t="shared" si="7"/>
        <v>43100</v>
      </c>
      <c r="AB3" s="16">
        <f t="shared" si="7"/>
        <v>43281</v>
      </c>
      <c r="AC3" s="16">
        <f>IF(LEFT(AC1,1)="1",DATE(MID(AC1,3,2)+1999,12,31),DATE(MID(AC1,3,2)+2000,6,30))</f>
        <v>43465</v>
      </c>
      <c r="AD3" s="16">
        <f t="shared" si="7"/>
        <v>43646</v>
      </c>
      <c r="AE3" s="16">
        <f t="shared" si="7"/>
        <v>43830</v>
      </c>
      <c r="AF3" s="16">
        <f t="shared" si="7"/>
        <v>44012</v>
      </c>
      <c r="AG3" s="16">
        <f t="shared" si="7"/>
        <v>44196</v>
      </c>
      <c r="AH3" s="16">
        <f t="shared" si="7"/>
        <v>44377</v>
      </c>
      <c r="AI3" s="16">
        <f t="shared" si="7"/>
        <v>44561</v>
      </c>
      <c r="AJ3" s="16">
        <f t="shared" si="7"/>
        <v>44742</v>
      </c>
      <c r="AK3" s="16">
        <f t="shared" si="7"/>
        <v>44926</v>
      </c>
      <c r="AL3" s="16">
        <f t="shared" si="7"/>
        <v>45107</v>
      </c>
      <c r="AM3" s="16">
        <f t="shared" si="7"/>
        <v>45291</v>
      </c>
      <c r="AN3" s="16">
        <f t="shared" si="7"/>
        <v>45473</v>
      </c>
      <c r="AO3" s="16">
        <f t="shared" si="7"/>
        <v>45657</v>
      </c>
      <c r="AP3" s="299">
        <f t="shared" si="7"/>
        <v>45838</v>
      </c>
      <c r="AQ3" s="16">
        <f t="shared" si="7"/>
        <v>46022</v>
      </c>
      <c r="AR3" s="16">
        <f t="shared" si="7"/>
        <v>46203</v>
      </c>
      <c r="AS3" s="16">
        <f t="shared" si="7"/>
        <v>46387</v>
      </c>
      <c r="AT3" s="16">
        <f t="shared" si="7"/>
        <v>46568</v>
      </c>
      <c r="AU3" s="17"/>
      <c r="AV3" s="16">
        <f>IF(LEFT(AV1,1)="1",DATE(MID(AV1,3,2)+1999,3,12),DATE(MID(AV1,3,2)+2000,6,30))</f>
        <v>38898</v>
      </c>
      <c r="AW3" s="16">
        <f t="shared" ref="AW3:BQ3" si="8">IF(LEFT(AW1,1)="1",DATE(MID(AW1,3,2)+1999,3,12),DATE(MID(AW1,3,2)+2000,6,30))</f>
        <v>39263</v>
      </c>
      <c r="AX3" s="16">
        <f t="shared" si="8"/>
        <v>39629</v>
      </c>
      <c r="AY3" s="16">
        <f t="shared" si="8"/>
        <v>39994</v>
      </c>
      <c r="AZ3" s="16">
        <f t="shared" si="8"/>
        <v>40359</v>
      </c>
      <c r="BA3" s="16">
        <f t="shared" si="8"/>
        <v>40724</v>
      </c>
      <c r="BB3" s="16">
        <f t="shared" si="8"/>
        <v>41090</v>
      </c>
      <c r="BC3" s="16">
        <f t="shared" si="8"/>
        <v>41455</v>
      </c>
      <c r="BD3" s="16">
        <f t="shared" si="8"/>
        <v>41820</v>
      </c>
      <c r="BE3" s="16">
        <f t="shared" si="8"/>
        <v>42185</v>
      </c>
      <c r="BF3" s="16">
        <f t="shared" si="8"/>
        <v>42551</v>
      </c>
      <c r="BG3" s="16">
        <f t="shared" si="8"/>
        <v>42916</v>
      </c>
      <c r="BH3" s="16">
        <f t="shared" si="8"/>
        <v>43281</v>
      </c>
      <c r="BI3" s="16">
        <f t="shared" si="8"/>
        <v>43646</v>
      </c>
      <c r="BJ3" s="16">
        <f t="shared" si="8"/>
        <v>44012</v>
      </c>
      <c r="BK3" s="16">
        <f t="shared" si="8"/>
        <v>44377</v>
      </c>
      <c r="BL3" s="16">
        <f t="shared" si="8"/>
        <v>44742</v>
      </c>
      <c r="BM3" s="16">
        <f t="shared" si="8"/>
        <v>45107</v>
      </c>
      <c r="BN3" s="16">
        <f t="shared" si="8"/>
        <v>45473</v>
      </c>
      <c r="BO3" s="299">
        <f t="shared" si="8"/>
        <v>45838</v>
      </c>
      <c r="BP3" s="16">
        <f t="shared" si="8"/>
        <v>46203</v>
      </c>
      <c r="BQ3" s="16">
        <f t="shared" si="8"/>
        <v>46568</v>
      </c>
    </row>
    <row r="4" spans="1:71" s="14" customFormat="1" outlineLevel="1">
      <c r="A4" s="10"/>
      <c r="B4" s="15"/>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300"/>
      <c r="AQ4" s="19"/>
      <c r="AR4" s="19"/>
      <c r="AS4" s="19"/>
      <c r="AT4" s="19"/>
      <c r="AU4" s="17"/>
      <c r="AV4" s="19"/>
      <c r="AW4" s="19"/>
      <c r="AX4" s="19"/>
      <c r="AY4" s="19"/>
      <c r="AZ4" s="19"/>
      <c r="BA4" s="19"/>
      <c r="BB4" s="19"/>
      <c r="BC4" s="19"/>
      <c r="BD4" s="19"/>
      <c r="BE4" s="19"/>
      <c r="BF4" s="19"/>
      <c r="BG4" s="19"/>
      <c r="BH4" s="19"/>
      <c r="BI4" s="19"/>
      <c r="BJ4" s="19"/>
      <c r="BK4" s="19"/>
      <c r="BL4" s="19"/>
      <c r="BM4" s="19"/>
      <c r="BN4" s="19"/>
      <c r="BO4" s="300"/>
      <c r="BP4" s="19"/>
      <c r="BQ4" s="19"/>
    </row>
    <row r="5" spans="1:71" s="22" customFormat="1" outlineLevel="1">
      <c r="A5" s="10"/>
      <c r="B5" s="15"/>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301"/>
      <c r="AQ5" s="21"/>
      <c r="AR5" s="21"/>
      <c r="AS5" s="21"/>
      <c r="AT5" s="21"/>
      <c r="AU5" s="17"/>
      <c r="AV5" s="21"/>
      <c r="AW5" s="21"/>
      <c r="AX5" s="21"/>
      <c r="AY5" s="21"/>
      <c r="AZ5" s="21"/>
      <c r="BA5" s="21"/>
      <c r="BB5" s="21"/>
      <c r="BC5" s="21"/>
      <c r="BD5" s="21"/>
      <c r="BE5" s="21"/>
      <c r="BF5" s="21"/>
      <c r="BG5" s="21"/>
      <c r="BH5" s="21"/>
      <c r="BI5" s="21"/>
      <c r="BJ5" s="21"/>
      <c r="BK5" s="21"/>
      <c r="BL5" s="21"/>
      <c r="BM5" s="21"/>
      <c r="BN5" s="21"/>
      <c r="BO5" s="301"/>
      <c r="BP5" s="21"/>
      <c r="BQ5" s="21"/>
    </row>
    <row r="7" spans="1:71" s="40" customFormat="1">
      <c r="A7" s="10"/>
      <c r="B7" s="11" t="s">
        <v>195</v>
      </c>
      <c r="C7" s="11"/>
      <c r="D7" s="11"/>
      <c r="E7" s="11"/>
      <c r="F7" s="11"/>
      <c r="G7" s="12"/>
      <c r="H7" s="12"/>
      <c r="I7" s="12"/>
      <c r="J7" s="12"/>
      <c r="K7" s="12"/>
      <c r="L7" s="12"/>
      <c r="M7" s="12"/>
      <c r="N7" s="12"/>
      <c r="O7" s="12"/>
      <c r="P7" s="12"/>
      <c r="Q7" s="555"/>
      <c r="R7" s="555"/>
      <c r="S7" s="555"/>
      <c r="T7" s="555"/>
      <c r="U7" s="555"/>
      <c r="V7" s="555"/>
      <c r="W7" s="555"/>
      <c r="X7" s="12"/>
      <c r="Y7" s="12"/>
      <c r="Z7" s="12"/>
      <c r="AA7" s="12"/>
      <c r="AB7" s="12"/>
      <c r="AC7" s="12"/>
      <c r="AD7" s="12"/>
      <c r="AE7" s="12"/>
      <c r="AF7" s="12"/>
      <c r="AG7" s="12"/>
      <c r="AH7" s="12"/>
      <c r="AI7" s="12"/>
      <c r="AJ7" s="12"/>
      <c r="AK7" s="12"/>
      <c r="AL7" s="12"/>
      <c r="AM7" s="12"/>
      <c r="AN7" s="12"/>
      <c r="AO7" s="12"/>
      <c r="AP7" s="298"/>
      <c r="AQ7" s="12"/>
      <c r="AR7" s="12"/>
      <c r="AS7" s="12"/>
      <c r="AT7" s="12"/>
      <c r="AU7" s="13"/>
      <c r="AV7" s="12"/>
      <c r="AW7" s="12"/>
      <c r="AX7" s="12"/>
      <c r="AY7" s="12"/>
      <c r="AZ7" s="12"/>
      <c r="BA7" s="12"/>
      <c r="BB7" s="12"/>
      <c r="BC7" s="12"/>
      <c r="BD7" s="26"/>
      <c r="BE7" s="12"/>
      <c r="BF7" s="12"/>
      <c r="BG7" s="12"/>
      <c r="BH7" s="12"/>
      <c r="BI7" s="12"/>
      <c r="BJ7" s="12"/>
      <c r="BK7" s="12"/>
      <c r="BL7" s="12"/>
      <c r="BM7" s="12"/>
      <c r="BN7" s="12"/>
      <c r="BO7" s="298"/>
      <c r="BP7" s="12"/>
      <c r="BQ7" s="12"/>
    </row>
    <row r="8" spans="1:71" s="23" customFormat="1">
      <c r="A8" s="10"/>
      <c r="B8" s="28"/>
      <c r="X8" s="230"/>
      <c r="Y8" s="556"/>
      <c r="Z8" s="230"/>
      <c r="AA8" s="230"/>
      <c r="AB8" s="230"/>
      <c r="AC8" s="230"/>
      <c r="AD8" s="230"/>
      <c r="AE8" s="230"/>
      <c r="AF8" s="230"/>
      <c r="AG8" s="230"/>
      <c r="AH8" s="230"/>
      <c r="AI8" s="230"/>
      <c r="AJ8" s="230"/>
      <c r="AK8" s="230"/>
      <c r="AL8" s="230"/>
      <c r="AM8" s="230"/>
      <c r="AN8" s="230"/>
      <c r="AO8" s="230"/>
      <c r="AP8" s="497"/>
      <c r="AQ8" s="557"/>
      <c r="AR8" s="557"/>
      <c r="AS8" s="557"/>
      <c r="AT8" s="557"/>
      <c r="AU8" s="558"/>
      <c r="AV8" s="557"/>
      <c r="AW8" s="557"/>
      <c r="AX8" s="557"/>
      <c r="AY8" s="557"/>
      <c r="AZ8" s="557"/>
      <c r="BA8" s="557"/>
      <c r="BB8" s="230"/>
      <c r="BC8" s="230"/>
      <c r="BE8" s="230"/>
      <c r="BF8" s="230"/>
      <c r="BG8" s="559"/>
      <c r="BH8" s="230"/>
      <c r="BI8" s="230"/>
      <c r="BJ8" s="230"/>
      <c r="BK8" s="230"/>
      <c r="BL8" s="230"/>
      <c r="BM8" s="230"/>
      <c r="BN8" s="230"/>
      <c r="BO8" s="492"/>
      <c r="BR8"/>
    </row>
    <row r="9" spans="1:71" s="70" customFormat="1">
      <c r="A9" s="67"/>
      <c r="B9" s="95" t="s">
        <v>255</v>
      </c>
      <c r="C9" s="96"/>
      <c r="D9" s="96"/>
      <c r="E9" s="96"/>
      <c r="F9" s="96"/>
      <c r="G9" s="97"/>
      <c r="H9" s="560"/>
      <c r="I9" s="560"/>
      <c r="J9" s="560"/>
      <c r="K9" s="560"/>
      <c r="L9" s="560"/>
      <c r="M9" s="560"/>
      <c r="N9" s="560"/>
      <c r="O9" s="560"/>
      <c r="P9" s="561"/>
      <c r="Q9" s="561"/>
      <c r="R9" s="561"/>
      <c r="S9" s="561"/>
      <c r="T9" s="561"/>
      <c r="U9" s="562"/>
      <c r="V9" s="562"/>
      <c r="W9" s="562"/>
      <c r="X9" s="562"/>
      <c r="Y9" s="562"/>
      <c r="Z9" s="562"/>
      <c r="AA9" s="562"/>
      <c r="AB9" s="562"/>
      <c r="AC9" s="562"/>
      <c r="AD9" s="562"/>
      <c r="AE9" s="562"/>
      <c r="AF9" s="562"/>
      <c r="AG9" s="562"/>
      <c r="AH9" s="562"/>
      <c r="AI9" s="562"/>
      <c r="AJ9" s="562"/>
      <c r="AK9" s="562"/>
      <c r="AL9" s="562"/>
      <c r="AM9" s="562"/>
      <c r="AN9" s="562"/>
      <c r="AO9" s="562"/>
      <c r="AP9" s="563"/>
      <c r="AQ9" s="562"/>
      <c r="AR9" s="562"/>
      <c r="AS9" s="562"/>
      <c r="AT9" s="562"/>
      <c r="AU9" s="564"/>
      <c r="AV9" s="565"/>
      <c r="AW9" s="565"/>
      <c r="AX9" s="565"/>
      <c r="AY9" s="565"/>
      <c r="AZ9" s="565"/>
      <c r="BA9" s="565"/>
      <c r="BB9" s="565"/>
      <c r="BC9" s="562"/>
      <c r="BD9" s="98"/>
      <c r="BE9" s="98"/>
      <c r="BF9" s="98"/>
      <c r="BG9" s="98"/>
      <c r="BH9" s="98"/>
      <c r="BI9" s="98"/>
      <c r="BJ9" s="98"/>
      <c r="BK9" s="98"/>
      <c r="BL9" s="98"/>
      <c r="BM9" s="98"/>
      <c r="BN9" s="98"/>
      <c r="BO9" s="510"/>
      <c r="BP9" s="97"/>
      <c r="BQ9" s="97"/>
    </row>
    <row r="10" spans="1:71" s="70" customFormat="1">
      <c r="A10" s="10" t="s">
        <v>256</v>
      </c>
      <c r="B10" s="70" t="s">
        <v>291</v>
      </c>
      <c r="S10" s="80"/>
      <c r="T10" s="80"/>
      <c r="U10" s="80"/>
      <c r="V10" s="80"/>
      <c r="W10" s="100"/>
      <c r="X10" s="100"/>
      <c r="Y10" s="51">
        <f>Y58</f>
        <v>110.52500000000001</v>
      </c>
      <c r="Z10" s="566">
        <f t="shared" ref="Z10:Z18" si="9">BG10-Y10</f>
        <v>129.31399999999999</v>
      </c>
      <c r="AA10" s="51">
        <f>AA58</f>
        <v>116.066</v>
      </c>
      <c r="AB10" s="566">
        <f t="shared" ref="AB10:AB18" si="10">BH10-AA10</f>
        <v>130.04499999999999</v>
      </c>
      <c r="AC10" s="51">
        <f>AC58</f>
        <v>130.31799999999998</v>
      </c>
      <c r="AD10" s="168">
        <f t="shared" ref="AD10:AD18" si="11">BI10-AC10</f>
        <v>146.07800000000003</v>
      </c>
      <c r="AE10" s="51">
        <f>AE58</f>
        <v>149.02600000000001</v>
      </c>
      <c r="AF10" s="81">
        <f>BJ10-AE10</f>
        <v>154.43</v>
      </c>
      <c r="AG10" s="51">
        <f>AG58</f>
        <v>149.251</v>
      </c>
      <c r="AH10" s="81">
        <f>BK10-AG10</f>
        <v>164.08699999999996</v>
      </c>
      <c r="AI10" s="51">
        <f>AI58</f>
        <v>156.57600000000002</v>
      </c>
      <c r="AJ10" s="81">
        <f>BL10-AI10</f>
        <v>175.92599999999999</v>
      </c>
      <c r="AK10" s="51">
        <f>AK58</f>
        <v>302.173</v>
      </c>
      <c r="AL10" s="81">
        <f t="shared" ref="AL10:AL13" si="12">BM10-AK10</f>
        <v>461.48599999999999</v>
      </c>
      <c r="AM10" s="51">
        <f>AM58</f>
        <v>459.46600000000001</v>
      </c>
      <c r="AN10" s="81">
        <f>BN10-AM10</f>
        <v>505.32099999999991</v>
      </c>
      <c r="AO10" s="51">
        <f>AO58</f>
        <v>496.16500000000002</v>
      </c>
      <c r="AP10" s="531">
        <f t="shared" ref="AP10:AP18" si="13">BO10-AO10</f>
        <v>579.07600000000002</v>
      </c>
      <c r="AQ10" s="290"/>
      <c r="AR10" s="290"/>
      <c r="AS10" s="290"/>
      <c r="AT10" s="290"/>
      <c r="AU10" s="564"/>
      <c r="AV10" s="564"/>
      <c r="AW10" s="564"/>
      <c r="AX10" s="564"/>
      <c r="AY10" s="564"/>
      <c r="AZ10" s="564"/>
      <c r="BA10" s="564"/>
      <c r="BB10" s="564"/>
      <c r="BC10" s="564"/>
      <c r="BE10" s="564"/>
      <c r="BF10" s="564"/>
      <c r="BG10" s="70">
        <f t="shared" ref="BG10:BO11" si="14">BG58</f>
        <v>239.839</v>
      </c>
      <c r="BH10" s="51">
        <f t="shared" si="14"/>
        <v>246.11099999999999</v>
      </c>
      <c r="BI10" s="51">
        <f t="shared" si="14"/>
        <v>276.39600000000002</v>
      </c>
      <c r="BJ10" s="51">
        <f t="shared" si="14"/>
        <v>303.45600000000002</v>
      </c>
      <c r="BK10" s="51">
        <f t="shared" si="14"/>
        <v>313.33799999999997</v>
      </c>
      <c r="BL10" s="70">
        <f t="shared" si="14"/>
        <v>332.50200000000001</v>
      </c>
      <c r="BM10" s="70">
        <f t="shared" si="14"/>
        <v>763.65899999999999</v>
      </c>
      <c r="BN10" s="70">
        <f t="shared" si="14"/>
        <v>964.78699999999992</v>
      </c>
      <c r="BO10" s="306">
        <f t="shared" si="14"/>
        <v>1075.241</v>
      </c>
      <c r="BP10" s="293"/>
      <c r="BQ10" s="293"/>
      <c r="BS10" s="70" t="s">
        <v>609</v>
      </c>
    </row>
    <row r="11" spans="1:71" s="70" customFormat="1">
      <c r="A11" s="10" t="s">
        <v>259</v>
      </c>
      <c r="B11" s="70" t="s">
        <v>50</v>
      </c>
      <c r="S11" s="80"/>
      <c r="T11" s="80"/>
      <c r="U11" s="80"/>
      <c r="V11" s="80"/>
      <c r="W11" s="100"/>
      <c r="X11" s="100"/>
      <c r="Y11" s="567">
        <f>Y59</f>
        <v>1.556</v>
      </c>
      <c r="Z11" s="566">
        <f t="shared" si="9"/>
        <v>-1.556</v>
      </c>
      <c r="AA11" s="567">
        <f>AA59</f>
        <v>1.28</v>
      </c>
      <c r="AB11" s="566">
        <f t="shared" si="10"/>
        <v>1.0969999999999998</v>
      </c>
      <c r="AC11" s="567">
        <f>AC59</f>
        <v>1.65</v>
      </c>
      <c r="AD11" s="168">
        <f t="shared" si="11"/>
        <v>1.7650000000000001</v>
      </c>
      <c r="AE11" s="567">
        <f>AE59</f>
        <v>1.47</v>
      </c>
      <c r="AF11" s="81">
        <f>BJ11-AE11</f>
        <v>0.85799999999999987</v>
      </c>
      <c r="AG11" s="567">
        <f>AG59</f>
        <v>0.54800000000000004</v>
      </c>
      <c r="AH11" s="81">
        <f>BK11-AG11</f>
        <v>0.48199999999999998</v>
      </c>
      <c r="AI11" s="567">
        <f>AI59</f>
        <v>0.379</v>
      </c>
      <c r="AJ11" s="81">
        <f>BL11-AI11</f>
        <v>0.65599999999999992</v>
      </c>
      <c r="AK11" s="567">
        <f>AK59</f>
        <v>8.9019999999999992</v>
      </c>
      <c r="AL11" s="81">
        <f t="shared" si="12"/>
        <v>19.182000000000002</v>
      </c>
      <c r="AM11" s="567">
        <f>AM59</f>
        <v>24.759</v>
      </c>
      <c r="AN11" s="81">
        <f t="shared" ref="AN11:AN24" si="15">BN11-AM11</f>
        <v>24.588000000000001</v>
      </c>
      <c r="AO11" s="567">
        <f>AO59</f>
        <v>27.073</v>
      </c>
      <c r="AP11" s="531">
        <f t="shared" si="13"/>
        <v>23.286999999999999</v>
      </c>
      <c r="AQ11" s="568"/>
      <c r="AR11" s="568"/>
      <c r="AS11" s="568"/>
      <c r="AT11" s="568"/>
      <c r="AU11" s="564"/>
      <c r="AV11" s="564"/>
      <c r="AW11" s="564"/>
      <c r="AX11" s="564"/>
      <c r="AY11" s="564"/>
      <c r="AZ11" s="564"/>
      <c r="BA11" s="564"/>
      <c r="BB11" s="564"/>
      <c r="BC11" s="564"/>
      <c r="BE11" s="564"/>
      <c r="BF11" s="564"/>
      <c r="BG11" s="564">
        <f t="shared" si="14"/>
        <v>0</v>
      </c>
      <c r="BH11" s="567">
        <f t="shared" si="14"/>
        <v>2.3769999999999998</v>
      </c>
      <c r="BI11" s="567">
        <f t="shared" si="14"/>
        <v>3.415</v>
      </c>
      <c r="BJ11" s="567">
        <f t="shared" si="14"/>
        <v>2.3279999999999998</v>
      </c>
      <c r="BK11" s="567">
        <f t="shared" si="14"/>
        <v>1.03</v>
      </c>
      <c r="BL11" s="564">
        <f t="shared" si="14"/>
        <v>1.0349999999999999</v>
      </c>
      <c r="BM11" s="564">
        <f t="shared" si="14"/>
        <v>28.084</v>
      </c>
      <c r="BN11" s="564">
        <f t="shared" si="14"/>
        <v>49.347000000000001</v>
      </c>
      <c r="BO11" s="569">
        <f t="shared" si="14"/>
        <v>50.36</v>
      </c>
      <c r="BP11" s="293"/>
      <c r="BQ11" s="293"/>
      <c r="BS11" s="70" t="s">
        <v>609</v>
      </c>
    </row>
    <row r="12" spans="1:71" s="70" customFormat="1">
      <c r="A12" s="10" t="s">
        <v>325</v>
      </c>
      <c r="B12" s="70" t="s">
        <v>292</v>
      </c>
      <c r="S12" s="80"/>
      <c r="T12" s="80"/>
      <c r="U12" s="80"/>
      <c r="V12" s="80"/>
      <c r="W12" s="100"/>
      <c r="X12" s="100"/>
      <c r="Y12" s="570">
        <v>9.7439999999999998</v>
      </c>
      <c r="Z12" s="566">
        <f t="shared" si="9"/>
        <v>14.926000000000002</v>
      </c>
      <c r="AA12" s="570">
        <v>12.484</v>
      </c>
      <c r="AB12" s="566">
        <f t="shared" si="10"/>
        <v>17.506999999999998</v>
      </c>
      <c r="AC12" s="570">
        <v>13.471</v>
      </c>
      <c r="AD12" s="168">
        <f t="shared" si="11"/>
        <v>13.896000000000001</v>
      </c>
      <c r="AE12" s="570">
        <v>12.403</v>
      </c>
      <c r="AF12" s="81">
        <f>BJ12-AE12</f>
        <v>17.167999999999999</v>
      </c>
      <c r="AG12" s="570">
        <v>18.190999999999999</v>
      </c>
      <c r="AH12" s="81">
        <f>BK12-AG12</f>
        <v>19.137000000000004</v>
      </c>
      <c r="AI12" s="570">
        <v>17.966000000000001</v>
      </c>
      <c r="AJ12" s="81">
        <f>BL12-AI12</f>
        <v>21.086999999999996</v>
      </c>
      <c r="AK12" s="570">
        <v>16.565000000000001</v>
      </c>
      <c r="AL12" s="81">
        <f t="shared" si="12"/>
        <v>19.124999999999996</v>
      </c>
      <c r="AM12" s="570">
        <v>20.872</v>
      </c>
      <c r="AN12" s="81">
        <f t="shared" si="15"/>
        <v>15.281999999999996</v>
      </c>
      <c r="AO12" s="570">
        <v>24.449000000000002</v>
      </c>
      <c r="AP12" s="531">
        <f t="shared" si="13"/>
        <v>22.741000000000003</v>
      </c>
      <c r="AQ12" s="571"/>
      <c r="AR12" s="571"/>
      <c r="AS12" s="571"/>
      <c r="AT12" s="571"/>
      <c r="AU12" s="564"/>
      <c r="AV12" s="564"/>
      <c r="AW12" s="564"/>
      <c r="AX12" s="564"/>
      <c r="AY12" s="564"/>
      <c r="AZ12" s="564"/>
      <c r="BA12" s="564"/>
      <c r="BB12" s="564"/>
      <c r="BC12" s="564"/>
      <c r="BE12" s="564"/>
      <c r="BF12" s="564"/>
      <c r="BG12" s="572">
        <v>24.67</v>
      </c>
      <c r="BH12" s="570">
        <v>29.991</v>
      </c>
      <c r="BI12" s="570">
        <v>27.367000000000001</v>
      </c>
      <c r="BJ12" s="567">
        <f t="shared" ref="BJ12:BO12" si="16">BJ33</f>
        <v>29.570999999999998</v>
      </c>
      <c r="BK12" s="567">
        <f t="shared" si="16"/>
        <v>37.328000000000003</v>
      </c>
      <c r="BL12" s="564">
        <f t="shared" si="16"/>
        <v>39.052999999999997</v>
      </c>
      <c r="BM12" s="564">
        <f t="shared" si="16"/>
        <v>35.69</v>
      </c>
      <c r="BN12" s="564">
        <f t="shared" si="16"/>
        <v>36.153999999999996</v>
      </c>
      <c r="BO12" s="569">
        <f t="shared" si="16"/>
        <v>47.190000000000005</v>
      </c>
      <c r="BP12" s="293"/>
      <c r="BQ12" s="293"/>
      <c r="BS12" s="70" t="s">
        <v>609</v>
      </c>
    </row>
    <row r="13" spans="1:71" s="70" customFormat="1">
      <c r="A13" s="10" t="s">
        <v>324</v>
      </c>
      <c r="B13" s="70" t="s">
        <v>323</v>
      </c>
      <c r="S13" s="80"/>
      <c r="T13" s="80"/>
      <c r="U13" s="80"/>
      <c r="V13" s="80"/>
      <c r="W13" s="100"/>
      <c r="X13" s="100"/>
      <c r="Y13" s="567">
        <f>Y76</f>
        <v>-98.474000000000004</v>
      </c>
      <c r="Z13" s="566">
        <f t="shared" si="9"/>
        <v>-103.24919999999999</v>
      </c>
      <c r="AA13" s="567">
        <f>AA76</f>
        <v>-102.628</v>
      </c>
      <c r="AB13" s="566">
        <f t="shared" si="10"/>
        <v>-107.83900000000001</v>
      </c>
      <c r="AC13" s="567">
        <f>AC76</f>
        <v>-118.807</v>
      </c>
      <c r="AD13" s="168">
        <f t="shared" si="11"/>
        <v>-126.224</v>
      </c>
      <c r="AE13" s="567">
        <f>AE76</f>
        <v>-130.87</v>
      </c>
      <c r="AF13" s="81">
        <f>BJ13-AE13</f>
        <v>-127.98700000000002</v>
      </c>
      <c r="AG13" s="567">
        <f>AG76</f>
        <v>-128.24299999999999</v>
      </c>
      <c r="AH13" s="81">
        <f>BK13-AG13</f>
        <v>-132.40800000000002</v>
      </c>
      <c r="AI13" s="567">
        <f>AI76</f>
        <v>-130.72300000000001</v>
      </c>
      <c r="AJ13" s="81">
        <f>BL13-AI13</f>
        <v>-151.97800000000001</v>
      </c>
      <c r="AK13" s="567">
        <f>AK76</f>
        <v>-291.02600000000001</v>
      </c>
      <c r="AL13" s="81">
        <f t="shared" si="12"/>
        <v>-369.59899999999999</v>
      </c>
      <c r="AM13" s="567">
        <f>AM76</f>
        <v>-403.76400000000001</v>
      </c>
      <c r="AN13" s="81">
        <f t="shared" si="15"/>
        <v>-386.43399999999997</v>
      </c>
      <c r="AO13" s="567">
        <f>AO76</f>
        <v>-430.72699999999998</v>
      </c>
      <c r="AP13" s="531">
        <f t="shared" si="13"/>
        <v>-444.577</v>
      </c>
      <c r="AQ13" s="568"/>
      <c r="AR13" s="568"/>
      <c r="AS13" s="568"/>
      <c r="AT13" s="568"/>
      <c r="AU13" s="564"/>
      <c r="AV13" s="564"/>
      <c r="AW13" s="564"/>
      <c r="AX13" s="564"/>
      <c r="AY13" s="564"/>
      <c r="AZ13" s="564"/>
      <c r="BA13" s="564"/>
      <c r="BB13" s="564"/>
      <c r="BC13" s="564"/>
      <c r="BE13" s="564"/>
      <c r="BF13" s="564"/>
      <c r="BG13" s="564">
        <f t="shared" ref="BG13:BO13" si="17">BG76</f>
        <v>-201.72319999999999</v>
      </c>
      <c r="BH13" s="567">
        <f t="shared" si="17"/>
        <v>-210.46700000000001</v>
      </c>
      <c r="BI13" s="567">
        <f t="shared" si="17"/>
        <v>-245.03100000000001</v>
      </c>
      <c r="BJ13" s="567">
        <f t="shared" si="17"/>
        <v>-258.85700000000003</v>
      </c>
      <c r="BK13" s="567">
        <f t="shared" si="17"/>
        <v>-260.65100000000001</v>
      </c>
      <c r="BL13" s="564">
        <f t="shared" si="17"/>
        <v>-282.70100000000002</v>
      </c>
      <c r="BM13" s="564">
        <f t="shared" si="17"/>
        <v>-660.625</v>
      </c>
      <c r="BN13" s="564">
        <f t="shared" si="17"/>
        <v>-790.19799999999998</v>
      </c>
      <c r="BO13" s="569">
        <f t="shared" si="17"/>
        <v>-875.30399999999997</v>
      </c>
      <c r="BP13" s="293"/>
      <c r="BQ13" s="293"/>
      <c r="BS13" s="70" t="s">
        <v>609</v>
      </c>
    </row>
    <row r="14" spans="1:71" s="70" customFormat="1">
      <c r="A14" s="10" t="s">
        <v>322</v>
      </c>
      <c r="B14" s="70" t="s">
        <v>305</v>
      </c>
      <c r="S14" s="80"/>
      <c r="T14" s="80"/>
      <c r="U14" s="80"/>
      <c r="V14" s="80"/>
      <c r="W14" s="100"/>
      <c r="X14" s="100"/>
      <c r="Y14" s="171">
        <v>-2.0259999999999998</v>
      </c>
      <c r="Z14" s="566">
        <f t="shared" si="9"/>
        <v>-2.6180000000000003</v>
      </c>
      <c r="AA14" s="171">
        <v>-2.2909999999999999</v>
      </c>
      <c r="AB14" s="566">
        <f t="shared" si="10"/>
        <v>-3.0290000000000004</v>
      </c>
      <c r="AC14" s="171">
        <v>-3.1720000000000002</v>
      </c>
      <c r="AD14" s="168">
        <f t="shared" si="11"/>
        <v>-3.4239999999999999</v>
      </c>
      <c r="AE14" s="171">
        <v>-4.1230000000000002</v>
      </c>
      <c r="AF14" s="178">
        <f>BJ14-AE14</f>
        <v>-4.4059999999999997</v>
      </c>
      <c r="AG14" s="171">
        <v>-3.839</v>
      </c>
      <c r="AH14" s="178">
        <f>BK14-AG14</f>
        <v>-3.7790000000000004</v>
      </c>
      <c r="AI14" s="171">
        <v>-3.51</v>
      </c>
      <c r="AJ14" s="178">
        <f>BL14-AI14</f>
        <v>-3.24</v>
      </c>
      <c r="AK14" s="171">
        <v>-24.335999999999999</v>
      </c>
      <c r="AL14" s="178">
        <f>BM14-AK14</f>
        <v>-47.766000000000005</v>
      </c>
      <c r="AM14" s="171">
        <v>-45.985999999999997</v>
      </c>
      <c r="AN14" s="178">
        <f t="shared" si="15"/>
        <v>-55.933</v>
      </c>
      <c r="AO14" s="171">
        <v>-45.091999999999999</v>
      </c>
      <c r="AP14" s="532">
        <f t="shared" si="13"/>
        <v>-46.430999999999997</v>
      </c>
      <c r="AQ14" s="51"/>
      <c r="AR14" s="51"/>
      <c r="AS14" s="51"/>
      <c r="AT14" s="51"/>
      <c r="AU14" s="573"/>
      <c r="AV14" s="573"/>
      <c r="AW14" s="573"/>
      <c r="AX14" s="573"/>
      <c r="AY14" s="573"/>
      <c r="AZ14" s="573"/>
      <c r="BA14" s="573"/>
      <c r="BB14" s="55"/>
      <c r="BC14" s="92"/>
      <c r="BD14" s="92"/>
      <c r="BE14" s="92"/>
      <c r="BF14" s="92"/>
      <c r="BG14" s="102">
        <v>-4.6440000000000001</v>
      </c>
      <c r="BH14" s="102">
        <v>-5.32</v>
      </c>
      <c r="BI14" s="102">
        <v>-6.5960000000000001</v>
      </c>
      <c r="BJ14" s="102">
        <v>-8.5289999999999999</v>
      </c>
      <c r="BK14" s="181">
        <v>-7.6180000000000003</v>
      </c>
      <c r="BL14" s="181">
        <v>-6.75</v>
      </c>
      <c r="BM14" s="181">
        <v>-72.102000000000004</v>
      </c>
      <c r="BN14" s="181">
        <v>-101.919</v>
      </c>
      <c r="BO14" s="307">
        <v>-91.522999999999996</v>
      </c>
      <c r="BP14" s="293"/>
      <c r="BQ14" s="293"/>
      <c r="BS14" s="70" t="s">
        <v>630</v>
      </c>
    </row>
    <row r="15" spans="1:71" s="70" customFormat="1">
      <c r="A15" s="10" t="s">
        <v>326</v>
      </c>
      <c r="B15" s="75" t="s">
        <v>168</v>
      </c>
      <c r="S15" s="80"/>
      <c r="T15" s="80"/>
      <c r="U15" s="80"/>
      <c r="V15" s="80"/>
      <c r="W15" s="100"/>
      <c r="X15" s="100"/>
      <c r="Y15" s="574">
        <f>Y16-Y72-Y73</f>
        <v>24.673000000000002</v>
      </c>
      <c r="Z15" s="566">
        <f t="shared" si="9"/>
        <v>40.497800000000026</v>
      </c>
      <c r="AA15" s="574">
        <f>AA16-AA72-AA73</f>
        <v>28.553000000000015</v>
      </c>
      <c r="AB15" s="566">
        <f t="shared" si="10"/>
        <v>41.43499999999996</v>
      </c>
      <c r="AC15" s="574">
        <f>AC16-AC72-AC73</f>
        <v>29.927999999999987</v>
      </c>
      <c r="AD15" s="168">
        <f t="shared" si="11"/>
        <v>36.933000000000064</v>
      </c>
      <c r="AE15" s="574">
        <f t="shared" ref="AE15:AK15" si="18">AE16-AE72-AE73</f>
        <v>40.940999999999988</v>
      </c>
      <c r="AF15" s="574">
        <f t="shared" si="18"/>
        <v>54.12700000000001</v>
      </c>
      <c r="AG15" s="574">
        <f t="shared" si="18"/>
        <v>48.288000000000018</v>
      </c>
      <c r="AH15" s="574">
        <f t="shared" si="18"/>
        <v>60.267999999999894</v>
      </c>
      <c r="AI15" s="574">
        <f t="shared" si="18"/>
        <v>51.553000000000011</v>
      </c>
      <c r="AJ15" s="574">
        <f t="shared" si="18"/>
        <v>55.142999999999994</v>
      </c>
      <c r="AK15" s="574">
        <f t="shared" si="18"/>
        <v>40.204999999999977</v>
      </c>
      <c r="AL15" s="574">
        <f t="shared" ref="AL15:AL18" si="19">BM15-AK15</f>
        <v>114.86300000000003</v>
      </c>
      <c r="AM15" s="574">
        <f>AM16-AM72-AM73</f>
        <v>94.092000000000027</v>
      </c>
      <c r="AN15" s="574">
        <f t="shared" si="15"/>
        <v>145.19499999999999</v>
      </c>
      <c r="AO15" s="574">
        <f>AO16-AO72-AO73</f>
        <v>114.89600000000003</v>
      </c>
      <c r="AP15" s="575">
        <f t="shared" si="13"/>
        <v>187.11799999999999</v>
      </c>
      <c r="AQ15" s="576"/>
      <c r="AR15" s="576"/>
      <c r="AS15" s="576"/>
      <c r="AT15" s="576"/>
      <c r="AU15" s="564"/>
      <c r="AV15" s="564"/>
      <c r="AW15" s="564"/>
      <c r="AX15" s="564"/>
      <c r="AY15" s="564"/>
      <c r="AZ15" s="564"/>
      <c r="BA15" s="564"/>
      <c r="BB15" s="564"/>
      <c r="BC15" s="564"/>
      <c r="BE15" s="564"/>
      <c r="BF15" s="564"/>
      <c r="BG15" s="577">
        <f t="shared" ref="BG15:BO15" si="20">BG16-BG72-BG73</f>
        <v>65.170800000000028</v>
      </c>
      <c r="BH15" s="574">
        <f t="shared" si="20"/>
        <v>69.987999999999971</v>
      </c>
      <c r="BI15" s="574">
        <f t="shared" si="20"/>
        <v>66.861000000000047</v>
      </c>
      <c r="BJ15" s="574">
        <f t="shared" si="20"/>
        <v>95.067999999999998</v>
      </c>
      <c r="BK15" s="574">
        <f t="shared" si="20"/>
        <v>108.5559999999999</v>
      </c>
      <c r="BL15" s="577">
        <f t="shared" si="20"/>
        <v>106.69600000000001</v>
      </c>
      <c r="BM15" s="577">
        <f t="shared" si="20"/>
        <v>155.06800000000001</v>
      </c>
      <c r="BN15" s="577">
        <f t="shared" si="20"/>
        <v>239.28700000000003</v>
      </c>
      <c r="BO15" s="578">
        <f t="shared" si="20"/>
        <v>302.01400000000001</v>
      </c>
      <c r="BP15" s="576"/>
      <c r="BQ15" s="576"/>
      <c r="BS15" s="70" t="s">
        <v>609</v>
      </c>
    </row>
    <row r="16" spans="1:71" s="75" customFormat="1">
      <c r="A16" s="10" t="s">
        <v>321</v>
      </c>
      <c r="B16" s="75" t="s">
        <v>169</v>
      </c>
      <c r="S16" s="201"/>
      <c r="T16" s="201"/>
      <c r="U16" s="201"/>
      <c r="V16" s="201"/>
      <c r="W16" s="100"/>
      <c r="X16" s="100"/>
      <c r="Y16" s="574">
        <f>SUM(Y10:Y14)</f>
        <v>21.324999999999999</v>
      </c>
      <c r="Z16" s="566">
        <f t="shared" si="9"/>
        <v>36.816800000000029</v>
      </c>
      <c r="AA16" s="574">
        <f>SUM(AA10:AA14)</f>
        <v>24.911000000000012</v>
      </c>
      <c r="AB16" s="566">
        <f t="shared" si="10"/>
        <v>37.780999999999963</v>
      </c>
      <c r="AC16" s="574">
        <f>SUM(AC10:AC14)</f>
        <v>23.45999999999999</v>
      </c>
      <c r="AD16" s="168">
        <f t="shared" si="11"/>
        <v>32.091000000000051</v>
      </c>
      <c r="AE16" s="574">
        <f>SUM(AE10:AE14)</f>
        <v>27.905999999999995</v>
      </c>
      <c r="AF16" s="87">
        <f>BJ16-AE16</f>
        <v>40.063000000000002</v>
      </c>
      <c r="AG16" s="574">
        <f>SUM(AG10:AG14)</f>
        <v>35.908000000000015</v>
      </c>
      <c r="AH16" s="87">
        <f>BK16-AG16</f>
        <v>47.518999999999892</v>
      </c>
      <c r="AI16" s="574">
        <f>SUM(AI10:AI14)</f>
        <v>40.688000000000009</v>
      </c>
      <c r="AJ16" s="87">
        <f>BL16-AI16</f>
        <v>42.451000000000001</v>
      </c>
      <c r="AK16" s="574">
        <f>SUM(AK10:AK14)</f>
        <v>12.277999999999977</v>
      </c>
      <c r="AL16" s="87">
        <f t="shared" si="19"/>
        <v>82.428000000000011</v>
      </c>
      <c r="AM16" s="574">
        <f>SUM(AM10:AM14)</f>
        <v>55.34700000000003</v>
      </c>
      <c r="AN16" s="87">
        <f t="shared" si="15"/>
        <v>102.82400000000001</v>
      </c>
      <c r="AO16" s="574">
        <f>SUM(AO10:AO14)</f>
        <v>71.868000000000038</v>
      </c>
      <c r="AP16" s="533">
        <f t="shared" si="13"/>
        <v>134.09599999999995</v>
      </c>
      <c r="AQ16" s="576"/>
      <c r="AR16" s="576"/>
      <c r="AS16" s="576"/>
      <c r="AT16" s="576"/>
      <c r="AU16" s="577"/>
      <c r="AV16" s="577"/>
      <c r="AW16" s="577"/>
      <c r="AX16" s="577"/>
      <c r="AY16" s="577"/>
      <c r="AZ16" s="577"/>
      <c r="BA16" s="577"/>
      <c r="BB16" s="577"/>
      <c r="BC16" s="577"/>
      <c r="BE16" s="577"/>
      <c r="BF16" s="577"/>
      <c r="BG16" s="577">
        <f t="shared" ref="BG16:BO16" si="21">SUM(BG10:BG14)</f>
        <v>58.141800000000025</v>
      </c>
      <c r="BH16" s="574">
        <f t="shared" si="21"/>
        <v>62.691999999999972</v>
      </c>
      <c r="BI16" s="574">
        <f t="shared" si="21"/>
        <v>55.551000000000045</v>
      </c>
      <c r="BJ16" s="574">
        <f t="shared" si="21"/>
        <v>67.968999999999994</v>
      </c>
      <c r="BK16" s="574">
        <f t="shared" si="21"/>
        <v>83.426999999999907</v>
      </c>
      <c r="BL16" s="577">
        <f t="shared" si="21"/>
        <v>83.13900000000001</v>
      </c>
      <c r="BM16" s="577">
        <f t="shared" si="21"/>
        <v>94.705999999999989</v>
      </c>
      <c r="BN16" s="577">
        <f t="shared" si="21"/>
        <v>158.17100000000005</v>
      </c>
      <c r="BO16" s="578">
        <f t="shared" si="21"/>
        <v>205.96399999999997</v>
      </c>
      <c r="BP16" s="294"/>
      <c r="BQ16" s="294"/>
      <c r="BS16" s="70" t="s">
        <v>609</v>
      </c>
    </row>
    <row r="17" spans="1:71" s="70" customFormat="1">
      <c r="A17" s="10"/>
      <c r="B17" s="70" t="s">
        <v>306</v>
      </c>
      <c r="S17" s="80"/>
      <c r="T17" s="80"/>
      <c r="U17" s="80"/>
      <c r="V17" s="80"/>
      <c r="W17" s="100"/>
      <c r="X17" s="100"/>
      <c r="Y17" s="570">
        <v>-0.158</v>
      </c>
      <c r="Z17" s="566">
        <f t="shared" si="9"/>
        <v>-3.637</v>
      </c>
      <c r="AA17" s="570">
        <v>8.4030000000000005</v>
      </c>
      <c r="AB17" s="566">
        <f t="shared" si="10"/>
        <v>-2.8520000000000003</v>
      </c>
      <c r="AC17" s="570">
        <v>3.0659999999999998</v>
      </c>
      <c r="AD17" s="168">
        <f t="shared" si="11"/>
        <v>2.3580000000000005</v>
      </c>
      <c r="AE17" s="570">
        <v>-4.476</v>
      </c>
      <c r="AF17" s="81">
        <f>BJ17-AE17</f>
        <v>6.266</v>
      </c>
      <c r="AG17" s="570">
        <v>-1.2070000000000001</v>
      </c>
      <c r="AH17" s="81">
        <f>BK17-AG17</f>
        <v>-2.8980000000000006</v>
      </c>
      <c r="AI17" s="570">
        <v>-0.44800000000000001</v>
      </c>
      <c r="AJ17" s="81">
        <f>BL17-AI17</f>
        <v>32.265000000000001</v>
      </c>
      <c r="AK17" s="570">
        <v>1.802</v>
      </c>
      <c r="AL17" s="81">
        <f t="shared" si="19"/>
        <v>-8.4510000000000005</v>
      </c>
      <c r="AM17" s="570">
        <v>27.481999999999999</v>
      </c>
      <c r="AN17" s="81">
        <f t="shared" si="15"/>
        <v>23.819000000000003</v>
      </c>
      <c r="AO17" s="570">
        <v>-7.9160000000000004</v>
      </c>
      <c r="AP17" s="531">
        <f t="shared" si="13"/>
        <v>69.119</v>
      </c>
      <c r="AQ17" s="571"/>
      <c r="AR17" s="571"/>
      <c r="AS17" s="571"/>
      <c r="AT17" s="571"/>
      <c r="AU17" s="564"/>
      <c r="AV17" s="564"/>
      <c r="AW17" s="564"/>
      <c r="AX17" s="564"/>
      <c r="AY17" s="564"/>
      <c r="AZ17" s="564"/>
      <c r="BA17" s="564"/>
      <c r="BB17" s="564"/>
      <c r="BC17" s="564"/>
      <c r="BE17" s="564"/>
      <c r="BF17" s="564"/>
      <c r="BG17" s="572">
        <v>-3.7949999999999999</v>
      </c>
      <c r="BH17" s="570">
        <v>5.5510000000000002</v>
      </c>
      <c r="BI17" s="570">
        <v>5.4240000000000004</v>
      </c>
      <c r="BJ17" s="570">
        <v>1.79</v>
      </c>
      <c r="BK17" s="570">
        <v>-4.1050000000000004</v>
      </c>
      <c r="BL17" s="572">
        <v>31.817</v>
      </c>
      <c r="BM17" s="572">
        <v>-6.649</v>
      </c>
      <c r="BN17" s="572">
        <v>51.301000000000002</v>
      </c>
      <c r="BO17" s="579">
        <v>61.203000000000003</v>
      </c>
      <c r="BP17" s="293"/>
      <c r="BQ17" s="293"/>
      <c r="BS17" s="70" t="s">
        <v>630</v>
      </c>
    </row>
    <row r="18" spans="1:71" s="70" customFormat="1">
      <c r="A18" s="10"/>
      <c r="B18" s="70" t="s">
        <v>307</v>
      </c>
      <c r="S18" s="80"/>
      <c r="T18" s="80"/>
      <c r="U18" s="80"/>
      <c r="V18" s="80"/>
      <c r="W18" s="100"/>
      <c r="X18" s="100"/>
      <c r="Y18" s="570">
        <v>0.03</v>
      </c>
      <c r="Z18" s="566">
        <f t="shared" si="9"/>
        <v>0</v>
      </c>
      <c r="AA18" s="570">
        <v>0.45800000000000002</v>
      </c>
      <c r="AB18" s="566">
        <f t="shared" si="10"/>
        <v>-0.55300000000000005</v>
      </c>
      <c r="AC18" s="570">
        <v>3.1469999999999998</v>
      </c>
      <c r="AD18" s="168">
        <f t="shared" si="11"/>
        <v>-1.9919999999999998</v>
      </c>
      <c r="AE18" s="570">
        <v>2.5310000000000001</v>
      </c>
      <c r="AF18" s="81">
        <f>BJ18-AE18</f>
        <v>-5.27</v>
      </c>
      <c r="AG18" s="570">
        <v>1.046</v>
      </c>
      <c r="AH18" s="81">
        <f>BK18-AG18</f>
        <v>21.835000000000001</v>
      </c>
      <c r="AI18" s="570">
        <v>5.4749999999999996</v>
      </c>
      <c r="AJ18" s="81">
        <f>BL18-AI18</f>
        <v>1.7750000000000004</v>
      </c>
      <c r="AK18" s="570">
        <v>11.893000000000001</v>
      </c>
      <c r="AL18" s="81">
        <f t="shared" si="19"/>
        <v>27.152999999999999</v>
      </c>
      <c r="AM18" s="570">
        <v>5.9580000000000002</v>
      </c>
      <c r="AN18" s="81">
        <f t="shared" si="15"/>
        <v>0.63900000000000023</v>
      </c>
      <c r="AO18" s="570">
        <v>0.187</v>
      </c>
      <c r="AP18" s="531">
        <f t="shared" si="13"/>
        <v>2.383</v>
      </c>
      <c r="AQ18" s="571"/>
      <c r="AR18" s="571"/>
      <c r="AS18" s="571"/>
      <c r="AT18" s="571"/>
      <c r="AU18" s="564"/>
      <c r="AV18" s="564"/>
      <c r="AW18" s="564"/>
      <c r="AX18" s="564"/>
      <c r="AY18" s="564"/>
      <c r="AZ18" s="564"/>
      <c r="BA18" s="564"/>
      <c r="BB18" s="564"/>
      <c r="BC18" s="564"/>
      <c r="BE18" s="564"/>
      <c r="BF18" s="564"/>
      <c r="BG18" s="572">
        <v>0.03</v>
      </c>
      <c r="BH18" s="570">
        <v>-9.5000000000000001E-2</v>
      </c>
      <c r="BI18" s="570">
        <v>1.155</v>
      </c>
      <c r="BJ18" s="570">
        <v>-2.7389999999999999</v>
      </c>
      <c r="BK18" s="570">
        <v>22.881</v>
      </c>
      <c r="BL18" s="572">
        <v>7.25</v>
      </c>
      <c r="BM18" s="572">
        <v>39.045999999999999</v>
      </c>
      <c r="BN18" s="572">
        <v>6.5970000000000004</v>
      </c>
      <c r="BO18" s="579">
        <v>2.57</v>
      </c>
      <c r="BP18" s="293"/>
      <c r="BQ18" s="293"/>
      <c r="BS18" s="70" t="s">
        <v>630</v>
      </c>
    </row>
    <row r="19" spans="1:71" s="70" customFormat="1">
      <c r="A19" s="10"/>
      <c r="B19" s="70" t="s">
        <v>513</v>
      </c>
      <c r="S19" s="80"/>
      <c r="T19" s="80"/>
      <c r="U19" s="80"/>
      <c r="V19" s="80"/>
      <c r="W19" s="100"/>
      <c r="X19" s="100"/>
      <c r="Y19" s="570"/>
      <c r="Z19" s="566"/>
      <c r="AA19" s="570"/>
      <c r="AB19" s="566"/>
      <c r="AC19" s="570"/>
      <c r="AD19" s="168"/>
      <c r="AE19" s="570"/>
      <c r="AF19" s="81"/>
      <c r="AG19" s="570"/>
      <c r="AH19" s="81"/>
      <c r="AI19" s="570"/>
      <c r="AJ19" s="81"/>
      <c r="AK19" s="570"/>
      <c r="AL19" s="81"/>
      <c r="AM19" s="570"/>
      <c r="AN19" s="81"/>
      <c r="AO19" s="570"/>
      <c r="AP19" s="531"/>
      <c r="AQ19" s="576"/>
      <c r="AR19" s="576"/>
      <c r="AS19" s="576"/>
      <c r="AT19" s="576"/>
      <c r="AU19" s="564"/>
      <c r="AV19" s="564"/>
      <c r="AW19" s="564"/>
      <c r="AX19" s="564"/>
      <c r="AY19" s="564"/>
      <c r="AZ19" s="564"/>
      <c r="BA19" s="564"/>
      <c r="BB19" s="564"/>
      <c r="BC19" s="564"/>
      <c r="BE19" s="564"/>
      <c r="BF19" s="564"/>
      <c r="BG19" s="572"/>
      <c r="BH19" s="570"/>
      <c r="BI19" s="570"/>
      <c r="BJ19" s="570"/>
      <c r="BK19" s="570"/>
      <c r="BL19" s="572"/>
      <c r="BM19" s="572"/>
      <c r="BN19" s="572"/>
      <c r="BO19" s="579"/>
      <c r="BP19" s="293"/>
      <c r="BQ19" s="293"/>
    </row>
    <row r="20" spans="1:71" s="75" customFormat="1">
      <c r="A20" s="10" t="s">
        <v>257</v>
      </c>
      <c r="B20" s="75" t="s">
        <v>176</v>
      </c>
      <c r="S20" s="201"/>
      <c r="T20" s="201"/>
      <c r="U20" s="201"/>
      <c r="V20" s="201"/>
      <c r="W20" s="100"/>
      <c r="X20" s="100"/>
      <c r="Y20" s="577">
        <f>SUM(Y16:Y18)</f>
        <v>21.196999999999999</v>
      </c>
      <c r="Z20" s="566">
        <f>BG20-Y20</f>
        <v>33.179800000000029</v>
      </c>
      <c r="AA20" s="574">
        <f>SUM(AA16:AA18)</f>
        <v>33.772000000000013</v>
      </c>
      <c r="AB20" s="566">
        <f>BH20-AA20</f>
        <v>34.375999999999955</v>
      </c>
      <c r="AC20" s="574">
        <f>SUM(AC16:AC18)</f>
        <v>29.672999999999988</v>
      </c>
      <c r="AD20" s="168">
        <f>BI20-AC20</f>
        <v>32.457000000000058</v>
      </c>
      <c r="AE20" s="574">
        <f>SUM(AE16:AE18)</f>
        <v>25.960999999999995</v>
      </c>
      <c r="AF20" s="87">
        <f>BJ20-AE20</f>
        <v>41.058999999999997</v>
      </c>
      <c r="AG20" s="574">
        <f>SUM(AG16:AG18)</f>
        <v>35.747000000000014</v>
      </c>
      <c r="AH20" s="87">
        <f>BK20-AG20</f>
        <v>66.455999999999889</v>
      </c>
      <c r="AI20" s="574">
        <f>SUM(AI16:AI18)</f>
        <v>45.715000000000011</v>
      </c>
      <c r="AJ20" s="87">
        <f>BL20-AI20</f>
        <v>76.491000000000014</v>
      </c>
      <c r="AK20" s="574">
        <f>SUM(AK16:AK18)</f>
        <v>25.972999999999978</v>
      </c>
      <c r="AL20" s="87">
        <f t="shared" ref="AL20:AL24" si="22">BM20-AK20</f>
        <v>101.13</v>
      </c>
      <c r="AM20" s="574">
        <f>SUM(AM16:AM18)</f>
        <v>88.787000000000035</v>
      </c>
      <c r="AN20" s="87">
        <f t="shared" si="15"/>
        <v>127.28200000000001</v>
      </c>
      <c r="AO20" s="574">
        <f>SUM(AO16:AO18)</f>
        <v>64.139000000000038</v>
      </c>
      <c r="AP20" s="533">
        <f>BO20-AO20</f>
        <v>205.59799999999993</v>
      </c>
      <c r="AQ20" s="576"/>
      <c r="AR20" s="576"/>
      <c r="AS20" s="576"/>
      <c r="AT20" s="576"/>
      <c r="AU20" s="577"/>
      <c r="AV20" s="577"/>
      <c r="AW20" s="577"/>
      <c r="AX20" s="577"/>
      <c r="AY20" s="577"/>
      <c r="AZ20" s="577"/>
      <c r="BA20" s="577"/>
      <c r="BB20" s="577"/>
      <c r="BC20" s="577"/>
      <c r="BE20" s="577"/>
      <c r="BF20" s="577"/>
      <c r="BG20" s="577">
        <f t="shared" ref="BG20:BO20" si="23">SUM(BG16:BG18)</f>
        <v>54.376800000000024</v>
      </c>
      <c r="BH20" s="574">
        <f t="shared" si="23"/>
        <v>68.147999999999968</v>
      </c>
      <c r="BI20" s="574">
        <f t="shared" si="23"/>
        <v>62.130000000000045</v>
      </c>
      <c r="BJ20" s="574">
        <f t="shared" si="23"/>
        <v>67.02</v>
      </c>
      <c r="BK20" s="574">
        <f t="shared" si="23"/>
        <v>102.2029999999999</v>
      </c>
      <c r="BL20" s="577">
        <f t="shared" si="23"/>
        <v>122.20600000000002</v>
      </c>
      <c r="BM20" s="577">
        <f t="shared" si="23"/>
        <v>127.10299999999998</v>
      </c>
      <c r="BN20" s="577">
        <f t="shared" si="23"/>
        <v>216.06900000000005</v>
      </c>
      <c r="BO20" s="578">
        <f t="shared" si="23"/>
        <v>269.73699999999997</v>
      </c>
      <c r="BP20" s="294"/>
      <c r="BQ20" s="294"/>
      <c r="BS20" s="70" t="s">
        <v>609</v>
      </c>
    </row>
    <row r="21" spans="1:71" s="70" customFormat="1">
      <c r="A21" s="10" t="s">
        <v>102</v>
      </c>
      <c r="B21" s="70" t="s">
        <v>88</v>
      </c>
      <c r="S21" s="80"/>
      <c r="T21" s="80"/>
      <c r="U21" s="80"/>
      <c r="V21" s="80"/>
      <c r="W21" s="100"/>
      <c r="X21" s="100"/>
      <c r="Y21" s="570">
        <v>-4.4470000000000001</v>
      </c>
      <c r="Z21" s="566">
        <f>BG21-Y21</f>
        <v>-6.8289999999999997</v>
      </c>
      <c r="AA21" s="570">
        <v>-5.6989999999999998</v>
      </c>
      <c r="AB21" s="566">
        <f>BH21-AA21</f>
        <v>-7.4779999999999998</v>
      </c>
      <c r="AC21" s="570">
        <v>-5.7009999999999996</v>
      </c>
      <c r="AD21" s="168">
        <f>BI21-AC21</f>
        <v>-7.2570000000000006</v>
      </c>
      <c r="AE21" s="570">
        <v>-7.04</v>
      </c>
      <c r="AF21" s="81">
        <f>BJ21-AE21</f>
        <v>-4.1350000000000007</v>
      </c>
      <c r="AG21" s="570">
        <v>-7.3129999999999997</v>
      </c>
      <c r="AH21" s="81">
        <f>BK21-AG21</f>
        <v>-11.164000000000001</v>
      </c>
      <c r="AI21" s="570">
        <v>-8.4770000000000003</v>
      </c>
      <c r="AJ21" s="81">
        <f>BL21-AI21</f>
        <v>-13.844999999999999</v>
      </c>
      <c r="AK21" s="570">
        <v>-14.964</v>
      </c>
      <c r="AL21" s="81">
        <f t="shared" si="22"/>
        <v>-20.515999999999998</v>
      </c>
      <c r="AM21" s="570">
        <v>-20.957999999999998</v>
      </c>
      <c r="AN21" s="81">
        <f t="shared" si="15"/>
        <v>-27.434000000000005</v>
      </c>
      <c r="AO21" s="570">
        <v>-23.096</v>
      </c>
      <c r="AP21" s="531">
        <f>BO21-AO21</f>
        <v>-31.037000000000003</v>
      </c>
      <c r="AQ21" s="568"/>
      <c r="AR21" s="568"/>
      <c r="AS21" s="568"/>
      <c r="AT21" s="568"/>
      <c r="AU21" s="564"/>
      <c r="AV21" s="564"/>
      <c r="AW21" s="564"/>
      <c r="AX21" s="564"/>
      <c r="AY21" s="564"/>
      <c r="AZ21" s="564"/>
      <c r="BA21" s="564"/>
      <c r="BB21" s="564"/>
      <c r="BC21" s="564"/>
      <c r="BE21" s="564"/>
      <c r="BF21" s="564"/>
      <c r="BG21" s="572">
        <v>-11.276</v>
      </c>
      <c r="BH21" s="570">
        <v>-13.177</v>
      </c>
      <c r="BI21" s="570">
        <v>-12.958</v>
      </c>
      <c r="BJ21" s="570">
        <v>-11.175000000000001</v>
      </c>
      <c r="BK21" s="570">
        <v>-18.477</v>
      </c>
      <c r="BL21" s="572">
        <v>-22.321999999999999</v>
      </c>
      <c r="BM21" s="572">
        <v>-35.479999999999997</v>
      </c>
      <c r="BN21" s="572">
        <v>-48.392000000000003</v>
      </c>
      <c r="BO21" s="579">
        <v>-54.133000000000003</v>
      </c>
      <c r="BP21" s="293"/>
      <c r="BQ21" s="293"/>
      <c r="BS21" s="70" t="s">
        <v>630</v>
      </c>
    </row>
    <row r="22" spans="1:71" s="75" customFormat="1">
      <c r="A22" s="10" t="s">
        <v>170</v>
      </c>
      <c r="B22" s="75" t="s">
        <v>89</v>
      </c>
      <c r="S22" s="201"/>
      <c r="T22" s="201"/>
      <c r="U22" s="201"/>
      <c r="V22" s="201"/>
      <c r="W22" s="100"/>
      <c r="X22" s="100"/>
      <c r="Y22" s="119">
        <f>SUM(Y20:Y21)</f>
        <v>16.75</v>
      </c>
      <c r="Z22" s="566">
        <f>BG22-Y22</f>
        <v>26.350800000000021</v>
      </c>
      <c r="AA22" s="119">
        <f>SUM(AA20:AA21)</f>
        <v>28.073000000000015</v>
      </c>
      <c r="AB22" s="566">
        <f>BH22-AA22</f>
        <v>26.897999999999954</v>
      </c>
      <c r="AC22" s="119">
        <f>SUM(AC20:AC21)</f>
        <v>23.971999999999987</v>
      </c>
      <c r="AD22" s="168">
        <f>BI22-AC22</f>
        <v>25.20000000000006</v>
      </c>
      <c r="AE22" s="119">
        <f>SUM(AE20:AE21)</f>
        <v>18.920999999999996</v>
      </c>
      <c r="AF22" s="87">
        <f>BJ22-AE22</f>
        <v>36.924000000000007</v>
      </c>
      <c r="AG22" s="119">
        <f>SUM(AG20:AG21)</f>
        <v>28.434000000000015</v>
      </c>
      <c r="AH22" s="87">
        <f>BK22-AG22</f>
        <v>55.291999999999888</v>
      </c>
      <c r="AI22" s="119">
        <f>SUM(AI20:AI21)</f>
        <v>37.238000000000014</v>
      </c>
      <c r="AJ22" s="87">
        <f>BL22-AI22</f>
        <v>62.646000000000001</v>
      </c>
      <c r="AK22" s="119">
        <f>SUM(AK20:AK21)</f>
        <v>11.008999999999977</v>
      </c>
      <c r="AL22" s="87">
        <f t="shared" si="22"/>
        <v>80.614000000000019</v>
      </c>
      <c r="AM22" s="119">
        <f>SUM(AM20:AM21)</f>
        <v>67.829000000000036</v>
      </c>
      <c r="AN22" s="87">
        <f t="shared" si="15"/>
        <v>99.848000000000013</v>
      </c>
      <c r="AO22" s="119">
        <f>SUM(AO20:AO21)</f>
        <v>41.043000000000035</v>
      </c>
      <c r="AP22" s="533">
        <f>BO22-AO22</f>
        <v>174.56099999999992</v>
      </c>
      <c r="AQ22" s="291"/>
      <c r="AR22" s="291"/>
      <c r="AS22" s="291"/>
      <c r="AT22" s="291"/>
      <c r="AU22" s="577"/>
      <c r="AV22" s="577"/>
      <c r="AW22" s="577"/>
      <c r="AX22" s="577"/>
      <c r="AY22" s="577"/>
      <c r="AZ22" s="577"/>
      <c r="BA22" s="577"/>
      <c r="BB22" s="577"/>
      <c r="BC22" s="577"/>
      <c r="BE22" s="577"/>
      <c r="BF22" s="577"/>
      <c r="BG22" s="75">
        <f t="shared" ref="BG22:BO22" si="24">SUM(BG20:BG21)</f>
        <v>43.100800000000021</v>
      </c>
      <c r="BH22" s="75">
        <f t="shared" si="24"/>
        <v>54.970999999999968</v>
      </c>
      <c r="BI22" s="75">
        <f t="shared" si="24"/>
        <v>49.172000000000047</v>
      </c>
      <c r="BJ22" s="75">
        <f t="shared" si="24"/>
        <v>55.844999999999999</v>
      </c>
      <c r="BK22" s="75">
        <f t="shared" si="24"/>
        <v>83.7259999999999</v>
      </c>
      <c r="BL22" s="75">
        <f t="shared" si="24"/>
        <v>99.884000000000015</v>
      </c>
      <c r="BM22" s="75">
        <f t="shared" si="24"/>
        <v>91.62299999999999</v>
      </c>
      <c r="BN22" s="75">
        <f t="shared" si="24"/>
        <v>167.67700000000005</v>
      </c>
      <c r="BO22" s="308">
        <f t="shared" si="24"/>
        <v>215.60399999999996</v>
      </c>
      <c r="BP22" s="294"/>
      <c r="BQ22" s="294"/>
      <c r="BS22" s="70" t="s">
        <v>609</v>
      </c>
    </row>
    <row r="23" spans="1:71" s="70" customFormat="1">
      <c r="A23" s="10" t="s">
        <v>179</v>
      </c>
      <c r="B23" s="70" t="s">
        <v>221</v>
      </c>
      <c r="S23" s="99"/>
      <c r="T23" s="99"/>
      <c r="U23" s="99"/>
      <c r="V23" s="99"/>
      <c r="W23" s="100"/>
      <c r="X23" s="100"/>
      <c r="Y23" s="570">
        <v>4.3460000000000001</v>
      </c>
      <c r="Z23" s="566">
        <f>BG23-Y23</f>
        <v>5.7668000000000212</v>
      </c>
      <c r="AA23" s="570">
        <v>4.3209999999999997</v>
      </c>
      <c r="AB23" s="566">
        <f>BH23-AA23</f>
        <v>4.1299999999999653</v>
      </c>
      <c r="AC23" s="570">
        <v>4.1459999999999999</v>
      </c>
      <c r="AD23" s="168">
        <f>BI23-AC23</f>
        <v>-3.3349999999999502</v>
      </c>
      <c r="AE23" s="570">
        <f>AE22-16.596</f>
        <v>2.3249999999999957</v>
      </c>
      <c r="AF23" s="81">
        <f>BJ23-AE23</f>
        <v>6.5360000000000014</v>
      </c>
      <c r="AG23" s="570">
        <f>AG22-23.241</f>
        <v>5.1930000000000156</v>
      </c>
      <c r="AH23" s="81">
        <f>BK23-AG23</f>
        <v>7.9119999999998889</v>
      </c>
      <c r="AI23" s="570">
        <f>AI22-29.684</f>
        <v>7.5540000000000127</v>
      </c>
      <c r="AJ23" s="81">
        <f>BL23-AI23</f>
        <v>11.494000000000003</v>
      </c>
      <c r="AK23" s="570">
        <v>10.645</v>
      </c>
      <c r="AL23" s="81">
        <f t="shared" si="22"/>
        <v>15.724999999999991</v>
      </c>
      <c r="AM23" s="570">
        <v>14.705</v>
      </c>
      <c r="AN23" s="81">
        <f t="shared" si="15"/>
        <v>15.900000000000047</v>
      </c>
      <c r="AO23" s="570">
        <v>14.663</v>
      </c>
      <c r="AP23" s="531">
        <f>BO23-AO23</f>
        <v>20.885999999999949</v>
      </c>
      <c r="AQ23" s="571"/>
      <c r="AR23" s="571"/>
      <c r="AS23" s="571"/>
      <c r="AT23" s="571"/>
      <c r="AU23" s="564"/>
      <c r="AV23" s="580"/>
      <c r="AW23" s="580"/>
      <c r="AX23" s="580"/>
      <c r="AY23" s="580"/>
      <c r="AZ23" s="580"/>
      <c r="BA23" s="580"/>
      <c r="BB23" s="580"/>
      <c r="BC23" s="580"/>
      <c r="BE23" s="580"/>
      <c r="BF23" s="580"/>
      <c r="BG23" s="572">
        <f>BG22-32.988</f>
        <v>10.112800000000021</v>
      </c>
      <c r="BH23" s="570">
        <f>BH22-46.52</f>
        <v>8.450999999999965</v>
      </c>
      <c r="BI23" s="570">
        <f>BI22-48.361</f>
        <v>0.81100000000004968</v>
      </c>
      <c r="BJ23" s="570">
        <f>BJ22-46.984</f>
        <v>8.8609999999999971</v>
      </c>
      <c r="BK23" s="572">
        <f>BK22-70.621</f>
        <v>13.104999999999905</v>
      </c>
      <c r="BL23" s="572">
        <f>BL22-80.836</f>
        <v>19.048000000000016</v>
      </c>
      <c r="BM23" s="572">
        <f>BM22-65.253</f>
        <v>26.36999999999999</v>
      </c>
      <c r="BN23" s="572">
        <f>BN22-137.072</f>
        <v>30.605000000000047</v>
      </c>
      <c r="BO23" s="579">
        <f>BO22-180.055</f>
        <v>35.54899999999995</v>
      </c>
      <c r="BP23" s="293"/>
      <c r="BQ23" s="293"/>
      <c r="BS23" s="70" t="s">
        <v>630</v>
      </c>
    </row>
    <row r="24" spans="1:71" s="75" customFormat="1">
      <c r="A24" s="10" t="s">
        <v>258</v>
      </c>
      <c r="B24" s="75" t="s">
        <v>216</v>
      </c>
      <c r="S24" s="194"/>
      <c r="T24" s="194"/>
      <c r="U24" s="194"/>
      <c r="V24" s="194"/>
      <c r="W24" s="100"/>
      <c r="X24" s="100"/>
      <c r="Y24" s="574">
        <f>Y22-Y23</f>
        <v>12.404</v>
      </c>
      <c r="Z24" s="566">
        <f>BG24-Y24</f>
        <v>20.584</v>
      </c>
      <c r="AA24" s="574">
        <f>AA22-AA23</f>
        <v>23.752000000000017</v>
      </c>
      <c r="AB24" s="566">
        <f>BH24-AA24</f>
        <v>22.767999999999986</v>
      </c>
      <c r="AC24" s="574">
        <f>AC22-AC23</f>
        <v>19.825999999999986</v>
      </c>
      <c r="AD24" s="168">
        <f>BI24-AC24</f>
        <v>28.535000000000011</v>
      </c>
      <c r="AE24" s="574">
        <f>AE22-AE23</f>
        <v>16.596</v>
      </c>
      <c r="AF24" s="87">
        <f>BJ24-AE24</f>
        <v>30.388000000000002</v>
      </c>
      <c r="AG24" s="574">
        <f>AG22-AG23</f>
        <v>23.241</v>
      </c>
      <c r="AH24" s="87">
        <f>BK24-AG24</f>
        <v>47.379999999999995</v>
      </c>
      <c r="AI24" s="574">
        <f>AI22-AI23</f>
        <v>29.684000000000001</v>
      </c>
      <c r="AJ24" s="87">
        <f>BL24-AI24</f>
        <v>51.152000000000001</v>
      </c>
      <c r="AK24" s="581">
        <f>AK22-AK23</f>
        <v>0.36399999999997767</v>
      </c>
      <c r="AL24" s="87">
        <f t="shared" si="22"/>
        <v>64.889000000000024</v>
      </c>
      <c r="AM24" s="581">
        <f>AM22-AM23</f>
        <v>53.124000000000038</v>
      </c>
      <c r="AN24" s="87">
        <f t="shared" si="15"/>
        <v>83.947999999999965</v>
      </c>
      <c r="AO24" s="581">
        <f>AO22-AO23</f>
        <v>26.380000000000035</v>
      </c>
      <c r="AP24" s="533">
        <f>BO24-AO24</f>
        <v>153.67499999999998</v>
      </c>
      <c r="AQ24" s="576"/>
      <c r="AR24" s="576"/>
      <c r="AS24" s="576"/>
      <c r="AT24" s="576"/>
      <c r="AU24" s="577"/>
      <c r="AV24" s="582"/>
      <c r="AW24" s="582"/>
      <c r="AX24" s="582"/>
      <c r="AY24" s="582"/>
      <c r="AZ24" s="582"/>
      <c r="BA24" s="582"/>
      <c r="BB24" s="582"/>
      <c r="BC24" s="582"/>
      <c r="BE24" s="582"/>
      <c r="BF24" s="582"/>
      <c r="BG24" s="577">
        <f t="shared" ref="BG24:BO24" si="25">BG22-BG23</f>
        <v>32.988</v>
      </c>
      <c r="BH24" s="577">
        <f t="shared" si="25"/>
        <v>46.52</v>
      </c>
      <c r="BI24" s="577">
        <f t="shared" si="25"/>
        <v>48.360999999999997</v>
      </c>
      <c r="BJ24" s="577">
        <f t="shared" si="25"/>
        <v>46.984000000000002</v>
      </c>
      <c r="BK24" s="577">
        <f t="shared" si="25"/>
        <v>70.620999999999995</v>
      </c>
      <c r="BL24" s="577">
        <f t="shared" si="25"/>
        <v>80.835999999999999</v>
      </c>
      <c r="BM24" s="577">
        <f t="shared" si="25"/>
        <v>65.253</v>
      </c>
      <c r="BN24" s="577">
        <f t="shared" si="25"/>
        <v>137.072</v>
      </c>
      <c r="BO24" s="578">
        <f t="shared" si="25"/>
        <v>180.05500000000001</v>
      </c>
      <c r="BP24" s="294"/>
      <c r="BQ24" s="294"/>
      <c r="BS24" s="70" t="s">
        <v>609</v>
      </c>
    </row>
    <row r="25" spans="1:71" s="75" customFormat="1">
      <c r="A25" s="10"/>
      <c r="S25" s="194"/>
      <c r="T25" s="194"/>
      <c r="U25" s="194"/>
      <c r="V25" s="194"/>
      <c r="W25" s="100"/>
      <c r="X25" s="100"/>
      <c r="Y25" s="574"/>
      <c r="Z25" s="566"/>
      <c r="AA25" s="574"/>
      <c r="AB25" s="566"/>
      <c r="AC25" s="574"/>
      <c r="AD25" s="168"/>
      <c r="AE25" s="574"/>
      <c r="AF25" s="87"/>
      <c r="AG25" s="574"/>
      <c r="AH25" s="87"/>
      <c r="AI25" s="574"/>
      <c r="AJ25" s="87"/>
      <c r="AK25" s="574"/>
      <c r="AL25" s="87"/>
      <c r="AM25" s="574"/>
      <c r="AN25" s="87"/>
      <c r="AO25" s="574"/>
      <c r="AP25" s="533"/>
      <c r="AQ25" s="574"/>
      <c r="AR25" s="574"/>
      <c r="AS25" s="574"/>
      <c r="AT25" s="574"/>
      <c r="AU25" s="577"/>
      <c r="AV25" s="582"/>
      <c r="AW25" s="582"/>
      <c r="AX25" s="582"/>
      <c r="AY25" s="582"/>
      <c r="AZ25" s="582"/>
      <c r="BA25" s="582"/>
      <c r="BB25" s="582"/>
      <c r="BC25" s="582"/>
      <c r="BE25" s="582"/>
      <c r="BF25" s="582"/>
      <c r="BG25" s="577"/>
      <c r="BH25" s="577"/>
      <c r="BI25" s="577"/>
      <c r="BJ25" s="577"/>
      <c r="BK25" s="574"/>
      <c r="BL25" s="574"/>
      <c r="BM25" s="574"/>
      <c r="BN25" s="574"/>
      <c r="BO25" s="575"/>
      <c r="BP25" s="164"/>
      <c r="BQ25" s="164"/>
    </row>
    <row r="26" spans="1:71" s="70" customFormat="1">
      <c r="A26" s="67"/>
      <c r="B26" s="95" t="s">
        <v>227</v>
      </c>
      <c r="C26" s="96"/>
      <c r="D26" s="96"/>
      <c r="E26" s="96"/>
      <c r="F26" s="96"/>
      <c r="G26" s="97"/>
      <c r="H26" s="560"/>
      <c r="I26" s="560"/>
      <c r="J26" s="560"/>
      <c r="K26" s="560"/>
      <c r="L26" s="560"/>
      <c r="M26" s="560"/>
      <c r="N26" s="560"/>
      <c r="O26" s="560"/>
      <c r="P26" s="561"/>
      <c r="Q26" s="561"/>
      <c r="R26" s="561"/>
      <c r="S26" s="561"/>
      <c r="T26" s="561"/>
      <c r="U26" s="562"/>
      <c r="V26" s="562"/>
      <c r="W26" s="562"/>
      <c r="X26" s="562"/>
      <c r="Y26" s="562"/>
      <c r="Z26" s="562"/>
      <c r="AA26" s="562"/>
      <c r="AB26" s="562"/>
      <c r="AC26" s="562"/>
      <c r="AD26" s="562"/>
      <c r="AE26" s="562"/>
      <c r="AF26" s="562"/>
      <c r="AG26" s="562"/>
      <c r="AH26" s="562"/>
      <c r="AI26" s="562"/>
      <c r="AJ26" s="562"/>
      <c r="AK26" s="562"/>
      <c r="AL26" s="562"/>
      <c r="AM26" s="562"/>
      <c r="AN26" s="562"/>
      <c r="AO26" s="562"/>
      <c r="AP26" s="563"/>
      <c r="AQ26" s="562"/>
      <c r="AR26" s="562"/>
      <c r="AS26" s="562"/>
      <c r="AT26" s="562"/>
      <c r="AU26" s="564"/>
      <c r="AV26" s="565"/>
      <c r="AW26" s="565"/>
      <c r="AX26" s="565"/>
      <c r="AY26" s="565"/>
      <c r="AZ26" s="565"/>
      <c r="BA26" s="565"/>
      <c r="BB26" s="565"/>
      <c r="BC26" s="562"/>
      <c r="BD26" s="98"/>
      <c r="BE26" s="98"/>
      <c r="BF26" s="98"/>
      <c r="BG26" s="98"/>
      <c r="BH26" s="98"/>
      <c r="BI26" s="98"/>
      <c r="BJ26" s="98"/>
      <c r="BK26" s="98"/>
      <c r="BL26" s="98"/>
      <c r="BM26" s="98"/>
      <c r="BN26" s="98"/>
      <c r="BO26" s="305"/>
      <c r="BP26" s="97"/>
      <c r="BQ26" s="97"/>
    </row>
    <row r="27" spans="1:71" s="75" customFormat="1">
      <c r="A27" s="10"/>
      <c r="B27" s="75" t="s">
        <v>220</v>
      </c>
      <c r="S27" s="194"/>
      <c r="T27" s="194"/>
      <c r="U27" s="194"/>
      <c r="V27" s="194"/>
      <c r="W27" s="100"/>
      <c r="X27" s="100"/>
      <c r="Y27" s="576"/>
      <c r="Z27" s="583"/>
      <c r="AA27" s="576"/>
      <c r="AB27" s="583"/>
      <c r="AC27" s="576"/>
      <c r="AD27" s="295"/>
      <c r="AE27" s="576"/>
      <c r="AF27" s="296"/>
      <c r="AG27" s="568"/>
      <c r="AH27" s="297"/>
      <c r="AI27" s="568"/>
      <c r="AJ27" s="297"/>
      <c r="AK27" s="568"/>
      <c r="AL27" s="297"/>
      <c r="AM27" s="568"/>
      <c r="AN27" s="297"/>
      <c r="AO27" s="568"/>
      <c r="AP27" s="534"/>
      <c r="AQ27" s="568"/>
      <c r="AR27" s="568"/>
      <c r="AS27" s="568"/>
      <c r="AT27" s="568"/>
      <c r="AU27" s="577"/>
      <c r="AV27" s="582"/>
      <c r="AW27" s="582"/>
      <c r="AX27" s="582"/>
      <c r="AY27" s="582"/>
      <c r="AZ27" s="582"/>
      <c r="BA27" s="582"/>
      <c r="BB27" s="582"/>
      <c r="BC27" s="582"/>
      <c r="BE27" s="582"/>
      <c r="BF27" s="582"/>
      <c r="BG27" s="577"/>
      <c r="BH27" s="577"/>
      <c r="BI27" s="577"/>
      <c r="BJ27" s="584">
        <v>125.74299999999999</v>
      </c>
      <c r="BK27" s="584">
        <v>146.91900000000001</v>
      </c>
      <c r="BL27" s="584">
        <v>198.886</v>
      </c>
      <c r="BM27" s="584">
        <v>176.63900000000001</v>
      </c>
      <c r="BN27" s="584">
        <v>186.536</v>
      </c>
      <c r="BO27" s="585">
        <v>216.27799999999999</v>
      </c>
      <c r="BP27" s="293"/>
      <c r="BQ27" s="293"/>
      <c r="BS27" s="75" t="s">
        <v>631</v>
      </c>
    </row>
    <row r="28" spans="1:71" s="75" customFormat="1">
      <c r="A28" s="10"/>
      <c r="B28" s="70" t="s">
        <v>392</v>
      </c>
      <c r="S28" s="194"/>
      <c r="T28" s="194"/>
      <c r="U28" s="194"/>
      <c r="V28" s="194"/>
      <c r="W28" s="100"/>
      <c r="X28" s="100"/>
      <c r="Y28" s="576"/>
      <c r="Z28" s="583"/>
      <c r="AA28" s="576"/>
      <c r="AB28" s="583"/>
      <c r="AC28" s="576"/>
      <c r="AD28" s="295"/>
      <c r="AE28" s="576"/>
      <c r="AF28" s="296"/>
      <c r="AG28" s="568"/>
      <c r="AH28" s="568"/>
      <c r="AI28" s="568"/>
      <c r="AJ28" s="568"/>
      <c r="AK28" s="568"/>
      <c r="AL28" s="568"/>
      <c r="AM28" s="568"/>
      <c r="AN28" s="568"/>
      <c r="AO28" s="568"/>
      <c r="AP28" s="586"/>
      <c r="AQ28" s="568"/>
      <c r="AR28" s="568"/>
      <c r="AS28" s="568"/>
      <c r="AT28" s="568"/>
      <c r="AU28" s="577"/>
      <c r="AV28" s="582"/>
      <c r="AW28" s="582"/>
      <c r="AX28" s="582"/>
      <c r="AY28" s="582"/>
      <c r="AZ28" s="582"/>
      <c r="BA28" s="582"/>
      <c r="BB28" s="582"/>
      <c r="BC28" s="582"/>
      <c r="BE28" s="582"/>
      <c r="BF28" s="582"/>
      <c r="BG28" s="577"/>
      <c r="BH28" s="577"/>
      <c r="BI28" s="577"/>
      <c r="BJ28" s="567">
        <f t="shared" ref="BJ28:BO28" si="26">BJ29-BJ27</f>
        <v>-82.38</v>
      </c>
      <c r="BK28" s="567">
        <f t="shared" si="26"/>
        <v>-89.828000000000003</v>
      </c>
      <c r="BL28" s="567">
        <f t="shared" si="26"/>
        <v>-140.03299999999999</v>
      </c>
      <c r="BM28" s="567">
        <f t="shared" si="26"/>
        <v>-120.05100000000002</v>
      </c>
      <c r="BN28" s="567">
        <f t="shared" si="26"/>
        <v>-126.42099999999999</v>
      </c>
      <c r="BO28" s="587">
        <f t="shared" si="26"/>
        <v>-145.24699999999999</v>
      </c>
      <c r="BP28" s="293"/>
      <c r="BQ28" s="293"/>
      <c r="BS28" s="70" t="s">
        <v>609</v>
      </c>
    </row>
    <row r="29" spans="1:71" s="75" customFormat="1">
      <c r="A29" s="10"/>
      <c r="B29" s="75" t="s">
        <v>389</v>
      </c>
      <c r="S29" s="194"/>
      <c r="T29" s="194"/>
      <c r="U29" s="194"/>
      <c r="V29" s="194"/>
      <c r="W29" s="100"/>
      <c r="X29" s="100"/>
      <c r="Y29" s="576"/>
      <c r="Z29" s="583"/>
      <c r="AA29" s="576"/>
      <c r="AB29" s="583"/>
      <c r="AC29" s="576"/>
      <c r="AD29" s="295"/>
      <c r="AE29" s="576"/>
      <c r="AF29" s="296"/>
      <c r="AG29" s="568"/>
      <c r="AH29" s="297"/>
      <c r="AI29" s="568"/>
      <c r="AJ29" s="297"/>
      <c r="AK29" s="568"/>
      <c r="AL29" s="297"/>
      <c r="AM29" s="568"/>
      <c r="AN29" s="297"/>
      <c r="AO29" s="568"/>
      <c r="AP29" s="534"/>
      <c r="AQ29" s="576"/>
      <c r="AR29" s="576"/>
      <c r="AS29" s="576"/>
      <c r="AT29" s="576"/>
      <c r="AU29" s="577"/>
      <c r="AV29" s="582"/>
      <c r="AW29" s="582"/>
      <c r="AX29" s="582"/>
      <c r="AY29" s="582"/>
      <c r="AZ29" s="582"/>
      <c r="BA29" s="582"/>
      <c r="BB29" s="582"/>
      <c r="BC29" s="582"/>
      <c r="BE29" s="582"/>
      <c r="BF29" s="582"/>
      <c r="BG29" s="577"/>
      <c r="BH29" s="577"/>
      <c r="BI29" s="577"/>
      <c r="BJ29" s="584">
        <v>43.363</v>
      </c>
      <c r="BK29" s="584">
        <v>57.091000000000001</v>
      </c>
      <c r="BL29" s="584">
        <v>58.853000000000002</v>
      </c>
      <c r="BM29" s="584">
        <v>56.588000000000001</v>
      </c>
      <c r="BN29" s="584">
        <v>60.115000000000002</v>
      </c>
      <c r="BO29" s="585">
        <v>71.031000000000006</v>
      </c>
      <c r="BP29" s="293"/>
      <c r="BQ29" s="293"/>
      <c r="BS29" s="75" t="s">
        <v>631</v>
      </c>
    </row>
    <row r="30" spans="1:71" s="75" customFormat="1">
      <c r="A30" s="10"/>
      <c r="B30" s="70" t="s">
        <v>390</v>
      </c>
      <c r="S30" s="194"/>
      <c r="T30" s="194"/>
      <c r="U30" s="194"/>
      <c r="V30" s="194"/>
      <c r="W30" s="100"/>
      <c r="X30" s="100"/>
      <c r="Y30" s="576"/>
      <c r="Z30" s="583"/>
      <c r="AA30" s="576"/>
      <c r="AB30" s="583"/>
      <c r="AC30" s="576"/>
      <c r="AD30" s="295"/>
      <c r="AE30" s="576"/>
      <c r="AF30" s="296"/>
      <c r="AG30" s="588"/>
      <c r="AH30" s="297"/>
      <c r="AI30" s="589"/>
      <c r="AJ30" s="297"/>
      <c r="AK30" s="589"/>
      <c r="AL30" s="297"/>
      <c r="AM30" s="589"/>
      <c r="AN30" s="297"/>
      <c r="AO30" s="589"/>
      <c r="AP30" s="534"/>
      <c r="AQ30" s="571"/>
      <c r="AR30" s="571"/>
      <c r="AS30" s="571"/>
      <c r="AT30" s="571"/>
      <c r="AU30" s="577"/>
      <c r="AV30" s="582"/>
      <c r="AW30" s="582"/>
      <c r="AX30" s="582"/>
      <c r="AY30" s="582"/>
      <c r="AZ30" s="582"/>
      <c r="BA30" s="582"/>
      <c r="BB30" s="582"/>
      <c r="BC30" s="582"/>
      <c r="BE30" s="582"/>
      <c r="BF30" s="582"/>
      <c r="BG30" s="577"/>
      <c r="BH30" s="577"/>
      <c r="BI30" s="577"/>
      <c r="BJ30" s="567">
        <f t="shared" ref="BJ30:BO30" si="27">BJ31-BJ29</f>
        <v>-3.8659999999999997</v>
      </c>
      <c r="BK30" s="567">
        <f t="shared" si="27"/>
        <v>-6.8909999999999982</v>
      </c>
      <c r="BL30" s="567">
        <f t="shared" si="27"/>
        <v>-6.8000000000000043</v>
      </c>
      <c r="BM30" s="567">
        <f t="shared" si="27"/>
        <v>-6.230000000000004</v>
      </c>
      <c r="BN30" s="567">
        <f t="shared" si="27"/>
        <v>-6.8160000000000025</v>
      </c>
      <c r="BO30" s="587">
        <f t="shared" si="27"/>
        <v>-6.8840000000000003</v>
      </c>
      <c r="BP30" s="293"/>
      <c r="BQ30" s="293"/>
      <c r="BS30" s="70" t="s">
        <v>609</v>
      </c>
    </row>
    <row r="31" spans="1:71" s="75" customFormat="1">
      <c r="A31" s="10"/>
      <c r="B31" s="75" t="s">
        <v>215</v>
      </c>
      <c r="S31" s="194"/>
      <c r="T31" s="194"/>
      <c r="U31" s="194"/>
      <c r="V31" s="194"/>
      <c r="W31" s="100"/>
      <c r="X31" s="100"/>
      <c r="Y31" s="576"/>
      <c r="Z31" s="583"/>
      <c r="AA31" s="576"/>
      <c r="AB31" s="583"/>
      <c r="AC31" s="576"/>
      <c r="AD31" s="295"/>
      <c r="AE31" s="576"/>
      <c r="AF31" s="296"/>
      <c r="AG31" s="568"/>
      <c r="AH31" s="568"/>
      <c r="AI31" s="568"/>
      <c r="AJ31" s="568"/>
      <c r="AK31" s="568"/>
      <c r="AL31" s="568"/>
      <c r="AM31" s="568"/>
      <c r="AN31" s="568"/>
      <c r="AO31" s="568"/>
      <c r="AP31" s="586"/>
      <c r="AQ31" s="576"/>
      <c r="AR31" s="576"/>
      <c r="AS31" s="576"/>
      <c r="AT31" s="576"/>
      <c r="AU31" s="577"/>
      <c r="AV31" s="582"/>
      <c r="AW31" s="582"/>
      <c r="AX31" s="582"/>
      <c r="AY31" s="582"/>
      <c r="AZ31" s="582"/>
      <c r="BA31" s="582"/>
      <c r="BB31" s="582"/>
      <c r="BC31" s="582"/>
      <c r="BE31" s="582"/>
      <c r="BF31" s="582"/>
      <c r="BG31" s="577"/>
      <c r="BH31" s="577"/>
      <c r="BI31" s="577"/>
      <c r="BJ31" s="584">
        <v>39.497</v>
      </c>
      <c r="BK31" s="584">
        <v>50.2</v>
      </c>
      <c r="BL31" s="584">
        <v>52.052999999999997</v>
      </c>
      <c r="BM31" s="584">
        <v>50.357999999999997</v>
      </c>
      <c r="BN31" s="584">
        <v>53.298999999999999</v>
      </c>
      <c r="BO31" s="585">
        <v>64.147000000000006</v>
      </c>
      <c r="BP31" s="293"/>
      <c r="BQ31" s="293"/>
      <c r="BS31" s="75" t="s">
        <v>631</v>
      </c>
    </row>
    <row r="32" spans="1:71" s="75" customFormat="1">
      <c r="A32" s="10"/>
      <c r="B32" s="70" t="s">
        <v>217</v>
      </c>
      <c r="S32" s="194"/>
      <c r="T32" s="194"/>
      <c r="U32" s="194"/>
      <c r="V32" s="194"/>
      <c r="W32" s="100"/>
      <c r="X32" s="100"/>
      <c r="Y32" s="576"/>
      <c r="Z32" s="583"/>
      <c r="AA32" s="576"/>
      <c r="AB32" s="583"/>
      <c r="AC32" s="576"/>
      <c r="AD32" s="295"/>
      <c r="AE32" s="576"/>
      <c r="AF32" s="296"/>
      <c r="AG32" s="290"/>
      <c r="AH32" s="290"/>
      <c r="AI32" s="290"/>
      <c r="AJ32" s="290"/>
      <c r="AK32" s="290"/>
      <c r="AL32" s="290"/>
      <c r="AM32" s="290"/>
      <c r="AN32" s="290"/>
      <c r="AO32" s="290"/>
      <c r="AP32" s="535"/>
      <c r="AQ32" s="292"/>
      <c r="AR32" s="292"/>
      <c r="AS32" s="292"/>
      <c r="AT32" s="292"/>
      <c r="AU32" s="577"/>
      <c r="AV32" s="582"/>
      <c r="AW32" s="582"/>
      <c r="AX32" s="582"/>
      <c r="AY32" s="582"/>
      <c r="AZ32" s="582"/>
      <c r="BA32" s="582"/>
      <c r="BB32" s="582"/>
      <c r="BC32" s="582"/>
      <c r="BE32" s="582"/>
      <c r="BF32" s="582"/>
      <c r="BG32" s="577"/>
      <c r="BH32" s="577"/>
      <c r="BI32" s="577"/>
      <c r="BJ32" s="570">
        <v>-9.9260000000000002</v>
      </c>
      <c r="BK32" s="570">
        <v>-12.872</v>
      </c>
      <c r="BL32" s="570">
        <v>-13</v>
      </c>
      <c r="BM32" s="570">
        <v>-14.667999999999999</v>
      </c>
      <c r="BN32" s="570">
        <v>-17.145</v>
      </c>
      <c r="BO32" s="590">
        <v>-16.957000000000001</v>
      </c>
      <c r="BP32" s="293"/>
      <c r="BQ32" s="293"/>
      <c r="BS32" s="75" t="s">
        <v>631</v>
      </c>
    </row>
    <row r="33" spans="1:71" s="75" customFormat="1">
      <c r="A33" s="10"/>
      <c r="B33" s="75" t="s">
        <v>391</v>
      </c>
      <c r="S33" s="194"/>
      <c r="T33" s="194"/>
      <c r="U33" s="194"/>
      <c r="V33" s="194"/>
      <c r="W33" s="100"/>
      <c r="X33" s="100"/>
      <c r="Y33" s="576"/>
      <c r="Z33" s="583"/>
      <c r="AA33" s="576"/>
      <c r="AB33" s="583"/>
      <c r="AC33" s="576"/>
      <c r="AD33" s="295"/>
      <c r="AE33" s="568"/>
      <c r="AF33" s="568"/>
      <c r="AG33" s="568"/>
      <c r="AH33" s="568"/>
      <c r="AI33" s="568"/>
      <c r="AJ33" s="568"/>
      <c r="AK33" s="568"/>
      <c r="AL33" s="568"/>
      <c r="AM33" s="568"/>
      <c r="AN33" s="568"/>
      <c r="AO33" s="568"/>
      <c r="AP33" s="586"/>
      <c r="AQ33" s="576"/>
      <c r="AR33" s="576"/>
      <c r="AS33" s="576"/>
      <c r="AT33" s="576"/>
      <c r="AU33" s="577"/>
      <c r="AV33" s="582"/>
      <c r="AW33" s="582"/>
      <c r="AX33" s="582"/>
      <c r="AY33" s="582"/>
      <c r="AZ33" s="582"/>
      <c r="BA33" s="582"/>
      <c r="BB33" s="582"/>
      <c r="BC33" s="582"/>
      <c r="BE33" s="582"/>
      <c r="BF33" s="582"/>
      <c r="BG33" s="577"/>
      <c r="BH33" s="577"/>
      <c r="BI33" s="577"/>
      <c r="BJ33" s="574">
        <f t="shared" ref="BJ33:BO33" si="28">SUM(BJ31:BJ32)</f>
        <v>29.570999999999998</v>
      </c>
      <c r="BK33" s="574">
        <f t="shared" si="28"/>
        <v>37.328000000000003</v>
      </c>
      <c r="BL33" s="574">
        <f t="shared" si="28"/>
        <v>39.052999999999997</v>
      </c>
      <c r="BM33" s="574">
        <f t="shared" si="28"/>
        <v>35.69</v>
      </c>
      <c r="BN33" s="574">
        <f t="shared" si="28"/>
        <v>36.153999999999996</v>
      </c>
      <c r="BO33" s="575">
        <f t="shared" si="28"/>
        <v>47.190000000000005</v>
      </c>
      <c r="BP33" s="293"/>
      <c r="BQ33" s="293"/>
      <c r="BS33" s="70" t="s">
        <v>609</v>
      </c>
    </row>
    <row r="34" spans="1:71" s="75" customFormat="1">
      <c r="A34" s="10"/>
      <c r="S34" s="194"/>
      <c r="T34" s="194"/>
      <c r="U34" s="194"/>
      <c r="V34" s="194"/>
      <c r="W34" s="100"/>
      <c r="X34" s="100"/>
      <c r="Y34" s="576"/>
      <c r="Z34" s="583"/>
      <c r="AA34" s="576"/>
      <c r="AB34" s="583"/>
      <c r="AC34" s="576"/>
      <c r="AD34" s="295"/>
      <c r="AE34" s="568"/>
      <c r="AF34" s="568"/>
      <c r="AG34" s="568"/>
      <c r="AH34" s="568"/>
      <c r="AI34" s="568"/>
      <c r="AJ34" s="568"/>
      <c r="AK34" s="568"/>
      <c r="AL34" s="568"/>
      <c r="AM34" s="568"/>
      <c r="AN34" s="568"/>
      <c r="AO34" s="568"/>
      <c r="AP34" s="586"/>
      <c r="AQ34" s="576"/>
      <c r="AR34" s="576"/>
      <c r="AS34" s="576"/>
      <c r="AT34" s="576"/>
      <c r="AU34" s="577"/>
      <c r="AV34" s="582"/>
      <c r="AW34" s="582"/>
      <c r="AX34" s="582"/>
      <c r="AY34" s="582"/>
      <c r="AZ34" s="582"/>
      <c r="BA34" s="582"/>
      <c r="BB34" s="582"/>
      <c r="BC34" s="582"/>
      <c r="BE34" s="582"/>
      <c r="BF34" s="582"/>
      <c r="BG34" s="577"/>
      <c r="BH34" s="577"/>
      <c r="BI34" s="577"/>
      <c r="BJ34" s="574"/>
      <c r="BK34" s="574"/>
      <c r="BL34" s="574"/>
      <c r="BM34" s="574"/>
      <c r="BN34" s="574"/>
      <c r="BO34" s="575"/>
      <c r="BP34" s="293"/>
      <c r="BQ34" s="293"/>
    </row>
    <row r="35" spans="1:71" s="75" customFormat="1">
      <c r="A35" s="10"/>
      <c r="B35" s="304" t="s">
        <v>516</v>
      </c>
      <c r="S35" s="194"/>
      <c r="T35" s="194"/>
      <c r="U35" s="194"/>
      <c r="V35" s="194"/>
      <c r="W35" s="100"/>
      <c r="X35" s="100"/>
      <c r="Y35" s="576"/>
      <c r="Z35" s="583"/>
      <c r="AA35" s="576"/>
      <c r="AB35" s="583"/>
      <c r="AC35" s="576"/>
      <c r="AD35" s="295"/>
      <c r="AE35" s="576"/>
      <c r="AF35" s="296"/>
      <c r="AG35" s="576"/>
      <c r="AH35" s="296"/>
      <c r="AI35" s="576"/>
      <c r="AJ35" s="296"/>
      <c r="AK35" s="576"/>
      <c r="AL35" s="296"/>
      <c r="AM35" s="576"/>
      <c r="AN35" s="296"/>
      <c r="AO35" s="576"/>
      <c r="AP35" s="536"/>
      <c r="AQ35" s="576"/>
      <c r="AR35" s="576"/>
      <c r="AS35" s="576"/>
      <c r="AT35" s="576"/>
      <c r="AU35" s="577"/>
      <c r="AV35" s="582"/>
      <c r="AW35" s="582"/>
      <c r="AX35" s="582"/>
      <c r="AY35" s="582"/>
      <c r="AZ35" s="582"/>
      <c r="BA35" s="582"/>
      <c r="BB35" s="582"/>
      <c r="BC35" s="582"/>
      <c r="BE35" s="582"/>
      <c r="BF35" s="582"/>
      <c r="BG35" s="577"/>
      <c r="BH35" s="577"/>
      <c r="BI35" s="577"/>
      <c r="BJ35" s="574"/>
      <c r="BK35" s="574"/>
      <c r="BL35" s="574"/>
      <c r="BM35" s="574"/>
      <c r="BN35" s="574"/>
      <c r="BO35" s="575"/>
      <c r="BP35" s="294"/>
      <c r="BQ35" s="294"/>
    </row>
    <row r="36" spans="1:71" s="75" customFormat="1" hidden="1">
      <c r="A36" s="10"/>
      <c r="B36" s="70" t="s">
        <v>402</v>
      </c>
      <c r="S36" s="194"/>
      <c r="T36" s="194"/>
      <c r="U36" s="194"/>
      <c r="V36" s="194"/>
      <c r="W36" s="100"/>
      <c r="X36" s="100"/>
      <c r="Y36" s="576"/>
      <c r="Z36" s="583"/>
      <c r="AA36" s="576"/>
      <c r="AB36" s="583"/>
      <c r="AC36" s="576"/>
      <c r="AD36" s="295"/>
      <c r="AE36" s="568"/>
      <c r="AF36" s="297"/>
      <c r="AG36" s="290"/>
      <c r="AH36" s="290"/>
      <c r="AI36" s="292"/>
      <c r="AJ36" s="290"/>
      <c r="AK36" s="292"/>
      <c r="AL36" s="290"/>
      <c r="AM36" s="292"/>
      <c r="AN36" s="290"/>
      <c r="AO36" s="292"/>
      <c r="AP36" s="535"/>
      <c r="AQ36" s="576"/>
      <c r="AR36" s="576"/>
      <c r="AS36" s="576"/>
      <c r="AT36" s="576"/>
      <c r="AU36" s="577"/>
      <c r="AV36" s="582"/>
      <c r="AW36" s="582"/>
      <c r="AX36" s="582"/>
      <c r="AY36" s="582"/>
      <c r="AZ36" s="582"/>
      <c r="BA36" s="582"/>
      <c r="BB36" s="582"/>
      <c r="BC36" s="582"/>
      <c r="BE36" s="582"/>
      <c r="BF36" s="582"/>
      <c r="BG36" s="577"/>
      <c r="BH36" s="577"/>
      <c r="BI36" s="577"/>
      <c r="BJ36" s="570">
        <v>70.971000000000004</v>
      </c>
      <c r="BK36" s="570">
        <v>73.745000000000005</v>
      </c>
      <c r="BL36" s="570">
        <v>86.555000000000007</v>
      </c>
      <c r="BM36" s="570">
        <v>86.555000000000007</v>
      </c>
      <c r="BN36" s="570">
        <v>86.555000000000007</v>
      </c>
      <c r="BO36" s="590">
        <v>86.555000000000007</v>
      </c>
      <c r="BP36" s="293"/>
      <c r="BQ36" s="293"/>
    </row>
    <row r="37" spans="1:71" s="75" customFormat="1" hidden="1">
      <c r="A37" s="10"/>
      <c r="B37" s="70" t="s">
        <v>404</v>
      </c>
      <c r="S37" s="194"/>
      <c r="T37" s="194"/>
      <c r="U37" s="194"/>
      <c r="V37" s="194"/>
      <c r="W37" s="100"/>
      <c r="X37" s="100"/>
      <c r="Y37" s="576"/>
      <c r="Z37" s="583"/>
      <c r="AA37" s="576"/>
      <c r="AB37" s="583"/>
      <c r="AC37" s="576"/>
      <c r="AD37" s="295"/>
      <c r="AE37" s="591"/>
      <c r="AF37" s="297"/>
      <c r="AG37" s="591"/>
      <c r="AH37" s="591"/>
      <c r="AI37" s="591"/>
      <c r="AJ37" s="591"/>
      <c r="AK37" s="591"/>
      <c r="AL37" s="591"/>
      <c r="AM37" s="591"/>
      <c r="AN37" s="591"/>
      <c r="AO37" s="591"/>
      <c r="AP37" s="592"/>
      <c r="AQ37" s="593"/>
      <c r="AR37" s="593"/>
      <c r="AS37" s="593"/>
      <c r="AT37" s="593"/>
      <c r="AU37" s="577"/>
      <c r="AV37" s="582"/>
      <c r="AW37" s="582"/>
      <c r="AX37" s="582"/>
      <c r="AY37" s="582"/>
      <c r="AZ37" s="582"/>
      <c r="BA37" s="582"/>
      <c r="BB37" s="582"/>
      <c r="BC37" s="582"/>
      <c r="BE37" s="582"/>
      <c r="BF37" s="582"/>
      <c r="BG37" s="577"/>
      <c r="BH37" s="577"/>
      <c r="BI37" s="577"/>
      <c r="BJ37" s="594">
        <f t="shared" ref="BJ37:BO37" si="29">BJ32/BJ31</f>
        <v>-0.25131022609312098</v>
      </c>
      <c r="BK37" s="594">
        <f t="shared" si="29"/>
        <v>-0.25641434262948204</v>
      </c>
      <c r="BL37" s="594">
        <f t="shared" si="29"/>
        <v>-0.24974545175109986</v>
      </c>
      <c r="BM37" s="594">
        <f t="shared" si="29"/>
        <v>-0.29127447476071328</v>
      </c>
      <c r="BN37" s="594">
        <f t="shared" si="29"/>
        <v>-0.3216758288147995</v>
      </c>
      <c r="BO37" s="595">
        <f t="shared" si="29"/>
        <v>-0.26434595538372802</v>
      </c>
      <c r="BP37" s="596"/>
      <c r="BQ37" s="596"/>
    </row>
    <row r="38" spans="1:71" s="75" customFormat="1" hidden="1">
      <c r="A38" s="10"/>
      <c r="B38" s="70" t="s">
        <v>405</v>
      </c>
      <c r="S38" s="194"/>
      <c r="T38" s="194"/>
      <c r="U38" s="194"/>
      <c r="V38" s="194"/>
      <c r="W38" s="100"/>
      <c r="X38" s="100"/>
      <c r="Y38" s="576"/>
      <c r="Z38" s="583"/>
      <c r="AA38" s="576"/>
      <c r="AB38" s="583"/>
      <c r="AC38" s="576"/>
      <c r="AD38" s="295"/>
      <c r="AE38" s="591"/>
      <c r="AF38" s="297"/>
      <c r="AG38" s="591"/>
      <c r="AH38" s="591"/>
      <c r="AI38" s="591"/>
      <c r="AJ38" s="591"/>
      <c r="AK38" s="591"/>
      <c r="AL38" s="591"/>
      <c r="AM38" s="591"/>
      <c r="AN38" s="591"/>
      <c r="AO38" s="591"/>
      <c r="AP38" s="592"/>
      <c r="AQ38" s="593"/>
      <c r="AR38" s="593"/>
      <c r="AS38" s="593"/>
      <c r="AT38" s="593"/>
      <c r="AU38" s="577"/>
      <c r="AV38" s="582"/>
      <c r="AW38" s="582"/>
      <c r="AX38" s="582"/>
      <c r="AY38" s="582"/>
      <c r="AZ38" s="582"/>
      <c r="BA38" s="582"/>
      <c r="BB38" s="582"/>
      <c r="BC38" s="582"/>
      <c r="BE38" s="582"/>
      <c r="BF38" s="582"/>
      <c r="BG38" s="577"/>
      <c r="BH38" s="577"/>
      <c r="BI38" s="577"/>
      <c r="BJ38" s="420">
        <f t="shared" ref="BJ38:BO38" si="30">BJ29/BJ27</f>
        <v>0.34485418671417095</v>
      </c>
      <c r="BK38" s="420">
        <f t="shared" si="30"/>
        <v>0.38858826972685628</v>
      </c>
      <c r="BL38" s="420">
        <f t="shared" si="30"/>
        <v>0.29591323672857822</v>
      </c>
      <c r="BM38" s="420">
        <f t="shared" si="30"/>
        <v>0.32035960348507408</v>
      </c>
      <c r="BN38" s="420">
        <f t="shared" si="30"/>
        <v>0.32227023201955657</v>
      </c>
      <c r="BO38" s="447">
        <f t="shared" si="30"/>
        <v>0.32842452769121228</v>
      </c>
      <c r="BP38" s="591"/>
      <c r="BQ38" s="591"/>
    </row>
    <row r="39" spans="1:71" s="75" customFormat="1" hidden="1">
      <c r="A39" s="10"/>
      <c r="B39" s="75" t="s">
        <v>403</v>
      </c>
      <c r="S39" s="194"/>
      <c r="T39" s="194"/>
      <c r="U39" s="194"/>
      <c r="V39" s="194"/>
      <c r="W39" s="100"/>
      <c r="X39" s="100"/>
      <c r="Y39" s="576"/>
      <c r="Z39" s="583"/>
      <c r="AA39" s="576"/>
      <c r="AB39" s="583"/>
      <c r="AC39" s="576"/>
      <c r="AD39" s="295"/>
      <c r="AE39" s="591"/>
      <c r="AF39" s="591"/>
      <c r="AG39" s="591"/>
      <c r="AH39" s="591"/>
      <c r="AI39" s="591"/>
      <c r="AJ39" s="591"/>
      <c r="AK39" s="591"/>
      <c r="AL39" s="591"/>
      <c r="AM39" s="591"/>
      <c r="AN39" s="591"/>
      <c r="AO39" s="591"/>
      <c r="AP39" s="592"/>
      <c r="AQ39" s="591"/>
      <c r="AR39" s="591"/>
      <c r="AS39" s="591"/>
      <c r="AT39" s="591"/>
      <c r="AU39" s="577"/>
      <c r="AV39" s="582"/>
      <c r="AW39" s="582"/>
      <c r="AX39" s="582"/>
      <c r="AY39" s="582"/>
      <c r="AZ39" s="582"/>
      <c r="BA39" s="582"/>
      <c r="BB39" s="582"/>
      <c r="BC39" s="582"/>
      <c r="BE39" s="582"/>
      <c r="BF39" s="582"/>
      <c r="BG39" s="577"/>
      <c r="BH39" s="577"/>
      <c r="BI39" s="577"/>
      <c r="BJ39" s="420">
        <f t="shared" ref="BJ39:BO39" si="31">BJ33/BJ36</f>
        <v>0.41666314410111166</v>
      </c>
      <c r="BK39" s="420">
        <f t="shared" si="31"/>
        <v>0.50617668994508103</v>
      </c>
      <c r="BL39" s="420">
        <f t="shared" si="31"/>
        <v>0.45119288313788913</v>
      </c>
      <c r="BM39" s="420">
        <f t="shared" si="31"/>
        <v>0.41233897521806939</v>
      </c>
      <c r="BN39" s="420">
        <f t="shared" si="31"/>
        <v>0.41769972849633175</v>
      </c>
      <c r="BO39" s="447">
        <f t="shared" si="31"/>
        <v>0.54520247241638264</v>
      </c>
      <c r="BP39" s="591"/>
      <c r="BQ39" s="591"/>
    </row>
    <row r="40" spans="1:71" s="75" customFormat="1" hidden="1">
      <c r="A40" s="10"/>
      <c r="S40" s="194"/>
      <c r="T40" s="194"/>
      <c r="U40" s="194"/>
      <c r="V40" s="194"/>
      <c r="W40" s="100"/>
      <c r="X40" s="100"/>
      <c r="Y40" s="576"/>
      <c r="Z40" s="583"/>
      <c r="AA40" s="576"/>
      <c r="AB40" s="583"/>
      <c r="AC40" s="576"/>
      <c r="AD40" s="295"/>
      <c r="AE40" s="576"/>
      <c r="AF40" s="296"/>
      <c r="AG40" s="576"/>
      <c r="AH40" s="296"/>
      <c r="AI40" s="576"/>
      <c r="AJ40" s="296"/>
      <c r="AK40" s="576"/>
      <c r="AL40" s="296"/>
      <c r="AM40" s="576"/>
      <c r="AN40" s="296"/>
      <c r="AO40" s="576"/>
      <c r="AP40" s="536"/>
      <c r="AQ40" s="576"/>
      <c r="AR40" s="576"/>
      <c r="AS40" s="576"/>
      <c r="AT40" s="576"/>
      <c r="AU40" s="577"/>
      <c r="AV40" s="582"/>
      <c r="AW40" s="582"/>
      <c r="AX40" s="582"/>
      <c r="AY40" s="582"/>
      <c r="AZ40" s="582"/>
      <c r="BA40" s="582"/>
      <c r="BB40" s="582"/>
      <c r="BC40" s="582"/>
      <c r="BE40" s="582"/>
      <c r="BF40" s="582"/>
      <c r="BG40" s="577"/>
      <c r="BH40" s="577"/>
      <c r="BI40" s="577"/>
      <c r="BJ40" s="574"/>
      <c r="BK40" s="574"/>
      <c r="BL40" s="574"/>
      <c r="BM40" s="574"/>
      <c r="BN40" s="574"/>
      <c r="BO40" s="575"/>
      <c r="BP40" s="294"/>
      <c r="BQ40" s="294"/>
    </row>
    <row r="41" spans="1:71" s="75" customFormat="1" hidden="1">
      <c r="A41" s="10"/>
      <c r="B41" s="70" t="s">
        <v>512</v>
      </c>
      <c r="S41" s="194"/>
      <c r="T41" s="194"/>
      <c r="U41" s="194"/>
      <c r="V41" s="194"/>
      <c r="W41" s="100"/>
      <c r="X41" s="100"/>
      <c r="Y41" s="576"/>
      <c r="Z41" s="583"/>
      <c r="AA41" s="576"/>
      <c r="AB41" s="583"/>
      <c r="AC41" s="576"/>
      <c r="AD41" s="295"/>
      <c r="AE41" s="576"/>
      <c r="AF41" s="296"/>
      <c r="AG41" s="576"/>
      <c r="AH41" s="296"/>
      <c r="AI41" s="591"/>
      <c r="AJ41" s="591"/>
      <c r="AK41" s="591"/>
      <c r="AL41" s="591"/>
      <c r="AM41" s="591"/>
      <c r="AN41" s="591"/>
      <c r="AO41" s="591"/>
      <c r="AP41" s="592"/>
      <c r="AQ41" s="593"/>
      <c r="AR41" s="593"/>
      <c r="AS41" s="593"/>
      <c r="AT41" s="593"/>
      <c r="AU41" s="577"/>
      <c r="AV41" s="582"/>
      <c r="AW41" s="582"/>
      <c r="AX41" s="582"/>
      <c r="AY41" s="582"/>
      <c r="AZ41" s="582"/>
      <c r="BA41" s="582"/>
      <c r="BB41" s="582"/>
      <c r="BC41" s="582"/>
      <c r="BE41" s="582"/>
      <c r="BF41" s="582"/>
      <c r="BG41" s="577"/>
      <c r="BH41" s="577"/>
      <c r="BI41" s="577"/>
      <c r="BJ41" s="574"/>
      <c r="BK41" s="420">
        <f>BK27/BJ27-1</f>
        <v>0.16840698885822691</v>
      </c>
      <c r="BL41" s="420">
        <f>BL27/BK27-1</f>
        <v>0.3537119092833465</v>
      </c>
      <c r="BM41" s="420">
        <f>BM27/BL27-1</f>
        <v>-0.11185804933479471</v>
      </c>
      <c r="BN41" s="420">
        <f>BN27/BM27-1</f>
        <v>5.602952915267867E-2</v>
      </c>
      <c r="BO41" s="447">
        <f>BO27/BN27-1</f>
        <v>0.15944375348458206</v>
      </c>
      <c r="BP41" s="591"/>
      <c r="BQ41" s="591"/>
    </row>
    <row r="42" spans="1:71" s="75" customFormat="1">
      <c r="A42" s="10"/>
      <c r="S42" s="194"/>
      <c r="T42" s="194"/>
      <c r="U42" s="194"/>
      <c r="V42" s="194"/>
      <c r="W42" s="100"/>
      <c r="X42" s="100"/>
      <c r="Y42" s="574"/>
      <c r="Z42" s="566"/>
      <c r="AA42" s="574"/>
      <c r="AB42" s="566"/>
      <c r="AC42" s="574"/>
      <c r="AD42" s="168"/>
      <c r="AE42" s="574"/>
      <c r="AF42" s="87"/>
      <c r="AG42" s="574"/>
      <c r="AH42" s="87"/>
      <c r="AI42" s="574"/>
      <c r="AJ42" s="87"/>
      <c r="AK42" s="574"/>
      <c r="AL42" s="87"/>
      <c r="AM42" s="574"/>
      <c r="AN42" s="87"/>
      <c r="AO42" s="574"/>
      <c r="AP42" s="533"/>
      <c r="AQ42" s="574"/>
      <c r="AR42" s="574"/>
      <c r="AS42" s="574"/>
      <c r="AT42" s="574"/>
      <c r="AU42" s="577"/>
      <c r="AV42" s="582"/>
      <c r="AW42" s="582"/>
      <c r="AX42" s="582"/>
      <c r="AY42" s="582"/>
      <c r="AZ42" s="582"/>
      <c r="BA42" s="582"/>
      <c r="BB42" s="582"/>
      <c r="BC42" s="582"/>
      <c r="BE42" s="582"/>
      <c r="BF42" s="582"/>
      <c r="BG42" s="577"/>
      <c r="BH42" s="577"/>
      <c r="BI42" s="577"/>
      <c r="BJ42" s="574"/>
      <c r="BK42" s="574"/>
      <c r="BL42" s="574"/>
      <c r="BM42" s="574"/>
      <c r="BN42" s="574"/>
      <c r="BO42" s="575"/>
      <c r="BP42" s="164"/>
      <c r="BQ42" s="164"/>
    </row>
    <row r="43" spans="1:71" s="70" customFormat="1">
      <c r="A43" s="67"/>
      <c r="B43" s="95" t="s">
        <v>243</v>
      </c>
      <c r="C43" s="96"/>
      <c r="D43" s="96"/>
      <c r="E43" s="96"/>
      <c r="F43" s="96"/>
      <c r="G43" s="97"/>
      <c r="H43" s="560"/>
      <c r="I43" s="560"/>
      <c r="J43" s="560"/>
      <c r="K43" s="560"/>
      <c r="L43" s="560"/>
      <c r="M43" s="560"/>
      <c r="N43" s="560"/>
      <c r="O43" s="560"/>
      <c r="P43" s="561"/>
      <c r="Q43" s="561"/>
      <c r="R43" s="561"/>
      <c r="S43" s="561"/>
      <c r="T43" s="561"/>
      <c r="U43" s="562"/>
      <c r="V43" s="562"/>
      <c r="W43" s="562"/>
      <c r="X43" s="562"/>
      <c r="Y43" s="562"/>
      <c r="Z43" s="562"/>
      <c r="AA43" s="562"/>
      <c r="AB43" s="562"/>
      <c r="AC43" s="562"/>
      <c r="AD43" s="562"/>
      <c r="AE43" s="562"/>
      <c r="AF43" s="562"/>
      <c r="AG43" s="562"/>
      <c r="AH43" s="562"/>
      <c r="AI43" s="562"/>
      <c r="AJ43" s="562"/>
      <c r="AK43" s="562"/>
      <c r="AL43" s="562"/>
      <c r="AM43" s="562"/>
      <c r="AN43" s="562"/>
      <c r="AO43" s="562"/>
      <c r="AP43" s="563"/>
      <c r="AQ43" s="562"/>
      <c r="AR43" s="562"/>
      <c r="AS43" s="562"/>
      <c r="AT43" s="562"/>
      <c r="AU43" s="564"/>
      <c r="AV43" s="565"/>
      <c r="AW43" s="565"/>
      <c r="AX43" s="565"/>
      <c r="AY43" s="565"/>
      <c r="AZ43" s="565"/>
      <c r="BA43" s="565"/>
      <c r="BB43" s="565"/>
      <c r="BC43" s="562"/>
      <c r="BD43" s="98"/>
      <c r="BE43" s="98"/>
      <c r="BF43" s="98"/>
      <c r="BG43" s="98"/>
      <c r="BH43" s="98"/>
      <c r="BI43" s="98"/>
      <c r="BJ43" s="98"/>
      <c r="BK43" s="98"/>
      <c r="BL43" s="98"/>
      <c r="BM43" s="98"/>
      <c r="BN43" s="98"/>
      <c r="BO43" s="305"/>
      <c r="BP43" s="97"/>
      <c r="BQ43" s="97"/>
    </row>
    <row r="44" spans="1:71" s="70" customFormat="1">
      <c r="A44" s="78"/>
      <c r="B44" s="70" t="s">
        <v>244</v>
      </c>
      <c r="S44" s="80"/>
      <c r="T44" s="80"/>
      <c r="U44" s="80"/>
      <c r="V44" s="80"/>
      <c r="W44" s="100"/>
      <c r="X44" s="100"/>
      <c r="Y44" s="171">
        <v>8.4000000000000005E-2</v>
      </c>
      <c r="Z44" s="168">
        <f>BG44-Y44</f>
        <v>-0.126</v>
      </c>
      <c r="AA44" s="171">
        <v>-0.82499999999999996</v>
      </c>
      <c r="AB44" s="566">
        <f>BH44-AA44</f>
        <v>3.5999999999999921E-2</v>
      </c>
      <c r="AC44" s="171">
        <v>0.75</v>
      </c>
      <c r="AD44" s="168">
        <f>BI44-AC44</f>
        <v>0.22199999999999998</v>
      </c>
      <c r="AE44" s="171">
        <v>0.23799999999999999</v>
      </c>
      <c r="AF44" s="168">
        <f>BJ44-AE44</f>
        <v>-2.3729999999999998</v>
      </c>
      <c r="AG44" s="171">
        <v>0.28000000000000003</v>
      </c>
      <c r="AH44" s="168">
        <f>BK44-AG44</f>
        <v>-0.41200000000000003</v>
      </c>
      <c r="AI44" s="171">
        <v>0.65800000000000003</v>
      </c>
      <c r="AJ44" s="168">
        <f>BL44-AI44</f>
        <v>-5.8640000000000008</v>
      </c>
      <c r="AK44" s="171">
        <f>6.853+13.598+7.168</f>
        <v>27.619</v>
      </c>
      <c r="AL44" s="168">
        <f>BM44-AK44</f>
        <v>45.546000000000006</v>
      </c>
      <c r="AM44" s="171">
        <f>-14.474-1.106-3.794</f>
        <v>-19.373999999999999</v>
      </c>
      <c r="AN44" s="168">
        <f t="shared" ref="AN44:AN47" si="32">BN44-AM44</f>
        <v>4.5599999999999987</v>
      </c>
      <c r="AO44" s="171">
        <f>60.835-5.398-0.583</f>
        <v>54.853999999999999</v>
      </c>
      <c r="AP44" s="302">
        <f>BO44-AO44</f>
        <v>40.049000000000007</v>
      </c>
      <c r="AQ44" s="597"/>
      <c r="AR44" s="597"/>
      <c r="AS44" s="597"/>
      <c r="AT44" s="597"/>
      <c r="AU44" s="564"/>
      <c r="AV44" s="564"/>
      <c r="AW44" s="564"/>
      <c r="AX44" s="564"/>
      <c r="AY44" s="564"/>
      <c r="AZ44" s="564"/>
      <c r="BA44" s="564"/>
      <c r="BB44" s="564"/>
      <c r="BC44" s="564"/>
      <c r="BE44" s="564"/>
      <c r="BF44" s="564"/>
      <c r="BG44" s="181">
        <v>-4.2000000000000003E-2</v>
      </c>
      <c r="BH44" s="181">
        <v>-0.78900000000000003</v>
      </c>
      <c r="BI44" s="181">
        <v>0.97199999999999998</v>
      </c>
      <c r="BJ44" s="181">
        <v>-2.1349999999999998</v>
      </c>
      <c r="BK44" s="181">
        <v>-0.13200000000000001</v>
      </c>
      <c r="BL44" s="181">
        <v>-5.2060000000000004</v>
      </c>
      <c r="BM44" s="181">
        <v>73.165000000000006</v>
      </c>
      <c r="BN44" s="181">
        <v>-14.814</v>
      </c>
      <c r="BO44" s="307">
        <v>94.903000000000006</v>
      </c>
      <c r="BP44" s="293"/>
      <c r="BQ44" s="293"/>
      <c r="BS44" s="70" t="s">
        <v>630</v>
      </c>
    </row>
    <row r="45" spans="1:71" s="70" customFormat="1">
      <c r="A45" s="78"/>
      <c r="B45" s="70" t="s">
        <v>245</v>
      </c>
      <c r="S45" s="80"/>
      <c r="T45" s="80"/>
      <c r="U45" s="80"/>
      <c r="V45" s="80"/>
      <c r="W45" s="100"/>
      <c r="X45" s="100"/>
      <c r="Y45" s="171">
        <v>0</v>
      </c>
      <c r="Z45" s="168">
        <f>BG45-Y45</f>
        <v>0</v>
      </c>
      <c r="AA45" s="171">
        <v>0</v>
      </c>
      <c r="AB45" s="566">
        <f>BH45-AA45</f>
        <v>0</v>
      </c>
      <c r="AC45" s="171">
        <v>0</v>
      </c>
      <c r="AD45" s="168">
        <f>BI45-AC45</f>
        <v>0</v>
      </c>
      <c r="AE45" s="171">
        <v>0</v>
      </c>
      <c r="AF45" s="168">
        <f>BJ45-AE45</f>
        <v>0</v>
      </c>
      <c r="AG45" s="171">
        <v>0</v>
      </c>
      <c r="AH45" s="168">
        <f>BK45-AG45</f>
        <v>-7.4999999999999997E-2</v>
      </c>
      <c r="AI45" s="171">
        <v>-5.8999999999999997E-2</v>
      </c>
      <c r="AJ45" s="168">
        <f>BL45-AI45</f>
        <v>2.6999999999999996E-2</v>
      </c>
      <c r="AK45" s="171">
        <v>-3.2109999999999999</v>
      </c>
      <c r="AL45" s="168">
        <f>BM45-AK45</f>
        <v>-0.68300000000000027</v>
      </c>
      <c r="AM45" s="171">
        <f>0.146+0.813</f>
        <v>0.95899999999999996</v>
      </c>
      <c r="AN45" s="168">
        <f t="shared" si="32"/>
        <v>1.3369999999999997</v>
      </c>
      <c r="AO45" s="171">
        <f>1.547-0.033</f>
        <v>1.514</v>
      </c>
      <c r="AP45" s="302">
        <f>BO45-AO45</f>
        <v>-1.8180000000000001</v>
      </c>
      <c r="AQ45" s="597"/>
      <c r="AR45" s="597"/>
      <c r="AS45" s="597"/>
      <c r="AT45" s="597"/>
      <c r="AU45" s="564"/>
      <c r="AV45" s="564"/>
      <c r="AW45" s="564"/>
      <c r="AX45" s="564"/>
      <c r="AY45" s="564"/>
      <c r="AZ45" s="564"/>
      <c r="BA45" s="564"/>
      <c r="BB45" s="564"/>
      <c r="BC45" s="564"/>
      <c r="BE45" s="564"/>
      <c r="BF45" s="564"/>
      <c r="BG45" s="181">
        <v>0</v>
      </c>
      <c r="BH45" s="181">
        <v>0</v>
      </c>
      <c r="BI45" s="181">
        <v>0</v>
      </c>
      <c r="BJ45" s="181">
        <v>0</v>
      </c>
      <c r="BK45" s="181">
        <v>-7.4999999999999997E-2</v>
      </c>
      <c r="BL45" s="181">
        <v>-3.2000000000000001E-2</v>
      </c>
      <c r="BM45" s="181">
        <v>-3.8940000000000001</v>
      </c>
      <c r="BN45" s="181">
        <v>2.2959999999999998</v>
      </c>
      <c r="BO45" s="307">
        <v>-0.30399999999999999</v>
      </c>
      <c r="BP45" s="293"/>
      <c r="BQ45" s="293"/>
      <c r="BS45" s="70" t="s">
        <v>630</v>
      </c>
    </row>
    <row r="46" spans="1:71" s="70" customFormat="1">
      <c r="A46" s="78"/>
      <c r="B46" s="75" t="s">
        <v>246</v>
      </c>
      <c r="S46" s="80"/>
      <c r="T46" s="80"/>
      <c r="U46" s="80"/>
      <c r="V46" s="80"/>
      <c r="W46" s="100"/>
      <c r="X46" s="100"/>
      <c r="Y46" s="598">
        <f>SUM(Y44:Y45)</f>
        <v>8.4000000000000005E-2</v>
      </c>
      <c r="Z46" s="598">
        <f>BG46-Y46</f>
        <v>-0.126</v>
      </c>
      <c r="AA46" s="598">
        <f>SUM(AA44:AA45)</f>
        <v>-0.82499999999999996</v>
      </c>
      <c r="AB46" s="566">
        <f>BH46-AA46</f>
        <v>3.5999999999999921E-2</v>
      </c>
      <c r="AC46" s="598">
        <f t="shared" ref="AC46:AP46" si="33">SUM(AC44:AC45)</f>
        <v>0.75</v>
      </c>
      <c r="AD46" s="598">
        <f t="shared" si="33"/>
        <v>0.22199999999999998</v>
      </c>
      <c r="AE46" s="598">
        <f t="shared" si="33"/>
        <v>0.23799999999999999</v>
      </c>
      <c r="AF46" s="598">
        <f t="shared" si="33"/>
        <v>-2.3729999999999998</v>
      </c>
      <c r="AG46" s="598">
        <f t="shared" si="33"/>
        <v>0.28000000000000003</v>
      </c>
      <c r="AH46" s="598">
        <f t="shared" si="33"/>
        <v>-0.48700000000000004</v>
      </c>
      <c r="AI46" s="598">
        <f t="shared" si="33"/>
        <v>0.59899999999999998</v>
      </c>
      <c r="AJ46" s="598">
        <f t="shared" si="33"/>
        <v>-5.8370000000000006</v>
      </c>
      <c r="AK46" s="598">
        <f t="shared" si="33"/>
        <v>24.408000000000001</v>
      </c>
      <c r="AL46" s="598">
        <f t="shared" si="33"/>
        <v>44.863000000000007</v>
      </c>
      <c r="AM46" s="599">
        <f t="shared" si="33"/>
        <v>-18.414999999999999</v>
      </c>
      <c r="AN46" s="598">
        <f t="shared" si="33"/>
        <v>5.8969999999999985</v>
      </c>
      <c r="AO46" s="600">
        <f t="shared" si="33"/>
        <v>56.368000000000002</v>
      </c>
      <c r="AP46" s="601">
        <f t="shared" si="33"/>
        <v>38.231000000000009</v>
      </c>
      <c r="AQ46" s="602"/>
      <c r="AR46" s="602"/>
      <c r="AS46" s="602"/>
      <c r="AT46" s="602"/>
      <c r="AU46" s="564"/>
      <c r="AV46" s="564"/>
      <c r="AW46" s="564"/>
      <c r="AX46" s="564"/>
      <c r="AY46" s="564"/>
      <c r="AZ46" s="564"/>
      <c r="BA46" s="564"/>
      <c r="BB46" s="564"/>
      <c r="BC46" s="564"/>
      <c r="BE46" s="564"/>
      <c r="BF46" s="564"/>
      <c r="BG46" s="598">
        <f t="shared" ref="BG46:BO46" si="34">SUM(BG44:BG45)</f>
        <v>-4.2000000000000003E-2</v>
      </c>
      <c r="BH46" s="598">
        <f t="shared" si="34"/>
        <v>-0.78900000000000003</v>
      </c>
      <c r="BI46" s="598">
        <f t="shared" si="34"/>
        <v>0.97199999999999998</v>
      </c>
      <c r="BJ46" s="598">
        <f t="shared" si="34"/>
        <v>-2.1349999999999998</v>
      </c>
      <c r="BK46" s="598">
        <f t="shared" si="34"/>
        <v>-0.20700000000000002</v>
      </c>
      <c r="BL46" s="598">
        <f t="shared" si="34"/>
        <v>-5.2380000000000004</v>
      </c>
      <c r="BM46" s="598">
        <f t="shared" si="34"/>
        <v>69.271000000000001</v>
      </c>
      <c r="BN46" s="598">
        <f t="shared" si="34"/>
        <v>-12.518000000000001</v>
      </c>
      <c r="BO46" s="601">
        <f t="shared" si="34"/>
        <v>94.599000000000004</v>
      </c>
      <c r="BP46" s="293"/>
      <c r="BQ46" s="293"/>
      <c r="BS46" s="70" t="s">
        <v>609</v>
      </c>
    </row>
    <row r="47" spans="1:71" s="70" customFormat="1">
      <c r="A47" s="78"/>
      <c r="B47" s="75" t="s">
        <v>247</v>
      </c>
      <c r="S47" s="80"/>
      <c r="T47" s="80"/>
      <c r="U47" s="80"/>
      <c r="V47" s="80"/>
      <c r="W47" s="100"/>
      <c r="X47" s="100"/>
      <c r="Y47" s="178">
        <f>Y22+Y46</f>
        <v>16.834</v>
      </c>
      <c r="Z47" s="178">
        <f>BG47-Y47</f>
        <v>26.22480000000002</v>
      </c>
      <c r="AA47" s="178">
        <f>AA22+AA46</f>
        <v>27.248000000000015</v>
      </c>
      <c r="AB47" s="566">
        <f>BH47-AA47</f>
        <v>26.933999999999951</v>
      </c>
      <c r="AC47" s="178">
        <f>AC22+AC46</f>
        <v>24.721999999999987</v>
      </c>
      <c r="AD47" s="178">
        <f>AD22+AD46</f>
        <v>25.422000000000061</v>
      </c>
      <c r="AE47" s="178">
        <f>AE22+AE46</f>
        <v>19.158999999999995</v>
      </c>
      <c r="AF47" s="178">
        <f>AF22+AF46</f>
        <v>34.551000000000009</v>
      </c>
      <c r="AG47" s="178">
        <f>AG22+AG46</f>
        <v>28.714000000000016</v>
      </c>
      <c r="AH47" s="178">
        <f>BK47-AG47</f>
        <v>54.804999999999893</v>
      </c>
      <c r="AI47" s="178">
        <f>AI22+AI46</f>
        <v>37.83700000000001</v>
      </c>
      <c r="AJ47" s="178">
        <f>BL47-AI47</f>
        <v>56.809000000000005</v>
      </c>
      <c r="AK47" s="178">
        <f>AK22+AK46</f>
        <v>35.41699999999998</v>
      </c>
      <c r="AL47" s="178">
        <f>BM47-AK47</f>
        <v>125.47700000000003</v>
      </c>
      <c r="AM47" s="178">
        <f>AM22+AM46</f>
        <v>49.414000000000037</v>
      </c>
      <c r="AN47" s="178">
        <f t="shared" si="32"/>
        <v>105.745</v>
      </c>
      <c r="AO47" s="178">
        <f>AO22+AO46</f>
        <v>97.41100000000003</v>
      </c>
      <c r="AP47" s="532">
        <f>BO47-AO47</f>
        <v>212.79199999999994</v>
      </c>
      <c r="AQ47" s="286"/>
      <c r="AR47" s="286"/>
      <c r="AS47" s="286"/>
      <c r="AT47" s="286"/>
      <c r="AU47" s="564"/>
      <c r="AV47" s="564"/>
      <c r="AW47" s="564"/>
      <c r="AX47" s="564"/>
      <c r="AY47" s="564"/>
      <c r="AZ47" s="564"/>
      <c r="BA47" s="564"/>
      <c r="BB47" s="564"/>
      <c r="BC47" s="564"/>
      <c r="BE47" s="564"/>
      <c r="BF47" s="564"/>
      <c r="BG47" s="217">
        <f t="shared" ref="BG47:BO47" si="35">BG22+BG46</f>
        <v>43.058800000000019</v>
      </c>
      <c r="BH47" s="217">
        <f t="shared" si="35"/>
        <v>54.181999999999967</v>
      </c>
      <c r="BI47" s="217">
        <f t="shared" si="35"/>
        <v>50.144000000000048</v>
      </c>
      <c r="BJ47" s="217">
        <f t="shared" si="35"/>
        <v>53.71</v>
      </c>
      <c r="BK47" s="217">
        <f t="shared" si="35"/>
        <v>83.518999999999906</v>
      </c>
      <c r="BL47" s="217">
        <f t="shared" si="35"/>
        <v>94.646000000000015</v>
      </c>
      <c r="BM47" s="217">
        <f t="shared" si="35"/>
        <v>160.89400000000001</v>
      </c>
      <c r="BN47" s="217">
        <f t="shared" si="35"/>
        <v>155.15900000000005</v>
      </c>
      <c r="BO47" s="309">
        <f t="shared" si="35"/>
        <v>310.20299999999997</v>
      </c>
      <c r="BP47" s="293"/>
      <c r="BQ47" s="293"/>
      <c r="BS47" s="70" t="s">
        <v>609</v>
      </c>
    </row>
    <row r="48" spans="1:71" s="70" customFormat="1">
      <c r="A48" s="78"/>
      <c r="B48" s="75"/>
      <c r="S48" s="80"/>
      <c r="T48" s="80"/>
      <c r="U48" s="80"/>
      <c r="V48" s="80"/>
      <c r="W48" s="100"/>
      <c r="X48" s="100"/>
      <c r="Y48" s="80"/>
      <c r="Z48" s="80"/>
      <c r="AA48" s="80"/>
      <c r="AB48" s="80"/>
      <c r="AC48" s="178"/>
      <c r="AD48" s="178"/>
      <c r="AE48" s="178"/>
      <c r="AF48" s="178"/>
      <c r="AG48" s="178"/>
      <c r="AH48" s="178"/>
      <c r="AI48" s="178"/>
      <c r="AJ48" s="178"/>
      <c r="AK48" s="178"/>
      <c r="AL48" s="178"/>
      <c r="AM48" s="178"/>
      <c r="AN48" s="178"/>
      <c r="AO48" s="178"/>
      <c r="AP48" s="532"/>
      <c r="AQ48" s="178"/>
      <c r="AR48" s="178"/>
      <c r="AS48" s="178"/>
      <c r="AT48" s="178"/>
      <c r="AU48" s="564"/>
      <c r="AV48" s="564"/>
      <c r="AW48" s="564"/>
      <c r="AX48" s="564"/>
      <c r="AY48" s="564"/>
      <c r="AZ48" s="564"/>
      <c r="BA48" s="564"/>
      <c r="BB48" s="564"/>
      <c r="BC48" s="564"/>
      <c r="BE48" s="564"/>
      <c r="BF48" s="564"/>
      <c r="BG48" s="217"/>
      <c r="BH48" s="217"/>
      <c r="BI48" s="217"/>
      <c r="BJ48" s="217"/>
      <c r="BK48" s="217"/>
      <c r="BL48" s="217"/>
      <c r="BM48" s="217"/>
      <c r="BN48" s="217"/>
      <c r="BO48" s="309"/>
      <c r="BP48" s="217"/>
      <c r="BQ48" s="217"/>
    </row>
    <row r="49" spans="1:71" s="70" customFormat="1">
      <c r="A49" s="78"/>
      <c r="B49" s="75" t="s">
        <v>212</v>
      </c>
      <c r="S49" s="80"/>
      <c r="T49" s="80"/>
      <c r="U49" s="80"/>
      <c r="V49" s="80"/>
      <c r="W49" s="100"/>
      <c r="X49" s="100"/>
      <c r="Y49" s="603">
        <f t="shared" ref="Y49:AP50" si="36">Y15/Y$10</f>
        <v>0.22323456231621805</v>
      </c>
      <c r="Z49" s="603">
        <f t="shared" si="36"/>
        <v>0.31317413427780466</v>
      </c>
      <c r="AA49" s="603">
        <f t="shared" si="36"/>
        <v>0.24600658246170296</v>
      </c>
      <c r="AB49" s="603">
        <f t="shared" si="36"/>
        <v>0.31862047752700962</v>
      </c>
      <c r="AC49" s="603">
        <f t="shared" si="36"/>
        <v>0.22965361653800695</v>
      </c>
      <c r="AD49" s="603">
        <f t="shared" si="36"/>
        <v>0.25283067949999355</v>
      </c>
      <c r="AE49" s="603">
        <f t="shared" si="36"/>
        <v>0.27472387368647072</v>
      </c>
      <c r="AF49" s="603">
        <f t="shared" si="36"/>
        <v>0.35049537007058218</v>
      </c>
      <c r="AG49" s="603">
        <f t="shared" si="36"/>
        <v>0.32353552070002894</v>
      </c>
      <c r="AH49" s="603">
        <f t="shared" si="36"/>
        <v>0.36729296044171633</v>
      </c>
      <c r="AI49" s="603">
        <f t="shared" si="36"/>
        <v>0.32925224810954429</v>
      </c>
      <c r="AJ49" s="603">
        <f t="shared" si="36"/>
        <v>0.31344428907608879</v>
      </c>
      <c r="AK49" s="603">
        <f t="shared" si="36"/>
        <v>0.13305292001601723</v>
      </c>
      <c r="AL49" s="603">
        <f t="shared" si="36"/>
        <v>0.24889812475351372</v>
      </c>
      <c r="AM49" s="603">
        <f t="shared" si="36"/>
        <v>0.2047855554056231</v>
      </c>
      <c r="AN49" s="603">
        <f t="shared" si="36"/>
        <v>0.28733221061463904</v>
      </c>
      <c r="AO49" s="603">
        <f t="shared" si="36"/>
        <v>0.23156812753821818</v>
      </c>
      <c r="AP49" s="604">
        <f t="shared" si="36"/>
        <v>0.32313202412118613</v>
      </c>
      <c r="AQ49" s="605"/>
      <c r="AR49" s="605"/>
      <c r="AS49" s="605"/>
      <c r="AT49" s="605"/>
      <c r="AU49" s="564"/>
      <c r="AV49" s="564"/>
      <c r="AW49" s="564"/>
      <c r="AX49" s="564"/>
      <c r="AY49" s="564"/>
      <c r="AZ49" s="564"/>
      <c r="BA49" s="564"/>
      <c r="BB49" s="564"/>
      <c r="BC49" s="564"/>
      <c r="BE49" s="564"/>
      <c r="BF49" s="564"/>
      <c r="BG49" s="603">
        <f t="shared" ref="BG49:BO50" si="37">BG15/BG$10</f>
        <v>0.27172728371949528</v>
      </c>
      <c r="BH49" s="603">
        <f t="shared" si="37"/>
        <v>0.28437574915383701</v>
      </c>
      <c r="BI49" s="603">
        <f t="shared" si="37"/>
        <v>0.24190292189467302</v>
      </c>
      <c r="BJ49" s="603">
        <f t="shared" si="37"/>
        <v>0.31328429821786352</v>
      </c>
      <c r="BK49" s="603">
        <f t="shared" si="37"/>
        <v>0.34645015925294703</v>
      </c>
      <c r="BL49" s="603">
        <f t="shared" si="37"/>
        <v>0.32088829540874947</v>
      </c>
      <c r="BM49" s="603">
        <f t="shared" si="37"/>
        <v>0.2030592188398225</v>
      </c>
      <c r="BN49" s="603">
        <f t="shared" si="37"/>
        <v>0.24802054754054528</v>
      </c>
      <c r="BO49" s="604">
        <f t="shared" si="37"/>
        <v>0.28088028637300849</v>
      </c>
      <c r="BP49" s="293"/>
      <c r="BQ49" s="293"/>
      <c r="BS49" s="70" t="s">
        <v>609</v>
      </c>
    </row>
    <row r="50" spans="1:71" s="70" customFormat="1">
      <c r="A50" s="78"/>
      <c r="B50" s="75" t="s">
        <v>316</v>
      </c>
      <c r="S50" s="80"/>
      <c r="T50" s="80"/>
      <c r="U50" s="80"/>
      <c r="V50" s="80"/>
      <c r="W50" s="100"/>
      <c r="X50" s="100"/>
      <c r="Y50" s="603">
        <f t="shared" si="36"/>
        <v>0.1929427731282515</v>
      </c>
      <c r="Z50" s="603">
        <f t="shared" si="36"/>
        <v>0.28470853890530051</v>
      </c>
      <c r="AA50" s="603">
        <f t="shared" si="36"/>
        <v>0.21462788413488887</v>
      </c>
      <c r="AB50" s="603">
        <f t="shared" si="36"/>
        <v>0.29052251143834801</v>
      </c>
      <c r="AC50" s="603">
        <f t="shared" si="36"/>
        <v>0.1800211789622308</v>
      </c>
      <c r="AD50" s="603">
        <f t="shared" si="36"/>
        <v>0.21968400443598657</v>
      </c>
      <c r="AE50" s="603">
        <f t="shared" si="36"/>
        <v>0.18725591507522174</v>
      </c>
      <c r="AF50" s="603">
        <f t="shared" si="36"/>
        <v>0.25942498219257915</v>
      </c>
      <c r="AG50" s="603">
        <f t="shared" si="36"/>
        <v>0.24058800276045061</v>
      </c>
      <c r="AH50" s="603">
        <f t="shared" si="36"/>
        <v>0.28959637265596849</v>
      </c>
      <c r="AI50" s="603">
        <f t="shared" si="36"/>
        <v>0.25986102595544658</v>
      </c>
      <c r="AJ50" s="603">
        <f t="shared" si="36"/>
        <v>0.24130031945249708</v>
      </c>
      <c r="AK50" s="603">
        <f t="shared" si="36"/>
        <v>4.0632352989843488E-2</v>
      </c>
      <c r="AL50" s="603">
        <f t="shared" si="36"/>
        <v>0.17861430249238333</v>
      </c>
      <c r="AM50" s="603">
        <f t="shared" si="36"/>
        <v>0.12045940287202976</v>
      </c>
      <c r="AN50" s="603">
        <f t="shared" si="36"/>
        <v>0.20348253882185785</v>
      </c>
      <c r="AO50" s="603">
        <f t="shared" si="36"/>
        <v>0.14484697630828461</v>
      </c>
      <c r="AP50" s="604">
        <f t="shared" si="36"/>
        <v>0.23156891323418677</v>
      </c>
      <c r="AQ50" s="605"/>
      <c r="AR50" s="605"/>
      <c r="AS50" s="605"/>
      <c r="AT50" s="605"/>
      <c r="AU50" s="564"/>
      <c r="AV50" s="564"/>
      <c r="AW50" s="564"/>
      <c r="AX50" s="564"/>
      <c r="AY50" s="564"/>
      <c r="AZ50" s="564"/>
      <c r="BA50" s="564"/>
      <c r="BB50" s="564"/>
      <c r="BC50" s="564"/>
      <c r="BE50" s="564"/>
      <c r="BF50" s="564"/>
      <c r="BG50" s="603">
        <f t="shared" si="37"/>
        <v>0.24242012349951436</v>
      </c>
      <c r="BH50" s="603">
        <f t="shared" si="37"/>
        <v>0.25473058904315521</v>
      </c>
      <c r="BI50" s="603">
        <f t="shared" si="37"/>
        <v>0.20098337168410557</v>
      </c>
      <c r="BJ50" s="603">
        <f t="shared" si="37"/>
        <v>0.22398304861330801</v>
      </c>
      <c r="BK50" s="603">
        <f t="shared" si="37"/>
        <v>0.26625241751718565</v>
      </c>
      <c r="BL50" s="603">
        <f t="shared" si="37"/>
        <v>0.25004060125954131</v>
      </c>
      <c r="BM50" s="603">
        <f t="shared" si="37"/>
        <v>0.12401608571364967</v>
      </c>
      <c r="BN50" s="603">
        <f t="shared" si="37"/>
        <v>0.16394395861469949</v>
      </c>
      <c r="BO50" s="604">
        <f t="shared" si="37"/>
        <v>0.19155147543666953</v>
      </c>
      <c r="BP50" s="293"/>
      <c r="BQ50" s="293"/>
      <c r="BS50" s="70" t="s">
        <v>609</v>
      </c>
    </row>
    <row r="51" spans="1:71" s="70" customFormat="1">
      <c r="A51" s="10" t="s">
        <v>211</v>
      </c>
      <c r="B51" s="75" t="s">
        <v>189</v>
      </c>
      <c r="S51" s="80"/>
      <c r="T51" s="80"/>
      <c r="U51" s="80"/>
      <c r="V51" s="80"/>
      <c r="W51" s="100"/>
      <c r="X51" s="100"/>
      <c r="Y51" s="603">
        <f t="shared" ref="Y51:AP51" si="38">Y22/Y$10</f>
        <v>0.15154942320741913</v>
      </c>
      <c r="Z51" s="603">
        <f t="shared" si="38"/>
        <v>0.20377375999505098</v>
      </c>
      <c r="AA51" s="603">
        <f t="shared" si="38"/>
        <v>0.24187100442851492</v>
      </c>
      <c r="AB51" s="603">
        <f t="shared" si="38"/>
        <v>0.20683609519781579</v>
      </c>
      <c r="AC51" s="603">
        <f t="shared" si="38"/>
        <v>0.18395002992679438</v>
      </c>
      <c r="AD51" s="603">
        <f t="shared" si="38"/>
        <v>0.17251057654130023</v>
      </c>
      <c r="AE51" s="603">
        <f t="shared" si="38"/>
        <v>0.12696442231556906</v>
      </c>
      <c r="AF51" s="603">
        <f t="shared" si="38"/>
        <v>0.23909862073431332</v>
      </c>
      <c r="AG51" s="603">
        <f t="shared" si="38"/>
        <v>0.19051128635654041</v>
      </c>
      <c r="AH51" s="603">
        <f t="shared" si="38"/>
        <v>0.33696758426931994</v>
      </c>
      <c r="AI51" s="603">
        <f t="shared" si="38"/>
        <v>0.23782699775189051</v>
      </c>
      <c r="AJ51" s="603">
        <f t="shared" si="38"/>
        <v>0.3560929026977252</v>
      </c>
      <c r="AK51" s="603">
        <f t="shared" si="38"/>
        <v>3.6432771955138207E-2</v>
      </c>
      <c r="AL51" s="603">
        <f t="shared" si="38"/>
        <v>0.17468352236037502</v>
      </c>
      <c r="AM51" s="603">
        <f t="shared" si="38"/>
        <v>0.14762572203383936</v>
      </c>
      <c r="AN51" s="603">
        <f t="shared" si="38"/>
        <v>0.19759321302696708</v>
      </c>
      <c r="AO51" s="603">
        <f t="shared" si="38"/>
        <v>8.2720465974020801E-2</v>
      </c>
      <c r="AP51" s="604">
        <f t="shared" si="38"/>
        <v>0.3014474783966179</v>
      </c>
      <c r="AQ51" s="605"/>
      <c r="AR51" s="605"/>
      <c r="AS51" s="605"/>
      <c r="AT51" s="605"/>
      <c r="AU51" s="564"/>
      <c r="AV51" s="564"/>
      <c r="AW51" s="564"/>
      <c r="AX51" s="564"/>
      <c r="AY51" s="564"/>
      <c r="AZ51" s="564"/>
      <c r="BA51" s="564"/>
      <c r="BB51" s="564"/>
      <c r="BC51" s="564"/>
      <c r="BE51" s="564"/>
      <c r="BF51" s="564"/>
      <c r="BG51" s="603">
        <f t="shared" ref="BG51:BO51" si="39">BG22/BG$10</f>
        <v>0.17970722026025801</v>
      </c>
      <c r="BH51" s="603">
        <f t="shared" si="39"/>
        <v>0.2233585658503682</v>
      </c>
      <c r="BI51" s="603">
        <f t="shared" si="39"/>
        <v>0.17790416648576696</v>
      </c>
      <c r="BJ51" s="603">
        <f t="shared" si="39"/>
        <v>0.1840299746915533</v>
      </c>
      <c r="BK51" s="603">
        <f t="shared" si="39"/>
        <v>0.26720665862423298</v>
      </c>
      <c r="BL51" s="603">
        <f t="shared" si="39"/>
        <v>0.30040120059428216</v>
      </c>
      <c r="BM51" s="603">
        <f t="shared" si="39"/>
        <v>0.11997894348131823</v>
      </c>
      <c r="BN51" s="603">
        <f t="shared" si="39"/>
        <v>0.17379691061343081</v>
      </c>
      <c r="BO51" s="604">
        <f t="shared" si="39"/>
        <v>0.20051690737239369</v>
      </c>
      <c r="BP51" s="293"/>
      <c r="BQ51" s="293"/>
      <c r="BS51" s="70" t="s">
        <v>609</v>
      </c>
    </row>
    <row r="52" spans="1:71" s="70" customFormat="1">
      <c r="A52" s="78"/>
      <c r="B52" s="75" t="s">
        <v>327</v>
      </c>
      <c r="S52" s="80"/>
      <c r="T52" s="80"/>
      <c r="U52" s="80"/>
      <c r="V52" s="80"/>
      <c r="W52" s="100"/>
      <c r="X52" s="100"/>
      <c r="Y52" s="603">
        <f t="shared" ref="Y52:AP52" si="40">Y24/Y$10</f>
        <v>0.11222800271431801</v>
      </c>
      <c r="Z52" s="603">
        <f t="shared" si="40"/>
        <v>0.15917843388960207</v>
      </c>
      <c r="AA52" s="603">
        <f t="shared" si="40"/>
        <v>0.20464218634225367</v>
      </c>
      <c r="AB52" s="603">
        <f t="shared" si="40"/>
        <v>0.17507785766465445</v>
      </c>
      <c r="AC52" s="603">
        <f t="shared" si="40"/>
        <v>0.15213554535827736</v>
      </c>
      <c r="AD52" s="603">
        <f t="shared" si="40"/>
        <v>0.19534084530182508</v>
      </c>
      <c r="AE52" s="603">
        <f t="shared" si="40"/>
        <v>0.11136311784520821</v>
      </c>
      <c r="AF52" s="603">
        <f t="shared" si="40"/>
        <v>0.19677523797189667</v>
      </c>
      <c r="AG52" s="603">
        <f t="shared" si="40"/>
        <v>0.15571754963115825</v>
      </c>
      <c r="AH52" s="603">
        <f t="shared" si="40"/>
        <v>0.28874926106272897</v>
      </c>
      <c r="AI52" s="603">
        <f t="shared" si="40"/>
        <v>0.189582055998365</v>
      </c>
      <c r="AJ52" s="603">
        <f t="shared" si="40"/>
        <v>0.29075861441742551</v>
      </c>
      <c r="AK52" s="603">
        <f t="shared" si="40"/>
        <v>1.2046079563692907E-3</v>
      </c>
      <c r="AL52" s="603">
        <f t="shared" si="40"/>
        <v>0.14060881586873714</v>
      </c>
      <c r="AM52" s="603">
        <f t="shared" si="40"/>
        <v>0.11562117762794208</v>
      </c>
      <c r="AN52" s="603">
        <f t="shared" si="40"/>
        <v>0.16612806513087716</v>
      </c>
      <c r="AO52" s="603">
        <f t="shared" si="40"/>
        <v>5.3167797003013176E-2</v>
      </c>
      <c r="AP52" s="604">
        <f t="shared" si="40"/>
        <v>0.26537967382519734</v>
      </c>
      <c r="AQ52" s="605"/>
      <c r="AR52" s="605"/>
      <c r="AS52" s="605"/>
      <c r="AT52" s="605"/>
      <c r="AU52" s="564"/>
      <c r="AV52" s="564"/>
      <c r="AW52" s="564"/>
      <c r="AX52" s="564"/>
      <c r="AY52" s="564"/>
      <c r="AZ52" s="564"/>
      <c r="BA52" s="564"/>
      <c r="BB52" s="564"/>
      <c r="BC52" s="564"/>
      <c r="BE52" s="564"/>
      <c r="BF52" s="564"/>
      <c r="BG52" s="603">
        <f t="shared" ref="BG52:BO52" si="41">BG24/BG$10</f>
        <v>0.13754226793807511</v>
      </c>
      <c r="BH52" s="603">
        <f t="shared" si="41"/>
        <v>0.18902040136361237</v>
      </c>
      <c r="BI52" s="603">
        <f t="shared" si="41"/>
        <v>0.17496997062186137</v>
      </c>
      <c r="BJ52" s="603">
        <f t="shared" si="41"/>
        <v>0.15482969524412105</v>
      </c>
      <c r="BK52" s="603">
        <f t="shared" si="41"/>
        <v>0.22538281344745931</v>
      </c>
      <c r="BL52" s="603">
        <f t="shared" si="41"/>
        <v>0.24311432713186687</v>
      </c>
      <c r="BM52" s="603">
        <f t="shared" si="41"/>
        <v>8.5447824225210467E-2</v>
      </c>
      <c r="BN52" s="603">
        <f t="shared" si="41"/>
        <v>0.14207488284978967</v>
      </c>
      <c r="BO52" s="604">
        <f t="shared" si="41"/>
        <v>0.16745548207332125</v>
      </c>
      <c r="BP52" s="293"/>
      <c r="BQ52" s="293"/>
      <c r="BS52" s="70" t="s">
        <v>609</v>
      </c>
    </row>
    <row r="54" spans="1:71" s="40" customFormat="1">
      <c r="A54" s="10"/>
      <c r="B54" s="11" t="s">
        <v>193</v>
      </c>
      <c r="C54" s="11"/>
      <c r="D54" s="11"/>
      <c r="E54" s="11"/>
      <c r="F54" s="11"/>
      <c r="G54" s="12"/>
      <c r="H54" s="12"/>
      <c r="I54" s="12"/>
      <c r="J54" s="12"/>
      <c r="K54" s="12"/>
      <c r="L54" s="12"/>
      <c r="M54" s="12"/>
      <c r="N54" s="12"/>
      <c r="O54" s="12"/>
      <c r="P54" s="12"/>
      <c r="Q54" s="555"/>
      <c r="R54" s="555"/>
      <c r="S54" s="555"/>
      <c r="T54" s="555"/>
      <c r="U54" s="555"/>
      <c r="V54" s="555"/>
      <c r="W54" s="555"/>
      <c r="X54" s="12"/>
      <c r="Y54" s="12"/>
      <c r="Z54" s="12"/>
      <c r="AA54" s="12"/>
      <c r="AB54" s="12"/>
      <c r="AC54" s="12"/>
      <c r="AD54" s="12"/>
      <c r="AE54" s="12"/>
      <c r="AF54" s="12"/>
      <c r="AG54" s="12"/>
      <c r="AH54" s="12"/>
      <c r="AI54" s="12"/>
      <c r="AJ54" s="12"/>
      <c r="AK54" s="12"/>
      <c r="AL54" s="12"/>
      <c r="AM54" s="12"/>
      <c r="AN54" s="12"/>
      <c r="AO54" s="12"/>
      <c r="AP54" s="298"/>
      <c r="AQ54" s="12"/>
      <c r="AR54" s="12"/>
      <c r="AS54" s="12"/>
      <c r="AT54" s="12"/>
      <c r="AU54" s="13"/>
      <c r="AV54" s="12"/>
      <c r="AW54" s="12"/>
      <c r="AX54" s="12"/>
      <c r="AY54" s="12"/>
      <c r="AZ54" s="12"/>
      <c r="BA54" s="12"/>
      <c r="BB54" s="12"/>
      <c r="BC54" s="12"/>
      <c r="BD54" s="26"/>
      <c r="BE54" s="12"/>
      <c r="BF54" s="12"/>
      <c r="BG54" s="12"/>
      <c r="BH54" s="12"/>
      <c r="BI54" s="12"/>
      <c r="BJ54" s="12"/>
      <c r="BK54" s="12"/>
      <c r="BL54" s="12"/>
      <c r="BM54" s="12"/>
      <c r="BN54" s="12"/>
      <c r="BO54" s="298"/>
      <c r="BP54" s="12"/>
      <c r="BQ54" s="12"/>
    </row>
    <row r="55" spans="1:71" s="23" customFormat="1">
      <c r="A55" s="57"/>
      <c r="B55" s="61"/>
      <c r="C55" s="58"/>
      <c r="D55" s="58"/>
      <c r="E55" s="58"/>
      <c r="F55" s="58"/>
      <c r="H55" s="606"/>
      <c r="I55" s="606"/>
      <c r="J55" s="606"/>
      <c r="K55" s="607"/>
      <c r="L55" s="606"/>
      <c r="M55" s="606"/>
      <c r="N55" s="606"/>
      <c r="O55" s="606"/>
      <c r="P55" s="608"/>
      <c r="Q55" s="608"/>
      <c r="R55" s="608"/>
      <c r="S55" s="27"/>
      <c r="T55" s="27"/>
      <c r="U55" s="27"/>
      <c r="V55" s="27"/>
      <c r="W55" s="27"/>
      <c r="X55" s="27"/>
      <c r="Y55" s="27"/>
      <c r="Z55" s="27"/>
      <c r="AA55" s="27"/>
      <c r="AB55" s="27"/>
      <c r="AC55" s="27"/>
      <c r="AD55" s="609"/>
      <c r="AE55" s="609"/>
      <c r="AF55" s="609"/>
      <c r="AG55" s="609"/>
      <c r="AH55" s="609"/>
      <c r="AI55" s="610"/>
      <c r="AJ55" s="609"/>
      <c r="AK55" s="610"/>
      <c r="AL55" s="609"/>
      <c r="AM55" s="610"/>
      <c r="AN55" s="609"/>
      <c r="AO55" s="610"/>
      <c r="AP55" s="611"/>
      <c r="AQ55" s="609"/>
      <c r="AR55" s="609"/>
      <c r="AS55" s="609"/>
      <c r="AT55" s="609"/>
      <c r="AU55" s="558"/>
      <c r="AV55" s="557"/>
      <c r="AW55" s="557"/>
      <c r="AX55" s="557"/>
      <c r="AY55" s="557"/>
      <c r="AZ55" s="557"/>
      <c r="BA55" s="557"/>
      <c r="BB55" s="230"/>
      <c r="BC55" s="612"/>
      <c r="BD55" s="59"/>
      <c r="BE55" s="59"/>
      <c r="BF55" s="59"/>
      <c r="BG55" s="59"/>
      <c r="BH55" s="59"/>
      <c r="BI55" s="59"/>
      <c r="BJ55" s="59"/>
      <c r="BK55" s="59"/>
      <c r="BL55" s="59"/>
      <c r="BM55" s="59"/>
      <c r="BN55" s="59"/>
      <c r="BO55" s="310"/>
      <c r="BR55"/>
    </row>
    <row r="56" spans="1:71" s="23" customFormat="1">
      <c r="A56" s="57" t="s">
        <v>506</v>
      </c>
      <c r="B56" s="61" t="s">
        <v>296</v>
      </c>
      <c r="C56" s="58"/>
      <c r="D56" s="58"/>
      <c r="E56" s="58"/>
      <c r="F56" s="58"/>
      <c r="H56" s="606"/>
      <c r="I56" s="606"/>
      <c r="J56" s="606"/>
      <c r="K56" s="607"/>
      <c r="L56" s="606"/>
      <c r="M56" s="606"/>
      <c r="N56" s="606"/>
      <c r="O56" s="606"/>
      <c r="P56" s="608"/>
      <c r="Q56" s="608"/>
      <c r="R56" s="608"/>
      <c r="S56" s="27"/>
      <c r="T56" s="27"/>
      <c r="U56" s="27"/>
      <c r="V56" s="27"/>
      <c r="W56" s="27"/>
      <c r="X56" s="27"/>
      <c r="Y56" s="613">
        <v>103.455</v>
      </c>
      <c r="Z56" s="566">
        <f t="shared" ref="Z56:Z64" si="42">BG56-Y56</f>
        <v>120.10899999999999</v>
      </c>
      <c r="AA56" s="614">
        <v>106.705</v>
      </c>
      <c r="AB56" s="566">
        <f t="shared" ref="AB56:AB64" si="43">BH56-AA56</f>
        <v>121.551</v>
      </c>
      <c r="AC56" s="613">
        <v>121.70099999999999</v>
      </c>
      <c r="AD56" s="566">
        <f t="shared" ref="AD56:AD64" si="44">BI56-AC56</f>
        <v>135.61800000000002</v>
      </c>
      <c r="AE56" s="613">
        <v>140.11000000000001</v>
      </c>
      <c r="AF56" s="566">
        <f t="shared" ref="AF56:AF64" si="45">BJ56-AE56</f>
        <v>147.44900000000001</v>
      </c>
      <c r="AG56" s="613">
        <v>138.85599999999999</v>
      </c>
      <c r="AH56" s="566">
        <f t="shared" ref="AH56:AH64" si="46">BK56-AG56</f>
        <v>157.21199999999999</v>
      </c>
      <c r="AI56" s="613">
        <v>146.34100000000001</v>
      </c>
      <c r="AJ56" s="566">
        <f t="shared" ref="AJ56:AJ64" si="47">BL56-AI56</f>
        <v>166.42399999999998</v>
      </c>
      <c r="AK56" s="613">
        <v>293.08300000000003</v>
      </c>
      <c r="AL56" s="566">
        <f>BM56-AK56</f>
        <v>440.95</v>
      </c>
      <c r="AM56" s="613">
        <v>435.38299999999998</v>
      </c>
      <c r="AN56" s="566">
        <f>BN56-AM56</f>
        <v>496.17099999999999</v>
      </c>
      <c r="AO56" s="613">
        <v>476.822</v>
      </c>
      <c r="AP56" s="615">
        <f t="shared" ref="AP56:AP64" si="48">BO56-AO56</f>
        <v>552.245</v>
      </c>
      <c r="AQ56" s="289"/>
      <c r="AR56" s="289"/>
      <c r="AS56" s="289"/>
      <c r="AT56" s="289"/>
      <c r="AU56" s="558"/>
      <c r="AV56" s="557"/>
      <c r="AW56" s="557"/>
      <c r="AX56" s="557"/>
      <c r="AY56" s="557"/>
      <c r="AZ56" s="557"/>
      <c r="BA56" s="557"/>
      <c r="BB56" s="230"/>
      <c r="BC56" s="612"/>
      <c r="BD56" s="59"/>
      <c r="BE56" s="59"/>
      <c r="BF56" s="59"/>
      <c r="BG56" s="613">
        <v>223.56399999999999</v>
      </c>
      <c r="BH56" s="613">
        <v>228.256</v>
      </c>
      <c r="BI56" s="613">
        <v>257.31900000000002</v>
      </c>
      <c r="BJ56" s="613">
        <v>287.55900000000003</v>
      </c>
      <c r="BK56" s="613">
        <v>296.06799999999998</v>
      </c>
      <c r="BL56" s="613">
        <v>312.76499999999999</v>
      </c>
      <c r="BM56" s="613">
        <v>734.03300000000002</v>
      </c>
      <c r="BN56" s="613">
        <v>931.55399999999997</v>
      </c>
      <c r="BO56" s="616">
        <v>1029.067</v>
      </c>
      <c r="BP56" s="293"/>
      <c r="BQ56" s="293"/>
      <c r="BR56"/>
      <c r="BS56" s="70" t="s">
        <v>629</v>
      </c>
    </row>
    <row r="57" spans="1:71" s="23" customFormat="1">
      <c r="A57" s="57"/>
      <c r="B57" s="61" t="s">
        <v>297</v>
      </c>
      <c r="C57" s="58"/>
      <c r="D57" s="58"/>
      <c r="E57" s="58"/>
      <c r="F57" s="58"/>
      <c r="H57" s="606"/>
      <c r="I57" s="606"/>
      <c r="J57" s="606"/>
      <c r="K57" s="607"/>
      <c r="L57" s="606"/>
      <c r="M57" s="606"/>
      <c r="N57" s="606"/>
      <c r="O57" s="606"/>
      <c r="P57" s="608"/>
      <c r="Q57" s="608"/>
      <c r="R57" s="608"/>
      <c r="S57" s="27"/>
      <c r="T57" s="27"/>
      <c r="U57" s="27"/>
      <c r="V57" s="27"/>
      <c r="W57" s="27"/>
      <c r="X57" s="27"/>
      <c r="Y57" s="174">
        <f>5.372+1.698</f>
        <v>7.07</v>
      </c>
      <c r="Z57" s="566">
        <f t="shared" si="42"/>
        <v>9.2049999999999983</v>
      </c>
      <c r="AA57" s="202">
        <f>7.22+2.141</f>
        <v>9.3610000000000007</v>
      </c>
      <c r="AB57" s="566">
        <f t="shared" si="43"/>
        <v>8.4939999999999998</v>
      </c>
      <c r="AC57" s="174">
        <f>6.545+2.072</f>
        <v>8.6170000000000009</v>
      </c>
      <c r="AD57" s="566">
        <f t="shared" si="44"/>
        <v>10.46</v>
      </c>
      <c r="AE57" s="174">
        <f>7.148+1.768</f>
        <v>8.9160000000000004</v>
      </c>
      <c r="AF57" s="566">
        <f t="shared" si="45"/>
        <v>6.9809999999999999</v>
      </c>
      <c r="AG57" s="174">
        <v>10.395</v>
      </c>
      <c r="AH57" s="566">
        <f t="shared" si="46"/>
        <v>6.875</v>
      </c>
      <c r="AI57" s="174">
        <v>10.234999999999999</v>
      </c>
      <c r="AJ57" s="566">
        <f t="shared" si="47"/>
        <v>9.5019999999999989</v>
      </c>
      <c r="AK57" s="174">
        <v>9.09</v>
      </c>
      <c r="AL57" s="566">
        <f t="shared" ref="AL57:AL64" si="49">BM57-AK57</f>
        <v>20.535999999999998</v>
      </c>
      <c r="AM57" s="174">
        <f>4.056+20.027</f>
        <v>24.083000000000002</v>
      </c>
      <c r="AN57" s="566">
        <f t="shared" ref="AN57:AN64" si="50">BN57-AM57</f>
        <v>9.149999999999995</v>
      </c>
      <c r="AO57" s="174">
        <f>2.412+16.931</f>
        <v>19.343</v>
      </c>
      <c r="AP57" s="615">
        <f t="shared" si="48"/>
        <v>26.831</v>
      </c>
      <c r="AQ57" s="289"/>
      <c r="AR57" s="289"/>
      <c r="AS57" s="289"/>
      <c r="AT57" s="289"/>
      <c r="AU57" s="558"/>
      <c r="AV57" s="557"/>
      <c r="AW57" s="557"/>
      <c r="AX57" s="557"/>
      <c r="AY57" s="557"/>
      <c r="AZ57" s="557"/>
      <c r="BA57" s="557"/>
      <c r="BB57" s="230"/>
      <c r="BC57" s="612"/>
      <c r="BD57" s="59"/>
      <c r="BE57" s="59"/>
      <c r="BF57" s="59"/>
      <c r="BG57" s="174">
        <f>10.661+5.614</f>
        <v>16.274999999999999</v>
      </c>
      <c r="BH57" s="174">
        <f>12.39+5.465</f>
        <v>17.855</v>
      </c>
      <c r="BI57" s="174">
        <f>13.736+5.341</f>
        <v>19.077000000000002</v>
      </c>
      <c r="BJ57" s="174">
        <f>11.417+4.48</f>
        <v>15.897</v>
      </c>
      <c r="BK57" s="174">
        <f>12.273+4.997</f>
        <v>17.27</v>
      </c>
      <c r="BL57" s="174">
        <f>13.774+5.963</f>
        <v>19.736999999999998</v>
      </c>
      <c r="BM57" s="174">
        <f>5.982+23.644</f>
        <v>29.625999999999998</v>
      </c>
      <c r="BN57" s="174">
        <f>5.882+27.351</f>
        <v>33.232999999999997</v>
      </c>
      <c r="BO57" s="311">
        <f>4.994+41.18</f>
        <v>46.173999999999999</v>
      </c>
      <c r="BP57" s="293"/>
      <c r="BQ57" s="293"/>
      <c r="BR57"/>
      <c r="BS57" s="70" t="s">
        <v>629</v>
      </c>
    </row>
    <row r="58" spans="1:71" s="28" customFormat="1">
      <c r="A58" s="90"/>
      <c r="B58" s="60" t="s">
        <v>298</v>
      </c>
      <c r="C58" s="91"/>
      <c r="D58" s="91"/>
      <c r="E58" s="91"/>
      <c r="F58" s="91"/>
      <c r="H58" s="617"/>
      <c r="I58" s="617"/>
      <c r="J58" s="617"/>
      <c r="K58" s="618"/>
      <c r="L58" s="617"/>
      <c r="M58" s="617"/>
      <c r="N58" s="617"/>
      <c r="O58" s="617"/>
      <c r="P58" s="619"/>
      <c r="Q58" s="619"/>
      <c r="R58" s="619"/>
      <c r="S58" s="619"/>
      <c r="T58" s="619"/>
      <c r="U58" s="620"/>
      <c r="V58" s="620"/>
      <c r="W58" s="620"/>
      <c r="X58" s="620"/>
      <c r="Y58" s="210">
        <f>SUM(Y56:Y57)</f>
        <v>110.52500000000001</v>
      </c>
      <c r="Z58" s="183">
        <f t="shared" si="42"/>
        <v>129.31399999999999</v>
      </c>
      <c r="AA58" s="210">
        <f>SUM(AA56:AA57)</f>
        <v>116.066</v>
      </c>
      <c r="AB58" s="183">
        <f t="shared" si="43"/>
        <v>130.04499999999999</v>
      </c>
      <c r="AC58" s="210">
        <f>SUM(AC56:AC57)</f>
        <v>130.31799999999998</v>
      </c>
      <c r="AD58" s="183">
        <f t="shared" si="44"/>
        <v>146.07800000000003</v>
      </c>
      <c r="AE58" s="209">
        <f>SUM(AE56:AE57)</f>
        <v>149.02600000000001</v>
      </c>
      <c r="AF58" s="183">
        <f t="shared" si="45"/>
        <v>154.43</v>
      </c>
      <c r="AG58" s="209">
        <f>SUM(AG56:AG57)</f>
        <v>149.251</v>
      </c>
      <c r="AH58" s="183">
        <f t="shared" si="46"/>
        <v>164.08699999999996</v>
      </c>
      <c r="AI58" s="210">
        <f>SUM(AI56:AI57)</f>
        <v>156.57600000000002</v>
      </c>
      <c r="AJ58" s="183">
        <f t="shared" si="47"/>
        <v>175.92599999999999</v>
      </c>
      <c r="AK58" s="210">
        <f>SUM(AK56:AK57)</f>
        <v>302.173</v>
      </c>
      <c r="AL58" s="183">
        <f t="shared" si="49"/>
        <v>461.48599999999999</v>
      </c>
      <c r="AM58" s="210">
        <f>SUM(AM56:AM57)</f>
        <v>459.46600000000001</v>
      </c>
      <c r="AN58" s="183">
        <f t="shared" si="50"/>
        <v>505.32099999999991</v>
      </c>
      <c r="AO58" s="210">
        <f>SUM(AO56:AO57)</f>
        <v>496.16500000000002</v>
      </c>
      <c r="AP58" s="464">
        <f t="shared" si="48"/>
        <v>579.07600000000002</v>
      </c>
      <c r="AQ58" s="289"/>
      <c r="AR58" s="289"/>
      <c r="AS58" s="289"/>
      <c r="AT58" s="289"/>
      <c r="AU58" s="621"/>
      <c r="AV58" s="621"/>
      <c r="AW58" s="621"/>
      <c r="AX58" s="621"/>
      <c r="AY58" s="621"/>
      <c r="AZ58" s="621"/>
      <c r="BA58" s="621"/>
      <c r="BB58" s="622"/>
      <c r="BC58" s="623"/>
      <c r="BD58" s="94"/>
      <c r="BE58" s="94"/>
      <c r="BF58" s="94"/>
      <c r="BG58" s="210">
        <f t="shared" ref="BG58:BO58" si="51">SUM(BG56:BG57)</f>
        <v>239.839</v>
      </c>
      <c r="BH58" s="209">
        <f t="shared" si="51"/>
        <v>246.11099999999999</v>
      </c>
      <c r="BI58" s="209">
        <f t="shared" si="51"/>
        <v>276.39600000000002</v>
      </c>
      <c r="BJ58" s="209">
        <f t="shared" si="51"/>
        <v>303.45600000000002</v>
      </c>
      <c r="BK58" s="210">
        <f t="shared" si="51"/>
        <v>313.33799999999997</v>
      </c>
      <c r="BL58" s="210">
        <f t="shared" si="51"/>
        <v>332.50200000000001</v>
      </c>
      <c r="BM58" s="210">
        <f t="shared" si="51"/>
        <v>763.65899999999999</v>
      </c>
      <c r="BN58" s="210">
        <f t="shared" si="51"/>
        <v>964.78699999999992</v>
      </c>
      <c r="BO58" s="312">
        <f t="shared" si="51"/>
        <v>1075.241</v>
      </c>
      <c r="BP58" s="293"/>
      <c r="BQ58" s="293"/>
      <c r="BS58" s="28" t="s">
        <v>609</v>
      </c>
    </row>
    <row r="59" spans="1:71" s="23" customFormat="1">
      <c r="A59" s="57"/>
      <c r="B59" s="61" t="s">
        <v>299</v>
      </c>
      <c r="C59" s="58"/>
      <c r="D59" s="58"/>
      <c r="E59" s="58"/>
      <c r="F59" s="58"/>
      <c r="H59" s="606"/>
      <c r="I59" s="606"/>
      <c r="J59" s="606"/>
      <c r="K59" s="607"/>
      <c r="L59" s="606"/>
      <c r="M59" s="606"/>
      <c r="N59" s="606"/>
      <c r="O59" s="606"/>
      <c r="P59" s="624"/>
      <c r="Q59" s="624"/>
      <c r="R59" s="624"/>
      <c r="S59" s="624"/>
      <c r="T59" s="624"/>
      <c r="U59" s="625"/>
      <c r="V59" s="625"/>
      <c r="W59" s="625"/>
      <c r="X59" s="625"/>
      <c r="Y59" s="174">
        <f>0.001+0.017+1.538</f>
        <v>1.556</v>
      </c>
      <c r="Z59" s="566">
        <f t="shared" si="42"/>
        <v>-1.556</v>
      </c>
      <c r="AA59" s="174">
        <v>1.28</v>
      </c>
      <c r="AB59" s="566">
        <f t="shared" si="43"/>
        <v>1.0969999999999998</v>
      </c>
      <c r="AC59" s="174">
        <v>1.65</v>
      </c>
      <c r="AD59" s="566">
        <f t="shared" si="44"/>
        <v>1.7650000000000001</v>
      </c>
      <c r="AE59" s="174">
        <v>1.47</v>
      </c>
      <c r="AF59" s="566">
        <f t="shared" si="45"/>
        <v>0.85799999999999987</v>
      </c>
      <c r="AG59" s="174">
        <v>0.54800000000000004</v>
      </c>
      <c r="AH59" s="566">
        <f t="shared" si="46"/>
        <v>0.48199999999999998</v>
      </c>
      <c r="AI59" s="202">
        <v>0.379</v>
      </c>
      <c r="AJ59" s="566">
        <f t="shared" si="47"/>
        <v>0.65599999999999992</v>
      </c>
      <c r="AK59" s="202">
        <v>8.9019999999999992</v>
      </c>
      <c r="AL59" s="566">
        <f t="shared" si="49"/>
        <v>19.182000000000002</v>
      </c>
      <c r="AM59" s="202">
        <v>24.759</v>
      </c>
      <c r="AN59" s="566">
        <f t="shared" si="50"/>
        <v>24.588000000000001</v>
      </c>
      <c r="AO59" s="202">
        <v>27.073</v>
      </c>
      <c r="AP59" s="615">
        <f t="shared" si="48"/>
        <v>23.286999999999999</v>
      </c>
      <c r="AQ59" s="289"/>
      <c r="AR59" s="289"/>
      <c r="AS59" s="289"/>
      <c r="AT59" s="289"/>
      <c r="AU59" s="558"/>
      <c r="AV59" s="558"/>
      <c r="AW59" s="558"/>
      <c r="AX59" s="558"/>
      <c r="AY59" s="558"/>
      <c r="AZ59" s="558"/>
      <c r="BA59" s="558"/>
      <c r="BB59" s="431"/>
      <c r="BC59" s="626"/>
      <c r="BD59" s="83"/>
      <c r="BE59" s="83"/>
      <c r="BF59" s="83"/>
      <c r="BG59" s="174"/>
      <c r="BH59" s="174">
        <v>2.3769999999999998</v>
      </c>
      <c r="BI59" s="174">
        <v>3.415</v>
      </c>
      <c r="BJ59" s="174">
        <v>2.3279999999999998</v>
      </c>
      <c r="BK59" s="174">
        <v>1.03</v>
      </c>
      <c r="BL59" s="174">
        <v>1.0349999999999999</v>
      </c>
      <c r="BM59" s="174">
        <f>0.248+27.836</f>
        <v>28.084</v>
      </c>
      <c r="BN59" s="174">
        <f>1.509+47.838</f>
        <v>49.347000000000001</v>
      </c>
      <c r="BO59" s="311">
        <f>1.159+49.201</f>
        <v>50.36</v>
      </c>
      <c r="BP59" s="293"/>
      <c r="BQ59" s="293"/>
      <c r="BS59" s="70" t="s">
        <v>629</v>
      </c>
    </row>
    <row r="60" spans="1:71" s="23" customFormat="1">
      <c r="A60" s="57"/>
      <c r="B60" s="60" t="s">
        <v>294</v>
      </c>
      <c r="C60" s="58"/>
      <c r="D60" s="58"/>
      <c r="E60" s="58"/>
      <c r="F60" s="58"/>
      <c r="H60" s="606"/>
      <c r="I60" s="606"/>
      <c r="J60" s="606"/>
      <c r="K60" s="607"/>
      <c r="L60" s="606"/>
      <c r="M60" s="606"/>
      <c r="N60" s="606"/>
      <c r="O60" s="606"/>
      <c r="P60" s="624"/>
      <c r="Q60" s="624"/>
      <c r="R60" s="624"/>
      <c r="S60" s="624"/>
      <c r="T60" s="624"/>
      <c r="U60" s="625"/>
      <c r="V60" s="625"/>
      <c r="W60" s="625"/>
      <c r="X60" s="625"/>
      <c r="Y60" s="210">
        <f>SUM(Y58:Y59)</f>
        <v>112.081</v>
      </c>
      <c r="Z60" s="183">
        <f t="shared" si="42"/>
        <v>127.758</v>
      </c>
      <c r="AA60" s="210">
        <f>SUM(AA58:AA59)</f>
        <v>117.346</v>
      </c>
      <c r="AB60" s="183">
        <f t="shared" si="43"/>
        <v>131.142</v>
      </c>
      <c r="AC60" s="210">
        <f>SUM(AC58:AC59)</f>
        <v>131.96799999999999</v>
      </c>
      <c r="AD60" s="183">
        <f t="shared" si="44"/>
        <v>147.84300000000005</v>
      </c>
      <c r="AE60" s="210">
        <f>SUM(AE58:AE59)</f>
        <v>150.49600000000001</v>
      </c>
      <c r="AF60" s="183">
        <f t="shared" si="45"/>
        <v>155.28799999999998</v>
      </c>
      <c r="AG60" s="210">
        <f>SUM(AG58:AG59)</f>
        <v>149.79900000000001</v>
      </c>
      <c r="AH60" s="183">
        <f t="shared" si="46"/>
        <v>164.56899999999993</v>
      </c>
      <c r="AI60" s="210">
        <f>SUM(AI58:AI59)</f>
        <v>156.95500000000001</v>
      </c>
      <c r="AJ60" s="183">
        <f t="shared" si="47"/>
        <v>176.58200000000002</v>
      </c>
      <c r="AK60" s="210">
        <f>SUM(AK58:AK59)</f>
        <v>311.07499999999999</v>
      </c>
      <c r="AL60" s="183">
        <f t="shared" si="49"/>
        <v>480.66799999999995</v>
      </c>
      <c r="AM60" s="210">
        <f>SUM(AM58:AM59)</f>
        <v>484.22500000000002</v>
      </c>
      <c r="AN60" s="183">
        <f t="shared" si="50"/>
        <v>529.90899999999988</v>
      </c>
      <c r="AO60" s="210">
        <f>SUM(AO58:AO59)</f>
        <v>523.23800000000006</v>
      </c>
      <c r="AP60" s="464">
        <f t="shared" si="48"/>
        <v>602.36299999999983</v>
      </c>
      <c r="AQ60" s="289"/>
      <c r="AR60" s="289"/>
      <c r="AS60" s="289"/>
      <c r="AT60" s="289"/>
      <c r="AU60" s="621"/>
      <c r="AV60" s="621"/>
      <c r="AW60" s="621"/>
      <c r="AX60" s="621"/>
      <c r="AY60" s="621"/>
      <c r="AZ60" s="621"/>
      <c r="BA60" s="621"/>
      <c r="BB60" s="622"/>
      <c r="BC60" s="623"/>
      <c r="BD60" s="94"/>
      <c r="BE60" s="94"/>
      <c r="BF60" s="94"/>
      <c r="BG60" s="210">
        <f t="shared" ref="BG60:BO60" si="52">SUM(BG58:BG59)</f>
        <v>239.839</v>
      </c>
      <c r="BH60" s="239">
        <f t="shared" si="52"/>
        <v>248.488</v>
      </c>
      <c r="BI60" s="210">
        <f t="shared" si="52"/>
        <v>279.81100000000004</v>
      </c>
      <c r="BJ60" s="210">
        <f t="shared" si="52"/>
        <v>305.78399999999999</v>
      </c>
      <c r="BK60" s="210">
        <f t="shared" si="52"/>
        <v>314.36799999999994</v>
      </c>
      <c r="BL60" s="210">
        <f t="shared" si="52"/>
        <v>333.53700000000003</v>
      </c>
      <c r="BM60" s="210">
        <f t="shared" si="52"/>
        <v>791.74299999999994</v>
      </c>
      <c r="BN60" s="210">
        <f t="shared" si="52"/>
        <v>1014.1339999999999</v>
      </c>
      <c r="BO60" s="312">
        <f t="shared" si="52"/>
        <v>1125.6009999999999</v>
      </c>
      <c r="BP60" s="293"/>
      <c r="BQ60" s="293"/>
      <c r="BS60" s="28" t="s">
        <v>609</v>
      </c>
    </row>
    <row r="61" spans="1:71" s="23" customFormat="1">
      <c r="A61" s="57"/>
      <c r="B61" s="61" t="s">
        <v>293</v>
      </c>
      <c r="C61" s="58"/>
      <c r="D61" s="58"/>
      <c r="E61" s="58"/>
      <c r="F61" s="58"/>
      <c r="H61" s="606"/>
      <c r="I61" s="606"/>
      <c r="J61" s="606"/>
      <c r="K61" s="607"/>
      <c r="L61" s="606"/>
      <c r="M61" s="606"/>
      <c r="N61" s="606"/>
      <c r="O61" s="606"/>
      <c r="P61" s="624"/>
      <c r="Q61" s="624"/>
      <c r="R61" s="624"/>
      <c r="S61" s="624"/>
      <c r="T61" s="624"/>
      <c r="U61" s="625"/>
      <c r="V61" s="625"/>
      <c r="W61" s="625"/>
      <c r="X61" s="625"/>
      <c r="Y61" s="202"/>
      <c r="Z61" s="566">
        <f t="shared" si="42"/>
        <v>0</v>
      </c>
      <c r="AA61" s="202"/>
      <c r="AB61" s="566">
        <f t="shared" si="43"/>
        <v>0</v>
      </c>
      <c r="AC61" s="202">
        <v>0</v>
      </c>
      <c r="AD61" s="566">
        <f t="shared" si="44"/>
        <v>9.1549999999999994</v>
      </c>
      <c r="AE61" s="202">
        <v>4.4349999999999996</v>
      </c>
      <c r="AF61" s="566">
        <f t="shared" si="45"/>
        <v>4.694</v>
      </c>
      <c r="AG61" s="202">
        <v>2.9969999999999999</v>
      </c>
      <c r="AH61" s="566">
        <f t="shared" si="46"/>
        <v>2.7460000000000004</v>
      </c>
      <c r="AI61" s="202">
        <v>1.91</v>
      </c>
      <c r="AJ61" s="566">
        <f t="shared" si="47"/>
        <v>2.7770000000000001</v>
      </c>
      <c r="AK61" s="202">
        <v>11.316000000000001</v>
      </c>
      <c r="AL61" s="566">
        <f t="shared" si="49"/>
        <v>36.225999999999999</v>
      </c>
      <c r="AM61" s="202">
        <v>1.831</v>
      </c>
      <c r="AN61" s="566">
        <f t="shared" si="50"/>
        <v>4.8979999999999997</v>
      </c>
      <c r="AO61" s="202">
        <v>8.5380000000000003</v>
      </c>
      <c r="AP61" s="615">
        <f t="shared" si="48"/>
        <v>-1.9610000000000003</v>
      </c>
      <c r="AQ61" s="289"/>
      <c r="AR61" s="289"/>
      <c r="AS61" s="289"/>
      <c r="AT61" s="289"/>
      <c r="AU61" s="558"/>
      <c r="AV61" s="558"/>
      <c r="AW61" s="558"/>
      <c r="AX61" s="558"/>
      <c r="AY61" s="558"/>
      <c r="AZ61" s="558"/>
      <c r="BA61" s="558"/>
      <c r="BB61" s="431"/>
      <c r="BC61" s="626"/>
      <c r="BD61" s="83"/>
      <c r="BE61" s="83"/>
      <c r="BF61" s="83"/>
      <c r="BG61" s="173"/>
      <c r="BH61" s="173"/>
      <c r="BI61" s="202">
        <v>9.1549999999999994</v>
      </c>
      <c r="BJ61" s="202">
        <v>9.1289999999999996</v>
      </c>
      <c r="BK61" s="202">
        <v>5.7430000000000003</v>
      </c>
      <c r="BL61" s="202">
        <v>4.6870000000000003</v>
      </c>
      <c r="BM61" s="202">
        <v>47.542000000000002</v>
      </c>
      <c r="BN61" s="202">
        <v>6.7290000000000001</v>
      </c>
      <c r="BO61" s="417">
        <v>6.577</v>
      </c>
      <c r="BP61" s="293"/>
      <c r="BQ61" s="293"/>
      <c r="BS61" s="70" t="s">
        <v>629</v>
      </c>
    </row>
    <row r="62" spans="1:71" s="28" customFormat="1">
      <c r="A62" s="57"/>
      <c r="B62" s="60" t="s">
        <v>300</v>
      </c>
      <c r="C62" s="58"/>
      <c r="D62" s="58"/>
      <c r="E62" s="58"/>
      <c r="F62" s="58"/>
      <c r="G62" s="23"/>
      <c r="H62" s="606"/>
      <c r="I62" s="606"/>
      <c r="J62" s="606"/>
      <c r="K62" s="607"/>
      <c r="L62" s="606"/>
      <c r="M62" s="606"/>
      <c r="N62" s="606"/>
      <c r="O62" s="606"/>
      <c r="P62" s="624"/>
      <c r="Q62" s="624"/>
      <c r="R62" s="624"/>
      <c r="S62" s="624"/>
      <c r="T62" s="624"/>
      <c r="U62" s="625"/>
      <c r="V62" s="625"/>
      <c r="W62" s="625"/>
      <c r="X62" s="625"/>
      <c r="Y62" s="210">
        <f>SUM(Y60:Y61)</f>
        <v>112.081</v>
      </c>
      <c r="Z62" s="183">
        <f t="shared" si="42"/>
        <v>127.758</v>
      </c>
      <c r="AA62" s="210">
        <f>SUM(AA60:AA61)</f>
        <v>117.346</v>
      </c>
      <c r="AB62" s="183">
        <f t="shared" si="43"/>
        <v>131.142</v>
      </c>
      <c r="AC62" s="210">
        <f>SUM(AC60:AC61)</f>
        <v>131.96799999999999</v>
      </c>
      <c r="AD62" s="183">
        <f t="shared" si="44"/>
        <v>156.99800000000002</v>
      </c>
      <c r="AE62" s="210">
        <f>SUM(AE60:AE61)</f>
        <v>154.93100000000001</v>
      </c>
      <c r="AF62" s="183">
        <f t="shared" si="45"/>
        <v>159.982</v>
      </c>
      <c r="AG62" s="210">
        <f>SUM(AG60:AG61)</f>
        <v>152.79599999999999</v>
      </c>
      <c r="AH62" s="183">
        <f t="shared" si="46"/>
        <v>167.31499999999994</v>
      </c>
      <c r="AI62" s="210">
        <f>SUM(AI60:AI61)</f>
        <v>158.86500000000001</v>
      </c>
      <c r="AJ62" s="183">
        <f t="shared" si="47"/>
        <v>179.35900000000004</v>
      </c>
      <c r="AK62" s="210">
        <f>SUM(AK60:AK61)</f>
        <v>322.39099999999996</v>
      </c>
      <c r="AL62" s="183">
        <f t="shared" si="49"/>
        <v>516.89400000000001</v>
      </c>
      <c r="AM62" s="210">
        <f>SUM(AM60:AM61)</f>
        <v>486.05600000000004</v>
      </c>
      <c r="AN62" s="183">
        <f t="shared" si="50"/>
        <v>534.8069999999999</v>
      </c>
      <c r="AO62" s="210">
        <f>SUM(AO60:AO61)</f>
        <v>531.77600000000007</v>
      </c>
      <c r="AP62" s="464">
        <f t="shared" si="48"/>
        <v>600.40199999999982</v>
      </c>
      <c r="AQ62" s="289"/>
      <c r="AR62" s="289"/>
      <c r="AS62" s="289"/>
      <c r="AT62" s="289"/>
      <c r="AU62" s="621"/>
      <c r="AV62" s="621"/>
      <c r="AW62" s="621"/>
      <c r="AX62" s="621"/>
      <c r="AY62" s="621"/>
      <c r="AZ62" s="621"/>
      <c r="BA62" s="621"/>
      <c r="BB62" s="622"/>
      <c r="BC62" s="623"/>
      <c r="BD62" s="94"/>
      <c r="BE62" s="94"/>
      <c r="BF62" s="94"/>
      <c r="BG62" s="210">
        <f t="shared" ref="BG62:BO62" si="53">SUM(BG60:BG61)</f>
        <v>239.839</v>
      </c>
      <c r="BH62" s="210">
        <f t="shared" si="53"/>
        <v>248.488</v>
      </c>
      <c r="BI62" s="210">
        <f t="shared" si="53"/>
        <v>288.96600000000001</v>
      </c>
      <c r="BJ62" s="210">
        <f t="shared" si="53"/>
        <v>314.91300000000001</v>
      </c>
      <c r="BK62" s="210">
        <f t="shared" si="53"/>
        <v>320.11099999999993</v>
      </c>
      <c r="BL62" s="210">
        <f t="shared" si="53"/>
        <v>338.22400000000005</v>
      </c>
      <c r="BM62" s="210">
        <f t="shared" si="53"/>
        <v>839.28499999999997</v>
      </c>
      <c r="BN62" s="210">
        <f t="shared" si="53"/>
        <v>1020.8629999999999</v>
      </c>
      <c r="BO62" s="312">
        <f t="shared" si="53"/>
        <v>1132.1779999999999</v>
      </c>
      <c r="BP62" s="293"/>
      <c r="BQ62" s="293"/>
      <c r="BS62" s="28" t="s">
        <v>609</v>
      </c>
    </row>
    <row r="63" spans="1:71" s="23" customFormat="1">
      <c r="A63" s="57"/>
      <c r="B63" s="61" t="s">
        <v>301</v>
      </c>
      <c r="C63" s="58"/>
      <c r="D63" s="58"/>
      <c r="E63" s="58"/>
      <c r="F63" s="58"/>
      <c r="H63" s="606"/>
      <c r="I63" s="606"/>
      <c r="J63" s="606"/>
      <c r="K63" s="607"/>
      <c r="L63" s="606"/>
      <c r="M63" s="606"/>
      <c r="N63" s="606"/>
      <c r="O63" s="606"/>
      <c r="P63" s="624"/>
      <c r="Q63" s="624"/>
      <c r="R63" s="624"/>
      <c r="S63" s="624"/>
      <c r="T63" s="624"/>
      <c r="U63" s="625"/>
      <c r="V63" s="625"/>
      <c r="W63" s="625"/>
      <c r="X63" s="625"/>
      <c r="Y63" s="202">
        <v>9.7439999999999998</v>
      </c>
      <c r="Z63" s="566">
        <f t="shared" si="42"/>
        <v>14.926000000000002</v>
      </c>
      <c r="AA63" s="202">
        <f>13.943-1.459</f>
        <v>12.484</v>
      </c>
      <c r="AB63" s="566">
        <f t="shared" si="43"/>
        <v>17.506999999999984</v>
      </c>
      <c r="AC63" s="202">
        <f>14.78-1.309</f>
        <v>13.471</v>
      </c>
      <c r="AD63" s="566">
        <f t="shared" si="44"/>
        <v>22.739000000000001</v>
      </c>
      <c r="AE63" s="202">
        <v>15.683</v>
      </c>
      <c r="AF63" s="566">
        <f t="shared" si="45"/>
        <v>23.957999999999998</v>
      </c>
      <c r="AG63" s="202">
        <v>27.460999999999999</v>
      </c>
      <c r="AH63" s="566">
        <f t="shared" si="46"/>
        <v>28.64</v>
      </c>
      <c r="AI63" s="202">
        <v>27.629000000000001</v>
      </c>
      <c r="AJ63" s="566">
        <f t="shared" si="47"/>
        <v>29.95</v>
      </c>
      <c r="AK63" s="202">
        <v>29.475000000000001</v>
      </c>
      <c r="AL63" s="566">
        <f t="shared" si="49"/>
        <v>27.890999999999998</v>
      </c>
      <c r="AM63" s="202">
        <v>28.748999999999999</v>
      </c>
      <c r="AN63" s="566">
        <f t="shared" si="50"/>
        <v>28.794999999999998</v>
      </c>
      <c r="AO63" s="202">
        <v>34.31</v>
      </c>
      <c r="AP63" s="615">
        <f t="shared" si="48"/>
        <v>36.721000000000004</v>
      </c>
      <c r="AQ63" s="289"/>
      <c r="AR63" s="289"/>
      <c r="AS63" s="289"/>
      <c r="AT63" s="289"/>
      <c r="AU63" s="558"/>
      <c r="AV63" s="558"/>
      <c r="AW63" s="558"/>
      <c r="AX63" s="558"/>
      <c r="AY63" s="558"/>
      <c r="AZ63" s="558"/>
      <c r="BA63" s="558"/>
      <c r="BB63" s="431"/>
      <c r="BC63" s="626"/>
      <c r="BD63" s="83"/>
      <c r="BE63" s="83"/>
      <c r="BF63" s="83"/>
      <c r="BG63" s="202">
        <v>24.67</v>
      </c>
      <c r="BH63" s="202">
        <f>278.479-BH62</f>
        <v>29.990999999999985</v>
      </c>
      <c r="BI63" s="202">
        <v>36.21</v>
      </c>
      <c r="BJ63" s="202">
        <v>39.640999999999998</v>
      </c>
      <c r="BK63" s="202">
        <v>56.100999999999999</v>
      </c>
      <c r="BL63" s="202">
        <v>57.579000000000001</v>
      </c>
      <c r="BM63" s="202">
        <v>57.366</v>
      </c>
      <c r="BN63" s="202">
        <v>57.543999999999997</v>
      </c>
      <c r="BO63" s="417">
        <v>71.031000000000006</v>
      </c>
      <c r="BP63" s="293"/>
      <c r="BQ63" s="293"/>
      <c r="BS63" s="70" t="s">
        <v>629</v>
      </c>
    </row>
    <row r="64" spans="1:71" s="23" customFormat="1">
      <c r="A64" s="57"/>
      <c r="B64" s="60" t="s">
        <v>200</v>
      </c>
      <c r="C64" s="58"/>
      <c r="D64" s="58"/>
      <c r="E64" s="58"/>
      <c r="F64" s="58"/>
      <c r="H64" s="606"/>
      <c r="I64" s="606"/>
      <c r="J64" s="606"/>
      <c r="K64" s="607"/>
      <c r="L64" s="606"/>
      <c r="M64" s="606"/>
      <c r="N64" s="606"/>
      <c r="O64" s="606"/>
      <c r="P64" s="624"/>
      <c r="Q64" s="624"/>
      <c r="R64" s="624"/>
      <c r="S64" s="624"/>
      <c r="T64" s="624"/>
      <c r="U64" s="625"/>
      <c r="V64" s="625"/>
      <c r="W64" s="625"/>
      <c r="X64" s="625"/>
      <c r="Y64" s="210">
        <f>SUM(Y62:Y63)</f>
        <v>121.825</v>
      </c>
      <c r="Z64" s="183">
        <f t="shared" si="42"/>
        <v>142.68400000000003</v>
      </c>
      <c r="AA64" s="210">
        <f>SUM(AA62:AA63)</f>
        <v>129.83000000000001</v>
      </c>
      <c r="AB64" s="183">
        <f t="shared" si="43"/>
        <v>148.64899999999997</v>
      </c>
      <c r="AC64" s="210">
        <f>SUM(AC62:AC63)</f>
        <v>145.43899999999999</v>
      </c>
      <c r="AD64" s="183">
        <f t="shared" si="44"/>
        <v>179.73699999999999</v>
      </c>
      <c r="AE64" s="210">
        <f>SUM(AE62:AE63)</f>
        <v>170.614</v>
      </c>
      <c r="AF64" s="183">
        <f t="shared" si="45"/>
        <v>183.94000000000003</v>
      </c>
      <c r="AG64" s="210">
        <f>SUM(AG62:AG63)</f>
        <v>180.25700000000001</v>
      </c>
      <c r="AH64" s="183">
        <f t="shared" si="46"/>
        <v>195.95499999999993</v>
      </c>
      <c r="AI64" s="210">
        <f>SUM(AI62:AI63)</f>
        <v>186.494</v>
      </c>
      <c r="AJ64" s="183">
        <f t="shared" si="47"/>
        <v>209.30900000000005</v>
      </c>
      <c r="AK64" s="210">
        <f>SUM(AK62:AK63)</f>
        <v>351.86599999999999</v>
      </c>
      <c r="AL64" s="183">
        <f t="shared" si="49"/>
        <v>544.78499999999997</v>
      </c>
      <c r="AM64" s="210">
        <f>SUM(AM62:AM63)</f>
        <v>514.80500000000006</v>
      </c>
      <c r="AN64" s="183">
        <f t="shared" si="50"/>
        <v>563.60199999999986</v>
      </c>
      <c r="AO64" s="210">
        <f>SUM(AO62:AO63)</f>
        <v>566.08600000000001</v>
      </c>
      <c r="AP64" s="464">
        <f t="shared" si="48"/>
        <v>637.12299999999982</v>
      </c>
      <c r="AQ64" s="289"/>
      <c r="AR64" s="289"/>
      <c r="AS64" s="289"/>
      <c r="AT64" s="289"/>
      <c r="AU64" s="558"/>
      <c r="AV64" s="558"/>
      <c r="AW64" s="558"/>
      <c r="AX64" s="558"/>
      <c r="AY64" s="558"/>
      <c r="AZ64" s="558"/>
      <c r="BA64" s="558"/>
      <c r="BB64" s="431"/>
      <c r="BC64" s="626"/>
      <c r="BD64" s="83"/>
      <c r="BE64" s="83"/>
      <c r="BF64" s="83"/>
      <c r="BG64" s="210">
        <f t="shared" ref="BG64:BO64" si="54">SUM(BG62:BG63)</f>
        <v>264.50900000000001</v>
      </c>
      <c r="BH64" s="210">
        <f t="shared" si="54"/>
        <v>278.47899999999998</v>
      </c>
      <c r="BI64" s="210">
        <f t="shared" si="54"/>
        <v>325.17599999999999</v>
      </c>
      <c r="BJ64" s="210">
        <f t="shared" si="54"/>
        <v>354.55400000000003</v>
      </c>
      <c r="BK64" s="210">
        <f t="shared" si="54"/>
        <v>376.21199999999993</v>
      </c>
      <c r="BL64" s="210">
        <f t="shared" si="54"/>
        <v>395.80300000000005</v>
      </c>
      <c r="BM64" s="210">
        <f t="shared" si="54"/>
        <v>896.65099999999995</v>
      </c>
      <c r="BN64" s="210">
        <f t="shared" si="54"/>
        <v>1078.4069999999999</v>
      </c>
      <c r="BO64" s="312">
        <f t="shared" si="54"/>
        <v>1203.2089999999998</v>
      </c>
      <c r="BP64" s="293"/>
      <c r="BQ64" s="293"/>
      <c r="BS64" s="28" t="s">
        <v>609</v>
      </c>
    </row>
    <row r="65" spans="1:76" s="23" customFormat="1">
      <c r="A65" s="57"/>
      <c r="B65" s="60"/>
      <c r="C65" s="58"/>
      <c r="D65" s="58"/>
      <c r="E65" s="58"/>
      <c r="F65" s="58"/>
      <c r="H65" s="606"/>
      <c r="I65" s="606"/>
      <c r="J65" s="606"/>
      <c r="K65" s="607"/>
      <c r="L65" s="606"/>
      <c r="M65" s="606"/>
      <c r="N65" s="606"/>
      <c r="O65" s="606"/>
      <c r="P65" s="624"/>
      <c r="Q65" s="624"/>
      <c r="R65" s="624"/>
      <c r="S65" s="624"/>
      <c r="T65" s="624"/>
      <c r="U65" s="625"/>
      <c r="V65" s="625"/>
      <c r="W65" s="625"/>
      <c r="X65" s="625"/>
      <c r="Y65" s="625"/>
      <c r="Z65" s="625"/>
      <c r="AA65" s="625"/>
      <c r="AB65" s="627"/>
      <c r="AC65" s="206"/>
      <c r="AD65" s="209"/>
      <c r="AE65" s="210"/>
      <c r="AF65" s="183"/>
      <c r="AG65" s="210"/>
      <c r="AH65" s="183"/>
      <c r="AI65" s="210"/>
      <c r="AJ65" s="183"/>
      <c r="AK65" s="210"/>
      <c r="AL65" s="183"/>
      <c r="AM65" s="210"/>
      <c r="AN65" s="183"/>
      <c r="AO65" s="210"/>
      <c r="AP65" s="464"/>
      <c r="AQ65" s="566"/>
      <c r="AR65" s="566"/>
      <c r="AS65" s="566"/>
      <c r="AT65" s="566"/>
      <c r="AU65" s="558"/>
      <c r="AV65" s="558"/>
      <c r="AW65" s="558"/>
      <c r="AX65" s="558"/>
      <c r="AY65" s="558"/>
      <c r="AZ65" s="558"/>
      <c r="BA65" s="558"/>
      <c r="BB65" s="431"/>
      <c r="BC65" s="626"/>
      <c r="BD65" s="83"/>
      <c r="BE65" s="83"/>
      <c r="BF65" s="83"/>
      <c r="BG65" s="83"/>
      <c r="BH65" s="83"/>
      <c r="BI65" s="210"/>
      <c r="BJ65" s="210"/>
      <c r="BK65" s="210"/>
      <c r="BL65" s="210"/>
      <c r="BM65" s="210"/>
      <c r="BN65" s="210"/>
      <c r="BO65" s="312"/>
      <c r="BP65" s="211"/>
      <c r="BQ65" s="211"/>
    </row>
    <row r="66" spans="1:76" s="23" customFormat="1">
      <c r="A66" s="57"/>
      <c r="B66" s="61"/>
      <c r="C66" s="58"/>
      <c r="D66" s="58"/>
      <c r="E66" s="58"/>
      <c r="F66" s="58"/>
      <c r="H66" s="606"/>
      <c r="I66" s="606"/>
      <c r="J66" s="606"/>
      <c r="K66" s="607"/>
      <c r="L66" s="606"/>
      <c r="M66" s="606"/>
      <c r="N66" s="606"/>
      <c r="O66" s="606"/>
      <c r="P66" s="624"/>
      <c r="Q66" s="624"/>
      <c r="R66" s="624"/>
      <c r="S66" s="624"/>
      <c r="T66" s="624"/>
      <c r="U66" s="625"/>
      <c r="V66" s="625"/>
      <c r="W66" s="625"/>
      <c r="X66" s="625"/>
      <c r="Y66" s="625"/>
      <c r="Z66" s="625"/>
      <c r="AA66" s="625"/>
      <c r="AB66" s="625"/>
      <c r="AC66" s="625"/>
      <c r="AD66" s="625"/>
      <c r="AE66" s="625"/>
      <c r="AF66" s="625"/>
      <c r="AG66" s="625"/>
      <c r="AH66" s="625"/>
      <c r="AI66" s="625"/>
      <c r="AJ66" s="625"/>
      <c r="AK66" s="625"/>
      <c r="AL66" s="625"/>
      <c r="AM66" s="625"/>
      <c r="AN66" s="625"/>
      <c r="AO66" s="625"/>
      <c r="AP66" s="628"/>
      <c r="AQ66" s="629"/>
      <c r="AR66" s="629"/>
      <c r="AS66" s="629"/>
      <c r="AT66" s="629"/>
      <c r="AU66" s="558"/>
      <c r="AV66" s="558"/>
      <c r="AW66" s="558"/>
      <c r="AX66" s="558"/>
      <c r="AY66" s="558"/>
      <c r="AZ66" s="558"/>
      <c r="BA66" s="558"/>
      <c r="BB66" s="431"/>
      <c r="BC66" s="626"/>
      <c r="BD66" s="83"/>
      <c r="BE66" s="83"/>
      <c r="BF66" s="83"/>
      <c r="BG66" s="83"/>
      <c r="BH66" s="83"/>
      <c r="BI66" s="210"/>
      <c r="BJ66" s="210"/>
      <c r="BK66" s="210"/>
      <c r="BL66" s="210"/>
      <c r="BM66" s="210"/>
      <c r="BN66" s="210"/>
      <c r="BO66" s="312"/>
      <c r="BP66" s="211"/>
      <c r="BQ66" s="211"/>
    </row>
    <row r="67" spans="1:76" s="40" customFormat="1">
      <c r="A67" s="10"/>
      <c r="B67" s="11" t="s">
        <v>194</v>
      </c>
      <c r="C67" s="11"/>
      <c r="D67" s="11"/>
      <c r="E67" s="11"/>
      <c r="F67" s="11"/>
      <c r="G67" s="12"/>
      <c r="H67" s="12"/>
      <c r="I67" s="12"/>
      <c r="J67" s="12"/>
      <c r="K67" s="12"/>
      <c r="L67" s="12"/>
      <c r="M67" s="12"/>
      <c r="N67" s="12"/>
      <c r="O67" s="12"/>
      <c r="P67" s="12"/>
      <c r="Q67" s="555"/>
      <c r="R67" s="555"/>
      <c r="S67" s="555"/>
      <c r="T67" s="555"/>
      <c r="U67" s="555"/>
      <c r="V67" s="555"/>
      <c r="W67" s="555"/>
      <c r="X67" s="12"/>
      <c r="Y67" s="12"/>
      <c r="Z67" s="12"/>
      <c r="AA67" s="12"/>
      <c r="AB67" s="12"/>
      <c r="AC67" s="12"/>
      <c r="AD67" s="12"/>
      <c r="AE67" s="12"/>
      <c r="AF67" s="12"/>
      <c r="AG67" s="12"/>
      <c r="AH67" s="12"/>
      <c r="AI67" s="12"/>
      <c r="AJ67" s="12"/>
      <c r="AK67" s="12"/>
      <c r="AL67" s="12"/>
      <c r="AM67" s="12"/>
      <c r="AN67" s="12"/>
      <c r="AO67" s="12"/>
      <c r="AP67" s="298"/>
      <c r="AQ67" s="12"/>
      <c r="AR67" s="12"/>
      <c r="AS67" s="12"/>
      <c r="AT67" s="12"/>
      <c r="AU67" s="13"/>
      <c r="AV67" s="12"/>
      <c r="AW67" s="12"/>
      <c r="AX67" s="12"/>
      <c r="AY67" s="12"/>
      <c r="AZ67" s="12"/>
      <c r="BA67" s="12"/>
      <c r="BB67" s="12"/>
      <c r="BC67" s="12"/>
      <c r="BD67" s="26"/>
      <c r="BE67" s="12"/>
      <c r="BF67" s="12"/>
      <c r="BG67" s="12"/>
      <c r="BH67" s="12"/>
      <c r="BI67" s="12"/>
      <c r="BJ67" s="12"/>
      <c r="BK67" s="12"/>
      <c r="BL67" s="12"/>
      <c r="BM67" s="12"/>
      <c r="BN67" s="12"/>
      <c r="BO67" s="298"/>
      <c r="BP67" s="12"/>
      <c r="BQ67" s="12"/>
    </row>
    <row r="68" spans="1:76" s="23" customFormat="1">
      <c r="A68" s="10"/>
      <c r="B68" s="212"/>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5"/>
      <c r="AH68" s="25"/>
      <c r="AI68" s="27"/>
      <c r="AJ68" s="25"/>
      <c r="AK68" s="27"/>
      <c r="AL68" s="25"/>
      <c r="AM68" s="27"/>
      <c r="AN68" s="25"/>
      <c r="AO68" s="27"/>
      <c r="AP68" s="440"/>
      <c r="AQ68" s="27"/>
      <c r="AR68" s="27"/>
      <c r="AS68" s="27"/>
      <c r="AT68" s="27"/>
      <c r="AU68" s="27"/>
      <c r="AV68" s="27"/>
      <c r="AW68" s="27"/>
      <c r="AX68" s="27"/>
      <c r="AY68" s="27"/>
      <c r="AZ68" s="27"/>
      <c r="BA68" s="27"/>
      <c r="BB68" s="27"/>
      <c r="BC68" s="27"/>
      <c r="BD68" s="27"/>
      <c r="BE68" s="27"/>
      <c r="BF68" s="27"/>
      <c r="BG68" s="27"/>
      <c r="BH68" s="25"/>
      <c r="BI68" s="25"/>
      <c r="BJ68" s="27"/>
      <c r="BK68" s="27"/>
      <c r="BL68" s="27"/>
      <c r="BM68" s="27"/>
      <c r="BN68" s="27"/>
      <c r="BO68" s="313"/>
      <c r="BR68"/>
    </row>
    <row r="69" spans="1:76" s="70" customFormat="1" ht="12.75" customHeight="1">
      <c r="A69" s="176" t="s">
        <v>490</v>
      </c>
      <c r="B69" s="186" t="s">
        <v>218</v>
      </c>
      <c r="C69" s="69"/>
      <c r="D69" s="69"/>
      <c r="E69" s="69"/>
      <c r="F69" s="69"/>
      <c r="H69" s="630"/>
      <c r="I69" s="630"/>
      <c r="J69" s="630"/>
      <c r="K69" s="630"/>
      <c r="L69" s="630"/>
      <c r="M69" s="71"/>
      <c r="N69" s="71"/>
      <c r="O69" s="71"/>
      <c r="P69" s="71"/>
      <c r="Q69" s="71"/>
      <c r="R69" s="71"/>
      <c r="S69" s="71"/>
      <c r="T69" s="71"/>
      <c r="U69" s="71"/>
      <c r="V69" s="71"/>
      <c r="W69" s="71"/>
      <c r="X69" s="71"/>
      <c r="Y69" s="171">
        <v>-64.438000000000002</v>
      </c>
      <c r="Z69" s="566">
        <f t="shared" ref="Z69:Z76" si="55">BG69-Y69</f>
        <v>-69.972999999999999</v>
      </c>
      <c r="AA69" s="171">
        <v>-68.965999999999994</v>
      </c>
      <c r="AB69" s="566">
        <f t="shared" ref="AB69:AB76" si="56">BH69-AA69</f>
        <v>-71.509</v>
      </c>
      <c r="AC69" s="171">
        <v>-78.852999999999994</v>
      </c>
      <c r="AD69" s="168">
        <f t="shared" ref="AD69:AD75" si="57">BI69-AC69</f>
        <v>-85.495000000000019</v>
      </c>
      <c r="AE69" s="171">
        <v>-85.316000000000003</v>
      </c>
      <c r="AF69" s="178">
        <f t="shared" ref="AF69:AF76" si="58">BJ69-AE69</f>
        <v>-80.115000000000009</v>
      </c>
      <c r="AG69" s="171">
        <v>-82.49</v>
      </c>
      <c r="AH69" s="178">
        <f t="shared" ref="AH69:AH76" si="59">BK69-AG69</f>
        <v>-84.111000000000004</v>
      </c>
      <c r="AI69" s="171">
        <v>-79.245000000000005</v>
      </c>
      <c r="AJ69" s="178">
        <f>BL69-AI69</f>
        <v>-83.155000000000001</v>
      </c>
      <c r="AK69" s="171">
        <v>-158.62700000000001</v>
      </c>
      <c r="AL69" s="178">
        <f>BM69-AK69</f>
        <v>-244.53699999999998</v>
      </c>
      <c r="AM69" s="171">
        <v>-242.37299999999999</v>
      </c>
      <c r="AN69" s="178">
        <f>BN69-AM69</f>
        <v>-246.26400000000001</v>
      </c>
      <c r="AO69" s="171">
        <v>-260.73399999999998</v>
      </c>
      <c r="AP69" s="532">
        <f t="shared" ref="AP69:AP76" si="60">BO69-AO69</f>
        <v>-275.01500000000004</v>
      </c>
      <c r="AQ69" s="286"/>
      <c r="AR69" s="286"/>
      <c r="AS69" s="286"/>
      <c r="AT69" s="286"/>
      <c r="AU69" s="573"/>
      <c r="AV69" s="573"/>
      <c r="AW69" s="573"/>
      <c r="AX69" s="573"/>
      <c r="AY69" s="573"/>
      <c r="AZ69" s="573"/>
      <c r="BA69" s="573"/>
      <c r="BB69" s="55"/>
      <c r="BC69" s="55"/>
      <c r="BD69" s="55"/>
      <c r="BE69" s="55"/>
      <c r="BF69" s="55"/>
      <c r="BG69" s="171">
        <v>-134.411</v>
      </c>
      <c r="BH69" s="171">
        <v>-140.47499999999999</v>
      </c>
      <c r="BI69" s="171">
        <v>-164.34800000000001</v>
      </c>
      <c r="BJ69" s="171">
        <v>-165.43100000000001</v>
      </c>
      <c r="BK69" s="171">
        <v>-166.601</v>
      </c>
      <c r="BL69" s="171">
        <v>-162.4</v>
      </c>
      <c r="BM69" s="171">
        <v>-403.16399999999999</v>
      </c>
      <c r="BN69" s="171">
        <v>-488.637</v>
      </c>
      <c r="BO69" s="314">
        <v>-535.74900000000002</v>
      </c>
      <c r="BP69" s="293"/>
      <c r="BQ69" s="293"/>
      <c r="BS69" s="70" t="s">
        <v>629</v>
      </c>
    </row>
    <row r="70" spans="1:76" s="70" customFormat="1" ht="12.75" customHeight="1">
      <c r="A70" s="176" t="s">
        <v>491</v>
      </c>
      <c r="B70" s="186" t="s">
        <v>302</v>
      </c>
      <c r="C70" s="69"/>
      <c r="D70" s="69"/>
      <c r="E70" s="69"/>
      <c r="F70" s="69"/>
      <c r="H70" s="630"/>
      <c r="I70" s="630"/>
      <c r="J70" s="630"/>
      <c r="K70" s="630"/>
      <c r="L70" s="630"/>
      <c r="M70" s="71"/>
      <c r="N70" s="71"/>
      <c r="O70" s="71"/>
      <c r="P70" s="71"/>
      <c r="Q70" s="71"/>
      <c r="R70" s="71"/>
      <c r="S70" s="71"/>
      <c r="T70" s="71"/>
      <c r="U70" s="71"/>
      <c r="V70" s="71"/>
      <c r="W70" s="71"/>
      <c r="X70" s="71"/>
      <c r="Y70" s="171">
        <v>-3.7429999999999999</v>
      </c>
      <c r="Z70" s="566">
        <f t="shared" si="55"/>
        <v>-4.0779999999999994</v>
      </c>
      <c r="AA70" s="171">
        <v>-3.641</v>
      </c>
      <c r="AB70" s="566">
        <f t="shared" si="56"/>
        <v>-5.125</v>
      </c>
      <c r="AC70" s="171">
        <v>-3.7130000000000001</v>
      </c>
      <c r="AD70" s="168">
        <f t="shared" si="57"/>
        <v>-3.9000000000000004</v>
      </c>
      <c r="AE70" s="171">
        <v>-4.5369999999999999</v>
      </c>
      <c r="AF70" s="178">
        <f t="shared" si="58"/>
        <v>-6.9170000000000007</v>
      </c>
      <c r="AG70" s="171">
        <v>-8.391</v>
      </c>
      <c r="AH70" s="178">
        <f t="shared" si="59"/>
        <v>-6.3919999999999995</v>
      </c>
      <c r="AI70" s="171">
        <v>-8.7690000000000001</v>
      </c>
      <c r="AJ70" s="178">
        <f t="shared" ref="AJ70:AJ76" si="61">BL70-AI70</f>
        <v>-11.421000000000001</v>
      </c>
      <c r="AK70" s="171">
        <v>-21.071000000000002</v>
      </c>
      <c r="AL70" s="178">
        <f t="shared" ref="AL70:AL76" si="62">BM70-AK70</f>
        <v>-22.499999999999996</v>
      </c>
      <c r="AM70" s="171">
        <v>-26.727</v>
      </c>
      <c r="AN70" s="178">
        <f t="shared" ref="AN70:AN76" si="63">BN70-AM70</f>
        <v>80.825999999999993</v>
      </c>
      <c r="AO70" s="171">
        <v>-29.876000000000001</v>
      </c>
      <c r="AP70" s="532">
        <f t="shared" si="60"/>
        <v>-32.379000000000005</v>
      </c>
      <c r="AQ70" s="286"/>
      <c r="AR70" s="286"/>
      <c r="AS70" s="286"/>
      <c r="AT70" s="286"/>
      <c r="AU70" s="573"/>
      <c r="AV70" s="573"/>
      <c r="AW70" s="573"/>
      <c r="AX70" s="573"/>
      <c r="AY70" s="573"/>
      <c r="AZ70" s="573"/>
      <c r="BA70" s="573"/>
      <c r="BB70" s="55"/>
      <c r="BC70" s="55"/>
      <c r="BD70" s="55"/>
      <c r="BE70" s="55"/>
      <c r="BF70" s="55"/>
      <c r="BG70" s="171">
        <v>-7.8209999999999997</v>
      </c>
      <c r="BH70" s="171">
        <v>-8.766</v>
      </c>
      <c r="BI70" s="171">
        <v>-7.6130000000000004</v>
      </c>
      <c r="BJ70" s="171">
        <v>-11.454000000000001</v>
      </c>
      <c r="BK70" s="171">
        <v>-14.782999999999999</v>
      </c>
      <c r="BL70" s="171">
        <v>-20.190000000000001</v>
      </c>
      <c r="BM70" s="171">
        <v>-43.570999999999998</v>
      </c>
      <c r="BN70" s="171">
        <v>54.098999999999997</v>
      </c>
      <c r="BO70" s="314">
        <v>-62.255000000000003</v>
      </c>
      <c r="BP70" s="293"/>
      <c r="BQ70" s="293"/>
      <c r="BS70" s="70" t="s">
        <v>629</v>
      </c>
    </row>
    <row r="71" spans="1:76" s="70" customFormat="1" ht="12.75" customHeight="1">
      <c r="A71" s="176" t="s">
        <v>492</v>
      </c>
      <c r="B71" s="186" t="s">
        <v>304</v>
      </c>
      <c r="C71" s="69"/>
      <c r="D71" s="69"/>
      <c r="E71" s="69"/>
      <c r="F71" s="69"/>
      <c r="H71" s="630"/>
      <c r="I71" s="630"/>
      <c r="J71" s="630"/>
      <c r="K71" s="630"/>
      <c r="L71" s="630"/>
      <c r="M71" s="71"/>
      <c r="N71" s="71"/>
      <c r="O71" s="71"/>
      <c r="P71" s="71"/>
      <c r="Q71" s="71"/>
      <c r="R71" s="71"/>
      <c r="S71" s="71"/>
      <c r="T71" s="71"/>
      <c r="U71" s="71"/>
      <c r="V71" s="71"/>
      <c r="W71" s="71"/>
      <c r="X71" s="71"/>
      <c r="Y71" s="171">
        <v>-6.194</v>
      </c>
      <c r="Z71" s="566">
        <f t="shared" si="55"/>
        <v>-5.9790000000000001</v>
      </c>
      <c r="AA71" s="171">
        <v>-6.5679999999999996</v>
      </c>
      <c r="AB71" s="566">
        <f t="shared" si="56"/>
        <v>-6.6740000000000013</v>
      </c>
      <c r="AC71" s="171">
        <v>-7.1029999999999998</v>
      </c>
      <c r="AD71" s="168">
        <f t="shared" si="57"/>
        <v>-5.3620000000000001</v>
      </c>
      <c r="AE71" s="171">
        <v>-6.109</v>
      </c>
      <c r="AF71" s="178">
        <f t="shared" si="58"/>
        <v>-5.9309999999999992</v>
      </c>
      <c r="AG71" s="171">
        <v>-7.1310000000000002</v>
      </c>
      <c r="AH71" s="178">
        <f t="shared" si="59"/>
        <v>-7.02</v>
      </c>
      <c r="AI71" s="171">
        <v>-9.5719999999999992</v>
      </c>
      <c r="AJ71" s="178">
        <f t="shared" si="61"/>
        <v>-8.4179999999999993</v>
      </c>
      <c r="AK71" s="171">
        <v>-15.789</v>
      </c>
      <c r="AL71" s="178">
        <f t="shared" si="62"/>
        <v>-10.256000000000002</v>
      </c>
      <c r="AM71" s="171">
        <v>-15.606</v>
      </c>
      <c r="AN71" s="178">
        <f t="shared" si="63"/>
        <v>-17.841000000000001</v>
      </c>
      <c r="AO71" s="171">
        <v>-19.657</v>
      </c>
      <c r="AP71" s="532">
        <f t="shared" si="60"/>
        <v>-18.778000000000002</v>
      </c>
      <c r="AQ71" s="286"/>
      <c r="AR71" s="286"/>
      <c r="AS71" s="286"/>
      <c r="AT71" s="286"/>
      <c r="AU71" s="573"/>
      <c r="AV71" s="573"/>
      <c r="AW71" s="573"/>
      <c r="AX71" s="573"/>
      <c r="AY71" s="573"/>
      <c r="AZ71" s="573"/>
      <c r="BA71" s="573"/>
      <c r="BB71" s="55"/>
      <c r="BC71" s="55"/>
      <c r="BD71" s="55"/>
      <c r="BE71" s="55"/>
      <c r="BF71" s="55"/>
      <c r="BG71" s="171">
        <v>-12.173</v>
      </c>
      <c r="BH71" s="171">
        <v>-13.242000000000001</v>
      </c>
      <c r="BI71" s="171">
        <v>-12.465</v>
      </c>
      <c r="BJ71" s="171">
        <v>-12.04</v>
      </c>
      <c r="BK71" s="171">
        <v>-14.151</v>
      </c>
      <c r="BL71" s="171">
        <v>-17.989999999999998</v>
      </c>
      <c r="BM71" s="171">
        <v>-26.045000000000002</v>
      </c>
      <c r="BN71" s="171">
        <v>-33.447000000000003</v>
      </c>
      <c r="BO71" s="314">
        <v>-38.435000000000002</v>
      </c>
      <c r="BP71" s="293"/>
      <c r="BQ71" s="293"/>
      <c r="BS71" s="70" t="s">
        <v>629</v>
      </c>
    </row>
    <row r="72" spans="1:76" s="70" customFormat="1">
      <c r="A72" s="176" t="s">
        <v>493</v>
      </c>
      <c r="B72" s="186" t="s">
        <v>219</v>
      </c>
      <c r="G72" s="25"/>
      <c r="H72" s="25"/>
      <c r="I72" s="25"/>
      <c r="J72" s="25"/>
      <c r="K72" s="25"/>
      <c r="L72" s="25"/>
      <c r="M72" s="25"/>
      <c r="N72" s="25"/>
      <c r="O72" s="25"/>
      <c r="P72" s="25"/>
      <c r="Q72" s="25"/>
      <c r="R72" s="25"/>
      <c r="S72" s="25"/>
      <c r="T72" s="25"/>
      <c r="U72" s="25"/>
      <c r="V72" s="25"/>
      <c r="W72" s="25"/>
      <c r="X72" s="25"/>
      <c r="Y72" s="171">
        <f>-1.889-0.202</f>
        <v>-2.0910000000000002</v>
      </c>
      <c r="Z72" s="566">
        <f t="shared" si="55"/>
        <v>-2.0869999999999997</v>
      </c>
      <c r="AA72" s="171">
        <f>-1.951-0.379</f>
        <v>-2.33</v>
      </c>
      <c r="AB72" s="566">
        <f t="shared" si="56"/>
        <v>-2.2759999999999998</v>
      </c>
      <c r="AC72" s="171">
        <f>-(2.229+0.335+1.975)</f>
        <v>-4.5389999999999997</v>
      </c>
      <c r="AD72" s="168">
        <f t="shared" si="57"/>
        <v>-3.3390000000000004</v>
      </c>
      <c r="AE72" s="171">
        <f>-(3.776+0.435+6.896)</f>
        <v>-11.106999999999999</v>
      </c>
      <c r="AF72" s="178">
        <f t="shared" si="58"/>
        <v>-12.615000000000006</v>
      </c>
      <c r="AG72" s="171">
        <f>-(5.935+4.971+0.106)</f>
        <v>-11.011999999999999</v>
      </c>
      <c r="AH72" s="178">
        <f t="shared" si="59"/>
        <v>-10.975</v>
      </c>
      <c r="AI72" s="171">
        <f>-(4.729+4.742+0.297)</f>
        <v>-9.7680000000000007</v>
      </c>
      <c r="AJ72" s="178">
        <f t="shared" si="61"/>
        <v>-11.456</v>
      </c>
      <c r="AK72" s="171">
        <f>-(7.132+18.584+0.476)</f>
        <v>-26.192</v>
      </c>
      <c r="AL72" s="178">
        <f t="shared" si="62"/>
        <v>-30.294000000000004</v>
      </c>
      <c r="AM72" s="171">
        <f>-(10.608+24.842)</f>
        <v>-35.450000000000003</v>
      </c>
      <c r="AN72" s="178">
        <f t="shared" si="63"/>
        <v>-45.665999999999983</v>
      </c>
      <c r="AO72" s="171">
        <f>-(13.307+26.24)</f>
        <v>-39.546999999999997</v>
      </c>
      <c r="AP72" s="532">
        <f t="shared" si="60"/>
        <v>-56.503000000000014</v>
      </c>
      <c r="AQ72" s="286"/>
      <c r="AR72" s="286"/>
      <c r="AS72" s="286"/>
      <c r="AT72" s="286"/>
      <c r="AU72" s="55"/>
      <c r="AV72" s="55"/>
      <c r="AW72" s="55"/>
      <c r="AX72" s="55"/>
      <c r="AY72" s="55"/>
      <c r="AZ72" s="55"/>
      <c r="BA72" s="55"/>
      <c r="BB72" s="55"/>
      <c r="BC72" s="55"/>
      <c r="BD72" s="55"/>
      <c r="BE72" s="55"/>
      <c r="BF72" s="55"/>
      <c r="BG72" s="171">
        <f>-(3.763+0.415)</f>
        <v>-4.1779999999999999</v>
      </c>
      <c r="BH72" s="171">
        <f>-4.032-0.574</f>
        <v>-4.6059999999999999</v>
      </c>
      <c r="BI72" s="171">
        <f>-(6.375+1.503)</f>
        <v>-7.8780000000000001</v>
      </c>
      <c r="BJ72" s="171">
        <f>-(16.196+7.266+0.26)</f>
        <v>-23.722000000000005</v>
      </c>
      <c r="BK72" s="171">
        <f>-(12.176+9.53+0.281)</f>
        <v>-21.986999999999998</v>
      </c>
      <c r="BL72" s="171">
        <f>-(10.369+9.341+0.839+0.675)</f>
        <v>-21.224</v>
      </c>
      <c r="BM72" s="171">
        <f>-(17.097+35.92+1.104+2.365)</f>
        <v>-56.486000000000004</v>
      </c>
      <c r="BN72" s="171">
        <f>-(22.543+51.104+7.469)</f>
        <v>-81.115999999999985</v>
      </c>
      <c r="BO72" s="314">
        <f>-(27.633+60.621+7.796)</f>
        <v>-96.050000000000011</v>
      </c>
      <c r="BP72" s="293"/>
      <c r="BQ72" s="293"/>
      <c r="BS72" s="70" t="s">
        <v>629</v>
      </c>
    </row>
    <row r="73" spans="1:76" s="70" customFormat="1">
      <c r="A73" s="176" t="s">
        <v>494</v>
      </c>
      <c r="B73" s="186" t="s">
        <v>81</v>
      </c>
      <c r="C73" s="69"/>
      <c r="D73" s="69"/>
      <c r="E73" s="69"/>
      <c r="F73" s="69"/>
      <c r="H73" s="630"/>
      <c r="I73" s="630"/>
      <c r="J73" s="630"/>
      <c r="K73" s="630"/>
      <c r="L73" s="630"/>
      <c r="M73" s="86"/>
      <c r="N73" s="86"/>
      <c r="O73" s="86"/>
      <c r="P73" s="86"/>
      <c r="Q73" s="86"/>
      <c r="R73" s="86"/>
      <c r="S73" s="86"/>
      <c r="T73" s="86"/>
      <c r="U73" s="86"/>
      <c r="V73" s="86"/>
      <c r="W73" s="86"/>
      <c r="X73" s="86"/>
      <c r="Y73" s="171">
        <v>-1.2569999999999999</v>
      </c>
      <c r="Z73" s="566">
        <f t="shared" si="55"/>
        <v>-1.5940000000000001</v>
      </c>
      <c r="AA73" s="171">
        <v>-1.3120000000000001</v>
      </c>
      <c r="AB73" s="566">
        <f t="shared" si="56"/>
        <v>-1.3779999999999999</v>
      </c>
      <c r="AC73" s="171">
        <f>-1.929</f>
        <v>-1.929</v>
      </c>
      <c r="AD73" s="168">
        <f t="shared" si="57"/>
        <v>-1.5029999999999999</v>
      </c>
      <c r="AE73" s="171">
        <v>-1.9279999999999999</v>
      </c>
      <c r="AF73" s="178">
        <f t="shared" si="58"/>
        <v>-1.4489999999999998</v>
      </c>
      <c r="AG73" s="171">
        <v>-1.3680000000000001</v>
      </c>
      <c r="AH73" s="178">
        <f t="shared" si="59"/>
        <v>-1.7739999999999998</v>
      </c>
      <c r="AI73" s="171">
        <v>-1.097</v>
      </c>
      <c r="AJ73" s="178">
        <f t="shared" si="61"/>
        <v>-1.2360000000000002</v>
      </c>
      <c r="AK73" s="171">
        <v>-1.7350000000000001</v>
      </c>
      <c r="AL73" s="178">
        <f t="shared" si="62"/>
        <v>-2.141</v>
      </c>
      <c r="AM73" s="171">
        <v>-3.2949999999999999</v>
      </c>
      <c r="AN73" s="178">
        <f t="shared" si="63"/>
        <v>3.2949999999999999</v>
      </c>
      <c r="AO73" s="171">
        <v>-3.4809999999999999</v>
      </c>
      <c r="AP73" s="532">
        <f t="shared" si="60"/>
        <v>3.4809999999999999</v>
      </c>
      <c r="AQ73" s="286"/>
      <c r="AR73" s="286"/>
      <c r="AS73" s="286"/>
      <c r="AT73" s="286"/>
      <c r="AU73" s="573"/>
      <c r="AV73" s="573"/>
      <c r="AW73" s="573"/>
      <c r="AX73" s="573"/>
      <c r="AY73" s="573"/>
      <c r="AZ73" s="573"/>
      <c r="BA73" s="573"/>
      <c r="BB73" s="55"/>
      <c r="BC73" s="92"/>
      <c r="BD73" s="92"/>
      <c r="BE73" s="92"/>
      <c r="BF73" s="92"/>
      <c r="BG73" s="171">
        <f>-2.851</f>
        <v>-2.851</v>
      </c>
      <c r="BH73" s="171">
        <v>-2.69</v>
      </c>
      <c r="BI73" s="171">
        <v>-3.4319999999999999</v>
      </c>
      <c r="BJ73" s="171">
        <v>-3.3769999999999998</v>
      </c>
      <c r="BK73" s="171">
        <v>-3.1419999999999999</v>
      </c>
      <c r="BL73" s="171">
        <v>-2.3330000000000002</v>
      </c>
      <c r="BM73" s="171">
        <v>-3.8759999999999999</v>
      </c>
      <c r="BN73" s="171">
        <v>0</v>
      </c>
      <c r="BO73" s="314">
        <v>0</v>
      </c>
      <c r="BP73" s="293"/>
      <c r="BQ73" s="293"/>
      <c r="BS73" s="70" t="s">
        <v>629</v>
      </c>
    </row>
    <row r="74" spans="1:76" s="70" customFormat="1" ht="12" customHeight="1">
      <c r="A74" s="176" t="s">
        <v>495</v>
      </c>
      <c r="B74" s="186" t="s">
        <v>303</v>
      </c>
      <c r="C74" s="69"/>
      <c r="D74" s="69"/>
      <c r="E74" s="69"/>
      <c r="F74" s="69"/>
      <c r="H74" s="630"/>
      <c r="I74" s="630"/>
      <c r="J74" s="630"/>
      <c r="K74" s="630"/>
      <c r="L74" s="630"/>
      <c r="M74" s="86"/>
      <c r="N74" s="86"/>
      <c r="O74" s="86"/>
      <c r="P74" s="86"/>
      <c r="Q74" s="86"/>
      <c r="R74" s="86"/>
      <c r="S74" s="86"/>
      <c r="T74" s="86"/>
      <c r="U74" s="86"/>
      <c r="V74" s="86"/>
      <c r="W74" s="86"/>
      <c r="X74" s="86"/>
      <c r="Y74" s="171">
        <v>-2.4889999999999999</v>
      </c>
      <c r="Z74" s="566">
        <f t="shared" si="55"/>
        <v>-2.1509999999999998</v>
      </c>
      <c r="AA74" s="171">
        <v>-2.3620000000000001</v>
      </c>
      <c r="AB74" s="566">
        <f t="shared" si="56"/>
        <v>-2.2999999999999998</v>
      </c>
      <c r="AC74" s="171">
        <v>-2.984</v>
      </c>
      <c r="AD74" s="168">
        <f t="shared" si="57"/>
        <v>-3.0940000000000003</v>
      </c>
      <c r="AE74" s="171">
        <v>-3.71</v>
      </c>
      <c r="AF74" s="178">
        <f t="shared" si="58"/>
        <v>-3.7009999999999996</v>
      </c>
      <c r="AG74" s="171">
        <v>-4.6749999999999998</v>
      </c>
      <c r="AH74" s="178">
        <f t="shared" si="59"/>
        <v>-4.6920000000000011</v>
      </c>
      <c r="AI74" s="171">
        <v>-6.7759999999999998</v>
      </c>
      <c r="AJ74" s="178">
        <f t="shared" si="61"/>
        <v>-6.0020000000000007</v>
      </c>
      <c r="AK74" s="171">
        <v>-9.9139999999999997</v>
      </c>
      <c r="AL74" s="178">
        <f t="shared" si="62"/>
        <v>-12.862</v>
      </c>
      <c r="AM74" s="171">
        <v>-11.371</v>
      </c>
      <c r="AN74" s="178">
        <f t="shared" si="63"/>
        <v>-7.6440000000000001</v>
      </c>
      <c r="AO74" s="171">
        <v>-9.7270000000000003</v>
      </c>
      <c r="AP74" s="532">
        <f t="shared" si="60"/>
        <v>-4.1479999999999997</v>
      </c>
      <c r="AQ74" s="287"/>
      <c r="AR74" s="287"/>
      <c r="AS74" s="287"/>
      <c r="AT74" s="287"/>
      <c r="AU74" s="573"/>
      <c r="AV74" s="573"/>
      <c r="AW74" s="573"/>
      <c r="AX74" s="573"/>
      <c r="AY74" s="573"/>
      <c r="AZ74" s="573"/>
      <c r="BA74" s="573"/>
      <c r="BB74" s="55"/>
      <c r="BC74" s="92"/>
      <c r="BD74" s="92"/>
      <c r="BE74" s="92"/>
      <c r="BF74" s="92"/>
      <c r="BG74" s="171">
        <v>-4.6399999999999997</v>
      </c>
      <c r="BH74" s="171">
        <v>-4.6619999999999999</v>
      </c>
      <c r="BI74" s="171">
        <v>-6.0780000000000003</v>
      </c>
      <c r="BJ74" s="171">
        <v>-7.4109999999999996</v>
      </c>
      <c r="BK74" s="171">
        <v>-9.3670000000000009</v>
      </c>
      <c r="BL74" s="171">
        <v>-12.778</v>
      </c>
      <c r="BM74" s="171">
        <v>-22.776</v>
      </c>
      <c r="BN74" s="171">
        <v>-19.015000000000001</v>
      </c>
      <c r="BO74" s="314">
        <v>-13.875</v>
      </c>
      <c r="BP74" s="293"/>
      <c r="BQ74" s="293"/>
      <c r="BS74" s="70" t="s">
        <v>629</v>
      </c>
    </row>
    <row r="75" spans="1:76" s="70" customFormat="1">
      <c r="A75" s="176" t="s">
        <v>496</v>
      </c>
      <c r="B75" s="186" t="s">
        <v>18</v>
      </c>
      <c r="C75" s="69"/>
      <c r="D75" s="69"/>
      <c r="E75" s="69"/>
      <c r="F75" s="69"/>
      <c r="H75" s="630"/>
      <c r="I75" s="630"/>
      <c r="J75" s="630"/>
      <c r="K75" s="630"/>
      <c r="L75" s="630"/>
      <c r="M75" s="86"/>
      <c r="N75" s="86"/>
      <c r="O75" s="86"/>
      <c r="P75" s="86"/>
      <c r="Q75" s="86"/>
      <c r="R75" s="86"/>
      <c r="S75" s="86"/>
      <c r="T75" s="86"/>
      <c r="U75" s="86"/>
      <c r="V75" s="86"/>
      <c r="W75" s="86"/>
      <c r="X75" s="86"/>
      <c r="Y75" s="168">
        <f>Y76-SUM(Y69:Y74)</f>
        <v>-18.262</v>
      </c>
      <c r="Z75" s="566">
        <f t="shared" si="55"/>
        <v>-17.387200000000007</v>
      </c>
      <c r="AA75" s="168">
        <f>AA76-SUM(AA69:AA74)</f>
        <v>-17.449000000000012</v>
      </c>
      <c r="AB75" s="566">
        <f t="shared" si="56"/>
        <v>-18.577000000000027</v>
      </c>
      <c r="AC75" s="168">
        <f>AC76-SUM(AC69:AC74)</f>
        <v>-19.686000000000021</v>
      </c>
      <c r="AD75" s="168">
        <f t="shared" si="57"/>
        <v>-23.530999999999963</v>
      </c>
      <c r="AE75" s="168">
        <f>AE76-SUM(AE69:AE74)</f>
        <v>-18.163000000000011</v>
      </c>
      <c r="AF75" s="178">
        <f t="shared" si="58"/>
        <v>-17.258999999999986</v>
      </c>
      <c r="AG75" s="168">
        <f>AG76-SUM(AG69:AG74)</f>
        <v>-13.176000000000002</v>
      </c>
      <c r="AH75" s="178">
        <f t="shared" si="59"/>
        <v>-17.444000000000031</v>
      </c>
      <c r="AI75" s="168">
        <f>AI76-SUM(AI69:AI74)</f>
        <v>-15.496000000000009</v>
      </c>
      <c r="AJ75" s="178">
        <f t="shared" si="61"/>
        <v>-30.29000000000002</v>
      </c>
      <c r="AK75" s="168">
        <f>AK76-SUM(AK69:AK74)</f>
        <v>-57.698000000000008</v>
      </c>
      <c r="AL75" s="178">
        <f t="shared" si="62"/>
        <v>-47.008999999999986</v>
      </c>
      <c r="AM75" s="168">
        <f>AM76-SUM(AM69:AM74)</f>
        <v>-68.942000000000064</v>
      </c>
      <c r="AN75" s="178">
        <f t="shared" si="63"/>
        <v>-153.13999999999993</v>
      </c>
      <c r="AO75" s="168">
        <f>AO76-SUM(AO69:AO74)</f>
        <v>-67.705000000000041</v>
      </c>
      <c r="AP75" s="532">
        <f t="shared" si="60"/>
        <v>-61.2349999999999</v>
      </c>
      <c r="AQ75" s="287"/>
      <c r="AR75" s="287"/>
      <c r="AS75" s="287"/>
      <c r="AT75" s="287"/>
      <c r="AU75" s="573"/>
      <c r="AV75" s="573"/>
      <c r="AW75" s="573"/>
      <c r="AX75" s="573"/>
      <c r="AY75" s="573"/>
      <c r="AZ75" s="573"/>
      <c r="BA75" s="573"/>
      <c r="BB75" s="55"/>
      <c r="BC75" s="92"/>
      <c r="BD75" s="92"/>
      <c r="BE75" s="92"/>
      <c r="BF75" s="92"/>
      <c r="BG75" s="168">
        <f t="shared" ref="BG75:BO75" si="64">BG76-SUM(BG69:BG74)</f>
        <v>-35.649200000000008</v>
      </c>
      <c r="BH75" s="168">
        <f t="shared" si="64"/>
        <v>-36.026000000000039</v>
      </c>
      <c r="BI75" s="168">
        <f t="shared" si="64"/>
        <v>-43.216999999999985</v>
      </c>
      <c r="BJ75" s="168">
        <f t="shared" si="64"/>
        <v>-35.421999999999997</v>
      </c>
      <c r="BK75" s="168">
        <f t="shared" si="64"/>
        <v>-30.620000000000033</v>
      </c>
      <c r="BL75" s="168">
        <f t="shared" si="64"/>
        <v>-45.78600000000003</v>
      </c>
      <c r="BM75" s="168">
        <f t="shared" si="64"/>
        <v>-104.70699999999999</v>
      </c>
      <c r="BN75" s="168">
        <f t="shared" si="64"/>
        <v>-222.08199999999999</v>
      </c>
      <c r="BO75" s="302">
        <f t="shared" si="64"/>
        <v>-128.93999999999994</v>
      </c>
      <c r="BP75" s="293"/>
      <c r="BQ75" s="293"/>
      <c r="BS75" s="70" t="s">
        <v>629</v>
      </c>
    </row>
    <row r="76" spans="1:76" s="70" customFormat="1">
      <c r="A76" s="176" t="s">
        <v>497</v>
      </c>
      <c r="B76" s="185" t="s">
        <v>6</v>
      </c>
      <c r="C76" s="69"/>
      <c r="D76" s="69"/>
      <c r="E76" s="69"/>
      <c r="F76" s="69"/>
      <c r="H76" s="630"/>
      <c r="I76" s="630"/>
      <c r="J76" s="630"/>
      <c r="K76" s="630"/>
      <c r="L76" s="630"/>
      <c r="M76" s="86"/>
      <c r="N76" s="86"/>
      <c r="O76" s="86"/>
      <c r="P76" s="86"/>
      <c r="Q76" s="86"/>
      <c r="R76" s="86"/>
      <c r="S76" s="86"/>
      <c r="T76" s="86"/>
      <c r="U76" s="86"/>
      <c r="V76" s="86"/>
      <c r="W76" s="86"/>
      <c r="X76" s="86"/>
      <c r="Y76" s="207">
        <v>-98.474000000000004</v>
      </c>
      <c r="Z76" s="183">
        <f t="shared" si="55"/>
        <v>-103.24919999999999</v>
      </c>
      <c r="AA76" s="207">
        <v>-102.628</v>
      </c>
      <c r="AB76" s="183">
        <f t="shared" si="56"/>
        <v>-107.83900000000001</v>
      </c>
      <c r="AC76" s="207">
        <v>-118.807</v>
      </c>
      <c r="AD76" s="183">
        <f>SUM(AD69:AD75)</f>
        <v>-126.22399999999998</v>
      </c>
      <c r="AE76" s="207">
        <v>-130.87</v>
      </c>
      <c r="AF76" s="177">
        <f t="shared" si="58"/>
        <v>-127.98700000000002</v>
      </c>
      <c r="AG76" s="207">
        <v>-128.24299999999999</v>
      </c>
      <c r="AH76" s="177">
        <f t="shared" si="59"/>
        <v>-132.40800000000002</v>
      </c>
      <c r="AI76" s="207">
        <v>-130.72300000000001</v>
      </c>
      <c r="AJ76" s="177">
        <f t="shared" si="61"/>
        <v>-151.97800000000001</v>
      </c>
      <c r="AK76" s="207">
        <v>-291.02600000000001</v>
      </c>
      <c r="AL76" s="177">
        <f t="shared" si="62"/>
        <v>-369.59899999999999</v>
      </c>
      <c r="AM76" s="207">
        <v>-403.76400000000001</v>
      </c>
      <c r="AN76" s="177">
        <f t="shared" si="63"/>
        <v>-386.43399999999997</v>
      </c>
      <c r="AO76" s="207">
        <v>-430.72699999999998</v>
      </c>
      <c r="AP76" s="537">
        <f t="shared" si="60"/>
        <v>-444.577</v>
      </c>
      <c r="AQ76" s="288"/>
      <c r="AR76" s="288"/>
      <c r="AS76" s="288"/>
      <c r="AT76" s="288"/>
      <c r="AU76" s="573"/>
      <c r="AV76" s="573"/>
      <c r="AW76" s="573"/>
      <c r="AX76" s="573"/>
      <c r="AY76" s="573"/>
      <c r="AZ76" s="573"/>
      <c r="BA76" s="573"/>
      <c r="BB76" s="55"/>
      <c r="BC76" s="92"/>
      <c r="BD76" s="92"/>
      <c r="BE76" s="92"/>
      <c r="BF76" s="92"/>
      <c r="BG76" s="207">
        <v>-201.72319999999999</v>
      </c>
      <c r="BH76" s="207">
        <v>-210.46700000000001</v>
      </c>
      <c r="BI76" s="207">
        <v>-245.03100000000001</v>
      </c>
      <c r="BJ76" s="207">
        <v>-258.85700000000003</v>
      </c>
      <c r="BK76" s="207">
        <v>-260.65100000000001</v>
      </c>
      <c r="BL76" s="207">
        <v>-282.70100000000002</v>
      </c>
      <c r="BM76" s="207">
        <v>-660.625</v>
      </c>
      <c r="BN76" s="207">
        <v>-790.19799999999998</v>
      </c>
      <c r="BO76" s="315">
        <v>-875.30399999999997</v>
      </c>
      <c r="BP76" s="293"/>
      <c r="BQ76" s="293"/>
      <c r="BS76" s="70" t="s">
        <v>629</v>
      </c>
      <c r="BW76" s="87"/>
      <c r="BX76" s="87"/>
    </row>
  </sheetData>
  <pageMargins left="0.7" right="0.7" top="0.75" bottom="0.75" header="0.3" footer="0.3"/>
  <pageSetup paperSize="9" orientation="portrait" horizontalDpi="300" verticalDpi="300" r:id="rId1"/>
  <customProperties>
    <customPr name="Qube.Worksheet.Visibility" r:id="rId2"/>
  </customProperties>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dsFormulaCache xmlns="urn:fdsformulacache" version="2" timestamp="1767647119"><![CDATA[{"AUB-AU^FREF_MARKET_VALUE_COMPANY(0,,,,,0,,\"LEGACY\")":3517.44308850002,"AUB-AU^FG_PRICE(0)":30.17}]]></FdsFormulaCache>
</file>

<file path=customXml/itemProps1.xml><?xml version="1.0" encoding="utf-8"?>
<ds:datastoreItem xmlns:ds="http://schemas.openxmlformats.org/officeDocument/2006/customXml" ds:itemID="{DEABD714-13CE-4BD6-BFD4-E57517410BA0}">
  <ds:schemaRefs>
    <ds:schemaRef ds:uri="urn:fdsformulacache"/>
  </ds:schemaRefs>
</ds:datastoreItem>
</file>

<file path=docMetadata/LabelInfo.xml><?xml version="1.0" encoding="utf-8"?>
<clbl:labelList xmlns:clbl="http://schemas.microsoft.com/office/2020/mipLabelMetadata">
  <clbl:label id="{a64882d5-5c68-43ae-b974-91da18426e9b}" enabled="1" method="Standard" siteId="{38651f6f-836b-4bdf-9615-4e255c290fe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Cover</vt:lpstr>
      <vt:lpstr>Summary</vt:lpstr>
      <vt:lpstr>Model</vt:lpstr>
      <vt:lpstr>Statutory P&amp;L</vt:lpstr>
      <vt:lpstr>Model!Print_Titles</vt:lpstr>
      <vt:lpstr>Summary!Print_Titles</vt:lpstr>
    </vt:vector>
  </TitlesOfParts>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Matthews, Chris J [GIR]</cp:lastModifiedBy>
  <cp:lastPrinted>2025-08-25T22:55:37Z</cp:lastPrinted>
  <dcterms:created xsi:type="dcterms:W3CDTF">2012-12-15T08:59:51Z</dcterms:created>
  <dcterms:modified xsi:type="dcterms:W3CDTF">2026-01-27T21:35:24Z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ebac8d1d-258e-4841-b62c-14a1f1744fac</vt:lpwstr>
  </property>
  <property fmtid="{D5CDD505-2E9C-101B-9397-08002B2CF9AE}" pid="3" name="Classification">
    <vt:lpwstr>I</vt:lpwstr>
  </property>
  <property fmtid="{D5CDD505-2E9C-101B-9397-08002B2CF9AE}" pid="4" name="=fdsSearchOrder">
    <vt:i4>0</vt:i4>
  </property>
  <property fmtid="{D5CDD505-2E9C-101B-9397-08002B2CF9AE}" pid="5" name="GSRUdf">
    <vt:lpwstr>True</vt:lpwstr>
  </property>
  <property fmtid="{D5CDD505-2E9C-101B-9397-08002B2CF9AE}" pid="6" name="DocNoClass">
    <vt:lpwstr>Not In Use</vt:lpwstr>
  </property>
</Properties>
</file>