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5168fc8d63cfa0/Documents/Models/"/>
    </mc:Choice>
  </mc:AlternateContent>
  <xr:revisionPtr revIDLastSave="393" documentId="8_{94B2A6E9-B3B2-46AB-AD50-9D9B74DF16FE}" xr6:coauthVersionLast="47" xr6:coauthVersionMax="47" xr10:uidLastSave="{2D45970D-9DC3-40F2-9046-F52B4B0097E3}"/>
  <bookViews>
    <workbookView xWindow="-108" yWindow="-108" windowWidth="23256" windowHeight="12456" activeTab="2" xr2:uid="{0ED1D444-D450-4B35-A46B-839F849480A8}"/>
  </bookViews>
  <sheets>
    <sheet name="Model" sheetId="1" r:id="rId1"/>
    <sheet name="Sheet1" sheetId="2" r:id="rId2"/>
    <sheet name="Sheet2" sheetId="3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3" l="1"/>
  <c r="D14" i="3"/>
  <c r="C14" i="3"/>
  <c r="E13" i="3"/>
  <c r="D13" i="3"/>
  <c r="C13" i="3"/>
  <c r="E12" i="3"/>
  <c r="D12" i="3"/>
  <c r="C12" i="3"/>
  <c r="E10" i="3"/>
  <c r="D10" i="3"/>
  <c r="C10" i="3"/>
  <c r="E9" i="3"/>
  <c r="D9" i="3"/>
  <c r="C9" i="3"/>
  <c r="E8" i="3"/>
  <c r="D8" i="3"/>
  <c r="C8" i="3"/>
  <c r="E6" i="3"/>
  <c r="D6" i="3"/>
  <c r="C6" i="3"/>
  <c r="E5" i="3"/>
  <c r="D5" i="3"/>
  <c r="C5" i="3"/>
  <c r="E4" i="3"/>
  <c r="D4" i="3"/>
  <c r="C4" i="3"/>
  <c r="C1" i="3"/>
  <c r="D1" i="3"/>
  <c r="E1" i="3"/>
  <c r="C2" i="3"/>
  <c r="D2" i="3"/>
  <c r="E2" i="3"/>
  <c r="B2" i="3"/>
  <c r="B1" i="3"/>
  <c r="G160" i="1"/>
  <c r="C155" i="1" l="1"/>
  <c r="V55" i="1"/>
  <c r="E19" i="1"/>
  <c r="F19" i="1"/>
  <c r="G19" i="1"/>
  <c r="H19" i="1"/>
  <c r="I19" i="1"/>
  <c r="J19" i="1"/>
  <c r="G106" i="1" l="1"/>
  <c r="H106" i="1"/>
  <c r="I106" i="1"/>
  <c r="J106" i="1"/>
  <c r="K138" i="1"/>
  <c r="L138" i="1"/>
  <c r="M138" i="1"/>
  <c r="K139" i="1"/>
  <c r="L139" i="1"/>
  <c r="M139" i="1"/>
  <c r="L137" i="1"/>
  <c r="M137" i="1"/>
  <c r="K137" i="1"/>
  <c r="D124" i="1" l="1"/>
  <c r="T110" i="1" l="1"/>
  <c r="Y33" i="1" l="1"/>
  <c r="Z33" i="1"/>
  <c r="Z34" i="1" s="1"/>
  <c r="AA33" i="1"/>
  <c r="AB33" i="1"/>
  <c r="AC33" i="1"/>
  <c r="AD33" i="1"/>
  <c r="AE33" i="1"/>
  <c r="AE24" i="1"/>
  <c r="AE23" i="1" s="1"/>
  <c r="I30" i="1"/>
  <c r="AD30" i="1"/>
  <c r="AC30" i="1"/>
  <c r="AF38" i="1"/>
  <c r="AK38" i="1" s="1"/>
  <c r="AL38" i="1" s="1"/>
  <c r="AM38" i="1" s="1"/>
  <c r="AN38" i="1" s="1"/>
  <c r="AO38" i="1" s="1"/>
  <c r="AP38" i="1" s="1"/>
  <c r="AQ38" i="1" s="1"/>
  <c r="AR38" i="1" s="1"/>
  <c r="AS38" i="1" s="1"/>
  <c r="AT38" i="1" s="1"/>
  <c r="AU38" i="1" s="1"/>
  <c r="AV38" i="1" s="1"/>
  <c r="AW38" i="1" s="1"/>
  <c r="AX38" i="1" s="1"/>
  <c r="AF37" i="1"/>
  <c r="AK37" i="1" s="1"/>
  <c r="AL37" i="1" s="1"/>
  <c r="AM37" i="1" s="1"/>
  <c r="AN37" i="1" s="1"/>
  <c r="AO37" i="1" s="1"/>
  <c r="AP37" i="1" s="1"/>
  <c r="AQ37" i="1" s="1"/>
  <c r="AR37" i="1" s="1"/>
  <c r="AS37" i="1" s="1"/>
  <c r="AT37" i="1" s="1"/>
  <c r="AU37" i="1" s="1"/>
  <c r="AV37" i="1" s="1"/>
  <c r="AW37" i="1" s="1"/>
  <c r="AX37" i="1" s="1"/>
  <c r="J30" i="1"/>
  <c r="Y30" i="1"/>
  <c r="Z30" i="1"/>
  <c r="AA30" i="1"/>
  <c r="AB30" i="1"/>
  <c r="AB31" i="1" s="1"/>
  <c r="AE30" i="1"/>
  <c r="AE105" i="1"/>
  <c r="AD105" i="1"/>
  <c r="AC105" i="1"/>
  <c r="AB105" i="1"/>
  <c r="AA105" i="1"/>
  <c r="J105" i="1"/>
  <c r="I105" i="1"/>
  <c r="H105" i="1"/>
  <c r="G105" i="1"/>
  <c r="F105" i="1"/>
  <c r="AD13" i="1"/>
  <c r="AE13" i="1"/>
  <c r="AD14" i="1"/>
  <c r="AE14" i="1"/>
  <c r="AD15" i="1"/>
  <c r="AE15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A13" i="1"/>
  <c r="AB13" i="1"/>
  <c r="AA14" i="1"/>
  <c r="AB14" i="1"/>
  <c r="AA15" i="1"/>
  <c r="AB15" i="1"/>
  <c r="AA16" i="1"/>
  <c r="AB16" i="1"/>
  <c r="AA17" i="1"/>
  <c r="AB17" i="1"/>
  <c r="AA18" i="1"/>
  <c r="AB18" i="1"/>
  <c r="AC15" i="1"/>
  <c r="AC16" i="1"/>
  <c r="AC17" i="1"/>
  <c r="AC18" i="1"/>
  <c r="AC14" i="1"/>
  <c r="AC13" i="1"/>
  <c r="Y87" i="1"/>
  <c r="Y83" i="1" s="1"/>
  <c r="AA87" i="1"/>
  <c r="AA83" i="1" s="1"/>
  <c r="AC87" i="1"/>
  <c r="AC83" i="1" s="1"/>
  <c r="AE87" i="1"/>
  <c r="AE83" i="1" s="1"/>
  <c r="AA31" i="1" l="1"/>
  <c r="AC34" i="1"/>
  <c r="AE31" i="1"/>
  <c r="AA34" i="1"/>
  <c r="AF33" i="1"/>
  <c r="AF6" i="1" s="1"/>
  <c r="AF15" i="1" s="1"/>
  <c r="AE34" i="1"/>
  <c r="AG33" i="1" s="1"/>
  <c r="AG6" i="1" s="1"/>
  <c r="AG15" i="1" s="1"/>
  <c r="AB34" i="1"/>
  <c r="AD34" i="1"/>
  <c r="AC31" i="1"/>
  <c r="AD31" i="1"/>
  <c r="AE22" i="1"/>
  <c r="AC84" i="1"/>
  <c r="AE84" i="1"/>
  <c r="AA84" i="1"/>
  <c r="AH34" i="1" l="1"/>
  <c r="AI34" i="1" s="1"/>
  <c r="AJ34" i="1" s="1"/>
  <c r="AK34" i="1" s="1"/>
  <c r="AL34" i="1" s="1"/>
  <c r="AM34" i="1" s="1"/>
  <c r="AN34" i="1" s="1"/>
  <c r="AO34" i="1" s="1"/>
  <c r="AP34" i="1" s="1"/>
  <c r="AQ34" i="1" s="1"/>
  <c r="AR34" i="1" s="1"/>
  <c r="AS34" i="1" s="1"/>
  <c r="AT34" i="1" s="1"/>
  <c r="AU34" i="1" s="1"/>
  <c r="AV34" i="1" s="1"/>
  <c r="AW34" i="1" s="1"/>
  <c r="AX34" i="1" s="1"/>
  <c r="AH33" i="1" l="1"/>
  <c r="AH6" i="1" s="1"/>
  <c r="AH15" i="1" s="1"/>
  <c r="AI33" i="1"/>
  <c r="AI6" i="1" s="1"/>
  <c r="AI15" i="1" s="1"/>
  <c r="AK33" i="1" l="1"/>
  <c r="AK6" i="1" s="1"/>
  <c r="AK15" i="1" s="1"/>
  <c r="AJ33" i="1"/>
  <c r="AL33" i="1" s="1"/>
  <c r="AN33" i="1" s="1"/>
  <c r="AL6" i="1" l="1"/>
  <c r="AM33" i="1"/>
  <c r="AJ6" i="1"/>
  <c r="AJ15" i="1" s="1"/>
  <c r="AP33" i="1"/>
  <c r="AN6" i="1"/>
  <c r="AO33" i="1"/>
  <c r="AM6" i="1"/>
  <c r="AM15" i="1" s="1"/>
  <c r="AL15" i="1" l="1"/>
  <c r="AN15" i="1"/>
  <c r="AQ33" i="1"/>
  <c r="AO6" i="1"/>
  <c r="AO15" i="1" s="1"/>
  <c r="AR33" i="1"/>
  <c r="AP6" i="1"/>
  <c r="AP15" i="1" s="1"/>
  <c r="AT33" i="1" l="1"/>
  <c r="AR6" i="1"/>
  <c r="AR15" i="1" s="1"/>
  <c r="AS33" i="1"/>
  <c r="AQ6" i="1"/>
  <c r="AQ15" i="1" s="1"/>
  <c r="AU33" i="1" l="1"/>
  <c r="AS6" i="1"/>
  <c r="AS15" i="1" s="1"/>
  <c r="AV33" i="1"/>
  <c r="AT6" i="1"/>
  <c r="AT15" i="1" s="1"/>
  <c r="AX33" i="1" l="1"/>
  <c r="AX6" i="1" s="1"/>
  <c r="AV6" i="1"/>
  <c r="AV15" i="1" s="1"/>
  <c r="AW33" i="1"/>
  <c r="AW6" i="1" s="1"/>
  <c r="AU6" i="1"/>
  <c r="AU15" i="1" s="1"/>
  <c r="AW15" i="1" l="1"/>
  <c r="AX15" i="1"/>
  <c r="B53" i="1" l="1"/>
  <c r="B52" i="1"/>
  <c r="AE102" i="1"/>
  <c r="AE103" i="1" s="1"/>
  <c r="AG103" i="1" s="1"/>
  <c r="AI103" i="1" s="1"/>
  <c r="AK103" i="1" s="1"/>
  <c r="AM103" i="1" s="1"/>
  <c r="AO103" i="1" s="1"/>
  <c r="AQ103" i="1" s="1"/>
  <c r="AS103" i="1" s="1"/>
  <c r="AU103" i="1" s="1"/>
  <c r="AW103" i="1" s="1"/>
  <c r="AE98" i="1"/>
  <c r="AE99" i="1" s="1"/>
  <c r="AG99" i="1" s="1"/>
  <c r="AE96" i="1"/>
  <c r="AE88" i="1"/>
  <c r="AG88" i="1" s="1"/>
  <c r="AI88" i="1" s="1"/>
  <c r="AK88" i="1" s="1"/>
  <c r="AM88" i="1" s="1"/>
  <c r="AO88" i="1" s="1"/>
  <c r="AQ88" i="1" s="1"/>
  <c r="AS88" i="1" s="1"/>
  <c r="AU88" i="1" s="1"/>
  <c r="AW88" i="1" s="1"/>
  <c r="AE85" i="1"/>
  <c r="AE61" i="1"/>
  <c r="AE60" i="1" s="1"/>
  <c r="AE53" i="1"/>
  <c r="AE52" i="1"/>
  <c r="AE51" i="1"/>
  <c r="AG51" i="1" s="1"/>
  <c r="AE49" i="1"/>
  <c r="AE11" i="1"/>
  <c r="S18" i="1"/>
  <c r="T18" i="1"/>
  <c r="AF2" i="1"/>
  <c r="AH2" i="1" s="1"/>
  <c r="AJ2" i="1" s="1"/>
  <c r="AL2" i="1" s="1"/>
  <c r="AN2" i="1" s="1"/>
  <c r="AP2" i="1" s="1"/>
  <c r="AR2" i="1" s="1"/>
  <c r="AT2" i="1" s="1"/>
  <c r="AV2" i="1" s="1"/>
  <c r="AX2" i="1" s="1"/>
  <c r="AE2" i="1"/>
  <c r="AA11" i="1"/>
  <c r="AB11" i="1"/>
  <c r="AA49" i="1"/>
  <c r="AB49" i="1"/>
  <c r="AA51" i="1"/>
  <c r="AB51" i="1"/>
  <c r="AA52" i="1"/>
  <c r="AB52" i="1"/>
  <c r="AA53" i="1"/>
  <c r="AB53" i="1"/>
  <c r="AA61" i="1"/>
  <c r="AA60" i="1" s="1"/>
  <c r="AA85" i="1"/>
  <c r="AA88" i="1"/>
  <c r="AA96" i="1"/>
  <c r="AB96" i="1"/>
  <c r="AA98" i="1"/>
  <c r="AA99" i="1" s="1"/>
  <c r="AB98" i="1"/>
  <c r="AB99" i="1" s="1"/>
  <c r="AA102" i="1"/>
  <c r="AA103" i="1" s="1"/>
  <c r="AB102" i="1"/>
  <c r="AB103" i="1" s="1"/>
  <c r="AC11" i="1"/>
  <c r="AD11" i="1"/>
  <c r="AC49" i="1"/>
  <c r="AD49" i="1"/>
  <c r="AC51" i="1"/>
  <c r="AD51" i="1"/>
  <c r="AF51" i="1" s="1"/>
  <c r="AC52" i="1"/>
  <c r="AD52" i="1"/>
  <c r="AC53" i="1"/>
  <c r="AD53" i="1"/>
  <c r="AC61" i="1"/>
  <c r="AC62" i="1" s="1"/>
  <c r="AC85" i="1"/>
  <c r="AC88" i="1"/>
  <c r="AC96" i="1"/>
  <c r="AD96" i="1"/>
  <c r="AC98" i="1"/>
  <c r="AC99" i="1" s="1"/>
  <c r="AD98" i="1"/>
  <c r="AD99" i="1" s="1"/>
  <c r="AF99" i="1" s="1"/>
  <c r="AC102" i="1"/>
  <c r="AC103" i="1" s="1"/>
  <c r="AD102" i="1"/>
  <c r="AD103" i="1" s="1"/>
  <c r="AF103" i="1" s="1"/>
  <c r="AH103" i="1" s="1"/>
  <c r="AJ103" i="1" s="1"/>
  <c r="AL103" i="1" s="1"/>
  <c r="AN103" i="1" s="1"/>
  <c r="AP103" i="1" s="1"/>
  <c r="AR103" i="1" s="1"/>
  <c r="AT103" i="1" s="1"/>
  <c r="AV103" i="1" s="1"/>
  <c r="AX103" i="1" s="1"/>
  <c r="J24" i="1"/>
  <c r="AI99" i="1" l="1"/>
  <c r="AH51" i="1"/>
  <c r="AJ51" i="1" s="1"/>
  <c r="AL51" i="1" s="1"/>
  <c r="AN51" i="1" s="1"/>
  <c r="AP51" i="1" s="1"/>
  <c r="AR51" i="1" s="1"/>
  <c r="AT51" i="1" s="1"/>
  <c r="AV51" i="1" s="1"/>
  <c r="AX51" i="1" s="1"/>
  <c r="AH99" i="1"/>
  <c r="AI51" i="1"/>
  <c r="AK51" i="1" s="1"/>
  <c r="AM51" i="1" s="1"/>
  <c r="AO51" i="1" s="1"/>
  <c r="AQ51" i="1" s="1"/>
  <c r="AS51" i="1" s="1"/>
  <c r="AU51" i="1" s="1"/>
  <c r="AW51" i="1" s="1"/>
  <c r="AD24" i="1"/>
  <c r="AE54" i="1"/>
  <c r="AE62" i="1"/>
  <c r="AG62" i="1" s="1"/>
  <c r="AI62" i="1" s="1"/>
  <c r="AK62" i="1" s="1"/>
  <c r="AM62" i="1" s="1"/>
  <c r="AO62" i="1" s="1"/>
  <c r="AQ62" i="1" s="1"/>
  <c r="AS62" i="1" s="1"/>
  <c r="AU62" i="1" s="1"/>
  <c r="AW62" i="1" s="1"/>
  <c r="AB54" i="1"/>
  <c r="AG2" i="1"/>
  <c r="AC54" i="1"/>
  <c r="AA54" i="1"/>
  <c r="AD54" i="1"/>
  <c r="AA62" i="1"/>
  <c r="AC60" i="1"/>
  <c r="J23" i="1"/>
  <c r="J28" i="1" s="1"/>
  <c r="I28" i="1" l="1"/>
  <c r="AJ99" i="1"/>
  <c r="AK99" i="1"/>
  <c r="J22" i="1"/>
  <c r="AD23" i="1"/>
  <c r="AE28" i="1"/>
  <c r="AI2" i="1"/>
  <c r="J27" i="1" l="1"/>
  <c r="I27" i="1" s="1"/>
  <c r="AM99" i="1"/>
  <c r="AL99" i="1"/>
  <c r="AC28" i="1"/>
  <c r="AG28" i="1"/>
  <c r="AI28" i="1" s="1"/>
  <c r="AK28" i="1" s="1"/>
  <c r="AM28" i="1" s="1"/>
  <c r="AO28" i="1" s="1"/>
  <c r="AQ28" i="1" s="1"/>
  <c r="AS28" i="1" s="1"/>
  <c r="AU28" i="1" s="1"/>
  <c r="AW28" i="1" s="1"/>
  <c r="AE27" i="1"/>
  <c r="AD22" i="1"/>
  <c r="AK2" i="1"/>
  <c r="J29" i="1" l="1"/>
  <c r="J39" i="1" s="1"/>
  <c r="H27" i="1"/>
  <c r="G27" i="1" s="1"/>
  <c r="F27" i="1" s="1"/>
  <c r="E27" i="1" s="1"/>
  <c r="I29" i="1"/>
  <c r="AN99" i="1"/>
  <c r="AO99" i="1"/>
  <c r="AC27" i="1"/>
  <c r="AG27" i="1"/>
  <c r="AD28" i="1"/>
  <c r="AC29" i="1"/>
  <c r="AE29" i="1"/>
  <c r="AM2" i="1"/>
  <c r="AQ99" i="1" l="1"/>
  <c r="AP99" i="1"/>
  <c r="AE39" i="1"/>
  <c r="AF39" i="1" s="1"/>
  <c r="AG39" i="1" s="1"/>
  <c r="AH39" i="1" s="1"/>
  <c r="AI39" i="1" s="1"/>
  <c r="AJ39" i="1" s="1"/>
  <c r="AK39" i="1" s="1"/>
  <c r="AL39" i="1" s="1"/>
  <c r="AM39" i="1" s="1"/>
  <c r="AN39" i="1" s="1"/>
  <c r="AO39" i="1" s="1"/>
  <c r="AP39" i="1" s="1"/>
  <c r="AQ39" i="1" s="1"/>
  <c r="AR39" i="1" s="1"/>
  <c r="AS39" i="1" s="1"/>
  <c r="AT39" i="1" s="1"/>
  <c r="AU39" i="1" s="1"/>
  <c r="AV39" i="1" s="1"/>
  <c r="AW39" i="1" s="1"/>
  <c r="AX39" i="1" s="1"/>
  <c r="AF28" i="1"/>
  <c r="AH28" i="1" s="1"/>
  <c r="AJ28" i="1" s="1"/>
  <c r="AL28" i="1" s="1"/>
  <c r="AN28" i="1" s="1"/>
  <c r="AP28" i="1" s="1"/>
  <c r="AR28" i="1" s="1"/>
  <c r="AT28" i="1" s="1"/>
  <c r="AV28" i="1" s="1"/>
  <c r="AX28" i="1" s="1"/>
  <c r="AI27" i="1"/>
  <c r="AD27" i="1"/>
  <c r="AF27" i="1" s="1"/>
  <c r="AA27" i="1"/>
  <c r="AO2" i="1"/>
  <c r="AG29" i="1" l="1"/>
  <c r="AI29" i="1" s="1"/>
  <c r="AK29" i="1" s="1"/>
  <c r="AM29" i="1" s="1"/>
  <c r="AO29" i="1" s="1"/>
  <c r="AQ29" i="1" s="1"/>
  <c r="AS29" i="1" s="1"/>
  <c r="AU29" i="1" s="1"/>
  <c r="AW29" i="1" s="1"/>
  <c r="AR99" i="1"/>
  <c r="AS99" i="1"/>
  <c r="AD29" i="1"/>
  <c r="AH27" i="1"/>
  <c r="AK27" i="1"/>
  <c r="AF29" i="1"/>
  <c r="AH29" i="1" s="1"/>
  <c r="AJ29" i="1" s="1"/>
  <c r="AL29" i="1" s="1"/>
  <c r="AN29" i="1" s="1"/>
  <c r="AP29" i="1" s="1"/>
  <c r="AR29" i="1" s="1"/>
  <c r="AT29" i="1" s="1"/>
  <c r="AV29" i="1" s="1"/>
  <c r="AX29" i="1" s="1"/>
  <c r="AQ2" i="1"/>
  <c r="AG30" i="1" l="1"/>
  <c r="AI30" i="1"/>
  <c r="AI5" i="1" s="1"/>
  <c r="AI12" i="1" s="1"/>
  <c r="AU99" i="1"/>
  <c r="AG31" i="1"/>
  <c r="AG5" i="1"/>
  <c r="AT99" i="1"/>
  <c r="AI31" i="1"/>
  <c r="AK30" i="1"/>
  <c r="AM27" i="1"/>
  <c r="AF30" i="1"/>
  <c r="AJ27" i="1"/>
  <c r="AH30" i="1"/>
  <c r="AS2" i="1"/>
  <c r="AF31" i="1" l="1"/>
  <c r="AF5" i="1"/>
  <c r="AK31" i="1"/>
  <c r="AK5" i="1"/>
  <c r="AK14" i="1" s="1"/>
  <c r="AV99" i="1"/>
  <c r="AG14" i="1"/>
  <c r="AG12" i="1"/>
  <c r="AW99" i="1"/>
  <c r="AH31" i="1"/>
  <c r="AH5" i="1"/>
  <c r="AH12" i="1" s="1"/>
  <c r="AI61" i="1"/>
  <c r="AI50" i="1"/>
  <c r="AI87" i="1"/>
  <c r="AI98" i="1"/>
  <c r="AI14" i="1"/>
  <c r="AL27" i="1"/>
  <c r="AJ30" i="1"/>
  <c r="AM30" i="1"/>
  <c r="AO27" i="1"/>
  <c r="AU2" i="1"/>
  <c r="AI83" i="1" l="1"/>
  <c r="AJ31" i="1"/>
  <c r="AJ5" i="1"/>
  <c r="AH50" i="1"/>
  <c r="AH98" i="1"/>
  <c r="AG13" i="1"/>
  <c r="AG61" i="1"/>
  <c r="AG87" i="1"/>
  <c r="AG141" i="1"/>
  <c r="AG137" i="1" s="1"/>
  <c r="AG98" i="1"/>
  <c r="AG50" i="1"/>
  <c r="AG83" i="1" s="1"/>
  <c r="AI84" i="1" s="1"/>
  <c r="AI95" i="1"/>
  <c r="AI85" i="1"/>
  <c r="AX99" i="1"/>
  <c r="AH14" i="1"/>
  <c r="AF14" i="1"/>
  <c r="AF12" i="1"/>
  <c r="AH13" i="1" s="1"/>
  <c r="AM31" i="1"/>
  <c r="AM5" i="1"/>
  <c r="AM14" i="1" s="1"/>
  <c r="AI13" i="1"/>
  <c r="AQ27" i="1"/>
  <c r="AO30" i="1"/>
  <c r="AL30" i="1"/>
  <c r="AN27" i="1"/>
  <c r="AW2" i="1"/>
  <c r="AL31" i="1" l="1"/>
  <c r="AL5" i="1"/>
  <c r="AL14" i="1" s="1"/>
  <c r="AJ14" i="1"/>
  <c r="AJ12" i="1"/>
  <c r="AG84" i="1"/>
  <c r="AG142" i="1"/>
  <c r="AG138" i="1" s="1"/>
  <c r="AG85" i="1"/>
  <c r="AG95" i="1"/>
  <c r="AF13" i="1"/>
  <c r="AF50" i="1"/>
  <c r="AF98" i="1"/>
  <c r="AO31" i="1"/>
  <c r="AO5" i="1"/>
  <c r="AO14" i="1" s="1"/>
  <c r="AI96" i="1"/>
  <c r="AI101" i="1"/>
  <c r="AI102" i="1" s="1"/>
  <c r="AI104" i="1" s="1"/>
  <c r="AP27" i="1"/>
  <c r="AN30" i="1"/>
  <c r="AS27" i="1"/>
  <c r="AQ30" i="1"/>
  <c r="T49" i="1"/>
  <c r="S8" i="1"/>
  <c r="S56" i="1"/>
  <c r="T57" i="1"/>
  <c r="S7" i="1"/>
  <c r="S58" i="1"/>
  <c r="T7" i="1"/>
  <c r="T11" i="1"/>
  <c r="S57" i="1"/>
  <c r="T56" i="1"/>
  <c r="S11" i="1"/>
  <c r="T8" i="1"/>
  <c r="T58" i="1"/>
  <c r="T46" i="1"/>
  <c r="T45" i="1"/>
  <c r="S46" i="1"/>
  <c r="S6" i="1"/>
  <c r="S45" i="1"/>
  <c r="T6" i="1"/>
  <c r="S49" i="1"/>
  <c r="T53" i="1" l="1"/>
  <c r="T16" i="1"/>
  <c r="S52" i="1"/>
  <c r="AG101" i="1"/>
  <c r="AG102" i="1" s="1"/>
  <c r="AG104" i="1" s="1"/>
  <c r="AI105" i="1" s="1"/>
  <c r="AG96" i="1"/>
  <c r="AQ31" i="1"/>
  <c r="AQ5" i="1"/>
  <c r="AQ14" i="1" s="1"/>
  <c r="AN31" i="1"/>
  <c r="AN5" i="1"/>
  <c r="AN14" i="1" s="1"/>
  <c r="AJ13" i="1"/>
  <c r="AJ50" i="1"/>
  <c r="AJ98" i="1"/>
  <c r="AU27" i="1"/>
  <c r="AS30" i="1"/>
  <c r="AR27" i="1"/>
  <c r="AP30" i="1"/>
  <c r="S53" i="1"/>
  <c r="T52" i="1"/>
  <c r="T17" i="1"/>
  <c r="S54" i="1"/>
  <c r="T15" i="1"/>
  <c r="T54" i="1"/>
  <c r="AS31" i="1" l="1"/>
  <c r="AS5" i="1"/>
  <c r="AS14" i="1" s="1"/>
  <c r="AP31" i="1"/>
  <c r="AP5" i="1"/>
  <c r="AP14" i="1" s="1"/>
  <c r="AG105" i="1"/>
  <c r="AG143" i="1"/>
  <c r="AG139" i="1" s="1"/>
  <c r="AT27" i="1"/>
  <c r="AR30" i="1"/>
  <c r="AW27" i="1"/>
  <c r="AW30" i="1" s="1"/>
  <c r="AW5" i="1" s="1"/>
  <c r="AU30" i="1"/>
  <c r="AU31" i="1" l="1"/>
  <c r="AU5" i="1"/>
  <c r="AR31" i="1"/>
  <c r="AR5" i="1"/>
  <c r="AR14" i="1" s="1"/>
  <c r="AW31" i="1"/>
  <c r="AT30" i="1"/>
  <c r="AV27" i="1"/>
  <c r="AT31" i="1" l="1"/>
  <c r="AT5" i="1"/>
  <c r="AT14" i="1" s="1"/>
  <c r="AU14" i="1"/>
  <c r="AW14" i="1"/>
  <c r="AX27" i="1"/>
  <c r="AX30" i="1" s="1"/>
  <c r="AX5" i="1" s="1"/>
  <c r="AV30" i="1"/>
  <c r="T5" i="1" l="1"/>
  <c r="AV31" i="1"/>
  <c r="AV5" i="1"/>
  <c r="AX31" i="1"/>
  <c r="AV14" i="1" l="1"/>
  <c r="S5" i="1"/>
  <c r="T14" i="1" s="1"/>
  <c r="AX14" i="1"/>
  <c r="AK12" i="1" l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E11" i="1"/>
  <c r="F11" i="1"/>
  <c r="G11" i="1"/>
  <c r="H11" i="1"/>
  <c r="I11" i="1"/>
  <c r="J11" i="1"/>
  <c r="Y11" i="1"/>
  <c r="Z11" i="1"/>
  <c r="B15" i="1"/>
  <c r="F15" i="1"/>
  <c r="G15" i="1"/>
  <c r="H15" i="1"/>
  <c r="I15" i="1"/>
  <c r="J15" i="1"/>
  <c r="B16" i="1"/>
  <c r="F16" i="1"/>
  <c r="G16" i="1"/>
  <c r="H16" i="1"/>
  <c r="I16" i="1"/>
  <c r="J16" i="1"/>
  <c r="B17" i="1"/>
  <c r="F17" i="1"/>
  <c r="G17" i="1"/>
  <c r="H17" i="1"/>
  <c r="I17" i="1"/>
  <c r="J17" i="1"/>
  <c r="B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J14" i="1"/>
  <c r="B14" i="1"/>
  <c r="AQ13" i="1" l="1"/>
  <c r="AQ61" i="1"/>
  <c r="AQ50" i="1"/>
  <c r="AQ98" i="1"/>
  <c r="AT50" i="1"/>
  <c r="AT98" i="1"/>
  <c r="AX50" i="1"/>
  <c r="AX98" i="1"/>
  <c r="AL13" i="1"/>
  <c r="AL50" i="1"/>
  <c r="AL98" i="1"/>
  <c r="AS13" i="1"/>
  <c r="AS61" i="1"/>
  <c r="AS50" i="1"/>
  <c r="AS98" i="1"/>
  <c r="AN50" i="1"/>
  <c r="AN98" i="1"/>
  <c r="AW61" i="1"/>
  <c r="AW50" i="1"/>
  <c r="AW98" i="1"/>
  <c r="AK13" i="1"/>
  <c r="AK61" i="1"/>
  <c r="AK50" i="1"/>
  <c r="AK98" i="1"/>
  <c r="AR13" i="1"/>
  <c r="AR50" i="1"/>
  <c r="AR98" i="1"/>
  <c r="AP13" i="1"/>
  <c r="AP50" i="1"/>
  <c r="AP98" i="1"/>
  <c r="AV13" i="1"/>
  <c r="AV50" i="1"/>
  <c r="AV98" i="1"/>
  <c r="AO13" i="1"/>
  <c r="AO61" i="1"/>
  <c r="AO50" i="1"/>
  <c r="AO98" i="1"/>
  <c r="AM13" i="1"/>
  <c r="AM61" i="1"/>
  <c r="AM50" i="1"/>
  <c r="AM98" i="1"/>
  <c r="AU61" i="1"/>
  <c r="AU50" i="1"/>
  <c r="AU98" i="1"/>
  <c r="AX13" i="1"/>
  <c r="AN13" i="1"/>
  <c r="AW13" i="1"/>
  <c r="T12" i="1"/>
  <c r="AU13" i="1"/>
  <c r="S12" i="1"/>
  <c r="AT13" i="1"/>
  <c r="T13" i="1" l="1"/>
  <c r="X88" i="1"/>
  <c r="J53" i="1"/>
  <c r="I53" i="1"/>
  <c r="H53" i="1"/>
  <c r="G53" i="1"/>
  <c r="F53" i="1"/>
  <c r="E53" i="1"/>
  <c r="J51" i="1"/>
  <c r="I51" i="1"/>
  <c r="H51" i="1"/>
  <c r="G51" i="1"/>
  <c r="F51" i="1"/>
  <c r="E51" i="1"/>
  <c r="Y51" i="1"/>
  <c r="Z51" i="1"/>
  <c r="Y53" i="1"/>
  <c r="Z53" i="1"/>
  <c r="Y49" i="1"/>
  <c r="Z49" i="1"/>
  <c r="J49" i="1"/>
  <c r="I49" i="1"/>
  <c r="H49" i="1"/>
  <c r="G49" i="1"/>
  <c r="F49" i="1"/>
  <c r="E49" i="1"/>
  <c r="Z52" i="1" l="1"/>
  <c r="G54" i="1"/>
  <c r="H54" i="1"/>
  <c r="I54" i="1"/>
  <c r="J54" i="1"/>
  <c r="Z54" i="1"/>
  <c r="Y54" i="1"/>
  <c r="E54" i="1"/>
  <c r="F54" i="1"/>
  <c r="Y52" i="1"/>
  <c r="H52" i="1"/>
  <c r="J52" i="1"/>
  <c r="E52" i="1"/>
  <c r="F52" i="1"/>
  <c r="G52" i="1"/>
  <c r="I52" i="1"/>
  <c r="AH141" i="1"/>
  <c r="AH137" i="1" s="1"/>
  <c r="AI143" i="1"/>
  <c r="AI139" i="1" s="1"/>
  <c r="AI142" i="1"/>
  <c r="AI138" i="1" s="1"/>
  <c r="AI141" i="1"/>
  <c r="AI137" i="1" s="1"/>
  <c r="AJ146" i="1"/>
  <c r="D127" i="1"/>
  <c r="K113" i="1"/>
  <c r="L113" i="1" s="1"/>
  <c r="M113" i="1" s="1"/>
  <c r="N113" i="1" s="1"/>
  <c r="O113" i="1" s="1"/>
  <c r="P113" i="1" s="1"/>
  <c r="Q113" i="1" s="1"/>
  <c r="K112" i="1"/>
  <c r="L112" i="1" s="1"/>
  <c r="M112" i="1" s="1"/>
  <c r="N112" i="1" s="1"/>
  <c r="O112" i="1" s="1"/>
  <c r="P112" i="1" s="1"/>
  <c r="Q112" i="1" s="1"/>
  <c r="Z102" i="1"/>
  <c r="Z103" i="1" s="1"/>
  <c r="Y102" i="1"/>
  <c r="Y103" i="1" s="1"/>
  <c r="J84" i="1"/>
  <c r="I84" i="1"/>
  <c r="H84" i="1"/>
  <c r="G84" i="1"/>
  <c r="F84" i="1"/>
  <c r="Z96" i="1"/>
  <c r="Y96" i="1"/>
  <c r="J96" i="1"/>
  <c r="I96" i="1"/>
  <c r="H96" i="1"/>
  <c r="G96" i="1"/>
  <c r="F96" i="1"/>
  <c r="E96" i="1"/>
  <c r="F85" i="1"/>
  <c r="G85" i="1"/>
  <c r="H85" i="1"/>
  <c r="I85" i="1"/>
  <c r="J85" i="1"/>
  <c r="Y85" i="1"/>
  <c r="E85" i="1"/>
  <c r="F14" i="1"/>
  <c r="G14" i="1"/>
  <c r="H14" i="1"/>
  <c r="I14" i="1"/>
  <c r="F13" i="1"/>
  <c r="G13" i="1"/>
  <c r="H13" i="1"/>
  <c r="I13" i="1"/>
  <c r="J13" i="1"/>
  <c r="F118" i="1"/>
  <c r="G118" i="1"/>
  <c r="H118" i="1"/>
  <c r="I118" i="1"/>
  <c r="J118" i="1"/>
  <c r="E118" i="1"/>
  <c r="Y61" i="1"/>
  <c r="Y60" i="1" s="1"/>
  <c r="E61" i="1"/>
  <c r="E60" i="1" s="1"/>
  <c r="F61" i="1"/>
  <c r="F60" i="1" s="1"/>
  <c r="G61" i="1"/>
  <c r="G62" i="1" s="1"/>
  <c r="H61" i="1"/>
  <c r="H62" i="1" s="1"/>
  <c r="I61" i="1"/>
  <c r="I60" i="1" s="1"/>
  <c r="J61" i="1"/>
  <c r="J60" i="1" s="1"/>
  <c r="Y88" i="1"/>
  <c r="E87" i="1"/>
  <c r="E88" i="1" s="1"/>
  <c r="F87" i="1"/>
  <c r="F88" i="1" s="1"/>
  <c r="G87" i="1"/>
  <c r="G88" i="1" s="1"/>
  <c r="H87" i="1"/>
  <c r="I87" i="1"/>
  <c r="J87" i="1"/>
  <c r="J98" i="1"/>
  <c r="B60" i="1"/>
  <c r="E108" i="1"/>
  <c r="E110" i="1" s="1"/>
  <c r="F108" i="1"/>
  <c r="F110" i="1" s="1"/>
  <c r="G108" i="1"/>
  <c r="G110" i="1" s="1"/>
  <c r="H108" i="1"/>
  <c r="H110" i="1" s="1"/>
  <c r="I108" i="1"/>
  <c r="I110" i="1" s="1"/>
  <c r="K110" i="1" s="1"/>
  <c r="M110" i="1" s="1"/>
  <c r="O110" i="1" s="1"/>
  <c r="Q110" i="1" s="1"/>
  <c r="S110" i="1" s="1"/>
  <c r="J108" i="1"/>
  <c r="J110" i="1" s="1"/>
  <c r="L110" i="1" s="1"/>
  <c r="N110" i="1" s="1"/>
  <c r="P110" i="1" s="1"/>
  <c r="R110" i="1" s="1"/>
  <c r="Z98" i="1"/>
  <c r="Z99" i="1" s="1"/>
  <c r="Y98" i="1"/>
  <c r="Y99" i="1" s="1"/>
  <c r="E98" i="1"/>
  <c r="E99" i="1" s="1"/>
  <c r="F98" i="1"/>
  <c r="F99" i="1" s="1"/>
  <c r="G98" i="1"/>
  <c r="G99" i="1" s="1"/>
  <c r="H98" i="1"/>
  <c r="H99" i="1" s="1"/>
  <c r="I98" i="1"/>
  <c r="I99" i="1" s="1"/>
  <c r="E102" i="1"/>
  <c r="E103" i="1" s="1"/>
  <c r="F102" i="1"/>
  <c r="F103" i="1" s="1"/>
  <c r="G102" i="1"/>
  <c r="G103" i="1" s="1"/>
  <c r="H102" i="1"/>
  <c r="H103" i="1" s="1"/>
  <c r="I102" i="1"/>
  <c r="I103" i="1" s="1"/>
  <c r="J102" i="1"/>
  <c r="J103" i="1" s="1"/>
  <c r="F3" i="1"/>
  <c r="G3" i="1" s="1"/>
  <c r="H3" i="1" s="1"/>
  <c r="J99" i="1" l="1"/>
  <c r="J116" i="1"/>
  <c r="J88" i="1"/>
  <c r="AD87" i="1"/>
  <c r="I88" i="1"/>
  <c r="AB87" i="1"/>
  <c r="H88" i="1"/>
  <c r="Z87" i="1"/>
  <c r="R112" i="1"/>
  <c r="S112" i="1" s="1"/>
  <c r="R113" i="1"/>
  <c r="S113" i="1" s="1"/>
  <c r="T113" i="1" s="1"/>
  <c r="I3" i="1"/>
  <c r="J3" i="1" s="1"/>
  <c r="Z3" i="1"/>
  <c r="Y3" i="1"/>
  <c r="AJ137" i="1"/>
  <c r="Y62" i="1"/>
  <c r="E62" i="1"/>
  <c r="F62" i="1"/>
  <c r="I62" i="1"/>
  <c r="J62" i="1"/>
  <c r="G116" i="1"/>
  <c r="E116" i="1"/>
  <c r="I116" i="1"/>
  <c r="H116" i="1"/>
  <c r="F116" i="1"/>
  <c r="H60" i="1"/>
  <c r="G60" i="1"/>
  <c r="AC3" i="1" l="1"/>
  <c r="AD3" i="1"/>
  <c r="AB83" i="1"/>
  <c r="AB88" i="1"/>
  <c r="Z83" i="1"/>
  <c r="Z88" i="1"/>
  <c r="AD83" i="1"/>
  <c r="AD88" i="1"/>
  <c r="AF88" i="1" s="1"/>
  <c r="T112" i="1"/>
  <c r="AA3" i="1"/>
  <c r="AB3" i="1"/>
  <c r="K3" i="1"/>
  <c r="K58" i="1"/>
  <c r="K56" i="1"/>
  <c r="K11" i="1"/>
  <c r="K5" i="1"/>
  <c r="K14" i="1" s="1"/>
  <c r="AF87" i="1" l="1"/>
  <c r="AH88" i="1"/>
  <c r="AD84" i="1"/>
  <c r="AD61" i="1"/>
  <c r="AD85" i="1"/>
  <c r="Z85" i="1"/>
  <c r="Z61" i="1"/>
  <c r="AB84" i="1"/>
  <c r="AB61" i="1"/>
  <c r="AB85" i="1"/>
  <c r="AE3" i="1"/>
  <c r="AF3" i="1"/>
  <c r="K128" i="1"/>
  <c r="L3" i="1"/>
  <c r="K49" i="1"/>
  <c r="K54" i="1" s="1"/>
  <c r="AJ88" i="1" l="1"/>
  <c r="AH87" i="1"/>
  <c r="AB60" i="1"/>
  <c r="AB62" i="1"/>
  <c r="AD62" i="1"/>
  <c r="AF62" i="1" s="1"/>
  <c r="AD60" i="1"/>
  <c r="Z60" i="1"/>
  <c r="Z62" i="1"/>
  <c r="AH3" i="1"/>
  <c r="AG3" i="1"/>
  <c r="L128" i="1"/>
  <c r="M3" i="1"/>
  <c r="AL88" i="1" l="1"/>
  <c r="AN88" i="1" s="1"/>
  <c r="AP88" i="1" s="1"/>
  <c r="AR88" i="1" s="1"/>
  <c r="AT88" i="1" s="1"/>
  <c r="AV88" i="1" s="1"/>
  <c r="AX88" i="1" s="1"/>
  <c r="AJ87" i="1"/>
  <c r="AF61" i="1"/>
  <c r="AF83" i="1" s="1"/>
  <c r="AH62" i="1"/>
  <c r="AJ3" i="1"/>
  <c r="AI3" i="1"/>
  <c r="M128" i="1"/>
  <c r="N3" i="1"/>
  <c r="L11" i="1"/>
  <c r="AJ62" i="1" l="1"/>
  <c r="AH61" i="1"/>
  <c r="AH83" i="1" s="1"/>
  <c r="AF85" i="1"/>
  <c r="AF95" i="1"/>
  <c r="AF84" i="1"/>
  <c r="AL3" i="1"/>
  <c r="AK3" i="1"/>
  <c r="O3" i="1"/>
  <c r="N128" i="1"/>
  <c r="AF96" i="1" l="1"/>
  <c r="AF101" i="1"/>
  <c r="AF102" i="1" s="1"/>
  <c r="AF104" i="1" s="1"/>
  <c r="AF105" i="1" s="1"/>
  <c r="AH84" i="1"/>
  <c r="AH95" i="1"/>
  <c r="AH85" i="1"/>
  <c r="AH142" i="1"/>
  <c r="AH138" i="1" s="1"/>
  <c r="AL62" i="1"/>
  <c r="AJ61" i="1"/>
  <c r="AJ83" i="1" s="1"/>
  <c r="AN3" i="1"/>
  <c r="AM3" i="1"/>
  <c r="P3" i="1"/>
  <c r="O128" i="1"/>
  <c r="AJ95" i="1" l="1"/>
  <c r="AJ85" i="1"/>
  <c r="AJ84" i="1"/>
  <c r="AN62" i="1"/>
  <c r="AL61" i="1"/>
  <c r="AH96" i="1"/>
  <c r="AH101" i="1"/>
  <c r="AH102" i="1" s="1"/>
  <c r="AH104" i="1" s="1"/>
  <c r="AP3" i="1"/>
  <c r="AO3" i="1"/>
  <c r="Q3" i="1"/>
  <c r="R3" i="1" s="1"/>
  <c r="S3" i="1" s="1"/>
  <c r="P128" i="1"/>
  <c r="AH105" i="1" l="1"/>
  <c r="AH143" i="1"/>
  <c r="AH139" i="1" s="1"/>
  <c r="AJ139" i="1" s="1"/>
  <c r="AP62" i="1"/>
  <c r="AN61" i="1"/>
  <c r="AJ96" i="1"/>
  <c r="AJ101" i="1"/>
  <c r="AJ102" i="1" s="1"/>
  <c r="AJ104" i="1" s="1"/>
  <c r="AJ105" i="1" s="1"/>
  <c r="S128" i="1"/>
  <c r="T3" i="1"/>
  <c r="AR3" i="1"/>
  <c r="AQ3" i="1"/>
  <c r="Q128" i="1"/>
  <c r="AR62" i="1" l="1"/>
  <c r="AP61" i="1"/>
  <c r="T128" i="1"/>
  <c r="AX3" i="1"/>
  <c r="AW3" i="1"/>
  <c r="AT3" i="1"/>
  <c r="AS3" i="1"/>
  <c r="AV3" i="1"/>
  <c r="AU3" i="1"/>
  <c r="R128" i="1"/>
  <c r="M11" i="1"/>
  <c r="AT62" i="1" l="1"/>
  <c r="AR61" i="1"/>
  <c r="N11" i="1"/>
  <c r="AV62" i="1" l="1"/>
  <c r="AT61" i="1"/>
  <c r="N56" i="1"/>
  <c r="N58" i="1"/>
  <c r="AX62" i="1" l="1"/>
  <c r="AX61" i="1" s="1"/>
  <c r="AV61" i="1"/>
  <c r="O11" i="1"/>
  <c r="O56" i="1"/>
  <c r="P11" i="1" l="1"/>
  <c r="P56" i="1"/>
  <c r="Q11" i="1" l="1"/>
  <c r="Q58" i="1"/>
  <c r="R11" i="1" l="1"/>
  <c r="R58" i="1"/>
  <c r="L58" i="1" l="1"/>
  <c r="M58" i="1"/>
  <c r="O58" i="1"/>
  <c r="P58" i="1"/>
  <c r="L56" i="1"/>
  <c r="M56" i="1"/>
  <c r="Q56" i="1"/>
  <c r="R56" i="1"/>
  <c r="L5" i="1"/>
  <c r="L14" i="1" s="1"/>
  <c r="M5" i="1" l="1"/>
  <c r="M14" i="1" s="1"/>
  <c r="N5" i="1" l="1"/>
  <c r="N14" i="1" s="1"/>
  <c r="O5" i="1" l="1"/>
  <c r="O14" i="1" s="1"/>
  <c r="P5" i="1" l="1"/>
  <c r="P14" i="1" s="1"/>
  <c r="Q5" i="1" l="1"/>
  <c r="Q14" i="1" l="1"/>
  <c r="R5" i="1"/>
  <c r="S14" i="1" s="1"/>
  <c r="R14" i="1" l="1"/>
  <c r="K6" i="1"/>
  <c r="K15" i="1" s="1"/>
  <c r="L6" i="1" l="1"/>
  <c r="L15" i="1" s="1"/>
  <c r="K7" i="1"/>
  <c r="K16" i="1" s="1"/>
  <c r="AK87" i="1" l="1"/>
  <c r="K12" i="1"/>
  <c r="K45" i="1"/>
  <c r="L7" i="1"/>
  <c r="L16" i="1" s="1"/>
  <c r="K52" i="1" l="1"/>
  <c r="K141" i="1"/>
  <c r="K13" i="1"/>
  <c r="AL87" i="1"/>
  <c r="K98" i="1"/>
  <c r="K99" i="1" s="1"/>
  <c r="AM87" i="1"/>
  <c r="L12" i="1"/>
  <c r="F135" i="1" s="1"/>
  <c r="K50" i="1" l="1"/>
  <c r="K51" i="1" s="1"/>
  <c r="K145" i="1"/>
  <c r="L13" i="1"/>
  <c r="L141" i="1"/>
  <c r="L145" i="1" s="1"/>
  <c r="K87" i="1"/>
  <c r="AO87" i="1"/>
  <c r="AN87" i="1"/>
  <c r="L87" i="1" s="1"/>
  <c r="L88" i="1" l="1"/>
  <c r="L117" i="1"/>
  <c r="K88" i="1"/>
  <c r="K117" i="1"/>
  <c r="K57" i="1"/>
  <c r="AP87" i="1"/>
  <c r="K61" i="1" l="1"/>
  <c r="K62" i="1" s="1"/>
  <c r="M12" i="1"/>
  <c r="AQ87" i="1"/>
  <c r="M45" i="1"/>
  <c r="M13" i="1" l="1"/>
  <c r="M141" i="1"/>
  <c r="K83" i="1"/>
  <c r="AR87" i="1"/>
  <c r="N6" i="1"/>
  <c r="M145" i="1" l="1"/>
  <c r="AJ141" i="1"/>
  <c r="AJ145" i="1" s="1"/>
  <c r="K95" i="1"/>
  <c r="K85" i="1"/>
  <c r="K84" i="1"/>
  <c r="AS87" i="1"/>
  <c r="N7" i="1"/>
  <c r="K96" i="1" l="1"/>
  <c r="K142" i="1"/>
  <c r="K146" i="1" s="1"/>
  <c r="K101" i="1"/>
  <c r="AT87" i="1"/>
  <c r="AU87" i="1"/>
  <c r="N12" i="1"/>
  <c r="N13" i="1" l="1"/>
  <c r="K102" i="1"/>
  <c r="N98" i="1"/>
  <c r="N99" i="1" s="1"/>
  <c r="AV87" i="1"/>
  <c r="S87" i="1" s="1"/>
  <c r="S98" i="1" l="1"/>
  <c r="S99" i="1" s="1"/>
  <c r="S117" i="1"/>
  <c r="S88" i="1"/>
  <c r="K103" i="1"/>
  <c r="K115" i="1"/>
  <c r="K118" i="1" s="1"/>
  <c r="K104" i="1"/>
  <c r="AW87" i="1"/>
  <c r="K105" i="1" l="1"/>
  <c r="K106" i="1"/>
  <c r="T87" i="1"/>
  <c r="K143" i="1"/>
  <c r="K108" i="1"/>
  <c r="K109" i="1" s="1"/>
  <c r="K129" i="1" s="1"/>
  <c r="T98" i="1"/>
  <c r="T99" i="1" s="1"/>
  <c r="AX87" i="1"/>
  <c r="T117" i="1" l="1"/>
  <c r="T88" i="1"/>
  <c r="K147" i="1"/>
  <c r="O12" i="1"/>
  <c r="O13" i="1" s="1"/>
  <c r="O45" i="1"/>
  <c r="O98" i="1" l="1"/>
  <c r="O99" i="1" s="1"/>
  <c r="P6" i="1"/>
  <c r="P45" i="1" l="1"/>
  <c r="P98" i="1" l="1"/>
  <c r="Q7" i="1"/>
  <c r="Q12" i="1" l="1"/>
  <c r="R6" i="1"/>
  <c r="S15" i="1" s="1"/>
  <c r="Q98" i="1" l="1"/>
  <c r="Q99" i="1" s="1"/>
  <c r="Q87" i="1"/>
  <c r="R7" i="1"/>
  <c r="S16" i="1" s="1"/>
  <c r="R16" i="1" l="1"/>
  <c r="Q88" i="1"/>
  <c r="Q117" i="1"/>
  <c r="R12" i="1"/>
  <c r="R45" i="1"/>
  <c r="R52" i="1" s="1"/>
  <c r="S13" i="1" l="1"/>
  <c r="R13" i="1"/>
  <c r="R98" i="1"/>
  <c r="R99" i="1" s="1"/>
  <c r="R87" i="1"/>
  <c r="R88" i="1" l="1"/>
  <c r="R117" i="1"/>
  <c r="M6" i="1" l="1"/>
  <c r="O6" i="1"/>
  <c r="Q6" i="1"/>
  <c r="S50" i="1"/>
  <c r="S51" i="1" s="1"/>
  <c r="Q15" i="1" l="1"/>
  <c r="R15" i="1"/>
  <c r="O15" i="1"/>
  <c r="P15" i="1"/>
  <c r="M15" i="1"/>
  <c r="N15" i="1"/>
  <c r="O49" i="1"/>
  <c r="O54" i="1" s="1"/>
  <c r="R50" i="1"/>
  <c r="R51" i="1" s="1"/>
  <c r="R49" i="1"/>
  <c r="R54" i="1" s="1"/>
  <c r="L50" i="1"/>
  <c r="L51" i="1" s="1"/>
  <c r="L49" i="1"/>
  <c r="L54" i="1" s="1"/>
  <c r="L57" i="1"/>
  <c r="N49" i="1"/>
  <c r="N54" i="1" s="1"/>
  <c r="M7" i="1"/>
  <c r="O7" i="1"/>
  <c r="O16" i="1" s="1"/>
  <c r="P7" i="1"/>
  <c r="Q50" i="1"/>
  <c r="Q51" i="1" s="1"/>
  <c r="Q49" i="1"/>
  <c r="Q54" i="1" s="1"/>
  <c r="P49" i="1"/>
  <c r="P54" i="1" s="1"/>
  <c r="M50" i="1"/>
  <c r="M51" i="1" s="1"/>
  <c r="M49" i="1"/>
  <c r="M54" i="1" s="1"/>
  <c r="P50" i="1" l="1"/>
  <c r="O50" i="1"/>
  <c r="O51" i="1" s="1"/>
  <c r="T50" i="1"/>
  <c r="T51" i="1" s="1"/>
  <c r="N50" i="1"/>
  <c r="N51" i="1" s="1"/>
  <c r="P16" i="1"/>
  <c r="Q16" i="1"/>
  <c r="M16" i="1"/>
  <c r="N16" i="1"/>
  <c r="L45" i="1"/>
  <c r="L52" i="1" s="1"/>
  <c r="N45" i="1"/>
  <c r="N52" i="1" s="1"/>
  <c r="Q45" i="1"/>
  <c r="Q52" i="1" s="1"/>
  <c r="P52" i="1"/>
  <c r="O52" i="1"/>
  <c r="P12" i="1"/>
  <c r="M52" i="1"/>
  <c r="P51" i="1" l="1"/>
  <c r="M87" i="1"/>
  <c r="N87" i="1"/>
  <c r="O87" i="1"/>
  <c r="P87" i="1"/>
  <c r="P13" i="1"/>
  <c r="P99" i="1"/>
  <c r="Q13" i="1"/>
  <c r="L98" i="1"/>
  <c r="L99" i="1" s="1"/>
  <c r="M98" i="1"/>
  <c r="M99" i="1" s="1"/>
  <c r="M57" i="1"/>
  <c r="P88" i="1" l="1"/>
  <c r="P117" i="1"/>
  <c r="O88" i="1"/>
  <c r="O117" i="1"/>
  <c r="N88" i="1"/>
  <c r="N117" i="1"/>
  <c r="M88" i="1"/>
  <c r="M117" i="1"/>
  <c r="N57" i="1" l="1"/>
  <c r="O57" i="1" l="1"/>
  <c r="P57" i="1" l="1"/>
  <c r="Q57" i="1" l="1"/>
  <c r="R57" i="1" l="1"/>
  <c r="M61" i="1" l="1"/>
  <c r="M62" i="1" s="1"/>
  <c r="S61" i="1"/>
  <c r="S62" i="1" s="1"/>
  <c r="T61" i="1"/>
  <c r="T62" i="1" s="1"/>
  <c r="P61" i="1"/>
  <c r="P62" i="1" s="1"/>
  <c r="Q61" i="1"/>
  <c r="Q62" i="1" s="1"/>
  <c r="R61" i="1" l="1"/>
  <c r="R62" i="1" s="1"/>
  <c r="N61" i="1"/>
  <c r="N62" i="1" s="1"/>
  <c r="O61" i="1"/>
  <c r="O62" i="1" s="1"/>
  <c r="L61" i="1"/>
  <c r="L62" i="1" s="1"/>
  <c r="AM83" i="1"/>
  <c r="AX83" i="1"/>
  <c r="AL83" i="1"/>
  <c r="AW83" i="1"/>
  <c r="AK83" i="1"/>
  <c r="AV83" i="1"/>
  <c r="AU83" i="1"/>
  <c r="AN83" i="1"/>
  <c r="AT83" i="1"/>
  <c r="AO83" i="1"/>
  <c r="AS83" i="1"/>
  <c r="AP83" i="1"/>
  <c r="AR83" i="1"/>
  <c r="AQ83" i="1"/>
  <c r="AX84" i="1" l="1"/>
  <c r="AS84" i="1"/>
  <c r="AP84" i="1"/>
  <c r="AT84" i="1"/>
  <c r="AM84" i="1"/>
  <c r="AL84" i="1"/>
  <c r="AO84" i="1"/>
  <c r="AN84" i="1"/>
  <c r="AU84" i="1"/>
  <c r="S83" i="1"/>
  <c r="AQ84" i="1"/>
  <c r="AK84" i="1"/>
  <c r="AV84" i="1"/>
  <c r="AR84" i="1"/>
  <c r="AW84" i="1"/>
  <c r="T83" i="1"/>
  <c r="Q83" i="1"/>
  <c r="M83" i="1"/>
  <c r="M85" i="1" s="1"/>
  <c r="N83" i="1"/>
  <c r="L83" i="1"/>
  <c r="O83" i="1"/>
  <c r="R83" i="1"/>
  <c r="P83" i="1"/>
  <c r="AN95" i="1"/>
  <c r="AN85" i="1"/>
  <c r="AU85" i="1"/>
  <c r="AU95" i="1"/>
  <c r="S95" i="1" s="1"/>
  <c r="S96" i="1" s="1"/>
  <c r="AT85" i="1"/>
  <c r="AT95" i="1"/>
  <c r="AK85" i="1"/>
  <c r="AK95" i="1"/>
  <c r="AM85" i="1"/>
  <c r="AM95" i="1"/>
  <c r="AR85" i="1"/>
  <c r="AR95" i="1"/>
  <c r="AW85" i="1"/>
  <c r="AW95" i="1"/>
  <c r="AO95" i="1"/>
  <c r="AO85" i="1"/>
  <c r="AL85" i="1"/>
  <c r="AL95" i="1"/>
  <c r="AX85" i="1"/>
  <c r="AX95" i="1"/>
  <c r="AP95" i="1"/>
  <c r="AP85" i="1"/>
  <c r="AS85" i="1"/>
  <c r="AS95" i="1"/>
  <c r="AQ95" i="1"/>
  <c r="AQ85" i="1"/>
  <c r="AV95" i="1"/>
  <c r="AV85" i="1"/>
  <c r="T95" i="1" l="1"/>
  <c r="T96" i="1" s="1"/>
  <c r="S85" i="1"/>
  <c r="T84" i="1"/>
  <c r="T85" i="1"/>
  <c r="N84" i="1"/>
  <c r="S84" i="1"/>
  <c r="Q85" i="1"/>
  <c r="O95" i="1"/>
  <c r="O96" i="1" s="1"/>
  <c r="N85" i="1"/>
  <c r="P95" i="1"/>
  <c r="P96" i="1" s="1"/>
  <c r="M95" i="1"/>
  <c r="Q95" i="1"/>
  <c r="Q96" i="1" s="1"/>
  <c r="O84" i="1"/>
  <c r="O85" i="1"/>
  <c r="L84" i="1"/>
  <c r="L85" i="1"/>
  <c r="N95" i="1"/>
  <c r="N96" i="1" s="1"/>
  <c r="L95" i="1"/>
  <c r="P85" i="1"/>
  <c r="P84" i="1"/>
  <c r="R85" i="1"/>
  <c r="R84" i="1"/>
  <c r="Q84" i="1"/>
  <c r="M84" i="1"/>
  <c r="R95" i="1"/>
  <c r="R96" i="1" s="1"/>
  <c r="AX101" i="1"/>
  <c r="AX96" i="1"/>
  <c r="AO96" i="1"/>
  <c r="AO101" i="1"/>
  <c r="AT101" i="1"/>
  <c r="AT102" i="1" s="1"/>
  <c r="AT104" i="1" s="1"/>
  <c r="AT96" i="1"/>
  <c r="AL96" i="1"/>
  <c r="AL101" i="1"/>
  <c r="AW96" i="1"/>
  <c r="AW101" i="1"/>
  <c r="T101" i="1" s="1"/>
  <c r="AV96" i="1"/>
  <c r="AV101" i="1"/>
  <c r="AM96" i="1"/>
  <c r="AM101" i="1"/>
  <c r="AM102" i="1" s="1"/>
  <c r="AM104" i="1" s="1"/>
  <c r="AN96" i="1"/>
  <c r="AN101" i="1"/>
  <c r="AR96" i="1"/>
  <c r="AR101" i="1"/>
  <c r="AS101" i="1"/>
  <c r="AS96" i="1"/>
  <c r="AQ96" i="1"/>
  <c r="AQ101" i="1"/>
  <c r="AQ102" i="1" s="1"/>
  <c r="AQ104" i="1" s="1"/>
  <c r="AP96" i="1"/>
  <c r="AP101" i="1"/>
  <c r="AK96" i="1"/>
  <c r="AK101" i="1"/>
  <c r="AU101" i="1"/>
  <c r="AU96" i="1"/>
  <c r="S101" i="1" l="1"/>
  <c r="M96" i="1"/>
  <c r="M142" i="1"/>
  <c r="M146" i="1" s="1"/>
  <c r="F160" i="1" s="1"/>
  <c r="L96" i="1"/>
  <c r="L142" i="1"/>
  <c r="L146" i="1" s="1"/>
  <c r="E160" i="1" s="1"/>
  <c r="L101" i="1"/>
  <c r="Q101" i="1"/>
  <c r="R101" i="1"/>
  <c r="O101" i="1"/>
  <c r="P101" i="1"/>
  <c r="AO102" i="1"/>
  <c r="M101" i="1"/>
  <c r="N101" i="1"/>
  <c r="AV102" i="1"/>
  <c r="AV104" i="1" s="1"/>
  <c r="AV105" i="1" s="1"/>
  <c r="AN102" i="1"/>
  <c r="AN104" i="1" s="1"/>
  <c r="AL102" i="1"/>
  <c r="AL104" i="1" s="1"/>
  <c r="AL105" i="1" s="1"/>
  <c r="AW102" i="1"/>
  <c r="AU102" i="1"/>
  <c r="AS102" i="1"/>
  <c r="R102" i="1"/>
  <c r="AP102" i="1"/>
  <c r="AP104" i="1" s="1"/>
  <c r="AX102" i="1"/>
  <c r="AR102" i="1"/>
  <c r="AR104" i="1" s="1"/>
  <c r="AK102" i="1"/>
  <c r="AP105" i="1" l="1"/>
  <c r="AR105" i="1"/>
  <c r="S102" i="1"/>
  <c r="T102" i="1"/>
  <c r="AN105" i="1"/>
  <c r="AT105" i="1"/>
  <c r="AU104" i="1"/>
  <c r="AX104" i="1"/>
  <c r="AX105" i="1" s="1"/>
  <c r="N102" i="1"/>
  <c r="N103" i="1" s="1"/>
  <c r="AW104" i="1"/>
  <c r="O102" i="1"/>
  <c r="AO104" i="1"/>
  <c r="M102" i="1"/>
  <c r="P102" i="1"/>
  <c r="R103" i="1"/>
  <c r="R115" i="1"/>
  <c r="R118" i="1" s="1"/>
  <c r="Q102" i="1"/>
  <c r="AK104" i="1"/>
  <c r="L102" i="1"/>
  <c r="AS104" i="1"/>
  <c r="M104" i="1" l="1"/>
  <c r="AO105" i="1"/>
  <c r="AQ105" i="1"/>
  <c r="AU105" i="1"/>
  <c r="S104" i="1"/>
  <c r="O104" i="1"/>
  <c r="AW105" i="1"/>
  <c r="T104" i="1"/>
  <c r="T106" i="1" s="1"/>
  <c r="R104" i="1"/>
  <c r="AS105" i="1"/>
  <c r="L104" i="1"/>
  <c r="AK105" i="1"/>
  <c r="AM105" i="1"/>
  <c r="T103" i="1"/>
  <c r="T115" i="1"/>
  <c r="T118" i="1" s="1"/>
  <c r="S103" i="1"/>
  <c r="S115" i="1"/>
  <c r="S118" i="1" s="1"/>
  <c r="P104" i="1"/>
  <c r="N115" i="1"/>
  <c r="N118" i="1" s="1"/>
  <c r="N104" i="1"/>
  <c r="L103" i="1"/>
  <c r="L115" i="1"/>
  <c r="L118" i="1" s="1"/>
  <c r="M103" i="1"/>
  <c r="M115" i="1"/>
  <c r="M118" i="1" s="1"/>
  <c r="Q103" i="1"/>
  <c r="Q115" i="1"/>
  <c r="Q118" i="1" s="1"/>
  <c r="O103" i="1"/>
  <c r="O115" i="1"/>
  <c r="O118" i="1" s="1"/>
  <c r="Q104" i="1"/>
  <c r="Q106" i="1" s="1"/>
  <c r="P103" i="1"/>
  <c r="P115" i="1"/>
  <c r="P118" i="1" s="1"/>
  <c r="R108" i="1" l="1"/>
  <c r="R109" i="1" s="1"/>
  <c r="R129" i="1" s="1"/>
  <c r="R106" i="1"/>
  <c r="N105" i="1"/>
  <c r="N106" i="1"/>
  <c r="P108" i="1"/>
  <c r="P109" i="1" s="1"/>
  <c r="P129" i="1" s="1"/>
  <c r="P106" i="1"/>
  <c r="S108" i="1"/>
  <c r="S109" i="1" s="1"/>
  <c r="S129" i="1" s="1"/>
  <c r="S106" i="1"/>
  <c r="L105" i="1"/>
  <c r="L106" i="1"/>
  <c r="O108" i="1"/>
  <c r="O109" i="1" s="1"/>
  <c r="O129" i="1" s="1"/>
  <c r="O106" i="1"/>
  <c r="M108" i="1"/>
  <c r="M109" i="1" s="1"/>
  <c r="M129" i="1" s="1"/>
  <c r="M106" i="1"/>
  <c r="M143" i="1"/>
  <c r="M147" i="1" s="1"/>
  <c r="L143" i="1"/>
  <c r="L147" i="1" s="1"/>
  <c r="T105" i="1"/>
  <c r="T108" i="1"/>
  <c r="T109" i="1" s="1"/>
  <c r="T129" i="1" s="1"/>
  <c r="P105" i="1"/>
  <c r="S105" i="1"/>
  <c r="L108" i="1"/>
  <c r="L109" i="1" s="1"/>
  <c r="L129" i="1" s="1"/>
  <c r="Q105" i="1"/>
  <c r="M105" i="1"/>
  <c r="R105" i="1"/>
  <c r="O105" i="1"/>
  <c r="AJ143" i="1"/>
  <c r="AJ147" i="1" s="1"/>
  <c r="Q108" i="1"/>
  <c r="N108" i="1"/>
  <c r="N109" i="1" s="1"/>
  <c r="N129" i="1" s="1"/>
  <c r="Q109" i="1" l="1"/>
  <c r="Q129" i="1" s="1"/>
  <c r="K8" i="1"/>
  <c r="K17" i="1" s="1"/>
  <c r="L8" i="1"/>
  <c r="M8" i="1"/>
  <c r="N8" i="1"/>
  <c r="O8" i="1"/>
  <c r="P8" i="1"/>
  <c r="Q8" i="1"/>
  <c r="R8" i="1"/>
  <c r="S17" i="1" s="1"/>
  <c r="K46" i="1"/>
  <c r="L46" i="1"/>
  <c r="M46" i="1"/>
  <c r="O46" i="1"/>
  <c r="P46" i="1"/>
  <c r="Q46" i="1"/>
  <c r="R46" i="1"/>
  <c r="N46" i="1"/>
  <c r="E129" i="1" l="1"/>
  <c r="T132" i="1" s="1"/>
  <c r="M53" i="1"/>
  <c r="O17" i="1"/>
  <c r="O53" i="1"/>
  <c r="P17" i="1"/>
  <c r="L53" i="1"/>
  <c r="R53" i="1"/>
  <c r="K53" i="1"/>
  <c r="Q53" i="1"/>
  <c r="M17" i="1"/>
  <c r="R17" i="1"/>
  <c r="N17" i="1"/>
  <c r="N53" i="1"/>
  <c r="Q17" i="1"/>
  <c r="P53" i="1"/>
  <c r="L17" i="1"/>
  <c r="P132" i="1" l="1"/>
  <c r="O134" i="1"/>
  <c r="N134" i="1"/>
  <c r="L133" i="1"/>
  <c r="S134" i="1"/>
  <c r="Q133" i="1"/>
  <c r="K133" i="1"/>
  <c r="P134" i="1"/>
  <c r="L132" i="1"/>
  <c r="R134" i="1"/>
  <c r="O133" i="1"/>
  <c r="N132" i="1"/>
  <c r="N133" i="1"/>
  <c r="T134" i="1"/>
  <c r="S133" i="1"/>
  <c r="P133" i="1"/>
  <c r="Q132" i="1"/>
  <c r="Q134" i="1"/>
  <c r="T133" i="1"/>
  <c r="O132" i="1"/>
  <c r="S132" i="1"/>
  <c r="L134" i="1"/>
  <c r="M134" i="1"/>
  <c r="M133" i="1"/>
  <c r="M132" i="1"/>
  <c r="R132" i="1"/>
  <c r="E130" i="1"/>
  <c r="K132" i="1"/>
  <c r="K134" i="1"/>
  <c r="R133" i="1"/>
  <c r="F130" i="1" l="1"/>
  <c r="C16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Peter Wilson</author>
  </authors>
  <commentList>
    <comment ref="J22" authorId="0" shapeId="0" xr:uid="{AB52FF65-CF6B-4ED8-B728-DF9A1D5D1F98}">
      <text>
        <r>
          <rPr>
            <b/>
            <sz val="9"/>
            <color indexed="81"/>
            <rFont val="Tahoma"/>
            <family val="2"/>
          </rPr>
          <t>Peter Wilson:</t>
        </r>
        <r>
          <rPr>
            <sz val="9"/>
            <color indexed="81"/>
            <rFont val="Tahoma"/>
            <family val="2"/>
          </rPr>
          <t xml:space="preserve">
From pie chart
</t>
        </r>
      </text>
    </comment>
    <comment ref="AE22" authorId="0" shapeId="0" xr:uid="{FED42E45-457D-4460-847E-4C7B8C1F8C6A}">
      <text>
        <r>
          <rPr>
            <b/>
            <sz val="9"/>
            <color indexed="81"/>
            <rFont val="Tahoma"/>
            <family val="2"/>
          </rPr>
          <t>Peter Wilson:</t>
        </r>
        <r>
          <rPr>
            <sz val="9"/>
            <color indexed="81"/>
            <rFont val="Tahoma"/>
            <family val="2"/>
          </rPr>
          <t xml:space="preserve">
From pie chart
</t>
        </r>
      </text>
    </comment>
    <comment ref="H27" authorId="0" shapeId="0" xr:uid="{5528F37D-FE65-48CA-8106-2B44F583ECAC}">
      <text>
        <r>
          <rPr>
            <b/>
            <sz val="9"/>
            <color indexed="81"/>
            <rFont val="Tahoma"/>
            <family val="2"/>
          </rPr>
          <t>Peter Wilson:</t>
        </r>
        <r>
          <rPr>
            <sz val="9"/>
            <color indexed="81"/>
            <rFont val="Tahoma"/>
            <family val="2"/>
          </rPr>
          <t xml:space="preserve">
FY22 preso confirme $8.1bn in </t>
        </r>
      </text>
    </comment>
    <comment ref="AM103" authorId="0" shapeId="0" xr:uid="{47208627-C780-47AA-9973-28E2BAFC8B72}">
      <text>
        <r>
          <rPr>
            <b/>
            <sz val="9"/>
            <color indexed="81"/>
            <rFont val="Tahoma"/>
            <family val="2"/>
          </rPr>
          <t>Peter Wilson:</t>
        </r>
        <r>
          <rPr>
            <sz val="9"/>
            <color indexed="81"/>
            <rFont val="Tahoma"/>
            <family val="2"/>
          </rPr>
          <t xml:space="preserve">
Assume some increase, as Vietnam enforces global minimum
</t>
        </r>
      </text>
    </comment>
    <comment ref="K128" authorId="0" shapeId="0" xr:uid="{CA964A20-8FB7-480F-8774-C8D8EC851B7C}">
      <text>
        <r>
          <rPr>
            <b/>
            <sz val="9"/>
            <color indexed="81"/>
            <rFont val="Tahoma"/>
            <family val="2"/>
          </rPr>
          <t>Peter Wilson:</t>
        </r>
        <r>
          <rPr>
            <sz val="9"/>
            <color indexed="81"/>
            <rFont val="Tahoma"/>
            <family val="2"/>
          </rPr>
          <t xml:space="preserve">
10% mkt Ke
</t>
        </r>
      </text>
    </comment>
    <comment ref="B136" authorId="0" shapeId="0" xr:uid="{C849B4A3-19DC-4430-9FAA-CECEE1780717}">
      <text>
        <r>
          <rPr>
            <b/>
            <sz val="9"/>
            <color indexed="81"/>
            <rFont val="Tahoma"/>
            <family val="2"/>
          </rPr>
          <t>Peter Wilson:</t>
        </r>
        <r>
          <rPr>
            <sz val="9"/>
            <color indexed="81"/>
            <rFont val="Tahoma"/>
            <family val="2"/>
          </rPr>
          <t xml:space="preserve">
Simplywallst, or Yahoo
https://finance.yahoo.com/quote/HEM.ST/analysis/</t>
        </r>
      </text>
    </comment>
    <comment ref="C152" authorId="0" shapeId="0" xr:uid="{F2F42700-1541-45DB-BEDC-EEF072BDF386}">
      <text>
        <r>
          <rPr>
            <b/>
            <sz val="9"/>
            <color indexed="81"/>
            <rFont val="Tahoma"/>
            <family val="2"/>
          </rPr>
          <t>Peter Wilson:</t>
        </r>
        <r>
          <rPr>
            <sz val="9"/>
            <color indexed="81"/>
            <rFont val="Tahoma"/>
            <family val="2"/>
          </rPr>
          <t xml:space="preserve">
&gt;15%</t>
        </r>
      </text>
    </comment>
    <comment ref="C153" authorId="0" shapeId="0" xr:uid="{BAF77063-3EEA-41A9-BBB0-97C7E9C1C87F}">
      <text>
        <r>
          <rPr>
            <b/>
            <sz val="9"/>
            <color indexed="81"/>
            <rFont val="Tahoma"/>
            <family val="2"/>
          </rPr>
          <t>Peter Wilson:</t>
        </r>
        <r>
          <rPr>
            <sz val="9"/>
            <color indexed="81"/>
            <rFont val="Tahoma"/>
            <family val="2"/>
          </rPr>
          <t xml:space="preserve">
&gt;15%</t>
        </r>
      </text>
    </comment>
    <comment ref="C154" authorId="0" shapeId="0" xr:uid="{28C4D81C-F8AA-4D10-8BF1-BC4734F0EFEB}">
      <text>
        <r>
          <rPr>
            <b/>
            <sz val="9"/>
            <color indexed="81"/>
            <rFont val="Tahoma"/>
            <family val="2"/>
          </rPr>
          <t>Peter Wilson:</t>
        </r>
        <r>
          <rPr>
            <sz val="9"/>
            <color indexed="81"/>
            <rFont val="Tahoma"/>
            <family val="2"/>
          </rPr>
          <t xml:space="preserve">
&gt;85%</t>
        </r>
      </text>
    </comment>
  </commentList>
</comments>
</file>

<file path=xl/sharedStrings.xml><?xml version="1.0" encoding="utf-8"?>
<sst xmlns="http://schemas.openxmlformats.org/spreadsheetml/2006/main" count="165" uniqueCount="108">
  <si>
    <t>Item</t>
  </si>
  <si>
    <t>Revenue</t>
  </si>
  <si>
    <t>Units</t>
  </si>
  <si>
    <t>Default units</t>
  </si>
  <si>
    <t>FY-5</t>
  </si>
  <si>
    <t>FY-4</t>
  </si>
  <si>
    <t>FY-3</t>
  </si>
  <si>
    <t>FY-2</t>
  </si>
  <si>
    <t>FY-1</t>
  </si>
  <si>
    <t>FY1</t>
  </si>
  <si>
    <t>FY2</t>
  </si>
  <si>
    <t>FY3</t>
  </si>
  <si>
    <t>FY4</t>
  </si>
  <si>
    <t>FY5</t>
  </si>
  <si>
    <t>FY end</t>
  </si>
  <si>
    <t>June</t>
  </si>
  <si>
    <t>Other</t>
  </si>
  <si>
    <t>EBITDA</t>
  </si>
  <si>
    <t>Operating Costs</t>
  </si>
  <si>
    <t>Gross Profit</t>
  </si>
  <si>
    <t>EBIT</t>
  </si>
  <si>
    <t>Net Interest</t>
  </si>
  <si>
    <t>PBT</t>
  </si>
  <si>
    <t>Income Tax</t>
  </si>
  <si>
    <t>Income tax rate</t>
  </si>
  <si>
    <t>NPAT</t>
  </si>
  <si>
    <t>EPS</t>
  </si>
  <si>
    <t>DPS</t>
  </si>
  <si>
    <t>Payout ratio</t>
  </si>
  <si>
    <t>Weighted avg diluted shares</t>
  </si>
  <si>
    <t>Outstanding shares</t>
  </si>
  <si>
    <t>% of sales</t>
  </si>
  <si>
    <t>CFO</t>
  </si>
  <si>
    <t>Conversion</t>
  </si>
  <si>
    <t>Net Debt</t>
  </si>
  <si>
    <t>FCF before Divs/buybacks</t>
  </si>
  <si>
    <t>Growth</t>
  </si>
  <si>
    <t>Workings- Revenue</t>
  </si>
  <si>
    <t>Gross Margin</t>
  </si>
  <si>
    <t>Workings- Opex</t>
  </si>
  <si>
    <t>EBITDA margin</t>
  </si>
  <si>
    <t>EBIT margin</t>
  </si>
  <si>
    <t>Equity Beta</t>
  </si>
  <si>
    <t>LT payout ratio</t>
  </si>
  <si>
    <t>Terminal growth</t>
  </si>
  <si>
    <t>ROE</t>
  </si>
  <si>
    <t>Discount</t>
  </si>
  <si>
    <t>DDM Value</t>
  </si>
  <si>
    <t>DDM Valuation</t>
  </si>
  <si>
    <t>Implied PE</t>
  </si>
  <si>
    <t>Implied EV/EBITDA</t>
  </si>
  <si>
    <t>FY6</t>
  </si>
  <si>
    <t>FY7</t>
  </si>
  <si>
    <t>FY8</t>
  </si>
  <si>
    <t>FY9</t>
  </si>
  <si>
    <t>Last price</t>
  </si>
  <si>
    <t xml:space="preserve">Consensus </t>
  </si>
  <si>
    <t>PW forecast</t>
  </si>
  <si>
    <t>PW vs Consensus</t>
  </si>
  <si>
    <t>https://companiesmarketcap.com/aud/hemnet-group-ab/pe-ratio/</t>
  </si>
  <si>
    <t>https://stockanalysis.com/quote/sto/HEM/financials/ratios/</t>
  </si>
  <si>
    <t>Source/notes</t>
  </si>
  <si>
    <t>10Q</t>
  </si>
  <si>
    <t>D&amp;A &amp; Stock based Comp</t>
  </si>
  <si>
    <t>Implied EV/Sales</t>
  </si>
  <si>
    <t>US$/sh</t>
  </si>
  <si>
    <t>Guidance</t>
  </si>
  <si>
    <t>LT taget</t>
  </si>
  <si>
    <t>MS</t>
  </si>
  <si>
    <t>GS</t>
  </si>
  <si>
    <t>USDm</t>
  </si>
  <si>
    <t>Power equipment</t>
  </si>
  <si>
    <t>Floor care</t>
  </si>
  <si>
    <t>Milwaukee Tools</t>
  </si>
  <si>
    <t>Ryobi</t>
  </si>
  <si>
    <t>Growth rates</t>
  </si>
  <si>
    <t>Share of Total revenue</t>
  </si>
  <si>
    <t>FY0</t>
  </si>
  <si>
    <t>FY10</t>
  </si>
  <si>
    <t>CFI ex acquisitions/sales</t>
  </si>
  <si>
    <t>Other Power tools</t>
  </si>
  <si>
    <t xml:space="preserve">Total Power Tools </t>
  </si>
  <si>
    <t>FY24</t>
  </si>
  <si>
    <t>1H25</t>
  </si>
  <si>
    <t>HKD/sh</t>
  </si>
  <si>
    <t>Ke</t>
  </si>
  <si>
    <t>Strong US 2026</t>
  </si>
  <si>
    <t>NPAT margin</t>
  </si>
  <si>
    <t>Ticker</t>
  </si>
  <si>
    <t>Value ($/sh)</t>
  </si>
  <si>
    <t>KPI</t>
  </si>
  <si>
    <t>Quality Score (1-5)</t>
  </si>
  <si>
    <t>HKG:0669</t>
  </si>
  <si>
    <t>Portfolio Import</t>
  </si>
  <si>
    <t>Factor</t>
  </si>
  <si>
    <t>Score (0,1)</t>
  </si>
  <si>
    <t>Alignment</t>
  </si>
  <si>
    <t>Moat</t>
  </si>
  <si>
    <t>ROIC</t>
  </si>
  <si>
    <t>Margin</t>
  </si>
  <si>
    <t>Quality</t>
  </si>
  <si>
    <t>CF conversion</t>
  </si>
  <si>
    <t>Notes</t>
  </si>
  <si>
    <t>Founder ownership</t>
  </si>
  <si>
    <t xml:space="preserve">#1. </t>
  </si>
  <si>
    <t>Next catalyst</t>
  </si>
  <si>
    <t>HD 4Q25</t>
  </si>
  <si>
    <t>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</si>
</sst>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%"/>
    <numFmt numFmtId="166" formatCode="d/mm/yy;@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sz val="11"/>
      <color rgb="FFC00000"/>
      <name val="Calibri"/>
      <family val="2"/>
    </font>
    <font>
      <b/>
      <sz val="11"/>
      <color theme="1"/>
      <name val="Calibri"/>
      <family val="2"/>
    </font>
    <font>
      <b/>
      <sz val="11"/>
      <color theme="7" tint="-0.249977111117893"/>
      <name val="Calibri"/>
      <family val="2"/>
    </font>
    <font>
      <sz val="11"/>
      <color theme="7" tint="-0.249977111117893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b/>
      <u/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</font>
    <font>
      <sz val="11"/>
      <color theme="0" tint="-0.14999847407452621"/>
      <name val="Calibri"/>
      <family val="2"/>
    </font>
    <font>
      <b/>
      <sz val="11"/>
      <color rgb="FFC00000"/>
      <name val="Calibri"/>
      <family val="2"/>
    </font>
    <font>
      <sz val="11"/>
      <color rgb="FF0070C0"/>
      <name val="Calibri"/>
      <family val="2"/>
    </font>
    <font>
      <b/>
      <sz val="11"/>
      <color rgb="FF0070C0"/>
      <name val="Calibri"/>
      <family val="2"/>
    </font>
    <font>
      <i/>
      <sz val="11"/>
      <color rgb="FF0070C0"/>
      <name val="Calibri"/>
      <family val="2"/>
    </font>
    <font>
      <b/>
      <sz val="11"/>
      <color theme="0" tint="-0.14999847407452621"/>
      <name val="Calibri"/>
      <family val="2"/>
    </font>
    <font>
      <u/>
      <sz val="11"/>
      <color theme="1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1" fillId="0" borderId="0" applyNumberFormat="0" applyFill="0" applyBorder="0" applyAlignment="0" applyProtection="0"/>
  </cellStyleXfs>
  <cellXfs count="198">
    <xf numFmtId="0" fontId="0" fillId="0" borderId="0" xfId="0"/>
    <xf numFmtId="3" fontId="3" fillId="0" borderId="0" xfId="0" applyNumberFormat="1" applyFont="1"/>
    <xf numFmtId="3" fontId="3" fillId="2" borderId="0" xfId="0" applyNumberFormat="1" applyFont="1" applyFill="1"/>
    <xf numFmtId="3" fontId="5" fillId="3" borderId="1" xfId="0" applyNumberFormat="1" applyFont="1" applyFill="1" applyBorder="1"/>
    <xf numFmtId="3" fontId="6" fillId="3" borderId="1" xfId="0" applyNumberFormat="1" applyFont="1" applyFill="1" applyBorder="1"/>
    <xf numFmtId="3" fontId="7" fillId="2" borderId="0" xfId="0" applyNumberFormat="1" applyFont="1" applyFill="1"/>
    <xf numFmtId="3" fontId="3" fillId="4" borderId="0" xfId="0" applyNumberFormat="1" applyFont="1" applyFill="1"/>
    <xf numFmtId="9" fontId="3" fillId="0" borderId="0" xfId="1" applyFont="1"/>
    <xf numFmtId="164" fontId="7" fillId="2" borderId="0" xfId="0" applyNumberFormat="1" applyFont="1" applyFill="1"/>
    <xf numFmtId="3" fontId="9" fillId="3" borderId="1" xfId="0" applyNumberFormat="1" applyFont="1" applyFill="1" applyBorder="1"/>
    <xf numFmtId="3" fontId="3" fillId="2" borderId="2" xfId="0" applyNumberFormat="1" applyFont="1" applyFill="1" applyBorder="1"/>
    <xf numFmtId="3" fontId="7" fillId="2" borderId="2" xfId="0" applyNumberFormat="1" applyFont="1" applyFill="1" applyBorder="1"/>
    <xf numFmtId="3" fontId="3" fillId="3" borderId="0" xfId="0" applyNumberFormat="1" applyFont="1" applyFill="1"/>
    <xf numFmtId="3" fontId="4" fillId="3" borderId="0" xfId="0" applyNumberFormat="1" applyFont="1" applyFill="1"/>
    <xf numFmtId="165" fontId="3" fillId="3" borderId="0" xfId="1" applyNumberFormat="1" applyFont="1" applyFill="1"/>
    <xf numFmtId="165" fontId="4" fillId="3" borderId="0" xfId="1" applyNumberFormat="1" applyFont="1" applyFill="1"/>
    <xf numFmtId="9" fontId="3" fillId="3" borderId="0" xfId="1" applyFont="1" applyFill="1"/>
    <xf numFmtId="164" fontId="3" fillId="3" borderId="0" xfId="0" applyNumberFormat="1" applyFont="1" applyFill="1"/>
    <xf numFmtId="9" fontId="4" fillId="3" borderId="0" xfId="1" applyFont="1" applyFill="1"/>
    <xf numFmtId="9" fontId="10" fillId="3" borderId="0" xfId="1" applyFont="1" applyFill="1"/>
    <xf numFmtId="9" fontId="10" fillId="3" borderId="0" xfId="1" applyFont="1" applyFill="1" applyBorder="1"/>
    <xf numFmtId="9" fontId="10" fillId="0" borderId="0" xfId="1" applyFont="1"/>
    <xf numFmtId="3" fontId="5" fillId="3" borderId="0" xfId="0" applyNumberFormat="1" applyFont="1" applyFill="1"/>
    <xf numFmtId="3" fontId="3" fillId="5" borderId="0" xfId="0" applyNumberFormat="1" applyFont="1" applyFill="1"/>
    <xf numFmtId="3" fontId="8" fillId="5" borderId="0" xfId="0" applyNumberFormat="1" applyFont="1" applyFill="1"/>
    <xf numFmtId="3" fontId="3" fillId="3" borderId="0" xfId="0" applyNumberFormat="1" applyFont="1" applyFill="1" applyAlignment="1">
      <alignment wrapText="1"/>
    </xf>
    <xf numFmtId="3" fontId="3" fillId="2" borderId="0" xfId="0" applyNumberFormat="1" applyFont="1" applyFill="1" applyAlignment="1">
      <alignment wrapText="1"/>
    </xf>
    <xf numFmtId="3" fontId="5" fillId="3" borderId="1" xfId="0" applyNumberFormat="1" applyFont="1" applyFill="1" applyBorder="1" applyAlignment="1">
      <alignment wrapText="1"/>
    </xf>
    <xf numFmtId="3" fontId="11" fillId="5" borderId="0" xfId="0" applyNumberFormat="1" applyFont="1" applyFill="1" applyAlignment="1">
      <alignment wrapText="1"/>
    </xf>
    <xf numFmtId="3" fontId="3" fillId="0" borderId="0" xfId="0" applyNumberFormat="1" applyFont="1" applyAlignment="1">
      <alignment wrapText="1"/>
    </xf>
    <xf numFmtId="3" fontId="3" fillId="2" borderId="2" xfId="0" applyNumberFormat="1" applyFont="1" applyFill="1" applyBorder="1" applyAlignment="1">
      <alignment wrapText="1"/>
    </xf>
    <xf numFmtId="3" fontId="8" fillId="4" borderId="0" xfId="0" applyNumberFormat="1" applyFont="1" applyFill="1"/>
    <xf numFmtId="3" fontId="5" fillId="3" borderId="0" xfId="0" applyNumberFormat="1" applyFont="1" applyFill="1" applyAlignment="1">
      <alignment wrapText="1"/>
    </xf>
    <xf numFmtId="9" fontId="10" fillId="3" borderId="0" xfId="1" applyFont="1" applyFill="1" applyBorder="1" applyAlignment="1">
      <alignment horizontal="left" wrapText="1" indent="1"/>
    </xf>
    <xf numFmtId="3" fontId="3" fillId="3" borderId="0" xfId="0" applyNumberFormat="1" applyFont="1" applyFill="1" applyAlignment="1">
      <alignment horizontal="left" wrapText="1" indent="1"/>
    </xf>
    <xf numFmtId="3" fontId="3" fillId="0" borderId="0" xfId="0" applyNumberFormat="1" applyFont="1" applyAlignment="1">
      <alignment horizontal="left" wrapText="1" indent="1"/>
    </xf>
    <xf numFmtId="3" fontId="5" fillId="2" borderId="0" xfId="0" applyNumberFormat="1" applyFont="1" applyFill="1" applyAlignment="1">
      <alignment wrapText="1"/>
    </xf>
    <xf numFmtId="3" fontId="5" fillId="2" borderId="0" xfId="0" applyNumberFormat="1" applyFont="1" applyFill="1"/>
    <xf numFmtId="3" fontId="6" fillId="2" borderId="0" xfId="0" applyNumberFormat="1" applyFont="1" applyFill="1"/>
    <xf numFmtId="3" fontId="5" fillId="4" borderId="0" xfId="0" applyNumberFormat="1" applyFont="1" applyFill="1"/>
    <xf numFmtId="3" fontId="5" fillId="0" borderId="0" xfId="0" applyNumberFormat="1" applyFont="1"/>
    <xf numFmtId="3" fontId="5" fillId="2" borderId="3" xfId="0" applyNumberFormat="1" applyFont="1" applyFill="1" applyBorder="1" applyAlignment="1">
      <alignment wrapText="1"/>
    </xf>
    <xf numFmtId="3" fontId="5" fillId="2" borderId="3" xfId="0" applyNumberFormat="1" applyFont="1" applyFill="1" applyBorder="1"/>
    <xf numFmtId="3" fontId="6" fillId="2" borderId="3" xfId="0" applyNumberFormat="1" applyFont="1" applyFill="1" applyBorder="1"/>
    <xf numFmtId="3" fontId="5" fillId="4" borderId="3" xfId="0" applyNumberFormat="1" applyFont="1" applyFill="1" applyBorder="1"/>
    <xf numFmtId="3" fontId="14" fillId="6" borderId="0" xfId="0" applyNumberFormat="1" applyFont="1" applyFill="1" applyAlignment="1">
      <alignment wrapText="1"/>
    </xf>
    <xf numFmtId="3" fontId="14" fillId="6" borderId="0" xfId="0" applyNumberFormat="1" applyFont="1" applyFill="1"/>
    <xf numFmtId="0" fontId="14" fillId="6" borderId="0" xfId="0" applyFont="1" applyFill="1"/>
    <xf numFmtId="3" fontId="14" fillId="3" borderId="0" xfId="0" applyNumberFormat="1" applyFont="1" applyFill="1"/>
    <xf numFmtId="164" fontId="4" fillId="3" borderId="0" xfId="0" applyNumberFormat="1" applyFont="1" applyFill="1"/>
    <xf numFmtId="3" fontId="11" fillId="3" borderId="0" xfId="0" applyNumberFormat="1" applyFont="1" applyFill="1" applyAlignment="1">
      <alignment wrapText="1"/>
    </xf>
    <xf numFmtId="3" fontId="5" fillId="3" borderId="3" xfId="0" applyNumberFormat="1" applyFont="1" applyFill="1" applyBorder="1" applyAlignment="1">
      <alignment wrapText="1"/>
    </xf>
    <xf numFmtId="9" fontId="5" fillId="3" borderId="3" xfId="1" applyFont="1" applyFill="1" applyBorder="1"/>
    <xf numFmtId="164" fontId="5" fillId="3" borderId="3" xfId="0" applyNumberFormat="1" applyFont="1" applyFill="1" applyBorder="1"/>
    <xf numFmtId="9" fontId="5" fillId="3" borderId="0" xfId="1" applyFont="1" applyFill="1" applyBorder="1"/>
    <xf numFmtId="164" fontId="16" fillId="3" borderId="0" xfId="0" applyNumberFormat="1" applyFont="1" applyFill="1"/>
    <xf numFmtId="3" fontId="11" fillId="2" borderId="0" xfId="0" applyNumberFormat="1" applyFont="1" applyFill="1" applyAlignment="1">
      <alignment wrapText="1"/>
    </xf>
    <xf numFmtId="3" fontId="11" fillId="4" borderId="0" xfId="0" applyNumberFormat="1" applyFont="1" applyFill="1" applyAlignment="1">
      <alignment wrapText="1"/>
    </xf>
    <xf numFmtId="3" fontId="3" fillId="4" borderId="0" xfId="0" applyNumberFormat="1" applyFont="1" applyFill="1" applyAlignment="1">
      <alignment wrapText="1"/>
    </xf>
    <xf numFmtId="3" fontId="11" fillId="7" borderId="0" xfId="0" applyNumberFormat="1" applyFont="1" applyFill="1" applyAlignment="1">
      <alignment wrapText="1"/>
    </xf>
    <xf numFmtId="3" fontId="3" fillId="7" borderId="0" xfId="0" applyNumberFormat="1" applyFont="1" applyFill="1"/>
    <xf numFmtId="3" fontId="3" fillId="7" borderId="0" xfId="0" applyNumberFormat="1" applyFont="1" applyFill="1" applyAlignment="1">
      <alignment wrapText="1"/>
    </xf>
    <xf numFmtId="9" fontId="3" fillId="7" borderId="0" xfId="1" applyFont="1" applyFill="1"/>
    <xf numFmtId="3" fontId="8" fillId="5" borderId="0" xfId="0" applyNumberFormat="1" applyFont="1" applyFill="1" applyAlignment="1">
      <alignment wrapText="1"/>
    </xf>
    <xf numFmtId="164" fontId="8" fillId="5" borderId="0" xfId="0" applyNumberFormat="1" applyFont="1" applyFill="1" applyAlignment="1">
      <alignment wrapText="1"/>
    </xf>
    <xf numFmtId="164" fontId="8" fillId="5" borderId="0" xfId="0" applyNumberFormat="1" applyFont="1" applyFill="1"/>
    <xf numFmtId="3" fontId="8" fillId="2" borderId="0" xfId="0" applyNumberFormat="1" applyFont="1" applyFill="1"/>
    <xf numFmtId="164" fontId="7" fillId="5" borderId="0" xfId="0" applyNumberFormat="1" applyFont="1" applyFill="1"/>
    <xf numFmtId="164" fontId="8" fillId="5" borderId="0" xfId="1" applyNumberFormat="1" applyFont="1" applyFill="1" applyBorder="1" applyAlignment="1">
      <alignment horizontal="left" wrapText="1"/>
    </xf>
    <xf numFmtId="164" fontId="8" fillId="5" borderId="0" xfId="1" applyNumberFormat="1" applyFont="1" applyFill="1" applyBorder="1"/>
    <xf numFmtId="9" fontId="8" fillId="3" borderId="0" xfId="1" applyFont="1" applyFill="1"/>
    <xf numFmtId="9" fontId="10" fillId="3" borderId="0" xfId="1" applyFont="1" applyFill="1" applyBorder="1" applyAlignment="1">
      <alignment horizontal="left" wrapText="1" indent="2"/>
    </xf>
    <xf numFmtId="3" fontId="17" fillId="3" borderId="0" xfId="0" applyNumberFormat="1" applyFont="1" applyFill="1"/>
    <xf numFmtId="3" fontId="18" fillId="6" borderId="0" xfId="0" applyNumberFormat="1" applyFont="1" applyFill="1"/>
    <xf numFmtId="0" fontId="18" fillId="6" borderId="0" xfId="0" applyFont="1" applyFill="1"/>
    <xf numFmtId="3" fontId="17" fillId="4" borderId="0" xfId="0" applyNumberFormat="1" applyFont="1" applyFill="1"/>
    <xf numFmtId="3" fontId="18" fillId="3" borderId="1" xfId="0" applyNumberFormat="1" applyFont="1" applyFill="1" applyBorder="1"/>
    <xf numFmtId="9" fontId="19" fillId="3" borderId="0" xfId="1" applyFont="1" applyFill="1" applyBorder="1"/>
    <xf numFmtId="3" fontId="17" fillId="5" borderId="0" xfId="0" applyNumberFormat="1" applyFont="1" applyFill="1"/>
    <xf numFmtId="164" fontId="17" fillId="5" borderId="0" xfId="0" applyNumberFormat="1" applyFont="1" applyFill="1"/>
    <xf numFmtId="164" fontId="17" fillId="5" borderId="0" xfId="1" applyNumberFormat="1" applyFont="1" applyFill="1" applyBorder="1"/>
    <xf numFmtId="165" fontId="17" fillId="3" borderId="0" xfId="1" applyNumberFormat="1" applyFont="1" applyFill="1"/>
    <xf numFmtId="3" fontId="18" fillId="4" borderId="0" xfId="0" applyNumberFormat="1" applyFont="1" applyFill="1"/>
    <xf numFmtId="9" fontId="17" fillId="3" borderId="0" xfId="1" applyFont="1" applyFill="1"/>
    <xf numFmtId="3" fontId="18" fillId="4" borderId="3" xfId="0" applyNumberFormat="1" applyFont="1" applyFill="1" applyBorder="1"/>
    <xf numFmtId="164" fontId="17" fillId="3" borderId="0" xfId="0" applyNumberFormat="1" applyFont="1" applyFill="1"/>
    <xf numFmtId="164" fontId="17" fillId="4" borderId="0" xfId="0" applyNumberFormat="1" applyFont="1" applyFill="1"/>
    <xf numFmtId="9" fontId="17" fillId="0" borderId="0" xfId="1" applyFont="1"/>
    <xf numFmtId="3" fontId="17" fillId="4" borderId="2" xfId="0" applyNumberFormat="1" applyFont="1" applyFill="1" applyBorder="1"/>
    <xf numFmtId="3" fontId="17" fillId="0" borderId="0" xfId="0" applyNumberFormat="1" applyFont="1"/>
    <xf numFmtId="4" fontId="17" fillId="3" borderId="0" xfId="0" applyNumberFormat="1" applyFont="1" applyFill="1"/>
    <xf numFmtId="164" fontId="17" fillId="3" borderId="3" xfId="0" applyNumberFormat="1" applyFont="1" applyFill="1" applyBorder="1"/>
    <xf numFmtId="3" fontId="17" fillId="2" borderId="0" xfId="0" applyNumberFormat="1" applyFont="1" applyFill="1"/>
    <xf numFmtId="3" fontId="17" fillId="7" borderId="0" xfId="0" applyNumberFormat="1" applyFont="1" applyFill="1"/>
    <xf numFmtId="165" fontId="17" fillId="7" borderId="0" xfId="1" applyNumberFormat="1" applyFont="1" applyFill="1"/>
    <xf numFmtId="3" fontId="16" fillId="4" borderId="0" xfId="0" applyNumberFormat="1" applyFont="1" applyFill="1"/>
    <xf numFmtId="164" fontId="5" fillId="3" borderId="0" xfId="0" applyNumberFormat="1" applyFont="1" applyFill="1"/>
    <xf numFmtId="3" fontId="8" fillId="3" borderId="0" xfId="0" applyNumberFormat="1" applyFont="1" applyFill="1"/>
    <xf numFmtId="3" fontId="10" fillId="5" borderId="0" xfId="1" applyNumberFormat="1" applyFont="1" applyFill="1" applyBorder="1" applyAlignment="1">
      <alignment horizontal="left" wrapText="1"/>
    </xf>
    <xf numFmtId="3" fontId="10" fillId="5" borderId="0" xfId="1" applyNumberFormat="1" applyFont="1" applyFill="1" applyBorder="1"/>
    <xf numFmtId="3" fontId="8" fillId="5" borderId="0" xfId="1" applyNumberFormat="1" applyFont="1" applyFill="1"/>
    <xf numFmtId="3" fontId="10" fillId="3" borderId="0" xfId="1" applyNumberFormat="1" applyFont="1" applyFill="1"/>
    <xf numFmtId="3" fontId="10" fillId="0" borderId="0" xfId="1" applyNumberFormat="1" applyFont="1"/>
    <xf numFmtId="9" fontId="17" fillId="5" borderId="0" xfId="1" applyFont="1" applyFill="1" applyBorder="1"/>
    <xf numFmtId="9" fontId="8" fillId="5" borderId="0" xfId="1" applyFont="1" applyFill="1" applyBorder="1"/>
    <xf numFmtId="9" fontId="17" fillId="5" borderId="0" xfId="1" applyFont="1" applyFill="1"/>
    <xf numFmtId="9" fontId="8" fillId="5" borderId="0" xfId="1" applyFont="1" applyFill="1"/>
    <xf numFmtId="9" fontId="7" fillId="5" borderId="0" xfId="1" applyFont="1" applyFill="1"/>
    <xf numFmtId="164" fontId="9" fillId="5" borderId="0" xfId="1" applyNumberFormat="1" applyFont="1" applyFill="1" applyBorder="1" applyAlignment="1">
      <alignment horizontal="left" wrapText="1"/>
    </xf>
    <xf numFmtId="3" fontId="8" fillId="5" borderId="0" xfId="1" applyNumberFormat="1" applyFont="1" applyFill="1" applyBorder="1"/>
    <xf numFmtId="4" fontId="8" fillId="5" borderId="0" xfId="1" applyNumberFormat="1" applyFont="1" applyFill="1" applyBorder="1"/>
    <xf numFmtId="9" fontId="4" fillId="5" borderId="0" xfId="1" applyFont="1" applyFill="1"/>
    <xf numFmtId="164" fontId="8" fillId="5" borderId="2" xfId="1" applyNumberFormat="1" applyFont="1" applyFill="1" applyBorder="1" applyAlignment="1">
      <alignment horizontal="left" wrapText="1"/>
    </xf>
    <xf numFmtId="164" fontId="8" fillId="5" borderId="2" xfId="1" applyNumberFormat="1" applyFont="1" applyFill="1" applyBorder="1"/>
    <xf numFmtId="3" fontId="8" fillId="5" borderId="2" xfId="1" applyNumberFormat="1" applyFont="1" applyFill="1" applyBorder="1"/>
    <xf numFmtId="164" fontId="17" fillId="5" borderId="2" xfId="1" applyNumberFormat="1" applyFont="1" applyFill="1" applyBorder="1"/>
    <xf numFmtId="9" fontId="8" fillId="3" borderId="2" xfId="1" applyFont="1" applyFill="1" applyBorder="1"/>
    <xf numFmtId="9" fontId="16" fillId="5" borderId="0" xfId="1" applyFont="1" applyFill="1"/>
    <xf numFmtId="3" fontId="21" fillId="0" borderId="0" xfId="2" applyNumberFormat="1" applyAlignment="1">
      <alignment wrapText="1"/>
    </xf>
    <xf numFmtId="9" fontId="16" fillId="3" borderId="0" xfId="1" applyFont="1" applyFill="1"/>
    <xf numFmtId="3" fontId="3" fillId="5" borderId="0" xfId="0" applyNumberFormat="1" applyFont="1" applyFill="1" applyAlignment="1">
      <alignment wrapText="1"/>
    </xf>
    <xf numFmtId="3" fontId="4" fillId="5" borderId="0" xfId="0" applyNumberFormat="1" applyFont="1" applyFill="1" applyAlignment="1">
      <alignment horizontal="left"/>
    </xf>
    <xf numFmtId="165" fontId="4" fillId="5" borderId="0" xfId="1" applyNumberFormat="1" applyFont="1" applyFill="1" applyAlignment="1">
      <alignment horizontal="left"/>
    </xf>
    <xf numFmtId="4" fontId="4" fillId="5" borderId="0" xfId="0" applyNumberFormat="1" applyFont="1" applyFill="1" applyAlignment="1">
      <alignment horizontal="left"/>
    </xf>
    <xf numFmtId="165" fontId="17" fillId="0" borderId="0" xfId="1" applyNumberFormat="1" applyFont="1" applyFill="1"/>
    <xf numFmtId="9" fontId="3" fillId="0" borderId="0" xfId="1" applyFont="1" applyFill="1"/>
    <xf numFmtId="0" fontId="22" fillId="9" borderId="0" xfId="0" applyFont="1" applyFill="1"/>
    <xf numFmtId="0" fontId="22" fillId="9" borderId="0" xfId="0" applyFont="1" applyFill="1" applyAlignment="1">
      <alignment horizontal="right"/>
    </xf>
    <xf numFmtId="0" fontId="0" fillId="10" borderId="0" xfId="0" applyFill="1"/>
    <xf numFmtId="0" fontId="0" fillId="10" borderId="0" xfId="0" applyFill="1" applyAlignment="1">
      <alignment horizontal="right"/>
    </xf>
    <xf numFmtId="0" fontId="0" fillId="10" borderId="2" xfId="0" applyFill="1" applyBorder="1"/>
    <xf numFmtId="0" fontId="0" fillId="10" borderId="2" xfId="0" applyFill="1" applyBorder="1" applyAlignment="1">
      <alignment horizontal="right"/>
    </xf>
    <xf numFmtId="0" fontId="23" fillId="10" borderId="0" xfId="0" applyFont="1" applyFill="1"/>
    <xf numFmtId="0" fontId="23" fillId="10" borderId="0" xfId="0" applyFont="1" applyFill="1" applyAlignment="1">
      <alignment horizontal="right"/>
    </xf>
    <xf numFmtId="3" fontId="3" fillId="3" borderId="0" xfId="0" applyNumberFormat="1" applyFont="1" applyFill="1" applyAlignment="1">
      <alignment horizontal="right"/>
    </xf>
    <xf numFmtId="3" fontId="14" fillId="6" borderId="0" xfId="0" applyNumberFormat="1" applyFont="1" applyFill="1" applyAlignment="1">
      <alignment horizontal="right"/>
    </xf>
    <xf numFmtId="3" fontId="14" fillId="3" borderId="0" xfId="0" applyNumberFormat="1" applyFont="1" applyFill="1" applyAlignment="1">
      <alignment horizontal="right"/>
    </xf>
    <xf numFmtId="0" fontId="14" fillId="6" borderId="0" xfId="0" applyFont="1" applyFill="1" applyAlignment="1">
      <alignment horizontal="right"/>
    </xf>
    <xf numFmtId="0" fontId="14" fillId="3" borderId="0" xfId="0" applyFont="1" applyFill="1" applyAlignment="1">
      <alignment horizontal="right"/>
    </xf>
    <xf numFmtId="3" fontId="7" fillId="2" borderId="0" xfId="0" applyNumberFormat="1" applyFont="1" applyFill="1" applyAlignment="1">
      <alignment horizontal="right"/>
    </xf>
    <xf numFmtId="3" fontId="3" fillId="4" borderId="0" xfId="0" applyNumberFormat="1" applyFont="1" applyFill="1" applyAlignment="1">
      <alignment horizontal="right"/>
    </xf>
    <xf numFmtId="3" fontId="8" fillId="2" borderId="0" xfId="0" applyNumberFormat="1" applyFont="1" applyFill="1" applyAlignment="1">
      <alignment horizontal="right"/>
    </xf>
    <xf numFmtId="3" fontId="3" fillId="2" borderId="0" xfId="0" applyNumberFormat="1" applyFont="1" applyFill="1" applyAlignment="1">
      <alignment horizontal="right"/>
    </xf>
    <xf numFmtId="3" fontId="6" fillId="3" borderId="1" xfId="0" applyNumberFormat="1" applyFont="1" applyFill="1" applyBorder="1" applyAlignment="1">
      <alignment horizontal="right"/>
    </xf>
    <xf numFmtId="3" fontId="5" fillId="3" borderId="1" xfId="0" applyNumberFormat="1" applyFont="1" applyFill="1" applyBorder="1" applyAlignment="1">
      <alignment horizontal="right"/>
    </xf>
    <xf numFmtId="3" fontId="5" fillId="3" borderId="0" xfId="0" applyNumberFormat="1" applyFont="1" applyFill="1" applyAlignment="1">
      <alignment horizontal="right"/>
    </xf>
    <xf numFmtId="9" fontId="10" fillId="3" borderId="0" xfId="1" applyFont="1" applyFill="1" applyBorder="1" applyAlignment="1">
      <alignment horizontal="right"/>
    </xf>
    <xf numFmtId="9" fontId="3" fillId="3" borderId="0" xfId="1" applyFont="1" applyFill="1" applyAlignment="1">
      <alignment horizontal="right"/>
    </xf>
    <xf numFmtId="3" fontId="3" fillId="5" borderId="0" xfId="0" applyNumberFormat="1" applyFont="1" applyFill="1" applyAlignment="1">
      <alignment horizontal="right"/>
    </xf>
    <xf numFmtId="164" fontId="8" fillId="5" borderId="0" xfId="1" applyNumberFormat="1" applyFont="1" applyFill="1" applyBorder="1" applyAlignment="1">
      <alignment horizontal="right"/>
    </xf>
    <xf numFmtId="164" fontId="8" fillId="3" borderId="0" xfId="1" applyNumberFormat="1" applyFont="1" applyFill="1" applyBorder="1" applyAlignment="1">
      <alignment horizontal="right"/>
    </xf>
    <xf numFmtId="9" fontId="8" fillId="5" borderId="0" xfId="1" applyFont="1" applyFill="1" applyBorder="1" applyAlignment="1">
      <alignment horizontal="right"/>
    </xf>
    <xf numFmtId="9" fontId="17" fillId="5" borderId="0" xfId="1" applyFont="1" applyFill="1" applyBorder="1" applyAlignment="1">
      <alignment horizontal="right"/>
    </xf>
    <xf numFmtId="3" fontId="8" fillId="5" borderId="0" xfId="1" applyNumberFormat="1" applyFont="1" applyFill="1" applyBorder="1" applyAlignment="1">
      <alignment horizontal="right"/>
    </xf>
    <xf numFmtId="164" fontId="8" fillId="5" borderId="2" xfId="1" applyNumberFormat="1" applyFont="1" applyFill="1" applyBorder="1" applyAlignment="1">
      <alignment horizontal="right"/>
    </xf>
    <xf numFmtId="3" fontId="8" fillId="5" borderId="2" xfId="1" applyNumberFormat="1" applyFont="1" applyFill="1" applyBorder="1" applyAlignment="1">
      <alignment horizontal="right"/>
    </xf>
    <xf numFmtId="164" fontId="8" fillId="3" borderId="2" xfId="1" applyNumberFormat="1" applyFont="1" applyFill="1" applyBorder="1" applyAlignment="1">
      <alignment horizontal="right"/>
    </xf>
    <xf numFmtId="9" fontId="17" fillId="5" borderId="0" xfId="1" applyFont="1" applyFill="1" applyAlignment="1">
      <alignment horizontal="right"/>
    </xf>
    <xf numFmtId="164" fontId="8" fillId="5" borderId="0" xfId="0" applyNumberFormat="1" applyFont="1" applyFill="1" applyAlignment="1">
      <alignment horizontal="right"/>
    </xf>
    <xf numFmtId="164" fontId="8" fillId="3" borderId="0" xfId="0" applyNumberFormat="1" applyFont="1" applyFill="1" applyAlignment="1">
      <alignment horizontal="right"/>
    </xf>
    <xf numFmtId="9" fontId="8" fillId="5" borderId="0" xfId="1" applyFont="1" applyFill="1" applyAlignment="1">
      <alignment horizontal="right"/>
    </xf>
    <xf numFmtId="165" fontId="3" fillId="3" borderId="0" xfId="1" applyNumberFormat="1" applyFont="1" applyFill="1" applyAlignment="1">
      <alignment horizontal="right"/>
    </xf>
    <xf numFmtId="3" fontId="9" fillId="3" borderId="1" xfId="0" applyNumberFormat="1" applyFont="1" applyFill="1" applyBorder="1" applyAlignment="1">
      <alignment horizontal="right"/>
    </xf>
    <xf numFmtId="3" fontId="10" fillId="5" borderId="0" xfId="1" applyNumberFormat="1" applyFont="1" applyFill="1" applyBorder="1" applyAlignment="1">
      <alignment horizontal="right"/>
    </xf>
    <xf numFmtId="3" fontId="10" fillId="3" borderId="0" xfId="1" applyNumberFormat="1" applyFont="1" applyFill="1" applyBorder="1" applyAlignment="1">
      <alignment horizontal="right"/>
    </xf>
    <xf numFmtId="3" fontId="8" fillId="5" borderId="0" xfId="0" applyNumberFormat="1" applyFont="1" applyFill="1" applyAlignment="1">
      <alignment horizontal="right"/>
    </xf>
    <xf numFmtId="3" fontId="8" fillId="3" borderId="0" xfId="0" applyNumberFormat="1" applyFont="1" applyFill="1" applyAlignment="1">
      <alignment horizontal="right"/>
    </xf>
    <xf numFmtId="3" fontId="6" fillId="2" borderId="0" xfId="0" applyNumberFormat="1" applyFont="1" applyFill="1" applyAlignment="1">
      <alignment horizontal="right"/>
    </xf>
    <xf numFmtId="3" fontId="5" fillId="4" borderId="0" xfId="0" applyNumberFormat="1" applyFont="1" applyFill="1" applyAlignment="1">
      <alignment horizontal="right"/>
    </xf>
    <xf numFmtId="3" fontId="6" fillId="2" borderId="3" xfId="0" applyNumberFormat="1" applyFont="1" applyFill="1" applyBorder="1" applyAlignment="1">
      <alignment horizontal="right"/>
    </xf>
    <xf numFmtId="3" fontId="5" fillId="4" borderId="3" xfId="0" applyNumberFormat="1" applyFont="1" applyFill="1" applyBorder="1" applyAlignment="1">
      <alignment horizontal="right"/>
    </xf>
    <xf numFmtId="164" fontId="3" fillId="3" borderId="0" xfId="0" applyNumberFormat="1" applyFont="1" applyFill="1" applyAlignment="1">
      <alignment horizontal="right"/>
    </xf>
    <xf numFmtId="164" fontId="7" fillId="2" borderId="0" xfId="0" applyNumberFormat="1" applyFont="1" applyFill="1" applyAlignment="1">
      <alignment horizontal="right"/>
    </xf>
    <xf numFmtId="164" fontId="8" fillId="4" borderId="0" xfId="0" applyNumberFormat="1" applyFont="1" applyFill="1" applyAlignment="1">
      <alignment horizontal="right"/>
    </xf>
    <xf numFmtId="9" fontId="3" fillId="0" borderId="0" xfId="1" applyFont="1" applyAlignment="1">
      <alignment horizontal="right"/>
    </xf>
    <xf numFmtId="9" fontId="4" fillId="0" borderId="0" xfId="1" applyFont="1" applyAlignment="1">
      <alignment horizontal="right"/>
    </xf>
    <xf numFmtId="9" fontId="4" fillId="8" borderId="0" xfId="1" applyFont="1" applyFill="1" applyAlignment="1">
      <alignment horizontal="right"/>
    </xf>
    <xf numFmtId="9" fontId="4" fillId="3" borderId="0" xfId="1" applyFont="1" applyFill="1" applyAlignment="1">
      <alignment horizontal="right"/>
    </xf>
    <xf numFmtId="3" fontId="4" fillId="4" borderId="0" xfId="0" applyNumberFormat="1" applyFont="1" applyFill="1" applyAlignment="1">
      <alignment horizontal="right"/>
    </xf>
    <xf numFmtId="3" fontId="4" fillId="3" borderId="0" xfId="0" applyNumberFormat="1" applyFont="1" applyFill="1" applyAlignment="1">
      <alignment horizontal="right"/>
    </xf>
    <xf numFmtId="3" fontId="7" fillId="2" borderId="2" xfId="0" applyNumberFormat="1" applyFont="1" applyFill="1" applyBorder="1" applyAlignment="1">
      <alignment horizontal="right"/>
    </xf>
    <xf numFmtId="3" fontId="3" fillId="4" borderId="2" xfId="0" applyNumberFormat="1" applyFont="1" applyFill="1" applyBorder="1" applyAlignment="1">
      <alignment horizontal="right"/>
    </xf>
    <xf numFmtId="3" fontId="3" fillId="0" borderId="0" xfId="0" applyNumberFormat="1" applyFont="1" applyAlignment="1">
      <alignment horizontal="right"/>
    </xf>
    <xf numFmtId="4" fontId="15" fillId="3" borderId="0" xfId="0" applyNumberFormat="1" applyFont="1" applyFill="1" applyAlignment="1">
      <alignment horizontal="right"/>
    </xf>
    <xf numFmtId="3" fontId="3" fillId="3" borderId="3" xfId="0" applyNumberFormat="1" applyFont="1" applyFill="1" applyBorder="1" applyAlignment="1">
      <alignment horizontal="right"/>
    </xf>
    <xf numFmtId="164" fontId="15" fillId="3" borderId="3" xfId="0" applyNumberFormat="1" applyFont="1" applyFill="1" applyBorder="1" applyAlignment="1">
      <alignment horizontal="right"/>
    </xf>
    <xf numFmtId="164" fontId="20" fillId="8" borderId="3" xfId="0" applyNumberFormat="1" applyFont="1" applyFill="1" applyBorder="1" applyAlignment="1">
      <alignment horizontal="right"/>
    </xf>
    <xf numFmtId="164" fontId="15" fillId="3" borderId="0" xfId="0" applyNumberFormat="1" applyFont="1" applyFill="1" applyAlignment="1">
      <alignment horizontal="right"/>
    </xf>
    <xf numFmtId="9" fontId="3" fillId="3" borderId="3" xfId="1" applyFont="1" applyFill="1" applyBorder="1" applyAlignment="1">
      <alignment horizontal="right"/>
    </xf>
    <xf numFmtId="3" fontId="8" fillId="4" borderId="0" xfId="0" applyNumberFormat="1" applyFont="1" applyFill="1" applyAlignment="1">
      <alignment horizontal="right"/>
    </xf>
    <xf numFmtId="3" fontId="3" fillId="7" borderId="0" xfId="0" applyNumberFormat="1" applyFont="1" applyFill="1" applyAlignment="1">
      <alignment horizontal="right"/>
    </xf>
    <xf numFmtId="165" fontId="3" fillId="7" borderId="0" xfId="1" applyNumberFormat="1" applyFont="1" applyFill="1" applyAlignment="1">
      <alignment horizontal="right"/>
    </xf>
    <xf numFmtId="0" fontId="0" fillId="5" borderId="0" xfId="0" applyFill="1" applyAlignment="1">
      <alignment horizontal="right"/>
    </xf>
    <xf numFmtId="14" fontId="0" fillId="5" borderId="0" xfId="0" applyNumberFormat="1" applyFill="1" applyAlignment="1">
      <alignment horizontal="right"/>
    </xf>
    <xf numFmtId="165" fontId="4" fillId="5" borderId="0" xfId="1" applyNumberFormat="1" applyFont="1" applyFill="1" applyAlignment="1">
      <alignment horizontal="right"/>
    </xf>
    <xf numFmtId="166" fontId="24" fillId="5" borderId="0" xfId="0" applyNumberFormat="1" applyFont="1" applyFill="1" applyAlignment="1">
      <alignment horizontal="right"/>
    </xf>
    <xf numFmtId="3" fontId="24" fillId="5" borderId="0" xfId="0" applyNumberFormat="1" applyFont="1" applyFill="1" applyAlignment="1">
      <alignment horizontal="right"/>
    </xf>
    <xf numFmtId="3" fontId="21" fillId="0" borderId="0" xfId="2" applyNumberFormat="1" applyAlignment="1">
      <alignment horizontal="right"/>
    </xf>
  </cellXfs>
  <cellStyles count="3">
    <cellStyle name="Hyperlink" xfId="2" builtinId="8"/>
    <cellStyle name="Normal" xfId="0" builtinId="0"/>
    <cellStyle name="Per cent" xfId="1" builtinId="5"/>
  </cellStyles>
  <dxfs count="1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8</xdr:row>
      <xdr:rowOff>0</xdr:rowOff>
    </xdr:from>
    <xdr:to>
      <xdr:col>17</xdr:col>
      <xdr:colOff>267758</xdr:colOff>
      <xdr:row>37</xdr:row>
      <xdr:rowOff>29350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1F0FE6-5A2A-1C04-660E-3DD865C7A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1524000"/>
          <a:ext cx="7582958" cy="5553850"/>
        </a:xfrm>
        <a:prstGeom prst="rect">
          <a:avLst/>
        </a:prstGeom>
      </xdr:spPr>
    </xdr:pic>
    <xdr:clientData/>
  </xdr:twoCellAnchor>
  <xdr:twoCellAnchor>
    <xdr:from>
      <xdr:col>9</xdr:col>
      <xdr:colOff>371475</xdr:colOff>
      <xdr:row>20</xdr:row>
      <xdr:rowOff>76200</xdr:rowOff>
    </xdr:from>
    <xdr:to>
      <xdr:col>13</xdr:col>
      <xdr:colOff>123825</xdr:colOff>
      <xdr:row>20</xdr:row>
      <xdr:rowOff>76200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E52EF6D-037F-1EC9-E024-8150A9A5BD39}"/>
            </a:ext>
          </a:extLst>
        </xdr:cNvPr>
        <xdr:cNvCxnSpPr/>
      </xdr:nvCxnSpPr>
      <xdr:spPr>
        <a:xfrm rot="-6660000">
          <a:off x="6953250" y="2790825"/>
          <a:ext cx="0" cy="2190750"/>
        </a:xfrm>
        <a:prstGeom prst="line">
          <a:avLst/>
        </a:prstGeom>
        <a:ln w="28575">
          <a:solidFill>
            <a:schemeClr val="accent3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0</xdr:colOff>
      <xdr:row>8</xdr:row>
      <xdr:rowOff>0</xdr:rowOff>
    </xdr:from>
    <xdr:to>
      <xdr:col>35</xdr:col>
      <xdr:colOff>382415</xdr:colOff>
      <xdr:row>40</xdr:row>
      <xdr:rowOff>58009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ABB5A15-61C6-3640-060F-EAD62EA27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82400" y="1524000"/>
          <a:ext cx="10136015" cy="6154009"/>
        </a:xfrm>
        <a:prstGeom prst="rect">
          <a:avLst/>
        </a:prstGeom>
      </xdr:spPr>
    </xdr:pic>
    <xdr:clientData/>
  </xdr:twoCellAnchor>
  <xdr:twoCellAnchor>
    <xdr:from>
      <xdr:col>22</xdr:col>
      <xdr:colOff>238124</xdr:colOff>
      <xdr:row>23</xdr:row>
      <xdr:rowOff>38100</xdr:rowOff>
    </xdr:from>
    <xdr:to>
      <xdr:col>25</xdr:col>
      <xdr:colOff>600074</xdr:colOff>
      <xdr:row>23</xdr:row>
      <xdr:rowOff>38100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E687C98F-27EE-475F-B54B-DAB3067D1A58}"/>
            </a:ext>
          </a:extLst>
        </xdr:cNvPr>
        <xdr:cNvCxnSpPr/>
      </xdr:nvCxnSpPr>
      <xdr:spPr>
        <a:xfrm rot="-6480000">
          <a:off x="14744699" y="3324225"/>
          <a:ext cx="0" cy="2190750"/>
        </a:xfrm>
        <a:prstGeom prst="line">
          <a:avLst/>
        </a:prstGeom>
        <a:ln w="28575">
          <a:solidFill>
            <a:schemeClr val="accent3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stockanalysis.com/quote/sto/HEM/financials/ratios/" TargetMode="External"/><Relationship Id="rId1" Type="http://schemas.openxmlformats.org/officeDocument/2006/relationships/hyperlink" Target="https://companiesmarketcap.com/aud/hemnet-group-ab/pe-ratio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59F71-43FF-48E3-88E8-5FC167473CB0}">
  <dimension ref="A1:AX162"/>
  <sheetViews>
    <sheetView workbookViewId="0">
      <pane xSplit="4" ySplit="3" topLeftCell="E131" activePane="bottomRight" state="frozen"/>
      <selection pane="topRight" activeCell="D1" sqref="D1"/>
      <selection pane="bottomLeft" activeCell="A7" sqref="A7"/>
      <selection pane="bottomRight" activeCell="B1" sqref="B1:E1048576"/>
    </sheetView>
  </sheetViews>
  <sheetFormatPr defaultColWidth="9.109375" defaultRowHeight="14.4" outlineLevelRow="1" x14ac:dyDescent="0.3"/>
  <cols>
    <col min="1" max="1" width="2.109375" style="12" customWidth="1"/>
    <col min="2" max="2" width="36.33203125" style="29" customWidth="1"/>
    <col min="3" max="4" width="9.109375" style="1" customWidth="1"/>
    <col min="5" max="5" width="9.109375" style="1"/>
    <col min="6" max="20" width="9.109375" style="182"/>
    <col min="21" max="21" width="3.33203125" style="134" customWidth="1"/>
    <col min="22" max="23" width="9.109375" style="89"/>
    <col min="24" max="24" width="3.5546875" style="12" customWidth="1"/>
    <col min="25" max="16384" width="9.109375" style="1"/>
  </cols>
  <sheetData>
    <row r="1" spans="1:50" s="12" customFormat="1" ht="5.25" customHeight="1" x14ac:dyDescent="0.3">
      <c r="B1" s="25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72"/>
      <c r="W1" s="72"/>
    </row>
    <row r="2" spans="1:50" s="12" customFormat="1" ht="14.25" customHeight="1" x14ac:dyDescent="0.3">
      <c r="B2" s="45" t="s">
        <v>0</v>
      </c>
      <c r="C2" s="46" t="s">
        <v>61</v>
      </c>
      <c r="D2" s="46" t="s">
        <v>2</v>
      </c>
      <c r="E2" s="46" t="s">
        <v>4</v>
      </c>
      <c r="F2" s="135" t="s">
        <v>5</v>
      </c>
      <c r="G2" s="135" t="s">
        <v>6</v>
      </c>
      <c r="H2" s="135" t="s">
        <v>7</v>
      </c>
      <c r="I2" s="135" t="s">
        <v>8</v>
      </c>
      <c r="J2" s="135" t="s">
        <v>77</v>
      </c>
      <c r="K2" s="135" t="s">
        <v>9</v>
      </c>
      <c r="L2" s="135" t="s">
        <v>10</v>
      </c>
      <c r="M2" s="135" t="s">
        <v>11</v>
      </c>
      <c r="N2" s="135" t="s">
        <v>12</v>
      </c>
      <c r="O2" s="135" t="s">
        <v>13</v>
      </c>
      <c r="P2" s="135" t="s">
        <v>51</v>
      </c>
      <c r="Q2" s="135" t="s">
        <v>52</v>
      </c>
      <c r="R2" s="135" t="s">
        <v>53</v>
      </c>
      <c r="S2" s="135" t="s">
        <v>54</v>
      </c>
      <c r="T2" s="135" t="s">
        <v>78</v>
      </c>
      <c r="U2" s="136"/>
      <c r="V2" s="73" t="s">
        <v>66</v>
      </c>
      <c r="W2" s="73"/>
      <c r="X2" s="48"/>
      <c r="Y2" s="46" t="s">
        <v>7</v>
      </c>
      <c r="Z2" s="46" t="s">
        <v>7</v>
      </c>
      <c r="AA2" s="46" t="s">
        <v>8</v>
      </c>
      <c r="AB2" s="46" t="s">
        <v>8</v>
      </c>
      <c r="AC2" s="46" t="s">
        <v>77</v>
      </c>
      <c r="AD2" s="46" t="s">
        <v>77</v>
      </c>
      <c r="AE2" s="46" t="str">
        <f>"FY"&amp;RIGHT(AC2,1)+1</f>
        <v>FY1</v>
      </c>
      <c r="AF2" s="46" t="str">
        <f t="shared" ref="AF2:AX2" si="0">"FY"&amp;RIGHT(AD2,1)+1</f>
        <v>FY1</v>
      </c>
      <c r="AG2" s="46" t="str">
        <f t="shared" si="0"/>
        <v>FY2</v>
      </c>
      <c r="AH2" s="46" t="str">
        <f t="shared" si="0"/>
        <v>FY2</v>
      </c>
      <c r="AI2" s="46" t="str">
        <f t="shared" si="0"/>
        <v>FY3</v>
      </c>
      <c r="AJ2" s="46" t="str">
        <f t="shared" si="0"/>
        <v>FY3</v>
      </c>
      <c r="AK2" s="46" t="str">
        <f t="shared" si="0"/>
        <v>FY4</v>
      </c>
      <c r="AL2" s="46" t="str">
        <f t="shared" si="0"/>
        <v>FY4</v>
      </c>
      <c r="AM2" s="46" t="str">
        <f t="shared" si="0"/>
        <v>FY5</v>
      </c>
      <c r="AN2" s="46" t="str">
        <f t="shared" si="0"/>
        <v>FY5</v>
      </c>
      <c r="AO2" s="46" t="str">
        <f t="shared" si="0"/>
        <v>FY6</v>
      </c>
      <c r="AP2" s="46" t="str">
        <f t="shared" si="0"/>
        <v>FY6</v>
      </c>
      <c r="AQ2" s="46" t="str">
        <f t="shared" si="0"/>
        <v>FY7</v>
      </c>
      <c r="AR2" s="46" t="str">
        <f t="shared" si="0"/>
        <v>FY7</v>
      </c>
      <c r="AS2" s="46" t="str">
        <f t="shared" si="0"/>
        <v>FY8</v>
      </c>
      <c r="AT2" s="46" t="str">
        <f t="shared" si="0"/>
        <v>FY8</v>
      </c>
      <c r="AU2" s="46" t="str">
        <f t="shared" si="0"/>
        <v>FY9</v>
      </c>
      <c r="AV2" s="46" t="str">
        <f t="shared" si="0"/>
        <v>FY9</v>
      </c>
      <c r="AW2" s="46" t="str">
        <f t="shared" si="0"/>
        <v>FY10</v>
      </c>
      <c r="AX2" s="46" t="str">
        <f t="shared" si="0"/>
        <v>FY10</v>
      </c>
    </row>
    <row r="3" spans="1:50" s="12" customFormat="1" ht="14.25" customHeight="1" x14ac:dyDescent="0.3">
      <c r="B3" s="45" t="s">
        <v>14</v>
      </c>
      <c r="C3" s="46"/>
      <c r="D3" s="46" t="s">
        <v>15</v>
      </c>
      <c r="E3" s="47">
        <v>2019</v>
      </c>
      <c r="F3" s="137">
        <f>E3+1</f>
        <v>2020</v>
      </c>
      <c r="G3" s="137">
        <f t="shared" ref="G3:N3" si="1">F3+1</f>
        <v>2021</v>
      </c>
      <c r="H3" s="137">
        <f t="shared" si="1"/>
        <v>2022</v>
      </c>
      <c r="I3" s="137">
        <f t="shared" si="1"/>
        <v>2023</v>
      </c>
      <c r="J3" s="137">
        <f t="shared" si="1"/>
        <v>2024</v>
      </c>
      <c r="K3" s="137">
        <f t="shared" si="1"/>
        <v>2025</v>
      </c>
      <c r="L3" s="137">
        <f t="shared" si="1"/>
        <v>2026</v>
      </c>
      <c r="M3" s="137">
        <f t="shared" si="1"/>
        <v>2027</v>
      </c>
      <c r="N3" s="137">
        <f t="shared" si="1"/>
        <v>2028</v>
      </c>
      <c r="O3" s="137">
        <f t="shared" ref="O3:Q3" si="2">N3+1</f>
        <v>2029</v>
      </c>
      <c r="P3" s="137">
        <f t="shared" si="2"/>
        <v>2030</v>
      </c>
      <c r="Q3" s="137">
        <f t="shared" si="2"/>
        <v>2031</v>
      </c>
      <c r="R3" s="137">
        <f t="shared" ref="R3" si="3">Q3+1</f>
        <v>2032</v>
      </c>
      <c r="S3" s="137">
        <f t="shared" ref="S3" si="4">R3+1</f>
        <v>2033</v>
      </c>
      <c r="T3" s="137">
        <f t="shared" ref="T3" si="5">S3+1</f>
        <v>2034</v>
      </c>
      <c r="U3" s="138"/>
      <c r="V3" s="74">
        <v>2025</v>
      </c>
      <c r="W3" s="73" t="s">
        <v>67</v>
      </c>
      <c r="X3" s="48"/>
      <c r="Y3" s="46" t="str">
        <f>"1H"&amp;RIGHT(INDEX($B$3:$T$3,1,MATCH(Y$2,$B$2:$T$2,0)),2)</f>
        <v>1H22</v>
      </c>
      <c r="Z3" s="46" t="str">
        <f>"2H"&amp;RIGHT(INDEX($B$3:$T$3,1,MATCH(Z$2,$B$2:$T$2,0)),2)</f>
        <v>2H22</v>
      </c>
      <c r="AA3" s="46" t="str">
        <f>"1H"&amp;RIGHT(INDEX($B$3:$T$3,1,MATCH(AA$2,$B$2:$T$2,0)),2)</f>
        <v>1H23</v>
      </c>
      <c r="AB3" s="46" t="str">
        <f>"2H"&amp;RIGHT(INDEX($B$3:$T$3,1,MATCH(AB$2,$B$2:$T$2,0)),2)</f>
        <v>2H23</v>
      </c>
      <c r="AC3" s="46" t="str">
        <f>"1H"&amp;RIGHT(INDEX($B$3:$T$3,1,MATCH(AC$2,$B$2:$T$2,0)),2)</f>
        <v>1H24</v>
      </c>
      <c r="AD3" s="46" t="str">
        <f>"2H"&amp;RIGHT(INDEX($B$3:$T$3,1,MATCH(AD$2,$B$2:$T$2,0)),2)</f>
        <v>2H24</v>
      </c>
      <c r="AE3" s="46" t="str">
        <f>"1H"&amp;RIGHT(INDEX($B$3:$T$3,1,MATCH(AE$2,$B$2:$T$2,0)),2)</f>
        <v>1H25</v>
      </c>
      <c r="AF3" s="46" t="str">
        <f>"2H"&amp;RIGHT(INDEX($B$3:$T$3,1,MATCH(AF$2,$B$2:$T$2,0)),2)</f>
        <v>2H25</v>
      </c>
      <c r="AG3" s="46" t="str">
        <f>"1H"&amp;RIGHT(INDEX($B$3:$T$3,1,MATCH(AG$2,$B$2:$T$2,0)),2)</f>
        <v>1H26</v>
      </c>
      <c r="AH3" s="46" t="str">
        <f>"2H"&amp;RIGHT(INDEX($B$3:$T$3,1,MATCH(AH$2,$B$2:$T$2,0)),2)</f>
        <v>2H26</v>
      </c>
      <c r="AI3" s="46" t="str">
        <f>"1H"&amp;RIGHT(INDEX($B$3:$T$3,1,MATCH(AI$2,$B$2:$T$2,0)),2)</f>
        <v>1H27</v>
      </c>
      <c r="AJ3" s="46" t="str">
        <f>"2H"&amp;RIGHT(INDEX($B$3:$T$3,1,MATCH(AJ$2,$B$2:$T$2,0)),2)</f>
        <v>2H27</v>
      </c>
      <c r="AK3" s="46" t="str">
        <f>"1H"&amp;RIGHT(INDEX($B$3:$T$3,1,MATCH(AK$2,$B$2:$T$2,0)),2)</f>
        <v>1H28</v>
      </c>
      <c r="AL3" s="46" t="str">
        <f>"2H"&amp;RIGHT(INDEX($B$3:$T$3,1,MATCH(AL$2,$B$2:$T$2,0)),2)</f>
        <v>2H28</v>
      </c>
      <c r="AM3" s="46" t="str">
        <f>"1H"&amp;RIGHT(INDEX($B$3:$T$3,1,MATCH(AM$2,$B$2:$T$2,0)),2)</f>
        <v>1H29</v>
      </c>
      <c r="AN3" s="46" t="str">
        <f>"2H"&amp;RIGHT(INDEX($B$3:$T$3,1,MATCH(AN$2,$B$2:$T$2,0)),2)</f>
        <v>2H29</v>
      </c>
      <c r="AO3" s="46" t="str">
        <f>"1H"&amp;RIGHT(INDEX($B$3:$T$3,1,MATCH(AO$2,$B$2:$T$2,0)),2)</f>
        <v>1H30</v>
      </c>
      <c r="AP3" s="46" t="str">
        <f>"2H"&amp;RIGHT(INDEX($B$3:$T$3,1,MATCH(AP$2,$B$2:$T$2,0)),2)</f>
        <v>2H30</v>
      </c>
      <c r="AQ3" s="46" t="str">
        <f>"1H"&amp;RIGHT(INDEX($B$3:$T$3,1,MATCH(AQ$2,$B$2:$T$2,0)),2)</f>
        <v>1H31</v>
      </c>
      <c r="AR3" s="46" t="str">
        <f>"2H"&amp;RIGHT(INDEX($B$3:$T$3,1,MATCH(AR$2,$B$2:$T$2,0)),2)</f>
        <v>2H31</v>
      </c>
      <c r="AS3" s="46" t="str">
        <f>"1H"&amp;RIGHT(INDEX($B$3:$T$3,1,MATCH(AS$2,$B$2:$T$2,0)),2)</f>
        <v>1H32</v>
      </c>
      <c r="AT3" s="46" t="str">
        <f>"2H"&amp;RIGHT(INDEX($B$3:$T$3,1,MATCH(AT$2,$B$2:$T$2,0)),2)</f>
        <v>2H32</v>
      </c>
      <c r="AU3" s="46" t="str">
        <f>"1H"&amp;RIGHT(INDEX($B$3:$T$3,1,MATCH(AU$2,$B$2:$T$2,0)),2)</f>
        <v>1H33</v>
      </c>
      <c r="AV3" s="46" t="str">
        <f>"2H"&amp;RIGHT(INDEX($B$3:$T$3,1,MATCH(AV$2,$B$2:$T$2,0)),2)</f>
        <v>2H33</v>
      </c>
      <c r="AW3" s="46" t="str">
        <f>"1H"&amp;RIGHT(INDEX($B$3:$T$3,1,MATCH(AW$2,$B$2:$T$2,0)),2)</f>
        <v>1H34</v>
      </c>
      <c r="AX3" s="46" t="str">
        <f>"2H"&amp;RIGHT(INDEX($B$3:$T$3,1,MATCH(AX$2,$B$2:$T$2,0)),2)</f>
        <v>2H34</v>
      </c>
    </row>
    <row r="4" spans="1:50" s="12" customFormat="1" ht="14.25" customHeight="1" x14ac:dyDescent="0.3">
      <c r="B4" s="25" t="s">
        <v>3</v>
      </c>
      <c r="C4" s="13"/>
      <c r="D4" s="13" t="s">
        <v>70</v>
      </c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72"/>
      <c r="W4" s="72"/>
    </row>
    <row r="5" spans="1:50" ht="14.25" customHeight="1" x14ac:dyDescent="0.3">
      <c r="B5" s="26" t="s">
        <v>71</v>
      </c>
      <c r="C5" s="2"/>
      <c r="D5" s="2"/>
      <c r="E5" s="5">
        <v>6791.5140000000001</v>
      </c>
      <c r="F5" s="139">
        <v>8729.8410000000003</v>
      </c>
      <c r="G5" s="139">
        <v>11960.891</v>
      </c>
      <c r="H5" s="139">
        <v>12329.071</v>
      </c>
      <c r="I5" s="139">
        <v>12794.548000000001</v>
      </c>
      <c r="J5" s="139">
        <v>13722.888000000001</v>
      </c>
      <c r="K5" s="140">
        <f t="shared" ref="K5:T8" si="6">SUMIF($Y$2:$AX$2,K$2,$Y5:$AX5)</f>
        <v>14834.057657488236</v>
      </c>
      <c r="L5" s="140">
        <f t="shared" si="6"/>
        <v>16725.099941839384</v>
      </c>
      <c r="M5" s="140">
        <f t="shared" si="6"/>
        <v>18391.924793993432</v>
      </c>
      <c r="N5" s="140">
        <f t="shared" si="6"/>
        <v>20317.049477492379</v>
      </c>
      <c r="O5" s="140">
        <f t="shared" si="6"/>
        <v>22513.408438765939</v>
      </c>
      <c r="P5" s="140">
        <f t="shared" si="6"/>
        <v>24999.973197713392</v>
      </c>
      <c r="Q5" s="140">
        <f t="shared" si="6"/>
        <v>27801.278422621701</v>
      </c>
      <c r="R5" s="140">
        <f t="shared" si="6"/>
        <v>30947.203290654837</v>
      </c>
      <c r="S5" s="140">
        <f t="shared" si="6"/>
        <v>34472.956745821575</v>
      </c>
      <c r="T5" s="140">
        <f t="shared" si="6"/>
        <v>38419.230587597296</v>
      </c>
      <c r="V5" s="75"/>
      <c r="W5" s="75"/>
      <c r="Y5" s="5">
        <v>6561.6319999999996</v>
      </c>
      <c r="Z5" s="5">
        <v>5767.4390000000003</v>
      </c>
      <c r="AA5" s="5">
        <v>6450.2309999999998</v>
      </c>
      <c r="AB5" s="5">
        <v>6344.3170000000009</v>
      </c>
      <c r="AC5" s="5">
        <v>6884.4530000000004</v>
      </c>
      <c r="AD5" s="5">
        <v>6838.4350000000004</v>
      </c>
      <c r="AE5" s="5">
        <v>7425.0590000000002</v>
      </c>
      <c r="AF5" s="6">
        <f>AF30</f>
        <v>7408.9986574882359</v>
      </c>
      <c r="AG5" s="6">
        <f t="shared" ref="AG5:AX5" si="7">AG30</f>
        <v>8354.5477148570189</v>
      </c>
      <c r="AH5" s="6">
        <f t="shared" si="7"/>
        <v>8370.552226982365</v>
      </c>
      <c r="AI5" s="6">
        <f t="shared" si="7"/>
        <v>9174.3134017644497</v>
      </c>
      <c r="AJ5" s="6">
        <f t="shared" si="7"/>
        <v>9217.6113922289824</v>
      </c>
      <c r="AK5" s="6">
        <f t="shared" si="7"/>
        <v>10122.992133129746</v>
      </c>
      <c r="AL5" s="6">
        <f t="shared" si="7"/>
        <v>10194.057344362633</v>
      </c>
      <c r="AM5" s="6">
        <f t="shared" si="7"/>
        <v>11206.482187265674</v>
      </c>
      <c r="AN5" s="6">
        <f t="shared" si="7"/>
        <v>11306.926251500265</v>
      </c>
      <c r="AO5" s="6">
        <f t="shared" si="7"/>
        <v>12433.758221805901</v>
      </c>
      <c r="AP5" s="6">
        <f t="shared" si="7"/>
        <v>12566.214975907493</v>
      </c>
      <c r="AQ5" s="6">
        <f t="shared" si="7"/>
        <v>13816.606784160445</v>
      </c>
      <c r="AR5" s="6">
        <f t="shared" si="7"/>
        <v>13984.671638461255</v>
      </c>
      <c r="AS5" s="6">
        <f t="shared" si="7"/>
        <v>15369.495071894398</v>
      </c>
      <c r="AT5" s="6">
        <f t="shared" si="7"/>
        <v>15577.708218760439</v>
      </c>
      <c r="AU5" s="6">
        <f t="shared" si="7"/>
        <v>17109.545574386972</v>
      </c>
      <c r="AV5" s="6">
        <f t="shared" si="7"/>
        <v>17363.411171434607</v>
      </c>
      <c r="AW5" s="6">
        <f t="shared" si="7"/>
        <v>19056.597301232301</v>
      </c>
      <c r="AX5" s="6">
        <f t="shared" si="7"/>
        <v>19362.633286364999</v>
      </c>
    </row>
    <row r="6" spans="1:50" ht="14.25" customHeight="1" x14ac:dyDescent="0.3">
      <c r="B6" s="26" t="s">
        <v>72</v>
      </c>
      <c r="C6" s="2"/>
      <c r="D6" s="2"/>
      <c r="E6" s="5">
        <v>875.20699999999999</v>
      </c>
      <c r="F6" s="139">
        <v>1082.0999999999999</v>
      </c>
      <c r="G6" s="139">
        <v>1242.27</v>
      </c>
      <c r="H6" s="139">
        <v>924.846</v>
      </c>
      <c r="I6" s="139">
        <v>936.86300000000006</v>
      </c>
      <c r="J6" s="139">
        <v>898.72799999999995</v>
      </c>
      <c r="K6" s="140">
        <f t="shared" si="6"/>
        <v>832.09769999999958</v>
      </c>
      <c r="L6" s="140">
        <f t="shared" si="6"/>
        <v>790.4928149999995</v>
      </c>
      <c r="M6" s="140">
        <f t="shared" si="6"/>
        <v>750.96817424999949</v>
      </c>
      <c r="N6" s="140">
        <f t="shared" si="6"/>
        <v>713.41976553749942</v>
      </c>
      <c r="O6" s="140">
        <f t="shared" si="6"/>
        <v>677.74877726062437</v>
      </c>
      <c r="P6" s="140">
        <f t="shared" si="6"/>
        <v>643.86133839759316</v>
      </c>
      <c r="Q6" s="140">
        <f t="shared" si="6"/>
        <v>611.66827147771346</v>
      </c>
      <c r="R6" s="140">
        <f t="shared" si="6"/>
        <v>581.0848579038277</v>
      </c>
      <c r="S6" s="140">
        <f t="shared" si="6"/>
        <v>552.03061500863635</v>
      </c>
      <c r="T6" s="140">
        <f t="shared" si="6"/>
        <v>524.42908425820451</v>
      </c>
      <c r="V6" s="75"/>
      <c r="W6" s="75"/>
      <c r="Y6" s="5">
        <v>471.97400000000016</v>
      </c>
      <c r="Z6" s="5">
        <v>452.87199999999984</v>
      </c>
      <c r="AA6" s="5">
        <v>429.23300000000017</v>
      </c>
      <c r="AB6" s="5">
        <v>507.62999999999988</v>
      </c>
      <c r="AC6" s="5">
        <v>427.53499999999985</v>
      </c>
      <c r="AD6" s="5">
        <v>471.1930000000001</v>
      </c>
      <c r="AE6" s="5">
        <v>408.02399999999943</v>
      </c>
      <c r="AF6" s="6">
        <f>AF33</f>
        <v>424.07370000000009</v>
      </c>
      <c r="AG6" s="6">
        <f t="shared" ref="AG6:AX6" si="8">AG33</f>
        <v>387.62279999999942</v>
      </c>
      <c r="AH6" s="6">
        <f t="shared" si="8"/>
        <v>402.87001500000008</v>
      </c>
      <c r="AI6" s="6">
        <f t="shared" si="8"/>
        <v>368.2416599999994</v>
      </c>
      <c r="AJ6" s="6">
        <f t="shared" si="8"/>
        <v>382.72651425000004</v>
      </c>
      <c r="AK6" s="6">
        <f t="shared" si="8"/>
        <v>349.8295769999994</v>
      </c>
      <c r="AL6" s="6">
        <f t="shared" si="8"/>
        <v>363.59018853750001</v>
      </c>
      <c r="AM6" s="6">
        <f t="shared" si="8"/>
        <v>332.33809814999944</v>
      </c>
      <c r="AN6" s="6">
        <f t="shared" si="8"/>
        <v>345.41067911062498</v>
      </c>
      <c r="AO6" s="6">
        <f t="shared" si="8"/>
        <v>315.72119324249945</v>
      </c>
      <c r="AP6" s="6">
        <f t="shared" si="8"/>
        <v>328.14014515509371</v>
      </c>
      <c r="AQ6" s="6">
        <f t="shared" si="8"/>
        <v>299.93513358037444</v>
      </c>
      <c r="AR6" s="6">
        <f t="shared" si="8"/>
        <v>311.73313789733902</v>
      </c>
      <c r="AS6" s="6">
        <f t="shared" si="8"/>
        <v>284.9383769013557</v>
      </c>
      <c r="AT6" s="6">
        <f t="shared" si="8"/>
        <v>296.14648100247206</v>
      </c>
      <c r="AU6" s="6">
        <f t="shared" si="8"/>
        <v>270.6914580562879</v>
      </c>
      <c r="AV6" s="6">
        <f t="shared" si="8"/>
        <v>281.33915695234845</v>
      </c>
      <c r="AW6" s="6">
        <f t="shared" si="8"/>
        <v>257.15688515347347</v>
      </c>
      <c r="AX6" s="6">
        <f t="shared" si="8"/>
        <v>267.27219910473099</v>
      </c>
    </row>
    <row r="7" spans="1:50" ht="14.25" customHeight="1" x14ac:dyDescent="0.3">
      <c r="B7" s="26"/>
      <c r="C7" s="2"/>
      <c r="D7" s="2"/>
      <c r="E7" s="66"/>
      <c r="F7" s="141"/>
      <c r="G7" s="141"/>
      <c r="H7" s="141"/>
      <c r="I7" s="141"/>
      <c r="J7" s="141"/>
      <c r="K7" s="140">
        <f t="shared" si="6"/>
        <v>0</v>
      </c>
      <c r="L7" s="140">
        <f t="shared" si="6"/>
        <v>0</v>
      </c>
      <c r="M7" s="140">
        <f t="shared" si="6"/>
        <v>0</v>
      </c>
      <c r="N7" s="140">
        <f t="shared" si="6"/>
        <v>0</v>
      </c>
      <c r="O7" s="140">
        <f t="shared" si="6"/>
        <v>0</v>
      </c>
      <c r="P7" s="140">
        <f t="shared" si="6"/>
        <v>0</v>
      </c>
      <c r="Q7" s="140">
        <f t="shared" si="6"/>
        <v>0</v>
      </c>
      <c r="R7" s="140">
        <f t="shared" si="6"/>
        <v>0</v>
      </c>
      <c r="S7" s="140">
        <f t="shared" si="6"/>
        <v>0</v>
      </c>
      <c r="T7" s="140">
        <f t="shared" si="6"/>
        <v>0</v>
      </c>
      <c r="V7" s="75"/>
      <c r="W7" s="75"/>
      <c r="Y7" s="66"/>
      <c r="Z7" s="66"/>
      <c r="AA7" s="66"/>
      <c r="AB7" s="66"/>
      <c r="AC7" s="66"/>
      <c r="AD7" s="66"/>
      <c r="AE7" s="66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</row>
    <row r="8" spans="1:50" ht="14.25" customHeight="1" x14ac:dyDescent="0.3">
      <c r="B8" s="26"/>
      <c r="C8" s="2"/>
      <c r="D8" s="2"/>
      <c r="E8" s="5"/>
      <c r="F8" s="139"/>
      <c r="G8" s="139"/>
      <c r="H8" s="139"/>
      <c r="I8" s="139"/>
      <c r="J8" s="139"/>
      <c r="K8" s="140">
        <f t="shared" si="6"/>
        <v>0</v>
      </c>
      <c r="L8" s="140">
        <f t="shared" si="6"/>
        <v>0</v>
      </c>
      <c r="M8" s="140">
        <f t="shared" si="6"/>
        <v>0</v>
      </c>
      <c r="N8" s="140">
        <f t="shared" si="6"/>
        <v>0</v>
      </c>
      <c r="O8" s="140">
        <f t="shared" si="6"/>
        <v>0</v>
      </c>
      <c r="P8" s="140">
        <f t="shared" si="6"/>
        <v>0</v>
      </c>
      <c r="Q8" s="140">
        <f t="shared" si="6"/>
        <v>0</v>
      </c>
      <c r="R8" s="140">
        <f t="shared" si="6"/>
        <v>0</v>
      </c>
      <c r="S8" s="140">
        <f t="shared" si="6"/>
        <v>0</v>
      </c>
      <c r="T8" s="140">
        <f t="shared" si="6"/>
        <v>0</v>
      </c>
      <c r="V8" s="75"/>
      <c r="W8" s="75"/>
      <c r="Y8" s="5"/>
      <c r="Z8" s="5"/>
      <c r="AA8" s="5"/>
      <c r="AB8" s="5"/>
      <c r="AC8" s="5"/>
      <c r="AD8" s="5"/>
      <c r="AE8" s="5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</row>
    <row r="9" spans="1:50" ht="14.25" customHeight="1" x14ac:dyDescent="0.3">
      <c r="B9" s="26"/>
      <c r="C9" s="2"/>
      <c r="D9" s="2"/>
      <c r="E9" s="5"/>
      <c r="F9" s="139"/>
      <c r="G9" s="139"/>
      <c r="H9" s="139"/>
      <c r="I9" s="139"/>
      <c r="J9" s="139"/>
      <c r="K9" s="140"/>
      <c r="L9" s="140"/>
      <c r="M9" s="140"/>
      <c r="N9" s="140"/>
      <c r="O9" s="140"/>
      <c r="P9" s="140"/>
      <c r="Q9" s="140"/>
      <c r="R9" s="140"/>
      <c r="S9" s="140"/>
      <c r="T9" s="140"/>
      <c r="V9" s="75"/>
      <c r="W9" s="75"/>
      <c r="Y9" s="5"/>
      <c r="Z9" s="5"/>
      <c r="AA9" s="5"/>
      <c r="AB9" s="5"/>
      <c r="AC9" s="5"/>
      <c r="AD9" s="5"/>
      <c r="AE9" s="5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</row>
    <row r="10" spans="1:50" ht="14.25" customHeight="1" x14ac:dyDescent="0.3">
      <c r="B10" s="26"/>
      <c r="C10" s="2"/>
      <c r="D10" s="2"/>
      <c r="E10" s="5"/>
      <c r="F10" s="139"/>
      <c r="G10" s="139"/>
      <c r="H10" s="139"/>
      <c r="I10" s="139"/>
      <c r="J10" s="139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V10" s="75"/>
      <c r="W10" s="75"/>
      <c r="Y10" s="5"/>
      <c r="Z10" s="5"/>
      <c r="AA10" s="5"/>
      <c r="AB10" s="5"/>
      <c r="AC10" s="5"/>
      <c r="AD10" s="5"/>
      <c r="AE10" s="5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</row>
    <row r="11" spans="1:50" ht="14.25" customHeight="1" x14ac:dyDescent="0.3">
      <c r="B11" s="26" t="s">
        <v>16</v>
      </c>
      <c r="C11" s="2"/>
      <c r="D11" s="2"/>
      <c r="E11" s="2">
        <f t="shared" ref="E11:I11" si="9">E12-SUM(E5:E10)</f>
        <v>0</v>
      </c>
      <c r="F11" s="142">
        <f t="shared" si="9"/>
        <v>0</v>
      </c>
      <c r="G11" s="142">
        <f t="shared" si="9"/>
        <v>0</v>
      </c>
      <c r="H11" s="142">
        <f t="shared" si="9"/>
        <v>0</v>
      </c>
      <c r="I11" s="142">
        <f t="shared" si="9"/>
        <v>0</v>
      </c>
      <c r="J11" s="142">
        <f>J12-SUM(J5:J10)</f>
        <v>0</v>
      </c>
      <c r="K11" s="140">
        <f t="shared" ref="K11:T12" si="10">SUMIF($Y$2:$AX$2,K$2,$Y11:$AX11)</f>
        <v>0</v>
      </c>
      <c r="L11" s="140">
        <f t="shared" si="10"/>
        <v>0</v>
      </c>
      <c r="M11" s="140">
        <f t="shared" si="10"/>
        <v>0</v>
      </c>
      <c r="N11" s="140">
        <f t="shared" si="10"/>
        <v>0</v>
      </c>
      <c r="O11" s="140">
        <f t="shared" si="10"/>
        <v>0</v>
      </c>
      <c r="P11" s="140">
        <f t="shared" si="10"/>
        <v>0</v>
      </c>
      <c r="Q11" s="140">
        <f t="shared" si="10"/>
        <v>0</v>
      </c>
      <c r="R11" s="140">
        <f t="shared" si="10"/>
        <v>0</v>
      </c>
      <c r="S11" s="140">
        <f t="shared" si="10"/>
        <v>0</v>
      </c>
      <c r="T11" s="140">
        <f t="shared" si="10"/>
        <v>0</v>
      </c>
      <c r="V11" s="75"/>
      <c r="W11" s="75"/>
      <c r="Y11" s="2">
        <f t="shared" ref="Y11:AD11" si="11">Y12-SUM(Y5:Y10)</f>
        <v>0</v>
      </c>
      <c r="Z11" s="2">
        <f t="shared" si="11"/>
        <v>0</v>
      </c>
      <c r="AA11" s="2">
        <f t="shared" si="11"/>
        <v>0</v>
      </c>
      <c r="AB11" s="2">
        <f t="shared" si="11"/>
        <v>0</v>
      </c>
      <c r="AC11" s="2">
        <f t="shared" si="11"/>
        <v>0</v>
      </c>
      <c r="AD11" s="2">
        <f t="shared" si="11"/>
        <v>0</v>
      </c>
      <c r="AE11" s="2">
        <f t="shared" ref="AE11" si="12">AE12-SUM(AE5:AE10)</f>
        <v>0</v>
      </c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</row>
    <row r="12" spans="1:50" ht="14.25" customHeight="1" x14ac:dyDescent="0.3">
      <c r="B12" s="27" t="s">
        <v>1</v>
      </c>
      <c r="C12" s="3"/>
      <c r="D12" s="3"/>
      <c r="E12" s="4">
        <v>7666.7210000000005</v>
      </c>
      <c r="F12" s="143">
        <v>9811.9410000000007</v>
      </c>
      <c r="G12" s="143">
        <v>13203.161</v>
      </c>
      <c r="H12" s="143">
        <v>13253.916999999999</v>
      </c>
      <c r="I12" s="143">
        <v>13731.411</v>
      </c>
      <c r="J12" s="143">
        <v>14621.616</v>
      </c>
      <c r="K12" s="144">
        <f t="shared" si="10"/>
        <v>15666.155357488235</v>
      </c>
      <c r="L12" s="144">
        <f t="shared" si="10"/>
        <v>17515.592756839382</v>
      </c>
      <c r="M12" s="144">
        <f t="shared" si="10"/>
        <v>19142.892968243432</v>
      </c>
      <c r="N12" s="144">
        <f t="shared" si="10"/>
        <v>21030.469243029878</v>
      </c>
      <c r="O12" s="144">
        <f t="shared" si="10"/>
        <v>23191.157216026564</v>
      </c>
      <c r="P12" s="144">
        <f t="shared" si="10"/>
        <v>25643.83453611099</v>
      </c>
      <c r="Q12" s="144">
        <f t="shared" si="10"/>
        <v>28412.946694099417</v>
      </c>
      <c r="R12" s="144">
        <f t="shared" si="10"/>
        <v>31528.288148558662</v>
      </c>
      <c r="S12" s="144">
        <f t="shared" si="10"/>
        <v>35024.987360830215</v>
      </c>
      <c r="T12" s="144">
        <f t="shared" si="10"/>
        <v>38943.659671855501</v>
      </c>
      <c r="U12" s="145"/>
      <c r="V12" s="76"/>
      <c r="W12" s="76"/>
      <c r="Y12" s="4">
        <v>7033.6059999999998</v>
      </c>
      <c r="Z12" s="4">
        <v>6220.3109999999997</v>
      </c>
      <c r="AA12" s="4">
        <v>6879.4639999999999</v>
      </c>
      <c r="AB12" s="4">
        <v>6851.947000000001</v>
      </c>
      <c r="AC12" s="4">
        <v>7311.9880000000003</v>
      </c>
      <c r="AD12" s="4">
        <v>7309.6280000000006</v>
      </c>
      <c r="AE12" s="4">
        <v>7833.0829999999996</v>
      </c>
      <c r="AF12" s="9">
        <f t="shared" ref="AF12:AJ12" si="13">SUM(AF5:AF11)</f>
        <v>7833.0723574882359</v>
      </c>
      <c r="AG12" s="9">
        <f t="shared" si="13"/>
        <v>8742.1705148570181</v>
      </c>
      <c r="AH12" s="9">
        <f t="shared" si="13"/>
        <v>8773.4222419823654</v>
      </c>
      <c r="AI12" s="9">
        <f t="shared" si="13"/>
        <v>9542.5550617644494</v>
      </c>
      <c r="AJ12" s="9">
        <f t="shared" si="13"/>
        <v>9600.3379064789824</v>
      </c>
      <c r="AK12" s="9">
        <f t="shared" ref="AK12:AX12" si="14">SUM(AK5:AK11)</f>
        <v>10472.821710129745</v>
      </c>
      <c r="AL12" s="9">
        <f t="shared" si="14"/>
        <v>10557.647532900133</v>
      </c>
      <c r="AM12" s="9">
        <f t="shared" si="14"/>
        <v>11538.820285415673</v>
      </c>
      <c r="AN12" s="9">
        <f t="shared" si="14"/>
        <v>11652.336930610889</v>
      </c>
      <c r="AO12" s="9">
        <f t="shared" si="14"/>
        <v>12749.479415048401</v>
      </c>
      <c r="AP12" s="9">
        <f t="shared" si="14"/>
        <v>12894.355121062586</v>
      </c>
      <c r="AQ12" s="9">
        <f t="shared" si="14"/>
        <v>14116.54191774082</v>
      </c>
      <c r="AR12" s="9">
        <f t="shared" si="14"/>
        <v>14296.404776358595</v>
      </c>
      <c r="AS12" s="9">
        <f t="shared" si="14"/>
        <v>15654.433448795753</v>
      </c>
      <c r="AT12" s="9">
        <f t="shared" si="14"/>
        <v>15873.854699762911</v>
      </c>
      <c r="AU12" s="9">
        <f t="shared" si="14"/>
        <v>17380.23703244326</v>
      </c>
      <c r="AV12" s="9">
        <f t="shared" si="14"/>
        <v>17644.750328386956</v>
      </c>
      <c r="AW12" s="9">
        <f t="shared" si="14"/>
        <v>19313.754186385773</v>
      </c>
      <c r="AX12" s="9">
        <f t="shared" si="14"/>
        <v>19629.905485469728</v>
      </c>
    </row>
    <row r="13" spans="1:50" s="21" customFormat="1" ht="14.25" customHeight="1" x14ac:dyDescent="0.3">
      <c r="A13" s="19"/>
      <c r="B13" s="33" t="s">
        <v>36</v>
      </c>
      <c r="C13" s="20"/>
      <c r="D13" s="20"/>
      <c r="E13" s="20"/>
      <c r="F13" s="146">
        <f t="shared" ref="F13:I13" si="15">F12/E12-1</f>
        <v>0.2798093213513313</v>
      </c>
      <c r="G13" s="146">
        <f t="shared" si="15"/>
        <v>0.34562172764797494</v>
      </c>
      <c r="H13" s="146">
        <f t="shared" si="15"/>
        <v>3.844230938333526E-3</v>
      </c>
      <c r="I13" s="146">
        <f t="shared" si="15"/>
        <v>3.6026632730535413E-2</v>
      </c>
      <c r="J13" s="146">
        <f>J12/I12-1</f>
        <v>6.4829827029429188E-2</v>
      </c>
      <c r="K13" s="146">
        <f t="shared" ref="K13" si="16">K12/J12-1</f>
        <v>7.1438024188860805E-2</v>
      </c>
      <c r="L13" s="146">
        <f t="shared" ref="L13" si="17">L12/K12-1</f>
        <v>0.11805304857181431</v>
      </c>
      <c r="M13" s="146">
        <f t="shared" ref="M13" si="18">M12/L12-1</f>
        <v>9.2905803074727844E-2</v>
      </c>
      <c r="N13" s="146">
        <f t="shared" ref="N13" si="19">N12/M12-1</f>
        <v>9.8604546236443325E-2</v>
      </c>
      <c r="O13" s="146">
        <f t="shared" ref="O13" si="20">O12/N12-1</f>
        <v>0.10274083512011045</v>
      </c>
      <c r="P13" s="146">
        <f t="shared" ref="P13" si="21">P12/O12-1</f>
        <v>0.10575916058166634</v>
      </c>
      <c r="Q13" s="146">
        <f t="shared" ref="Q13" si="22">Q12/P12-1</f>
        <v>0.10798354489805484</v>
      </c>
      <c r="R13" s="146">
        <f t="shared" ref="R13" si="23">R12/Q12-1</f>
        <v>0.10964513776060447</v>
      </c>
      <c r="S13" s="146">
        <f t="shared" ref="S13" si="24">S12/R12-1</f>
        <v>0.11090672591532402</v>
      </c>
      <c r="T13" s="146">
        <f t="shared" ref="T13" si="25">T12/S12-1</f>
        <v>0.11188219058167848</v>
      </c>
      <c r="U13" s="146"/>
      <c r="V13" s="77"/>
      <c r="W13" s="77"/>
      <c r="X13" s="19"/>
      <c r="Y13" s="20"/>
      <c r="Z13" s="20"/>
      <c r="AA13" s="20">
        <f t="shared" ref="AA13:AB13" si="26">AA12/Y12-1</f>
        <v>-2.1915074571990489E-2</v>
      </c>
      <c r="AB13" s="20">
        <f t="shared" si="26"/>
        <v>0.10154411893553261</v>
      </c>
      <c r="AC13" s="20">
        <f>AC12/AA12-1</f>
        <v>6.2871758613752604E-2</v>
      </c>
      <c r="AD13" s="20">
        <f t="shared" ref="AD13" si="27">AD12/AB12-1</f>
        <v>6.679575892808276E-2</v>
      </c>
      <c r="AE13" s="20">
        <f t="shared" ref="AE13:AF13" si="28">AE12/AC12-1</f>
        <v>7.1265844528191069E-2</v>
      </c>
      <c r="AF13" s="20">
        <f t="shared" si="28"/>
        <v>7.1610259439773838E-2</v>
      </c>
      <c r="AG13" s="20">
        <f t="shared" ref="AG13" si="29">AG12/AE12-1</f>
        <v>0.11605743420017611</v>
      </c>
      <c r="AH13" s="20">
        <f t="shared" ref="AH13:AI13" si="30">AH12/AF12-1</f>
        <v>0.12004866565482142</v>
      </c>
      <c r="AI13" s="20">
        <f t="shared" si="30"/>
        <v>9.1554442406174275E-2</v>
      </c>
      <c r="AJ13" s="20">
        <f t="shared" ref="AJ13" si="31">AJ12/AH12-1</f>
        <v>9.4252350073803726E-2</v>
      </c>
      <c r="AK13" s="20">
        <f t="shared" ref="AK13:AL13" si="32">AK12/AI12-1</f>
        <v>9.7486117957310103E-2</v>
      </c>
      <c r="AL13" s="20">
        <f t="shared" si="32"/>
        <v>9.9716242880897976E-2</v>
      </c>
      <c r="AM13" s="20">
        <f t="shared" ref="AM13" si="33">AM12/AK12-1</f>
        <v>0.10178714054253879</v>
      </c>
      <c r="AN13" s="20">
        <f t="shared" ref="AN13:AO13" si="34">AN12/AL12-1</f>
        <v>0.10368686720213427</v>
      </c>
      <c r="AO13" s="20">
        <f t="shared" si="34"/>
        <v>0.10492052910841521</v>
      </c>
      <c r="AP13" s="20">
        <f t="shared" ref="AP13" si="35">AP12/AN12-1</f>
        <v>0.10658962213741807</v>
      </c>
      <c r="AQ13" s="20">
        <f t="shared" ref="AQ13:AR13" si="36">AQ12/AO12-1</f>
        <v>0.10722496646246227</v>
      </c>
      <c r="AR13" s="20">
        <f t="shared" si="36"/>
        <v>0.10873360025626999</v>
      </c>
      <c r="AS13" s="20">
        <f t="shared" ref="AS13" si="37">AS12/AQ12-1</f>
        <v>0.10894251155959123</v>
      </c>
      <c r="AT13" s="20">
        <f t="shared" ref="AT13:AU13" si="38">AT12/AR12-1</f>
        <v>0.11033892423169789</v>
      </c>
      <c r="AU13" s="20">
        <f t="shared" si="38"/>
        <v>0.11024375869573655</v>
      </c>
      <c r="AV13" s="20">
        <f t="shared" ref="AV13" si="39">AV12/AT12-1</f>
        <v>0.11156052906610614</v>
      </c>
      <c r="AW13" s="20">
        <f t="shared" ref="AW13:AX13" si="40">AW12/AU12-1</f>
        <v>0.11124803133198147</v>
      </c>
      <c r="AX13" s="20">
        <f t="shared" si="40"/>
        <v>0.1125068431197378</v>
      </c>
    </row>
    <row r="14" spans="1:50" s="21" customFormat="1" ht="14.25" customHeight="1" outlineLevel="1" x14ac:dyDescent="0.3">
      <c r="A14" s="19"/>
      <c r="B14" s="71" t="str">
        <f>B5</f>
        <v>Power equipment</v>
      </c>
      <c r="C14" s="20"/>
      <c r="D14" s="20"/>
      <c r="E14" s="20"/>
      <c r="F14" s="146">
        <f t="shared" ref="F14:N14" si="41">F5/E5-1</f>
        <v>0.28540425595824437</v>
      </c>
      <c r="G14" s="146">
        <f t="shared" si="41"/>
        <v>0.37011556109670263</v>
      </c>
      <c r="H14" s="146">
        <f t="shared" si="41"/>
        <v>3.0781987729843863E-2</v>
      </c>
      <c r="I14" s="146">
        <f t="shared" si="41"/>
        <v>3.7754426103961958E-2</v>
      </c>
      <c r="J14" s="146">
        <f t="shared" si="41"/>
        <v>7.2557467446290325E-2</v>
      </c>
      <c r="K14" s="146">
        <f t="shared" si="41"/>
        <v>8.0971997839538901E-2</v>
      </c>
      <c r="L14" s="146">
        <f t="shared" si="41"/>
        <v>0.12747977175324987</v>
      </c>
      <c r="M14" s="146">
        <f t="shared" si="41"/>
        <v>9.9660083225232787E-2</v>
      </c>
      <c r="N14" s="146">
        <f t="shared" si="41"/>
        <v>0.10467227900625531</v>
      </c>
      <c r="O14" s="146">
        <f t="shared" ref="O14:R14" si="42">O5/N5-1</f>
        <v>0.10810422860399727</v>
      </c>
      <c r="P14" s="146">
        <f t="shared" si="42"/>
        <v>0.11044816984112571</v>
      </c>
      <c r="Q14" s="146">
        <f t="shared" si="42"/>
        <v>0.11205232912667795</v>
      </c>
      <c r="R14" s="146">
        <f t="shared" si="42"/>
        <v>0.11315756132542876</v>
      </c>
      <c r="S14" s="146">
        <f t="shared" ref="S14:S18" si="43">S5/R5-1</f>
        <v>0.1139280154672786</v>
      </c>
      <c r="T14" s="146">
        <f t="shared" ref="T14:T18" si="44">T5/S5-1</f>
        <v>0.1144744812831886</v>
      </c>
      <c r="U14" s="146"/>
      <c r="V14" s="77"/>
      <c r="W14" s="77"/>
      <c r="X14" s="19"/>
      <c r="Y14" s="20"/>
      <c r="Z14" s="20"/>
      <c r="AA14" s="20">
        <f t="shared" ref="AA14:AB18" si="45">AA5/Y5-1</f>
        <v>-1.6977636051518918E-2</v>
      </c>
      <c r="AB14" s="20">
        <f t="shared" si="45"/>
        <v>0.10002325122120936</v>
      </c>
      <c r="AC14" s="20">
        <f>AC5/AA5-1</f>
        <v>6.7318829356654231E-2</v>
      </c>
      <c r="AD14" s="20">
        <f t="shared" ref="AD14:AD18" si="46">AD5/AB5-1</f>
        <v>7.788356098851934E-2</v>
      </c>
      <c r="AE14" s="20">
        <f t="shared" ref="AE14:AF18" si="47">AE5/AC5-1</f>
        <v>7.852562868829227E-2</v>
      </c>
      <c r="AF14" s="20">
        <f t="shared" si="47"/>
        <v>8.3434829385412801E-2</v>
      </c>
      <c r="AG14" s="20">
        <f t="shared" ref="AG14:AG18" si="48">AG5/AE5-1</f>
        <v>0.1251826705830914</v>
      </c>
      <c r="AH14" s="20">
        <f t="shared" ref="AH14:AI18" si="49">AH5/AF5-1</f>
        <v>0.1297818523050065</v>
      </c>
      <c r="AI14" s="20">
        <f t="shared" si="49"/>
        <v>9.8122090493256708E-2</v>
      </c>
      <c r="AJ14" s="20">
        <f t="shared" ref="AJ14:AJ18" si="50">AJ5/AH5-1</f>
        <v>0.10119513531211632</v>
      </c>
      <c r="AK14" s="20">
        <f t="shared" ref="AK14:AL18" si="51">AK5/AI5-1</f>
        <v>0.1034059650919319</v>
      </c>
      <c r="AL14" s="20">
        <f t="shared" si="51"/>
        <v>0.10593264464987695</v>
      </c>
      <c r="AM14" s="20">
        <f t="shared" ref="AM14:AM18" si="52">AM5/AK5-1</f>
        <v>0.10703258877283583</v>
      </c>
      <c r="AN14" s="20">
        <f t="shared" ref="AN14:AO18" si="53">AN5/AL5-1</f>
        <v>0.10916839777765763</v>
      </c>
      <c r="AO14" s="20">
        <f t="shared" si="53"/>
        <v>0.1095148338284806</v>
      </c>
      <c r="AP14" s="20">
        <f t="shared" ref="AP14:AP18" si="54">AP5/AN5-1</f>
        <v>0.11137321464709649</v>
      </c>
      <c r="AQ14" s="20">
        <f t="shared" ref="AQ14:AR18" si="55">AQ5/AO5-1</f>
        <v>0.1112172633314803</v>
      </c>
      <c r="AR14" s="20">
        <f t="shared" si="55"/>
        <v>0.1128785927403988</v>
      </c>
      <c r="AS14" s="20">
        <f t="shared" ref="AS14:AS18" si="56">AS5/AQ5-1</f>
        <v>0.11239288430168015</v>
      </c>
      <c r="AT14" s="20">
        <f t="shared" ref="AT14:AU18" si="57">AT5/AR5-1</f>
        <v>0.11391304862088747</v>
      </c>
      <c r="AU14" s="20">
        <f t="shared" si="57"/>
        <v>0.11321455222524102</v>
      </c>
      <c r="AV14" s="20">
        <f t="shared" ref="AV14:AV18" si="58">AV5/AT5-1</f>
        <v>0.11463194249097719</v>
      </c>
      <c r="AW14" s="20">
        <f t="shared" ref="AW14:AX18" si="59">AW5/AU5-1</f>
        <v>0.1137991490411101</v>
      </c>
      <c r="AX14" s="20">
        <f t="shared" si="59"/>
        <v>0.11513993968071246</v>
      </c>
    </row>
    <row r="15" spans="1:50" s="21" customFormat="1" ht="14.25" customHeight="1" outlineLevel="1" x14ac:dyDescent="0.3">
      <c r="A15" s="19"/>
      <c r="B15" s="71" t="str">
        <f t="shared" ref="B15:B18" si="60">B6</f>
        <v>Floor care</v>
      </c>
      <c r="C15" s="20"/>
      <c r="D15" s="20"/>
      <c r="E15" s="20"/>
      <c r="F15" s="146">
        <f t="shared" ref="F15:N15" si="61">F6/E6-1</f>
        <v>0.23639321897562504</v>
      </c>
      <c r="G15" s="146">
        <f t="shared" si="61"/>
        <v>0.1480177432769616</v>
      </c>
      <c r="H15" s="146">
        <f t="shared" si="61"/>
        <v>-0.25551933154628215</v>
      </c>
      <c r="I15" s="146">
        <f t="shared" si="61"/>
        <v>1.2993514595943667E-2</v>
      </c>
      <c r="J15" s="146">
        <f t="shared" si="61"/>
        <v>-4.0704991017897041E-2</v>
      </c>
      <c r="K15" s="146">
        <f t="shared" si="61"/>
        <v>-7.413844900793165E-2</v>
      </c>
      <c r="L15" s="146">
        <f t="shared" si="61"/>
        <v>-5.0000000000000155E-2</v>
      </c>
      <c r="M15" s="146">
        <f t="shared" si="61"/>
        <v>-5.0000000000000044E-2</v>
      </c>
      <c r="N15" s="146">
        <f t="shared" si="61"/>
        <v>-5.0000000000000155E-2</v>
      </c>
      <c r="O15" s="146">
        <f t="shared" ref="O15:O18" si="62">O6/N6-1</f>
        <v>-5.0000000000000155E-2</v>
      </c>
      <c r="P15" s="146">
        <f t="shared" ref="P15:P18" si="63">P6/O6-1</f>
        <v>-4.9999999999999933E-2</v>
      </c>
      <c r="Q15" s="146">
        <f t="shared" ref="Q15:Q18" si="64">Q6/P6-1</f>
        <v>-5.0000000000000044E-2</v>
      </c>
      <c r="R15" s="146">
        <f t="shared" ref="R15:R18" si="65">R6/Q6-1</f>
        <v>-5.0000000000000155E-2</v>
      </c>
      <c r="S15" s="146">
        <f t="shared" si="43"/>
        <v>-4.9999999999999933E-2</v>
      </c>
      <c r="T15" s="146">
        <f t="shared" si="44"/>
        <v>-5.0000000000000044E-2</v>
      </c>
      <c r="U15" s="146"/>
      <c r="V15" s="77"/>
      <c r="W15" s="77"/>
      <c r="X15" s="19"/>
      <c r="Y15" s="20"/>
      <c r="Z15" s="20"/>
      <c r="AA15" s="20">
        <f t="shared" si="45"/>
        <v>-9.0557954463593271E-2</v>
      </c>
      <c r="AB15" s="20">
        <f t="shared" si="45"/>
        <v>0.12091275238919619</v>
      </c>
      <c r="AC15" s="20">
        <f t="shared" ref="AC15:AC18" si="66">AC6/AA6-1</f>
        <v>-3.9558934191926687E-3</v>
      </c>
      <c r="AD15" s="20">
        <f t="shared" si="46"/>
        <v>-7.1778657683745584E-2</v>
      </c>
      <c r="AE15" s="20">
        <f t="shared" si="47"/>
        <v>-4.5636029798730937E-2</v>
      </c>
      <c r="AF15" s="20">
        <f t="shared" si="47"/>
        <v>-9.9999999999999978E-2</v>
      </c>
      <c r="AG15" s="20">
        <f t="shared" si="48"/>
        <v>-5.0000000000000155E-2</v>
      </c>
      <c r="AH15" s="20">
        <f t="shared" si="49"/>
        <v>-5.0000000000000044E-2</v>
      </c>
      <c r="AI15" s="20">
        <f t="shared" si="49"/>
        <v>-5.0000000000000155E-2</v>
      </c>
      <c r="AJ15" s="20">
        <f t="shared" si="50"/>
        <v>-5.0000000000000044E-2</v>
      </c>
      <c r="AK15" s="20">
        <f t="shared" si="51"/>
        <v>-5.0000000000000044E-2</v>
      </c>
      <c r="AL15" s="20">
        <f t="shared" si="51"/>
        <v>-5.0000000000000044E-2</v>
      </c>
      <c r="AM15" s="20">
        <f t="shared" si="52"/>
        <v>-4.9999999999999933E-2</v>
      </c>
      <c r="AN15" s="20">
        <f t="shared" si="53"/>
        <v>-5.0000000000000044E-2</v>
      </c>
      <c r="AO15" s="20">
        <f t="shared" si="53"/>
        <v>-5.0000000000000044E-2</v>
      </c>
      <c r="AP15" s="20">
        <f t="shared" si="54"/>
        <v>-5.0000000000000044E-2</v>
      </c>
      <c r="AQ15" s="20">
        <f t="shared" si="55"/>
        <v>-5.0000000000000155E-2</v>
      </c>
      <c r="AR15" s="20">
        <f t="shared" si="55"/>
        <v>-5.0000000000000044E-2</v>
      </c>
      <c r="AS15" s="20">
        <f t="shared" si="56"/>
        <v>-5.0000000000000044E-2</v>
      </c>
      <c r="AT15" s="20">
        <f t="shared" si="57"/>
        <v>-5.0000000000000044E-2</v>
      </c>
      <c r="AU15" s="20">
        <f t="shared" si="57"/>
        <v>-5.0000000000000044E-2</v>
      </c>
      <c r="AV15" s="20">
        <f t="shared" si="58"/>
        <v>-5.0000000000000044E-2</v>
      </c>
      <c r="AW15" s="20">
        <f t="shared" si="59"/>
        <v>-5.0000000000000155E-2</v>
      </c>
      <c r="AX15" s="20">
        <f t="shared" si="59"/>
        <v>-5.0000000000000155E-2</v>
      </c>
    </row>
    <row r="16" spans="1:50" ht="14.25" customHeight="1" outlineLevel="1" x14ac:dyDescent="0.3">
      <c r="B16" s="71">
        <f t="shared" si="60"/>
        <v>0</v>
      </c>
      <c r="C16" s="20"/>
      <c r="D16" s="20"/>
      <c r="E16" s="20"/>
      <c r="F16" s="146" t="e">
        <f t="shared" ref="F16:N16" si="67">F7/E7-1</f>
        <v>#DIV/0!</v>
      </c>
      <c r="G16" s="146" t="e">
        <f t="shared" si="67"/>
        <v>#DIV/0!</v>
      </c>
      <c r="H16" s="146" t="e">
        <f t="shared" si="67"/>
        <v>#DIV/0!</v>
      </c>
      <c r="I16" s="146" t="e">
        <f t="shared" si="67"/>
        <v>#DIV/0!</v>
      </c>
      <c r="J16" s="146" t="e">
        <f t="shared" si="67"/>
        <v>#DIV/0!</v>
      </c>
      <c r="K16" s="146" t="e">
        <f t="shared" si="67"/>
        <v>#DIV/0!</v>
      </c>
      <c r="L16" s="146" t="e">
        <f t="shared" si="67"/>
        <v>#DIV/0!</v>
      </c>
      <c r="M16" s="146" t="e">
        <f t="shared" si="67"/>
        <v>#DIV/0!</v>
      </c>
      <c r="N16" s="146" t="e">
        <f t="shared" si="67"/>
        <v>#DIV/0!</v>
      </c>
      <c r="O16" s="146" t="e">
        <f t="shared" si="62"/>
        <v>#DIV/0!</v>
      </c>
      <c r="P16" s="146" t="e">
        <f t="shared" si="63"/>
        <v>#DIV/0!</v>
      </c>
      <c r="Q16" s="146" t="e">
        <f t="shared" si="64"/>
        <v>#DIV/0!</v>
      </c>
      <c r="R16" s="146" t="e">
        <f t="shared" si="65"/>
        <v>#DIV/0!</v>
      </c>
      <c r="S16" s="146" t="e">
        <f t="shared" si="43"/>
        <v>#DIV/0!</v>
      </c>
      <c r="T16" s="146" t="e">
        <f t="shared" si="44"/>
        <v>#DIV/0!</v>
      </c>
      <c r="U16" s="146"/>
      <c r="V16" s="77"/>
      <c r="W16" s="77"/>
      <c r="X16" s="19"/>
      <c r="Y16" s="20"/>
      <c r="Z16" s="20"/>
      <c r="AA16" s="20" t="e">
        <f t="shared" si="45"/>
        <v>#DIV/0!</v>
      </c>
      <c r="AB16" s="20" t="e">
        <f t="shared" si="45"/>
        <v>#DIV/0!</v>
      </c>
      <c r="AC16" s="20" t="e">
        <f t="shared" si="66"/>
        <v>#DIV/0!</v>
      </c>
      <c r="AD16" s="20" t="e">
        <f t="shared" si="46"/>
        <v>#DIV/0!</v>
      </c>
      <c r="AE16" s="20" t="e">
        <f t="shared" si="47"/>
        <v>#DIV/0!</v>
      </c>
      <c r="AF16" s="20" t="e">
        <f t="shared" si="47"/>
        <v>#DIV/0!</v>
      </c>
      <c r="AG16" s="20" t="e">
        <f t="shared" si="48"/>
        <v>#DIV/0!</v>
      </c>
      <c r="AH16" s="20" t="e">
        <f t="shared" si="49"/>
        <v>#DIV/0!</v>
      </c>
      <c r="AI16" s="20" t="e">
        <f t="shared" si="49"/>
        <v>#DIV/0!</v>
      </c>
      <c r="AJ16" s="20" t="e">
        <f t="shared" si="50"/>
        <v>#DIV/0!</v>
      </c>
      <c r="AK16" s="20" t="e">
        <f t="shared" si="51"/>
        <v>#DIV/0!</v>
      </c>
      <c r="AL16" s="20" t="e">
        <f t="shared" si="51"/>
        <v>#DIV/0!</v>
      </c>
      <c r="AM16" s="20" t="e">
        <f t="shared" si="52"/>
        <v>#DIV/0!</v>
      </c>
      <c r="AN16" s="20" t="e">
        <f t="shared" si="53"/>
        <v>#DIV/0!</v>
      </c>
      <c r="AO16" s="20" t="e">
        <f t="shared" si="53"/>
        <v>#DIV/0!</v>
      </c>
      <c r="AP16" s="20" t="e">
        <f t="shared" si="54"/>
        <v>#DIV/0!</v>
      </c>
      <c r="AQ16" s="20" t="e">
        <f t="shared" si="55"/>
        <v>#DIV/0!</v>
      </c>
      <c r="AR16" s="20" t="e">
        <f t="shared" si="55"/>
        <v>#DIV/0!</v>
      </c>
      <c r="AS16" s="20" t="e">
        <f t="shared" si="56"/>
        <v>#DIV/0!</v>
      </c>
      <c r="AT16" s="20" t="e">
        <f t="shared" si="57"/>
        <v>#DIV/0!</v>
      </c>
      <c r="AU16" s="20" t="e">
        <f t="shared" si="57"/>
        <v>#DIV/0!</v>
      </c>
      <c r="AV16" s="20" t="e">
        <f t="shared" si="58"/>
        <v>#DIV/0!</v>
      </c>
      <c r="AW16" s="20" t="e">
        <f t="shared" si="59"/>
        <v>#DIV/0!</v>
      </c>
      <c r="AX16" s="20" t="e">
        <f t="shared" si="59"/>
        <v>#DIV/0!</v>
      </c>
    </row>
    <row r="17" spans="1:50" ht="14.25" customHeight="1" outlineLevel="1" x14ac:dyDescent="0.3">
      <c r="B17" s="71">
        <f t="shared" si="60"/>
        <v>0</v>
      </c>
      <c r="C17" s="20"/>
      <c r="D17" s="20"/>
      <c r="E17" s="20"/>
      <c r="F17" s="146" t="e">
        <f t="shared" ref="F17:N17" si="68">F8/E8-1</f>
        <v>#DIV/0!</v>
      </c>
      <c r="G17" s="146" t="e">
        <f t="shared" si="68"/>
        <v>#DIV/0!</v>
      </c>
      <c r="H17" s="146" t="e">
        <f t="shared" si="68"/>
        <v>#DIV/0!</v>
      </c>
      <c r="I17" s="146" t="e">
        <f t="shared" si="68"/>
        <v>#DIV/0!</v>
      </c>
      <c r="J17" s="146" t="e">
        <f t="shared" si="68"/>
        <v>#DIV/0!</v>
      </c>
      <c r="K17" s="146" t="e">
        <f t="shared" si="68"/>
        <v>#DIV/0!</v>
      </c>
      <c r="L17" s="146" t="e">
        <f t="shared" si="68"/>
        <v>#DIV/0!</v>
      </c>
      <c r="M17" s="146" t="e">
        <f t="shared" si="68"/>
        <v>#DIV/0!</v>
      </c>
      <c r="N17" s="146" t="e">
        <f t="shared" si="68"/>
        <v>#DIV/0!</v>
      </c>
      <c r="O17" s="146" t="e">
        <f t="shared" si="62"/>
        <v>#DIV/0!</v>
      </c>
      <c r="P17" s="146" t="e">
        <f t="shared" si="63"/>
        <v>#DIV/0!</v>
      </c>
      <c r="Q17" s="146" t="e">
        <f t="shared" si="64"/>
        <v>#DIV/0!</v>
      </c>
      <c r="R17" s="146" t="e">
        <f t="shared" si="65"/>
        <v>#DIV/0!</v>
      </c>
      <c r="S17" s="146" t="e">
        <f t="shared" si="43"/>
        <v>#DIV/0!</v>
      </c>
      <c r="T17" s="146" t="e">
        <f t="shared" si="44"/>
        <v>#DIV/0!</v>
      </c>
      <c r="U17" s="146"/>
      <c r="V17" s="77"/>
      <c r="W17" s="77"/>
      <c r="X17" s="19"/>
      <c r="Y17" s="20"/>
      <c r="Z17" s="20"/>
      <c r="AA17" s="20" t="e">
        <f t="shared" si="45"/>
        <v>#DIV/0!</v>
      </c>
      <c r="AB17" s="20" t="e">
        <f t="shared" si="45"/>
        <v>#DIV/0!</v>
      </c>
      <c r="AC17" s="20" t="e">
        <f t="shared" si="66"/>
        <v>#DIV/0!</v>
      </c>
      <c r="AD17" s="20" t="e">
        <f t="shared" si="46"/>
        <v>#DIV/0!</v>
      </c>
      <c r="AE17" s="20" t="e">
        <f t="shared" si="47"/>
        <v>#DIV/0!</v>
      </c>
      <c r="AF17" s="20" t="e">
        <f t="shared" si="47"/>
        <v>#DIV/0!</v>
      </c>
      <c r="AG17" s="20" t="e">
        <f t="shared" si="48"/>
        <v>#DIV/0!</v>
      </c>
      <c r="AH17" s="20" t="e">
        <f t="shared" si="49"/>
        <v>#DIV/0!</v>
      </c>
      <c r="AI17" s="20" t="e">
        <f t="shared" si="49"/>
        <v>#DIV/0!</v>
      </c>
      <c r="AJ17" s="20" t="e">
        <f t="shared" si="50"/>
        <v>#DIV/0!</v>
      </c>
      <c r="AK17" s="20" t="e">
        <f t="shared" si="51"/>
        <v>#DIV/0!</v>
      </c>
      <c r="AL17" s="20" t="e">
        <f t="shared" si="51"/>
        <v>#DIV/0!</v>
      </c>
      <c r="AM17" s="20" t="e">
        <f t="shared" si="52"/>
        <v>#DIV/0!</v>
      </c>
      <c r="AN17" s="20" t="e">
        <f t="shared" si="53"/>
        <v>#DIV/0!</v>
      </c>
      <c r="AO17" s="20" t="e">
        <f t="shared" si="53"/>
        <v>#DIV/0!</v>
      </c>
      <c r="AP17" s="20" t="e">
        <f t="shared" si="54"/>
        <v>#DIV/0!</v>
      </c>
      <c r="AQ17" s="20" t="e">
        <f t="shared" si="55"/>
        <v>#DIV/0!</v>
      </c>
      <c r="AR17" s="20" t="e">
        <f t="shared" si="55"/>
        <v>#DIV/0!</v>
      </c>
      <c r="AS17" s="20" t="e">
        <f t="shared" si="56"/>
        <v>#DIV/0!</v>
      </c>
      <c r="AT17" s="20" t="e">
        <f t="shared" si="57"/>
        <v>#DIV/0!</v>
      </c>
      <c r="AU17" s="20" t="e">
        <f t="shared" si="57"/>
        <v>#DIV/0!</v>
      </c>
      <c r="AV17" s="20" t="e">
        <f t="shared" si="58"/>
        <v>#DIV/0!</v>
      </c>
      <c r="AW17" s="20" t="e">
        <f t="shared" si="59"/>
        <v>#DIV/0!</v>
      </c>
      <c r="AX17" s="20" t="e">
        <f t="shared" si="59"/>
        <v>#DIV/0!</v>
      </c>
    </row>
    <row r="18" spans="1:50" ht="14.25" customHeight="1" outlineLevel="1" x14ac:dyDescent="0.3">
      <c r="B18" s="71">
        <f t="shared" si="60"/>
        <v>0</v>
      </c>
      <c r="C18" s="20"/>
      <c r="D18" s="20"/>
      <c r="E18" s="20"/>
      <c r="F18" s="146" t="e">
        <f t="shared" ref="F18:N18" si="69">F9/E9-1</f>
        <v>#DIV/0!</v>
      </c>
      <c r="G18" s="146" t="e">
        <f t="shared" si="69"/>
        <v>#DIV/0!</v>
      </c>
      <c r="H18" s="146" t="e">
        <f t="shared" si="69"/>
        <v>#DIV/0!</v>
      </c>
      <c r="I18" s="146" t="e">
        <f t="shared" si="69"/>
        <v>#DIV/0!</v>
      </c>
      <c r="J18" s="146" t="e">
        <f t="shared" si="69"/>
        <v>#DIV/0!</v>
      </c>
      <c r="K18" s="146" t="e">
        <f t="shared" si="69"/>
        <v>#DIV/0!</v>
      </c>
      <c r="L18" s="146" t="e">
        <f t="shared" si="69"/>
        <v>#DIV/0!</v>
      </c>
      <c r="M18" s="146" t="e">
        <f t="shared" si="69"/>
        <v>#DIV/0!</v>
      </c>
      <c r="N18" s="146" t="e">
        <f t="shared" si="69"/>
        <v>#DIV/0!</v>
      </c>
      <c r="O18" s="146" t="e">
        <f t="shared" si="62"/>
        <v>#DIV/0!</v>
      </c>
      <c r="P18" s="146" t="e">
        <f t="shared" si="63"/>
        <v>#DIV/0!</v>
      </c>
      <c r="Q18" s="146" t="e">
        <f t="shared" si="64"/>
        <v>#DIV/0!</v>
      </c>
      <c r="R18" s="146" t="e">
        <f t="shared" si="65"/>
        <v>#DIV/0!</v>
      </c>
      <c r="S18" s="146" t="e">
        <f t="shared" si="43"/>
        <v>#DIV/0!</v>
      </c>
      <c r="T18" s="146" t="e">
        <f t="shared" si="44"/>
        <v>#DIV/0!</v>
      </c>
      <c r="U18" s="146"/>
      <c r="V18" s="77"/>
      <c r="W18" s="77"/>
      <c r="X18" s="19"/>
      <c r="Y18" s="20"/>
      <c r="Z18" s="20"/>
      <c r="AA18" s="20" t="e">
        <f t="shared" si="45"/>
        <v>#DIV/0!</v>
      </c>
      <c r="AB18" s="20" t="e">
        <f t="shared" si="45"/>
        <v>#DIV/0!</v>
      </c>
      <c r="AC18" s="20" t="e">
        <f t="shared" si="66"/>
        <v>#DIV/0!</v>
      </c>
      <c r="AD18" s="20" t="e">
        <f t="shared" si="46"/>
        <v>#DIV/0!</v>
      </c>
      <c r="AE18" s="20" t="e">
        <f t="shared" si="47"/>
        <v>#DIV/0!</v>
      </c>
      <c r="AF18" s="20" t="e">
        <f t="shared" si="47"/>
        <v>#DIV/0!</v>
      </c>
      <c r="AG18" s="20" t="e">
        <f t="shared" si="48"/>
        <v>#DIV/0!</v>
      </c>
      <c r="AH18" s="20" t="e">
        <f t="shared" si="49"/>
        <v>#DIV/0!</v>
      </c>
      <c r="AI18" s="20" t="e">
        <f t="shared" si="49"/>
        <v>#DIV/0!</v>
      </c>
      <c r="AJ18" s="20" t="e">
        <f t="shared" si="50"/>
        <v>#DIV/0!</v>
      </c>
      <c r="AK18" s="20" t="e">
        <f t="shared" si="51"/>
        <v>#DIV/0!</v>
      </c>
      <c r="AL18" s="20" t="e">
        <f t="shared" si="51"/>
        <v>#DIV/0!</v>
      </c>
      <c r="AM18" s="20" t="e">
        <f t="shared" si="52"/>
        <v>#DIV/0!</v>
      </c>
      <c r="AN18" s="20" t="e">
        <f t="shared" si="53"/>
        <v>#DIV/0!</v>
      </c>
      <c r="AO18" s="20" t="e">
        <f t="shared" si="53"/>
        <v>#DIV/0!</v>
      </c>
      <c r="AP18" s="20" t="e">
        <f t="shared" si="54"/>
        <v>#DIV/0!</v>
      </c>
      <c r="AQ18" s="20" t="e">
        <f t="shared" si="55"/>
        <v>#DIV/0!</v>
      </c>
      <c r="AR18" s="20" t="e">
        <f t="shared" si="55"/>
        <v>#DIV/0!</v>
      </c>
      <c r="AS18" s="20" t="e">
        <f t="shared" si="56"/>
        <v>#DIV/0!</v>
      </c>
      <c r="AT18" s="20" t="e">
        <f t="shared" si="57"/>
        <v>#DIV/0!</v>
      </c>
      <c r="AU18" s="20" t="e">
        <f t="shared" si="57"/>
        <v>#DIV/0!</v>
      </c>
      <c r="AV18" s="20" t="e">
        <f t="shared" si="58"/>
        <v>#DIV/0!</v>
      </c>
      <c r="AW18" s="20" t="e">
        <f t="shared" si="59"/>
        <v>#DIV/0!</v>
      </c>
      <c r="AX18" s="20" t="e">
        <f t="shared" si="59"/>
        <v>#DIV/0!</v>
      </c>
    </row>
    <row r="19" spans="1:50" s="12" customFormat="1" ht="14.25" customHeight="1" x14ac:dyDescent="0.3">
      <c r="B19" s="25"/>
      <c r="E19" s="16">
        <f t="shared" ref="E19:I19" si="70">E6/E12</f>
        <v>0.11415662575956526</v>
      </c>
      <c r="F19" s="147">
        <f t="shared" si="70"/>
        <v>0.11028398968155229</v>
      </c>
      <c r="G19" s="147">
        <f t="shared" si="70"/>
        <v>9.408883221222554E-2</v>
      </c>
      <c r="H19" s="147">
        <f t="shared" si="70"/>
        <v>6.9779069840259306E-2</v>
      </c>
      <c r="I19" s="147">
        <f t="shared" si="70"/>
        <v>6.8227729837814929E-2</v>
      </c>
      <c r="J19" s="147">
        <f>J6/J12</f>
        <v>6.1465709399015807E-2</v>
      </c>
      <c r="K19" s="134"/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72"/>
      <c r="W19" s="72"/>
    </row>
    <row r="20" spans="1:50" s="12" customFormat="1" ht="14.25" customHeight="1" x14ac:dyDescent="0.3">
      <c r="B20" s="28" t="s">
        <v>37</v>
      </c>
      <c r="C20" s="23"/>
      <c r="D20" s="23"/>
      <c r="E20" s="23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34"/>
      <c r="V20" s="78"/>
      <c r="W20" s="78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</row>
    <row r="21" spans="1:50" s="21" customFormat="1" ht="14.25" customHeight="1" x14ac:dyDescent="0.3">
      <c r="A21" s="19"/>
      <c r="B21" s="108" t="s">
        <v>76</v>
      </c>
      <c r="C21" s="69"/>
      <c r="D21" s="69"/>
      <c r="E21" s="6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50"/>
      <c r="V21" s="80"/>
      <c r="W21" s="80"/>
      <c r="X21" s="70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</row>
    <row r="22" spans="1:50" s="21" customFormat="1" ht="14.25" customHeight="1" x14ac:dyDescent="0.3">
      <c r="A22" s="19"/>
      <c r="B22" s="68" t="s">
        <v>73</v>
      </c>
      <c r="C22" s="69"/>
      <c r="D22" s="69"/>
      <c r="E22" s="69"/>
      <c r="F22" s="149"/>
      <c r="G22" s="149"/>
      <c r="H22" s="149"/>
      <c r="I22" s="149"/>
      <c r="J22" s="151">
        <f>1-J24-J23</f>
        <v>0.69166666666666665</v>
      </c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50"/>
      <c r="V22" s="80"/>
      <c r="W22" s="80"/>
      <c r="X22" s="70"/>
      <c r="Y22" s="69"/>
      <c r="Z22" s="69"/>
      <c r="AA22" s="69"/>
      <c r="AB22" s="69"/>
      <c r="AC22" s="69"/>
      <c r="AD22" s="104">
        <f>$J22</f>
        <v>0.69166666666666665</v>
      </c>
      <c r="AE22" s="104">
        <f>1-AE24-AE23</f>
        <v>0.7</v>
      </c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</row>
    <row r="23" spans="1:50" s="21" customFormat="1" ht="14.25" customHeight="1" x14ac:dyDescent="0.3">
      <c r="A23" s="19"/>
      <c r="B23" s="68" t="s">
        <v>74</v>
      </c>
      <c r="C23" s="69"/>
      <c r="D23" s="69"/>
      <c r="E23" s="69"/>
      <c r="F23" s="149"/>
      <c r="G23" s="149"/>
      <c r="H23" s="149"/>
      <c r="I23" s="149"/>
      <c r="J23" s="152">
        <f>111/360-J24</f>
        <v>0.16388888888888892</v>
      </c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50"/>
      <c r="V23" s="80"/>
      <c r="W23" s="80"/>
      <c r="X23" s="70"/>
      <c r="Y23" s="69"/>
      <c r="Z23" s="69"/>
      <c r="AA23" s="69"/>
      <c r="AB23" s="69"/>
      <c r="AC23" s="69"/>
      <c r="AD23" s="104">
        <f t="shared" ref="AD23:AD24" si="71">$J23</f>
        <v>0.16388888888888892</v>
      </c>
      <c r="AE23" s="103">
        <f>108/360-AE24</f>
        <v>0.1875</v>
      </c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4"/>
      <c r="AU23" s="104"/>
      <c r="AV23" s="104"/>
      <c r="AW23" s="104"/>
      <c r="AX23" s="104"/>
    </row>
    <row r="24" spans="1:50" s="21" customFormat="1" ht="14.25" customHeight="1" x14ac:dyDescent="0.3">
      <c r="A24" s="19"/>
      <c r="B24" s="68" t="s">
        <v>16</v>
      </c>
      <c r="C24" s="69"/>
      <c r="D24" s="69"/>
      <c r="E24" s="69"/>
      <c r="F24" s="149"/>
      <c r="G24" s="149"/>
      <c r="H24" s="149"/>
      <c r="I24" s="149"/>
      <c r="J24" s="152">
        <f>52/360</f>
        <v>0.14444444444444443</v>
      </c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50"/>
      <c r="V24" s="80"/>
      <c r="W24" s="80"/>
      <c r="X24" s="70"/>
      <c r="Y24" s="69"/>
      <c r="Z24" s="69"/>
      <c r="AA24" s="69"/>
      <c r="AB24" s="69"/>
      <c r="AC24" s="69"/>
      <c r="AD24" s="104">
        <f t="shared" si="71"/>
        <v>0.14444444444444443</v>
      </c>
      <c r="AE24" s="103">
        <f>40.5/360</f>
        <v>0.1125</v>
      </c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</row>
    <row r="25" spans="1:50" s="21" customFormat="1" ht="14.25" customHeight="1" x14ac:dyDescent="0.3">
      <c r="A25" s="19"/>
      <c r="B25" s="68"/>
      <c r="C25" s="69"/>
      <c r="D25" s="69"/>
      <c r="E25" s="69"/>
      <c r="F25" s="149"/>
      <c r="G25" s="149"/>
      <c r="H25" s="149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50"/>
      <c r="V25" s="80"/>
      <c r="W25" s="80"/>
      <c r="X25" s="70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</row>
    <row r="26" spans="1:50" s="21" customFormat="1" ht="14.25" customHeight="1" x14ac:dyDescent="0.3">
      <c r="A26" s="19"/>
      <c r="B26" s="108" t="s">
        <v>1</v>
      </c>
      <c r="C26" s="69"/>
      <c r="D26" s="69"/>
      <c r="E26" s="6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50"/>
      <c r="V26" s="80"/>
      <c r="W26" s="80"/>
      <c r="X26" s="70"/>
      <c r="Y26" s="69"/>
      <c r="Z26" s="69"/>
      <c r="AA26" s="69"/>
      <c r="AB26" s="69"/>
      <c r="AC26" s="69"/>
      <c r="AD26" s="69"/>
      <c r="AE26" s="110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</row>
    <row r="27" spans="1:50" s="21" customFormat="1" ht="14.25" customHeight="1" x14ac:dyDescent="0.3">
      <c r="A27" s="19"/>
      <c r="B27" s="68" t="s">
        <v>73</v>
      </c>
      <c r="C27" s="69"/>
      <c r="D27" s="69"/>
      <c r="E27" s="109">
        <f t="shared" ref="E27:H27" si="72">F27/(1+F37)</f>
        <v>3871.4476324250659</v>
      </c>
      <c r="F27" s="153">
        <f t="shared" si="72"/>
        <v>4870.2811215907332</v>
      </c>
      <c r="G27" s="153">
        <f t="shared" si="72"/>
        <v>6720.9879477952109</v>
      </c>
      <c r="H27" s="153">
        <f t="shared" si="72"/>
        <v>8186.1633204145664</v>
      </c>
      <c r="I27" s="153">
        <f>J27/(1+J37)</f>
        <v>9062.0827956989251</v>
      </c>
      <c r="J27" s="153">
        <f>J22*J$12</f>
        <v>10113.2844</v>
      </c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50"/>
      <c r="V27" s="80"/>
      <c r="W27" s="80"/>
      <c r="X27" s="70"/>
      <c r="Y27" s="109"/>
      <c r="Z27" s="109"/>
      <c r="AA27" s="109">
        <f>AC27/(1+AC37)</f>
        <v>4410.519707207206</v>
      </c>
      <c r="AB27" s="109"/>
      <c r="AC27" s="109">
        <f>AE27/(1+AE37)</f>
        <v>4895.6768749999992</v>
      </c>
      <c r="AD27" s="109">
        <f>INDEX($B27:$T27,MATCH(AD$2,$B$2:$T$2,0))-AC27</f>
        <v>5217.6075250000013</v>
      </c>
      <c r="AE27" s="109">
        <f>AE22*AE$12</f>
        <v>5483.1580999999996</v>
      </c>
      <c r="AF27" s="109">
        <f>AD27*(1+AF37)</f>
        <v>5843.7204280000024</v>
      </c>
      <c r="AG27" s="109">
        <f t="shared" ref="AG27:AX29" si="73">AE27*(1+AG37)</f>
        <v>6360.4633959999992</v>
      </c>
      <c r="AH27" s="109">
        <f t="shared" si="73"/>
        <v>6778.7156964800024</v>
      </c>
      <c r="AI27" s="109">
        <f t="shared" si="73"/>
        <v>7123.7190035200001</v>
      </c>
      <c r="AJ27" s="109">
        <f t="shared" si="73"/>
        <v>7592.1615800576037</v>
      </c>
      <c r="AK27" s="109">
        <f t="shared" si="73"/>
        <v>7978.565283942401</v>
      </c>
      <c r="AL27" s="109">
        <f t="shared" si="73"/>
        <v>8503.2209696645168</v>
      </c>
      <c r="AM27" s="109">
        <f t="shared" si="73"/>
        <v>8935.9931180154908</v>
      </c>
      <c r="AN27" s="109">
        <f t="shared" si="73"/>
        <v>9523.6074860242588</v>
      </c>
      <c r="AO27" s="109">
        <f t="shared" si="73"/>
        <v>10008.31229217735</v>
      </c>
      <c r="AP27" s="109">
        <f t="shared" si="73"/>
        <v>10666.44038434717</v>
      </c>
      <c r="AQ27" s="109">
        <f t="shared" si="73"/>
        <v>11209.309767238634</v>
      </c>
      <c r="AR27" s="109">
        <f t="shared" si="73"/>
        <v>11946.413230468832</v>
      </c>
      <c r="AS27" s="109">
        <f t="shared" si="73"/>
        <v>12554.426939307272</v>
      </c>
      <c r="AT27" s="109">
        <f t="shared" si="73"/>
        <v>13379.982818125092</v>
      </c>
      <c r="AU27" s="109">
        <f t="shared" si="73"/>
        <v>14060.958172024146</v>
      </c>
      <c r="AV27" s="109">
        <f t="shared" si="73"/>
        <v>14985.580756300105</v>
      </c>
      <c r="AW27" s="109">
        <f t="shared" si="73"/>
        <v>15748.273152667045</v>
      </c>
      <c r="AX27" s="109">
        <f t="shared" si="73"/>
        <v>16783.85044705612</v>
      </c>
    </row>
    <row r="28" spans="1:50" s="21" customFormat="1" ht="14.25" customHeight="1" x14ac:dyDescent="0.3">
      <c r="A28" s="19"/>
      <c r="B28" s="68" t="s">
        <v>74</v>
      </c>
      <c r="C28" s="69"/>
      <c r="D28" s="69"/>
      <c r="E28" s="69"/>
      <c r="F28" s="149"/>
      <c r="G28" s="149"/>
      <c r="H28" s="149"/>
      <c r="I28" s="153">
        <f>J28/(1+J38)</f>
        <v>2252.1808270676697</v>
      </c>
      <c r="J28" s="153">
        <f t="shared" ref="J28" si="74">J23*J$12</f>
        <v>2396.3204000000005</v>
      </c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50"/>
      <c r="V28" s="80"/>
      <c r="W28" s="80"/>
      <c r="X28" s="70"/>
      <c r="Y28" s="109"/>
      <c r="Z28" s="109"/>
      <c r="AA28" s="109"/>
      <c r="AB28" s="109"/>
      <c r="AC28" s="109">
        <f>AE28/(1+AE38)</f>
        <v>1347.4340022935778</v>
      </c>
      <c r="AD28" s="109">
        <f t="shared" ref="AD28" si="75">INDEX($B28:$T28,MATCH(AD$2,$B$2:$T$2,0))-AC28</f>
        <v>1048.8863977064227</v>
      </c>
      <c r="AE28" s="109">
        <f t="shared" ref="AE28" si="76">AE23*AE$12</f>
        <v>1468.7030625</v>
      </c>
      <c r="AF28" s="109">
        <f t="shared" ref="AF28:AF29" si="77">AD28*(1+AF38)</f>
        <v>1143.2861735000008</v>
      </c>
      <c r="AG28" s="109">
        <f t="shared" si="73"/>
        <v>1644.9474300000002</v>
      </c>
      <c r="AH28" s="109">
        <f t="shared" si="73"/>
        <v>1280.480514320001</v>
      </c>
      <c r="AI28" s="109">
        <f t="shared" si="73"/>
        <v>1792.9926987000003</v>
      </c>
      <c r="AJ28" s="109">
        <f t="shared" si="73"/>
        <v>1395.7237606088013</v>
      </c>
      <c r="AK28" s="109">
        <f t="shared" si="73"/>
        <v>1954.3620415830005</v>
      </c>
      <c r="AL28" s="109">
        <f t="shared" si="73"/>
        <v>1521.3388990635935</v>
      </c>
      <c r="AM28" s="109">
        <f t="shared" si="73"/>
        <v>2130.2546253254709</v>
      </c>
      <c r="AN28" s="109">
        <f t="shared" si="73"/>
        <v>1658.2593999793171</v>
      </c>
      <c r="AO28" s="109">
        <f t="shared" si="73"/>
        <v>2321.9775416047632</v>
      </c>
      <c r="AP28" s="109">
        <f t="shared" si="73"/>
        <v>1807.5027459774558</v>
      </c>
      <c r="AQ28" s="109">
        <f t="shared" si="73"/>
        <v>2530.9555203491923</v>
      </c>
      <c r="AR28" s="109">
        <f t="shared" si="73"/>
        <v>1970.1779931154269</v>
      </c>
      <c r="AS28" s="109">
        <f t="shared" si="73"/>
        <v>2758.7415171806197</v>
      </c>
      <c r="AT28" s="109">
        <f t="shared" si="73"/>
        <v>2147.4940124958157</v>
      </c>
      <c r="AU28" s="109">
        <f t="shared" si="73"/>
        <v>3007.0282537268758</v>
      </c>
      <c r="AV28" s="109">
        <f t="shared" si="73"/>
        <v>2340.7684736204392</v>
      </c>
      <c r="AW28" s="109">
        <f t="shared" si="73"/>
        <v>3277.6607965622948</v>
      </c>
      <c r="AX28" s="109">
        <f t="shared" si="73"/>
        <v>2551.437636246279</v>
      </c>
    </row>
    <row r="29" spans="1:50" s="21" customFormat="1" ht="14.25" customHeight="1" x14ac:dyDescent="0.3">
      <c r="A29" s="19"/>
      <c r="B29" s="112" t="s">
        <v>80</v>
      </c>
      <c r="C29" s="113"/>
      <c r="D29" s="113"/>
      <c r="E29" s="113"/>
      <c r="F29" s="154"/>
      <c r="G29" s="154"/>
      <c r="H29" s="154"/>
      <c r="I29" s="155">
        <f>I30-I28-I27</f>
        <v>1480.2843772334054</v>
      </c>
      <c r="J29" s="155">
        <f>J30-J28-J27</f>
        <v>1213.2831999999999</v>
      </c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6"/>
      <c r="V29" s="115"/>
      <c r="W29" s="115"/>
      <c r="X29" s="116"/>
      <c r="Y29" s="114"/>
      <c r="Z29" s="114"/>
      <c r="AA29" s="114"/>
      <c r="AB29" s="114"/>
      <c r="AC29" s="114">
        <f>AC30-AC28-AC27</f>
        <v>641.34212270642365</v>
      </c>
      <c r="AD29" s="114">
        <f>AD30-AD28-AD27</f>
        <v>571.9410772935762</v>
      </c>
      <c r="AE29" s="114">
        <f>AE30-AE28-AE27</f>
        <v>473.19783750000079</v>
      </c>
      <c r="AF29" s="114">
        <f t="shared" si="77"/>
        <v>421.99205598823261</v>
      </c>
      <c r="AG29" s="114">
        <f t="shared" si="73"/>
        <v>349.13688885701885</v>
      </c>
      <c r="AH29" s="114">
        <f t="shared" si="73"/>
        <v>311.35601618236092</v>
      </c>
      <c r="AI29" s="114">
        <f t="shared" si="73"/>
        <v>257.60169954444927</v>
      </c>
      <c r="AJ29" s="114">
        <f t="shared" si="73"/>
        <v>229.72605156257697</v>
      </c>
      <c r="AK29" s="114">
        <f t="shared" si="73"/>
        <v>190.06480760434454</v>
      </c>
      <c r="AL29" s="114">
        <f t="shared" si="73"/>
        <v>169.49747563452269</v>
      </c>
      <c r="AM29" s="114">
        <f t="shared" si="73"/>
        <v>140.23444392471171</v>
      </c>
      <c r="AN29" s="114">
        <f t="shared" si="73"/>
        <v>125.05936549668934</v>
      </c>
      <c r="AO29" s="114">
        <f t="shared" si="73"/>
        <v>103.46838802378895</v>
      </c>
      <c r="AP29" s="114">
        <f t="shared" si="73"/>
        <v>92.271845582867542</v>
      </c>
      <c r="AQ29" s="114">
        <f t="shared" si="73"/>
        <v>76.341496572617871</v>
      </c>
      <c r="AR29" s="114">
        <f t="shared" si="73"/>
        <v>68.0804148769965</v>
      </c>
      <c r="AS29" s="114">
        <f t="shared" si="73"/>
        <v>56.326615406505368</v>
      </c>
      <c r="AT29" s="114">
        <f t="shared" si="73"/>
        <v>50.231388139531845</v>
      </c>
      <c r="AU29" s="114">
        <f t="shared" si="73"/>
        <v>41.559148635950976</v>
      </c>
      <c r="AV29" s="114">
        <f t="shared" si="73"/>
        <v>37.061941514061701</v>
      </c>
      <c r="AW29" s="114">
        <f t="shared" si="73"/>
        <v>30.663352002960742</v>
      </c>
      <c r="AX29" s="114">
        <f t="shared" si="73"/>
        <v>27.345203062599097</v>
      </c>
    </row>
    <row r="30" spans="1:50" s="21" customFormat="1" ht="14.25" customHeight="1" x14ac:dyDescent="0.3">
      <c r="A30" s="19"/>
      <c r="B30" s="68" t="s">
        <v>81</v>
      </c>
      <c r="C30" s="69"/>
      <c r="D30" s="69"/>
      <c r="E30" s="69"/>
      <c r="F30" s="149"/>
      <c r="G30" s="149"/>
      <c r="H30" s="149"/>
      <c r="I30" s="153">
        <f>I5</f>
        <v>12794.548000000001</v>
      </c>
      <c r="J30" s="153">
        <f>J5</f>
        <v>13722.888000000001</v>
      </c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50"/>
      <c r="V30" s="80"/>
      <c r="W30" s="80"/>
      <c r="X30" s="70"/>
      <c r="Y30" s="109">
        <f t="shared" ref="Y30:AB30" si="78">Y5</f>
        <v>6561.6319999999996</v>
      </c>
      <c r="Z30" s="109">
        <f t="shared" si="78"/>
        <v>5767.4390000000003</v>
      </c>
      <c r="AA30" s="109">
        <f t="shared" si="78"/>
        <v>6450.2309999999998</v>
      </c>
      <c r="AB30" s="109">
        <f t="shared" si="78"/>
        <v>6344.3170000000009</v>
      </c>
      <c r="AC30" s="109">
        <f>AC5</f>
        <v>6884.4530000000004</v>
      </c>
      <c r="AD30" s="109">
        <f>AD5</f>
        <v>6838.4350000000004</v>
      </c>
      <c r="AE30" s="109">
        <f>AE5</f>
        <v>7425.0590000000002</v>
      </c>
      <c r="AF30" s="109">
        <f>SUM(AF27:AF29)</f>
        <v>7408.9986574882359</v>
      </c>
      <c r="AG30" s="109">
        <f t="shared" ref="AG30:AX30" si="79">SUM(AG27:AG29)</f>
        <v>8354.5477148570189</v>
      </c>
      <c r="AH30" s="109">
        <f t="shared" si="79"/>
        <v>8370.552226982365</v>
      </c>
      <c r="AI30" s="109">
        <f t="shared" si="79"/>
        <v>9174.3134017644497</v>
      </c>
      <c r="AJ30" s="109">
        <f t="shared" si="79"/>
        <v>9217.6113922289824</v>
      </c>
      <c r="AK30" s="109">
        <f t="shared" si="79"/>
        <v>10122.992133129746</v>
      </c>
      <c r="AL30" s="109">
        <f t="shared" si="79"/>
        <v>10194.057344362633</v>
      </c>
      <c r="AM30" s="109">
        <f t="shared" si="79"/>
        <v>11206.482187265674</v>
      </c>
      <c r="AN30" s="109">
        <f t="shared" si="79"/>
        <v>11306.926251500265</v>
      </c>
      <c r="AO30" s="109">
        <f t="shared" si="79"/>
        <v>12433.758221805901</v>
      </c>
      <c r="AP30" s="109">
        <f t="shared" si="79"/>
        <v>12566.214975907493</v>
      </c>
      <c r="AQ30" s="109">
        <f t="shared" si="79"/>
        <v>13816.606784160445</v>
      </c>
      <c r="AR30" s="109">
        <f t="shared" si="79"/>
        <v>13984.671638461255</v>
      </c>
      <c r="AS30" s="109">
        <f t="shared" si="79"/>
        <v>15369.495071894398</v>
      </c>
      <c r="AT30" s="109">
        <f t="shared" si="79"/>
        <v>15577.708218760439</v>
      </c>
      <c r="AU30" s="109">
        <f t="shared" si="79"/>
        <v>17109.545574386972</v>
      </c>
      <c r="AV30" s="109">
        <f t="shared" si="79"/>
        <v>17363.411171434607</v>
      </c>
      <c r="AW30" s="109">
        <f t="shared" si="79"/>
        <v>19056.597301232301</v>
      </c>
      <c r="AX30" s="109">
        <f t="shared" si="79"/>
        <v>19362.633286364999</v>
      </c>
    </row>
    <row r="31" spans="1:50" s="21" customFormat="1" ht="14.25" customHeight="1" x14ac:dyDescent="0.3">
      <c r="A31" s="19"/>
      <c r="B31" s="68" t="s">
        <v>36</v>
      </c>
      <c r="C31" s="69"/>
      <c r="D31" s="69"/>
      <c r="E31" s="69"/>
      <c r="F31" s="149"/>
      <c r="G31" s="149"/>
      <c r="H31" s="149"/>
      <c r="I31" s="149"/>
      <c r="J31" s="152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50"/>
      <c r="V31" s="80"/>
      <c r="W31" s="80"/>
      <c r="X31" s="70"/>
      <c r="Y31" s="104"/>
      <c r="Z31" s="104"/>
      <c r="AA31" s="104">
        <f t="shared" ref="AA31:AE31" si="80">AA30/Y30-1</f>
        <v>-1.6977636051518918E-2</v>
      </c>
      <c r="AB31" s="104">
        <f t="shared" si="80"/>
        <v>0.10002325122120936</v>
      </c>
      <c r="AC31" s="104">
        <f t="shared" si="80"/>
        <v>6.7318829356654231E-2</v>
      </c>
      <c r="AD31" s="104">
        <f t="shared" si="80"/>
        <v>7.788356098851934E-2</v>
      </c>
      <c r="AE31" s="104">
        <f t="shared" si="80"/>
        <v>7.852562868829227E-2</v>
      </c>
      <c r="AF31" s="104">
        <f>AF30/AD30-1</f>
        <v>8.3434829385412801E-2</v>
      </c>
      <c r="AG31" s="104">
        <f t="shared" ref="AG31:AX31" si="81">AG30/AE30-1</f>
        <v>0.1251826705830914</v>
      </c>
      <c r="AH31" s="104">
        <f t="shared" si="81"/>
        <v>0.1297818523050065</v>
      </c>
      <c r="AI31" s="104">
        <f t="shared" si="81"/>
        <v>9.8122090493256708E-2</v>
      </c>
      <c r="AJ31" s="104">
        <f t="shared" si="81"/>
        <v>0.10119513531211632</v>
      </c>
      <c r="AK31" s="104">
        <f t="shared" si="81"/>
        <v>0.1034059650919319</v>
      </c>
      <c r="AL31" s="104">
        <f t="shared" si="81"/>
        <v>0.10593264464987695</v>
      </c>
      <c r="AM31" s="104">
        <f t="shared" si="81"/>
        <v>0.10703258877283583</v>
      </c>
      <c r="AN31" s="104">
        <f t="shared" si="81"/>
        <v>0.10916839777765763</v>
      </c>
      <c r="AO31" s="104">
        <f t="shared" si="81"/>
        <v>0.1095148338284806</v>
      </c>
      <c r="AP31" s="104">
        <f t="shared" si="81"/>
        <v>0.11137321464709649</v>
      </c>
      <c r="AQ31" s="104">
        <f t="shared" si="81"/>
        <v>0.1112172633314803</v>
      </c>
      <c r="AR31" s="104">
        <f t="shared" si="81"/>
        <v>0.1128785927403988</v>
      </c>
      <c r="AS31" s="104">
        <f t="shared" si="81"/>
        <v>0.11239288430168015</v>
      </c>
      <c r="AT31" s="104">
        <f t="shared" si="81"/>
        <v>0.11391304862088747</v>
      </c>
      <c r="AU31" s="104">
        <f t="shared" si="81"/>
        <v>0.11321455222524102</v>
      </c>
      <c r="AV31" s="104">
        <f t="shared" si="81"/>
        <v>0.11463194249097719</v>
      </c>
      <c r="AW31" s="104">
        <f t="shared" si="81"/>
        <v>0.1137991490411101</v>
      </c>
      <c r="AX31" s="104">
        <f t="shared" si="81"/>
        <v>0.11513993968071246</v>
      </c>
    </row>
    <row r="32" spans="1:50" s="21" customFormat="1" ht="14.25" customHeight="1" x14ac:dyDescent="0.3">
      <c r="A32" s="19"/>
      <c r="B32" s="68"/>
      <c r="C32" s="69"/>
      <c r="D32" s="69"/>
      <c r="E32" s="69"/>
      <c r="F32" s="149"/>
      <c r="G32" s="149"/>
      <c r="H32" s="149"/>
      <c r="I32" s="149"/>
      <c r="J32" s="152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50"/>
      <c r="V32" s="80"/>
      <c r="W32" s="80"/>
      <c r="X32" s="70"/>
      <c r="Y32" s="69"/>
      <c r="Z32" s="69"/>
      <c r="AA32" s="69"/>
      <c r="AB32" s="69"/>
      <c r="AC32" s="69"/>
      <c r="AD32" s="104"/>
      <c r="AE32" s="104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</row>
    <row r="33" spans="1:50" s="21" customFormat="1" ht="14.25" customHeight="1" x14ac:dyDescent="0.3">
      <c r="A33" s="19"/>
      <c r="B33" s="68" t="s">
        <v>72</v>
      </c>
      <c r="C33" s="69"/>
      <c r="D33" s="69"/>
      <c r="E33" s="69"/>
      <c r="F33" s="149"/>
      <c r="G33" s="149"/>
      <c r="H33" s="149"/>
      <c r="I33" s="149"/>
      <c r="J33" s="152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50"/>
      <c r="V33" s="80"/>
      <c r="W33" s="80"/>
      <c r="X33" s="70"/>
      <c r="Y33" s="109">
        <f t="shared" ref="Y33:AD33" si="82">Y6</f>
        <v>471.97400000000016</v>
      </c>
      <c r="Z33" s="109">
        <f t="shared" si="82"/>
        <v>452.87199999999984</v>
      </c>
      <c r="AA33" s="109">
        <f t="shared" si="82"/>
        <v>429.23300000000017</v>
      </c>
      <c r="AB33" s="109">
        <f t="shared" si="82"/>
        <v>507.62999999999988</v>
      </c>
      <c r="AC33" s="109">
        <f t="shared" si="82"/>
        <v>427.53499999999985</v>
      </c>
      <c r="AD33" s="109">
        <f t="shared" si="82"/>
        <v>471.1930000000001</v>
      </c>
      <c r="AE33" s="109">
        <f>AE6</f>
        <v>408.02399999999943</v>
      </c>
      <c r="AF33" s="109">
        <f>AD33*(1+AF34)</f>
        <v>424.07370000000009</v>
      </c>
      <c r="AG33" s="109">
        <f t="shared" ref="AG33:AX33" si="83">AE33*(1+AG34)</f>
        <v>387.62279999999942</v>
      </c>
      <c r="AH33" s="109">
        <f t="shared" si="83"/>
        <v>402.87001500000008</v>
      </c>
      <c r="AI33" s="109">
        <f t="shared" si="83"/>
        <v>368.2416599999994</v>
      </c>
      <c r="AJ33" s="109">
        <f t="shared" si="83"/>
        <v>382.72651425000004</v>
      </c>
      <c r="AK33" s="109">
        <f t="shared" si="83"/>
        <v>349.8295769999994</v>
      </c>
      <c r="AL33" s="109">
        <f t="shared" si="83"/>
        <v>363.59018853750001</v>
      </c>
      <c r="AM33" s="109">
        <f t="shared" si="83"/>
        <v>332.33809814999944</v>
      </c>
      <c r="AN33" s="109">
        <f t="shared" si="83"/>
        <v>345.41067911062498</v>
      </c>
      <c r="AO33" s="109">
        <f t="shared" si="83"/>
        <v>315.72119324249945</v>
      </c>
      <c r="AP33" s="109">
        <f t="shared" si="83"/>
        <v>328.14014515509371</v>
      </c>
      <c r="AQ33" s="109">
        <f t="shared" si="83"/>
        <v>299.93513358037444</v>
      </c>
      <c r="AR33" s="109">
        <f t="shared" si="83"/>
        <v>311.73313789733902</v>
      </c>
      <c r="AS33" s="109">
        <f t="shared" si="83"/>
        <v>284.9383769013557</v>
      </c>
      <c r="AT33" s="109">
        <f t="shared" si="83"/>
        <v>296.14648100247206</v>
      </c>
      <c r="AU33" s="109">
        <f t="shared" si="83"/>
        <v>270.6914580562879</v>
      </c>
      <c r="AV33" s="109">
        <f t="shared" si="83"/>
        <v>281.33915695234845</v>
      </c>
      <c r="AW33" s="109">
        <f t="shared" si="83"/>
        <v>257.15688515347347</v>
      </c>
      <c r="AX33" s="109">
        <f t="shared" si="83"/>
        <v>267.27219910473099</v>
      </c>
    </row>
    <row r="34" spans="1:50" s="21" customFormat="1" ht="14.25" customHeight="1" x14ac:dyDescent="0.3">
      <c r="A34" s="19"/>
      <c r="B34" s="68" t="s">
        <v>36</v>
      </c>
      <c r="C34" s="69"/>
      <c r="D34" s="69"/>
      <c r="E34" s="69"/>
      <c r="F34" s="149"/>
      <c r="G34" s="149"/>
      <c r="H34" s="149"/>
      <c r="I34" s="149"/>
      <c r="J34" s="152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50"/>
      <c r="V34" s="80"/>
      <c r="W34" s="80"/>
      <c r="X34" s="70"/>
      <c r="Y34" s="69"/>
      <c r="Z34" s="104" t="e">
        <f t="shared" ref="Z34" si="84">Z33/X33-1</f>
        <v>#DIV/0!</v>
      </c>
      <c r="AA34" s="104">
        <f t="shared" ref="AA34" si="85">AA33/Y33-1</f>
        <v>-9.0557954463593271E-2</v>
      </c>
      <c r="AB34" s="104">
        <f t="shared" ref="AB34" si="86">AB33/Z33-1</f>
        <v>0.12091275238919619</v>
      </c>
      <c r="AC34" s="104">
        <f t="shared" ref="AC34" si="87">AC33/AA33-1</f>
        <v>-3.9558934191926687E-3</v>
      </c>
      <c r="AD34" s="104">
        <f t="shared" ref="AD34" si="88">AD33/AB33-1</f>
        <v>-7.1778657683745584E-2</v>
      </c>
      <c r="AE34" s="104">
        <f t="shared" ref="AE34" si="89">AE33/AC33-1</f>
        <v>-4.5636029798730937E-2</v>
      </c>
      <c r="AF34" s="111">
        <v>-0.1</v>
      </c>
      <c r="AG34" s="111">
        <v>-0.05</v>
      </c>
      <c r="AH34" s="111">
        <f t="shared" ref="AH34:AX34" si="90">AG34</f>
        <v>-0.05</v>
      </c>
      <c r="AI34" s="111">
        <f t="shared" si="90"/>
        <v>-0.05</v>
      </c>
      <c r="AJ34" s="111">
        <f t="shared" si="90"/>
        <v>-0.05</v>
      </c>
      <c r="AK34" s="111">
        <f t="shared" si="90"/>
        <v>-0.05</v>
      </c>
      <c r="AL34" s="111">
        <f t="shared" si="90"/>
        <v>-0.05</v>
      </c>
      <c r="AM34" s="111">
        <f t="shared" si="90"/>
        <v>-0.05</v>
      </c>
      <c r="AN34" s="111">
        <f t="shared" si="90"/>
        <v>-0.05</v>
      </c>
      <c r="AO34" s="111">
        <f t="shared" si="90"/>
        <v>-0.05</v>
      </c>
      <c r="AP34" s="111">
        <f t="shared" si="90"/>
        <v>-0.05</v>
      </c>
      <c r="AQ34" s="111">
        <f t="shared" si="90"/>
        <v>-0.05</v>
      </c>
      <c r="AR34" s="111">
        <f t="shared" si="90"/>
        <v>-0.05</v>
      </c>
      <c r="AS34" s="111">
        <f t="shared" si="90"/>
        <v>-0.05</v>
      </c>
      <c r="AT34" s="111">
        <f t="shared" si="90"/>
        <v>-0.05</v>
      </c>
      <c r="AU34" s="111">
        <f t="shared" si="90"/>
        <v>-0.05</v>
      </c>
      <c r="AV34" s="111">
        <f t="shared" si="90"/>
        <v>-0.05</v>
      </c>
      <c r="AW34" s="111">
        <f t="shared" si="90"/>
        <v>-0.05</v>
      </c>
      <c r="AX34" s="111">
        <f t="shared" si="90"/>
        <v>-0.05</v>
      </c>
    </row>
    <row r="35" spans="1:50" s="21" customFormat="1" ht="14.25" customHeight="1" x14ac:dyDescent="0.3">
      <c r="A35" s="19"/>
      <c r="B35" s="68"/>
      <c r="C35" s="69"/>
      <c r="D35" s="69"/>
      <c r="E35" s="6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50"/>
      <c r="V35" s="80"/>
      <c r="W35" s="80"/>
      <c r="X35" s="70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</row>
    <row r="36" spans="1:50" s="21" customFormat="1" ht="14.25" customHeight="1" x14ac:dyDescent="0.3">
      <c r="A36" s="19"/>
      <c r="B36" s="108" t="s">
        <v>75</v>
      </c>
      <c r="C36" s="69"/>
      <c r="D36" s="69"/>
      <c r="E36" s="6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50"/>
      <c r="V36" s="80"/>
      <c r="W36" s="80"/>
      <c r="X36" s="70"/>
      <c r="Y36" s="69"/>
      <c r="Z36" s="69"/>
      <c r="AA36" s="69"/>
      <c r="AB36" s="69"/>
      <c r="AC36" s="69"/>
      <c r="AD36" s="69"/>
      <c r="AE36" s="69"/>
      <c r="AF36" s="69"/>
      <c r="AG36" s="69" t="s">
        <v>86</v>
      </c>
      <c r="AH36" s="69"/>
      <c r="AI36" s="69"/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</row>
    <row r="37" spans="1:50" s="12" customFormat="1" ht="14.25" customHeight="1" x14ac:dyDescent="0.3">
      <c r="B37" s="68" t="s">
        <v>73</v>
      </c>
      <c r="C37" s="65"/>
      <c r="D37" s="65"/>
      <c r="E37" s="105">
        <v>0.217</v>
      </c>
      <c r="F37" s="157">
        <v>0.25800000000000001</v>
      </c>
      <c r="G37" s="157">
        <v>0.38</v>
      </c>
      <c r="H37" s="157">
        <v>0.218</v>
      </c>
      <c r="I37" s="157">
        <v>0.107</v>
      </c>
      <c r="J37" s="157">
        <v>0.11600000000000001</v>
      </c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9"/>
      <c r="V37" s="79"/>
      <c r="W37" s="79"/>
      <c r="Y37" s="107"/>
      <c r="Z37" s="107"/>
      <c r="AA37" s="107"/>
      <c r="AB37" s="107"/>
      <c r="AC37" s="107">
        <v>0.11</v>
      </c>
      <c r="AD37" s="107"/>
      <c r="AE37" s="107">
        <v>0.12</v>
      </c>
      <c r="AF37" s="111">
        <f>AE37</f>
        <v>0.12</v>
      </c>
      <c r="AG37" s="117">
        <v>0.16</v>
      </c>
      <c r="AH37" s="117">
        <v>0.16</v>
      </c>
      <c r="AI37" s="117">
        <v>0.12</v>
      </c>
      <c r="AJ37" s="117">
        <v>0.12</v>
      </c>
      <c r="AK37" s="111">
        <f t="shared" ref="AK37:AX37" si="91">AJ37</f>
        <v>0.12</v>
      </c>
      <c r="AL37" s="111">
        <f t="shared" si="91"/>
        <v>0.12</v>
      </c>
      <c r="AM37" s="111">
        <f t="shared" si="91"/>
        <v>0.12</v>
      </c>
      <c r="AN37" s="111">
        <f t="shared" si="91"/>
        <v>0.12</v>
      </c>
      <c r="AO37" s="111">
        <f t="shared" si="91"/>
        <v>0.12</v>
      </c>
      <c r="AP37" s="111">
        <f t="shared" si="91"/>
        <v>0.12</v>
      </c>
      <c r="AQ37" s="111">
        <f t="shared" si="91"/>
        <v>0.12</v>
      </c>
      <c r="AR37" s="111">
        <f t="shared" si="91"/>
        <v>0.12</v>
      </c>
      <c r="AS37" s="111">
        <f t="shared" si="91"/>
        <v>0.12</v>
      </c>
      <c r="AT37" s="111">
        <f t="shared" si="91"/>
        <v>0.12</v>
      </c>
      <c r="AU37" s="111">
        <f t="shared" si="91"/>
        <v>0.12</v>
      </c>
      <c r="AV37" s="111">
        <f t="shared" si="91"/>
        <v>0.12</v>
      </c>
      <c r="AW37" s="111">
        <f t="shared" si="91"/>
        <v>0.12</v>
      </c>
      <c r="AX37" s="111">
        <f t="shared" si="91"/>
        <v>0.12</v>
      </c>
    </row>
    <row r="38" spans="1:50" s="12" customFormat="1" ht="14.25" customHeight="1" x14ac:dyDescent="0.3">
      <c r="B38" s="68" t="s">
        <v>74</v>
      </c>
      <c r="C38" s="65"/>
      <c r="D38" s="65"/>
      <c r="E38" s="65"/>
      <c r="F38" s="158"/>
      <c r="G38" s="158"/>
      <c r="H38" s="158"/>
      <c r="I38" s="158"/>
      <c r="J38" s="157">
        <v>6.4000000000000001E-2</v>
      </c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9"/>
      <c r="V38" s="79"/>
      <c r="W38" s="79"/>
      <c r="Y38" s="107"/>
      <c r="Z38" s="107"/>
      <c r="AA38" s="107"/>
      <c r="AB38" s="107"/>
      <c r="AC38" s="107"/>
      <c r="AD38" s="107"/>
      <c r="AE38" s="107">
        <v>0.09</v>
      </c>
      <c r="AF38" s="111">
        <f>AE38</f>
        <v>0.09</v>
      </c>
      <c r="AG38" s="117">
        <v>0.12</v>
      </c>
      <c r="AH38" s="117">
        <v>0.12</v>
      </c>
      <c r="AI38" s="117">
        <v>0.09</v>
      </c>
      <c r="AJ38" s="117">
        <v>0.09</v>
      </c>
      <c r="AK38" s="111">
        <f t="shared" ref="AK38:AX38" si="92">AJ38</f>
        <v>0.09</v>
      </c>
      <c r="AL38" s="111">
        <f t="shared" si="92"/>
        <v>0.09</v>
      </c>
      <c r="AM38" s="111">
        <f t="shared" si="92"/>
        <v>0.09</v>
      </c>
      <c r="AN38" s="111">
        <f t="shared" si="92"/>
        <v>0.09</v>
      </c>
      <c r="AO38" s="111">
        <f t="shared" si="92"/>
        <v>0.09</v>
      </c>
      <c r="AP38" s="111">
        <f t="shared" si="92"/>
        <v>0.09</v>
      </c>
      <c r="AQ38" s="111">
        <f t="shared" si="92"/>
        <v>0.09</v>
      </c>
      <c r="AR38" s="111">
        <f t="shared" si="92"/>
        <v>0.09</v>
      </c>
      <c r="AS38" s="111">
        <f t="shared" si="92"/>
        <v>0.09</v>
      </c>
      <c r="AT38" s="111">
        <f t="shared" si="92"/>
        <v>0.09</v>
      </c>
      <c r="AU38" s="111">
        <f t="shared" si="92"/>
        <v>0.09</v>
      </c>
      <c r="AV38" s="111">
        <f t="shared" si="92"/>
        <v>0.09</v>
      </c>
      <c r="AW38" s="111">
        <f t="shared" si="92"/>
        <v>0.09</v>
      </c>
      <c r="AX38" s="111">
        <f t="shared" si="92"/>
        <v>0.09</v>
      </c>
    </row>
    <row r="39" spans="1:50" s="12" customFormat="1" ht="14.25" customHeight="1" x14ac:dyDescent="0.3">
      <c r="B39" s="68" t="s">
        <v>80</v>
      </c>
      <c r="C39" s="65"/>
      <c r="D39" s="65"/>
      <c r="E39" s="65"/>
      <c r="F39" s="158"/>
      <c r="G39" s="158"/>
      <c r="H39" s="158"/>
      <c r="I39" s="158"/>
      <c r="J39" s="160">
        <f>J29/I29-1</f>
        <v>-0.18037154302230796</v>
      </c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9"/>
      <c r="V39" s="79"/>
      <c r="W39" s="79"/>
      <c r="Y39" s="107"/>
      <c r="Z39" s="107"/>
      <c r="AA39" s="107"/>
      <c r="AB39" s="107"/>
      <c r="AC39" s="107"/>
      <c r="AD39" s="107"/>
      <c r="AE39" s="106">
        <f>AE29/AC29-1</f>
        <v>-0.26217564581110697</v>
      </c>
      <c r="AF39" s="111">
        <f>AE39</f>
        <v>-0.26217564581110697</v>
      </c>
      <c r="AG39" s="111">
        <f t="shared" ref="AG39:AX39" si="93">AF39</f>
        <v>-0.26217564581110697</v>
      </c>
      <c r="AH39" s="111">
        <f t="shared" si="93"/>
        <v>-0.26217564581110697</v>
      </c>
      <c r="AI39" s="111">
        <f t="shared" si="93"/>
        <v>-0.26217564581110697</v>
      </c>
      <c r="AJ39" s="111">
        <f t="shared" si="93"/>
        <v>-0.26217564581110697</v>
      </c>
      <c r="AK39" s="111">
        <f t="shared" si="93"/>
        <v>-0.26217564581110697</v>
      </c>
      <c r="AL39" s="111">
        <f t="shared" si="93"/>
        <v>-0.26217564581110697</v>
      </c>
      <c r="AM39" s="111">
        <f t="shared" si="93"/>
        <v>-0.26217564581110697</v>
      </c>
      <c r="AN39" s="111">
        <f t="shared" si="93"/>
        <v>-0.26217564581110697</v>
      </c>
      <c r="AO39" s="111">
        <f t="shared" si="93"/>
        <v>-0.26217564581110697</v>
      </c>
      <c r="AP39" s="111">
        <f t="shared" si="93"/>
        <v>-0.26217564581110697</v>
      </c>
      <c r="AQ39" s="111">
        <f t="shared" si="93"/>
        <v>-0.26217564581110697</v>
      </c>
      <c r="AR39" s="111">
        <f t="shared" si="93"/>
        <v>-0.26217564581110697</v>
      </c>
      <c r="AS39" s="111">
        <f t="shared" si="93"/>
        <v>-0.26217564581110697</v>
      </c>
      <c r="AT39" s="111">
        <f t="shared" si="93"/>
        <v>-0.26217564581110697</v>
      </c>
      <c r="AU39" s="111">
        <f t="shared" si="93"/>
        <v>-0.26217564581110697</v>
      </c>
      <c r="AV39" s="111">
        <f t="shared" si="93"/>
        <v>-0.26217564581110697</v>
      </c>
      <c r="AW39" s="111">
        <f t="shared" si="93"/>
        <v>-0.26217564581110697</v>
      </c>
      <c r="AX39" s="111">
        <f t="shared" si="93"/>
        <v>-0.26217564581110697</v>
      </c>
    </row>
    <row r="40" spans="1:50" s="12" customFormat="1" ht="14.25" customHeight="1" x14ac:dyDescent="0.3">
      <c r="B40" s="68" t="s">
        <v>16</v>
      </c>
      <c r="C40" s="65"/>
      <c r="D40" s="65"/>
      <c r="E40" s="65"/>
      <c r="F40" s="158"/>
      <c r="G40" s="158"/>
      <c r="H40" s="158"/>
      <c r="I40" s="158"/>
      <c r="J40" s="157">
        <v>-0.14000000000000001</v>
      </c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9"/>
      <c r="V40" s="79"/>
      <c r="W40" s="79"/>
      <c r="Y40" s="107"/>
      <c r="Z40" s="107"/>
      <c r="AA40" s="107"/>
      <c r="AB40" s="107"/>
      <c r="AC40" s="107"/>
      <c r="AD40" s="107"/>
      <c r="AE40" s="107">
        <v>-0.19</v>
      </c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</row>
    <row r="41" spans="1:50" s="12" customFormat="1" ht="14.25" customHeight="1" x14ac:dyDescent="0.3">
      <c r="B41" s="64"/>
      <c r="C41" s="65"/>
      <c r="D41" s="65"/>
      <c r="E41" s="65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9"/>
      <c r="V41" s="79"/>
      <c r="W41" s="79"/>
      <c r="Y41" s="67"/>
      <c r="Z41" s="67"/>
      <c r="AA41" s="67"/>
      <c r="AB41" s="67"/>
      <c r="AC41" s="67"/>
      <c r="AD41" s="67"/>
      <c r="AE41" s="67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</row>
    <row r="42" spans="1:50" s="21" customFormat="1" ht="14.25" customHeight="1" x14ac:dyDescent="0.3">
      <c r="A42" s="19"/>
      <c r="B42" s="68"/>
      <c r="C42" s="69"/>
      <c r="D42" s="69"/>
      <c r="E42" s="6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50"/>
      <c r="V42" s="80"/>
      <c r="W42" s="80"/>
      <c r="X42" s="70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</row>
    <row r="43" spans="1:50" s="21" customFormat="1" ht="14.25" customHeight="1" x14ac:dyDescent="0.3">
      <c r="A43" s="19"/>
      <c r="B43" s="68"/>
      <c r="C43" s="69"/>
      <c r="D43" s="69"/>
      <c r="E43" s="69"/>
      <c r="F43" s="149"/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50"/>
      <c r="V43" s="80"/>
      <c r="W43" s="80"/>
      <c r="X43" s="70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69"/>
      <c r="AM43" s="69"/>
      <c r="AN43" s="69"/>
      <c r="AO43" s="69"/>
      <c r="AP43" s="69"/>
      <c r="AQ43" s="69"/>
      <c r="AR43" s="69"/>
      <c r="AS43" s="69"/>
      <c r="AT43" s="69"/>
      <c r="AU43" s="69"/>
      <c r="AV43" s="69"/>
      <c r="AW43" s="69"/>
      <c r="AX43" s="69"/>
    </row>
    <row r="44" spans="1:50" s="12" customFormat="1" ht="14.25" customHeight="1" x14ac:dyDescent="0.3">
      <c r="B44" s="25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134"/>
      <c r="V44" s="72"/>
      <c r="W44" s="72"/>
    </row>
    <row r="45" spans="1:50" ht="14.25" hidden="1" customHeight="1" outlineLevel="1" x14ac:dyDescent="0.3">
      <c r="B45" s="26"/>
      <c r="C45" s="2"/>
      <c r="D45" s="2"/>
      <c r="E45" s="5"/>
      <c r="F45" s="139"/>
      <c r="G45" s="139"/>
      <c r="H45" s="139"/>
      <c r="I45" s="139"/>
      <c r="J45" s="139"/>
      <c r="K45" s="140">
        <f t="shared" ref="K45:T46" si="94">SUMIF($Y$2:$AX$2,K$2,$Y45:$AX45)</f>
        <v>0</v>
      </c>
      <c r="L45" s="140">
        <f t="shared" si="94"/>
        <v>0</v>
      </c>
      <c r="M45" s="140">
        <f t="shared" si="94"/>
        <v>0</v>
      </c>
      <c r="N45" s="140">
        <f t="shared" si="94"/>
        <v>0</v>
      </c>
      <c r="O45" s="140">
        <f t="shared" si="94"/>
        <v>0</v>
      </c>
      <c r="P45" s="140">
        <f t="shared" si="94"/>
        <v>0</v>
      </c>
      <c r="Q45" s="140">
        <f t="shared" si="94"/>
        <v>0</v>
      </c>
      <c r="R45" s="140">
        <f t="shared" si="94"/>
        <v>0</v>
      </c>
      <c r="S45" s="140">
        <f t="shared" si="94"/>
        <v>0</v>
      </c>
      <c r="T45" s="140">
        <f t="shared" si="94"/>
        <v>0</v>
      </c>
      <c r="V45" s="75"/>
      <c r="W45" s="75"/>
      <c r="Y45" s="5"/>
      <c r="Z45" s="5"/>
      <c r="AA45" s="5"/>
      <c r="AB45" s="5"/>
      <c r="AC45" s="5"/>
      <c r="AD45" s="5"/>
      <c r="AE45" s="5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</row>
    <row r="46" spans="1:50" ht="14.25" hidden="1" customHeight="1" outlineLevel="1" x14ac:dyDescent="0.3">
      <c r="B46" s="26"/>
      <c r="C46" s="2"/>
      <c r="D46" s="2"/>
      <c r="E46" s="5"/>
      <c r="F46" s="139"/>
      <c r="G46" s="139"/>
      <c r="H46" s="139"/>
      <c r="I46" s="139"/>
      <c r="J46" s="139"/>
      <c r="K46" s="140">
        <f t="shared" si="94"/>
        <v>0</v>
      </c>
      <c r="L46" s="140">
        <f t="shared" si="94"/>
        <v>0</v>
      </c>
      <c r="M46" s="140">
        <f t="shared" si="94"/>
        <v>0</v>
      </c>
      <c r="N46" s="140">
        <f t="shared" si="94"/>
        <v>0</v>
      </c>
      <c r="O46" s="140">
        <f t="shared" si="94"/>
        <v>0</v>
      </c>
      <c r="P46" s="140">
        <f t="shared" si="94"/>
        <v>0</v>
      </c>
      <c r="Q46" s="140">
        <f t="shared" si="94"/>
        <v>0</v>
      </c>
      <c r="R46" s="140">
        <f t="shared" si="94"/>
        <v>0</v>
      </c>
      <c r="S46" s="140">
        <f t="shared" si="94"/>
        <v>0</v>
      </c>
      <c r="T46" s="140">
        <f t="shared" si="94"/>
        <v>0</v>
      </c>
      <c r="V46" s="75"/>
      <c r="W46" s="75"/>
      <c r="Y46" s="5"/>
      <c r="Z46" s="5"/>
      <c r="AA46" s="5"/>
      <c r="AB46" s="5"/>
      <c r="AC46" s="5"/>
      <c r="AD46" s="5"/>
      <c r="AE46" s="5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</row>
    <row r="47" spans="1:50" ht="14.25" hidden="1" customHeight="1" outlineLevel="1" x14ac:dyDescent="0.3">
      <c r="B47" s="26"/>
      <c r="C47" s="2"/>
      <c r="D47" s="2"/>
      <c r="E47" s="5"/>
      <c r="F47" s="139"/>
      <c r="G47" s="139"/>
      <c r="H47" s="139"/>
      <c r="I47" s="139"/>
      <c r="J47" s="139"/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V47" s="75"/>
      <c r="W47" s="75"/>
      <c r="Y47" s="5"/>
      <c r="Z47" s="5"/>
      <c r="AA47" s="5"/>
      <c r="AB47" s="5"/>
      <c r="AC47" s="5"/>
      <c r="AD47" s="5"/>
      <c r="AE47" s="5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</row>
    <row r="48" spans="1:50" ht="14.25" hidden="1" customHeight="1" outlineLevel="1" x14ac:dyDescent="0.3">
      <c r="B48" s="26"/>
      <c r="C48" s="2"/>
      <c r="D48" s="2"/>
      <c r="E48" s="5"/>
      <c r="F48" s="139"/>
      <c r="G48" s="139"/>
      <c r="H48" s="139"/>
      <c r="I48" s="139"/>
      <c r="J48" s="139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V48" s="75"/>
      <c r="W48" s="75"/>
      <c r="Y48" s="5"/>
      <c r="Z48" s="5"/>
      <c r="AA48" s="5"/>
      <c r="AB48" s="5"/>
      <c r="AC48" s="5"/>
      <c r="AD48" s="5"/>
      <c r="AE48" s="5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</row>
    <row r="49" spans="2:50" ht="14.25" hidden="1" customHeight="1" outlineLevel="1" x14ac:dyDescent="0.3">
      <c r="B49" s="26" t="s">
        <v>16</v>
      </c>
      <c r="C49" s="2"/>
      <c r="D49" s="2"/>
      <c r="E49" s="2">
        <f t="shared" ref="E49:J49" si="95">E50-SUM(E45:E48)</f>
        <v>2892.6559999999999</v>
      </c>
      <c r="F49" s="142">
        <f t="shared" si="95"/>
        <v>3753.0820000000003</v>
      </c>
      <c r="G49" s="142">
        <f t="shared" si="95"/>
        <v>5121.6130000000003</v>
      </c>
      <c r="H49" s="142">
        <f t="shared" si="95"/>
        <v>5212.5769999999993</v>
      </c>
      <c r="I49" s="142">
        <f t="shared" si="95"/>
        <v>5419.6360000000004</v>
      </c>
      <c r="J49" s="142">
        <f t="shared" si="95"/>
        <v>5895.5560000000005</v>
      </c>
      <c r="K49" s="140">
        <f t="shared" ref="K49:T50" si="96">SUMIF($Y$2:$AX$2,K$2,$Y49:$AX49)</f>
        <v>3155.8069999999998</v>
      </c>
      <c r="L49" s="140">
        <f t="shared" si="96"/>
        <v>0</v>
      </c>
      <c r="M49" s="140">
        <f t="shared" si="96"/>
        <v>0</v>
      </c>
      <c r="N49" s="140">
        <f t="shared" si="96"/>
        <v>0</v>
      </c>
      <c r="O49" s="140">
        <f t="shared" si="96"/>
        <v>0</v>
      </c>
      <c r="P49" s="140">
        <f t="shared" si="96"/>
        <v>0</v>
      </c>
      <c r="Q49" s="140">
        <f t="shared" si="96"/>
        <v>0</v>
      </c>
      <c r="R49" s="140">
        <f t="shared" si="96"/>
        <v>0</v>
      </c>
      <c r="S49" s="140">
        <f t="shared" si="96"/>
        <v>0</v>
      </c>
      <c r="T49" s="140">
        <f t="shared" si="96"/>
        <v>0</v>
      </c>
      <c r="V49" s="75"/>
      <c r="W49" s="75"/>
      <c r="Y49" s="2">
        <f t="shared" ref="Y49:AD49" si="97">Y50-SUM(Y45:Y48)</f>
        <v>2746.7449999999999</v>
      </c>
      <c r="Z49" s="2">
        <f t="shared" si="97"/>
        <v>2465.8319999999994</v>
      </c>
      <c r="AA49" s="2">
        <f t="shared" si="97"/>
        <v>2701.6639999999998</v>
      </c>
      <c r="AB49" s="2">
        <f t="shared" si="97"/>
        <v>2717.9720000000007</v>
      </c>
      <c r="AC49" s="2">
        <f t="shared" si="97"/>
        <v>2920.7170000000006</v>
      </c>
      <c r="AD49" s="2">
        <f t="shared" si="97"/>
        <v>2974.8389999999999</v>
      </c>
      <c r="AE49" s="2">
        <f t="shared" ref="AE49" si="98">AE50-SUM(AE45:AE48)</f>
        <v>3155.8069999999998</v>
      </c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</row>
    <row r="50" spans="2:50" ht="14.25" customHeight="1" collapsed="1" x14ac:dyDescent="0.3">
      <c r="B50" s="27" t="s">
        <v>19</v>
      </c>
      <c r="C50" s="3"/>
      <c r="D50" s="3"/>
      <c r="E50" s="4">
        <v>2892.6559999999999</v>
      </c>
      <c r="F50" s="143">
        <v>3753.0820000000003</v>
      </c>
      <c r="G50" s="143">
        <v>5121.6130000000003</v>
      </c>
      <c r="H50" s="143">
        <v>5212.5769999999993</v>
      </c>
      <c r="I50" s="143">
        <v>5419.6360000000004</v>
      </c>
      <c r="J50" s="143">
        <v>5895.5560000000005</v>
      </c>
      <c r="K50" s="144">
        <f t="shared" si="96"/>
        <v>6375.0072820115101</v>
      </c>
      <c r="L50" s="144">
        <f t="shared" si="96"/>
        <v>7197.7852146209298</v>
      </c>
      <c r="M50" s="144">
        <f t="shared" si="96"/>
        <v>7943.1684183162179</v>
      </c>
      <c r="N50" s="144">
        <f t="shared" si="96"/>
        <v>8810.6091928731257</v>
      </c>
      <c r="O50" s="144">
        <f t="shared" si="96"/>
        <v>9808.6640057455224</v>
      </c>
      <c r="P50" s="144">
        <f t="shared" si="96"/>
        <v>10948.673735629982</v>
      </c>
      <c r="Q50" s="144">
        <f t="shared" si="96"/>
        <v>12244.680401175565</v>
      </c>
      <c r="R50" s="144">
        <f t="shared" si="96"/>
        <v>13713.443500560936</v>
      </c>
      <c r="S50" s="144">
        <f t="shared" si="96"/>
        <v>15374.540567857226</v>
      </c>
      <c r="T50" s="144">
        <f t="shared" si="96"/>
        <v>17250.541690552098</v>
      </c>
      <c r="U50" s="145"/>
      <c r="V50" s="76"/>
      <c r="W50" s="76"/>
      <c r="Y50" s="4">
        <v>2746.7449999999999</v>
      </c>
      <c r="Z50" s="4">
        <v>2465.8319999999994</v>
      </c>
      <c r="AA50" s="4">
        <v>2701.6639999999998</v>
      </c>
      <c r="AB50" s="4">
        <v>2717.9720000000007</v>
      </c>
      <c r="AC50" s="4">
        <v>2920.7170000000006</v>
      </c>
      <c r="AD50" s="4">
        <v>2974.8389999999999</v>
      </c>
      <c r="AE50" s="4">
        <v>3155.8069999999998</v>
      </c>
      <c r="AF50" s="9">
        <f>AF$12*AF51</f>
        <v>3219.2002820115104</v>
      </c>
      <c r="AG50" s="9">
        <f t="shared" ref="AG50:AX50" si="99">AG12*AG51</f>
        <v>3557.0305453103833</v>
      </c>
      <c r="AH50" s="9">
        <f t="shared" si="99"/>
        <v>3640.7546693105469</v>
      </c>
      <c r="AI50" s="9">
        <f t="shared" si="99"/>
        <v>3920.8627137550629</v>
      </c>
      <c r="AJ50" s="9">
        <f t="shared" si="99"/>
        <v>4022.3057045611554</v>
      </c>
      <c r="AK50" s="9">
        <f t="shared" si="99"/>
        <v>4344.983685603127</v>
      </c>
      <c r="AL50" s="9">
        <f t="shared" si="99"/>
        <v>4465.6255072699978</v>
      </c>
      <c r="AM50" s="9">
        <f t="shared" si="99"/>
        <v>4833.4024318063139</v>
      </c>
      <c r="AN50" s="9">
        <f t="shared" si="99"/>
        <v>4975.2615739392095</v>
      </c>
      <c r="AO50" s="9">
        <f t="shared" si="99"/>
        <v>5391.5234900055266</v>
      </c>
      <c r="AP50" s="9">
        <f t="shared" si="99"/>
        <v>5557.1502456244561</v>
      </c>
      <c r="AQ50" s="9">
        <f t="shared" si="99"/>
        <v>6026.0955830739113</v>
      </c>
      <c r="AR50" s="9">
        <f t="shared" si="99"/>
        <v>6218.5848181016536</v>
      </c>
      <c r="AS50" s="9">
        <f t="shared" si="99"/>
        <v>6745.2113045873248</v>
      </c>
      <c r="AT50" s="9">
        <f t="shared" si="99"/>
        <v>6968.2321959736109</v>
      </c>
      <c r="AU50" s="9">
        <f t="shared" si="99"/>
        <v>7558.3497001317774</v>
      </c>
      <c r="AV50" s="9">
        <f t="shared" si="99"/>
        <v>7816.1908677254487</v>
      </c>
      <c r="AW50" s="9">
        <f t="shared" si="99"/>
        <v>8476.4562411356546</v>
      </c>
      <c r="AX50" s="9">
        <f t="shared" si="99"/>
        <v>8774.0854494164414</v>
      </c>
    </row>
    <row r="51" spans="2:50" s="12" customFormat="1" ht="14.25" customHeight="1" x14ac:dyDescent="0.3">
      <c r="B51" s="34" t="s">
        <v>38</v>
      </c>
      <c r="E51" s="14">
        <f t="shared" ref="E51:J51" si="100">E50/E$12</f>
        <v>0.37730028261104059</v>
      </c>
      <c r="F51" s="161">
        <f t="shared" si="100"/>
        <v>0.38250148467056622</v>
      </c>
      <c r="G51" s="161">
        <f t="shared" si="100"/>
        <v>0.38790809261509424</v>
      </c>
      <c r="H51" s="161">
        <f t="shared" si="100"/>
        <v>0.39328577355660216</v>
      </c>
      <c r="I51" s="161">
        <f t="shared" si="100"/>
        <v>0.39468893619162665</v>
      </c>
      <c r="J51" s="161">
        <f t="shared" si="100"/>
        <v>0.40320823635362879</v>
      </c>
      <c r="K51" s="161">
        <f t="shared" ref="K51" si="101">K50/K$12</f>
        <v>0.40692863925700401</v>
      </c>
      <c r="L51" s="161">
        <f t="shared" ref="L51" si="102">L50/L$12</f>
        <v>0.41093586237955793</v>
      </c>
      <c r="M51" s="161">
        <f t="shared" ref="M51" si="103">M50/M$12</f>
        <v>0.41494085724103014</v>
      </c>
      <c r="N51" s="161">
        <f t="shared" ref="N51" si="104">N50/N$12</f>
        <v>0.41894496461571934</v>
      </c>
      <c r="O51" s="161">
        <f t="shared" ref="O51" si="105">O50/O$12</f>
        <v>0.42294845032429479</v>
      </c>
      <c r="P51" s="161">
        <f t="shared" ref="P51" si="106">P50/P$12</f>
        <v>0.42695150447224811</v>
      </c>
      <c r="Q51" s="161">
        <f t="shared" ref="Q51" si="107">Q50/Q$12</f>
        <v>0.43095425944393323</v>
      </c>
      <c r="R51" s="161">
        <f t="shared" ref="R51:S51" si="108">R50/R$12</f>
        <v>0.4349568056452775</v>
      </c>
      <c r="S51" s="161">
        <f t="shared" si="108"/>
        <v>0.43895920388114584</v>
      </c>
      <c r="T51" s="161">
        <f t="shared" ref="T51" si="109">T50/T$12</f>
        <v>0.44296149452587341</v>
      </c>
      <c r="U51" s="161"/>
      <c r="V51" s="81"/>
      <c r="W51" s="81"/>
      <c r="Y51" s="14">
        <f t="shared" ref="Y51:AD51" si="110">Y50/Y$12</f>
        <v>0.39051732496816</v>
      </c>
      <c r="Z51" s="14">
        <f t="shared" si="110"/>
        <v>0.39641619205213363</v>
      </c>
      <c r="AA51" s="14">
        <f t="shared" si="110"/>
        <v>0.39271431611532526</v>
      </c>
      <c r="AB51" s="14">
        <f t="shared" si="110"/>
        <v>0.39667148622136167</v>
      </c>
      <c r="AC51" s="14">
        <f t="shared" si="110"/>
        <v>0.39944225838445035</v>
      </c>
      <c r="AD51" s="14">
        <f t="shared" si="110"/>
        <v>0.40697543021341165</v>
      </c>
      <c r="AE51" s="14">
        <f t="shared" ref="AE51" si="111">AE50/AE$12</f>
        <v>0.40288185379881714</v>
      </c>
      <c r="AF51" s="15">
        <f>AD51+0.4%</f>
        <v>0.41097543021341165</v>
      </c>
      <c r="AG51" s="15">
        <f t="shared" ref="AG51:AX51" si="112">AE51+0.4%</f>
        <v>0.40688185379881714</v>
      </c>
      <c r="AH51" s="15">
        <f t="shared" si="112"/>
        <v>0.41497543021341166</v>
      </c>
      <c r="AI51" s="15">
        <f t="shared" si="112"/>
        <v>0.41088185379881714</v>
      </c>
      <c r="AJ51" s="15">
        <f t="shared" si="112"/>
        <v>0.41897543021341166</v>
      </c>
      <c r="AK51" s="15">
        <f t="shared" si="112"/>
        <v>0.41488185379881715</v>
      </c>
      <c r="AL51" s="15">
        <f t="shared" si="112"/>
        <v>0.42297543021341166</v>
      </c>
      <c r="AM51" s="15">
        <f t="shared" si="112"/>
        <v>0.41888185379881715</v>
      </c>
      <c r="AN51" s="15">
        <f t="shared" si="112"/>
        <v>0.42697543021341167</v>
      </c>
      <c r="AO51" s="15">
        <f t="shared" si="112"/>
        <v>0.42288185379881715</v>
      </c>
      <c r="AP51" s="15">
        <f t="shared" si="112"/>
        <v>0.43097543021341167</v>
      </c>
      <c r="AQ51" s="15">
        <f t="shared" si="112"/>
        <v>0.42688185379881716</v>
      </c>
      <c r="AR51" s="15">
        <f t="shared" si="112"/>
        <v>0.43497543021341167</v>
      </c>
      <c r="AS51" s="15">
        <f t="shared" si="112"/>
        <v>0.43088185379881716</v>
      </c>
      <c r="AT51" s="15">
        <f t="shared" si="112"/>
        <v>0.43897543021341168</v>
      </c>
      <c r="AU51" s="15">
        <f t="shared" si="112"/>
        <v>0.43488185379881716</v>
      </c>
      <c r="AV51" s="15">
        <f t="shared" si="112"/>
        <v>0.44297543021341168</v>
      </c>
      <c r="AW51" s="15">
        <f t="shared" si="112"/>
        <v>0.43888185379881717</v>
      </c>
      <c r="AX51" s="15">
        <f t="shared" si="112"/>
        <v>0.44697543021341168</v>
      </c>
    </row>
    <row r="52" spans="2:50" s="12" customFormat="1" ht="14.25" customHeight="1" x14ac:dyDescent="0.3">
      <c r="B52" s="34">
        <f>B45</f>
        <v>0</v>
      </c>
      <c r="E52" s="14" t="e">
        <f t="shared" ref="E52:R52" si="113">E45/E7</f>
        <v>#DIV/0!</v>
      </c>
      <c r="F52" s="161" t="e">
        <f t="shared" si="113"/>
        <v>#DIV/0!</v>
      </c>
      <c r="G52" s="161" t="e">
        <f t="shared" si="113"/>
        <v>#DIV/0!</v>
      </c>
      <c r="H52" s="161" t="e">
        <f t="shared" si="113"/>
        <v>#DIV/0!</v>
      </c>
      <c r="I52" s="161" t="e">
        <f t="shared" si="113"/>
        <v>#DIV/0!</v>
      </c>
      <c r="J52" s="161" t="e">
        <f t="shared" si="113"/>
        <v>#DIV/0!</v>
      </c>
      <c r="K52" s="161" t="e">
        <f t="shared" si="113"/>
        <v>#DIV/0!</v>
      </c>
      <c r="L52" s="161" t="e">
        <f t="shared" si="113"/>
        <v>#DIV/0!</v>
      </c>
      <c r="M52" s="161" t="e">
        <f t="shared" si="113"/>
        <v>#DIV/0!</v>
      </c>
      <c r="N52" s="161" t="e">
        <f t="shared" si="113"/>
        <v>#DIV/0!</v>
      </c>
      <c r="O52" s="161" t="e">
        <f t="shared" si="113"/>
        <v>#DIV/0!</v>
      </c>
      <c r="P52" s="161" t="e">
        <f t="shared" si="113"/>
        <v>#DIV/0!</v>
      </c>
      <c r="Q52" s="161" t="e">
        <f t="shared" si="113"/>
        <v>#DIV/0!</v>
      </c>
      <c r="R52" s="161" t="e">
        <f t="shared" si="113"/>
        <v>#DIV/0!</v>
      </c>
      <c r="S52" s="161" t="e">
        <f t="shared" ref="S52:T52" si="114">S45/S7</f>
        <v>#DIV/0!</v>
      </c>
      <c r="T52" s="161" t="e">
        <f t="shared" si="114"/>
        <v>#DIV/0!</v>
      </c>
      <c r="U52" s="161"/>
      <c r="V52" s="81"/>
      <c r="W52" s="81"/>
      <c r="Y52" s="14" t="e">
        <f t="shared" ref="Y52:AD53" si="115">Y45/Y7</f>
        <v>#DIV/0!</v>
      </c>
      <c r="Z52" s="14" t="e">
        <f t="shared" si="115"/>
        <v>#DIV/0!</v>
      </c>
      <c r="AA52" s="14" t="e">
        <f t="shared" si="115"/>
        <v>#DIV/0!</v>
      </c>
      <c r="AB52" s="14" t="e">
        <f t="shared" si="115"/>
        <v>#DIV/0!</v>
      </c>
      <c r="AC52" s="14" t="e">
        <f t="shared" si="115"/>
        <v>#DIV/0!</v>
      </c>
      <c r="AD52" s="14" t="e">
        <f t="shared" si="115"/>
        <v>#DIV/0!</v>
      </c>
      <c r="AE52" s="14" t="e">
        <f t="shared" ref="AE52" si="116">AE45/AE7</f>
        <v>#DIV/0!</v>
      </c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</row>
    <row r="53" spans="2:50" s="12" customFormat="1" ht="14.25" customHeight="1" x14ac:dyDescent="0.3">
      <c r="B53" s="34">
        <f>B46</f>
        <v>0</v>
      </c>
      <c r="E53" s="14" t="e">
        <f t="shared" ref="E53:R53" si="117">E46/E8</f>
        <v>#DIV/0!</v>
      </c>
      <c r="F53" s="161" t="e">
        <f t="shared" si="117"/>
        <v>#DIV/0!</v>
      </c>
      <c r="G53" s="161" t="e">
        <f t="shared" si="117"/>
        <v>#DIV/0!</v>
      </c>
      <c r="H53" s="161" t="e">
        <f t="shared" si="117"/>
        <v>#DIV/0!</v>
      </c>
      <c r="I53" s="161" t="e">
        <f t="shared" si="117"/>
        <v>#DIV/0!</v>
      </c>
      <c r="J53" s="161" t="e">
        <f t="shared" si="117"/>
        <v>#DIV/0!</v>
      </c>
      <c r="K53" s="161" t="e">
        <f t="shared" si="117"/>
        <v>#DIV/0!</v>
      </c>
      <c r="L53" s="161" t="e">
        <f t="shared" si="117"/>
        <v>#DIV/0!</v>
      </c>
      <c r="M53" s="161" t="e">
        <f t="shared" si="117"/>
        <v>#DIV/0!</v>
      </c>
      <c r="N53" s="161" t="e">
        <f t="shared" si="117"/>
        <v>#DIV/0!</v>
      </c>
      <c r="O53" s="161" t="e">
        <f t="shared" si="117"/>
        <v>#DIV/0!</v>
      </c>
      <c r="P53" s="161" t="e">
        <f t="shared" si="117"/>
        <v>#DIV/0!</v>
      </c>
      <c r="Q53" s="161" t="e">
        <f t="shared" si="117"/>
        <v>#DIV/0!</v>
      </c>
      <c r="R53" s="161" t="e">
        <f t="shared" si="117"/>
        <v>#DIV/0!</v>
      </c>
      <c r="S53" s="161" t="e">
        <f t="shared" ref="S53:T53" si="118">S46/S8</f>
        <v>#DIV/0!</v>
      </c>
      <c r="T53" s="161" t="e">
        <f t="shared" si="118"/>
        <v>#DIV/0!</v>
      </c>
      <c r="U53" s="161"/>
      <c r="V53" s="81"/>
      <c r="W53" s="81"/>
      <c r="Y53" s="14" t="e">
        <f t="shared" si="115"/>
        <v>#DIV/0!</v>
      </c>
      <c r="Z53" s="14" t="e">
        <f t="shared" si="115"/>
        <v>#DIV/0!</v>
      </c>
      <c r="AA53" s="14" t="e">
        <f t="shared" si="115"/>
        <v>#DIV/0!</v>
      </c>
      <c r="AB53" s="14" t="e">
        <f t="shared" si="115"/>
        <v>#DIV/0!</v>
      </c>
      <c r="AC53" s="14" t="e">
        <f t="shared" si="115"/>
        <v>#DIV/0!</v>
      </c>
      <c r="AD53" s="14" t="e">
        <f t="shared" si="115"/>
        <v>#DIV/0!</v>
      </c>
      <c r="AE53" s="14" t="e">
        <f t="shared" ref="AE53" si="119">AE46/AE8</f>
        <v>#DIV/0!</v>
      </c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</row>
    <row r="54" spans="2:50" s="12" customFormat="1" ht="14.25" customHeight="1" x14ac:dyDescent="0.3">
      <c r="B54" s="34" t="s">
        <v>16</v>
      </c>
      <c r="E54" s="14" t="e">
        <f t="shared" ref="E54:R54" si="120">E49/E11</f>
        <v>#DIV/0!</v>
      </c>
      <c r="F54" s="161" t="e">
        <f t="shared" si="120"/>
        <v>#DIV/0!</v>
      </c>
      <c r="G54" s="161" t="e">
        <f t="shared" si="120"/>
        <v>#DIV/0!</v>
      </c>
      <c r="H54" s="161" t="e">
        <f t="shared" si="120"/>
        <v>#DIV/0!</v>
      </c>
      <c r="I54" s="161" t="e">
        <f t="shared" si="120"/>
        <v>#DIV/0!</v>
      </c>
      <c r="J54" s="161" t="e">
        <f t="shared" si="120"/>
        <v>#DIV/0!</v>
      </c>
      <c r="K54" s="161" t="e">
        <f t="shared" si="120"/>
        <v>#DIV/0!</v>
      </c>
      <c r="L54" s="161" t="e">
        <f t="shared" si="120"/>
        <v>#DIV/0!</v>
      </c>
      <c r="M54" s="161" t="e">
        <f t="shared" si="120"/>
        <v>#DIV/0!</v>
      </c>
      <c r="N54" s="161" t="e">
        <f t="shared" si="120"/>
        <v>#DIV/0!</v>
      </c>
      <c r="O54" s="161" t="e">
        <f t="shared" si="120"/>
        <v>#DIV/0!</v>
      </c>
      <c r="P54" s="161" t="e">
        <f t="shared" si="120"/>
        <v>#DIV/0!</v>
      </c>
      <c r="Q54" s="161" t="e">
        <f t="shared" si="120"/>
        <v>#DIV/0!</v>
      </c>
      <c r="R54" s="161" t="e">
        <f t="shared" si="120"/>
        <v>#DIV/0!</v>
      </c>
      <c r="S54" s="161" t="e">
        <f t="shared" ref="S54:T54" si="121">S49/S11</f>
        <v>#DIV/0!</v>
      </c>
      <c r="T54" s="161" t="e">
        <f t="shared" si="121"/>
        <v>#DIV/0!</v>
      </c>
      <c r="U54" s="161"/>
      <c r="V54" s="81"/>
      <c r="W54" s="81"/>
      <c r="Y54" s="14" t="e">
        <f t="shared" ref="Y54:AD54" si="122">Y49/Y11</f>
        <v>#DIV/0!</v>
      </c>
      <c r="Z54" s="14" t="e">
        <f t="shared" si="122"/>
        <v>#DIV/0!</v>
      </c>
      <c r="AA54" s="14" t="e">
        <f t="shared" si="122"/>
        <v>#DIV/0!</v>
      </c>
      <c r="AB54" s="14" t="e">
        <f t="shared" si="122"/>
        <v>#DIV/0!</v>
      </c>
      <c r="AC54" s="14" t="e">
        <f t="shared" si="122"/>
        <v>#DIV/0!</v>
      </c>
      <c r="AD54" s="14" t="e">
        <f t="shared" si="122"/>
        <v>#DIV/0!</v>
      </c>
      <c r="AE54" s="14" t="e">
        <f t="shared" ref="AE54" si="123">AE49/AE11</f>
        <v>#DIV/0!</v>
      </c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</row>
    <row r="55" spans="2:50" s="12" customFormat="1" ht="14.25" customHeight="1" x14ac:dyDescent="0.3">
      <c r="B55" s="25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83">
        <f>10/16</f>
        <v>0.625</v>
      </c>
      <c r="W55" s="72"/>
    </row>
    <row r="56" spans="2:50" ht="14.25" hidden="1" customHeight="1" outlineLevel="1" x14ac:dyDescent="0.3">
      <c r="B56" s="26"/>
      <c r="C56" s="2"/>
      <c r="D56" s="2"/>
      <c r="E56" s="5"/>
      <c r="F56" s="139"/>
      <c r="G56" s="139"/>
      <c r="H56" s="139"/>
      <c r="I56" s="139"/>
      <c r="J56" s="139"/>
      <c r="K56" s="140">
        <f t="shared" ref="K56:T58" si="124">SUMIF($Y$2:$AX$2,K$2,$Y56:$AX56)</f>
        <v>0</v>
      </c>
      <c r="L56" s="140">
        <f t="shared" si="124"/>
        <v>0</v>
      </c>
      <c r="M56" s="140">
        <f t="shared" si="124"/>
        <v>0</v>
      </c>
      <c r="N56" s="140">
        <f t="shared" si="124"/>
        <v>0</v>
      </c>
      <c r="O56" s="140">
        <f t="shared" si="124"/>
        <v>0</v>
      </c>
      <c r="P56" s="140">
        <f t="shared" si="124"/>
        <v>0</v>
      </c>
      <c r="Q56" s="140">
        <f t="shared" si="124"/>
        <v>0</v>
      </c>
      <c r="R56" s="140">
        <f t="shared" si="124"/>
        <v>0</v>
      </c>
      <c r="S56" s="140">
        <f t="shared" si="124"/>
        <v>0</v>
      </c>
      <c r="T56" s="140">
        <f t="shared" si="124"/>
        <v>0</v>
      </c>
      <c r="V56" s="75"/>
      <c r="W56" s="75"/>
      <c r="Y56" s="5"/>
      <c r="Z56" s="5"/>
      <c r="AA56" s="5"/>
      <c r="AB56" s="5"/>
      <c r="AC56" s="5"/>
      <c r="AD56" s="5"/>
      <c r="AE56" s="5"/>
      <c r="AF56" s="95"/>
      <c r="AG56" s="95"/>
      <c r="AH56" s="95"/>
      <c r="AI56" s="95"/>
      <c r="AJ56" s="95"/>
      <c r="AK56" s="95"/>
      <c r="AL56" s="95"/>
      <c r="AM56" s="95"/>
      <c r="AN56" s="95"/>
      <c r="AO56" s="31"/>
      <c r="AP56" s="31"/>
      <c r="AQ56" s="31"/>
      <c r="AR56" s="31"/>
      <c r="AS56" s="31"/>
      <c r="AT56" s="31"/>
      <c r="AU56" s="31"/>
      <c r="AV56" s="31"/>
      <c r="AW56" s="31"/>
      <c r="AX56" s="31"/>
    </row>
    <row r="57" spans="2:50" ht="14.25" hidden="1" customHeight="1" outlineLevel="1" x14ac:dyDescent="0.3">
      <c r="B57" s="26"/>
      <c r="C57" s="2"/>
      <c r="D57" s="2"/>
      <c r="E57" s="5"/>
      <c r="F57" s="139"/>
      <c r="G57" s="139"/>
      <c r="H57" s="139"/>
      <c r="I57" s="139"/>
      <c r="J57" s="139"/>
      <c r="K57" s="140">
        <f t="shared" si="124"/>
        <v>0</v>
      </c>
      <c r="L57" s="140">
        <f t="shared" si="124"/>
        <v>0</v>
      </c>
      <c r="M57" s="140">
        <f t="shared" si="124"/>
        <v>0</v>
      </c>
      <c r="N57" s="140">
        <f t="shared" si="124"/>
        <v>0</v>
      </c>
      <c r="O57" s="140">
        <f t="shared" si="124"/>
        <v>0</v>
      </c>
      <c r="P57" s="140">
        <f t="shared" si="124"/>
        <v>0</v>
      </c>
      <c r="Q57" s="140">
        <f t="shared" si="124"/>
        <v>0</v>
      </c>
      <c r="R57" s="140">
        <f t="shared" si="124"/>
        <v>0</v>
      </c>
      <c r="S57" s="140">
        <f t="shared" si="124"/>
        <v>0</v>
      </c>
      <c r="T57" s="140">
        <f t="shared" si="124"/>
        <v>0</v>
      </c>
      <c r="V57" s="75"/>
      <c r="W57" s="75"/>
      <c r="Y57" s="5"/>
      <c r="Z57" s="5"/>
      <c r="AA57" s="5"/>
      <c r="AB57" s="5"/>
      <c r="AC57" s="5"/>
      <c r="AD57" s="5"/>
      <c r="AE57" s="5"/>
      <c r="AF57" s="95"/>
      <c r="AG57" s="95"/>
      <c r="AH57" s="95"/>
      <c r="AI57" s="95"/>
      <c r="AJ57" s="95"/>
      <c r="AK57" s="95"/>
      <c r="AL57" s="95"/>
      <c r="AM57" s="95"/>
      <c r="AN57" s="95"/>
      <c r="AO57" s="31"/>
      <c r="AP57" s="31"/>
      <c r="AQ57" s="31"/>
      <c r="AR57" s="31"/>
      <c r="AS57" s="31"/>
      <c r="AT57" s="31"/>
      <c r="AU57" s="31"/>
      <c r="AV57" s="31"/>
      <c r="AW57" s="31"/>
      <c r="AX57" s="31"/>
    </row>
    <row r="58" spans="2:50" ht="14.25" hidden="1" customHeight="1" outlineLevel="1" x14ac:dyDescent="0.3">
      <c r="B58" s="26"/>
      <c r="C58" s="2"/>
      <c r="D58" s="2"/>
      <c r="E58" s="5"/>
      <c r="F58" s="139"/>
      <c r="G58" s="139"/>
      <c r="H58" s="139"/>
      <c r="I58" s="139"/>
      <c r="J58" s="139"/>
      <c r="K58" s="140">
        <f t="shared" si="124"/>
        <v>0</v>
      </c>
      <c r="L58" s="140">
        <f t="shared" si="124"/>
        <v>0</v>
      </c>
      <c r="M58" s="140">
        <f t="shared" si="124"/>
        <v>0</v>
      </c>
      <c r="N58" s="140">
        <f t="shared" si="124"/>
        <v>0</v>
      </c>
      <c r="O58" s="140">
        <f t="shared" si="124"/>
        <v>0</v>
      </c>
      <c r="P58" s="140">
        <f t="shared" si="124"/>
        <v>0</v>
      </c>
      <c r="Q58" s="140">
        <f t="shared" si="124"/>
        <v>0</v>
      </c>
      <c r="R58" s="140">
        <f t="shared" si="124"/>
        <v>0</v>
      </c>
      <c r="S58" s="140">
        <f t="shared" si="124"/>
        <v>0</v>
      </c>
      <c r="T58" s="140">
        <f t="shared" si="124"/>
        <v>0</v>
      </c>
      <c r="V58" s="75"/>
      <c r="W58" s="75"/>
      <c r="Y58" s="5"/>
      <c r="Z58" s="5"/>
      <c r="AA58" s="5"/>
      <c r="AB58" s="5"/>
      <c r="AC58" s="5"/>
      <c r="AD58" s="5"/>
      <c r="AE58" s="5"/>
      <c r="AF58" s="95"/>
      <c r="AG58" s="95"/>
      <c r="AH58" s="95"/>
      <c r="AI58" s="95"/>
      <c r="AJ58" s="95"/>
      <c r="AK58" s="95"/>
      <c r="AL58" s="95"/>
      <c r="AM58" s="95"/>
      <c r="AN58" s="95"/>
      <c r="AO58" s="31"/>
      <c r="AP58" s="31"/>
      <c r="AQ58" s="31"/>
      <c r="AR58" s="31"/>
      <c r="AS58" s="31"/>
      <c r="AT58" s="31"/>
      <c r="AU58" s="31"/>
      <c r="AV58" s="31"/>
      <c r="AW58" s="31"/>
      <c r="AX58" s="31"/>
    </row>
    <row r="59" spans="2:50" ht="14.25" hidden="1" customHeight="1" outlineLevel="1" x14ac:dyDescent="0.3">
      <c r="B59" s="26"/>
      <c r="C59" s="2"/>
      <c r="D59" s="2"/>
      <c r="E59" s="5"/>
      <c r="F59" s="139"/>
      <c r="G59" s="139"/>
      <c r="H59" s="139"/>
      <c r="I59" s="139"/>
      <c r="J59" s="139"/>
      <c r="K59" s="140"/>
      <c r="L59" s="140"/>
      <c r="M59" s="140"/>
      <c r="N59" s="140"/>
      <c r="O59" s="140"/>
      <c r="P59" s="140"/>
      <c r="Q59" s="140"/>
      <c r="R59" s="140"/>
      <c r="S59" s="140"/>
      <c r="T59" s="140"/>
      <c r="V59" s="75"/>
      <c r="W59" s="75"/>
      <c r="Y59" s="5"/>
      <c r="Z59" s="5"/>
      <c r="AA59" s="5"/>
      <c r="AB59" s="5"/>
      <c r="AC59" s="5"/>
      <c r="AD59" s="5"/>
      <c r="AE59" s="5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</row>
    <row r="60" spans="2:50" ht="14.25" hidden="1" customHeight="1" outlineLevel="1" x14ac:dyDescent="0.3">
      <c r="B60" s="26" t="str">
        <f>$B$11</f>
        <v>Other</v>
      </c>
      <c r="C60" s="2"/>
      <c r="D60" s="2"/>
      <c r="E60" s="2">
        <f>E61-SUM(E56:E59)</f>
        <v>-1904.4399999999998</v>
      </c>
      <c r="F60" s="142">
        <f t="shared" ref="F60" si="125">F61-SUM(F56:F59)</f>
        <v>-2491.8409999999999</v>
      </c>
      <c r="G60" s="142">
        <f t="shared" ref="G60" si="126">G61-SUM(G56:G59)</f>
        <v>-3515.7049999999999</v>
      </c>
      <c r="H60" s="142">
        <f t="shared" ref="H60" si="127">H61-SUM(H56:H59)</f>
        <v>-3512.3240000000005</v>
      </c>
      <c r="I60" s="142">
        <f t="shared" ref="I60" si="128">I61-SUM(I56:I59)</f>
        <v>-3668.2799999999997</v>
      </c>
      <c r="J60" s="142">
        <f t="shared" ref="J60" si="129">J61-SUM(J56:J59)</f>
        <v>-3862.1610000000001</v>
      </c>
      <c r="K60" s="140"/>
      <c r="L60" s="140"/>
      <c r="M60" s="140"/>
      <c r="N60" s="140"/>
      <c r="O60" s="140"/>
      <c r="P60" s="140"/>
      <c r="Q60" s="140"/>
      <c r="R60" s="140"/>
      <c r="S60" s="140"/>
      <c r="T60" s="140"/>
      <c r="V60" s="75"/>
      <c r="W60" s="75"/>
      <c r="Y60" s="2">
        <f t="shared" ref="Y60" si="130">Y61-SUM(Y56:Y59)</f>
        <v>-1879.54</v>
      </c>
      <c r="Z60" s="2">
        <f t="shared" ref="Z60" si="131">Z61-SUM(Z56:Z59)</f>
        <v>-1632.7840000000003</v>
      </c>
      <c r="AA60" s="2">
        <f t="shared" ref="AA60" si="132">AA61-SUM(AA56:AA59)</f>
        <v>-1862.1130000000001</v>
      </c>
      <c r="AB60" s="2">
        <f t="shared" ref="AB60" si="133">AB61-SUM(AB56:AB59)</f>
        <v>-1806.1669999999997</v>
      </c>
      <c r="AC60" s="2">
        <f t="shared" ref="AC60:AE60" si="134">AC61-SUM(AC56:AC59)</f>
        <v>-1934.2180000000001</v>
      </c>
      <c r="AD60" s="2">
        <f t="shared" ref="AD60" si="135">AD61-SUM(AD56:AD59)</f>
        <v>-1927.9429999999998</v>
      </c>
      <c r="AE60" s="2">
        <f t="shared" si="134"/>
        <v>-2093.5539999999996</v>
      </c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</row>
    <row r="61" spans="2:50" ht="14.25" customHeight="1" collapsed="1" x14ac:dyDescent="0.3">
      <c r="B61" s="27" t="s">
        <v>18</v>
      </c>
      <c r="C61" s="3"/>
      <c r="D61" s="3"/>
      <c r="E61" s="9">
        <f t="shared" ref="E61:J61" si="136">IF(ISBLANK(E50),E83-E12,E83-E50)</f>
        <v>-1904.4399999999998</v>
      </c>
      <c r="F61" s="162">
        <f t="shared" si="136"/>
        <v>-2491.8409999999999</v>
      </c>
      <c r="G61" s="162">
        <f t="shared" si="136"/>
        <v>-3515.7049999999999</v>
      </c>
      <c r="H61" s="162">
        <f t="shared" si="136"/>
        <v>-3512.3240000000005</v>
      </c>
      <c r="I61" s="162">
        <f t="shared" si="136"/>
        <v>-3668.2799999999997</v>
      </c>
      <c r="J61" s="162">
        <f t="shared" si="136"/>
        <v>-3862.1610000000001</v>
      </c>
      <c r="K61" s="144">
        <f t="shared" ref="K61:T61" si="137">SUMIF($Y$2:$AX$2,K$2,$Y61:$AX61)</f>
        <v>-4159.5574984150953</v>
      </c>
      <c r="L61" s="144">
        <f t="shared" si="137"/>
        <v>-4650.5509672375365</v>
      </c>
      <c r="M61" s="144">
        <f t="shared" si="137"/>
        <v>-5082.5725922625988</v>
      </c>
      <c r="N61" s="144">
        <f t="shared" si="137"/>
        <v>-5583.6998223936189</v>
      </c>
      <c r="O61" s="144">
        <f t="shared" si="137"/>
        <v>-6157.3386794605194</v>
      </c>
      <c r="P61" s="144">
        <f t="shared" si="137"/>
        <v>-6808.4996178034053</v>
      </c>
      <c r="Q61" s="144">
        <f t="shared" si="137"/>
        <v>-7543.6715289288386</v>
      </c>
      <c r="R61" s="144">
        <f t="shared" si="137"/>
        <v>-8370.7635506325023</v>
      </c>
      <c r="S61" s="144">
        <f t="shared" si="137"/>
        <v>-9299.1010303625408</v>
      </c>
      <c r="T61" s="144">
        <f t="shared" si="137"/>
        <v>-10339.466062045911</v>
      </c>
      <c r="U61" s="145"/>
      <c r="V61" s="76"/>
      <c r="W61" s="76"/>
      <c r="Y61" s="9">
        <f t="shared" ref="Y61:AD61" si="138">IF(ISBLANK(Y50),Y83-Y12,Y83-Y50)</f>
        <v>-1879.54</v>
      </c>
      <c r="Z61" s="9">
        <f t="shared" si="138"/>
        <v>-1632.7840000000003</v>
      </c>
      <c r="AA61" s="9">
        <f t="shared" si="138"/>
        <v>-1862.1130000000001</v>
      </c>
      <c r="AB61" s="9">
        <f t="shared" si="138"/>
        <v>-1806.1669999999997</v>
      </c>
      <c r="AC61" s="9">
        <f t="shared" si="138"/>
        <v>-1934.2180000000001</v>
      </c>
      <c r="AD61" s="9">
        <f t="shared" si="138"/>
        <v>-1927.9429999999998</v>
      </c>
      <c r="AE61" s="9">
        <f t="shared" ref="AE61" si="139">IF(ISBLANK(AE50),AE83-AE12,AE83-AE50)</f>
        <v>-2093.5539999999996</v>
      </c>
      <c r="AF61" s="9">
        <f>-AF$12*AF62</f>
        <v>-2066.0034984150957</v>
      </c>
      <c r="AG61" s="9">
        <f t="shared" ref="AG61:AW61" si="140">-AG$12*AG62</f>
        <v>-2336.5265055995155</v>
      </c>
      <c r="AH61" s="9">
        <f t="shared" si="140"/>
        <v>-2314.024461638021</v>
      </c>
      <c r="AI61" s="9">
        <f t="shared" si="140"/>
        <v>-2550.4458869869259</v>
      </c>
      <c r="AJ61" s="9">
        <f t="shared" si="140"/>
        <v>-2532.1267052756725</v>
      </c>
      <c r="AK61" s="9">
        <f t="shared" si="140"/>
        <v>-2799.0789555694696</v>
      </c>
      <c r="AL61" s="9">
        <f t="shared" si="140"/>
        <v>-2784.6208668241497</v>
      </c>
      <c r="AM61" s="9">
        <f t="shared" si="140"/>
        <v>-3083.9891986096818</v>
      </c>
      <c r="AN61" s="9">
        <f t="shared" si="140"/>
        <v>-3073.3494808508372</v>
      </c>
      <c r="AO61" s="9">
        <f t="shared" si="140"/>
        <v>-3407.5629770924475</v>
      </c>
      <c r="AP61" s="9">
        <f t="shared" si="140"/>
        <v>-3400.9366407109583</v>
      </c>
      <c r="AQ61" s="9">
        <f t="shared" si="140"/>
        <v>-3772.9388030299137</v>
      </c>
      <c r="AR61" s="9">
        <f t="shared" si="140"/>
        <v>-3770.7327258989253</v>
      </c>
      <c r="AS61" s="9">
        <f t="shared" si="140"/>
        <v>-4183.9722321926301</v>
      </c>
      <c r="AT61" s="9">
        <f t="shared" si="140"/>
        <v>-4186.7913184398712</v>
      </c>
      <c r="AU61" s="9">
        <f t="shared" si="140"/>
        <v>-4645.2290573481368</v>
      </c>
      <c r="AV61" s="9">
        <f t="shared" si="140"/>
        <v>-4653.871973014403</v>
      </c>
      <c r="AW61" s="9">
        <f t="shared" si="140"/>
        <v>-5162.0016450642333</v>
      </c>
      <c r="AX61" s="9">
        <f>-AX$12*AX62</f>
        <v>-5177.4644169816784</v>
      </c>
    </row>
    <row r="62" spans="2:50" s="12" customFormat="1" ht="14.25" customHeight="1" x14ac:dyDescent="0.3">
      <c r="B62" s="34" t="s">
        <v>31</v>
      </c>
      <c r="E62" s="14">
        <f t="shared" ref="E62" si="141">-E61/E$12</f>
        <v>0.24840345696680494</v>
      </c>
      <c r="F62" s="161">
        <f t="shared" ref="F62" si="142">-F61/F$12</f>
        <v>0.25396004725262816</v>
      </c>
      <c r="G62" s="161">
        <f t="shared" ref="G62" si="143">-G61/G$12</f>
        <v>0.26627752248116948</v>
      </c>
      <c r="H62" s="161">
        <f t="shared" ref="H62" si="144">-H61/H$12</f>
        <v>0.26500271580092138</v>
      </c>
      <c r="I62" s="161">
        <f t="shared" ref="I62" si="145">-I61/I$12</f>
        <v>0.26714516082870143</v>
      </c>
      <c r="J62" s="161">
        <f>-J61/J$12</f>
        <v>0.26414050266400102</v>
      </c>
      <c r="K62" s="161">
        <f>-K61/K$12</f>
        <v>0.26551233557293152</v>
      </c>
      <c r="L62" s="161">
        <f>-L61/L$12</f>
        <v>0.26550919696517938</v>
      </c>
      <c r="M62" s="161">
        <f>-M61/M$12</f>
        <v>0.2655070265865348</v>
      </c>
      <c r="N62" s="161">
        <f>-N61/N$12</f>
        <v>0.26550524184067947</v>
      </c>
      <c r="O62" s="161">
        <f t="shared" ref="O62" si="146">-O61/O$12</f>
        <v>0.26550372722260734</v>
      </c>
      <c r="P62" s="161">
        <f t="shared" ref="P62" si="147">-P61/P$12</f>
        <v>0.26550240012724502</v>
      </c>
      <c r="Q62" s="161">
        <f t="shared" ref="Q62" si="148">-Q61/Q$12</f>
        <v>0.2655012030306399</v>
      </c>
      <c r="R62" s="161">
        <f t="shared" ref="R62:S62" si="149">-R61/R$12</f>
        <v>0.26550009664940144</v>
      </c>
      <c r="S62" s="161">
        <f t="shared" si="149"/>
        <v>0.2654990545624602</v>
      </c>
      <c r="T62" s="161">
        <f t="shared" ref="T62" si="150">-T61/T$12</f>
        <v>0.26549805922626785</v>
      </c>
      <c r="U62" s="161"/>
      <c r="V62" s="81"/>
      <c r="W62" s="81"/>
      <c r="Y62" s="14">
        <f t="shared" ref="Y62" si="151">-Y61/Y$12</f>
        <v>0.26722281572212037</v>
      </c>
      <c r="Z62" s="14">
        <f t="shared" ref="Z62" si="152">-Z61/Z$12</f>
        <v>0.26249234162086116</v>
      </c>
      <c r="AA62" s="14">
        <f t="shared" ref="AA62" si="153">-AA61/AA$12</f>
        <v>0.27067704693272615</v>
      </c>
      <c r="AB62" s="14">
        <f t="shared" ref="AB62" si="154">-AB61/AB$12</f>
        <v>0.26359909088613781</v>
      </c>
      <c r="AC62" s="14">
        <f t="shared" ref="AC62:AE62" si="155">-AC61/AC$12</f>
        <v>0.26452696585388269</v>
      </c>
      <c r="AD62" s="14">
        <f t="shared" ref="AD62" si="156">-AD61/AD$12</f>
        <v>0.26375391469989984</v>
      </c>
      <c r="AE62" s="14">
        <f t="shared" si="155"/>
        <v>0.26727075405686368</v>
      </c>
      <c r="AF62" s="15">
        <f>AD62</f>
        <v>0.26375391469989984</v>
      </c>
      <c r="AG62" s="15">
        <f t="shared" ref="AG62:AX62" si="157">AE62</f>
        <v>0.26727075405686368</v>
      </c>
      <c r="AH62" s="15">
        <f t="shared" si="157"/>
        <v>0.26375391469989984</v>
      </c>
      <c r="AI62" s="15">
        <f t="shared" si="157"/>
        <v>0.26727075405686368</v>
      </c>
      <c r="AJ62" s="15">
        <f t="shared" si="157"/>
        <v>0.26375391469989984</v>
      </c>
      <c r="AK62" s="15">
        <f t="shared" si="157"/>
        <v>0.26727075405686368</v>
      </c>
      <c r="AL62" s="15">
        <f t="shared" si="157"/>
        <v>0.26375391469989984</v>
      </c>
      <c r="AM62" s="15">
        <f t="shared" si="157"/>
        <v>0.26727075405686368</v>
      </c>
      <c r="AN62" s="15">
        <f t="shared" si="157"/>
        <v>0.26375391469989984</v>
      </c>
      <c r="AO62" s="15">
        <f t="shared" si="157"/>
        <v>0.26727075405686368</v>
      </c>
      <c r="AP62" s="15">
        <f t="shared" si="157"/>
        <v>0.26375391469989984</v>
      </c>
      <c r="AQ62" s="15">
        <f t="shared" si="157"/>
        <v>0.26727075405686368</v>
      </c>
      <c r="AR62" s="15">
        <f t="shared" si="157"/>
        <v>0.26375391469989984</v>
      </c>
      <c r="AS62" s="15">
        <f t="shared" si="157"/>
        <v>0.26727075405686368</v>
      </c>
      <c r="AT62" s="15">
        <f t="shared" si="157"/>
        <v>0.26375391469989984</v>
      </c>
      <c r="AU62" s="15">
        <f t="shared" si="157"/>
        <v>0.26727075405686368</v>
      </c>
      <c r="AV62" s="15">
        <f t="shared" si="157"/>
        <v>0.26375391469989984</v>
      </c>
      <c r="AW62" s="15">
        <f t="shared" si="157"/>
        <v>0.26727075405686368</v>
      </c>
      <c r="AX62" s="15">
        <f t="shared" si="157"/>
        <v>0.26375391469989984</v>
      </c>
    </row>
    <row r="63" spans="2:50" s="12" customFormat="1" ht="14.25" customHeight="1" x14ac:dyDescent="0.3">
      <c r="B63" s="25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72"/>
      <c r="W63" s="72"/>
    </row>
    <row r="64" spans="2:50" s="12" customFormat="1" ht="14.25" customHeight="1" x14ac:dyDescent="0.3">
      <c r="B64" s="28" t="s">
        <v>39</v>
      </c>
      <c r="C64" s="23"/>
      <c r="D64" s="23"/>
      <c r="E64" s="23"/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34"/>
      <c r="V64" s="78"/>
      <c r="W64" s="78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</row>
    <row r="65" spans="1:50" s="21" customFormat="1" ht="14.25" customHeight="1" x14ac:dyDescent="0.3">
      <c r="A65" s="19"/>
      <c r="B65" s="64"/>
      <c r="C65" s="65"/>
      <c r="D65" s="65"/>
      <c r="E65" s="65"/>
      <c r="F65" s="158"/>
      <c r="G65" s="158"/>
      <c r="H65" s="158"/>
      <c r="I65" s="158"/>
      <c r="J65" s="158"/>
      <c r="K65" s="158"/>
      <c r="L65" s="158"/>
      <c r="M65" s="158"/>
      <c r="N65" s="158"/>
      <c r="O65" s="158"/>
      <c r="P65" s="158"/>
      <c r="Q65" s="158"/>
      <c r="R65" s="158"/>
      <c r="S65" s="158"/>
      <c r="T65" s="158"/>
      <c r="U65" s="159"/>
      <c r="V65" s="79"/>
      <c r="W65" s="79"/>
      <c r="X65" s="19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65"/>
      <c r="AM65" s="65"/>
      <c r="AN65" s="65"/>
      <c r="AO65" s="65"/>
      <c r="AP65" s="65"/>
      <c r="AQ65" s="65"/>
      <c r="AR65" s="65"/>
      <c r="AS65" s="65"/>
      <c r="AT65" s="65"/>
      <c r="AU65" s="65"/>
      <c r="AV65" s="65"/>
      <c r="AW65" s="65"/>
      <c r="AX65" s="65"/>
    </row>
    <row r="66" spans="1:50" s="97" customFormat="1" ht="14.25" hidden="1" customHeight="1" outlineLevel="1" x14ac:dyDescent="0.3">
      <c r="B66" s="98"/>
      <c r="C66" s="99"/>
      <c r="D66" s="99"/>
      <c r="E66" s="99"/>
      <c r="F66" s="163"/>
      <c r="G66" s="163"/>
      <c r="H66" s="163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4"/>
      <c r="V66" s="99"/>
      <c r="W66" s="99"/>
      <c r="Y66" s="99"/>
      <c r="Z66" s="99"/>
      <c r="AA66" s="99"/>
      <c r="AB66" s="99"/>
      <c r="AC66" s="99"/>
      <c r="AD66" s="99"/>
      <c r="AE66" s="99"/>
      <c r="AF66" s="99"/>
      <c r="AG66" s="99"/>
      <c r="AH66" s="99"/>
      <c r="AI66" s="99"/>
      <c r="AJ66" s="99"/>
      <c r="AK66" s="99"/>
      <c r="AL66" s="99"/>
      <c r="AM66" s="99"/>
      <c r="AN66" s="99"/>
      <c r="AO66" s="99"/>
      <c r="AP66" s="99"/>
      <c r="AQ66" s="99"/>
      <c r="AR66" s="99"/>
      <c r="AS66" s="99"/>
      <c r="AT66" s="99"/>
      <c r="AU66" s="99"/>
      <c r="AV66" s="99"/>
      <c r="AW66" s="99"/>
      <c r="AX66" s="99"/>
    </row>
    <row r="67" spans="1:50" s="97" customFormat="1" ht="14.25" hidden="1" customHeight="1" outlineLevel="1" x14ac:dyDescent="0.3">
      <c r="B67" s="63"/>
      <c r="C67" s="24"/>
      <c r="D67" s="24"/>
      <c r="E67" s="24"/>
      <c r="F67" s="165"/>
      <c r="G67" s="165"/>
      <c r="H67" s="165"/>
      <c r="I67" s="165"/>
      <c r="J67" s="165"/>
      <c r="K67" s="165"/>
      <c r="L67" s="165"/>
      <c r="M67" s="165"/>
      <c r="N67" s="165"/>
      <c r="O67" s="165"/>
      <c r="P67" s="165"/>
      <c r="Q67" s="165"/>
      <c r="R67" s="165"/>
      <c r="S67" s="165"/>
      <c r="T67" s="165"/>
      <c r="U67" s="166"/>
      <c r="V67" s="24"/>
      <c r="W67" s="24"/>
      <c r="Y67" s="24"/>
      <c r="Z67" s="24"/>
      <c r="AA67" s="24"/>
      <c r="AB67" s="24"/>
      <c r="AC67" s="100"/>
      <c r="AD67" s="100"/>
      <c r="AE67" s="100"/>
      <c r="AF67" s="100"/>
      <c r="AG67" s="100"/>
      <c r="AH67" s="100"/>
      <c r="AI67" s="100"/>
      <c r="AJ67" s="100"/>
      <c r="AK67" s="100"/>
      <c r="AL67" s="100"/>
      <c r="AM67" s="100"/>
      <c r="AN67" s="100"/>
      <c r="AO67" s="100"/>
      <c r="AP67" s="100"/>
      <c r="AQ67" s="100"/>
      <c r="AR67" s="100"/>
      <c r="AS67" s="100"/>
      <c r="AT67" s="100"/>
      <c r="AU67" s="100"/>
      <c r="AV67" s="100"/>
      <c r="AW67" s="100"/>
      <c r="AX67" s="100"/>
    </row>
    <row r="68" spans="1:50" s="102" customFormat="1" ht="14.25" hidden="1" customHeight="1" outlineLevel="1" x14ac:dyDescent="0.3">
      <c r="A68" s="101"/>
      <c r="B68" s="63"/>
      <c r="C68" s="99"/>
      <c r="D68" s="99"/>
      <c r="E68" s="99"/>
      <c r="F68" s="163"/>
      <c r="G68" s="163"/>
      <c r="H68" s="163"/>
      <c r="I68" s="163"/>
      <c r="J68" s="163"/>
      <c r="K68" s="163"/>
      <c r="L68" s="163"/>
      <c r="M68" s="163"/>
      <c r="N68" s="163"/>
      <c r="O68" s="163"/>
      <c r="P68" s="163"/>
      <c r="Q68" s="163"/>
      <c r="R68" s="163"/>
      <c r="S68" s="163"/>
      <c r="T68" s="163"/>
      <c r="U68" s="164"/>
      <c r="V68" s="99"/>
      <c r="W68" s="99"/>
      <c r="X68" s="101"/>
      <c r="Y68" s="99"/>
      <c r="Z68" s="99"/>
      <c r="AA68" s="99"/>
      <c r="AB68" s="99"/>
      <c r="AC68" s="100"/>
      <c r="AD68" s="100"/>
      <c r="AE68" s="100"/>
      <c r="AF68" s="100"/>
      <c r="AG68" s="100"/>
      <c r="AH68" s="100"/>
      <c r="AI68" s="100"/>
      <c r="AJ68" s="100"/>
      <c r="AK68" s="100"/>
      <c r="AL68" s="100"/>
      <c r="AM68" s="100"/>
      <c r="AN68" s="100"/>
      <c r="AO68" s="100"/>
      <c r="AP68" s="100"/>
      <c r="AQ68" s="100"/>
      <c r="AR68" s="100"/>
      <c r="AS68" s="100"/>
      <c r="AT68" s="100"/>
      <c r="AU68" s="100"/>
      <c r="AV68" s="100"/>
      <c r="AW68" s="100"/>
      <c r="AX68" s="100"/>
    </row>
    <row r="69" spans="1:50" s="102" customFormat="1" ht="14.25" hidden="1" customHeight="1" outlineLevel="1" x14ac:dyDescent="0.3">
      <c r="A69" s="101"/>
      <c r="B69" s="63"/>
      <c r="C69" s="99"/>
      <c r="D69" s="99"/>
      <c r="E69" s="99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4"/>
      <c r="V69" s="99"/>
      <c r="W69" s="99"/>
      <c r="X69" s="101"/>
      <c r="Y69" s="99"/>
      <c r="Z69" s="99"/>
      <c r="AA69" s="99"/>
      <c r="AB69" s="99"/>
      <c r="AC69" s="100"/>
      <c r="AD69" s="100"/>
      <c r="AE69" s="100"/>
      <c r="AF69" s="100"/>
      <c r="AG69" s="100"/>
      <c r="AH69" s="100"/>
      <c r="AI69" s="100"/>
      <c r="AJ69" s="100"/>
      <c r="AK69" s="100"/>
      <c r="AL69" s="100"/>
      <c r="AM69" s="100"/>
      <c r="AN69" s="100"/>
      <c r="AO69" s="100"/>
      <c r="AP69" s="100"/>
      <c r="AQ69" s="100"/>
      <c r="AR69" s="100"/>
      <c r="AS69" s="100"/>
      <c r="AT69" s="100"/>
      <c r="AU69" s="100"/>
      <c r="AV69" s="100"/>
      <c r="AW69" s="100"/>
      <c r="AX69" s="100"/>
    </row>
    <row r="70" spans="1:50" s="97" customFormat="1" ht="14.25" hidden="1" customHeight="1" outlineLevel="1" x14ac:dyDescent="0.3">
      <c r="B70" s="98"/>
      <c r="C70" s="99"/>
      <c r="D70" s="99"/>
      <c r="E70" s="99"/>
      <c r="F70" s="163"/>
      <c r="G70" s="163"/>
      <c r="H70" s="163"/>
      <c r="I70" s="163"/>
      <c r="J70" s="163"/>
      <c r="K70" s="163"/>
      <c r="L70" s="163"/>
      <c r="M70" s="163"/>
      <c r="N70" s="163"/>
      <c r="O70" s="163"/>
      <c r="P70" s="163"/>
      <c r="Q70" s="163"/>
      <c r="R70" s="163"/>
      <c r="S70" s="163"/>
      <c r="T70" s="163"/>
      <c r="U70" s="164"/>
      <c r="V70" s="99"/>
      <c r="W70" s="99"/>
      <c r="Y70" s="99"/>
      <c r="Z70" s="99"/>
      <c r="AA70" s="99"/>
      <c r="AB70" s="99"/>
      <c r="AC70" s="100"/>
      <c r="AD70" s="100"/>
      <c r="AE70" s="100"/>
      <c r="AF70" s="100"/>
      <c r="AG70" s="100"/>
      <c r="AH70" s="100"/>
      <c r="AI70" s="100"/>
      <c r="AJ70" s="100"/>
      <c r="AK70" s="100"/>
      <c r="AL70" s="100"/>
      <c r="AM70" s="100"/>
      <c r="AN70" s="100"/>
      <c r="AO70" s="100"/>
      <c r="AP70" s="100"/>
      <c r="AQ70" s="100"/>
      <c r="AR70" s="100"/>
      <c r="AS70" s="100"/>
      <c r="AT70" s="100"/>
      <c r="AU70" s="100"/>
      <c r="AV70" s="100"/>
      <c r="AW70" s="100"/>
      <c r="AX70" s="100"/>
    </row>
    <row r="71" spans="1:50" s="97" customFormat="1" ht="14.25" hidden="1" customHeight="1" outlineLevel="1" x14ac:dyDescent="0.3">
      <c r="B71" s="98"/>
      <c r="C71" s="99"/>
      <c r="D71" s="99"/>
      <c r="E71" s="99"/>
      <c r="F71" s="163"/>
      <c r="G71" s="163"/>
      <c r="H71" s="163"/>
      <c r="I71" s="163"/>
      <c r="J71" s="163"/>
      <c r="K71" s="163"/>
      <c r="L71" s="163"/>
      <c r="M71" s="163"/>
      <c r="N71" s="163"/>
      <c r="O71" s="163"/>
      <c r="P71" s="163"/>
      <c r="Q71" s="163"/>
      <c r="R71" s="163"/>
      <c r="S71" s="163"/>
      <c r="T71" s="163"/>
      <c r="U71" s="164"/>
      <c r="V71" s="99"/>
      <c r="W71" s="99"/>
      <c r="Y71" s="99"/>
      <c r="Z71" s="99"/>
      <c r="AA71" s="99"/>
      <c r="AB71" s="99"/>
      <c r="AC71" s="100"/>
      <c r="AD71" s="100"/>
      <c r="AE71" s="100"/>
      <c r="AF71" s="100"/>
      <c r="AG71" s="100"/>
      <c r="AH71" s="100"/>
      <c r="AI71" s="100"/>
      <c r="AJ71" s="100"/>
      <c r="AK71" s="100"/>
      <c r="AL71" s="100"/>
      <c r="AM71" s="100"/>
      <c r="AN71" s="100"/>
      <c r="AO71" s="100"/>
      <c r="AP71" s="100"/>
      <c r="AQ71" s="100"/>
      <c r="AR71" s="100"/>
      <c r="AS71" s="100"/>
      <c r="AT71" s="100"/>
      <c r="AU71" s="100"/>
      <c r="AV71" s="100"/>
      <c r="AW71" s="100"/>
      <c r="AX71" s="100"/>
    </row>
    <row r="72" spans="1:50" s="97" customFormat="1" ht="14.25" hidden="1" customHeight="1" outlineLevel="1" x14ac:dyDescent="0.3">
      <c r="B72" s="98"/>
      <c r="C72" s="99"/>
      <c r="D72" s="99"/>
      <c r="E72" s="99"/>
      <c r="F72" s="163"/>
      <c r="G72" s="163"/>
      <c r="H72" s="163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3"/>
      <c r="U72" s="164"/>
      <c r="V72" s="99"/>
      <c r="W72" s="99"/>
      <c r="Y72" s="99"/>
      <c r="Z72" s="99"/>
      <c r="AA72" s="99"/>
      <c r="AB72" s="99"/>
      <c r="AC72" s="100"/>
      <c r="AD72" s="100"/>
      <c r="AE72" s="100"/>
      <c r="AF72" s="100"/>
      <c r="AG72" s="100"/>
      <c r="AH72" s="100"/>
      <c r="AI72" s="100"/>
      <c r="AJ72" s="100"/>
      <c r="AK72" s="100"/>
      <c r="AL72" s="100"/>
      <c r="AM72" s="100"/>
      <c r="AN72" s="100"/>
      <c r="AO72" s="100"/>
      <c r="AP72" s="100"/>
      <c r="AQ72" s="100"/>
      <c r="AR72" s="100"/>
      <c r="AS72" s="100"/>
      <c r="AT72" s="100"/>
      <c r="AU72" s="100"/>
      <c r="AV72" s="100"/>
      <c r="AW72" s="100"/>
      <c r="AX72" s="100"/>
    </row>
    <row r="73" spans="1:50" s="97" customFormat="1" ht="14.25" hidden="1" customHeight="1" outlineLevel="1" x14ac:dyDescent="0.3">
      <c r="B73" s="63"/>
      <c r="C73" s="99"/>
      <c r="D73" s="99"/>
      <c r="E73" s="99"/>
      <c r="F73" s="163"/>
      <c r="G73" s="163"/>
      <c r="H73" s="163"/>
      <c r="I73" s="163"/>
      <c r="J73" s="163"/>
      <c r="K73" s="163"/>
      <c r="L73" s="163"/>
      <c r="M73" s="163"/>
      <c r="N73" s="163"/>
      <c r="O73" s="163"/>
      <c r="P73" s="163"/>
      <c r="Q73" s="163"/>
      <c r="R73" s="163"/>
      <c r="S73" s="163"/>
      <c r="T73" s="163"/>
      <c r="U73" s="164"/>
      <c r="V73" s="99"/>
      <c r="W73" s="99"/>
      <c r="Y73" s="99"/>
      <c r="Z73" s="99"/>
      <c r="AA73" s="99"/>
      <c r="AB73" s="99"/>
      <c r="AC73" s="100"/>
      <c r="AD73" s="100"/>
      <c r="AE73" s="100"/>
      <c r="AF73" s="100"/>
      <c r="AG73" s="100"/>
      <c r="AH73" s="100"/>
      <c r="AI73" s="100"/>
      <c r="AJ73" s="100"/>
      <c r="AK73" s="100"/>
      <c r="AL73" s="100"/>
      <c r="AM73" s="100"/>
      <c r="AN73" s="100"/>
      <c r="AO73" s="100"/>
      <c r="AP73" s="100"/>
      <c r="AQ73" s="100"/>
      <c r="AR73" s="100"/>
      <c r="AS73" s="100"/>
      <c r="AT73" s="100"/>
      <c r="AU73" s="100"/>
      <c r="AV73" s="100"/>
      <c r="AW73" s="100"/>
      <c r="AX73" s="100"/>
    </row>
    <row r="74" spans="1:50" s="97" customFormat="1" ht="14.25" hidden="1" customHeight="1" outlineLevel="1" x14ac:dyDescent="0.3">
      <c r="B74" s="63"/>
      <c r="C74" s="99"/>
      <c r="D74" s="99"/>
      <c r="E74" s="99"/>
      <c r="F74" s="163"/>
      <c r="G74" s="163"/>
      <c r="H74" s="163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163"/>
      <c r="T74" s="163"/>
      <c r="U74" s="164"/>
      <c r="V74" s="99"/>
      <c r="W74" s="99"/>
      <c r="Y74" s="99"/>
      <c r="Z74" s="99"/>
      <c r="AA74" s="99"/>
      <c r="AB74" s="99"/>
      <c r="AC74" s="100"/>
      <c r="AD74" s="100"/>
      <c r="AE74" s="100"/>
      <c r="AF74" s="100"/>
      <c r="AG74" s="100"/>
      <c r="AH74" s="100"/>
      <c r="AI74" s="100"/>
      <c r="AJ74" s="100"/>
      <c r="AK74" s="100"/>
      <c r="AL74" s="100"/>
      <c r="AM74" s="100"/>
      <c r="AN74" s="100"/>
      <c r="AO74" s="100"/>
      <c r="AP74" s="100"/>
      <c r="AQ74" s="100"/>
      <c r="AR74" s="100"/>
      <c r="AS74" s="100"/>
      <c r="AT74" s="100"/>
      <c r="AU74" s="100"/>
      <c r="AV74" s="100"/>
      <c r="AW74" s="100"/>
      <c r="AX74" s="100"/>
    </row>
    <row r="75" spans="1:50" s="102" customFormat="1" ht="14.25" hidden="1" customHeight="1" outlineLevel="1" x14ac:dyDescent="0.3">
      <c r="A75" s="101"/>
      <c r="B75" s="63"/>
      <c r="C75" s="99"/>
      <c r="D75" s="99"/>
      <c r="E75" s="99"/>
      <c r="F75" s="163"/>
      <c r="G75" s="163"/>
      <c r="H75" s="163"/>
      <c r="I75" s="163"/>
      <c r="J75" s="163"/>
      <c r="K75" s="163"/>
      <c r="L75" s="163"/>
      <c r="M75" s="163"/>
      <c r="N75" s="163"/>
      <c r="O75" s="163"/>
      <c r="P75" s="163"/>
      <c r="Q75" s="163"/>
      <c r="R75" s="163"/>
      <c r="S75" s="163"/>
      <c r="T75" s="163"/>
      <c r="U75" s="164"/>
      <c r="V75" s="99"/>
      <c r="W75" s="99"/>
      <c r="X75" s="101"/>
      <c r="Y75" s="99"/>
      <c r="Z75" s="99"/>
      <c r="AA75" s="99"/>
      <c r="AB75" s="99"/>
      <c r="AC75" s="100"/>
      <c r="AD75" s="100"/>
      <c r="AE75" s="100"/>
      <c r="AF75" s="100"/>
      <c r="AG75" s="100"/>
      <c r="AH75" s="100"/>
      <c r="AI75" s="100"/>
      <c r="AJ75" s="100"/>
      <c r="AK75" s="100"/>
      <c r="AL75" s="100"/>
      <c r="AM75" s="100"/>
      <c r="AN75" s="100"/>
      <c r="AO75" s="100"/>
      <c r="AP75" s="100"/>
      <c r="AQ75" s="100"/>
      <c r="AR75" s="100"/>
      <c r="AS75" s="100"/>
      <c r="AT75" s="100"/>
      <c r="AU75" s="100"/>
      <c r="AV75" s="100"/>
      <c r="AW75" s="100"/>
      <c r="AX75" s="100"/>
    </row>
    <row r="76" spans="1:50" s="102" customFormat="1" ht="14.25" hidden="1" customHeight="1" outlineLevel="1" x14ac:dyDescent="0.3">
      <c r="A76" s="101"/>
      <c r="B76" s="63"/>
      <c r="C76" s="99"/>
      <c r="D76" s="99"/>
      <c r="E76" s="99"/>
      <c r="F76" s="163"/>
      <c r="G76" s="163"/>
      <c r="H76" s="163"/>
      <c r="I76" s="163"/>
      <c r="J76" s="163"/>
      <c r="K76" s="163"/>
      <c r="L76" s="163"/>
      <c r="M76" s="163"/>
      <c r="N76" s="163"/>
      <c r="O76" s="163"/>
      <c r="P76" s="163"/>
      <c r="Q76" s="163"/>
      <c r="R76" s="163"/>
      <c r="S76" s="163"/>
      <c r="T76" s="163"/>
      <c r="U76" s="164"/>
      <c r="V76" s="99"/>
      <c r="W76" s="99"/>
      <c r="X76" s="101"/>
      <c r="Y76" s="99"/>
      <c r="Z76" s="99"/>
      <c r="AA76" s="99"/>
      <c r="AB76" s="99"/>
      <c r="AC76" s="100"/>
      <c r="AD76" s="100"/>
      <c r="AE76" s="100"/>
      <c r="AF76" s="100"/>
      <c r="AG76" s="100"/>
      <c r="AH76" s="100"/>
      <c r="AI76" s="100"/>
      <c r="AJ76" s="100"/>
      <c r="AK76" s="100"/>
      <c r="AL76" s="100"/>
      <c r="AM76" s="100"/>
      <c r="AN76" s="100"/>
      <c r="AO76" s="100"/>
      <c r="AP76" s="100"/>
      <c r="AQ76" s="100"/>
      <c r="AR76" s="100"/>
      <c r="AS76" s="100"/>
      <c r="AT76" s="100"/>
      <c r="AU76" s="100"/>
      <c r="AV76" s="100"/>
      <c r="AW76" s="100"/>
      <c r="AX76" s="100"/>
    </row>
    <row r="77" spans="1:50" s="12" customFormat="1" ht="14.25" customHeight="1" collapsed="1" x14ac:dyDescent="0.3">
      <c r="B77" s="25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134"/>
      <c r="V77" s="72"/>
      <c r="W77" s="72"/>
    </row>
    <row r="78" spans="1:50" ht="14.25" hidden="1" customHeight="1" outlineLevel="1" x14ac:dyDescent="0.3">
      <c r="B78" s="26"/>
      <c r="C78" s="2"/>
      <c r="D78" s="2"/>
      <c r="E78" s="5"/>
      <c r="F78" s="139"/>
      <c r="G78" s="139"/>
      <c r="H78" s="139"/>
      <c r="I78" s="139"/>
      <c r="J78" s="139"/>
      <c r="K78" s="140"/>
      <c r="L78" s="140"/>
      <c r="M78" s="140"/>
      <c r="N78" s="140"/>
      <c r="O78" s="140"/>
      <c r="P78" s="140"/>
      <c r="Q78" s="140"/>
      <c r="R78" s="140"/>
      <c r="S78" s="140"/>
      <c r="T78" s="140"/>
      <c r="V78" s="75"/>
      <c r="W78" s="75"/>
      <c r="Y78" s="5"/>
      <c r="Z78" s="5"/>
      <c r="AA78" s="5"/>
      <c r="AB78" s="5"/>
      <c r="AC78" s="5"/>
      <c r="AD78" s="5"/>
      <c r="AE78" s="5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</row>
    <row r="79" spans="1:50" ht="14.25" hidden="1" customHeight="1" outlineLevel="1" x14ac:dyDescent="0.3">
      <c r="B79" s="26"/>
      <c r="C79" s="2"/>
      <c r="D79" s="2"/>
      <c r="E79" s="5"/>
      <c r="F79" s="139"/>
      <c r="G79" s="139"/>
      <c r="H79" s="139"/>
      <c r="I79" s="139"/>
      <c r="J79" s="139"/>
      <c r="K79" s="140"/>
      <c r="L79" s="140"/>
      <c r="M79" s="140"/>
      <c r="N79" s="140"/>
      <c r="O79" s="140"/>
      <c r="P79" s="140"/>
      <c r="Q79" s="140"/>
      <c r="R79" s="140"/>
      <c r="S79" s="140"/>
      <c r="T79" s="140"/>
      <c r="V79" s="75"/>
      <c r="W79" s="75"/>
      <c r="Y79" s="5"/>
      <c r="Z79" s="5"/>
      <c r="AA79" s="5"/>
      <c r="AB79" s="5"/>
      <c r="AC79" s="5"/>
      <c r="AD79" s="5"/>
      <c r="AE79" s="5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</row>
    <row r="80" spans="1:50" ht="14.25" hidden="1" customHeight="1" outlineLevel="1" x14ac:dyDescent="0.3">
      <c r="B80" s="26"/>
      <c r="C80" s="2"/>
      <c r="D80" s="2"/>
      <c r="E80" s="5"/>
      <c r="F80" s="139"/>
      <c r="G80" s="139"/>
      <c r="H80" s="139"/>
      <c r="I80" s="139"/>
      <c r="J80" s="139"/>
      <c r="K80" s="140"/>
      <c r="L80" s="140"/>
      <c r="M80" s="140"/>
      <c r="N80" s="140"/>
      <c r="O80" s="140"/>
      <c r="P80" s="140"/>
      <c r="Q80" s="140"/>
      <c r="R80" s="140"/>
      <c r="S80" s="140"/>
      <c r="T80" s="140"/>
      <c r="V80" s="75"/>
      <c r="W80" s="75"/>
      <c r="Y80" s="5"/>
      <c r="Z80" s="5"/>
      <c r="AA80" s="5"/>
      <c r="AB80" s="5"/>
      <c r="AC80" s="5"/>
      <c r="AD80" s="5"/>
      <c r="AE80" s="5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</row>
    <row r="81" spans="1:50" ht="14.25" hidden="1" customHeight="1" outlineLevel="1" x14ac:dyDescent="0.3">
      <c r="B81" s="26"/>
      <c r="C81" s="2"/>
      <c r="D81" s="2"/>
      <c r="E81" s="5"/>
      <c r="F81" s="139"/>
      <c r="G81" s="139"/>
      <c r="H81" s="139"/>
      <c r="I81" s="139"/>
      <c r="J81" s="139"/>
      <c r="K81" s="140"/>
      <c r="L81" s="140"/>
      <c r="M81" s="140"/>
      <c r="N81" s="140"/>
      <c r="O81" s="140"/>
      <c r="P81" s="140"/>
      <c r="Q81" s="140"/>
      <c r="R81" s="140"/>
      <c r="S81" s="140"/>
      <c r="T81" s="140"/>
      <c r="V81" s="75"/>
      <c r="W81" s="75"/>
      <c r="Y81" s="5"/>
      <c r="Z81" s="5"/>
      <c r="AA81" s="5"/>
      <c r="AB81" s="5"/>
      <c r="AC81" s="5"/>
      <c r="AD81" s="5"/>
      <c r="AE81" s="5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</row>
    <row r="82" spans="1:50" ht="14.25" hidden="1" customHeight="1" outlineLevel="1" x14ac:dyDescent="0.3">
      <c r="B82" s="26"/>
      <c r="C82" s="2"/>
      <c r="D82" s="2"/>
      <c r="E82" s="2"/>
      <c r="F82" s="142"/>
      <c r="G82" s="142"/>
      <c r="H82" s="142"/>
      <c r="I82" s="142"/>
      <c r="J82" s="142"/>
      <c r="K82" s="140"/>
      <c r="L82" s="140"/>
      <c r="M82" s="140"/>
      <c r="N82" s="140"/>
      <c r="O82" s="140"/>
      <c r="P82" s="140"/>
      <c r="Q82" s="140"/>
      <c r="R82" s="140"/>
      <c r="S82" s="140"/>
      <c r="T82" s="140"/>
      <c r="V82" s="75"/>
      <c r="W82" s="75"/>
      <c r="Y82" s="2"/>
      <c r="Z82" s="2"/>
      <c r="AA82" s="2"/>
      <c r="AB82" s="2"/>
      <c r="AC82" s="2"/>
      <c r="AD82" s="2"/>
      <c r="AE82" s="2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</row>
    <row r="83" spans="1:50" ht="14.25" customHeight="1" collapsed="1" x14ac:dyDescent="0.3">
      <c r="B83" s="27" t="s">
        <v>17</v>
      </c>
      <c r="C83" s="3"/>
      <c r="D83" s="3"/>
      <c r="E83" s="4">
        <v>988.21600000000012</v>
      </c>
      <c r="F83" s="143">
        <v>1261.2410000000004</v>
      </c>
      <c r="G83" s="143">
        <v>1605.9080000000004</v>
      </c>
      <c r="H83" s="143">
        <v>1700.252999999999</v>
      </c>
      <c r="I83" s="143">
        <v>1751.3560000000007</v>
      </c>
      <c r="J83" s="143">
        <v>2033.3950000000007</v>
      </c>
      <c r="K83" s="144">
        <f t="shared" ref="K83:T83" si="158">SUMIF($Y$2:$AX$2,K$2,$Y83:$AX83)</f>
        <v>2215.4497835964148</v>
      </c>
      <c r="L83" s="144">
        <f t="shared" si="158"/>
        <v>2547.2342473833937</v>
      </c>
      <c r="M83" s="144">
        <f t="shared" si="158"/>
        <v>2860.5958260536199</v>
      </c>
      <c r="N83" s="144">
        <f t="shared" si="158"/>
        <v>3226.9093704795055</v>
      </c>
      <c r="O83" s="144">
        <f t="shared" si="158"/>
        <v>3651.3253262850044</v>
      </c>
      <c r="P83" s="144">
        <f t="shared" si="158"/>
        <v>4140.1741178265765</v>
      </c>
      <c r="Q83" s="144">
        <f t="shared" si="158"/>
        <v>4701.0088722467262</v>
      </c>
      <c r="R83" s="144">
        <f t="shared" si="158"/>
        <v>5342.6799499284343</v>
      </c>
      <c r="S83" s="144">
        <f t="shared" si="158"/>
        <v>6075.4395374946862</v>
      </c>
      <c r="T83" s="144">
        <f t="shared" si="158"/>
        <v>6911.0756285061843</v>
      </c>
      <c r="U83" s="145"/>
      <c r="V83" s="76"/>
      <c r="W83" s="76"/>
      <c r="Y83" s="9">
        <f t="shared" ref="Y83:AD83" si="159">Y95-Y87</f>
        <v>867.20499999999993</v>
      </c>
      <c r="Z83" s="9">
        <f t="shared" si="159"/>
        <v>833.04799999999909</v>
      </c>
      <c r="AA83" s="9">
        <f t="shared" si="159"/>
        <v>839.5509999999997</v>
      </c>
      <c r="AB83" s="9">
        <f t="shared" si="159"/>
        <v>911.80500000000097</v>
      </c>
      <c r="AC83" s="9">
        <f t="shared" si="159"/>
        <v>986.49900000000048</v>
      </c>
      <c r="AD83" s="9">
        <f t="shared" si="159"/>
        <v>1046.8960000000002</v>
      </c>
      <c r="AE83" s="9">
        <f>AE95-AE87</f>
        <v>1062.2530000000002</v>
      </c>
      <c r="AF83" s="3">
        <f t="shared" ref="AF83:AX83" si="160">IF(ISBLANK(AF50),AF12+AF61,AF50+AF61)</f>
        <v>1153.1967835964147</v>
      </c>
      <c r="AG83" s="3">
        <f t="shared" si="160"/>
        <v>1220.5040397108678</v>
      </c>
      <c r="AH83" s="3">
        <f t="shared" si="160"/>
        <v>1326.7302076725259</v>
      </c>
      <c r="AI83" s="3">
        <f t="shared" si="160"/>
        <v>1370.4168267681371</v>
      </c>
      <c r="AJ83" s="3">
        <f t="shared" si="160"/>
        <v>1490.1789992854829</v>
      </c>
      <c r="AK83" s="3">
        <f t="shared" si="160"/>
        <v>1545.9047300336574</v>
      </c>
      <c r="AL83" s="3">
        <f t="shared" si="160"/>
        <v>1681.0046404458481</v>
      </c>
      <c r="AM83" s="3">
        <f t="shared" si="160"/>
        <v>1749.4132331966321</v>
      </c>
      <c r="AN83" s="3">
        <f t="shared" si="160"/>
        <v>1901.9120930883723</v>
      </c>
      <c r="AO83" s="3">
        <f t="shared" si="160"/>
        <v>1983.9605129130791</v>
      </c>
      <c r="AP83" s="3">
        <f t="shared" si="160"/>
        <v>2156.2136049134979</v>
      </c>
      <c r="AQ83" s="3">
        <f t="shared" si="160"/>
        <v>2253.1567800439975</v>
      </c>
      <c r="AR83" s="3">
        <f t="shared" si="160"/>
        <v>2447.8520922027283</v>
      </c>
      <c r="AS83" s="3">
        <f t="shared" si="160"/>
        <v>2561.2390723946946</v>
      </c>
      <c r="AT83" s="3">
        <f t="shared" si="160"/>
        <v>2781.4408775337397</v>
      </c>
      <c r="AU83" s="3">
        <f t="shared" si="160"/>
        <v>2913.1206427836405</v>
      </c>
      <c r="AV83" s="3">
        <f t="shared" si="160"/>
        <v>3162.3188947110457</v>
      </c>
      <c r="AW83" s="3">
        <f t="shared" si="160"/>
        <v>3314.4545960714213</v>
      </c>
      <c r="AX83" s="3">
        <f t="shared" si="160"/>
        <v>3596.621032434763</v>
      </c>
    </row>
    <row r="84" spans="1:50" s="21" customFormat="1" ht="14.25" customHeight="1" x14ac:dyDescent="0.3">
      <c r="A84" s="19"/>
      <c r="B84" s="33" t="s">
        <v>36</v>
      </c>
      <c r="C84" s="20"/>
      <c r="D84" s="20"/>
      <c r="E84" s="20"/>
      <c r="F84" s="146">
        <f t="shared" ref="F84" si="161">F83/E83-1</f>
        <v>0.27628069167064728</v>
      </c>
      <c r="G84" s="146">
        <f t="shared" ref="G84" si="162">G83/F83-1</f>
        <v>0.27327608284221627</v>
      </c>
      <c r="H84" s="146">
        <f t="shared" ref="H84" si="163">H83/G83-1</f>
        <v>5.874869544207928E-2</v>
      </c>
      <c r="I84" s="146">
        <f t="shared" ref="I84" si="164">I83/H83-1</f>
        <v>3.0056115178153986E-2</v>
      </c>
      <c r="J84" s="146">
        <f>J83/I83-1</f>
        <v>0.16104035958423069</v>
      </c>
      <c r="K84" s="146">
        <f t="shared" ref="K84" si="165">K83/J83-1</f>
        <v>8.9532424146028688E-2</v>
      </c>
      <c r="L84" s="146">
        <f t="shared" ref="L84" si="166">L83/K83-1</f>
        <v>0.14975941510548796</v>
      </c>
      <c r="M84" s="146">
        <f t="shared" ref="M84" si="167">M83/L83-1</f>
        <v>0.12302032252908113</v>
      </c>
      <c r="N84" s="146">
        <f t="shared" ref="N84" si="168">N83/M83-1</f>
        <v>0.12805498109505353</v>
      </c>
      <c r="O84" s="146">
        <f t="shared" ref="O84" si="169">O83/N83-1</f>
        <v>0.13152397761404511</v>
      </c>
      <c r="P84" s="146">
        <f t="shared" ref="P84" si="170">P83/O83-1</f>
        <v>0.13388256259240139</v>
      </c>
      <c r="Q84" s="146">
        <f t="shared" ref="Q84" si="171">Q83/P83-1</f>
        <v>0.13546163481514761</v>
      </c>
      <c r="R84" s="146">
        <f t="shared" ref="R84" si="172">R83/Q83-1</f>
        <v>0.13649646174248509</v>
      </c>
      <c r="S84" s="146">
        <f t="shared" ref="S84" si="173">S83/R83-1</f>
        <v>0.13715206496246646</v>
      </c>
      <c r="T84" s="146">
        <f t="shared" ref="T84" si="174">T83/S83-1</f>
        <v>0.13754331449672974</v>
      </c>
      <c r="U84" s="146"/>
      <c r="V84" s="77"/>
      <c r="W84" s="77"/>
      <c r="X84" s="20"/>
      <c r="Y84" s="20"/>
      <c r="Z84" s="20"/>
      <c r="AA84" s="20">
        <f t="shared" ref="AA84:AB84" si="175">AA83/Y83-1</f>
        <v>-3.1888653778518572E-2</v>
      </c>
      <c r="AB84" s="20">
        <f t="shared" si="175"/>
        <v>9.4540770759910631E-2</v>
      </c>
      <c r="AC84" s="20">
        <f>AC83/AA83-1</f>
        <v>0.17503165382448582</v>
      </c>
      <c r="AD84" s="20">
        <f t="shared" ref="AD84" si="176">AD83/AB83-1</f>
        <v>0.14815777496284732</v>
      </c>
      <c r="AE84" s="20">
        <f t="shared" ref="AE84" si="177">AE83/AC83-1</f>
        <v>7.6790751941968161E-2</v>
      </c>
      <c r="AF84" s="20">
        <f t="shared" ref="AF84" si="178">AF83/AD83-1</f>
        <v>0.10153901017523648</v>
      </c>
      <c r="AG84" s="20">
        <f t="shared" ref="AG84" si="179">AG83/AE83-1</f>
        <v>0.14897678774347312</v>
      </c>
      <c r="AH84" s="20">
        <f t="shared" ref="AH84:AI84" si="180">AH83/AF83-1</f>
        <v>0.15048032265137068</v>
      </c>
      <c r="AI84" s="20">
        <f t="shared" si="180"/>
        <v>0.12282858735378133</v>
      </c>
      <c r="AJ84" s="20">
        <f t="shared" ref="AJ84" si="181">AJ83/AH83-1</f>
        <v>0.12319670620878842</v>
      </c>
      <c r="AK84" s="20">
        <f t="shared" ref="AK84" si="182">AK83/AI83-1</f>
        <v>0.12805439909795524</v>
      </c>
      <c r="AL84" s="20">
        <f t="shared" ref="AL84" si="183">AL83/AJ83-1</f>
        <v>0.12805551631841738</v>
      </c>
      <c r="AM84" s="20">
        <f t="shared" ref="AM84" si="184">AM83/AK83-1</f>
        <v>0.13164362538598606</v>
      </c>
      <c r="AN84" s="20">
        <f t="shared" ref="AN84:AO84" si="185">AN83/AL83-1</f>
        <v>0.13141394576039578</v>
      </c>
      <c r="AO84" s="20">
        <f t="shared" si="185"/>
        <v>0.1340719706846325</v>
      </c>
      <c r="AP84" s="20">
        <f t="shared" ref="AP84" si="186">AP83/AN83-1</f>
        <v>0.13370834159437117</v>
      </c>
      <c r="AQ84" s="20">
        <f t="shared" ref="AQ84" si="187">AQ83/AO83-1</f>
        <v>0.13568630291721551</v>
      </c>
      <c r="AR84" s="20">
        <f t="shared" ref="AR84" si="188">AR83/AP83-1</f>
        <v>0.13525491473787921</v>
      </c>
      <c r="AS84" s="20">
        <f t="shared" ref="AS84" si="189">AS83/AQ83-1</f>
        <v>0.13673362416648227</v>
      </c>
      <c r="AT84" s="20">
        <f t="shared" ref="AT84:AU84" si="190">AT83/AR83-1</f>
        <v>0.13627816255467784</v>
      </c>
      <c r="AU84" s="20">
        <f t="shared" si="190"/>
        <v>0.13738724126988489</v>
      </c>
      <c r="AV84" s="20">
        <f t="shared" ref="AV84" si="191">AV83/AT83-1</f>
        <v>0.1369355071516114</v>
      </c>
      <c r="AW84" s="20">
        <f t="shared" ref="AW84" si="192">AW83/AU83-1</f>
        <v>0.13776770772675073</v>
      </c>
      <c r="AX84" s="20">
        <f t="shared" ref="AX84" si="193">AX83/AV83-1</f>
        <v>0.13733660398705649</v>
      </c>
    </row>
    <row r="85" spans="1:50" s="12" customFormat="1" ht="14.25" customHeight="1" x14ac:dyDescent="0.3">
      <c r="B85" s="34" t="s">
        <v>40</v>
      </c>
      <c r="E85" s="14">
        <f t="shared" ref="E85:K85" si="194">E83/E$12</f>
        <v>0.12889682564423566</v>
      </c>
      <c r="F85" s="161">
        <f t="shared" si="194"/>
        <v>0.12854143741793803</v>
      </c>
      <c r="G85" s="161">
        <f t="shared" si="194"/>
        <v>0.12163057013392477</v>
      </c>
      <c r="H85" s="161">
        <f t="shared" si="194"/>
        <v>0.12828305775568077</v>
      </c>
      <c r="I85" s="161">
        <f t="shared" si="194"/>
        <v>0.12754377536292524</v>
      </c>
      <c r="J85" s="161">
        <f t="shared" si="194"/>
        <v>0.1390677336896278</v>
      </c>
      <c r="K85" s="161">
        <f t="shared" si="194"/>
        <v>0.14141630368407246</v>
      </c>
      <c r="L85" s="161">
        <f t="shared" ref="L85:R85" si="195">L83/L$12</f>
        <v>0.14542666541437857</v>
      </c>
      <c r="M85" s="161">
        <f t="shared" si="195"/>
        <v>0.14943383065449542</v>
      </c>
      <c r="N85" s="161">
        <f t="shared" si="195"/>
        <v>0.15343972277503978</v>
      </c>
      <c r="O85" s="161">
        <f t="shared" si="195"/>
        <v>0.1574447231016875</v>
      </c>
      <c r="P85" s="161">
        <f t="shared" si="195"/>
        <v>0.16144910434500306</v>
      </c>
      <c r="Q85" s="161">
        <f t="shared" si="195"/>
        <v>0.1654530564132933</v>
      </c>
      <c r="R85" s="161">
        <f t="shared" si="195"/>
        <v>0.16945670899587609</v>
      </c>
      <c r="S85" s="161">
        <f t="shared" ref="S85:T85" si="196">S83/S$12</f>
        <v>0.17346014931868564</v>
      </c>
      <c r="T85" s="161">
        <f t="shared" si="196"/>
        <v>0.17746343529960548</v>
      </c>
      <c r="U85" s="161"/>
      <c r="V85" s="81"/>
      <c r="W85" s="81"/>
      <c r="X85" s="14"/>
      <c r="Y85" s="14">
        <f t="shared" ref="Y85:AJ85" si="197">Y83/Y$12</f>
        <v>0.12329450924603964</v>
      </c>
      <c r="Z85" s="14">
        <f t="shared" si="197"/>
        <v>0.1339238504312725</v>
      </c>
      <c r="AA85" s="14">
        <f t="shared" si="197"/>
        <v>0.12203726918259906</v>
      </c>
      <c r="AB85" s="14">
        <f t="shared" si="197"/>
        <v>0.13307239533522383</v>
      </c>
      <c r="AC85" s="14">
        <f t="shared" si="197"/>
        <v>0.13491529253056767</v>
      </c>
      <c r="AD85" s="14">
        <f t="shared" si="197"/>
        <v>0.14322151551351178</v>
      </c>
      <c r="AE85" s="14">
        <f t="shared" ref="AE85" si="198">AE83/AE$12</f>
        <v>0.13561109974195348</v>
      </c>
      <c r="AF85" s="14">
        <f t="shared" si="197"/>
        <v>0.14722151551351179</v>
      </c>
      <c r="AG85" s="14">
        <f t="shared" si="197"/>
        <v>0.13961109974195346</v>
      </c>
      <c r="AH85" s="14">
        <f t="shared" si="197"/>
        <v>0.15122151551351182</v>
      </c>
      <c r="AI85" s="14">
        <f t="shared" si="197"/>
        <v>0.14361109974195344</v>
      </c>
      <c r="AJ85" s="14">
        <f t="shared" si="197"/>
        <v>0.15522151551351182</v>
      </c>
      <c r="AK85" s="14">
        <f t="shared" ref="AK85:AX85" si="199">AK83/AK$12</f>
        <v>0.14761109974195347</v>
      </c>
      <c r="AL85" s="14">
        <f t="shared" si="199"/>
        <v>0.1592215155135118</v>
      </c>
      <c r="AM85" s="14">
        <f t="shared" si="199"/>
        <v>0.1516110997419535</v>
      </c>
      <c r="AN85" s="14">
        <f t="shared" si="199"/>
        <v>0.16322151551351186</v>
      </c>
      <c r="AO85" s="14">
        <f t="shared" si="199"/>
        <v>0.15561109974195345</v>
      </c>
      <c r="AP85" s="14">
        <f t="shared" si="199"/>
        <v>0.16722151551351183</v>
      </c>
      <c r="AQ85" s="14">
        <f t="shared" si="199"/>
        <v>0.1596110997419535</v>
      </c>
      <c r="AR85" s="14">
        <f t="shared" si="199"/>
        <v>0.17122151551351186</v>
      </c>
      <c r="AS85" s="14">
        <f t="shared" si="199"/>
        <v>0.16361109974195348</v>
      </c>
      <c r="AT85" s="14">
        <f t="shared" si="199"/>
        <v>0.17522151551351184</v>
      </c>
      <c r="AU85" s="14">
        <f t="shared" si="199"/>
        <v>0.16761109974195346</v>
      </c>
      <c r="AV85" s="14">
        <f t="shared" si="199"/>
        <v>0.17922151551351184</v>
      </c>
      <c r="AW85" s="14">
        <f t="shared" si="199"/>
        <v>0.17161109974195352</v>
      </c>
      <c r="AX85" s="14">
        <f t="shared" si="199"/>
        <v>0.18322151551351185</v>
      </c>
    </row>
    <row r="86" spans="1:50" s="12" customFormat="1" ht="14.25" customHeight="1" x14ac:dyDescent="0.3">
      <c r="B86" s="25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72"/>
      <c r="W86" s="72"/>
    </row>
    <row r="87" spans="1:50" s="12" customFormat="1" ht="14.25" customHeight="1" x14ac:dyDescent="0.3">
      <c r="B87" s="25" t="s">
        <v>63</v>
      </c>
      <c r="E87" s="12">
        <f t="shared" ref="E87:I87" si="200">E95-E83</f>
        <v>-325.48299999999995</v>
      </c>
      <c r="F87" s="134">
        <f t="shared" si="200"/>
        <v>-404.14800000000014</v>
      </c>
      <c r="G87" s="134">
        <f t="shared" si="200"/>
        <v>-427.09999999999991</v>
      </c>
      <c r="H87" s="134">
        <f t="shared" si="200"/>
        <v>-512.8599999999999</v>
      </c>
      <c r="I87" s="134">
        <f t="shared" si="200"/>
        <v>-633.48700000000008</v>
      </c>
      <c r="J87" s="134">
        <f>J95-J83</f>
        <v>-779.51599999999985</v>
      </c>
      <c r="K87" s="134">
        <f t="shared" ref="K87:T87" si="201">SUMIF($Y$2:$AX$2,K$2,$Y87:$AX87)</f>
        <v>-799.507222621496</v>
      </c>
      <c r="L87" s="134">
        <f t="shared" si="201"/>
        <v>-894.05667622712349</v>
      </c>
      <c r="M87" s="134">
        <f t="shared" si="201"/>
        <v>-977.24457189990767</v>
      </c>
      <c r="N87" s="134">
        <f t="shared" si="201"/>
        <v>-1073.7181124599174</v>
      </c>
      <c r="O87" s="134">
        <f t="shared" si="201"/>
        <v>-1184.1383545081271</v>
      </c>
      <c r="P87" s="134">
        <f t="shared" si="201"/>
        <v>-1309.4740923170102</v>
      </c>
      <c r="Q87" s="134">
        <f t="shared" si="201"/>
        <v>-1450.9779497750933</v>
      </c>
      <c r="R87" s="134">
        <f t="shared" si="201"/>
        <v>-1610.1754419652427</v>
      </c>
      <c r="S87" s="134">
        <f t="shared" si="201"/>
        <v>-1788.8644014990959</v>
      </c>
      <c r="T87" s="134">
        <f t="shared" si="201"/>
        <v>-1989.1229422685976</v>
      </c>
      <c r="U87" s="134"/>
      <c r="V87" s="72"/>
      <c r="W87" s="72"/>
      <c r="Y87" s="72">
        <f>-57.696-115.39-69.175</f>
        <v>-242.26100000000002</v>
      </c>
      <c r="Z87" s="12">
        <f>INDEX($B87:$T87,MATCH(Z$2,$B$2:$T$2,0))-Y87</f>
        <v>-270.59899999999988</v>
      </c>
      <c r="AA87" s="72">
        <f>-76.747-129.727-80.902</f>
        <v>-287.37599999999998</v>
      </c>
      <c r="AB87" s="12">
        <f>INDEX($B87:$T87,MATCH(AB$2,$B$2:$T$2,0))-AA87</f>
        <v>-346.1110000000001</v>
      </c>
      <c r="AC87" s="72">
        <f>-136.857-142.561-88.436</f>
        <v>-367.85400000000004</v>
      </c>
      <c r="AD87" s="12">
        <f>INDEX($B87:$T87,MATCH(AD$2,$B$2:$T$2,0))-AC87</f>
        <v>-411.66199999999981</v>
      </c>
      <c r="AE87" s="72">
        <f>-138.093-136.866-83.407</f>
        <v>-358.36599999999999</v>
      </c>
      <c r="AF87" s="12">
        <f t="shared" ref="AF87" si="202">-AF88*AF12</f>
        <v>-441.14122262149601</v>
      </c>
      <c r="AG87" s="12">
        <f t="shared" ref="AG87" si="203">-AG88*AG12</f>
        <v>-399.95703846458031</v>
      </c>
      <c r="AH87" s="12">
        <f t="shared" ref="AH87" si="204">-AH88*AH12</f>
        <v>-494.09963776254313</v>
      </c>
      <c r="AI87" s="12">
        <f t="shared" ref="AI87" si="205">-AI88*AI12</f>
        <v>-436.57488210762972</v>
      </c>
      <c r="AJ87" s="12">
        <f t="shared" ref="AJ87" si="206">-AJ88*AJ12</f>
        <v>-540.66968979227795</v>
      </c>
      <c r="AK87" s="12">
        <f t="shared" ref="AK87:AX87" si="207">-AK88*AK12</f>
        <v>-479.13487256197283</v>
      </c>
      <c r="AL87" s="12">
        <f t="shared" si="207"/>
        <v>-594.58323989794451</v>
      </c>
      <c r="AM87" s="12">
        <f t="shared" si="207"/>
        <v>-527.90464117426984</v>
      </c>
      <c r="AN87" s="12">
        <f t="shared" si="207"/>
        <v>-656.23371333385739</v>
      </c>
      <c r="AO87" s="12">
        <f t="shared" si="207"/>
        <v>-583.29267544506229</v>
      </c>
      <c r="AP87" s="12">
        <f t="shared" si="207"/>
        <v>-726.18141687194804</v>
      </c>
      <c r="AQ87" s="12">
        <f t="shared" si="207"/>
        <v>-645.83621300745904</v>
      </c>
      <c r="AR87" s="12">
        <f t="shared" si="207"/>
        <v>-805.14173676763426</v>
      </c>
      <c r="AS87" s="12">
        <f t="shared" si="207"/>
        <v>-716.19523210862678</v>
      </c>
      <c r="AT87" s="12">
        <f t="shared" si="207"/>
        <v>-893.98020985661594</v>
      </c>
      <c r="AU87" s="12">
        <f t="shared" si="207"/>
        <v>-795.15128645624725</v>
      </c>
      <c r="AV87" s="12">
        <f t="shared" si="207"/>
        <v>-993.71311504284859</v>
      </c>
      <c r="AW87" s="12">
        <f t="shared" si="207"/>
        <v>-883.61030168559728</v>
      </c>
      <c r="AX87" s="12">
        <f t="shared" si="207"/>
        <v>-1105.5126405830003</v>
      </c>
    </row>
    <row r="88" spans="1:50" s="12" customFormat="1" ht="14.25" customHeight="1" x14ac:dyDescent="0.3">
      <c r="B88" s="34" t="s">
        <v>31</v>
      </c>
      <c r="E88" s="14">
        <f t="shared" ref="E88:I88" si="208">-E87/E$12</f>
        <v>4.2454003478149253E-2</v>
      </c>
      <c r="F88" s="161">
        <f t="shared" si="208"/>
        <v>4.1189403809093444E-2</v>
      </c>
      <c r="G88" s="161">
        <f t="shared" si="208"/>
        <v>3.2348314165070009E-2</v>
      </c>
      <c r="H88" s="161">
        <f t="shared" si="208"/>
        <v>3.8694975983326281E-2</v>
      </c>
      <c r="I88" s="161">
        <f t="shared" si="208"/>
        <v>4.6134151836253398E-2</v>
      </c>
      <c r="J88" s="161">
        <f>-J87/J$12</f>
        <v>5.331257502590684E-2</v>
      </c>
      <c r="K88" s="161">
        <f t="shared" ref="K88:X88" si="209">-K87/K$12</f>
        <v>5.1034041497574012E-2</v>
      </c>
      <c r="L88" s="161">
        <f t="shared" si="209"/>
        <v>5.1043472444175071E-2</v>
      </c>
      <c r="M88" s="161">
        <f t="shared" si="209"/>
        <v>5.1049994038052673E-2</v>
      </c>
      <c r="N88" s="161">
        <f t="shared" si="209"/>
        <v>5.1055356875395419E-2</v>
      </c>
      <c r="O88" s="161">
        <f t="shared" si="209"/>
        <v>5.1059908027781049E-2</v>
      </c>
      <c r="P88" s="161">
        <f t="shared" si="209"/>
        <v>5.1063895708461322E-2</v>
      </c>
      <c r="Q88" s="161">
        <f t="shared" si="209"/>
        <v>5.1067492766472593E-2</v>
      </c>
      <c r="R88" s="161">
        <f t="shared" si="209"/>
        <v>5.1070817241273311E-2</v>
      </c>
      <c r="S88" s="161">
        <f t="shared" ref="S88:T88" si="210">-S87/S$12</f>
        <v>5.1073948523380527E-2</v>
      </c>
      <c r="T88" s="161">
        <f t="shared" si="210"/>
        <v>5.1076939327973137E-2</v>
      </c>
      <c r="U88" s="161"/>
      <c r="V88" s="81"/>
      <c r="W88" s="81"/>
      <c r="X88" s="14" t="e">
        <f t="shared" si="209"/>
        <v>#DIV/0!</v>
      </c>
      <c r="Y88" s="14">
        <f t="shared" ref="Y88:AD88" si="211">-Y87/Y$12</f>
        <v>3.4443356650912776E-2</v>
      </c>
      <c r="Z88" s="14">
        <f t="shared" si="211"/>
        <v>4.3502487255058453E-2</v>
      </c>
      <c r="AA88" s="14">
        <f t="shared" si="211"/>
        <v>4.1773021851702397E-2</v>
      </c>
      <c r="AB88" s="14">
        <f t="shared" si="211"/>
        <v>5.0512795852040313E-2</v>
      </c>
      <c r="AC88" s="14">
        <f t="shared" si="211"/>
        <v>5.0308342956799167E-2</v>
      </c>
      <c r="AD88" s="14">
        <f t="shared" si="211"/>
        <v>5.6317777046930403E-2</v>
      </c>
      <c r="AE88" s="14">
        <f t="shared" ref="AE88" si="212">-AE87/AE$12</f>
        <v>4.5750313127028014E-2</v>
      </c>
      <c r="AF88" s="15">
        <f>AD88</f>
        <v>5.6317777046930403E-2</v>
      </c>
      <c r="AG88" s="15">
        <f t="shared" ref="AG88:AX88" si="213">AE88</f>
        <v>4.5750313127028014E-2</v>
      </c>
      <c r="AH88" s="15">
        <f t="shared" si="213"/>
        <v>5.6317777046930403E-2</v>
      </c>
      <c r="AI88" s="15">
        <f t="shared" si="213"/>
        <v>4.5750313127028014E-2</v>
      </c>
      <c r="AJ88" s="15">
        <f t="shared" si="213"/>
        <v>5.6317777046930403E-2</v>
      </c>
      <c r="AK88" s="15">
        <f t="shared" si="213"/>
        <v>4.5750313127028014E-2</v>
      </c>
      <c r="AL88" s="15">
        <f t="shared" si="213"/>
        <v>5.6317777046930403E-2</v>
      </c>
      <c r="AM88" s="15">
        <f t="shared" si="213"/>
        <v>4.5750313127028014E-2</v>
      </c>
      <c r="AN88" s="15">
        <f t="shared" si="213"/>
        <v>5.6317777046930403E-2</v>
      </c>
      <c r="AO88" s="15">
        <f t="shared" si="213"/>
        <v>4.5750313127028014E-2</v>
      </c>
      <c r="AP88" s="15">
        <f t="shared" si="213"/>
        <v>5.6317777046930403E-2</v>
      </c>
      <c r="AQ88" s="15">
        <f t="shared" si="213"/>
        <v>4.5750313127028014E-2</v>
      </c>
      <c r="AR88" s="15">
        <f t="shared" si="213"/>
        <v>5.6317777046930403E-2</v>
      </c>
      <c r="AS88" s="15">
        <f t="shared" si="213"/>
        <v>4.5750313127028014E-2</v>
      </c>
      <c r="AT88" s="15">
        <f t="shared" si="213"/>
        <v>5.6317777046930403E-2</v>
      </c>
      <c r="AU88" s="15">
        <f t="shared" si="213"/>
        <v>4.5750313127028014E-2</v>
      </c>
      <c r="AV88" s="15">
        <f t="shared" si="213"/>
        <v>5.6317777046930403E-2</v>
      </c>
      <c r="AW88" s="15">
        <f t="shared" si="213"/>
        <v>4.5750313127028014E-2</v>
      </c>
      <c r="AX88" s="15">
        <f t="shared" si="213"/>
        <v>5.6317777046930403E-2</v>
      </c>
    </row>
    <row r="89" spans="1:50" s="12" customFormat="1" ht="14.25" customHeight="1" x14ac:dyDescent="0.3">
      <c r="B89" s="25"/>
      <c r="F89" s="134"/>
      <c r="G89" s="134"/>
      <c r="H89" s="134"/>
      <c r="I89" s="134"/>
      <c r="J89" s="134"/>
      <c r="K89" s="134"/>
      <c r="L89" s="134"/>
      <c r="M89" s="134"/>
      <c r="N89" s="134"/>
      <c r="O89" s="134"/>
      <c r="P89" s="134"/>
      <c r="Q89" s="134"/>
      <c r="R89" s="134"/>
      <c r="S89" s="134"/>
      <c r="T89" s="134"/>
      <c r="U89" s="134"/>
      <c r="V89" s="72"/>
      <c r="W89" s="72"/>
    </row>
    <row r="90" spans="1:50" ht="14.25" hidden="1" customHeight="1" outlineLevel="1" x14ac:dyDescent="0.3">
      <c r="B90" s="26"/>
      <c r="C90" s="2"/>
      <c r="D90" s="2"/>
      <c r="E90" s="5"/>
      <c r="F90" s="139"/>
      <c r="G90" s="139"/>
      <c r="H90" s="139"/>
      <c r="I90" s="139"/>
      <c r="J90" s="139"/>
      <c r="K90" s="140"/>
      <c r="L90" s="140"/>
      <c r="M90" s="140"/>
      <c r="N90" s="140"/>
      <c r="O90" s="140"/>
      <c r="P90" s="140"/>
      <c r="Q90" s="140"/>
      <c r="R90" s="140"/>
      <c r="S90" s="140"/>
      <c r="T90" s="140"/>
      <c r="V90" s="75"/>
      <c r="W90" s="75"/>
      <c r="Y90" s="5"/>
      <c r="Z90" s="5"/>
      <c r="AA90" s="5"/>
      <c r="AB90" s="5"/>
      <c r="AC90" s="5"/>
      <c r="AD90" s="5"/>
      <c r="AE90" s="5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</row>
    <row r="91" spans="1:50" ht="14.25" hidden="1" customHeight="1" outlineLevel="1" x14ac:dyDescent="0.3">
      <c r="B91" s="26"/>
      <c r="C91" s="2"/>
      <c r="D91" s="2"/>
      <c r="E91" s="5"/>
      <c r="F91" s="139"/>
      <c r="G91" s="139"/>
      <c r="H91" s="139"/>
      <c r="I91" s="139"/>
      <c r="J91" s="139"/>
      <c r="K91" s="140"/>
      <c r="L91" s="140"/>
      <c r="M91" s="140"/>
      <c r="N91" s="140"/>
      <c r="O91" s="140"/>
      <c r="P91" s="140"/>
      <c r="Q91" s="140"/>
      <c r="R91" s="140"/>
      <c r="S91" s="140"/>
      <c r="T91" s="140"/>
      <c r="V91" s="75"/>
      <c r="W91" s="75"/>
      <c r="Y91" s="5"/>
      <c r="Z91" s="5"/>
      <c r="AA91" s="5"/>
      <c r="AB91" s="5"/>
      <c r="AC91" s="5"/>
      <c r="AD91" s="5"/>
      <c r="AE91" s="5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</row>
    <row r="92" spans="1:50" ht="14.25" hidden="1" customHeight="1" outlineLevel="1" x14ac:dyDescent="0.3">
      <c r="B92" s="26"/>
      <c r="C92" s="2"/>
      <c r="D92" s="2"/>
      <c r="E92" s="5"/>
      <c r="F92" s="139"/>
      <c r="G92" s="139"/>
      <c r="H92" s="139"/>
      <c r="I92" s="139"/>
      <c r="J92" s="139"/>
      <c r="K92" s="140"/>
      <c r="L92" s="140"/>
      <c r="M92" s="140"/>
      <c r="N92" s="140"/>
      <c r="O92" s="140"/>
      <c r="P92" s="140"/>
      <c r="Q92" s="140"/>
      <c r="R92" s="140"/>
      <c r="S92" s="140"/>
      <c r="T92" s="140"/>
      <c r="V92" s="75"/>
      <c r="W92" s="75"/>
      <c r="Y92" s="5"/>
      <c r="Z92" s="5"/>
      <c r="AA92" s="5"/>
      <c r="AB92" s="5"/>
      <c r="AC92" s="5"/>
      <c r="AD92" s="5"/>
      <c r="AE92" s="5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</row>
    <row r="93" spans="1:50" ht="14.25" hidden="1" customHeight="1" outlineLevel="1" x14ac:dyDescent="0.3">
      <c r="B93" s="26"/>
      <c r="C93" s="2"/>
      <c r="D93" s="2"/>
      <c r="E93" s="5"/>
      <c r="F93" s="139"/>
      <c r="G93" s="139"/>
      <c r="H93" s="139"/>
      <c r="I93" s="139"/>
      <c r="J93" s="139"/>
      <c r="K93" s="140"/>
      <c r="L93" s="140"/>
      <c r="M93" s="140"/>
      <c r="N93" s="140"/>
      <c r="O93" s="140"/>
      <c r="P93" s="140"/>
      <c r="Q93" s="140"/>
      <c r="R93" s="140"/>
      <c r="S93" s="140"/>
      <c r="T93" s="140"/>
      <c r="V93" s="75"/>
      <c r="W93" s="75"/>
      <c r="Y93" s="5"/>
      <c r="Z93" s="5"/>
      <c r="AA93" s="5"/>
      <c r="AB93" s="5"/>
      <c r="AC93" s="5"/>
      <c r="AD93" s="5"/>
      <c r="AE93" s="5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</row>
    <row r="94" spans="1:50" ht="14.25" hidden="1" customHeight="1" outlineLevel="1" x14ac:dyDescent="0.3">
      <c r="B94" s="26"/>
      <c r="C94" s="2"/>
      <c r="D94" s="2"/>
      <c r="E94" s="2"/>
      <c r="F94" s="142"/>
      <c r="G94" s="142"/>
      <c r="H94" s="142"/>
      <c r="I94" s="142"/>
      <c r="J94" s="142"/>
      <c r="K94" s="140"/>
      <c r="L94" s="140"/>
      <c r="M94" s="140"/>
      <c r="N94" s="140"/>
      <c r="O94" s="140"/>
      <c r="P94" s="140"/>
      <c r="Q94" s="140"/>
      <c r="R94" s="140"/>
      <c r="S94" s="140"/>
      <c r="T94" s="140"/>
      <c r="V94" s="75"/>
      <c r="W94" s="75"/>
      <c r="Y94" s="2"/>
      <c r="Z94" s="2"/>
      <c r="AA94" s="2"/>
      <c r="AB94" s="2"/>
      <c r="AC94" s="2"/>
      <c r="AD94" s="2"/>
      <c r="AE94" s="2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</row>
    <row r="95" spans="1:50" ht="14.25" customHeight="1" collapsed="1" x14ac:dyDescent="0.3">
      <c r="B95" s="27" t="s">
        <v>20</v>
      </c>
      <c r="C95" s="3" t="s">
        <v>62</v>
      </c>
      <c r="D95" s="3"/>
      <c r="E95" s="4">
        <v>662.73300000000017</v>
      </c>
      <c r="F95" s="143">
        <v>857.0930000000003</v>
      </c>
      <c r="G95" s="143">
        <v>1178.8080000000004</v>
      </c>
      <c r="H95" s="143">
        <v>1187.3929999999991</v>
      </c>
      <c r="I95" s="143">
        <v>1117.8690000000006</v>
      </c>
      <c r="J95" s="143">
        <v>1253.8790000000008</v>
      </c>
      <c r="K95" s="144">
        <f t="shared" ref="K95:T95" si="214">SUMIF($Y$2:$AX$2,K$2,$Y95:$AX95)</f>
        <v>1415.9425609749187</v>
      </c>
      <c r="L95" s="144">
        <f t="shared" si="214"/>
        <v>1653.1775711562702</v>
      </c>
      <c r="M95" s="144">
        <f t="shared" si="214"/>
        <v>1883.3512541537123</v>
      </c>
      <c r="N95" s="144">
        <f t="shared" si="214"/>
        <v>2153.1912580195881</v>
      </c>
      <c r="O95" s="144">
        <f t="shared" si="214"/>
        <v>2467.1869717768773</v>
      </c>
      <c r="P95" s="144">
        <f t="shared" si="214"/>
        <v>2830.7000255095668</v>
      </c>
      <c r="Q95" s="144">
        <f t="shared" si="214"/>
        <v>3250.0309224716325</v>
      </c>
      <c r="R95" s="144">
        <f t="shared" si="214"/>
        <v>3732.5045079631914</v>
      </c>
      <c r="S95" s="144">
        <f t="shared" si="214"/>
        <v>4286.5751359955902</v>
      </c>
      <c r="T95" s="144">
        <f t="shared" si="214"/>
        <v>4921.952686237586</v>
      </c>
      <c r="U95" s="145"/>
      <c r="V95" s="76"/>
      <c r="W95" s="76"/>
      <c r="Y95" s="4">
        <v>624.94399999999996</v>
      </c>
      <c r="Z95" s="4">
        <v>562.44899999999916</v>
      </c>
      <c r="AA95" s="4">
        <v>552.17499999999973</v>
      </c>
      <c r="AB95" s="4">
        <v>565.69400000000087</v>
      </c>
      <c r="AC95" s="4">
        <v>618.64500000000044</v>
      </c>
      <c r="AD95" s="4">
        <v>635.23400000000038</v>
      </c>
      <c r="AE95" s="4">
        <v>703.88700000000017</v>
      </c>
      <c r="AF95" s="9">
        <f t="shared" ref="AF95:AJ95" si="215">AF83+AF87</f>
        <v>712.05556097491865</v>
      </c>
      <c r="AG95" s="9">
        <f t="shared" si="215"/>
        <v>820.54700124628744</v>
      </c>
      <c r="AH95" s="9">
        <f t="shared" si="215"/>
        <v>832.6305699099828</v>
      </c>
      <c r="AI95" s="9">
        <f t="shared" si="215"/>
        <v>933.84194466050735</v>
      </c>
      <c r="AJ95" s="9">
        <f t="shared" si="215"/>
        <v>949.50930949320491</v>
      </c>
      <c r="AK95" s="9">
        <f>AK83+AK87</f>
        <v>1066.7698574716846</v>
      </c>
      <c r="AL95" s="9">
        <f t="shared" ref="AL95:AX95" si="216">AL83+AL87</f>
        <v>1086.4214005479034</v>
      </c>
      <c r="AM95" s="9">
        <f t="shared" si="216"/>
        <v>1221.5085920223623</v>
      </c>
      <c r="AN95" s="9">
        <f t="shared" si="216"/>
        <v>1245.6783797545149</v>
      </c>
      <c r="AO95" s="9">
        <f t="shared" si="216"/>
        <v>1400.6678374680168</v>
      </c>
      <c r="AP95" s="9">
        <f t="shared" si="216"/>
        <v>1430.0321880415499</v>
      </c>
      <c r="AQ95" s="9">
        <f t="shared" si="216"/>
        <v>1607.3205670365385</v>
      </c>
      <c r="AR95" s="9">
        <f t="shared" si="216"/>
        <v>1642.710355435094</v>
      </c>
      <c r="AS95" s="9">
        <f t="shared" si="216"/>
        <v>1845.0438402860677</v>
      </c>
      <c r="AT95" s="9">
        <f t="shared" si="216"/>
        <v>1887.4606676771236</v>
      </c>
      <c r="AU95" s="9">
        <f t="shared" si="216"/>
        <v>2117.9693563273931</v>
      </c>
      <c r="AV95" s="9">
        <f t="shared" si="216"/>
        <v>2168.6057796681971</v>
      </c>
      <c r="AW95" s="9">
        <f t="shared" si="216"/>
        <v>2430.844294385824</v>
      </c>
      <c r="AX95" s="9">
        <f t="shared" si="216"/>
        <v>2491.1083918517625</v>
      </c>
    </row>
    <row r="96" spans="1:50" s="12" customFormat="1" ht="14.25" customHeight="1" x14ac:dyDescent="0.3">
      <c r="B96" s="25" t="s">
        <v>41</v>
      </c>
      <c r="E96" s="14">
        <f>E95/E$12</f>
        <v>8.6442822166086411E-2</v>
      </c>
      <c r="F96" s="161">
        <f t="shared" ref="F96" si="217">F95/F$12</f>
        <v>8.7352033608844595E-2</v>
      </c>
      <c r="G96" s="161">
        <f t="shared" ref="G96" si="218">G95/G$12</f>
        <v>8.9282255968854765E-2</v>
      </c>
      <c r="H96" s="161">
        <f t="shared" ref="H96" si="219">H95/H$12</f>
        <v>8.9588081772354486E-2</v>
      </c>
      <c r="I96" s="161">
        <f t="shared" ref="I96" si="220">I95/I$12</f>
        <v>8.1409623526671845E-2</v>
      </c>
      <c r="J96" s="161">
        <f t="shared" ref="J96" si="221">J95/J$12</f>
        <v>8.5755158663720951E-2</v>
      </c>
      <c r="K96" s="161">
        <f t="shared" ref="K96:R96" si="222">K95/K$12</f>
        <v>9.0382262186498433E-2</v>
      </c>
      <c r="L96" s="161">
        <f t="shared" si="222"/>
        <v>9.4383192970203506E-2</v>
      </c>
      <c r="M96" s="161">
        <f t="shared" si="222"/>
        <v>9.8383836616442732E-2</v>
      </c>
      <c r="N96" s="161">
        <f t="shared" si="222"/>
        <v>0.10238436589964438</v>
      </c>
      <c r="O96" s="161">
        <f t="shared" si="222"/>
        <v>0.10638481507390646</v>
      </c>
      <c r="P96" s="161">
        <f t="shared" si="222"/>
        <v>0.11038520863654176</v>
      </c>
      <c r="Q96" s="161">
        <f t="shared" si="222"/>
        <v>0.11438556364682069</v>
      </c>
      <c r="R96" s="161">
        <f t="shared" si="222"/>
        <v>0.11838589175460278</v>
      </c>
      <c r="S96" s="161">
        <f t="shared" ref="S96:T96" si="223">S95/S$12</f>
        <v>0.12238620079530511</v>
      </c>
      <c r="T96" s="161">
        <f t="shared" si="223"/>
        <v>0.12638649597163235</v>
      </c>
      <c r="U96" s="161"/>
      <c r="V96" s="81"/>
      <c r="W96" s="81">
        <v>0.1</v>
      </c>
      <c r="X96" s="14"/>
      <c r="Y96" s="14">
        <f t="shared" ref="Y96" si="224">Y95/Y$12</f>
        <v>8.8851152595126881E-2</v>
      </c>
      <c r="Z96" s="14">
        <f t="shared" ref="Z96" si="225">Z95/Z$12</f>
        <v>9.0421363176214048E-2</v>
      </c>
      <c r="AA96" s="14">
        <f t="shared" ref="AA96" si="226">AA95/AA$12</f>
        <v>8.0264247330896668E-2</v>
      </c>
      <c r="AB96" s="14">
        <f t="shared" ref="AB96" si="227">AB95/AB$12</f>
        <v>8.2559599483183504E-2</v>
      </c>
      <c r="AC96" s="14">
        <f t="shared" ref="AC96:AE96" si="228">AC95/AC$12</f>
        <v>8.4606949573768506E-2</v>
      </c>
      <c r="AD96" s="14">
        <f t="shared" ref="AD96:AJ96" si="229">AD95/AD$12</f>
        <v>8.6903738466581379E-2</v>
      </c>
      <c r="AE96" s="14">
        <f t="shared" si="228"/>
        <v>8.986078661492547E-2</v>
      </c>
      <c r="AF96" s="14">
        <f t="shared" si="229"/>
        <v>9.0903738466581382E-2</v>
      </c>
      <c r="AG96" s="14">
        <f t="shared" si="229"/>
        <v>9.3860786614925432E-2</v>
      </c>
      <c r="AH96" s="14">
        <f t="shared" si="229"/>
        <v>9.4903738466581414E-2</v>
      </c>
      <c r="AI96" s="14">
        <f t="shared" si="229"/>
        <v>9.7860786614925435E-2</v>
      </c>
      <c r="AJ96" s="14">
        <f t="shared" si="229"/>
        <v>9.8903738466581403E-2</v>
      </c>
      <c r="AK96" s="14">
        <f t="shared" ref="AK96" si="230">AK95/AK$12</f>
        <v>0.10186078661492545</v>
      </c>
      <c r="AL96" s="14">
        <f t="shared" ref="AL96:AX96" si="231">AL95/AL$12</f>
        <v>0.10290373846658138</v>
      </c>
      <c r="AM96" s="14">
        <f t="shared" si="231"/>
        <v>0.1058607866149255</v>
      </c>
      <c r="AN96" s="14">
        <f t="shared" si="231"/>
        <v>0.10690373846658145</v>
      </c>
      <c r="AO96" s="14">
        <f t="shared" si="231"/>
        <v>0.10986078661492545</v>
      </c>
      <c r="AP96" s="14">
        <f t="shared" si="231"/>
        <v>0.11090373846658143</v>
      </c>
      <c r="AQ96" s="14">
        <f t="shared" si="231"/>
        <v>0.11386078661492548</v>
      </c>
      <c r="AR96" s="14">
        <f t="shared" si="231"/>
        <v>0.11490373846658146</v>
      </c>
      <c r="AS96" s="14">
        <f t="shared" si="231"/>
        <v>0.11786078661492545</v>
      </c>
      <c r="AT96" s="14">
        <f t="shared" si="231"/>
        <v>0.11890373846658144</v>
      </c>
      <c r="AU96" s="14">
        <f t="shared" si="231"/>
        <v>0.12186078661492544</v>
      </c>
      <c r="AV96" s="14">
        <f t="shared" si="231"/>
        <v>0.12290373846658142</v>
      </c>
      <c r="AW96" s="14">
        <f t="shared" si="231"/>
        <v>0.1258607866149255</v>
      </c>
      <c r="AX96" s="14">
        <f t="shared" si="231"/>
        <v>0.12690373846658143</v>
      </c>
    </row>
    <row r="97" spans="1:50" s="12" customFormat="1" ht="14.25" customHeight="1" x14ac:dyDescent="0.3">
      <c r="B97" s="25"/>
      <c r="F97" s="134"/>
      <c r="G97" s="134"/>
      <c r="H97" s="134"/>
      <c r="I97" s="134"/>
      <c r="J97" s="134"/>
      <c r="K97" s="134"/>
      <c r="L97" s="134"/>
      <c r="M97" s="134"/>
      <c r="N97" s="134"/>
      <c r="O97" s="134"/>
      <c r="P97" s="134"/>
      <c r="Q97" s="134"/>
      <c r="R97" s="134"/>
      <c r="S97" s="134"/>
      <c r="T97" s="134"/>
      <c r="U97" s="134"/>
      <c r="V97" s="72"/>
      <c r="W97" s="72"/>
    </row>
    <row r="98" spans="1:50" s="12" customFormat="1" ht="14.25" customHeight="1" x14ac:dyDescent="0.3">
      <c r="B98" s="25" t="s">
        <v>21</v>
      </c>
      <c r="E98" s="12">
        <f t="shared" ref="E98:I98" si="232">E101-E95</f>
        <v>-1.4470000000000027</v>
      </c>
      <c r="F98" s="134">
        <f t="shared" si="232"/>
        <v>4.1609999999999445</v>
      </c>
      <c r="G98" s="134">
        <f t="shared" si="232"/>
        <v>3.0119999999999436</v>
      </c>
      <c r="H98" s="134">
        <f t="shared" si="232"/>
        <v>-30.496000000000095</v>
      </c>
      <c r="I98" s="134">
        <f t="shared" si="232"/>
        <v>-62.252999999999929</v>
      </c>
      <c r="J98" s="134">
        <f>J101-J95</f>
        <v>-37.4849999999999</v>
      </c>
      <c r="K98" s="134">
        <f t="shared" ref="K98:T98" si="233">SUMIF($Y$2:$AX$2,K$2,$Y98:$AX98)</f>
        <v>-35.835422314931293</v>
      </c>
      <c r="L98" s="134">
        <f t="shared" si="233"/>
        <v>-40.04804928351485</v>
      </c>
      <c r="M98" s="134">
        <f t="shared" si="233"/>
        <v>-43.755252297569761</v>
      </c>
      <c r="N98" s="134">
        <f t="shared" si="233"/>
        <v>-48.057529308288352</v>
      </c>
      <c r="O98" s="134">
        <f t="shared" si="233"/>
        <v>-52.983592349088156</v>
      </c>
      <c r="P98" s="134">
        <f t="shared" si="233"/>
        <v>-58.576040218481182</v>
      </c>
      <c r="Q98" s="134">
        <f t="shared" si="233"/>
        <v>-64.890242401779744</v>
      </c>
      <c r="R98" s="134">
        <f t="shared" si="233"/>
        <v>-71.993813375962503</v>
      </c>
      <c r="S98" s="134">
        <f t="shared" si="233"/>
        <v>-79.966557836389484</v>
      </c>
      <c r="T98" s="134">
        <f t="shared" si="233"/>
        <v>-88.900802902878425</v>
      </c>
      <c r="U98" s="134"/>
      <c r="V98" s="72"/>
      <c r="W98" s="72"/>
      <c r="Y98" s="12">
        <f t="shared" ref="Y98:AD98" si="234">Y101-Y95</f>
        <v>-3.4769999999999754</v>
      </c>
      <c r="Z98" s="12">
        <f t="shared" si="234"/>
        <v>-27.019000000000119</v>
      </c>
      <c r="AA98" s="12">
        <f t="shared" si="234"/>
        <v>-41.15100000000001</v>
      </c>
      <c r="AB98" s="12">
        <f t="shared" si="234"/>
        <v>-21.101999999999862</v>
      </c>
      <c r="AC98" s="12">
        <f t="shared" si="234"/>
        <v>-24.938999999999965</v>
      </c>
      <c r="AD98" s="12">
        <f t="shared" si="234"/>
        <v>-12.545999999999935</v>
      </c>
      <c r="AE98" s="12">
        <f t="shared" ref="AE98" si="235">AE101-AE95</f>
        <v>-22.390999999999963</v>
      </c>
      <c r="AF98" s="12">
        <f>-AF99*AF12</f>
        <v>-13.444422314931334</v>
      </c>
      <c r="AG98" s="12">
        <f t="shared" ref="AG98:AX98" si="236">-AG99*AG12</f>
        <v>-24.989642009176105</v>
      </c>
      <c r="AH98" s="12">
        <f t="shared" si="236"/>
        <v>-15.058407274338746</v>
      </c>
      <c r="AI98" s="12">
        <f t="shared" si="236"/>
        <v>-27.277554749256129</v>
      </c>
      <c r="AJ98" s="12">
        <f t="shared" si="236"/>
        <v>-16.477697548313632</v>
      </c>
      <c r="AK98" s="12">
        <f t="shared" si="236"/>
        <v>-29.936737669129098</v>
      </c>
      <c r="AL98" s="12">
        <f t="shared" si="236"/>
        <v>-18.120791639159254</v>
      </c>
      <c r="AM98" s="12">
        <f t="shared" si="236"/>
        <v>-32.983912593641854</v>
      </c>
      <c r="AN98" s="12">
        <f t="shared" si="236"/>
        <v>-19.999679755446301</v>
      </c>
      <c r="AO98" s="12">
        <f t="shared" si="236"/>
        <v>-36.444602155032484</v>
      </c>
      <c r="AP98" s="12">
        <f t="shared" si="236"/>
        <v>-22.131438063448694</v>
      </c>
      <c r="AQ98" s="12">
        <f t="shared" si="236"/>
        <v>-40.352373398843625</v>
      </c>
      <c r="AR98" s="12">
        <f t="shared" si="236"/>
        <v>-24.537869002936127</v>
      </c>
      <c r="AS98" s="12">
        <f t="shared" si="236"/>
        <v>-44.748462304304084</v>
      </c>
      <c r="AT98" s="12">
        <f t="shared" si="236"/>
        <v>-27.245351071658426</v>
      </c>
      <c r="AU98" s="12">
        <f t="shared" si="236"/>
        <v>-49.681700984585049</v>
      </c>
      <c r="AV98" s="12">
        <f t="shared" si="236"/>
        <v>-30.284856851804442</v>
      </c>
      <c r="AW98" s="12">
        <f t="shared" si="236"/>
        <v>-55.208692412344305</v>
      </c>
      <c r="AX98" s="12">
        <f t="shared" si="236"/>
        <v>-33.69211049053412</v>
      </c>
    </row>
    <row r="99" spans="1:50" s="12" customFormat="1" ht="14.25" customHeight="1" x14ac:dyDescent="0.3">
      <c r="B99" s="34" t="s">
        <v>31</v>
      </c>
      <c r="E99" s="14">
        <f t="shared" ref="E99" si="237">-E98/E$12</f>
        <v>1.8873779285825097E-4</v>
      </c>
      <c r="F99" s="161">
        <f t="shared" ref="F99" si="238">-F98/F$12</f>
        <v>-4.2407511418993902E-4</v>
      </c>
      <c r="G99" s="161">
        <f t="shared" ref="G99" si="239">-G98/G$12</f>
        <v>-2.2812718863308138E-4</v>
      </c>
      <c r="H99" s="161">
        <f t="shared" ref="H99" si="240">-H98/H$12</f>
        <v>2.3009047061332958E-3</v>
      </c>
      <c r="I99" s="161">
        <f t="shared" ref="I99" si="241">-I98/I$12</f>
        <v>4.5336200336585893E-3</v>
      </c>
      <c r="J99" s="161">
        <f>-J98/J$12</f>
        <v>2.5636701169008884E-3</v>
      </c>
      <c r="K99" s="161">
        <f t="shared" ref="K99:R99" si="242">-K98/K$12</f>
        <v>2.2874420364918948E-3</v>
      </c>
      <c r="L99" s="161">
        <f t="shared" si="242"/>
        <v>2.2864227228551618E-3</v>
      </c>
      <c r="M99" s="161">
        <f t="shared" si="242"/>
        <v>2.2857178572829257E-3</v>
      </c>
      <c r="N99" s="161">
        <f t="shared" si="242"/>
        <v>2.2851382321968892E-3</v>
      </c>
      <c r="O99" s="161">
        <f t="shared" si="242"/>
        <v>2.2846463354779523E-3</v>
      </c>
      <c r="P99" s="161">
        <f t="shared" si="242"/>
        <v>2.2842153397923349E-3</v>
      </c>
      <c r="Q99" s="161">
        <f t="shared" si="242"/>
        <v>2.2838265633059332E-3</v>
      </c>
      <c r="R99" s="161">
        <f t="shared" si="242"/>
        <v>2.2834672481022015E-3</v>
      </c>
      <c r="S99" s="161">
        <f t="shared" ref="S99:T99" si="243">-S98/S$12</f>
        <v>2.2831288135115547E-3</v>
      </c>
      <c r="T99" s="161">
        <f t="shared" si="243"/>
        <v>2.2828055619828367E-3</v>
      </c>
      <c r="U99" s="161"/>
      <c r="V99" s="81"/>
      <c r="W99" s="81"/>
      <c r="Y99" s="14">
        <f t="shared" ref="Y99" si="244">-Y98/Y$12</f>
        <v>4.9434102507305293E-4</v>
      </c>
      <c r="Z99" s="14">
        <f t="shared" ref="Z99" si="245">-Z98/Z$12</f>
        <v>4.3436734915665983E-3</v>
      </c>
      <c r="AA99" s="14">
        <f t="shared" ref="AA99" si="246">-AA98/AA$12</f>
        <v>5.9817160174106604E-3</v>
      </c>
      <c r="AB99" s="14">
        <f t="shared" ref="AB99" si="247">-AB98/AB$12</f>
        <v>3.0797085850196824E-3</v>
      </c>
      <c r="AC99" s="14">
        <f t="shared" ref="AC99:AE99" si="248">-AC98/AC$12</f>
        <v>3.4107003457883086E-3</v>
      </c>
      <c r="AD99" s="14">
        <f t="shared" ref="AD99" si="249">-AD98/AD$12</f>
        <v>1.7163664142689525E-3</v>
      </c>
      <c r="AE99" s="14">
        <f t="shared" si="248"/>
        <v>2.8585168828161229E-3</v>
      </c>
      <c r="AF99" s="15">
        <f>AD99</f>
        <v>1.7163664142689525E-3</v>
      </c>
      <c r="AG99" s="15">
        <f t="shared" ref="AG99:AX99" si="250">AE99</f>
        <v>2.8585168828161229E-3</v>
      </c>
      <c r="AH99" s="15">
        <f t="shared" si="250"/>
        <v>1.7163664142689525E-3</v>
      </c>
      <c r="AI99" s="15">
        <f t="shared" si="250"/>
        <v>2.8585168828161229E-3</v>
      </c>
      <c r="AJ99" s="15">
        <f t="shared" si="250"/>
        <v>1.7163664142689525E-3</v>
      </c>
      <c r="AK99" s="15">
        <f t="shared" si="250"/>
        <v>2.8585168828161229E-3</v>
      </c>
      <c r="AL99" s="15">
        <f t="shared" si="250"/>
        <v>1.7163664142689525E-3</v>
      </c>
      <c r="AM99" s="15">
        <f t="shared" si="250"/>
        <v>2.8585168828161229E-3</v>
      </c>
      <c r="AN99" s="15">
        <f t="shared" si="250"/>
        <v>1.7163664142689525E-3</v>
      </c>
      <c r="AO99" s="15">
        <f t="shared" si="250"/>
        <v>2.8585168828161229E-3</v>
      </c>
      <c r="AP99" s="15">
        <f t="shared" si="250"/>
        <v>1.7163664142689525E-3</v>
      </c>
      <c r="AQ99" s="15">
        <f t="shared" si="250"/>
        <v>2.8585168828161229E-3</v>
      </c>
      <c r="AR99" s="15">
        <f t="shared" si="250"/>
        <v>1.7163664142689525E-3</v>
      </c>
      <c r="AS99" s="15">
        <f t="shared" si="250"/>
        <v>2.8585168828161229E-3</v>
      </c>
      <c r="AT99" s="15">
        <f t="shared" si="250"/>
        <v>1.7163664142689525E-3</v>
      </c>
      <c r="AU99" s="15">
        <f t="shared" si="250"/>
        <v>2.8585168828161229E-3</v>
      </c>
      <c r="AV99" s="15">
        <f t="shared" si="250"/>
        <v>1.7163664142689525E-3</v>
      </c>
      <c r="AW99" s="15">
        <f t="shared" si="250"/>
        <v>2.8585168828161229E-3</v>
      </c>
      <c r="AX99" s="15">
        <f t="shared" si="250"/>
        <v>1.7163664142689525E-3</v>
      </c>
    </row>
    <row r="100" spans="1:50" s="12" customFormat="1" ht="14.25" customHeight="1" x14ac:dyDescent="0.3">
      <c r="B100" s="25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34"/>
      <c r="Q100" s="134"/>
      <c r="R100" s="134"/>
      <c r="S100" s="134"/>
      <c r="T100" s="134"/>
      <c r="U100" s="134"/>
      <c r="V100" s="72"/>
      <c r="W100" s="72"/>
    </row>
    <row r="101" spans="1:50" s="40" customFormat="1" ht="14.25" customHeight="1" x14ac:dyDescent="0.3">
      <c r="A101" s="22"/>
      <c r="B101" s="36" t="s">
        <v>22</v>
      </c>
      <c r="C101" s="37" t="s">
        <v>62</v>
      </c>
      <c r="D101" s="37"/>
      <c r="E101" s="38">
        <v>661.28600000000017</v>
      </c>
      <c r="F101" s="167">
        <v>861.25400000000025</v>
      </c>
      <c r="G101" s="167">
        <v>1181.8200000000004</v>
      </c>
      <c r="H101" s="167">
        <v>1156.896999999999</v>
      </c>
      <c r="I101" s="167">
        <v>1055.6160000000007</v>
      </c>
      <c r="J101" s="167">
        <v>1216.3940000000009</v>
      </c>
      <c r="K101" s="168">
        <f t="shared" ref="K101:T102" si="251">SUMIF($Y$2:$AX$2,K$2,$Y101:$AX101)</f>
        <v>1380.1071386599874</v>
      </c>
      <c r="L101" s="168">
        <f t="shared" si="251"/>
        <v>1613.1295218727555</v>
      </c>
      <c r="M101" s="168">
        <f t="shared" si="251"/>
        <v>1839.5960018561425</v>
      </c>
      <c r="N101" s="168">
        <f t="shared" si="251"/>
        <v>2105.1337287112997</v>
      </c>
      <c r="O101" s="168">
        <f t="shared" si="251"/>
        <v>2414.2033794277891</v>
      </c>
      <c r="P101" s="168">
        <f t="shared" si="251"/>
        <v>2772.1239852910858</v>
      </c>
      <c r="Q101" s="168">
        <f t="shared" si="251"/>
        <v>3185.1406800698528</v>
      </c>
      <c r="R101" s="168">
        <f t="shared" si="251"/>
        <v>3660.510694587229</v>
      </c>
      <c r="S101" s="168">
        <f t="shared" si="251"/>
        <v>4206.608578159201</v>
      </c>
      <c r="T101" s="168">
        <f t="shared" si="251"/>
        <v>4833.0518833347087</v>
      </c>
      <c r="U101" s="145"/>
      <c r="V101" s="82"/>
      <c r="W101" s="82"/>
      <c r="X101" s="22"/>
      <c r="Y101" s="38">
        <v>621.46699999999998</v>
      </c>
      <c r="Z101" s="38">
        <v>535.42999999999904</v>
      </c>
      <c r="AA101" s="38">
        <v>511.02399999999972</v>
      </c>
      <c r="AB101" s="38">
        <v>544.59200000000101</v>
      </c>
      <c r="AC101" s="38">
        <v>593.70600000000047</v>
      </c>
      <c r="AD101" s="38">
        <v>622.68800000000044</v>
      </c>
      <c r="AE101" s="38">
        <v>681.49600000000021</v>
      </c>
      <c r="AF101" s="39">
        <f t="shared" ref="AF101:AJ101" si="252">AF95+AF98</f>
        <v>698.61113865998732</v>
      </c>
      <c r="AG101" s="39">
        <f t="shared" si="252"/>
        <v>795.55735923711131</v>
      </c>
      <c r="AH101" s="39">
        <f t="shared" si="252"/>
        <v>817.57216263564408</v>
      </c>
      <c r="AI101" s="39">
        <f t="shared" si="252"/>
        <v>906.56438991125117</v>
      </c>
      <c r="AJ101" s="39">
        <f t="shared" si="252"/>
        <v>933.03161194489132</v>
      </c>
      <c r="AK101" s="39">
        <f t="shared" ref="AK101:AL101" si="253">AK95+AK98</f>
        <v>1036.8331198025555</v>
      </c>
      <c r="AL101" s="39">
        <f t="shared" si="253"/>
        <v>1068.3006089087442</v>
      </c>
      <c r="AM101" s="39">
        <f t="shared" ref="AM101:AX101" si="254">AM95+AM98</f>
        <v>1188.5246794287204</v>
      </c>
      <c r="AN101" s="39">
        <f t="shared" si="254"/>
        <v>1225.6786999990686</v>
      </c>
      <c r="AO101" s="39">
        <f t="shared" si="254"/>
        <v>1364.2232353129843</v>
      </c>
      <c r="AP101" s="39">
        <f t="shared" si="254"/>
        <v>1407.9007499781012</v>
      </c>
      <c r="AQ101" s="39">
        <f t="shared" si="254"/>
        <v>1566.9681936376949</v>
      </c>
      <c r="AR101" s="39">
        <f t="shared" si="254"/>
        <v>1618.1724864321579</v>
      </c>
      <c r="AS101" s="39">
        <f t="shared" si="254"/>
        <v>1800.2953779817637</v>
      </c>
      <c r="AT101" s="39">
        <f t="shared" si="254"/>
        <v>1860.2153166054652</v>
      </c>
      <c r="AU101" s="39">
        <f t="shared" si="254"/>
        <v>2068.2876553428082</v>
      </c>
      <c r="AV101" s="39">
        <f t="shared" si="254"/>
        <v>2138.3209228163928</v>
      </c>
      <c r="AW101" s="39">
        <f t="shared" si="254"/>
        <v>2375.6356019734799</v>
      </c>
      <c r="AX101" s="39">
        <f t="shared" si="254"/>
        <v>2457.4162813612284</v>
      </c>
    </row>
    <row r="102" spans="1:50" s="12" customFormat="1" ht="14.25" customHeight="1" x14ac:dyDescent="0.3">
      <c r="B102" s="25" t="s">
        <v>23</v>
      </c>
      <c r="E102" s="12">
        <f t="shared" ref="E102:I102" si="255">E104-E101</f>
        <v>-46.385999999999967</v>
      </c>
      <c r="F102" s="134">
        <f t="shared" si="255"/>
        <v>-60.494000000000028</v>
      </c>
      <c r="G102" s="134">
        <f t="shared" si="255"/>
        <v>-82.821999999999889</v>
      </c>
      <c r="H102" s="134">
        <f t="shared" si="255"/>
        <v>-79.747000000000071</v>
      </c>
      <c r="I102" s="134">
        <f t="shared" si="255"/>
        <v>-79.275999999999954</v>
      </c>
      <c r="J102" s="134">
        <f>J104-J101</f>
        <v>-94.713999999999942</v>
      </c>
      <c r="K102" s="134">
        <f t="shared" si="251"/>
        <v>-110.79381013024096</v>
      </c>
      <c r="L102" s="134">
        <f t="shared" si="251"/>
        <v>-129.5051697428741</v>
      </c>
      <c r="M102" s="134">
        <f t="shared" si="251"/>
        <v>-147.68940344637684</v>
      </c>
      <c r="N102" s="134">
        <f t="shared" si="251"/>
        <v>-169.0103856367127</v>
      </c>
      <c r="O102" s="134">
        <f t="shared" si="251"/>
        <v>-205.8974195439705</v>
      </c>
      <c r="P102" s="134">
        <f t="shared" si="251"/>
        <v>-250.28589229053293</v>
      </c>
      <c r="Q102" s="134">
        <f t="shared" si="251"/>
        <v>-303.5037991934945</v>
      </c>
      <c r="R102" s="134">
        <f t="shared" si="251"/>
        <v>-367.10554556929708</v>
      </c>
      <c r="S102" s="134">
        <f t="shared" si="251"/>
        <v>-442.90833277951469</v>
      </c>
      <c r="T102" s="134">
        <f t="shared" si="251"/>
        <v>-533.03395788742273</v>
      </c>
      <c r="U102" s="134"/>
      <c r="V102" s="72"/>
      <c r="W102" s="72"/>
      <c r="Y102" s="12">
        <f t="shared" ref="Y102:AD102" si="256">Y104-Y101</f>
        <v>-43.479000000000042</v>
      </c>
      <c r="Z102" s="12">
        <f t="shared" si="256"/>
        <v>-36.268000000000029</v>
      </c>
      <c r="AA102" s="12">
        <f t="shared" si="256"/>
        <v>-35.245000000000005</v>
      </c>
      <c r="AB102" s="12">
        <f t="shared" si="256"/>
        <v>-44.031000000000006</v>
      </c>
      <c r="AC102" s="12">
        <f t="shared" si="256"/>
        <v>-43.341000000000008</v>
      </c>
      <c r="AD102" s="12">
        <f t="shared" si="256"/>
        <v>-51.372999999999934</v>
      </c>
      <c r="AE102" s="12">
        <f t="shared" ref="AE102" si="257">AE104-AE101</f>
        <v>-53.157000000000039</v>
      </c>
      <c r="AF102" s="12">
        <f t="shared" ref="AF102:AJ102" si="258">-AF103*AF101</f>
        <v>-57.636810130240917</v>
      </c>
      <c r="AG102" s="12">
        <f t="shared" si="258"/>
        <v>-62.053838239647988</v>
      </c>
      <c r="AH102" s="12">
        <f t="shared" si="258"/>
        <v>-67.4513315032261</v>
      </c>
      <c r="AI102" s="12">
        <f t="shared" si="258"/>
        <v>-70.712437453062677</v>
      </c>
      <c r="AJ102" s="12">
        <f t="shared" si="258"/>
        <v>-76.976965993314153</v>
      </c>
      <c r="AK102" s="12">
        <f t="shared" ref="AK102:AL102" si="259">-AK103*AK101</f>
        <v>-80.873458023736703</v>
      </c>
      <c r="AL102" s="12">
        <f t="shared" si="259"/>
        <v>-88.136927612975995</v>
      </c>
      <c r="AM102" s="12">
        <f t="shared" ref="AM102:AN102" si="260">-AM103*AM101</f>
        <v>-98.648092518594822</v>
      </c>
      <c r="AN102" s="12">
        <f t="shared" si="260"/>
        <v>-107.24932702537566</v>
      </c>
      <c r="AO102" s="12">
        <f t="shared" ref="AO102:AP102" si="261">-AO103*AO101</f>
        <v>-120.05226927122231</v>
      </c>
      <c r="AP102" s="12">
        <f t="shared" si="261"/>
        <v>-130.23362301931061</v>
      </c>
      <c r="AQ102" s="12">
        <f t="shared" ref="AQ102:AR102" si="262">-AQ103*AQ101</f>
        <v>-145.72875939193878</v>
      </c>
      <c r="AR102" s="12">
        <f t="shared" si="262"/>
        <v>-157.77503980155569</v>
      </c>
      <c r="AS102" s="12">
        <f t="shared" ref="AS102:AT102" si="263">-AS103*AS101</f>
        <v>-176.42977124684205</v>
      </c>
      <c r="AT102" s="12">
        <f t="shared" si="263"/>
        <v>-190.675774322455</v>
      </c>
      <c r="AU102" s="12">
        <f t="shared" ref="AU102:AV102" si="264">-AU103*AU101</f>
        <v>-213.03457539618032</v>
      </c>
      <c r="AV102" s="12">
        <f t="shared" si="264"/>
        <v>-229.87375738333435</v>
      </c>
      <c r="AW102" s="12">
        <f t="shared" ref="AW102:AX102" si="265">-AW103*AW101</f>
        <v>-256.56973261791694</v>
      </c>
      <c r="AX102" s="12">
        <f t="shared" si="265"/>
        <v>-276.46422526950573</v>
      </c>
    </row>
    <row r="103" spans="1:50" s="12" customFormat="1" ht="14.25" customHeight="1" x14ac:dyDescent="0.3">
      <c r="B103" s="34" t="s">
        <v>24</v>
      </c>
      <c r="E103" s="16">
        <f t="shared" ref="E103:I103" si="266">-E102/E101</f>
        <v>7.0145141436534206E-2</v>
      </c>
      <c r="F103" s="147">
        <f t="shared" si="266"/>
        <v>7.0239441558471727E-2</v>
      </c>
      <c r="G103" s="147">
        <f t="shared" si="266"/>
        <v>7.0080046030698298E-2</v>
      </c>
      <c r="H103" s="147">
        <f t="shared" si="266"/>
        <v>6.8931806375157112E-2</v>
      </c>
      <c r="I103" s="147">
        <f t="shared" si="266"/>
        <v>7.5099278525524338E-2</v>
      </c>
      <c r="J103" s="147">
        <f>-J102/J101</f>
        <v>7.7864573485235761E-2</v>
      </c>
      <c r="K103" s="147">
        <f t="shared" ref="K103:R103" si="267">-K102/K101</f>
        <v>8.0279137051501678E-2</v>
      </c>
      <c r="L103" s="147">
        <f t="shared" si="267"/>
        <v>8.028194139831106E-2</v>
      </c>
      <c r="M103" s="147">
        <f t="shared" si="267"/>
        <v>8.0283607540655139E-2</v>
      </c>
      <c r="N103" s="147">
        <f t="shared" si="267"/>
        <v>8.0284868999831116E-2</v>
      </c>
      <c r="O103" s="147">
        <f t="shared" si="267"/>
        <v>8.5285863361177133E-2</v>
      </c>
      <c r="P103" s="147">
        <f t="shared" si="267"/>
        <v>9.0286687615183187E-2</v>
      </c>
      <c r="Q103" s="147">
        <f t="shared" si="267"/>
        <v>9.5287407897737944E-2</v>
      </c>
      <c r="R103" s="147">
        <f t="shared" si="267"/>
        <v>0.10028806803163652</v>
      </c>
      <c r="S103" s="147">
        <f t="shared" ref="S103:T103" si="268">-S102/S101</f>
        <v>0.1052886962383674</v>
      </c>
      <c r="T103" s="147">
        <f t="shared" si="268"/>
        <v>0.11028931009936521</v>
      </c>
      <c r="U103" s="147"/>
      <c r="V103" s="83"/>
      <c r="W103" s="83"/>
      <c r="Y103" s="16">
        <f t="shared" ref="Y103:AD103" si="269">-Y102/Y101</f>
        <v>6.9961880518193312E-2</v>
      </c>
      <c r="Z103" s="16">
        <f t="shared" si="269"/>
        <v>6.7736212016510269E-2</v>
      </c>
      <c r="AA103" s="16">
        <f t="shared" si="269"/>
        <v>6.8969363474122594E-2</v>
      </c>
      <c r="AB103" s="16">
        <f t="shared" si="269"/>
        <v>8.0851352939448104E-2</v>
      </c>
      <c r="AC103" s="16">
        <f t="shared" si="269"/>
        <v>7.3000778162929089E-2</v>
      </c>
      <c r="AD103" s="16">
        <f t="shared" si="269"/>
        <v>8.2501991366462649E-2</v>
      </c>
      <c r="AE103" s="16">
        <f t="shared" ref="AE103" si="270">-AE102/AE101</f>
        <v>7.800045781633351E-2</v>
      </c>
      <c r="AF103" s="18">
        <f>AD103</f>
        <v>8.2501991366462649E-2</v>
      </c>
      <c r="AG103" s="18">
        <f t="shared" ref="AG103:AL103" si="271">AE103</f>
        <v>7.800045781633351E-2</v>
      </c>
      <c r="AH103" s="18">
        <f t="shared" si="271"/>
        <v>8.2501991366462649E-2</v>
      </c>
      <c r="AI103" s="18">
        <f t="shared" si="271"/>
        <v>7.800045781633351E-2</v>
      </c>
      <c r="AJ103" s="18">
        <f t="shared" si="271"/>
        <v>8.2501991366462649E-2</v>
      </c>
      <c r="AK103" s="18">
        <f t="shared" si="271"/>
        <v>7.800045781633351E-2</v>
      </c>
      <c r="AL103" s="18">
        <f t="shared" si="271"/>
        <v>8.2501991366462649E-2</v>
      </c>
      <c r="AM103" s="119">
        <f>AK103+0.5%</f>
        <v>8.3000457816333514E-2</v>
      </c>
      <c r="AN103" s="119">
        <f t="shared" ref="AN103:AP103" si="272">AL103+0.5%</f>
        <v>8.7501991366462653E-2</v>
      </c>
      <c r="AO103" s="18">
        <f t="shared" si="272"/>
        <v>8.8000457816333519E-2</v>
      </c>
      <c r="AP103" s="18">
        <f t="shared" si="272"/>
        <v>9.2501991366462658E-2</v>
      </c>
      <c r="AQ103" s="18">
        <f t="shared" ref="AQ103" si="273">AO103+0.5%</f>
        <v>9.3000457816333523E-2</v>
      </c>
      <c r="AR103" s="18">
        <f t="shared" ref="AR103" si="274">AP103+0.5%</f>
        <v>9.7501991366462662E-2</v>
      </c>
      <c r="AS103" s="18">
        <f t="shared" ref="AS103" si="275">AQ103+0.5%</f>
        <v>9.8000457816333528E-2</v>
      </c>
      <c r="AT103" s="18">
        <f t="shared" ref="AT103" si="276">AR103+0.5%</f>
        <v>0.10250199136646267</v>
      </c>
      <c r="AU103" s="18">
        <f t="shared" ref="AU103" si="277">AS103+0.5%</f>
        <v>0.10300045781633353</v>
      </c>
      <c r="AV103" s="18">
        <f t="shared" ref="AV103" si="278">AT103+0.5%</f>
        <v>0.10750199136646267</v>
      </c>
      <c r="AW103" s="18">
        <f t="shared" ref="AW103" si="279">AU103+0.5%</f>
        <v>0.10800045781633354</v>
      </c>
      <c r="AX103" s="18">
        <f t="shared" ref="AX103" si="280">AV103+0.5%</f>
        <v>0.11250199136646268</v>
      </c>
    </row>
    <row r="104" spans="1:50" s="40" customFormat="1" ht="14.25" customHeight="1" thickBot="1" x14ac:dyDescent="0.35">
      <c r="A104" s="22"/>
      <c r="B104" s="41" t="s">
        <v>25</v>
      </c>
      <c r="C104" s="42"/>
      <c r="D104" s="42"/>
      <c r="E104" s="43">
        <v>614.9000000000002</v>
      </c>
      <c r="F104" s="169">
        <v>800.76000000000022</v>
      </c>
      <c r="G104" s="169">
        <v>1098.9980000000005</v>
      </c>
      <c r="H104" s="169">
        <v>1077.149999999999</v>
      </c>
      <c r="I104" s="169">
        <v>976.34000000000071</v>
      </c>
      <c r="J104" s="169">
        <v>1121.680000000001</v>
      </c>
      <c r="K104" s="170">
        <f t="shared" ref="K104:T104" si="281">SUMIF($Y$2:$AX$2,K$2,$Y104:$AX104)</f>
        <v>1269.3133285297465</v>
      </c>
      <c r="L104" s="170">
        <f t="shared" si="281"/>
        <v>1483.6243521298811</v>
      </c>
      <c r="M104" s="170">
        <f t="shared" si="281"/>
        <v>1691.9065984097656</v>
      </c>
      <c r="N104" s="170">
        <f t="shared" si="281"/>
        <v>1936.123343074587</v>
      </c>
      <c r="O104" s="170">
        <f t="shared" si="281"/>
        <v>2208.3059598838186</v>
      </c>
      <c r="P104" s="170">
        <f t="shared" si="281"/>
        <v>2521.8380930005524</v>
      </c>
      <c r="Q104" s="170">
        <f t="shared" si="281"/>
        <v>2881.6368808763582</v>
      </c>
      <c r="R104" s="170">
        <f t="shared" si="281"/>
        <v>3293.4051490179318</v>
      </c>
      <c r="S104" s="170">
        <f t="shared" si="281"/>
        <v>3763.7002453796863</v>
      </c>
      <c r="T104" s="170">
        <f t="shared" si="281"/>
        <v>4300.017925447286</v>
      </c>
      <c r="U104" s="145"/>
      <c r="V104" s="84"/>
      <c r="W104" s="84"/>
      <c r="X104" s="22"/>
      <c r="Y104" s="43">
        <v>577.98799999999994</v>
      </c>
      <c r="Z104" s="43">
        <v>499.16199999999901</v>
      </c>
      <c r="AA104" s="43">
        <v>475.77899999999971</v>
      </c>
      <c r="AB104" s="43">
        <v>500.561000000001</v>
      </c>
      <c r="AC104" s="43">
        <v>550.36500000000046</v>
      </c>
      <c r="AD104" s="43">
        <v>571.31500000000051</v>
      </c>
      <c r="AE104" s="43">
        <v>628.33900000000017</v>
      </c>
      <c r="AF104" s="44">
        <f t="shared" ref="AF104:AJ104" si="282">AF101+AF102</f>
        <v>640.97432852974634</v>
      </c>
      <c r="AG104" s="44">
        <f t="shared" si="282"/>
        <v>733.50352099746328</v>
      </c>
      <c r="AH104" s="44">
        <f t="shared" si="282"/>
        <v>750.12083113241795</v>
      </c>
      <c r="AI104" s="44">
        <f t="shared" si="282"/>
        <v>835.85195245818852</v>
      </c>
      <c r="AJ104" s="44">
        <f t="shared" si="282"/>
        <v>856.05464595157719</v>
      </c>
      <c r="AK104" s="44">
        <f>AK101+AK102</f>
        <v>955.95966177881883</v>
      </c>
      <c r="AL104" s="44">
        <f t="shared" ref="AL104:AX104" si="283">AL101+AL102</f>
        <v>980.16368129576813</v>
      </c>
      <c r="AM104" s="44">
        <f t="shared" si="283"/>
        <v>1089.8765869101255</v>
      </c>
      <c r="AN104" s="44">
        <f t="shared" si="283"/>
        <v>1118.429372973693</v>
      </c>
      <c r="AO104" s="44">
        <f t="shared" si="283"/>
        <v>1244.1709660417621</v>
      </c>
      <c r="AP104" s="44">
        <f t="shared" si="283"/>
        <v>1277.6671269587905</v>
      </c>
      <c r="AQ104" s="44">
        <f t="shared" si="283"/>
        <v>1421.239434245756</v>
      </c>
      <c r="AR104" s="44">
        <f t="shared" si="283"/>
        <v>1460.3974466306022</v>
      </c>
      <c r="AS104" s="44">
        <f t="shared" si="283"/>
        <v>1623.8656067349216</v>
      </c>
      <c r="AT104" s="44">
        <f t="shared" si="283"/>
        <v>1669.5395422830102</v>
      </c>
      <c r="AU104" s="44">
        <f t="shared" si="283"/>
        <v>1855.2530799466278</v>
      </c>
      <c r="AV104" s="44">
        <f t="shared" si="283"/>
        <v>1908.4471654330584</v>
      </c>
      <c r="AW104" s="44">
        <f t="shared" si="283"/>
        <v>2119.0658693555629</v>
      </c>
      <c r="AX104" s="44">
        <f t="shared" si="283"/>
        <v>2180.9520560917226</v>
      </c>
    </row>
    <row r="105" spans="1:50" s="21" customFormat="1" ht="14.25" customHeight="1" x14ac:dyDescent="0.3">
      <c r="A105" s="19"/>
      <c r="B105" s="33" t="s">
        <v>36</v>
      </c>
      <c r="C105" s="20"/>
      <c r="D105" s="20"/>
      <c r="E105" s="20"/>
      <c r="F105" s="146">
        <f t="shared" ref="F105" si="284">F104/E104-1</f>
        <v>0.30226053016750676</v>
      </c>
      <c r="G105" s="146">
        <f t="shared" ref="G105" si="285">G104/F104-1</f>
        <v>0.37244367850542015</v>
      </c>
      <c r="H105" s="146">
        <f t="shared" ref="H105" si="286">H104/G104-1</f>
        <v>-1.9879926988039642E-2</v>
      </c>
      <c r="I105" s="146">
        <f t="shared" ref="I105" si="287">I104/H104-1</f>
        <v>-9.3589565055933077E-2</v>
      </c>
      <c r="J105" s="146">
        <f>J104/I104-1</f>
        <v>0.14886207673556351</v>
      </c>
      <c r="K105" s="146">
        <f t="shared" ref="K105" si="288">K104/J104-1</f>
        <v>0.13161804483430695</v>
      </c>
      <c r="L105" s="146">
        <f t="shared" ref="L105" si="289">L104/K104-1</f>
        <v>0.16884012700660156</v>
      </c>
      <c r="M105" s="146">
        <f t="shared" ref="M105" si="290">M104/L104-1</f>
        <v>0.14038745453380819</v>
      </c>
      <c r="N105" s="146">
        <f t="shared" ref="N105" si="291">N104/M104-1</f>
        <v>0.14434410557554567</v>
      </c>
      <c r="O105" s="146">
        <f t="shared" ref="O105" si="292">O104/N104-1</f>
        <v>0.14058123816481771</v>
      </c>
      <c r="P105" s="146">
        <f t="shared" ref="P105" si="293">P104/O104-1</f>
        <v>0.14197857489513321</v>
      </c>
      <c r="Q105" s="146">
        <f t="shared" ref="Q105" si="294">Q104/P104-1</f>
        <v>0.14267323063857251</v>
      </c>
      <c r="R105" s="146">
        <f t="shared" ref="R105" si="295">R104/Q104-1</f>
        <v>0.14289387773810946</v>
      </c>
      <c r="S105" s="146">
        <f t="shared" ref="S105" si="296">S104/R104-1</f>
        <v>0.14279904083528661</v>
      </c>
      <c r="T105" s="146">
        <f t="shared" ref="T105" si="297">T104/S104-1</f>
        <v>0.14249744801701003</v>
      </c>
      <c r="U105" s="146"/>
      <c r="V105" s="77"/>
      <c r="W105" s="77"/>
      <c r="X105" s="20"/>
      <c r="Y105" s="20"/>
      <c r="Z105" s="20"/>
      <c r="AA105" s="20">
        <f t="shared" ref="AA105" si="298">AA104/Y104-1</f>
        <v>-0.17683585126334844</v>
      </c>
      <c r="AB105" s="20">
        <f t="shared" ref="AB105" si="299">AB104/Z104-1</f>
        <v>2.8026973207135875E-3</v>
      </c>
      <c r="AC105" s="20">
        <f>AC104/AA104-1</f>
        <v>0.15676606155379025</v>
      </c>
      <c r="AD105" s="20">
        <f t="shared" ref="AD105" si="300">AD104/AB104-1</f>
        <v>0.14134940596650436</v>
      </c>
      <c r="AE105" s="20">
        <f t="shared" ref="AE105" si="301">AE104/AC104-1</f>
        <v>0.14167688715670446</v>
      </c>
      <c r="AF105" s="20">
        <f t="shared" ref="AF105" si="302">AF104/AD104-1</f>
        <v>0.12192805812860819</v>
      </c>
      <c r="AG105" s="20">
        <f t="shared" ref="AG105" si="303">AG104/AE104-1</f>
        <v>0.16736908101751302</v>
      </c>
      <c r="AH105" s="20">
        <f t="shared" ref="AH105" si="304">AH104/AF104-1</f>
        <v>0.17028217472145823</v>
      </c>
      <c r="AI105" s="20">
        <f t="shared" ref="AI105" si="305">AI104/AG104-1</f>
        <v>0.13953366075400098</v>
      </c>
      <c r="AJ105" s="20">
        <f t="shared" ref="AJ105" si="306">AJ104/AH104-1</f>
        <v>0.14122233435276899</v>
      </c>
      <c r="AK105" s="20">
        <f t="shared" ref="AK105" si="307">AK104/AI104-1</f>
        <v>0.14369495574832492</v>
      </c>
      <c r="AL105" s="20">
        <f t="shared" ref="AL105" si="308">AL104/AJ104-1</f>
        <v>0.14497793561558581</v>
      </c>
      <c r="AM105" s="20">
        <f t="shared" ref="AM105" si="309">AM104/AK104-1</f>
        <v>0.14008637653404588</v>
      </c>
      <c r="AN105" s="20">
        <f t="shared" ref="AN105" si="310">AN104/AL104-1</f>
        <v>0.14106387975438839</v>
      </c>
      <c r="AO105" s="20">
        <f t="shared" ref="AO105" si="311">AO104/AM104-1</f>
        <v>0.14157050530746029</v>
      </c>
      <c r="AP105" s="20">
        <f t="shared" ref="AP105" si="312">AP104/AN104-1</f>
        <v>0.14237622672741002</v>
      </c>
      <c r="AQ105" s="20">
        <f t="shared" ref="AQ105" si="313">AQ104/AO104-1</f>
        <v>0.14231843776850384</v>
      </c>
      <c r="AR105" s="20">
        <f t="shared" ref="AR105" si="314">AR104/AP104-1</f>
        <v>0.14301872202563559</v>
      </c>
      <c r="AS105" s="20">
        <f t="shared" ref="AS105" si="315">AS104/AQ104-1</f>
        <v>0.14257004668372297</v>
      </c>
      <c r="AT105" s="20">
        <f t="shared" ref="AT105" si="316">AT104/AR104-1</f>
        <v>0.14320902582713768</v>
      </c>
      <c r="AU105" s="20">
        <f t="shared" ref="AU105" si="317">AU104/AS104-1</f>
        <v>0.14249176302031108</v>
      </c>
      <c r="AV105" s="20">
        <f t="shared" ref="AV105" si="318">AV104/AT104-1</f>
        <v>0.14309791238807934</v>
      </c>
      <c r="AW105" s="20">
        <f t="shared" ref="AW105" si="319">AW104/AU104-1</f>
        <v>0.14219773693437254</v>
      </c>
      <c r="AX105" s="20">
        <f t="shared" ref="AX105" si="320">AX104/AV104-1</f>
        <v>0.14278880526243354</v>
      </c>
    </row>
    <row r="106" spans="1:50" s="12" customFormat="1" ht="14.25" customHeight="1" x14ac:dyDescent="0.3">
      <c r="B106" s="25" t="s">
        <v>87</v>
      </c>
      <c r="F106" s="134"/>
      <c r="G106" s="147">
        <f t="shared" ref="G106:J106" si="321">G104/G12</f>
        <v>8.3237491385585657E-2</v>
      </c>
      <c r="H106" s="147">
        <f t="shared" si="321"/>
        <v>8.1270314277658365E-2</v>
      </c>
      <c r="I106" s="147">
        <f t="shared" si="321"/>
        <v>7.1102671094762274E-2</v>
      </c>
      <c r="J106" s="147">
        <f t="shared" si="321"/>
        <v>7.6713818773520043E-2</v>
      </c>
      <c r="K106" s="147">
        <f t="shared" ref="K106:N106" si="322">K104/K12</f>
        <v>8.102264400965678E-2</v>
      </c>
      <c r="L106" s="147">
        <f t="shared" si="322"/>
        <v>8.4703062735377005E-2</v>
      </c>
      <c r="M106" s="147">
        <f t="shared" si="322"/>
        <v>8.8383015107304147E-2</v>
      </c>
      <c r="N106" s="147">
        <f t="shared" si="322"/>
        <v>9.2062774287182195E-2</v>
      </c>
      <c r="O106" s="147">
        <f>O104/O12</f>
        <v>9.5221895971527401E-2</v>
      </c>
      <c r="P106" s="147">
        <f t="shared" ref="P106:T106" si="323">P104/P12</f>
        <v>9.8340912684074785E-2</v>
      </c>
      <c r="Q106" s="147">
        <f t="shared" si="323"/>
        <v>0.10141985313599292</v>
      </c>
      <c r="R106" s="147">
        <f t="shared" si="323"/>
        <v>0.10445873665895471</v>
      </c>
      <c r="S106" s="147">
        <f t="shared" si="323"/>
        <v>0.10745757611860772</v>
      </c>
      <c r="T106" s="147">
        <f t="shared" si="323"/>
        <v>0.11041638001358407</v>
      </c>
      <c r="U106" s="134"/>
      <c r="V106" s="72"/>
      <c r="W106" s="72"/>
    </row>
    <row r="107" spans="1:50" s="12" customFormat="1" ht="14.25" customHeight="1" x14ac:dyDescent="0.3">
      <c r="B107" s="25"/>
      <c r="F107" s="134"/>
      <c r="G107" s="134"/>
      <c r="H107" s="134"/>
      <c r="I107" s="134"/>
      <c r="J107" s="134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34"/>
      <c r="V107" s="72"/>
      <c r="W107" s="72"/>
    </row>
    <row r="108" spans="1:50" s="12" customFormat="1" ht="14.25" customHeight="1" x14ac:dyDescent="0.3">
      <c r="B108" s="25" t="s">
        <v>26</v>
      </c>
      <c r="E108" s="17">
        <f t="shared" ref="E108:R108" si="324">E104/E112</f>
        <v>0.33600965451201542</v>
      </c>
      <c r="F108" s="171">
        <f t="shared" si="324"/>
        <v>0.43694808924157374</v>
      </c>
      <c r="G108" s="171">
        <f t="shared" si="324"/>
        <v>0.59907730773716628</v>
      </c>
      <c r="H108" s="171">
        <f t="shared" si="324"/>
        <v>0.58667293212189275</v>
      </c>
      <c r="I108" s="171">
        <f t="shared" si="324"/>
        <v>0.53172262959207428</v>
      </c>
      <c r="J108" s="171">
        <f t="shared" si="324"/>
        <v>0.61077414766145932</v>
      </c>
      <c r="K108" s="171">
        <f t="shared" si="324"/>
        <v>0.69116304681200091</v>
      </c>
      <c r="L108" s="171">
        <f t="shared" si="324"/>
        <v>0.80785910341800893</v>
      </c>
      <c r="M108" s="171">
        <f t="shared" si="324"/>
        <v>0.92127238656882771</v>
      </c>
      <c r="N108" s="171">
        <f t="shared" si="324"/>
        <v>1.0542526251995534</v>
      </c>
      <c r="O108" s="171">
        <f t="shared" si="324"/>
        <v>1.2024607645886161</v>
      </c>
      <c r="P108" s="171">
        <f t="shared" si="324"/>
        <v>1.3731844303122203</v>
      </c>
      <c r="Q108" s="171">
        <f t="shared" si="324"/>
        <v>1.5691010892474524</v>
      </c>
      <c r="R108" s="171">
        <f t="shared" si="324"/>
        <v>1.7933160284531124</v>
      </c>
      <c r="S108" s="171">
        <f t="shared" ref="S108:T108" si="325">S104/S112</f>
        <v>2.0493998372307622</v>
      </c>
      <c r="T108" s="171">
        <f t="shared" si="325"/>
        <v>2.3414340840026213</v>
      </c>
      <c r="U108" s="171"/>
      <c r="V108" s="85"/>
      <c r="W108" s="85"/>
    </row>
    <row r="109" spans="1:50" ht="14.25" customHeight="1" x14ac:dyDescent="0.3">
      <c r="B109" s="26" t="s">
        <v>27</v>
      </c>
      <c r="C109" s="2"/>
      <c r="D109" s="2"/>
      <c r="E109" s="8">
        <v>0.12218205023737119</v>
      </c>
      <c r="F109" s="172">
        <v>0.17370000000000002</v>
      </c>
      <c r="G109" s="172">
        <v>0.23810000000000001</v>
      </c>
      <c r="H109" s="172">
        <v>0.23809999999999998</v>
      </c>
      <c r="I109" s="172">
        <v>0.24840000000000001</v>
      </c>
      <c r="J109" s="172">
        <v>0.29089999999999999</v>
      </c>
      <c r="K109" s="173">
        <f>K108*K110</f>
        <v>0.33670758308708371</v>
      </c>
      <c r="L109" s="173">
        <f t="shared" ref="L109:N109" si="326">L108*L110</f>
        <v>0.40092496257133969</v>
      </c>
      <c r="M109" s="173">
        <f t="shared" si="326"/>
        <v>0.46723329426955362</v>
      </c>
      <c r="N109" s="173">
        <f t="shared" si="326"/>
        <v>0.5442903893140203</v>
      </c>
      <c r="O109" s="173">
        <f t="shared" ref="O109" si="327">O108*O110</f>
        <v>0.63389024869243138</v>
      </c>
      <c r="P109" s="173">
        <f t="shared" ref="P109" si="328">P108*P110</f>
        <v>0.73641244558289065</v>
      </c>
      <c r="Q109" s="173">
        <f t="shared" ref="Q109" si="329">Q108*Q110</f>
        <v>0.85855069869967271</v>
      </c>
      <c r="R109" s="173">
        <f t="shared" ref="R109:S109" si="330">R108*R110</f>
        <v>0.99758727593693264</v>
      </c>
      <c r="S109" s="173">
        <f t="shared" si="330"/>
        <v>1.162339370615203</v>
      </c>
      <c r="T109" s="173">
        <f t="shared" ref="T109" si="331">T108*T110</f>
        <v>1.6390038588018347</v>
      </c>
      <c r="U109" s="159"/>
      <c r="V109" s="86"/>
      <c r="W109" s="86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</row>
    <row r="110" spans="1:50" ht="14.25" customHeight="1" x14ac:dyDescent="0.3">
      <c r="B110" s="35" t="s">
        <v>28</v>
      </c>
      <c r="E110" s="7">
        <f t="shared" ref="E110:I110" si="332">E109/E108</f>
        <v>0.36362660595218721</v>
      </c>
      <c r="F110" s="174">
        <f t="shared" si="332"/>
        <v>0.39753005969541427</v>
      </c>
      <c r="G110" s="174">
        <f t="shared" si="332"/>
        <v>0.3974445316571093</v>
      </c>
      <c r="H110" s="174">
        <f t="shared" si="332"/>
        <v>0.40584793837144351</v>
      </c>
      <c r="I110" s="174">
        <f t="shared" si="332"/>
        <v>0.4671608582665871</v>
      </c>
      <c r="J110" s="174">
        <f>J109/J108</f>
        <v>0.47628080054436162</v>
      </c>
      <c r="K110" s="175">
        <f>I110+2%</f>
        <v>0.48716085826658712</v>
      </c>
      <c r="L110" s="175">
        <f t="shared" ref="L110:S110" si="333">J110+2%</f>
        <v>0.49628080054436163</v>
      </c>
      <c r="M110" s="175">
        <f t="shared" si="333"/>
        <v>0.50716085826658708</v>
      </c>
      <c r="N110" s="175">
        <f t="shared" si="333"/>
        <v>0.51628080054436165</v>
      </c>
      <c r="O110" s="175">
        <f t="shared" si="333"/>
        <v>0.5271608582665871</v>
      </c>
      <c r="P110" s="175">
        <f t="shared" si="333"/>
        <v>0.53628080054436167</v>
      </c>
      <c r="Q110" s="175">
        <f t="shared" si="333"/>
        <v>0.54716085826658711</v>
      </c>
      <c r="R110" s="175">
        <f t="shared" si="333"/>
        <v>0.55628080054436169</v>
      </c>
      <c r="S110" s="175">
        <f t="shared" si="333"/>
        <v>0.56716085826658713</v>
      </c>
      <c r="T110" s="176">
        <f>$D$125</f>
        <v>0.7</v>
      </c>
      <c r="U110" s="177"/>
      <c r="V110" s="87"/>
      <c r="W110" s="87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</row>
    <row r="111" spans="1:50" s="12" customFormat="1" ht="14.25" customHeight="1" x14ac:dyDescent="0.3">
      <c r="B111" s="25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134"/>
      <c r="Q111" s="134"/>
      <c r="R111" s="134"/>
      <c r="S111" s="134"/>
      <c r="T111" s="134"/>
      <c r="U111" s="134"/>
      <c r="V111" s="72"/>
      <c r="W111" s="72"/>
    </row>
    <row r="112" spans="1:50" ht="14.25" customHeight="1" x14ac:dyDescent="0.3">
      <c r="B112" s="26" t="s">
        <v>29</v>
      </c>
      <c r="C112" s="2"/>
      <c r="D112" s="2"/>
      <c r="E112" s="5">
        <v>1830.0069410000001</v>
      </c>
      <c r="F112" s="139">
        <v>1832.620441</v>
      </c>
      <c r="G112" s="139">
        <v>1834.4844410000001</v>
      </c>
      <c r="H112" s="139">
        <v>1836.031528</v>
      </c>
      <c r="I112" s="139">
        <v>1836.1829</v>
      </c>
      <c r="J112" s="139">
        <v>1836.488994</v>
      </c>
      <c r="K112" s="178">
        <f>J112</f>
        <v>1836.488994</v>
      </c>
      <c r="L112" s="178">
        <f t="shared" ref="L112:N113" si="334">K112</f>
        <v>1836.488994</v>
      </c>
      <c r="M112" s="178">
        <f t="shared" si="334"/>
        <v>1836.488994</v>
      </c>
      <c r="N112" s="178">
        <f t="shared" si="334"/>
        <v>1836.488994</v>
      </c>
      <c r="O112" s="178">
        <f t="shared" ref="O112:R112" si="335">N112</f>
        <v>1836.488994</v>
      </c>
      <c r="P112" s="178">
        <f t="shared" si="335"/>
        <v>1836.488994</v>
      </c>
      <c r="Q112" s="178">
        <f t="shared" si="335"/>
        <v>1836.488994</v>
      </c>
      <c r="R112" s="178">
        <f t="shared" si="335"/>
        <v>1836.488994</v>
      </c>
      <c r="S112" s="178">
        <f t="shared" ref="S112:S113" si="336">R112</f>
        <v>1836.488994</v>
      </c>
      <c r="T112" s="178">
        <f t="shared" ref="T112:T113" si="337">S112</f>
        <v>1836.488994</v>
      </c>
      <c r="U112" s="179"/>
      <c r="V112" s="75"/>
      <c r="W112" s="75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</row>
    <row r="113" spans="2:50" ht="14.25" customHeight="1" x14ac:dyDescent="0.3">
      <c r="B113" s="26" t="s">
        <v>30</v>
      </c>
      <c r="C113" s="2"/>
      <c r="D113" s="2"/>
      <c r="E113" s="5">
        <v>1830.0069410000001</v>
      </c>
      <c r="F113" s="139">
        <v>1832.620441</v>
      </c>
      <c r="G113" s="139">
        <v>1834.4844410000001</v>
      </c>
      <c r="H113" s="139">
        <v>1836.031528</v>
      </c>
      <c r="I113" s="139">
        <v>1836.1829</v>
      </c>
      <c r="J113" s="139">
        <v>1836.488994</v>
      </c>
      <c r="K113" s="178">
        <f>J113</f>
        <v>1836.488994</v>
      </c>
      <c r="L113" s="178">
        <f t="shared" si="334"/>
        <v>1836.488994</v>
      </c>
      <c r="M113" s="178">
        <f t="shared" si="334"/>
        <v>1836.488994</v>
      </c>
      <c r="N113" s="178">
        <f t="shared" si="334"/>
        <v>1836.488994</v>
      </c>
      <c r="O113" s="178">
        <f t="shared" ref="O113:R113" si="338">N113</f>
        <v>1836.488994</v>
      </c>
      <c r="P113" s="178">
        <f t="shared" si="338"/>
        <v>1836.488994</v>
      </c>
      <c r="Q113" s="178">
        <f t="shared" si="338"/>
        <v>1836.488994</v>
      </c>
      <c r="R113" s="178">
        <f t="shared" si="338"/>
        <v>1836.488994</v>
      </c>
      <c r="S113" s="178">
        <f t="shared" si="336"/>
        <v>1836.488994</v>
      </c>
      <c r="T113" s="178">
        <f t="shared" si="337"/>
        <v>1836.488994</v>
      </c>
      <c r="U113" s="179"/>
      <c r="V113" s="75"/>
      <c r="W113" s="75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</row>
    <row r="114" spans="2:50" s="12" customFormat="1" ht="14.25" customHeight="1" x14ac:dyDescent="0.3">
      <c r="B114" s="25"/>
      <c r="F114" s="134"/>
      <c r="G114" s="134"/>
      <c r="H114" s="134"/>
      <c r="I114" s="134"/>
      <c r="J114" s="134"/>
      <c r="K114" s="134"/>
      <c r="L114" s="134"/>
      <c r="M114" s="134"/>
      <c r="N114" s="134"/>
      <c r="O114" s="134"/>
      <c r="P114" s="134"/>
      <c r="Q114" s="134"/>
      <c r="R114" s="134"/>
      <c r="S114" s="134"/>
      <c r="T114" s="134"/>
      <c r="U114" s="134"/>
      <c r="V114" s="72"/>
      <c r="W114" s="72"/>
    </row>
    <row r="115" spans="2:50" ht="14.25" customHeight="1" x14ac:dyDescent="0.3">
      <c r="B115" s="26" t="s">
        <v>32</v>
      </c>
      <c r="C115" s="2"/>
      <c r="D115" s="2"/>
      <c r="E115" s="5">
        <v>724.27300000000002</v>
      </c>
      <c r="F115" s="139">
        <v>1159.0650000000001</v>
      </c>
      <c r="G115" s="139">
        <v>-100.9</v>
      </c>
      <c r="H115" s="139">
        <v>1233.1030000000001</v>
      </c>
      <c r="I115" s="139">
        <v>2103.875</v>
      </c>
      <c r="J115" s="139">
        <v>2267.6460000000002</v>
      </c>
      <c r="K115" s="140">
        <f t="shared" ref="K115:R115" si="339">K116*(K83+K98+K102)</f>
        <v>1758.4974684785559</v>
      </c>
      <c r="L115" s="140">
        <f t="shared" si="339"/>
        <v>2021.028874103454</v>
      </c>
      <c r="M115" s="140">
        <f t="shared" si="339"/>
        <v>2268.7784947632226</v>
      </c>
      <c r="N115" s="140">
        <f t="shared" si="339"/>
        <v>2558.3652372043284</v>
      </c>
      <c r="O115" s="140">
        <f t="shared" si="339"/>
        <v>2883.5776672331535</v>
      </c>
      <c r="P115" s="140">
        <f t="shared" si="339"/>
        <v>3256.6153575199282</v>
      </c>
      <c r="Q115" s="140">
        <f t="shared" si="339"/>
        <v>3682.7226060537346</v>
      </c>
      <c r="R115" s="140">
        <f t="shared" si="339"/>
        <v>4168.0435023356986</v>
      </c>
      <c r="S115" s="140">
        <f t="shared" ref="S115" si="340">S116*(S83+S98+S102)</f>
        <v>4719.6799498469645</v>
      </c>
      <c r="T115" s="140">
        <f t="shared" ref="T115" si="341">T116*(T83+T98+T102)</f>
        <v>5345.7697375585003</v>
      </c>
      <c r="V115" s="75"/>
      <c r="W115" s="75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</row>
    <row r="116" spans="2:50" s="12" customFormat="1" ht="14.25" customHeight="1" x14ac:dyDescent="0.3">
      <c r="B116" s="34" t="s">
        <v>33</v>
      </c>
      <c r="E116" s="16">
        <f t="shared" ref="E116:I116" si="342">(E115-E98-E102)/E83</f>
        <v>0.78131299230127815</v>
      </c>
      <c r="F116" s="147">
        <f t="shared" si="342"/>
        <v>0.96365246610283029</v>
      </c>
      <c r="G116" s="147">
        <f t="shared" si="342"/>
        <v>-1.3132757293693073E-2</v>
      </c>
      <c r="H116" s="147">
        <f t="shared" si="342"/>
        <v>0.79008594603273807</v>
      </c>
      <c r="I116" s="147">
        <f t="shared" si="342"/>
        <v>1.2820945598724638</v>
      </c>
      <c r="J116" s="147">
        <f>(J115-J98-J102)/J83</f>
        <v>1.1802158459128695</v>
      </c>
      <c r="K116" s="177">
        <v>0.85</v>
      </c>
      <c r="L116" s="177">
        <v>0.85</v>
      </c>
      <c r="M116" s="177">
        <v>0.85</v>
      </c>
      <c r="N116" s="177">
        <v>0.85</v>
      </c>
      <c r="O116" s="177">
        <v>0.85</v>
      </c>
      <c r="P116" s="177">
        <v>0.85</v>
      </c>
      <c r="Q116" s="177">
        <v>0.85</v>
      </c>
      <c r="R116" s="177">
        <v>0.85</v>
      </c>
      <c r="S116" s="177">
        <v>0.85</v>
      </c>
      <c r="T116" s="177">
        <v>0.85</v>
      </c>
      <c r="U116" s="177"/>
      <c r="V116" s="83"/>
      <c r="W116" s="83"/>
    </row>
    <row r="117" spans="2:50" ht="14.25" customHeight="1" x14ac:dyDescent="0.3">
      <c r="B117" s="30" t="s">
        <v>79</v>
      </c>
      <c r="C117" s="10"/>
      <c r="D117" s="10"/>
      <c r="E117" s="11">
        <v>-456.608</v>
      </c>
      <c r="F117" s="180">
        <v>-458.928</v>
      </c>
      <c r="G117" s="180">
        <v>-746.5</v>
      </c>
      <c r="H117" s="180">
        <v>-580.99</v>
      </c>
      <c r="I117" s="180">
        <v>-501.57299999999998</v>
      </c>
      <c r="J117" s="180">
        <v>-291.50299999999999</v>
      </c>
      <c r="K117" s="181">
        <f t="shared" ref="K117:R117" si="343">K87</f>
        <v>-799.507222621496</v>
      </c>
      <c r="L117" s="181">
        <f t="shared" si="343"/>
        <v>-894.05667622712349</v>
      </c>
      <c r="M117" s="181">
        <f t="shared" si="343"/>
        <v>-977.24457189990767</v>
      </c>
      <c r="N117" s="181">
        <f t="shared" si="343"/>
        <v>-1073.7181124599174</v>
      </c>
      <c r="O117" s="181">
        <f t="shared" si="343"/>
        <v>-1184.1383545081271</v>
      </c>
      <c r="P117" s="181">
        <f t="shared" si="343"/>
        <v>-1309.4740923170102</v>
      </c>
      <c r="Q117" s="181">
        <f t="shared" si="343"/>
        <v>-1450.9779497750933</v>
      </c>
      <c r="R117" s="181">
        <f t="shared" si="343"/>
        <v>-1610.1754419652427</v>
      </c>
      <c r="S117" s="181">
        <f t="shared" ref="S117:T117" si="344">S87</f>
        <v>-1788.8644014990959</v>
      </c>
      <c r="T117" s="181">
        <f t="shared" si="344"/>
        <v>-1989.1229422685976</v>
      </c>
      <c r="V117" s="88"/>
      <c r="W117" s="88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</row>
    <row r="118" spans="2:50" ht="14.25" customHeight="1" x14ac:dyDescent="0.3">
      <c r="B118" s="29" t="s">
        <v>35</v>
      </c>
      <c r="E118" s="1">
        <f>E115+E117</f>
        <v>267.66500000000002</v>
      </c>
      <c r="F118" s="182">
        <f t="shared" ref="F118:N118" si="345">F115+F117</f>
        <v>700.13700000000006</v>
      </c>
      <c r="G118" s="182">
        <f t="shared" si="345"/>
        <v>-847.4</v>
      </c>
      <c r="H118" s="182">
        <f t="shared" si="345"/>
        <v>652.11300000000006</v>
      </c>
      <c r="I118" s="182">
        <f t="shared" si="345"/>
        <v>1602.3020000000001</v>
      </c>
      <c r="J118" s="182">
        <f t="shared" si="345"/>
        <v>1976.1430000000003</v>
      </c>
      <c r="K118" s="182">
        <f t="shared" si="345"/>
        <v>958.9902458570599</v>
      </c>
      <c r="L118" s="182">
        <f t="shared" si="345"/>
        <v>1126.9721978763305</v>
      </c>
      <c r="M118" s="182">
        <f t="shared" si="345"/>
        <v>1291.533922863315</v>
      </c>
      <c r="N118" s="182">
        <f t="shared" si="345"/>
        <v>1484.647124744411</v>
      </c>
      <c r="O118" s="182">
        <f t="shared" ref="O118" si="346">O115+O117</f>
        <v>1699.4393127250264</v>
      </c>
      <c r="P118" s="182">
        <f t="shared" ref="P118" si="347">P115+P117</f>
        <v>1947.141265202918</v>
      </c>
      <c r="Q118" s="182">
        <f t="shared" ref="Q118" si="348">Q115+Q117</f>
        <v>2231.7446562786413</v>
      </c>
      <c r="R118" s="182">
        <f t="shared" ref="R118:S118" si="349">R115+R117</f>
        <v>2557.8680603704561</v>
      </c>
      <c r="S118" s="182">
        <f t="shared" si="349"/>
        <v>2930.8155483478686</v>
      </c>
      <c r="T118" s="182">
        <f t="shared" ref="T118" si="350">T115+T117</f>
        <v>3356.6467952899029</v>
      </c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</row>
    <row r="119" spans="2:50" s="12" customFormat="1" ht="14.25" customHeight="1" x14ac:dyDescent="0.3">
      <c r="B119" s="25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72"/>
      <c r="W119" s="72"/>
    </row>
    <row r="120" spans="2:50" ht="14.25" customHeight="1" x14ac:dyDescent="0.3">
      <c r="B120" s="26" t="s">
        <v>34</v>
      </c>
      <c r="C120" s="2"/>
      <c r="D120" s="2"/>
      <c r="E120" s="5">
        <v>75.187000000000126</v>
      </c>
      <c r="F120" s="139">
        <v>-208.44200000000001</v>
      </c>
      <c r="G120" s="139">
        <v>1406.586</v>
      </c>
      <c r="H120" s="139">
        <v>1722.0189999999996</v>
      </c>
      <c r="I120" s="139">
        <v>997.88199999999983</v>
      </c>
      <c r="J120" s="139">
        <v>41.15300000000002</v>
      </c>
      <c r="K120" s="140"/>
      <c r="L120" s="140"/>
      <c r="M120" s="140"/>
      <c r="N120" s="140"/>
      <c r="O120" s="140"/>
      <c r="P120" s="140"/>
      <c r="Q120" s="140"/>
      <c r="R120" s="140"/>
      <c r="S120" s="140"/>
      <c r="T120" s="140"/>
      <c r="V120" s="75"/>
      <c r="W120" s="75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</row>
    <row r="121" spans="2:50" s="12" customFormat="1" ht="14.25" customHeight="1" x14ac:dyDescent="0.3">
      <c r="B121" s="25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72"/>
      <c r="W121" s="72"/>
    </row>
    <row r="122" spans="2:50" s="12" customFormat="1" x14ac:dyDescent="0.3">
      <c r="B122" s="50" t="s">
        <v>48</v>
      </c>
      <c r="F122" s="134"/>
      <c r="G122" s="134"/>
      <c r="H122" s="134"/>
      <c r="I122" s="134"/>
      <c r="J122" s="134"/>
      <c r="K122" s="134"/>
      <c r="L122" s="134"/>
      <c r="M122" s="134"/>
      <c r="N122" s="134"/>
      <c r="O122" s="134"/>
      <c r="P122" s="134"/>
      <c r="Q122" s="134"/>
      <c r="R122" s="134"/>
      <c r="S122" s="134"/>
      <c r="T122" s="134"/>
      <c r="U122" s="134"/>
      <c r="V122" s="72"/>
      <c r="W122" s="72"/>
    </row>
    <row r="123" spans="2:50" s="12" customFormat="1" x14ac:dyDescent="0.3">
      <c r="B123" s="25" t="s">
        <v>42</v>
      </c>
      <c r="C123" s="49"/>
      <c r="D123" s="49">
        <v>1</v>
      </c>
      <c r="F123" s="134"/>
      <c r="G123" s="134"/>
      <c r="H123" s="134"/>
      <c r="I123" s="134"/>
      <c r="J123" s="134"/>
      <c r="K123" s="134"/>
      <c r="L123" s="134"/>
      <c r="M123" s="134"/>
      <c r="N123" s="134"/>
      <c r="O123" s="134"/>
      <c r="P123" s="134"/>
      <c r="Q123" s="134"/>
      <c r="R123" s="134"/>
      <c r="S123" s="134"/>
      <c r="T123" s="134"/>
      <c r="U123" s="134"/>
      <c r="V123" s="72"/>
      <c r="W123" s="72"/>
    </row>
    <row r="124" spans="2:50" s="12" customFormat="1" x14ac:dyDescent="0.3">
      <c r="B124" s="25" t="s">
        <v>85</v>
      </c>
      <c r="C124" s="49"/>
      <c r="D124" s="70">
        <f>4%+6%*D123</f>
        <v>0.1</v>
      </c>
      <c r="F124" s="134"/>
      <c r="G124" s="134"/>
      <c r="H124" s="134"/>
      <c r="I124" s="134"/>
      <c r="J124" s="134"/>
      <c r="K124" s="134"/>
      <c r="L124" s="134"/>
      <c r="M124" s="134"/>
      <c r="N124" s="134"/>
      <c r="O124" s="134"/>
      <c r="P124" s="134"/>
      <c r="Q124" s="134"/>
      <c r="R124" s="134"/>
      <c r="S124" s="134"/>
      <c r="T124" s="134"/>
      <c r="U124" s="134"/>
      <c r="V124" s="72"/>
      <c r="W124" s="72"/>
    </row>
    <row r="125" spans="2:50" s="12" customFormat="1" x14ac:dyDescent="0.3">
      <c r="B125" s="25" t="s">
        <v>43</v>
      </c>
      <c r="C125" s="18"/>
      <c r="D125" s="18">
        <v>0.7</v>
      </c>
      <c r="F125" s="134"/>
      <c r="G125" s="134"/>
      <c r="H125" s="134"/>
      <c r="I125" s="134"/>
      <c r="J125" s="134"/>
      <c r="K125" s="134"/>
      <c r="L125" s="134"/>
      <c r="M125" s="134"/>
      <c r="N125" s="134"/>
      <c r="O125" s="134"/>
      <c r="P125" s="134"/>
      <c r="Q125" s="134"/>
      <c r="R125" s="134"/>
      <c r="S125" s="134"/>
      <c r="T125" s="134"/>
      <c r="U125" s="134"/>
      <c r="V125" s="72"/>
      <c r="W125" s="72"/>
    </row>
    <row r="126" spans="2:50" s="12" customFormat="1" x14ac:dyDescent="0.3">
      <c r="B126" s="25" t="s">
        <v>45</v>
      </c>
      <c r="C126" s="18"/>
      <c r="D126" s="18">
        <v>0.2</v>
      </c>
      <c r="F126" s="134"/>
      <c r="G126" s="134"/>
      <c r="H126" s="134"/>
      <c r="I126" s="134"/>
      <c r="J126" s="134"/>
      <c r="K126" s="134"/>
      <c r="L126" s="134"/>
      <c r="M126" s="134"/>
      <c r="N126" s="134"/>
      <c r="O126" s="134"/>
      <c r="P126" s="134"/>
      <c r="Q126" s="134"/>
      <c r="R126" s="134"/>
      <c r="S126" s="134"/>
      <c r="T126" s="134"/>
      <c r="U126" s="134"/>
      <c r="V126" s="72"/>
      <c r="W126" s="72"/>
    </row>
    <row r="127" spans="2:50" s="12" customFormat="1" x14ac:dyDescent="0.3">
      <c r="B127" s="25" t="s">
        <v>44</v>
      </c>
      <c r="C127" s="16"/>
      <c r="D127" s="16">
        <f>D126*(1-D125)</f>
        <v>6.0000000000000012E-2</v>
      </c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72"/>
      <c r="W127" s="72"/>
    </row>
    <row r="128" spans="2:50" s="12" customFormat="1" x14ac:dyDescent="0.3">
      <c r="B128" s="25" t="s">
        <v>46</v>
      </c>
      <c r="C128" s="16"/>
      <c r="D128" s="22"/>
      <c r="E128" s="96"/>
      <c r="F128" s="134"/>
      <c r="G128" s="134"/>
      <c r="H128" s="134"/>
      <c r="I128" s="134"/>
      <c r="J128" s="134"/>
      <c r="K128" s="183">
        <f t="shared" ref="K128:R128" si="351">1/(1+0.1)^(K3-$J$3)</f>
        <v>0.90909090909090906</v>
      </c>
      <c r="L128" s="183">
        <f t="shared" si="351"/>
        <v>0.82644628099173545</v>
      </c>
      <c r="M128" s="183">
        <f t="shared" si="351"/>
        <v>0.75131480090157754</v>
      </c>
      <c r="N128" s="183">
        <f t="shared" si="351"/>
        <v>0.68301345536507052</v>
      </c>
      <c r="O128" s="183">
        <f t="shared" si="351"/>
        <v>0.62092132305915493</v>
      </c>
      <c r="P128" s="183">
        <f t="shared" si="351"/>
        <v>0.56447393005377722</v>
      </c>
      <c r="Q128" s="183">
        <f t="shared" si="351"/>
        <v>0.51315811823070645</v>
      </c>
      <c r="R128" s="183">
        <f t="shared" si="351"/>
        <v>0.46650738020973315</v>
      </c>
      <c r="S128" s="183">
        <f t="shared" ref="S128:T128" si="352">1/(1+0.1)^(S3-$J$3)</f>
        <v>0.42409761837248466</v>
      </c>
      <c r="T128" s="183">
        <f t="shared" si="352"/>
        <v>0.38554328942953148</v>
      </c>
      <c r="U128" s="183"/>
      <c r="V128" s="90"/>
      <c r="W128" s="90"/>
    </row>
    <row r="129" spans="2:36" s="12" customFormat="1" ht="15" thickBot="1" x14ac:dyDescent="0.35">
      <c r="B129" s="51" t="s">
        <v>47</v>
      </c>
      <c r="C129" s="52"/>
      <c r="D129" s="52" t="s">
        <v>65</v>
      </c>
      <c r="E129" s="53">
        <f>SUM(K129:T129)</f>
        <v>20.945859567183469</v>
      </c>
      <c r="F129" s="184"/>
      <c r="G129" s="184"/>
      <c r="H129" s="184"/>
      <c r="I129" s="184"/>
      <c r="J129" s="184"/>
      <c r="K129" s="185">
        <f>K109*K128</f>
        <v>0.30609780280643972</v>
      </c>
      <c r="L129" s="185">
        <f t="shared" ref="L129:N129" si="353">L109*L128</f>
        <v>0.33134294427383443</v>
      </c>
      <c r="M129" s="185">
        <f t="shared" si="353"/>
        <v>0.35103928945871787</v>
      </c>
      <c r="N129" s="185">
        <f t="shared" si="353"/>
        <v>0.37175765952736844</v>
      </c>
      <c r="O129" s="185">
        <f t="shared" ref="O129" si="354">O109*O128</f>
        <v>0.39359597189240125</v>
      </c>
      <c r="P129" s="185">
        <f t="shared" ref="P129:S129" si="355">P109*P128</f>
        <v>0.41568562729868763</v>
      </c>
      <c r="Q129" s="185">
        <f t="shared" si="355"/>
        <v>0.44057226095038227</v>
      </c>
      <c r="R129" s="185">
        <f t="shared" si="355"/>
        <v>0.46538182662790262</v>
      </c>
      <c r="S129" s="185">
        <f t="shared" si="355"/>
        <v>0.49294535881848039</v>
      </c>
      <c r="T129" s="186">
        <f>(T109+(T109*(1+D127))/($D$124-D127))*T128</f>
        <v>17.377440825529256</v>
      </c>
      <c r="U129" s="187"/>
      <c r="V129" s="91"/>
      <c r="W129" s="91"/>
    </row>
    <row r="130" spans="2:36" s="12" customFormat="1" ht="15" thickBot="1" x14ac:dyDescent="0.35">
      <c r="B130" s="51" t="s">
        <v>47</v>
      </c>
      <c r="C130" s="52"/>
      <c r="D130" s="54" t="s">
        <v>84</v>
      </c>
      <c r="E130" s="53">
        <f>E129*7.8</f>
        <v>163.37770462403105</v>
      </c>
      <c r="F130" s="188">
        <f>E130/E131-1</f>
        <v>0.63214490133897172</v>
      </c>
      <c r="G130" s="134"/>
      <c r="H130" s="134"/>
      <c r="I130" s="134"/>
      <c r="J130" s="134"/>
      <c r="K130" s="187"/>
      <c r="L130" s="187"/>
      <c r="M130" s="187"/>
      <c r="N130" s="187"/>
      <c r="O130" s="187"/>
      <c r="P130" s="187"/>
      <c r="Q130" s="187"/>
      <c r="R130" s="187"/>
      <c r="S130" s="187"/>
      <c r="T130" s="187"/>
      <c r="U130" s="187"/>
      <c r="V130" s="85"/>
      <c r="W130" s="85"/>
    </row>
    <row r="131" spans="2:36" s="12" customFormat="1" x14ac:dyDescent="0.3">
      <c r="B131" s="32" t="s">
        <v>55</v>
      </c>
      <c r="C131" s="54"/>
      <c r="D131" s="54" t="s">
        <v>84</v>
      </c>
      <c r="E131" s="55">
        <v>100.1</v>
      </c>
      <c r="F131" s="134"/>
      <c r="G131" s="134"/>
      <c r="H131" s="134"/>
      <c r="I131" s="134"/>
      <c r="J131" s="134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  <c r="U131" s="187"/>
      <c r="V131" s="85"/>
      <c r="W131" s="85"/>
    </row>
    <row r="132" spans="2:36" s="12" customFormat="1" x14ac:dyDescent="0.3">
      <c r="B132" s="25" t="s">
        <v>49</v>
      </c>
      <c r="F132" s="134"/>
      <c r="G132" s="134"/>
      <c r="H132" s="134"/>
      <c r="I132" s="134"/>
      <c r="J132" s="134"/>
      <c r="K132" s="171">
        <f>$E$129/K108</f>
        <v>30.305236461637431</v>
      </c>
      <c r="L132" s="171">
        <f>$E$129/L108</f>
        <v>25.927614702319563</v>
      </c>
      <c r="M132" s="171">
        <f>$E$129/M108</f>
        <v>22.735794399736537</v>
      </c>
      <c r="N132" s="171">
        <f>$E$129/N108</f>
        <v>19.867970035378139</v>
      </c>
      <c r="O132" s="171">
        <f>$E$129/O108</f>
        <v>17.419162590597651</v>
      </c>
      <c r="P132" s="171">
        <f t="shared" ref="P132:T132" si="356">$E$129/P108</f>
        <v>15.253493343513238</v>
      </c>
      <c r="Q132" s="171">
        <f t="shared" si="356"/>
        <v>13.348954831985486</v>
      </c>
      <c r="R132" s="171">
        <f t="shared" si="356"/>
        <v>11.679960048787972</v>
      </c>
      <c r="S132" s="171">
        <f t="shared" si="356"/>
        <v>10.220484644658907</v>
      </c>
      <c r="T132" s="171">
        <f t="shared" si="356"/>
        <v>8.9457395833996998</v>
      </c>
      <c r="U132" s="171"/>
      <c r="V132" s="85"/>
      <c r="W132" s="85"/>
    </row>
    <row r="133" spans="2:36" s="12" customFormat="1" x14ac:dyDescent="0.3">
      <c r="B133" s="25" t="s">
        <v>50</v>
      </c>
      <c r="F133" s="134"/>
      <c r="G133" s="134"/>
      <c r="H133" s="134"/>
      <c r="I133" s="134"/>
      <c r="J133" s="134"/>
      <c r="K133" s="171">
        <f t="shared" ref="K133:T133" si="357">($E$129*K$113+$J$120)/K$83</f>
        <v>17.381569128816231</v>
      </c>
      <c r="L133" s="171">
        <f t="shared" si="357"/>
        <v>15.117570598212069</v>
      </c>
      <c r="M133" s="171">
        <f t="shared" si="357"/>
        <v>13.461528963400031</v>
      </c>
      <c r="N133" s="171">
        <f t="shared" si="357"/>
        <v>11.933397918541454</v>
      </c>
      <c r="O133" s="171">
        <f t="shared" si="357"/>
        <v>10.546305827035555</v>
      </c>
      <c r="P133" s="171">
        <f t="shared" si="357"/>
        <v>9.3010565423314073</v>
      </c>
      <c r="Q133" s="171">
        <f t="shared" si="357"/>
        <v>8.1914317993188845</v>
      </c>
      <c r="R133" s="171">
        <f t="shared" si="357"/>
        <v>7.2076175114172543</v>
      </c>
      <c r="S133" s="171">
        <f t="shared" si="357"/>
        <v>6.3383057846842608</v>
      </c>
      <c r="T133" s="171">
        <f t="shared" si="357"/>
        <v>5.5719247820364934</v>
      </c>
      <c r="U133" s="171"/>
      <c r="V133" s="85"/>
      <c r="W133" s="85"/>
    </row>
    <row r="134" spans="2:36" s="12" customFormat="1" x14ac:dyDescent="0.3">
      <c r="B134" s="25" t="s">
        <v>64</v>
      </c>
      <c r="F134" s="134"/>
      <c r="G134" s="134"/>
      <c r="H134" s="134"/>
      <c r="I134" s="134"/>
      <c r="J134" s="134"/>
      <c r="K134" s="171">
        <f t="shared" ref="K134:T134" si="358">($E$129*K$113+$J$120)/K$12</f>
        <v>2.4580372584263745</v>
      </c>
      <c r="L134" s="171">
        <f t="shared" si="358"/>
        <v>2.1984978812644336</v>
      </c>
      <c r="M134" s="171">
        <f t="shared" si="358"/>
        <v>2.0116078394673051</v>
      </c>
      <c r="N134" s="171">
        <f t="shared" si="358"/>
        <v>1.8310572683852375</v>
      </c>
      <c r="O134" s="171">
        <f t="shared" si="358"/>
        <v>1.6604602006833264</v>
      </c>
      <c r="P134" s="171">
        <f t="shared" si="358"/>
        <v>1.5016472482216368</v>
      </c>
      <c r="Q134" s="171">
        <f t="shared" si="358"/>
        <v>1.355297427598352</v>
      </c>
      <c r="R134" s="171">
        <f t="shared" si="358"/>
        <v>1.2213791431858143</v>
      </c>
      <c r="S134" s="171">
        <f t="shared" si="358"/>
        <v>1.099443467838821</v>
      </c>
      <c r="T134" s="171">
        <f t="shared" si="358"/>
        <v>0.98881291305120167</v>
      </c>
      <c r="U134" s="171"/>
      <c r="V134" s="85"/>
      <c r="W134" s="85"/>
    </row>
    <row r="135" spans="2:36" s="12" customFormat="1" x14ac:dyDescent="0.3">
      <c r="B135" s="25"/>
      <c r="F135" s="171">
        <f>4500/L12</f>
        <v>0.25691394304899373</v>
      </c>
      <c r="G135" s="134"/>
      <c r="H135" s="134"/>
      <c r="I135" s="134"/>
      <c r="J135" s="134"/>
      <c r="K135" s="134"/>
      <c r="L135" s="134"/>
      <c r="M135" s="134"/>
      <c r="N135" s="134"/>
      <c r="O135" s="134"/>
      <c r="P135" s="134"/>
      <c r="Q135" s="134"/>
      <c r="R135" s="134"/>
      <c r="S135" s="134"/>
      <c r="T135" s="134"/>
      <c r="U135" s="134"/>
      <c r="V135" s="72"/>
      <c r="W135" s="72"/>
    </row>
    <row r="136" spans="2:36" s="12" customFormat="1" x14ac:dyDescent="0.3">
      <c r="B136" s="57" t="s">
        <v>56</v>
      </c>
      <c r="C136" s="6"/>
      <c r="D136" s="6"/>
      <c r="E136" s="6"/>
      <c r="F136" s="140"/>
      <c r="G136" s="140"/>
      <c r="H136" s="140"/>
      <c r="I136" s="140"/>
      <c r="J136" s="140"/>
      <c r="K136" s="140"/>
      <c r="L136" s="140"/>
      <c r="M136" s="140"/>
      <c r="N136" s="140" t="s">
        <v>68</v>
      </c>
      <c r="O136" s="140" t="s">
        <v>68</v>
      </c>
      <c r="P136" s="140" t="s">
        <v>68</v>
      </c>
      <c r="Q136" s="140" t="s">
        <v>69</v>
      </c>
      <c r="R136" s="140" t="s">
        <v>69</v>
      </c>
      <c r="S136" s="140" t="s">
        <v>69</v>
      </c>
      <c r="T136" s="140"/>
      <c r="U136" s="134"/>
      <c r="V136" s="75"/>
      <c r="W136" s="75"/>
    </row>
    <row r="137" spans="2:36" s="12" customFormat="1" x14ac:dyDescent="0.3">
      <c r="B137" s="58" t="s">
        <v>1</v>
      </c>
      <c r="C137" s="6"/>
      <c r="D137" s="6"/>
      <c r="E137" s="6"/>
      <c r="F137" s="140"/>
      <c r="G137" s="140"/>
      <c r="H137" s="140"/>
      <c r="I137" s="140"/>
      <c r="J137" s="140"/>
      <c r="K137" s="189">
        <f>AVERAGE(N137,Q137)</f>
        <v>15449.481501395916</v>
      </c>
      <c r="L137" s="189">
        <f t="shared" ref="L137:M137" si="359">AVERAGE(O137,R137)</f>
        <v>16622.36760965591</v>
      </c>
      <c r="M137" s="189">
        <f t="shared" si="359"/>
        <v>17998.838316076668</v>
      </c>
      <c r="N137" s="178">
        <v>15515.321660000001</v>
      </c>
      <c r="O137" s="178">
        <v>16768.365115600005</v>
      </c>
      <c r="P137" s="178">
        <v>18158.116790686006</v>
      </c>
      <c r="Q137" s="178">
        <v>15383.641342791829</v>
      </c>
      <c r="R137" s="178">
        <v>16476.370103711815</v>
      </c>
      <c r="S137" s="178">
        <v>17839.55984146733</v>
      </c>
      <c r="T137" s="178"/>
      <c r="U137" s="179"/>
      <c r="V137" s="75"/>
      <c r="W137" s="75"/>
      <c r="AG137" s="12">
        <f t="shared" ref="AG137:AH137" si="360">AG141</f>
        <v>8742.1705148570181</v>
      </c>
      <c r="AH137" s="12">
        <f t="shared" si="360"/>
        <v>8773.4222419823654</v>
      </c>
      <c r="AI137" s="12">
        <f>AI141</f>
        <v>9542.5550617644494</v>
      </c>
      <c r="AJ137" s="12">
        <f>INDEX($E137:$T137,MATCH(AJ$2,$E$2:$T$2,0))-SUM(AG137:AI137)</f>
        <v>-9059.3095025271614</v>
      </c>
    </row>
    <row r="138" spans="2:36" s="12" customFormat="1" x14ac:dyDescent="0.3">
      <c r="B138" s="58" t="s">
        <v>20</v>
      </c>
      <c r="C138" s="6"/>
      <c r="D138" s="6"/>
      <c r="E138" s="6"/>
      <c r="F138" s="140"/>
      <c r="G138" s="140"/>
      <c r="H138" s="140"/>
      <c r="I138" s="140"/>
      <c r="J138" s="140"/>
      <c r="K138" s="189">
        <f t="shared" ref="K138:K139" si="361">AVERAGE(N138,Q138)</f>
        <v>1372.5826610139879</v>
      </c>
      <c r="L138" s="189">
        <f t="shared" ref="L138:L139" si="362">AVERAGE(O138,R138)</f>
        <v>1548.0334862822338</v>
      </c>
      <c r="M138" s="189">
        <f t="shared" ref="M138:M139" si="363">AVERAGE(P138,S138)</f>
        <v>1733.6434730257806</v>
      </c>
      <c r="N138" s="178">
        <v>1361.4522588370774</v>
      </c>
      <c r="O138" s="178">
        <v>1491.1114943859193</v>
      </c>
      <c r="P138" s="178">
        <v>1650.1592853357306</v>
      </c>
      <c r="Q138" s="178">
        <v>1383.7130631908985</v>
      </c>
      <c r="R138" s="178">
        <v>1604.9554781785482</v>
      </c>
      <c r="S138" s="178">
        <v>1817.1276607158306</v>
      </c>
      <c r="T138" s="178"/>
      <c r="U138" s="179"/>
      <c r="V138" s="75"/>
      <c r="W138" s="75"/>
      <c r="AG138" s="12">
        <f t="shared" ref="AG138:AI139" si="364">AG142</f>
        <v>1220.5040397108678</v>
      </c>
      <c r="AH138" s="12">
        <f t="shared" si="364"/>
        <v>1326.7302076725259</v>
      </c>
      <c r="AI138" s="12">
        <f t="shared" si="364"/>
        <v>1370.4168267681371</v>
      </c>
    </row>
    <row r="139" spans="2:36" s="12" customFormat="1" x14ac:dyDescent="0.3">
      <c r="B139" s="58" t="s">
        <v>25</v>
      </c>
      <c r="C139" s="6"/>
      <c r="D139" s="6"/>
      <c r="E139" s="6"/>
      <c r="F139" s="140"/>
      <c r="G139" s="140"/>
      <c r="H139" s="140"/>
      <c r="I139" s="140"/>
      <c r="J139" s="140"/>
      <c r="K139" s="189">
        <f t="shared" si="361"/>
        <v>1240.546188836448</v>
      </c>
      <c r="L139" s="189">
        <f t="shared" si="362"/>
        <v>1429.4037916646409</v>
      </c>
      <c r="M139" s="189">
        <f t="shared" si="363"/>
        <v>1630.4366992136825</v>
      </c>
      <c r="N139" s="178">
        <v>1246.7615815427851</v>
      </c>
      <c r="O139" s="178">
        <v>1472.8233419647415</v>
      </c>
      <c r="P139" s="178">
        <v>1689.1166323178968</v>
      </c>
      <c r="Q139" s="178">
        <v>1234.3307961301111</v>
      </c>
      <c r="R139" s="178">
        <v>1385.9842413645404</v>
      </c>
      <c r="S139" s="178">
        <v>1571.7567661094679</v>
      </c>
      <c r="T139" s="178"/>
      <c r="U139" s="179"/>
      <c r="V139" s="75"/>
      <c r="W139" s="75"/>
      <c r="AG139" s="12">
        <f t="shared" si="364"/>
        <v>733.50352099746328</v>
      </c>
      <c r="AH139" s="12">
        <f t="shared" si="364"/>
        <v>750.12083113241795</v>
      </c>
      <c r="AI139" s="12">
        <f t="shared" si="364"/>
        <v>835.85195245818852</v>
      </c>
      <c r="AJ139" s="12">
        <f>INDEX($E139:$T139,MATCH(AJ$2,$E$2:$T$2,0))-SUM(AG139:AI139)</f>
        <v>-689.03960537438707</v>
      </c>
    </row>
    <row r="140" spans="2:36" s="12" customFormat="1" x14ac:dyDescent="0.3">
      <c r="B140" s="56" t="s">
        <v>57</v>
      </c>
      <c r="C140" s="2"/>
      <c r="D140" s="2"/>
      <c r="E140" s="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/>
      <c r="U140" s="134"/>
      <c r="V140" s="92"/>
      <c r="W140" s="92"/>
    </row>
    <row r="141" spans="2:36" s="12" customFormat="1" x14ac:dyDescent="0.3">
      <c r="B141" s="26" t="s">
        <v>1</v>
      </c>
      <c r="C141" s="2"/>
      <c r="D141" s="2"/>
      <c r="E141" s="2"/>
      <c r="F141" s="142"/>
      <c r="G141" s="142"/>
      <c r="H141" s="142"/>
      <c r="I141" s="142"/>
      <c r="J141" s="142"/>
      <c r="K141" s="142">
        <f>K12</f>
        <v>15666.155357488235</v>
      </c>
      <c r="L141" s="142">
        <f>L12</f>
        <v>17515.592756839382</v>
      </c>
      <c r="M141" s="142">
        <f>M12</f>
        <v>19142.892968243432</v>
      </c>
      <c r="N141" s="142"/>
      <c r="O141" s="142"/>
      <c r="P141" s="142"/>
      <c r="Q141" s="142"/>
      <c r="R141" s="142"/>
      <c r="S141" s="142"/>
      <c r="T141" s="142"/>
      <c r="U141" s="134"/>
      <c r="V141" s="92"/>
      <c r="W141" s="92"/>
      <c r="AG141" s="2">
        <f>AG12</f>
        <v>8742.1705148570181</v>
      </c>
      <c r="AH141" s="2">
        <f>AH12</f>
        <v>8773.4222419823654</v>
      </c>
      <c r="AI141" s="2">
        <f>AI12</f>
        <v>9542.5550617644494</v>
      </c>
      <c r="AJ141" s="12">
        <f>INDEX($E141:$T141,MATCH(AJ$2,$E$2:$T$2,0))-SUM(AG141:AI141)</f>
        <v>-7915.2548503603975</v>
      </c>
    </row>
    <row r="142" spans="2:36" s="12" customFormat="1" x14ac:dyDescent="0.3">
      <c r="B142" s="26" t="s">
        <v>20</v>
      </c>
      <c r="C142" s="2"/>
      <c r="D142" s="2"/>
      <c r="E142" s="2"/>
      <c r="F142" s="142"/>
      <c r="G142" s="142"/>
      <c r="H142" s="142"/>
      <c r="I142" s="142"/>
      <c r="J142" s="142"/>
      <c r="K142" s="142">
        <f>K95</f>
        <v>1415.9425609749187</v>
      </c>
      <c r="L142" s="142">
        <f t="shared" ref="L142:M142" si="365">L95</f>
        <v>1653.1775711562702</v>
      </c>
      <c r="M142" s="142">
        <f t="shared" si="365"/>
        <v>1883.3512541537123</v>
      </c>
      <c r="N142" s="142"/>
      <c r="O142" s="142"/>
      <c r="P142" s="142"/>
      <c r="Q142" s="142"/>
      <c r="R142" s="142"/>
      <c r="S142" s="142"/>
      <c r="T142" s="142"/>
      <c r="U142" s="134"/>
      <c r="V142" s="92"/>
      <c r="W142" s="92"/>
      <c r="AG142" s="2">
        <f>AG83</f>
        <v>1220.5040397108678</v>
      </c>
      <c r="AH142" s="2">
        <f>AH83</f>
        <v>1326.7302076725259</v>
      </c>
      <c r="AI142" s="2">
        <f>AI83</f>
        <v>1370.4168267681371</v>
      </c>
    </row>
    <row r="143" spans="2:36" s="12" customFormat="1" x14ac:dyDescent="0.3">
      <c r="B143" s="26" t="s">
        <v>25</v>
      </c>
      <c r="C143" s="2"/>
      <c r="D143" s="2"/>
      <c r="E143" s="2"/>
      <c r="F143" s="142"/>
      <c r="G143" s="142"/>
      <c r="H143" s="142"/>
      <c r="I143" s="142"/>
      <c r="J143" s="142"/>
      <c r="K143" s="142">
        <f>K104</f>
        <v>1269.3133285297465</v>
      </c>
      <c r="L143" s="142">
        <f>L104</f>
        <v>1483.6243521298811</v>
      </c>
      <c r="M143" s="142">
        <f>M104</f>
        <v>1691.9065984097656</v>
      </c>
      <c r="N143" s="142"/>
      <c r="O143" s="142"/>
      <c r="P143" s="142"/>
      <c r="Q143" s="142"/>
      <c r="R143" s="142"/>
      <c r="S143" s="142"/>
      <c r="T143" s="142"/>
      <c r="U143" s="134"/>
      <c r="V143" s="92"/>
      <c r="W143" s="92"/>
      <c r="AG143" s="2">
        <f>AG104</f>
        <v>733.50352099746328</v>
      </c>
      <c r="AH143" s="2">
        <f>AH104</f>
        <v>750.12083113241795</v>
      </c>
      <c r="AI143" s="2">
        <f>AI104</f>
        <v>835.85195245818852</v>
      </c>
      <c r="AJ143" s="12">
        <f>INDEX($E143:$T143,MATCH(AJ$2,$E$2:$T$2,0))-SUM(AG143:AI143)</f>
        <v>-627.56970617830393</v>
      </c>
    </row>
    <row r="144" spans="2:36" s="12" customFormat="1" x14ac:dyDescent="0.3">
      <c r="B144" s="59" t="s">
        <v>58</v>
      </c>
      <c r="C144" s="60"/>
      <c r="D144" s="60"/>
      <c r="E144" s="60"/>
      <c r="F144" s="190"/>
      <c r="G144" s="190"/>
      <c r="H144" s="190"/>
      <c r="I144" s="190"/>
      <c r="J144" s="190"/>
      <c r="K144" s="190"/>
      <c r="L144" s="190"/>
      <c r="M144" s="190"/>
      <c r="N144" s="190"/>
      <c r="O144" s="190"/>
      <c r="P144" s="190"/>
      <c r="Q144" s="190"/>
      <c r="R144" s="190"/>
      <c r="S144" s="190"/>
      <c r="T144" s="190"/>
      <c r="U144" s="134"/>
      <c r="V144" s="93"/>
      <c r="W144" s="93"/>
      <c r="AJ144" s="60"/>
    </row>
    <row r="145" spans="2:36" s="12" customFormat="1" x14ac:dyDescent="0.3">
      <c r="B145" s="61" t="s">
        <v>1</v>
      </c>
      <c r="C145" s="60"/>
      <c r="D145" s="60"/>
      <c r="E145" s="60"/>
      <c r="F145" s="190"/>
      <c r="G145" s="190"/>
      <c r="H145" s="190"/>
      <c r="I145" s="190"/>
      <c r="J145" s="190"/>
      <c r="K145" s="191">
        <f>K141/K137-1</f>
        <v>1.4024668470119295E-2</v>
      </c>
      <c r="L145" s="191">
        <f t="shared" ref="L145:M145" si="366">L141/L137-1</f>
        <v>5.3736336974318677E-2</v>
      </c>
      <c r="M145" s="191">
        <f t="shared" si="366"/>
        <v>6.3562693995916852E-2</v>
      </c>
      <c r="N145" s="190"/>
      <c r="O145" s="190"/>
      <c r="P145" s="190"/>
      <c r="Q145" s="190"/>
      <c r="R145" s="190"/>
      <c r="S145" s="190"/>
      <c r="T145" s="190"/>
      <c r="U145" s="134"/>
      <c r="V145" s="94"/>
      <c r="W145" s="94"/>
      <c r="AJ145" s="62">
        <f>AJ141/AJ137-1</f>
        <v>-0.1262849725851205</v>
      </c>
    </row>
    <row r="146" spans="2:36" x14ac:dyDescent="0.3">
      <c r="B146" s="61" t="s">
        <v>20</v>
      </c>
      <c r="C146" s="60"/>
      <c r="D146" s="60"/>
      <c r="E146" s="60"/>
      <c r="F146" s="190"/>
      <c r="G146" s="190"/>
      <c r="H146" s="190"/>
      <c r="I146" s="190"/>
      <c r="J146" s="190"/>
      <c r="K146" s="191">
        <f t="shared" ref="K146:M147" si="367">K142/K138-1</f>
        <v>3.1590009980818845E-2</v>
      </c>
      <c r="L146" s="191">
        <f t="shared" si="367"/>
        <v>6.7921066182199397E-2</v>
      </c>
      <c r="M146" s="191">
        <f t="shared" si="367"/>
        <v>8.6354422611843118E-2</v>
      </c>
      <c r="N146" s="190"/>
      <c r="O146" s="190"/>
      <c r="P146" s="190"/>
      <c r="Q146" s="190"/>
      <c r="R146" s="190"/>
      <c r="S146" s="190"/>
      <c r="T146" s="190"/>
      <c r="V146" s="94"/>
      <c r="W146" s="94"/>
      <c r="AJ146" s="62" t="e">
        <f t="shared" ref="AJ146" si="368">AJ142/AJ138-1</f>
        <v>#DIV/0!</v>
      </c>
    </row>
    <row r="147" spans="2:36" x14ac:dyDescent="0.3">
      <c r="B147" s="61" t="s">
        <v>25</v>
      </c>
      <c r="C147" s="60"/>
      <c r="D147" s="60"/>
      <c r="E147" s="60"/>
      <c r="F147" s="190"/>
      <c r="G147" s="190"/>
      <c r="H147" s="190"/>
      <c r="I147" s="190"/>
      <c r="J147" s="190"/>
      <c r="K147" s="191">
        <f t="shared" si="367"/>
        <v>2.3189091992036337E-2</v>
      </c>
      <c r="L147" s="191">
        <f t="shared" si="367"/>
        <v>3.7932290918367029E-2</v>
      </c>
      <c r="M147" s="191">
        <f t="shared" si="367"/>
        <v>3.7701493854823465E-2</v>
      </c>
      <c r="N147" s="190"/>
      <c r="O147" s="190"/>
      <c r="P147" s="190"/>
      <c r="Q147" s="190"/>
      <c r="R147" s="190"/>
      <c r="S147" s="190"/>
      <c r="T147" s="190"/>
      <c r="V147" s="94"/>
      <c r="W147" s="94"/>
      <c r="AJ147" s="62">
        <f t="shared" ref="AJ147" si="369">AJ143/AJ139-1</f>
        <v>-8.9210981076601081E-2</v>
      </c>
    </row>
    <row r="148" spans="2:36" s="1" customFormat="1" x14ac:dyDescent="0.3">
      <c r="B148" s="29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182"/>
      <c r="V148" s="124"/>
      <c r="W148" s="124"/>
      <c r="AJ148" s="125"/>
    </row>
    <row r="149" spans="2:36" s="1" customFormat="1" x14ac:dyDescent="0.3">
      <c r="B149" s="126" t="s">
        <v>94</v>
      </c>
      <c r="C149" s="127" t="s">
        <v>95</v>
      </c>
      <c r="D149" s="1" t="s">
        <v>102</v>
      </c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182"/>
      <c r="V149" s="124"/>
      <c r="W149" s="124"/>
      <c r="AJ149" s="125"/>
    </row>
    <row r="150" spans="2:36" s="1" customFormat="1" x14ac:dyDescent="0.3">
      <c r="B150" s="128" t="s">
        <v>96</v>
      </c>
      <c r="C150" s="129">
        <v>1</v>
      </c>
      <c r="D150" s="1" t="s">
        <v>103</v>
      </c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182"/>
      <c r="V150" s="124"/>
      <c r="W150" s="124"/>
      <c r="AJ150" s="125"/>
    </row>
    <row r="151" spans="2:36" s="1" customFormat="1" x14ac:dyDescent="0.3">
      <c r="B151" s="128" t="s">
        <v>97</v>
      </c>
      <c r="C151" s="129">
        <v>1</v>
      </c>
      <c r="D151" s="1" t="s">
        <v>104</v>
      </c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182"/>
      <c r="V151" s="124"/>
      <c r="W151" s="124"/>
      <c r="AJ151" s="125"/>
    </row>
    <row r="152" spans="2:36" s="1" customFormat="1" x14ac:dyDescent="0.3">
      <c r="B152" s="128" t="s">
        <v>98</v>
      </c>
      <c r="C152" s="129">
        <v>1</v>
      </c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182"/>
      <c r="V152" s="124"/>
      <c r="W152" s="124"/>
      <c r="AJ152" s="125"/>
    </row>
    <row r="153" spans="2:36" s="1" customFormat="1" x14ac:dyDescent="0.3">
      <c r="B153" s="128" t="s">
        <v>99</v>
      </c>
      <c r="C153" s="129">
        <v>0</v>
      </c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182"/>
      <c r="V153" s="124"/>
      <c r="W153" s="124"/>
      <c r="AJ153" s="125"/>
    </row>
    <row r="154" spans="2:36" s="1" customFormat="1" x14ac:dyDescent="0.3">
      <c r="B154" s="130" t="s">
        <v>101</v>
      </c>
      <c r="C154" s="131">
        <v>1</v>
      </c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182"/>
      <c r="V154" s="124"/>
      <c r="W154" s="124"/>
      <c r="AJ154" s="125"/>
    </row>
    <row r="155" spans="2:36" s="1" customFormat="1" x14ac:dyDescent="0.3">
      <c r="B155" s="132" t="s">
        <v>100</v>
      </c>
      <c r="C155" s="133">
        <f>SUM(C150:C154)</f>
        <v>4</v>
      </c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182"/>
      <c r="V155" s="124"/>
      <c r="W155" s="124"/>
      <c r="AJ155" s="125"/>
    </row>
    <row r="156" spans="2:36" s="1" customFormat="1" x14ac:dyDescent="0.3">
      <c r="B156" s="29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2"/>
      <c r="V156" s="89"/>
      <c r="W156" s="89"/>
    </row>
    <row r="158" spans="2:36" x14ac:dyDescent="0.3">
      <c r="B158" s="120" t="s">
        <v>93</v>
      </c>
      <c r="C158" s="23"/>
      <c r="D158" s="23"/>
      <c r="E158" s="23"/>
      <c r="F158" s="148"/>
      <c r="G158" s="148"/>
      <c r="H158" s="148"/>
      <c r="I158" s="192"/>
    </row>
    <row r="159" spans="2:36" x14ac:dyDescent="0.3">
      <c r="B159" s="120" t="s">
        <v>88</v>
      </c>
      <c r="C159" s="23" t="s">
        <v>89</v>
      </c>
      <c r="D159" s="23" t="s">
        <v>90</v>
      </c>
      <c r="E159" s="23" t="s">
        <v>9</v>
      </c>
      <c r="F159" s="148" t="s">
        <v>10</v>
      </c>
      <c r="G159" s="148" t="s">
        <v>91</v>
      </c>
      <c r="H159" s="193" t="s">
        <v>105</v>
      </c>
      <c r="I159" s="192" t="s">
        <v>105</v>
      </c>
    </row>
    <row r="160" spans="2:36" x14ac:dyDescent="0.3">
      <c r="B160" s="120" t="s">
        <v>92</v>
      </c>
      <c r="C160" s="123">
        <f>E130</f>
        <v>163.37770462403105</v>
      </c>
      <c r="D160" s="121" t="s">
        <v>20</v>
      </c>
      <c r="E160" s="122">
        <f>L146</f>
        <v>6.7921066182199397E-2</v>
      </c>
      <c r="F160" s="194">
        <f>M146</f>
        <v>8.6354422611843118E-2</v>
      </c>
      <c r="G160" s="148">
        <f>C155</f>
        <v>4</v>
      </c>
      <c r="H160" s="195">
        <v>46078</v>
      </c>
      <c r="I160" s="196" t="s">
        <v>106</v>
      </c>
    </row>
    <row r="162" spans="2:10" ht="28.8" x14ac:dyDescent="0.3">
      <c r="B162" s="118" t="s">
        <v>59</v>
      </c>
      <c r="J162" s="197" t="s">
        <v>60</v>
      </c>
    </row>
  </sheetData>
  <phoneticPr fontId="2" type="noConversion"/>
  <conditionalFormatting sqref="F130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45:M147">
    <cfRule type="cellIs" dxfId="11" priority="7" operator="between">
      <formula>-0.05</formula>
      <formula>0.05</formula>
    </cfRule>
    <cfRule type="cellIs" dxfId="10" priority="8" operator="lessThan">
      <formula>-0.05</formula>
    </cfRule>
    <cfRule type="cellIs" dxfId="9" priority="9" operator="greaterThan">
      <formula>0.05</formula>
    </cfRule>
  </conditionalFormatting>
  <conditionalFormatting sqref="V145:W155">
    <cfRule type="cellIs" dxfId="8" priority="1" operator="between">
      <formula>-0.05</formula>
      <formula>0.05</formula>
    </cfRule>
    <cfRule type="cellIs" dxfId="7" priority="2" operator="lessThan">
      <formula>-0.05</formula>
    </cfRule>
    <cfRule type="cellIs" dxfId="6" priority="3" operator="greaterThan">
      <formula>0.05</formula>
    </cfRule>
  </conditionalFormatting>
  <conditionalFormatting sqref="AJ145:AJ155">
    <cfRule type="cellIs" dxfId="5" priority="4" operator="between">
      <formula>-0.05</formula>
      <formula>0.05</formula>
    </cfRule>
    <cfRule type="cellIs" dxfId="4" priority="5" operator="lessThan">
      <formula>-0.05</formula>
    </cfRule>
    <cfRule type="cellIs" dxfId="3" priority="6" operator="greaterThan">
      <formula>0.05</formula>
    </cfRule>
  </conditionalFormatting>
  <hyperlinks>
    <hyperlink ref="B162" r:id="rId1" xr:uid="{97DA8F39-451B-486B-9DC0-3E27CBC05FD4}"/>
    <hyperlink ref="J162" r:id="rId2" xr:uid="{4A29A644-46A6-446A-AF67-E11C25E47653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BD38A-8EB4-4CDB-AE73-970FD1C8D8C0}">
  <dimension ref="F6:T7"/>
  <sheetViews>
    <sheetView topLeftCell="I7" workbookViewId="0">
      <selection activeCell="T9" sqref="T9"/>
    </sheetView>
  </sheetViews>
  <sheetFormatPr defaultRowHeight="14.4" x14ac:dyDescent="0.3"/>
  <sheetData>
    <row r="6" spans="6:20" x14ac:dyDescent="0.3">
      <c r="F6" t="s">
        <v>82</v>
      </c>
    </row>
    <row r="7" spans="6:20" x14ac:dyDescent="0.3">
      <c r="F7" t="s">
        <v>82</v>
      </c>
      <c r="T7" t="s">
        <v>83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8ED79-CB36-41C2-BB68-C6BD7A99B3BB}">
  <dimension ref="A1:E14"/>
  <sheetViews>
    <sheetView tabSelected="1" workbookViewId="0">
      <selection sqref="A1:E14"/>
    </sheetView>
  </sheetViews>
  <sheetFormatPr defaultRowHeight="14.4" x14ac:dyDescent="0.3"/>
  <cols>
    <col min="1" max="1" width="15.88671875" customWidth="1"/>
  </cols>
  <sheetData>
    <row r="1" spans="1:5" s="12" customFormat="1" ht="14.25" customHeight="1" x14ac:dyDescent="0.3">
      <c r="A1" s="45" t="s">
        <v>0</v>
      </c>
      <c r="B1" s="135" t="str">
        <f>Model!J2</f>
        <v>FY0</v>
      </c>
      <c r="C1" s="135" t="str">
        <f>Model!K2</f>
        <v>FY1</v>
      </c>
      <c r="D1" s="135" t="str">
        <f>Model!L2</f>
        <v>FY2</v>
      </c>
      <c r="E1" s="135" t="str">
        <f>Model!M2</f>
        <v>FY3</v>
      </c>
    </row>
    <row r="2" spans="1:5" s="12" customFormat="1" ht="14.25" customHeight="1" x14ac:dyDescent="0.3">
      <c r="A2" s="45" t="s">
        <v>107</v>
      </c>
      <c r="B2" s="135">
        <f>Model!J3</f>
        <v>2024</v>
      </c>
      <c r="C2" s="135">
        <f>Model!K3</f>
        <v>2025</v>
      </c>
      <c r="D2" s="135">
        <f>Model!L3</f>
        <v>2026</v>
      </c>
      <c r="E2" s="135">
        <f>Model!M3</f>
        <v>2027</v>
      </c>
    </row>
    <row r="3" spans="1:5" x14ac:dyDescent="0.3">
      <c r="A3" s="57" t="s">
        <v>56</v>
      </c>
      <c r="B3" s="140"/>
      <c r="C3" s="140"/>
      <c r="D3" s="140"/>
      <c r="E3" s="140"/>
    </row>
    <row r="4" spans="1:5" x14ac:dyDescent="0.3">
      <c r="A4" s="58" t="s">
        <v>1</v>
      </c>
      <c r="B4" s="140"/>
      <c r="C4" s="189">
        <f>Model!K137</f>
        <v>15449.481501395916</v>
      </c>
      <c r="D4" s="189">
        <f>Model!L137</f>
        <v>16622.36760965591</v>
      </c>
      <c r="E4" s="189">
        <f>Model!M137</f>
        <v>17998.838316076668</v>
      </c>
    </row>
    <row r="5" spans="1:5" x14ac:dyDescent="0.3">
      <c r="A5" s="58" t="s">
        <v>20</v>
      </c>
      <c r="B5" s="140"/>
      <c r="C5" s="189">
        <f>Model!K138</f>
        <v>1372.5826610139879</v>
      </c>
      <c r="D5" s="189">
        <f>Model!L138</f>
        <v>1548.0334862822338</v>
      </c>
      <c r="E5" s="189">
        <f>Model!M138</f>
        <v>1733.6434730257806</v>
      </c>
    </row>
    <row r="6" spans="1:5" x14ac:dyDescent="0.3">
      <c r="A6" s="58" t="s">
        <v>25</v>
      </c>
      <c r="B6" s="140"/>
      <c r="C6" s="189">
        <f>Model!K139</f>
        <v>1240.546188836448</v>
      </c>
      <c r="D6" s="189">
        <f>Model!L139</f>
        <v>1429.4037916646409</v>
      </c>
      <c r="E6" s="189">
        <f>Model!M139</f>
        <v>1630.4366992136825</v>
      </c>
    </row>
    <row r="7" spans="1:5" x14ac:dyDescent="0.3">
      <c r="A7" s="56" t="s">
        <v>57</v>
      </c>
      <c r="B7" s="142"/>
      <c r="C7" s="142"/>
      <c r="D7" s="142"/>
      <c r="E7" s="142"/>
    </row>
    <row r="8" spans="1:5" x14ac:dyDescent="0.3">
      <c r="A8" s="26" t="s">
        <v>1</v>
      </c>
      <c r="B8" s="142"/>
      <c r="C8" s="142">
        <f>Model!K141</f>
        <v>15666.155357488235</v>
      </c>
      <c r="D8" s="142">
        <f>Model!L141</f>
        <v>17515.592756839382</v>
      </c>
      <c r="E8" s="142">
        <f>Model!M141</f>
        <v>19142.892968243432</v>
      </c>
    </row>
    <row r="9" spans="1:5" x14ac:dyDescent="0.3">
      <c r="A9" s="26" t="s">
        <v>20</v>
      </c>
      <c r="B9" s="142"/>
      <c r="C9" s="142">
        <f>Model!K142</f>
        <v>1415.9425609749187</v>
      </c>
      <c r="D9" s="142">
        <f>Model!L142</f>
        <v>1653.1775711562702</v>
      </c>
      <c r="E9" s="142">
        <f>Model!M142</f>
        <v>1883.3512541537123</v>
      </c>
    </row>
    <row r="10" spans="1:5" x14ac:dyDescent="0.3">
      <c r="A10" s="26" t="s">
        <v>25</v>
      </c>
      <c r="B10" s="142"/>
      <c r="C10" s="142">
        <f>Model!K143</f>
        <v>1269.3133285297465</v>
      </c>
      <c r="D10" s="142">
        <f>Model!L143</f>
        <v>1483.6243521298811</v>
      </c>
      <c r="E10" s="142">
        <f>Model!M143</f>
        <v>1691.9065984097656</v>
      </c>
    </row>
    <row r="11" spans="1:5" x14ac:dyDescent="0.3">
      <c r="A11" s="59" t="s">
        <v>58</v>
      </c>
      <c r="B11" s="190"/>
      <c r="C11" s="190"/>
      <c r="D11" s="190"/>
      <c r="E11" s="190"/>
    </row>
    <row r="12" spans="1:5" x14ac:dyDescent="0.3">
      <c r="A12" s="61" t="s">
        <v>1</v>
      </c>
      <c r="B12" s="190"/>
      <c r="C12" s="191">
        <f>Model!K145</f>
        <v>1.4024668470119295E-2</v>
      </c>
      <c r="D12" s="191">
        <f>Model!L145</f>
        <v>5.3736336974318677E-2</v>
      </c>
      <c r="E12" s="191">
        <f>Model!M145</f>
        <v>6.3562693995916852E-2</v>
      </c>
    </row>
    <row r="13" spans="1:5" x14ac:dyDescent="0.3">
      <c r="A13" s="61" t="s">
        <v>20</v>
      </c>
      <c r="B13" s="190"/>
      <c r="C13" s="191">
        <f>Model!K146</f>
        <v>3.1590009980818845E-2</v>
      </c>
      <c r="D13" s="191">
        <f>Model!L146</f>
        <v>6.7921066182199397E-2</v>
      </c>
      <c r="E13" s="191">
        <f>Model!M146</f>
        <v>8.6354422611843118E-2</v>
      </c>
    </row>
    <row r="14" spans="1:5" x14ac:dyDescent="0.3">
      <c r="A14" s="61" t="s">
        <v>25</v>
      </c>
      <c r="B14" s="190"/>
      <c r="C14" s="191">
        <f>Model!K147</f>
        <v>2.3189091992036337E-2</v>
      </c>
      <c r="D14" s="191">
        <f>Model!L147</f>
        <v>3.7932290918367029E-2</v>
      </c>
      <c r="E14" s="191">
        <f>Model!M147</f>
        <v>3.7701493854823465E-2</v>
      </c>
    </row>
  </sheetData>
  <conditionalFormatting sqref="C12:E14">
    <cfRule type="cellIs" dxfId="2" priority="1" operator="between">
      <formula>-0.05</formula>
      <formula>0.05</formula>
    </cfRule>
    <cfRule type="cellIs" dxfId="1" priority="2" operator="lessThan">
      <formula>-0.05</formula>
    </cfRule>
    <cfRule type="cellIs" dxfId="0" priority="3" operator="greaterThan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Wilson</dc:creator>
  <cp:lastModifiedBy>Peter Wilson</cp:lastModifiedBy>
  <dcterms:created xsi:type="dcterms:W3CDTF">2026-01-07T02:44:06Z</dcterms:created>
  <dcterms:modified xsi:type="dcterms:W3CDTF">2026-01-22T04:19:14Z</dcterms:modified>
</cp:coreProperties>
</file>