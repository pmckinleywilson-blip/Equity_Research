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d5168fc8d63cfa0/Documents/Models/"/>
    </mc:Choice>
  </mc:AlternateContent>
  <xr:revisionPtr revIDLastSave="1461" documentId="8_{4C621C3D-8CAC-4C0A-B2F9-D11759FB22D9}" xr6:coauthVersionLast="47" xr6:coauthVersionMax="47" xr10:uidLastSave="{404BAB6A-1C5C-4F69-939C-6E7FF053F0D9}"/>
  <bookViews>
    <workbookView xWindow="-120" yWindow="-120" windowWidth="29040" windowHeight="15720" activeTab="1" xr2:uid="{4DDAA401-2557-47D0-A536-11630562A66D}"/>
  </bookViews>
  <sheets>
    <sheet name="Value" sheetId="1" r:id="rId1"/>
    <sheet name="Annual" sheetId="2" r:id="rId2"/>
    <sheet name="Charts" sheetId="8" r:id="rId3"/>
    <sheet name="Segments" sheetId="3" r:id="rId4"/>
    <sheet name="IRR" sheetId="7" r:id="rId5"/>
    <sheet name="Vs cons" sheetId="4" r:id="rId6"/>
    <sheet name="ABS Resi Refi" sheetId="5" r:id="rId7"/>
    <sheet name="ABS Resi New Loans" sheetId="6" r:id="rId8"/>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2" i="3" l="1"/>
  <c r="Q38" i="4"/>
  <c r="P38" i="4"/>
  <c r="N24" i="3"/>
  <c r="N23" i="2"/>
  <c r="V22" i="4"/>
  <c r="W22" i="4"/>
  <c r="X22" i="4"/>
  <c r="U22" i="4"/>
  <c r="V24" i="4"/>
  <c r="W24" i="4"/>
  <c r="X24" i="4"/>
  <c r="U24" i="4"/>
  <c r="P29" i="4"/>
  <c r="Q29" i="4"/>
  <c r="R29" i="4"/>
  <c r="O29" i="4"/>
  <c r="P24" i="4"/>
  <c r="Q24" i="4"/>
  <c r="R24" i="4"/>
  <c r="O24" i="4"/>
  <c r="O22" i="4"/>
  <c r="T32" i="3"/>
  <c r="V32" i="3" s="1"/>
  <c r="X32" i="3" s="1"/>
  <c r="Z32" i="3" s="1"/>
  <c r="AB32" i="3" s="1"/>
  <c r="AD32" i="3" s="1"/>
  <c r="AF32" i="3" s="1"/>
  <c r="AH32" i="3" s="1"/>
  <c r="U32" i="3"/>
  <c r="W32" i="3" s="1"/>
  <c r="Y32" i="3" s="1"/>
  <c r="AA32" i="3" s="1"/>
  <c r="AC32" i="3" s="1"/>
  <c r="AE32" i="3" s="1"/>
  <c r="AG32" i="3" s="1"/>
  <c r="AI32" i="3" s="1"/>
  <c r="N24" i="2"/>
  <c r="F105" i="2"/>
  <c r="G105" i="2"/>
  <c r="H105" i="2"/>
  <c r="I105" i="2"/>
  <c r="J105" i="2"/>
  <c r="K105" i="2"/>
  <c r="L105" i="2"/>
  <c r="M105" i="2"/>
  <c r="N105" i="2"/>
  <c r="N103" i="2"/>
  <c r="F103" i="2"/>
  <c r="G103" i="2"/>
  <c r="H103" i="2"/>
  <c r="I103" i="2"/>
  <c r="J103" i="2"/>
  <c r="K103" i="2"/>
  <c r="L103" i="2"/>
  <c r="M103" i="2"/>
  <c r="N36" i="2"/>
  <c r="J28" i="4"/>
  <c r="AC97" i="8"/>
  <c r="AC94" i="8"/>
  <c r="AC95" i="8"/>
  <c r="AC96" i="8"/>
  <c r="AA100" i="8"/>
  <c r="AB95" i="8"/>
  <c r="AB96" i="8"/>
  <c r="AB94" i="8"/>
  <c r="AA95" i="8"/>
  <c r="AA96" i="8"/>
  <c r="AA94" i="8"/>
  <c r="Z94" i="8"/>
  <c r="Z95" i="8"/>
  <c r="Z96" i="8"/>
  <c r="Y95" i="8"/>
  <c r="Y96" i="8"/>
  <c r="Y94" i="8"/>
  <c r="W96" i="8"/>
  <c r="X96" i="8"/>
  <c r="X95" i="8"/>
  <c r="X93" i="8"/>
  <c r="W93" i="8"/>
  <c r="W95" i="8"/>
  <c r="V91" i="8"/>
  <c r="E33" i="8"/>
  <c r="F33" i="8" s="1"/>
  <c r="N87" i="2"/>
  <c r="X140" i="2"/>
  <c r="W140" i="2"/>
  <c r="V140" i="2"/>
  <c r="U140" i="2"/>
  <c r="T140" i="2"/>
  <c r="S140" i="2"/>
  <c r="Q140" i="2"/>
  <c r="P140" i="2"/>
  <c r="J140" i="2"/>
  <c r="I140" i="2"/>
  <c r="H140" i="2"/>
  <c r="G140" i="2"/>
  <c r="I120" i="3"/>
  <c r="H120" i="3"/>
  <c r="G120" i="3"/>
  <c r="N35" i="2"/>
  <c r="G30" i="4"/>
  <c r="H30" i="4"/>
  <c r="F30" i="4"/>
  <c r="O73" i="2"/>
  <c r="L33" i="1"/>
  <c r="M33" i="1"/>
  <c r="N33" i="1"/>
  <c r="K33" i="1"/>
  <c r="R44" i="3"/>
  <c r="G30" i="2"/>
  <c r="H30" i="2"/>
  <c r="I30" i="2"/>
  <c r="J30" i="2"/>
  <c r="G23" i="2"/>
  <c r="S28" i="1"/>
  <c r="T28" i="1"/>
  <c r="U28" i="1"/>
  <c r="R28" i="1"/>
  <c r="O29" i="1"/>
  <c r="S23" i="1"/>
  <c r="T23" i="1"/>
  <c r="U23" i="1"/>
  <c r="R23" i="1"/>
  <c r="L23" i="1"/>
  <c r="M23" i="1"/>
  <c r="N23" i="1"/>
  <c r="K23" i="1"/>
  <c r="H28" i="4"/>
  <c r="H29" i="4" s="1"/>
  <c r="G28" i="4"/>
  <c r="F28" i="4"/>
  <c r="F29" i="4" s="1"/>
  <c r="E28" i="4"/>
  <c r="E29" i="4" s="1"/>
  <c r="F23" i="4"/>
  <c r="F24" i="4" s="1"/>
  <c r="G23" i="4"/>
  <c r="G24" i="4" s="1"/>
  <c r="H23" i="4"/>
  <c r="H24" i="4" s="1"/>
  <c r="E23" i="4"/>
  <c r="F37" i="4"/>
  <c r="F39" i="4" s="1"/>
  <c r="G37" i="4"/>
  <c r="G39" i="4" s="1"/>
  <c r="H37" i="4"/>
  <c r="H39" i="4" s="1"/>
  <c r="E37" i="4"/>
  <c r="E39" i="4"/>
  <c r="H34" i="4"/>
  <c r="G34" i="4"/>
  <c r="F34" i="4"/>
  <c r="E34" i="4"/>
  <c r="G29" i="4"/>
  <c r="E24" i="4"/>
  <c r="H17" i="4"/>
  <c r="G17" i="4"/>
  <c r="F17" i="4"/>
  <c r="E17" i="4"/>
  <c r="F12" i="4"/>
  <c r="G12" i="4"/>
  <c r="H12" i="4"/>
  <c r="E12" i="4"/>
  <c r="H24" i="1"/>
  <c r="Q170" i="3"/>
  <c r="S170" i="3"/>
  <c r="T170" i="3"/>
  <c r="U170" i="3"/>
  <c r="V170" i="3"/>
  <c r="W170" i="3"/>
  <c r="X170" i="3"/>
  <c r="Y170" i="3"/>
  <c r="Z170" i="3"/>
  <c r="AA170" i="3"/>
  <c r="AB170" i="3"/>
  <c r="AC170" i="3"/>
  <c r="AD170" i="3"/>
  <c r="AE170" i="3"/>
  <c r="AF170" i="3"/>
  <c r="AG170" i="3"/>
  <c r="AH170" i="3"/>
  <c r="AI170" i="3"/>
  <c r="R170" i="3"/>
  <c r="P77" i="2"/>
  <c r="Q77" i="2"/>
  <c r="R77" i="2" s="1"/>
  <c r="S77" i="2" s="1"/>
  <c r="T77" i="2" s="1"/>
  <c r="U77" i="2" s="1"/>
  <c r="V77" i="2" s="1"/>
  <c r="W77" i="2" s="1"/>
  <c r="X77" i="2" s="1"/>
  <c r="P73" i="3"/>
  <c r="Q73" i="3" s="1"/>
  <c r="G137" i="3"/>
  <c r="C27" i="1"/>
  <c r="D27" i="1"/>
  <c r="X113" i="2"/>
  <c r="K10" i="1"/>
  <c r="K7" i="1"/>
  <c r="M282" i="2"/>
  <c r="N282" i="2"/>
  <c r="L282" i="2"/>
  <c r="K316" i="2"/>
  <c r="O304" i="2"/>
  <c r="P304" i="2" s="1"/>
  <c r="Q304" i="2" s="1"/>
  <c r="R304" i="2" s="1"/>
  <c r="S304" i="2" s="1"/>
  <c r="T304" i="2" s="1"/>
  <c r="U304" i="2" s="1"/>
  <c r="V304" i="2" s="1"/>
  <c r="W304" i="2" s="1"/>
  <c r="X304" i="2" s="1"/>
  <c r="A277" i="2"/>
  <c r="A36" i="3" s="1"/>
  <c r="S195" i="3"/>
  <c r="U195" i="3" s="1"/>
  <c r="W195" i="3" s="1"/>
  <c r="Y195" i="3" s="1"/>
  <c r="AA195" i="3" s="1"/>
  <c r="AC195" i="3" s="1"/>
  <c r="AE195" i="3" s="1"/>
  <c r="AG195" i="3" s="1"/>
  <c r="AI195" i="3" s="1"/>
  <c r="R195" i="3"/>
  <c r="T195" i="3" s="1"/>
  <c r="V195" i="3" s="1"/>
  <c r="X195" i="3" s="1"/>
  <c r="Z195" i="3" s="1"/>
  <c r="AB195" i="3" s="1"/>
  <c r="AD195" i="3" s="1"/>
  <c r="AF195" i="3" s="1"/>
  <c r="AH195" i="3" s="1"/>
  <c r="I95" i="3"/>
  <c r="J95" i="3"/>
  <c r="K95" i="3"/>
  <c r="L95" i="3"/>
  <c r="M95" i="3"/>
  <c r="N95" i="3"/>
  <c r="P8" i="3"/>
  <c r="R8" i="3" s="1"/>
  <c r="T8" i="3" s="1"/>
  <c r="V8" i="3" s="1"/>
  <c r="X8" i="3" s="1"/>
  <c r="Z8" i="3" s="1"/>
  <c r="AB8" i="3" s="1"/>
  <c r="AD8" i="3" s="1"/>
  <c r="AF8" i="3" s="1"/>
  <c r="AH8" i="3" s="1"/>
  <c r="J115" i="2"/>
  <c r="K115" i="2"/>
  <c r="L115" i="2"/>
  <c r="M115" i="2"/>
  <c r="N115" i="2"/>
  <c r="J114" i="2"/>
  <c r="K114" i="2"/>
  <c r="L114" i="2"/>
  <c r="M114" i="2"/>
  <c r="N114" i="2"/>
  <c r="R26" i="1" l="1"/>
  <c r="T26" i="1"/>
  <c r="S26" i="1"/>
  <c r="H106" i="2"/>
  <c r="G106" i="2"/>
  <c r="P305" i="2"/>
  <c r="D28" i="1"/>
  <c r="D22" i="1" s="1"/>
  <c r="V305" i="2"/>
  <c r="U305" i="2"/>
  <c r="O305" i="2"/>
  <c r="X305" i="2"/>
  <c r="T305" i="2"/>
  <c r="R305" i="2"/>
  <c r="W305" i="2"/>
  <c r="S305" i="2"/>
  <c r="Q305" i="2"/>
  <c r="A33" i="3"/>
  <c r="X32" i="2"/>
  <c r="W32" i="2"/>
  <c r="V32" i="2"/>
  <c r="U32" i="2"/>
  <c r="T32" i="2"/>
  <c r="S32" i="2"/>
  <c r="R32" i="2"/>
  <c r="Q32" i="2"/>
  <c r="P32" i="2"/>
  <c r="O32" i="2"/>
  <c r="X27" i="2"/>
  <c r="W27" i="2"/>
  <c r="V27" i="2"/>
  <c r="U27" i="2"/>
  <c r="T27" i="2"/>
  <c r="S27" i="2"/>
  <c r="R27" i="2"/>
  <c r="Q27" i="2"/>
  <c r="P27" i="2"/>
  <c r="O27" i="2"/>
  <c r="L232" i="2"/>
  <c r="M232" i="2"/>
  <c r="N232" i="2"/>
  <c r="O230" i="2"/>
  <c r="P230" i="2" s="1"/>
  <c r="Q230" i="2" s="1"/>
  <c r="R230" i="2" s="1"/>
  <c r="S230" i="2" s="1"/>
  <c r="T230" i="2" s="1"/>
  <c r="U230" i="2" s="1"/>
  <c r="V230" i="2" s="1"/>
  <c r="W230" i="2" s="1"/>
  <c r="X230" i="2" s="1"/>
  <c r="O228" i="2"/>
  <c r="P228" i="2" s="1"/>
  <c r="Q228" i="2" s="1"/>
  <c r="R228" i="2" s="1"/>
  <c r="S228" i="2" s="1"/>
  <c r="T228" i="2" s="1"/>
  <c r="U228" i="2" s="1"/>
  <c r="V228" i="2" s="1"/>
  <c r="W228" i="2" s="1"/>
  <c r="X228" i="2" s="1"/>
  <c r="O98" i="2"/>
  <c r="O214" i="2"/>
  <c r="P214" i="2" s="1"/>
  <c r="Q214" i="2" s="1"/>
  <c r="R214" i="2" s="1"/>
  <c r="S214" i="2" s="1"/>
  <c r="T214" i="2" s="1"/>
  <c r="U214" i="2" s="1"/>
  <c r="V214" i="2" s="1"/>
  <c r="W214" i="2" s="1"/>
  <c r="X214" i="2" s="1"/>
  <c r="O215" i="2"/>
  <c r="P215" i="2" s="1"/>
  <c r="Q215" i="2" s="1"/>
  <c r="R215" i="2" s="1"/>
  <c r="S215" i="2" s="1"/>
  <c r="T215" i="2" s="1"/>
  <c r="U215" i="2" s="1"/>
  <c r="V215" i="2" s="1"/>
  <c r="W215" i="2" s="1"/>
  <c r="X215" i="2" s="1"/>
  <c r="O216" i="2"/>
  <c r="P216" i="2" s="1"/>
  <c r="Q216" i="2" s="1"/>
  <c r="R216" i="2" s="1"/>
  <c r="S216" i="2" s="1"/>
  <c r="T216" i="2" s="1"/>
  <c r="U216" i="2" s="1"/>
  <c r="V216" i="2" s="1"/>
  <c r="W216" i="2" s="1"/>
  <c r="X216" i="2" s="1"/>
  <c r="O213" i="2"/>
  <c r="P213" i="2" s="1"/>
  <c r="Q213" i="2" s="1"/>
  <c r="R213" i="2" s="1"/>
  <c r="S213" i="2" s="1"/>
  <c r="T213" i="2" s="1"/>
  <c r="U213" i="2" s="1"/>
  <c r="V213" i="2" s="1"/>
  <c r="W213" i="2" s="1"/>
  <c r="X213" i="2" s="1"/>
  <c r="L220" i="2"/>
  <c r="L221" i="2" s="1"/>
  <c r="M220" i="2"/>
  <c r="M221" i="2" s="1"/>
  <c r="N220" i="2"/>
  <c r="N221" i="2" s="1"/>
  <c r="N225" i="2" s="1"/>
  <c r="O202" i="2"/>
  <c r="P202" i="2" s="1"/>
  <c r="Q202" i="2" s="1"/>
  <c r="R202" i="2" s="1"/>
  <c r="S202" i="2" s="1"/>
  <c r="T202" i="2" s="1"/>
  <c r="U202" i="2" s="1"/>
  <c r="V202" i="2" s="1"/>
  <c r="W202" i="2" s="1"/>
  <c r="X202" i="2" s="1"/>
  <c r="L208" i="2"/>
  <c r="M208" i="2"/>
  <c r="L209" i="2"/>
  <c r="M209" i="2"/>
  <c r="N209" i="2"/>
  <c r="N208" i="2"/>
  <c r="L207" i="2"/>
  <c r="L243" i="2" s="1"/>
  <c r="M207" i="2"/>
  <c r="N207" i="2"/>
  <c r="L203" i="2"/>
  <c r="M203" i="2"/>
  <c r="N203" i="2"/>
  <c r="O203" i="2" s="1"/>
  <c r="P203" i="2" s="1"/>
  <c r="Q203" i="2" s="1"/>
  <c r="R203" i="2" s="1"/>
  <c r="S203" i="2" s="1"/>
  <c r="T203" i="2" s="1"/>
  <c r="U203" i="2" s="1"/>
  <c r="V203" i="2" s="1"/>
  <c r="W203" i="2" s="1"/>
  <c r="X203" i="2" s="1"/>
  <c r="O269" i="2"/>
  <c r="P269" i="2" s="1"/>
  <c r="Q269" i="2" s="1"/>
  <c r="R269" i="2" s="1"/>
  <c r="S269" i="2" s="1"/>
  <c r="T269" i="2" s="1"/>
  <c r="U269" i="2" s="1"/>
  <c r="V269" i="2" s="1"/>
  <c r="W269" i="2" s="1"/>
  <c r="X269" i="2" s="1"/>
  <c r="L270" i="2"/>
  <c r="M270" i="2"/>
  <c r="N270" i="2"/>
  <c r="L261" i="2"/>
  <c r="M261" i="2"/>
  <c r="N261" i="2"/>
  <c r="L252" i="2"/>
  <c r="M252" i="2"/>
  <c r="N252" i="2"/>
  <c r="L242" i="2"/>
  <c r="L245" i="2"/>
  <c r="L249" i="2" s="1"/>
  <c r="L281" i="2" s="1"/>
  <c r="M245" i="2"/>
  <c r="M249" i="2" s="1"/>
  <c r="M281" i="2" s="1"/>
  <c r="N245" i="2"/>
  <c r="N249" i="2" s="1"/>
  <c r="N281" i="2" s="1"/>
  <c r="K168" i="2"/>
  <c r="L168" i="2"/>
  <c r="M168" i="2"/>
  <c r="N168" i="2"/>
  <c r="K162" i="2"/>
  <c r="L162" i="2"/>
  <c r="M162" i="2"/>
  <c r="N162" i="2"/>
  <c r="D4" i="2"/>
  <c r="E4" i="2"/>
  <c r="F153" i="2" s="1"/>
  <c r="F4" i="2"/>
  <c r="G4" i="2"/>
  <c r="H4" i="2"/>
  <c r="I4" i="2"/>
  <c r="J4" i="2"/>
  <c r="K4" i="2"/>
  <c r="L4" i="2"/>
  <c r="M4" i="2"/>
  <c r="O4" i="2"/>
  <c r="P4" i="2"/>
  <c r="Q4" i="2"/>
  <c r="R4" i="2"/>
  <c r="S4" i="2"/>
  <c r="T4" i="2"/>
  <c r="U4" i="2"/>
  <c r="V4" i="2"/>
  <c r="W4" i="2"/>
  <c r="X4" i="2"/>
  <c r="N4" i="2"/>
  <c r="K137" i="2"/>
  <c r="L137" i="2"/>
  <c r="M137" i="2"/>
  <c r="K139" i="2"/>
  <c r="L139" i="2"/>
  <c r="M139" i="2"/>
  <c r="N137" i="2"/>
  <c r="N139" i="2"/>
  <c r="L131" i="2"/>
  <c r="M131" i="2"/>
  <c r="N131" i="2"/>
  <c r="F126" i="2"/>
  <c r="F142" i="2" s="1"/>
  <c r="G126" i="2"/>
  <c r="H126" i="2"/>
  <c r="I126" i="2"/>
  <c r="I142" i="2" s="1"/>
  <c r="J126" i="2"/>
  <c r="J142" i="2" s="1"/>
  <c r="K126" i="2"/>
  <c r="K142" i="2" s="1"/>
  <c r="L126" i="2"/>
  <c r="L127" i="2" s="1"/>
  <c r="M126" i="2"/>
  <c r="N126" i="2"/>
  <c r="N143" i="2" s="1"/>
  <c r="L113" i="2"/>
  <c r="J112" i="2"/>
  <c r="K112" i="2"/>
  <c r="L112" i="2"/>
  <c r="L272" i="2" s="1"/>
  <c r="M112" i="2"/>
  <c r="M272" i="2" s="1"/>
  <c r="N112" i="2"/>
  <c r="N272" i="2" s="1"/>
  <c r="J104" i="2"/>
  <c r="J113" i="2"/>
  <c r="K104" i="2"/>
  <c r="I94" i="2"/>
  <c r="J94" i="2"/>
  <c r="K94" i="2"/>
  <c r="L94" i="2"/>
  <c r="M94" i="2"/>
  <c r="N94" i="2"/>
  <c r="M90" i="2"/>
  <c r="J24" i="1" s="1"/>
  <c r="L90" i="2"/>
  <c r="K90" i="2"/>
  <c r="K92" i="2" s="1"/>
  <c r="J90" i="2"/>
  <c r="J92" i="2" s="1"/>
  <c r="G93" i="3" s="1"/>
  <c r="I90" i="2"/>
  <c r="I92" i="2" s="1"/>
  <c r="H90" i="2"/>
  <c r="H92" i="2" s="1"/>
  <c r="G90" i="2"/>
  <c r="G92" i="2" s="1"/>
  <c r="F90" i="2"/>
  <c r="F92" i="2" s="1"/>
  <c r="N90" i="2"/>
  <c r="N233" i="2" s="1"/>
  <c r="F56" i="2"/>
  <c r="F68" i="2" s="1"/>
  <c r="F81" i="2" s="1"/>
  <c r="F84" i="2" s="1"/>
  <c r="F85" i="2" s="1"/>
  <c r="G56" i="2"/>
  <c r="G68" i="2" s="1"/>
  <c r="G81" i="2" s="1"/>
  <c r="G84" i="2" s="1"/>
  <c r="G85" i="2" s="1"/>
  <c r="H56" i="2"/>
  <c r="H68" i="2" s="1"/>
  <c r="H81" i="2" s="1"/>
  <c r="H84" i="2" s="1"/>
  <c r="H85" i="2" s="1"/>
  <c r="I56" i="2"/>
  <c r="I68" i="2" s="1"/>
  <c r="J56" i="2"/>
  <c r="J68" i="2" s="1"/>
  <c r="L77" i="2"/>
  <c r="M77" i="2"/>
  <c r="N77" i="2"/>
  <c r="F75" i="2"/>
  <c r="G75" i="2"/>
  <c r="H75" i="2"/>
  <c r="I75" i="2"/>
  <c r="J75" i="2"/>
  <c r="G75" i="3" s="1"/>
  <c r="K75" i="2"/>
  <c r="L75" i="2"/>
  <c r="L78" i="2" s="1"/>
  <c r="M75" i="2"/>
  <c r="M78" i="2" s="1"/>
  <c r="N75" i="2"/>
  <c r="N78" i="2" s="1"/>
  <c r="I61" i="2"/>
  <c r="J61" i="2"/>
  <c r="K61" i="2"/>
  <c r="L61" i="2"/>
  <c r="M61" i="2"/>
  <c r="N61" i="2"/>
  <c r="K56" i="2"/>
  <c r="K68" i="2" s="1"/>
  <c r="K317" i="2" s="1"/>
  <c r="L56" i="2"/>
  <c r="L58" i="2" s="1"/>
  <c r="L52" i="2"/>
  <c r="M51" i="2"/>
  <c r="Q24" i="1" s="1"/>
  <c r="N51" i="2"/>
  <c r="M38" i="2"/>
  <c r="M39" i="2"/>
  <c r="M40" i="2"/>
  <c r="F41" i="2"/>
  <c r="F43" i="2" s="1"/>
  <c r="G41" i="2"/>
  <c r="G43" i="2" s="1"/>
  <c r="H41" i="2"/>
  <c r="H43" i="2" s="1"/>
  <c r="I41" i="2"/>
  <c r="I43" i="2" s="1"/>
  <c r="J41" i="2"/>
  <c r="J43" i="2" s="1"/>
  <c r="N39" i="2"/>
  <c r="N40" i="2"/>
  <c r="N38" i="2"/>
  <c r="K29" i="2"/>
  <c r="K30" i="2" s="1"/>
  <c r="L29" i="2"/>
  <c r="M29" i="2"/>
  <c r="N29" i="2"/>
  <c r="F17" i="2"/>
  <c r="G17" i="2"/>
  <c r="H17" i="2"/>
  <c r="I17" i="2"/>
  <c r="J17" i="2"/>
  <c r="K17" i="2"/>
  <c r="L17" i="2"/>
  <c r="M17" i="2"/>
  <c r="N17" i="2"/>
  <c r="F10" i="2"/>
  <c r="G10" i="2"/>
  <c r="H10" i="2"/>
  <c r="I10" i="2"/>
  <c r="I11" i="2" s="1"/>
  <c r="J10" i="2"/>
  <c r="G10" i="3" s="1"/>
  <c r="G96" i="3" s="1"/>
  <c r="K10" i="2"/>
  <c r="L10" i="2"/>
  <c r="L219" i="2" s="1"/>
  <c r="M10" i="2"/>
  <c r="M264" i="2" s="1"/>
  <c r="N10" i="2"/>
  <c r="N205" i="2" s="1"/>
  <c r="O205" i="2" s="1"/>
  <c r="P205" i="2" s="1"/>
  <c r="Q205" i="2" s="1"/>
  <c r="H91" i="3"/>
  <c r="H93" i="3" s="1"/>
  <c r="J91" i="3"/>
  <c r="J93" i="3" s="1"/>
  <c r="L91" i="3"/>
  <c r="L93" i="3" s="1"/>
  <c r="N91" i="3"/>
  <c r="N93" i="3" s="1"/>
  <c r="H85" i="3"/>
  <c r="H86" i="3" s="1"/>
  <c r="J85" i="3"/>
  <c r="L85" i="3"/>
  <c r="L86" i="3" s="1"/>
  <c r="N85" i="3"/>
  <c r="N86" i="3" s="1"/>
  <c r="G81" i="3"/>
  <c r="G80" i="3"/>
  <c r="G79" i="3"/>
  <c r="I81" i="3"/>
  <c r="I80" i="3"/>
  <c r="I79" i="3"/>
  <c r="K81" i="3"/>
  <c r="K80" i="3"/>
  <c r="K79" i="3"/>
  <c r="M81" i="3"/>
  <c r="M80" i="3"/>
  <c r="M79" i="3"/>
  <c r="H76" i="3"/>
  <c r="I76" i="3" s="1"/>
  <c r="J76" i="3"/>
  <c r="K76" i="3" s="1"/>
  <c r="L76" i="3"/>
  <c r="M76" i="3" s="1"/>
  <c r="G76" i="3"/>
  <c r="G73" i="3"/>
  <c r="I75" i="3"/>
  <c r="I73" i="3"/>
  <c r="K75" i="3"/>
  <c r="K73" i="3"/>
  <c r="M73" i="3"/>
  <c r="N76" i="3"/>
  <c r="N68" i="3" s="1"/>
  <c r="H68" i="3"/>
  <c r="G64" i="3"/>
  <c r="I64" i="3"/>
  <c r="K64" i="3"/>
  <c r="M64" i="3"/>
  <c r="G51" i="3"/>
  <c r="G52" i="3" s="1"/>
  <c r="L49" i="3"/>
  <c r="L41" i="3" s="1"/>
  <c r="L48" i="3"/>
  <c r="L40" i="3" s="1"/>
  <c r="L47" i="3"/>
  <c r="M47" i="3" s="1"/>
  <c r="M39" i="3" s="1"/>
  <c r="N49" i="3"/>
  <c r="N41" i="3" s="1"/>
  <c r="N48" i="3"/>
  <c r="O48" i="3" s="1"/>
  <c r="N47" i="3"/>
  <c r="N39" i="3" s="1"/>
  <c r="G29" i="3"/>
  <c r="H29" i="3"/>
  <c r="H30" i="3" s="1"/>
  <c r="J29" i="3"/>
  <c r="L29" i="3"/>
  <c r="N29" i="3"/>
  <c r="G15" i="3"/>
  <c r="G14" i="3"/>
  <c r="I15" i="3"/>
  <c r="I14" i="3"/>
  <c r="K15" i="3"/>
  <c r="K14" i="3"/>
  <c r="M15" i="3"/>
  <c r="M14" i="3"/>
  <c r="G17" i="3"/>
  <c r="H17" i="3"/>
  <c r="J17" i="3"/>
  <c r="K17" i="3" s="1"/>
  <c r="L17" i="3"/>
  <c r="M17" i="3" s="1"/>
  <c r="N17" i="3"/>
  <c r="G8" i="3"/>
  <c r="G7" i="3"/>
  <c r="I8" i="3"/>
  <c r="I7" i="3"/>
  <c r="K8" i="3"/>
  <c r="K7" i="3"/>
  <c r="M8" i="3"/>
  <c r="M7" i="3"/>
  <c r="H10" i="3"/>
  <c r="J10" i="3"/>
  <c r="J96" i="3" s="1"/>
  <c r="L10" i="3"/>
  <c r="N10" i="3"/>
  <c r="N96" i="3" s="1"/>
  <c r="G106" i="3"/>
  <c r="G105" i="3"/>
  <c r="G104" i="3"/>
  <c r="G103" i="3"/>
  <c r="I106" i="3"/>
  <c r="I166" i="3" s="1"/>
  <c r="I105" i="3"/>
  <c r="I165" i="3" s="1"/>
  <c r="I104" i="3"/>
  <c r="I164" i="3" s="1"/>
  <c r="I103" i="3"/>
  <c r="I163" i="3" s="1"/>
  <c r="K106" i="3"/>
  <c r="K166" i="3" s="1"/>
  <c r="K105" i="3"/>
  <c r="K165" i="3" s="1"/>
  <c r="K104" i="3"/>
  <c r="K164" i="3" s="1"/>
  <c r="K103" i="3"/>
  <c r="K163" i="3" s="1"/>
  <c r="M106" i="3"/>
  <c r="M166" i="3" s="1"/>
  <c r="M105" i="3"/>
  <c r="M165" i="3" s="1"/>
  <c r="M104" i="3"/>
  <c r="M164" i="3" s="1"/>
  <c r="M103" i="3"/>
  <c r="M163" i="3" s="1"/>
  <c r="L107" i="3"/>
  <c r="J107" i="3"/>
  <c r="H107" i="3"/>
  <c r="H108" i="3" s="1"/>
  <c r="N107" i="3"/>
  <c r="O107" i="3" s="1"/>
  <c r="I114" i="3"/>
  <c r="I149" i="3" s="1"/>
  <c r="K114" i="3"/>
  <c r="K149" i="3" s="1"/>
  <c r="M114" i="3"/>
  <c r="M149" i="3" s="1"/>
  <c r="L119" i="3"/>
  <c r="J119" i="3"/>
  <c r="L117" i="3"/>
  <c r="L152" i="3" s="1"/>
  <c r="J117" i="3"/>
  <c r="N117" i="3"/>
  <c r="N152" i="3" s="1"/>
  <c r="N119" i="3"/>
  <c r="J134" i="3"/>
  <c r="J188" i="3" s="1"/>
  <c r="L134" i="3"/>
  <c r="L133" i="3" s="1"/>
  <c r="N134" i="3"/>
  <c r="N133" i="3" s="1"/>
  <c r="J139" i="3"/>
  <c r="J195" i="3" s="1"/>
  <c r="L139" i="3"/>
  <c r="L195" i="3" s="1"/>
  <c r="N139" i="3"/>
  <c r="E139" i="3"/>
  <c r="E195" i="3" s="1"/>
  <c r="G139" i="3"/>
  <c r="G195" i="3" s="1"/>
  <c r="I145" i="3"/>
  <c r="I144" i="3"/>
  <c r="I138" i="3"/>
  <c r="I194" i="3" s="1"/>
  <c r="I137" i="3"/>
  <c r="I134" i="3"/>
  <c r="I188" i="3" s="1"/>
  <c r="I133" i="3"/>
  <c r="I187" i="3" s="1"/>
  <c r="I132" i="3"/>
  <c r="I186" i="3" s="1"/>
  <c r="I131" i="3"/>
  <c r="K145" i="3"/>
  <c r="K144" i="3"/>
  <c r="K138" i="3"/>
  <c r="K194" i="3" s="1"/>
  <c r="K137" i="3"/>
  <c r="K136" i="3" s="1"/>
  <c r="K190" i="3" s="1"/>
  <c r="K132" i="3"/>
  <c r="K186" i="3" s="1"/>
  <c r="K131" i="3"/>
  <c r="M145" i="3"/>
  <c r="M144" i="3"/>
  <c r="M138" i="3"/>
  <c r="M194" i="3" s="1"/>
  <c r="M137" i="3"/>
  <c r="M191" i="3" s="1"/>
  <c r="M132" i="3"/>
  <c r="M186" i="3" s="1"/>
  <c r="M131" i="3"/>
  <c r="H194" i="3"/>
  <c r="J194" i="3"/>
  <c r="L194" i="3"/>
  <c r="N194" i="3"/>
  <c r="H195" i="3"/>
  <c r="J190" i="3"/>
  <c r="L190" i="3"/>
  <c r="N190" i="3"/>
  <c r="H191" i="3"/>
  <c r="J191" i="3"/>
  <c r="L191" i="3"/>
  <c r="N191" i="3"/>
  <c r="J185" i="3"/>
  <c r="L185" i="3"/>
  <c r="N185" i="3"/>
  <c r="J186" i="3"/>
  <c r="L186" i="3"/>
  <c r="N186" i="3"/>
  <c r="G177" i="3"/>
  <c r="H177" i="3"/>
  <c r="I177" i="3"/>
  <c r="J177" i="3"/>
  <c r="K177" i="3"/>
  <c r="L177" i="3"/>
  <c r="M177" i="3"/>
  <c r="N177" i="3"/>
  <c r="G178" i="3"/>
  <c r="H178" i="3"/>
  <c r="I178" i="3"/>
  <c r="J178" i="3"/>
  <c r="K178" i="3"/>
  <c r="K179" i="3" s="1"/>
  <c r="L178" i="3"/>
  <c r="M178" i="3"/>
  <c r="N178" i="3"/>
  <c r="O178" i="3"/>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O177" i="3"/>
  <c r="H163" i="3"/>
  <c r="J163" i="3"/>
  <c r="J170" i="3" s="1"/>
  <c r="L163" i="3"/>
  <c r="N163" i="3"/>
  <c r="N170" i="3" s="1"/>
  <c r="H164" i="3"/>
  <c r="J164" i="3"/>
  <c r="L164" i="3"/>
  <c r="N164" i="3"/>
  <c r="H165" i="3"/>
  <c r="J165" i="3"/>
  <c r="L165" i="3"/>
  <c r="N165" i="3"/>
  <c r="P165" i="3" s="1"/>
  <c r="H166" i="3"/>
  <c r="J166" i="3"/>
  <c r="L166" i="3"/>
  <c r="N166" i="3"/>
  <c r="P166" i="3" s="1"/>
  <c r="H149" i="3"/>
  <c r="J149" i="3"/>
  <c r="L149" i="3"/>
  <c r="N149" i="3"/>
  <c r="J152" i="3"/>
  <c r="L154" i="3"/>
  <c r="O145" i="3"/>
  <c r="O144" i="3"/>
  <c r="O138" i="3"/>
  <c r="O194" i="3" s="1"/>
  <c r="O137" i="3"/>
  <c r="O191" i="3" s="1"/>
  <c r="O132" i="3"/>
  <c r="O186" i="3" s="1"/>
  <c r="O131" i="3"/>
  <c r="O114" i="3"/>
  <c r="O106" i="3"/>
  <c r="O166" i="3" s="1"/>
  <c r="Q166" i="3" s="1"/>
  <c r="O105" i="3"/>
  <c r="O165" i="3" s="1"/>
  <c r="Q165" i="3" s="1"/>
  <c r="O104" i="3"/>
  <c r="O164" i="3" s="1"/>
  <c r="O103" i="3"/>
  <c r="O163" i="3" s="1"/>
  <c r="O94" i="3"/>
  <c r="O95" i="3" s="1"/>
  <c r="O92" i="3"/>
  <c r="O91" i="3"/>
  <c r="O90" i="3"/>
  <c r="O89" i="3"/>
  <c r="O81" i="3"/>
  <c r="O80" i="3"/>
  <c r="O79" i="3"/>
  <c r="O76" i="3"/>
  <c r="O75" i="3"/>
  <c r="O73" i="3"/>
  <c r="O64" i="3"/>
  <c r="O63" i="3"/>
  <c r="O34" i="3"/>
  <c r="O32" i="3"/>
  <c r="O26" i="3"/>
  <c r="O25" i="3"/>
  <c r="O20" i="3"/>
  <c r="O15" i="3"/>
  <c r="O14" i="3"/>
  <c r="O8" i="3"/>
  <c r="Q8" i="3" s="1"/>
  <c r="O7" i="3"/>
  <c r="K117" i="3" l="1"/>
  <c r="K152" i="3" s="1"/>
  <c r="M95" i="2"/>
  <c r="L142" i="2"/>
  <c r="O49" i="3"/>
  <c r="O41" i="3" s="1"/>
  <c r="N153" i="2"/>
  <c r="M152" i="2"/>
  <c r="P50" i="3"/>
  <c r="J108" i="3"/>
  <c r="L68" i="3"/>
  <c r="N120" i="3"/>
  <c r="L120" i="3"/>
  <c r="O17" i="3"/>
  <c r="M48" i="3"/>
  <c r="M40" i="3" s="1"/>
  <c r="L172" i="3"/>
  <c r="P34" i="3"/>
  <c r="Q34" i="3"/>
  <c r="L140" i="2"/>
  <c r="M286" i="2"/>
  <c r="M283" i="2"/>
  <c r="K24" i="1"/>
  <c r="M75" i="3"/>
  <c r="K140" i="2"/>
  <c r="L286" i="2"/>
  <c r="L283" i="2"/>
  <c r="L41" i="2"/>
  <c r="L43" i="2" s="1"/>
  <c r="L30" i="2"/>
  <c r="I17" i="3"/>
  <c r="K29" i="3"/>
  <c r="N113" i="2"/>
  <c r="O113" i="2" s="1"/>
  <c r="P113" i="2" s="1"/>
  <c r="Q113" i="2" s="1"/>
  <c r="R113" i="2" s="1"/>
  <c r="S113" i="2" s="1"/>
  <c r="T113" i="2" s="1"/>
  <c r="U113" i="2" s="1"/>
  <c r="V113" i="2" s="1"/>
  <c r="W113" i="2" s="1"/>
  <c r="D29" i="1"/>
  <c r="N53" i="2"/>
  <c r="R24" i="1"/>
  <c r="M113" i="2"/>
  <c r="C29" i="1"/>
  <c r="G127" i="2"/>
  <c r="N234" i="2"/>
  <c r="N316" i="2"/>
  <c r="L92" i="2"/>
  <c r="L233" i="2"/>
  <c r="M234" i="2"/>
  <c r="M316" i="2"/>
  <c r="R33" i="1"/>
  <c r="M222" i="2"/>
  <c r="M225" i="2"/>
  <c r="L234" i="2"/>
  <c r="L316" i="2"/>
  <c r="Q33" i="1"/>
  <c r="M92" i="2"/>
  <c r="M233" i="2"/>
  <c r="K41" i="2"/>
  <c r="K43" i="2" s="1"/>
  <c r="N56" i="2"/>
  <c r="N68" i="2" s="1"/>
  <c r="N69" i="2" s="1"/>
  <c r="N92" i="2"/>
  <c r="O93" i="3" s="1"/>
  <c r="L222" i="2"/>
  <c r="L225" i="2"/>
  <c r="O134" i="3"/>
  <c r="O188" i="3" s="1"/>
  <c r="M56" i="2"/>
  <c r="M68" i="2" s="1"/>
  <c r="M68" i="3" s="1"/>
  <c r="K152" i="2"/>
  <c r="M287" i="2"/>
  <c r="H104" i="2"/>
  <c r="O140" i="2"/>
  <c r="N140" i="2"/>
  <c r="I152" i="2"/>
  <c r="M263" i="2"/>
  <c r="N287" i="2"/>
  <c r="K318" i="2"/>
  <c r="L287" i="2"/>
  <c r="R140" i="2"/>
  <c r="M140" i="2"/>
  <c r="N286" i="2"/>
  <c r="N283" i="2"/>
  <c r="Q34" i="1"/>
  <c r="O119" i="3"/>
  <c r="O47" i="3"/>
  <c r="E5" i="7" s="1"/>
  <c r="K119" i="3"/>
  <c r="J120" i="3"/>
  <c r="N154" i="3"/>
  <c r="J171" i="3"/>
  <c r="J172" i="3"/>
  <c r="J192" i="3"/>
  <c r="G179" i="3"/>
  <c r="L108" i="3"/>
  <c r="P163" i="3"/>
  <c r="P103" i="3" s="1"/>
  <c r="N173" i="3"/>
  <c r="P98" i="2"/>
  <c r="P99" i="2" s="1"/>
  <c r="P101" i="2" s="1"/>
  <c r="E27" i="1"/>
  <c r="E28" i="1" s="1"/>
  <c r="E22" i="1" s="1"/>
  <c r="O36" i="3"/>
  <c r="I191" i="3"/>
  <c r="I136" i="3"/>
  <c r="I139" i="3" s="1"/>
  <c r="I185" i="3"/>
  <c r="G68" i="3"/>
  <c r="G69" i="3" s="1"/>
  <c r="J81" i="2"/>
  <c r="G82" i="3" s="1"/>
  <c r="L68" i="2"/>
  <c r="O10" i="3"/>
  <c r="O96" i="3" s="1"/>
  <c r="N188" i="3"/>
  <c r="N41" i="2"/>
  <c r="N43" i="2" s="1"/>
  <c r="G104" i="2"/>
  <c r="K113" i="2"/>
  <c r="F19" i="2"/>
  <c r="F21" i="2" s="1"/>
  <c r="F22" i="2" s="1"/>
  <c r="L152" i="2"/>
  <c r="I104" i="2"/>
  <c r="K127" i="2"/>
  <c r="K134" i="3"/>
  <c r="K188" i="3" s="1"/>
  <c r="M127" i="2"/>
  <c r="H153" i="2"/>
  <c r="N263" i="2"/>
  <c r="N206" i="2"/>
  <c r="O206" i="2" s="1"/>
  <c r="P206" i="2" s="1"/>
  <c r="N219" i="2"/>
  <c r="O219" i="2" s="1"/>
  <c r="P219" i="2" s="1"/>
  <c r="Q219" i="2" s="1"/>
  <c r="R219" i="2" s="1"/>
  <c r="S219" i="2" s="1"/>
  <c r="T219" i="2" s="1"/>
  <c r="U219" i="2" s="1"/>
  <c r="V219" i="2" s="1"/>
  <c r="W219" i="2" s="1"/>
  <c r="X219" i="2" s="1"/>
  <c r="O117" i="3"/>
  <c r="O152" i="3" s="1"/>
  <c r="G107" i="3"/>
  <c r="G108" i="3" s="1"/>
  <c r="L104" i="2"/>
  <c r="G153" i="2"/>
  <c r="N242" i="2"/>
  <c r="N251" i="2" s="1"/>
  <c r="N264" i="2"/>
  <c r="M206" i="2"/>
  <c r="N222" i="2"/>
  <c r="L11" i="2"/>
  <c r="N65" i="2"/>
  <c r="E152" i="2"/>
  <c r="J11" i="2"/>
  <c r="M65" i="2"/>
  <c r="N95" i="2"/>
  <c r="N106" i="2" s="1"/>
  <c r="H127" i="2"/>
  <c r="M153" i="2"/>
  <c r="M154" i="2" s="1"/>
  <c r="L244" i="2"/>
  <c r="L275" i="2"/>
  <c r="L250" i="2"/>
  <c r="M81" i="2"/>
  <c r="J29" i="1" s="1"/>
  <c r="N250" i="2"/>
  <c r="N275" i="2"/>
  <c r="K70" i="2"/>
  <c r="K69" i="2"/>
  <c r="K81" i="2"/>
  <c r="M250" i="2"/>
  <c r="M275" i="2"/>
  <c r="J152" i="2"/>
  <c r="K53" i="2"/>
  <c r="K65" i="2"/>
  <c r="M58" i="2"/>
  <c r="L95" i="2"/>
  <c r="I143" i="2"/>
  <c r="I144" i="2" s="1"/>
  <c r="I145" i="2" s="1"/>
  <c r="L153" i="2"/>
  <c r="H152" i="2"/>
  <c r="L206" i="2"/>
  <c r="M134" i="3"/>
  <c r="M188" i="3" s="1"/>
  <c r="H11" i="2"/>
  <c r="M19" i="2"/>
  <c r="J65" i="2"/>
  <c r="K95" i="2"/>
  <c r="K106" i="2" s="1"/>
  <c r="N127" i="2"/>
  <c r="M143" i="2"/>
  <c r="H143" i="2"/>
  <c r="K153" i="2"/>
  <c r="K154" i="2" s="1"/>
  <c r="G152" i="2"/>
  <c r="L251" i="2"/>
  <c r="O29" i="3"/>
  <c r="L188" i="3"/>
  <c r="M93" i="3"/>
  <c r="G11" i="2"/>
  <c r="L19" i="2"/>
  <c r="L21" i="2" s="1"/>
  <c r="L22" i="2" s="1"/>
  <c r="L138" i="2" s="1"/>
  <c r="L136" i="2" s="1"/>
  <c r="L144" i="2" s="1"/>
  <c r="I65" i="2"/>
  <c r="K58" i="2"/>
  <c r="J95" i="2"/>
  <c r="G143" i="2"/>
  <c r="J153" i="2"/>
  <c r="F152" i="2"/>
  <c r="F154" i="2" s="1"/>
  <c r="L264" i="2"/>
  <c r="M243" i="2"/>
  <c r="L65" i="2"/>
  <c r="N58" i="2"/>
  <c r="O99" i="2"/>
  <c r="O101" i="2" s="1"/>
  <c r="K93" i="3"/>
  <c r="K19" i="2"/>
  <c r="K21" i="2" s="1"/>
  <c r="K22" i="2" s="1"/>
  <c r="M30" i="2"/>
  <c r="M41" i="2"/>
  <c r="M42" i="2" s="1"/>
  <c r="I95" i="2"/>
  <c r="I106" i="2" s="1"/>
  <c r="F143" i="2"/>
  <c r="F144" i="2" s="1"/>
  <c r="F145" i="2" s="1"/>
  <c r="I153" i="2"/>
  <c r="I154" i="2" s="1"/>
  <c r="M242" i="2"/>
  <c r="M251" i="2" s="1"/>
  <c r="I68" i="3"/>
  <c r="I93" i="3"/>
  <c r="N19" i="2"/>
  <c r="R29" i="1" s="1"/>
  <c r="O25" i="4" s="1"/>
  <c r="J19" i="2"/>
  <c r="N52" i="2"/>
  <c r="L57" i="2"/>
  <c r="I127" i="2"/>
  <c r="M142" i="2"/>
  <c r="L263" i="2"/>
  <c r="M29" i="3"/>
  <c r="I19" i="2"/>
  <c r="I21" i="2" s="1"/>
  <c r="I22" i="2" s="1"/>
  <c r="M52" i="2"/>
  <c r="L70" i="2"/>
  <c r="N142" i="2"/>
  <c r="H142" i="2"/>
  <c r="H144" i="2" s="1"/>
  <c r="N40" i="3"/>
  <c r="K11" i="2"/>
  <c r="H19" i="2"/>
  <c r="H21" i="2" s="1"/>
  <c r="H22" i="2" s="1"/>
  <c r="L42" i="2"/>
  <c r="N104" i="2"/>
  <c r="G142" i="2"/>
  <c r="E153" i="2"/>
  <c r="E154" i="2" s="1"/>
  <c r="G19" i="2"/>
  <c r="G21" i="2" s="1"/>
  <c r="G22" i="2" s="1"/>
  <c r="J70" i="2"/>
  <c r="J69" i="2"/>
  <c r="M104" i="2"/>
  <c r="M11" i="2"/>
  <c r="M53" i="2"/>
  <c r="J127" i="2"/>
  <c r="J143" i="2"/>
  <c r="J144" i="2" s="1"/>
  <c r="J145" i="2" s="1"/>
  <c r="M205" i="2"/>
  <c r="M219" i="2"/>
  <c r="L53" i="2"/>
  <c r="L205" i="2"/>
  <c r="N51" i="3"/>
  <c r="N56" i="3" s="1"/>
  <c r="O68" i="3"/>
  <c r="I29" i="3"/>
  <c r="I30" i="3" s="1"/>
  <c r="L167" i="3"/>
  <c r="H167" i="3"/>
  <c r="L39" i="3"/>
  <c r="N179" i="3"/>
  <c r="P179" i="3" s="1"/>
  <c r="R179" i="3" s="1"/>
  <c r="T179" i="3" s="1"/>
  <c r="V179" i="3" s="1"/>
  <c r="X179" i="3" s="1"/>
  <c r="Z179" i="3" s="1"/>
  <c r="AB179" i="3" s="1"/>
  <c r="AD179" i="3" s="1"/>
  <c r="AF179" i="3" s="1"/>
  <c r="AH179" i="3" s="1"/>
  <c r="J86" i="3"/>
  <c r="J154" i="3"/>
  <c r="I107" i="3"/>
  <c r="I122" i="3" s="1"/>
  <c r="J68" i="3"/>
  <c r="K68" i="3" s="1"/>
  <c r="L179" i="3"/>
  <c r="N187" i="3"/>
  <c r="O133" i="3"/>
  <c r="O187" i="3" s="1"/>
  <c r="P105" i="3"/>
  <c r="R165" i="3"/>
  <c r="N167" i="3"/>
  <c r="O179" i="3"/>
  <c r="Q179" i="3" s="1"/>
  <c r="S179" i="3" s="1"/>
  <c r="U179" i="3" s="1"/>
  <c r="W179" i="3" s="1"/>
  <c r="Y179" i="3" s="1"/>
  <c r="AA179" i="3" s="1"/>
  <c r="AC179" i="3" s="1"/>
  <c r="AE179" i="3" s="1"/>
  <c r="AG179" i="3" s="1"/>
  <c r="AI179" i="3" s="1"/>
  <c r="L65" i="3"/>
  <c r="L96" i="3"/>
  <c r="L171" i="3"/>
  <c r="J179" i="3"/>
  <c r="J167" i="3"/>
  <c r="I179" i="3"/>
  <c r="K180" i="3" s="1"/>
  <c r="N192" i="3"/>
  <c r="P191" i="3"/>
  <c r="R191" i="3" s="1"/>
  <c r="T191" i="3" s="1"/>
  <c r="V191" i="3" s="1"/>
  <c r="X191" i="3" s="1"/>
  <c r="H65" i="3"/>
  <c r="H96" i="3"/>
  <c r="H179" i="3"/>
  <c r="H181" i="3" s="1"/>
  <c r="L192" i="3"/>
  <c r="M49" i="3"/>
  <c r="M41" i="3" s="1"/>
  <c r="N30" i="2"/>
  <c r="M117" i="3"/>
  <c r="M152" i="3" s="1"/>
  <c r="M10" i="3"/>
  <c r="M96" i="3" s="1"/>
  <c r="N19" i="3"/>
  <c r="N21" i="3" s="1"/>
  <c r="N22" i="3" s="1"/>
  <c r="N118" i="3" s="1"/>
  <c r="N153" i="3" s="1"/>
  <c r="L173" i="3"/>
  <c r="M107" i="3"/>
  <c r="L19" i="3"/>
  <c r="L21" i="3" s="1"/>
  <c r="L22" i="3" s="1"/>
  <c r="L118" i="3" s="1"/>
  <c r="J19" i="3"/>
  <c r="N30" i="3"/>
  <c r="K10" i="3"/>
  <c r="K96" i="3" s="1"/>
  <c r="L30" i="3"/>
  <c r="H19" i="3"/>
  <c r="J30" i="3"/>
  <c r="M179" i="3"/>
  <c r="M181" i="3" s="1"/>
  <c r="N195" i="3"/>
  <c r="N70" i="3"/>
  <c r="R163" i="3"/>
  <c r="P106" i="3"/>
  <c r="R166" i="3"/>
  <c r="K107" i="3"/>
  <c r="K122" i="3" s="1"/>
  <c r="K157" i="3" s="1"/>
  <c r="N11" i="3"/>
  <c r="I10" i="3"/>
  <c r="I96" i="3" s="1"/>
  <c r="L70" i="3"/>
  <c r="X123" i="2"/>
  <c r="W123" i="2"/>
  <c r="V123" i="2"/>
  <c r="U123" i="2"/>
  <c r="T123" i="2"/>
  <c r="Q123" i="2"/>
  <c r="P123" i="2"/>
  <c r="R123" i="2"/>
  <c r="S123" i="2"/>
  <c r="O123" i="2"/>
  <c r="Q191" i="3"/>
  <c r="O181" i="3"/>
  <c r="Q163" i="3"/>
  <c r="Q105" i="3"/>
  <c r="S165" i="3"/>
  <c r="Q106" i="3"/>
  <c r="S166" i="3"/>
  <c r="O149" i="3"/>
  <c r="O122" i="3"/>
  <c r="O157" i="3" s="1"/>
  <c r="Q157" i="3" s="1"/>
  <c r="S157" i="3" s="1"/>
  <c r="U157" i="3" s="1"/>
  <c r="W157" i="3" s="1"/>
  <c r="Y157" i="3" s="1"/>
  <c r="AA157" i="3" s="1"/>
  <c r="AC157" i="3" s="1"/>
  <c r="AE157" i="3" s="1"/>
  <c r="AG157" i="3" s="1"/>
  <c r="AI157" i="3" s="1"/>
  <c r="Z33" i="3"/>
  <c r="S8" i="3"/>
  <c r="P8" i="2" s="1"/>
  <c r="O8" i="2"/>
  <c r="R205" i="2"/>
  <c r="Q206" i="2"/>
  <c r="N243" i="2"/>
  <c r="N244" i="2" s="1"/>
  <c r="N152" i="2"/>
  <c r="N154" i="2" s="1"/>
  <c r="N156" i="2" s="1"/>
  <c r="M119" i="3"/>
  <c r="I81" i="2"/>
  <c r="I84" i="2" s="1"/>
  <c r="I85" i="2" s="1"/>
  <c r="J84" i="2"/>
  <c r="M43" i="2"/>
  <c r="N11" i="2"/>
  <c r="K139" i="3"/>
  <c r="K195" i="3" s="1"/>
  <c r="G65" i="3"/>
  <c r="O185" i="3"/>
  <c r="O136" i="3"/>
  <c r="O190" i="3" s="1"/>
  <c r="O40" i="3"/>
  <c r="O192" i="3"/>
  <c r="O33" i="3"/>
  <c r="N33" i="2" s="1"/>
  <c r="X33" i="3"/>
  <c r="AI33" i="3"/>
  <c r="X33" i="2" s="1"/>
  <c r="W33" i="3"/>
  <c r="I167" i="3"/>
  <c r="Y33" i="3"/>
  <c r="S33" i="2" s="1"/>
  <c r="AH33" i="3"/>
  <c r="V33" i="3"/>
  <c r="AG33" i="3"/>
  <c r="W33" i="2" s="1"/>
  <c r="U33" i="3"/>
  <c r="Q33" i="2" s="1"/>
  <c r="AE33" i="3"/>
  <c r="V33" i="2" s="1"/>
  <c r="S33" i="3"/>
  <c r="P33" i="2" s="1"/>
  <c r="R33" i="3"/>
  <c r="AD33" i="3"/>
  <c r="AC33" i="3"/>
  <c r="U33" i="2" s="1"/>
  <c r="Q33" i="3"/>
  <c r="O33" i="2" s="1"/>
  <c r="AB33" i="3"/>
  <c r="P33" i="3"/>
  <c r="AA33" i="3"/>
  <c r="T33" i="2" s="1"/>
  <c r="AF33" i="3"/>
  <c r="T33" i="3"/>
  <c r="H70" i="3"/>
  <c r="L69" i="3"/>
  <c r="H69" i="3"/>
  <c r="L51" i="3"/>
  <c r="L42" i="3" s="1"/>
  <c r="L44" i="3" s="1"/>
  <c r="J51" i="3"/>
  <c r="K51" i="3" s="1"/>
  <c r="H51" i="3"/>
  <c r="I51" i="3" s="1"/>
  <c r="N69" i="3"/>
  <c r="O51" i="3"/>
  <c r="G53" i="3"/>
  <c r="G42" i="3"/>
  <c r="G43" i="3" s="1"/>
  <c r="G30" i="3"/>
  <c r="G11" i="3"/>
  <c r="J65" i="3"/>
  <c r="H11" i="3"/>
  <c r="L11" i="3"/>
  <c r="J11" i="3"/>
  <c r="N65" i="3"/>
  <c r="K171" i="3"/>
  <c r="K172" i="3"/>
  <c r="K173" i="3"/>
  <c r="K170" i="3"/>
  <c r="K167" i="3"/>
  <c r="M171" i="3"/>
  <c r="M173" i="3"/>
  <c r="M170" i="3"/>
  <c r="M167" i="3"/>
  <c r="O171" i="3"/>
  <c r="L122" i="3"/>
  <c r="L157" i="3" s="1"/>
  <c r="J122" i="3"/>
  <c r="J157" i="3" s="1"/>
  <c r="N108" i="3"/>
  <c r="N122" i="3"/>
  <c r="N157" i="3" s="1"/>
  <c r="P157" i="3" s="1"/>
  <c r="R157" i="3" s="1"/>
  <c r="T157" i="3" s="1"/>
  <c r="V157" i="3" s="1"/>
  <c r="X157" i="3" s="1"/>
  <c r="H123" i="3"/>
  <c r="H158" i="3" s="1"/>
  <c r="H122" i="3"/>
  <c r="H157" i="3" s="1"/>
  <c r="L155" i="3"/>
  <c r="N155" i="3"/>
  <c r="J133" i="3"/>
  <c r="L187" i="3"/>
  <c r="M133" i="3"/>
  <c r="M187" i="3" s="1"/>
  <c r="K191" i="3"/>
  <c r="K185" i="3"/>
  <c r="M185" i="3"/>
  <c r="M136" i="3"/>
  <c r="K181" i="3"/>
  <c r="N181" i="3"/>
  <c r="O180" i="3"/>
  <c r="L181" i="3"/>
  <c r="J181" i="3"/>
  <c r="N171" i="3"/>
  <c r="O173" i="3"/>
  <c r="O172" i="3"/>
  <c r="P167" i="3"/>
  <c r="J173" i="3"/>
  <c r="N172" i="3"/>
  <c r="L170" i="3"/>
  <c r="M172" i="3"/>
  <c r="O167" i="3"/>
  <c r="O170" i="3"/>
  <c r="R25" i="1" l="1"/>
  <c r="O30" i="4"/>
  <c r="K25" i="1"/>
  <c r="U25" i="4"/>
  <c r="L154" i="2"/>
  <c r="L156" i="2" s="1"/>
  <c r="J154" i="2"/>
  <c r="J156" i="2" s="1"/>
  <c r="L106" i="2"/>
  <c r="J106" i="2"/>
  <c r="N70" i="2"/>
  <c r="M106" i="2"/>
  <c r="D23" i="1"/>
  <c r="D30" i="1"/>
  <c r="J69" i="3"/>
  <c r="M19" i="3"/>
  <c r="R50" i="3"/>
  <c r="Q50" i="3"/>
  <c r="S34" i="3"/>
  <c r="S36" i="3" s="1"/>
  <c r="R34" i="3"/>
  <c r="T34" i="3" s="1"/>
  <c r="M180" i="3"/>
  <c r="I181" i="3"/>
  <c r="I180" i="3"/>
  <c r="L180" i="3"/>
  <c r="O39" i="3"/>
  <c r="E2" i="7"/>
  <c r="E17" i="7" s="1"/>
  <c r="E18" i="7" s="1"/>
  <c r="R34" i="1"/>
  <c r="P36" i="3"/>
  <c r="M30" i="3"/>
  <c r="M69" i="2"/>
  <c r="N53" i="3"/>
  <c r="H145" i="2"/>
  <c r="N81" i="2"/>
  <c r="K29" i="1" s="1"/>
  <c r="M21" i="2"/>
  <c r="M22" i="2" s="1"/>
  <c r="M138" i="2" s="1"/>
  <c r="Q29" i="1"/>
  <c r="N57" i="2"/>
  <c r="N284" i="2"/>
  <c r="N285" i="2" s="1"/>
  <c r="N288" i="2"/>
  <c r="L81" i="2"/>
  <c r="L84" i="2" s="1"/>
  <c r="L317" i="2"/>
  <c r="L288" i="2"/>
  <c r="L284" i="2"/>
  <c r="L285" i="2" s="1"/>
  <c r="J34" i="1"/>
  <c r="J35" i="1" s="1"/>
  <c r="M317" i="2"/>
  <c r="M57" i="2"/>
  <c r="M284" i="2"/>
  <c r="M285" i="2" s="1"/>
  <c r="M288" i="2"/>
  <c r="M70" i="2"/>
  <c r="N317" i="2"/>
  <c r="K34" i="1"/>
  <c r="K35" i="1" s="1"/>
  <c r="M154" i="3"/>
  <c r="M120" i="3"/>
  <c r="K154" i="3"/>
  <c r="K120" i="3"/>
  <c r="O154" i="3"/>
  <c r="O120" i="3"/>
  <c r="R30" i="1"/>
  <c r="R27" i="1"/>
  <c r="Q181" i="3"/>
  <c r="J70" i="3"/>
  <c r="N21" i="2"/>
  <c r="O21" i="3" s="1"/>
  <c r="P181" i="3"/>
  <c r="N180" i="3"/>
  <c r="P190" i="3"/>
  <c r="P185" i="3" s="1"/>
  <c r="P186" i="3" s="1"/>
  <c r="N174" i="3"/>
  <c r="O124" i="2"/>
  <c r="Q98" i="2"/>
  <c r="F27" i="1"/>
  <c r="F28" i="1" s="1"/>
  <c r="F22" i="1" s="1"/>
  <c r="I190" i="3"/>
  <c r="K192" i="3"/>
  <c r="I195" i="3"/>
  <c r="G70" i="3"/>
  <c r="I69" i="3"/>
  <c r="O65" i="3"/>
  <c r="P65" i="3" s="1"/>
  <c r="O70" i="3"/>
  <c r="G123" i="3"/>
  <c r="G158" i="3" s="1"/>
  <c r="G122" i="3"/>
  <c r="G157" i="3" s="1"/>
  <c r="M69" i="3"/>
  <c r="M156" i="2"/>
  <c r="M155" i="2"/>
  <c r="K156" i="2"/>
  <c r="L155" i="2"/>
  <c r="I156" i="2"/>
  <c r="F156" i="2"/>
  <c r="F155" i="2"/>
  <c r="N42" i="3"/>
  <c r="N44" i="3" s="1"/>
  <c r="O30" i="3"/>
  <c r="G154" i="2"/>
  <c r="G155" i="2" s="1"/>
  <c r="L69" i="2"/>
  <c r="H154" i="2"/>
  <c r="H156" i="2" s="1"/>
  <c r="M244" i="2"/>
  <c r="N155" i="2"/>
  <c r="K82" i="3"/>
  <c r="N42" i="2"/>
  <c r="G19" i="3"/>
  <c r="J21" i="2"/>
  <c r="N52" i="3"/>
  <c r="G144" i="2"/>
  <c r="G145" i="2" s="1"/>
  <c r="K84" i="2"/>
  <c r="I82" i="3"/>
  <c r="M82" i="3"/>
  <c r="M84" i="2"/>
  <c r="I22" i="3"/>
  <c r="K138" i="2"/>
  <c r="K136" i="2" s="1"/>
  <c r="L52" i="3"/>
  <c r="L53" i="3"/>
  <c r="L135" i="2"/>
  <c r="L143" i="2" s="1"/>
  <c r="L145" i="2"/>
  <c r="M70" i="3"/>
  <c r="M65" i="3"/>
  <c r="O69" i="3"/>
  <c r="O11" i="3"/>
  <c r="K69" i="3"/>
  <c r="I11" i="3"/>
  <c r="I65" i="3"/>
  <c r="I53" i="3"/>
  <c r="K30" i="3"/>
  <c r="I70" i="3"/>
  <c r="O35" i="2"/>
  <c r="Q36" i="3"/>
  <c r="I108" i="3"/>
  <c r="I123" i="3"/>
  <c r="I158" i="3" s="1"/>
  <c r="O19" i="3"/>
  <c r="M108" i="3"/>
  <c r="K65" i="3"/>
  <c r="K108" i="3"/>
  <c r="H42" i="3"/>
  <c r="H44" i="3" s="1"/>
  <c r="R105" i="3"/>
  <c r="T165" i="3"/>
  <c r="K11" i="3"/>
  <c r="J180" i="3"/>
  <c r="M122" i="3"/>
  <c r="M157" i="3" s="1"/>
  <c r="H52" i="3"/>
  <c r="O125" i="2"/>
  <c r="M11" i="3"/>
  <c r="O108" i="3"/>
  <c r="I19" i="3"/>
  <c r="H21" i="3"/>
  <c r="I21" i="3" s="1"/>
  <c r="T166" i="3"/>
  <c r="R106" i="3"/>
  <c r="P107" i="3"/>
  <c r="P108" i="3" s="1"/>
  <c r="P149" i="3"/>
  <c r="P153" i="3" s="1"/>
  <c r="P174" i="3"/>
  <c r="K19" i="3"/>
  <c r="J21" i="3"/>
  <c r="T163" i="3"/>
  <c r="R167" i="3"/>
  <c r="R181" i="3"/>
  <c r="R103" i="3"/>
  <c r="K70" i="3"/>
  <c r="Z191" i="3"/>
  <c r="S191" i="3"/>
  <c r="R190" i="3"/>
  <c r="R185" i="3" s="1"/>
  <c r="Q190" i="3"/>
  <c r="Q185" i="3" s="1"/>
  <c r="O174" i="3"/>
  <c r="O195" i="3"/>
  <c r="S163" i="3"/>
  <c r="Q167" i="3"/>
  <c r="Q174" i="3" s="1"/>
  <c r="S106" i="3"/>
  <c r="U166" i="3"/>
  <c r="S105" i="3"/>
  <c r="U165" i="3"/>
  <c r="Z157" i="3"/>
  <c r="Q103" i="3"/>
  <c r="O122" i="2" s="1"/>
  <c r="R33" i="2"/>
  <c r="O42" i="3"/>
  <c r="U8" i="3"/>
  <c r="R206" i="2"/>
  <c r="S205" i="2"/>
  <c r="J85" i="2"/>
  <c r="G85" i="3"/>
  <c r="G86" i="3" s="1"/>
  <c r="K174" i="3"/>
  <c r="O139" i="3"/>
  <c r="G44" i="3"/>
  <c r="M190" i="3"/>
  <c r="M139" i="3"/>
  <c r="M195" i="3" s="1"/>
  <c r="I42" i="3"/>
  <c r="J53" i="3"/>
  <c r="J56" i="3"/>
  <c r="J42" i="3"/>
  <c r="J44" i="3" s="1"/>
  <c r="H56" i="3"/>
  <c r="H57" i="3" s="1"/>
  <c r="M51" i="3"/>
  <c r="M52" i="3" s="1"/>
  <c r="L56" i="3"/>
  <c r="N57" i="3" s="1"/>
  <c r="J52" i="3"/>
  <c r="I52" i="3"/>
  <c r="H53" i="3"/>
  <c r="O53" i="3"/>
  <c r="O56" i="3"/>
  <c r="N58" i="3"/>
  <c r="K53" i="3"/>
  <c r="K42" i="3"/>
  <c r="K52" i="3"/>
  <c r="L116" i="3"/>
  <c r="L153" i="3"/>
  <c r="N116" i="3"/>
  <c r="N124" i="3" s="1"/>
  <c r="N125" i="3" s="1"/>
  <c r="N160" i="3" s="1"/>
  <c r="M174" i="3"/>
  <c r="I157" i="3"/>
  <c r="H124" i="3"/>
  <c r="J187" i="3"/>
  <c r="K133" i="3"/>
  <c r="K187" i="3" s="1"/>
  <c r="M192" i="3"/>
  <c r="J174" i="3"/>
  <c r="L174" i="3"/>
  <c r="O24" i="3" l="1"/>
  <c r="K155" i="2"/>
  <c r="M21" i="3"/>
  <c r="J155" i="2"/>
  <c r="I155" i="2"/>
  <c r="S50" i="3"/>
  <c r="U50" i="3" s="1"/>
  <c r="T50" i="3"/>
  <c r="R36" i="3"/>
  <c r="P277" i="2" s="1"/>
  <c r="P258" i="2" s="1"/>
  <c r="F13" i="7"/>
  <c r="G13" i="7" s="1"/>
  <c r="H13" i="7" s="1"/>
  <c r="I13" i="7" s="1"/>
  <c r="J13" i="7" s="1"/>
  <c r="O277" i="2"/>
  <c r="O258" i="2" s="1"/>
  <c r="V34" i="3"/>
  <c r="T36" i="3"/>
  <c r="M136" i="2"/>
  <c r="M144" i="2" s="1"/>
  <c r="M145" i="2" s="1"/>
  <c r="M118" i="3"/>
  <c r="M153" i="3" s="1"/>
  <c r="O82" i="3"/>
  <c r="O155" i="3"/>
  <c r="H155" i="2"/>
  <c r="M22" i="3"/>
  <c r="N84" i="2"/>
  <c r="L318" i="2"/>
  <c r="N318" i="2"/>
  <c r="M318" i="2"/>
  <c r="M155" i="3"/>
  <c r="N22" i="2"/>
  <c r="N138" i="2" s="1"/>
  <c r="O44" i="3"/>
  <c r="P131" i="3"/>
  <c r="P187" i="3"/>
  <c r="P133" i="3" s="1"/>
  <c r="N43" i="3"/>
  <c r="H43" i="3"/>
  <c r="I56" i="3"/>
  <c r="I57" i="3" s="1"/>
  <c r="P125" i="2"/>
  <c r="P124" i="2"/>
  <c r="R98" i="2"/>
  <c r="G27" i="1"/>
  <c r="G28" i="1" s="1"/>
  <c r="G22" i="1" s="1"/>
  <c r="Q99" i="2"/>
  <c r="Q101" i="2" s="1"/>
  <c r="R65" i="3"/>
  <c r="T65" i="3" s="1"/>
  <c r="V65" i="3" s="1"/>
  <c r="X65" i="3" s="1"/>
  <c r="Z65" i="3" s="1"/>
  <c r="AB65" i="3" s="1"/>
  <c r="AD65" i="3" s="1"/>
  <c r="AF65" i="3" s="1"/>
  <c r="AH65" i="3" s="1"/>
  <c r="E4" i="7"/>
  <c r="Q65" i="3"/>
  <c r="S65" i="3" s="1"/>
  <c r="U65" i="3" s="1"/>
  <c r="W65" i="3" s="1"/>
  <c r="Y65" i="3" s="1"/>
  <c r="AA65" i="3" s="1"/>
  <c r="AC65" i="3" s="1"/>
  <c r="AE65" i="3" s="1"/>
  <c r="AG65" i="3" s="1"/>
  <c r="AI65" i="3" s="1"/>
  <c r="G124" i="3"/>
  <c r="G125" i="3" s="1"/>
  <c r="G160" i="3" s="1"/>
  <c r="G156" i="2"/>
  <c r="L253" i="2"/>
  <c r="K85" i="3"/>
  <c r="K86" i="3" s="1"/>
  <c r="L85" i="2"/>
  <c r="L320" i="2" s="1"/>
  <c r="K85" i="2"/>
  <c r="K320" i="2" s="1"/>
  <c r="I85" i="3"/>
  <c r="I86" i="3" s="1"/>
  <c r="O85" i="3"/>
  <c r="N253" i="2"/>
  <c r="N85" i="2"/>
  <c r="N320" i="2" s="1"/>
  <c r="J22" i="2"/>
  <c r="G22" i="3" s="1"/>
  <c r="G21" i="3"/>
  <c r="K135" i="2"/>
  <c r="K143" i="2" s="1"/>
  <c r="K144" i="2"/>
  <c r="K145" i="2" s="1"/>
  <c r="M85" i="2"/>
  <c r="M320" i="2" s="1"/>
  <c r="M85" i="3"/>
  <c r="M86" i="3" s="1"/>
  <c r="M253" i="2"/>
  <c r="I124" i="3"/>
  <c r="I125" i="3" s="1"/>
  <c r="I160" i="3" s="1"/>
  <c r="R174" i="3"/>
  <c r="R149" i="3"/>
  <c r="R107" i="3"/>
  <c r="R108" i="3" s="1"/>
  <c r="L43" i="3"/>
  <c r="T181" i="3"/>
  <c r="T167" i="3"/>
  <c r="V163" i="3"/>
  <c r="T103" i="3"/>
  <c r="K21" i="3"/>
  <c r="J22" i="3"/>
  <c r="P118" i="3"/>
  <c r="P22" i="3" s="1"/>
  <c r="P114" i="3"/>
  <c r="V165" i="3"/>
  <c r="T105" i="3"/>
  <c r="T106" i="3"/>
  <c r="V166" i="3"/>
  <c r="H58" i="3"/>
  <c r="R131" i="3"/>
  <c r="R186" i="3"/>
  <c r="R132" i="3" s="1"/>
  <c r="P132" i="3"/>
  <c r="Q187" i="3"/>
  <c r="Q133" i="3" s="1"/>
  <c r="Q131" i="3"/>
  <c r="Q186" i="3"/>
  <c r="Q132" i="3" s="1"/>
  <c r="U191" i="3"/>
  <c r="T190" i="3"/>
  <c r="T185" i="3" s="1"/>
  <c r="S190" i="3"/>
  <c r="S185" i="3" s="1"/>
  <c r="AB191" i="3"/>
  <c r="S103" i="3"/>
  <c r="P122" i="2" s="1"/>
  <c r="S181" i="3"/>
  <c r="U106" i="3"/>
  <c r="W166" i="3"/>
  <c r="W165" i="3"/>
  <c r="U105" i="3"/>
  <c r="S167" i="3"/>
  <c r="S174" i="3" s="1"/>
  <c r="U163" i="3"/>
  <c r="AB157" i="3"/>
  <c r="Q107" i="3"/>
  <c r="O126" i="2" s="1"/>
  <c r="O127" i="2" s="1"/>
  <c r="Q149" i="3"/>
  <c r="O58" i="3"/>
  <c r="O50" i="2"/>
  <c r="W8" i="3"/>
  <c r="Q8" i="2"/>
  <c r="U34" i="3"/>
  <c r="U36" i="3" s="1"/>
  <c r="P35" i="2"/>
  <c r="T205" i="2"/>
  <c r="S206" i="2"/>
  <c r="M56" i="3"/>
  <c r="O57" i="3" s="1"/>
  <c r="L58" i="3"/>
  <c r="L57" i="3"/>
  <c r="J58" i="3"/>
  <c r="K56" i="3"/>
  <c r="K58" i="3" s="1"/>
  <c r="J57" i="3"/>
  <c r="M53" i="3"/>
  <c r="M42" i="3"/>
  <c r="O43" i="3" s="1"/>
  <c r="O52" i="3"/>
  <c r="J43" i="3"/>
  <c r="I44" i="3"/>
  <c r="I43" i="3"/>
  <c r="K43" i="3"/>
  <c r="K44" i="3"/>
  <c r="M116" i="3"/>
  <c r="L151" i="3"/>
  <c r="L115" i="3"/>
  <c r="L124" i="3"/>
  <c r="N151" i="3"/>
  <c r="N156" i="3" s="1"/>
  <c r="N159" i="3"/>
  <c r="P159" i="3" s="1"/>
  <c r="N115" i="3"/>
  <c r="N150" i="3" s="1"/>
  <c r="H125" i="3"/>
  <c r="H160" i="3" s="1"/>
  <c r="H159" i="3"/>
  <c r="V50" i="3" l="1"/>
  <c r="W50" i="3"/>
  <c r="P50" i="2"/>
  <c r="G12" i="7"/>
  <c r="G14" i="7" s="1"/>
  <c r="G17" i="7" s="1"/>
  <c r="F12" i="7"/>
  <c r="F14" i="7" s="1"/>
  <c r="H12" i="7"/>
  <c r="H14" i="7" s="1"/>
  <c r="H17" i="7" s="1"/>
  <c r="I12" i="7"/>
  <c r="I14" i="7" s="1"/>
  <c r="Q277" i="2"/>
  <c r="Q258" i="2" s="1"/>
  <c r="X34" i="3"/>
  <c r="V36" i="3"/>
  <c r="O86" i="3"/>
  <c r="M322" i="2"/>
  <c r="M321" i="2"/>
  <c r="K322" i="2"/>
  <c r="K321" i="2"/>
  <c r="O115" i="3"/>
  <c r="O150" i="3" s="1"/>
  <c r="N321" i="2"/>
  <c r="N322" i="2"/>
  <c r="L322" i="2"/>
  <c r="L321" i="2"/>
  <c r="O22" i="3"/>
  <c r="P188" i="3"/>
  <c r="P134" i="3" s="1"/>
  <c r="P26" i="3" s="1"/>
  <c r="P15" i="3" s="1"/>
  <c r="I58" i="3"/>
  <c r="R187" i="3"/>
  <c r="R133" i="3" s="1"/>
  <c r="S98" i="2"/>
  <c r="R99" i="2"/>
  <c r="R101" i="2" s="1"/>
  <c r="J12" i="7"/>
  <c r="J14" i="7" s="1"/>
  <c r="J17" i="7" s="1"/>
  <c r="K13" i="7"/>
  <c r="G159" i="3"/>
  <c r="I159" i="3"/>
  <c r="Q125" i="2"/>
  <c r="Q188" i="3"/>
  <c r="Q134" i="3" s="1"/>
  <c r="Q26" i="3" s="1"/>
  <c r="J118" i="3"/>
  <c r="K22" i="3"/>
  <c r="N136" i="2"/>
  <c r="O118" i="3"/>
  <c r="O153" i="3" s="1"/>
  <c r="Q153" i="3" s="1"/>
  <c r="V181" i="3"/>
  <c r="V167" i="3"/>
  <c r="X163" i="3"/>
  <c r="V103" i="3"/>
  <c r="X166" i="3"/>
  <c r="V106" i="3"/>
  <c r="T107" i="3"/>
  <c r="T108" i="3" s="1"/>
  <c r="T174" i="3"/>
  <c r="T149" i="3"/>
  <c r="R159" i="3"/>
  <c r="P158" i="3"/>
  <c r="P150" i="3" s="1"/>
  <c r="N123" i="3"/>
  <c r="N158" i="3" s="1"/>
  <c r="Q124" i="2"/>
  <c r="X165" i="3"/>
  <c r="V105" i="3"/>
  <c r="R153" i="3"/>
  <c r="R114" i="3"/>
  <c r="R122" i="3" s="1"/>
  <c r="P122" i="3"/>
  <c r="P7" i="3"/>
  <c r="S131" i="3"/>
  <c r="S187" i="3"/>
  <c r="S133" i="3" s="1"/>
  <c r="S186" i="3"/>
  <c r="S132" i="3" s="1"/>
  <c r="T131" i="3"/>
  <c r="T186" i="3"/>
  <c r="T132" i="3" s="1"/>
  <c r="AD191" i="3"/>
  <c r="V190" i="3"/>
  <c r="V185" i="3" s="1"/>
  <c r="W191" i="3"/>
  <c r="U190" i="3"/>
  <c r="U185" i="3" s="1"/>
  <c r="U103" i="3"/>
  <c r="Q122" i="2" s="1"/>
  <c r="U181" i="3"/>
  <c r="W106" i="3"/>
  <c r="Y166" i="3"/>
  <c r="W105" i="3"/>
  <c r="Y165" i="3"/>
  <c r="U167" i="3"/>
  <c r="U174" i="3" s="1"/>
  <c r="W163" i="3"/>
  <c r="AD157" i="3"/>
  <c r="Q108" i="3"/>
  <c r="S107" i="3"/>
  <c r="S108" i="3" s="1"/>
  <c r="S149" i="3"/>
  <c r="Q114" i="3"/>
  <c r="Y8" i="3"/>
  <c r="R8" i="2"/>
  <c r="W34" i="3"/>
  <c r="W36" i="3" s="1"/>
  <c r="Q35" i="2"/>
  <c r="T206" i="2"/>
  <c r="U205" i="2"/>
  <c r="M58" i="3"/>
  <c r="M57" i="3"/>
  <c r="M44" i="3"/>
  <c r="K57" i="3"/>
  <c r="M43" i="3"/>
  <c r="M115" i="3"/>
  <c r="L150" i="3"/>
  <c r="L123" i="3"/>
  <c r="L158" i="3" s="1"/>
  <c r="L159" i="3"/>
  <c r="L125" i="3"/>
  <c r="L160" i="3" s="1"/>
  <c r="M124" i="3"/>
  <c r="M151" i="3"/>
  <c r="X50" i="3" l="1"/>
  <c r="Y50" i="3"/>
  <c r="Q50" i="2"/>
  <c r="F17" i="7"/>
  <c r="F15" i="7"/>
  <c r="F16" i="7" s="1"/>
  <c r="Z34" i="3"/>
  <c r="X36" i="3"/>
  <c r="R277" i="2"/>
  <c r="R258" i="2" s="1"/>
  <c r="O123" i="3"/>
  <c r="O158" i="3" s="1"/>
  <c r="T187" i="3"/>
  <c r="T133" i="3" s="1"/>
  <c r="R188" i="3"/>
  <c r="R134" i="3" s="1"/>
  <c r="R26" i="3" s="1"/>
  <c r="R15" i="3" s="1"/>
  <c r="R124" i="2"/>
  <c r="T98" i="2"/>
  <c r="T99" i="2"/>
  <c r="T101" i="2" s="1"/>
  <c r="S99" i="2"/>
  <c r="S101" i="2" s="1"/>
  <c r="H15" i="7"/>
  <c r="H16" i="7" s="1"/>
  <c r="H18" i="7" s="1"/>
  <c r="G15" i="7"/>
  <c r="G16" i="7" s="1"/>
  <c r="G18" i="7" s="1"/>
  <c r="I17" i="7"/>
  <c r="I15" i="7"/>
  <c r="I16" i="7" s="1"/>
  <c r="J15" i="7"/>
  <c r="J16" i="7" s="1"/>
  <c r="J18" i="7" s="1"/>
  <c r="K12" i="7"/>
  <c r="K14" i="7" s="1"/>
  <c r="K17" i="7" s="1"/>
  <c r="L13" i="7"/>
  <c r="Q15" i="3"/>
  <c r="O15" i="2" s="1"/>
  <c r="O26" i="2"/>
  <c r="Z166" i="3"/>
  <c r="X106" i="3"/>
  <c r="R118" i="3"/>
  <c r="R22" i="3" s="1"/>
  <c r="T153" i="3"/>
  <c r="X105" i="3"/>
  <c r="Z165" i="3"/>
  <c r="X181" i="3"/>
  <c r="X103" i="3"/>
  <c r="X167" i="3"/>
  <c r="Z163" i="3"/>
  <c r="V174" i="3"/>
  <c r="V149" i="3"/>
  <c r="V107" i="3"/>
  <c r="V108" i="3" s="1"/>
  <c r="R125" i="2"/>
  <c r="P115" i="3"/>
  <c r="P123" i="3" s="1"/>
  <c r="P151" i="3"/>
  <c r="P152" i="3" s="1"/>
  <c r="R7" i="3"/>
  <c r="T159" i="3"/>
  <c r="R158" i="3"/>
  <c r="R150" i="3" s="1"/>
  <c r="N144" i="2"/>
  <c r="N145" i="2" s="1"/>
  <c r="O116" i="3"/>
  <c r="T114" i="3"/>
  <c r="T122" i="3" s="1"/>
  <c r="J153" i="3"/>
  <c r="J116" i="3"/>
  <c r="J124" i="3" s="1"/>
  <c r="K118" i="3"/>
  <c r="K153" i="3" s="1"/>
  <c r="V186" i="3"/>
  <c r="V132" i="3" s="1"/>
  <c r="V131" i="3"/>
  <c r="S188" i="3"/>
  <c r="S134" i="3" s="1"/>
  <c r="S26" i="3" s="1"/>
  <c r="U186" i="3"/>
  <c r="U132" i="3" s="1"/>
  <c r="U131" i="3"/>
  <c r="U187" i="3"/>
  <c r="U133" i="3" s="1"/>
  <c r="X190" i="3"/>
  <c r="X185" i="3" s="1"/>
  <c r="Y191" i="3"/>
  <c r="W190" i="3"/>
  <c r="W185" i="3" s="1"/>
  <c r="AF191" i="3"/>
  <c r="W103" i="3"/>
  <c r="R122" i="2" s="1"/>
  <c r="W181" i="3"/>
  <c r="AA166" i="3"/>
  <c r="Y106" i="3"/>
  <c r="P126" i="2"/>
  <c r="P127" i="2" s="1"/>
  <c r="W167" i="3"/>
  <c r="W174" i="3" s="1"/>
  <c r="Y163" i="3"/>
  <c r="Y181" i="3" s="1"/>
  <c r="Y105" i="3"/>
  <c r="AA165" i="3"/>
  <c r="AF157" i="3"/>
  <c r="S114" i="3"/>
  <c r="S122" i="3" s="1"/>
  <c r="S153" i="3"/>
  <c r="Q118" i="3"/>
  <c r="Q22" i="3" s="1"/>
  <c r="O22" i="2" s="1"/>
  <c r="U107" i="3"/>
  <c r="Q126" i="2" s="1"/>
  <c r="U149" i="3"/>
  <c r="Q7" i="3"/>
  <c r="Q122" i="3"/>
  <c r="R50" i="2"/>
  <c r="AA8" i="3"/>
  <c r="S8" i="2"/>
  <c r="Y34" i="3"/>
  <c r="Y36" i="3" s="1"/>
  <c r="R35" i="2"/>
  <c r="V205" i="2"/>
  <c r="U206" i="2"/>
  <c r="M125" i="3"/>
  <c r="M160" i="3" s="1"/>
  <c r="M159" i="3"/>
  <c r="M123" i="3"/>
  <c r="M158" i="3" s="1"/>
  <c r="M150" i="3"/>
  <c r="AA50" i="3" l="1"/>
  <c r="Z50" i="3"/>
  <c r="F18" i="7"/>
  <c r="S277" i="2"/>
  <c r="S258" i="2" s="1"/>
  <c r="AB34" i="3"/>
  <c r="Z36" i="3"/>
  <c r="V187" i="3"/>
  <c r="V133" i="3" s="1"/>
  <c r="T188" i="3"/>
  <c r="T134" i="3" s="1"/>
  <c r="T26" i="3" s="1"/>
  <c r="T15" i="3" s="1"/>
  <c r="S125" i="2"/>
  <c r="S124" i="2"/>
  <c r="P117" i="3"/>
  <c r="P20" i="3" s="1"/>
  <c r="U98" i="2"/>
  <c r="I18" i="7"/>
  <c r="K15" i="7"/>
  <c r="K16" i="7" s="1"/>
  <c r="K18" i="7" s="1"/>
  <c r="M13" i="7"/>
  <c r="L12" i="7"/>
  <c r="L14" i="7" s="1"/>
  <c r="L17" i="7" s="1"/>
  <c r="R115" i="3"/>
  <c r="R123" i="3" s="1"/>
  <c r="R151" i="3"/>
  <c r="R152" i="3" s="1"/>
  <c r="X174" i="3"/>
  <c r="X149" i="3"/>
  <c r="X107" i="3"/>
  <c r="X108" i="3" s="1"/>
  <c r="Z181" i="3"/>
  <c r="Z103" i="3"/>
  <c r="Z167" i="3"/>
  <c r="AB163" i="3"/>
  <c r="T7" i="3"/>
  <c r="Z105" i="3"/>
  <c r="AB165" i="3"/>
  <c r="V159" i="3"/>
  <c r="T158" i="3"/>
  <c r="T150" i="3" s="1"/>
  <c r="P116" i="3"/>
  <c r="P124" i="3" s="1"/>
  <c r="P125" i="3" s="1"/>
  <c r="P160" i="3" s="1"/>
  <c r="P154" i="3"/>
  <c r="V153" i="3"/>
  <c r="T118" i="3"/>
  <c r="T22" i="3" s="1"/>
  <c r="K116" i="3"/>
  <c r="J115" i="3"/>
  <c r="J151" i="3"/>
  <c r="AB166" i="3"/>
  <c r="Z106" i="3"/>
  <c r="V114" i="3"/>
  <c r="V122" i="3" s="1"/>
  <c r="O151" i="3"/>
  <c r="O156" i="3" s="1"/>
  <c r="O124" i="3"/>
  <c r="X186" i="3"/>
  <c r="X132" i="3" s="1"/>
  <c r="X131" i="3"/>
  <c r="S15" i="3"/>
  <c r="P15" i="2" s="1"/>
  <c r="P26" i="2"/>
  <c r="U188" i="3"/>
  <c r="U134" i="3" s="1"/>
  <c r="U26" i="3" s="1"/>
  <c r="U15" i="3" s="1"/>
  <c r="W186" i="3"/>
  <c r="W132" i="3" s="1"/>
  <c r="W131" i="3"/>
  <c r="W187" i="3"/>
  <c r="W133" i="3" s="1"/>
  <c r="Y103" i="3"/>
  <c r="S122" i="2" s="1"/>
  <c r="AH191" i="3"/>
  <c r="Z190" i="3"/>
  <c r="Z185" i="3" s="1"/>
  <c r="AA191" i="3"/>
  <c r="Y190" i="3"/>
  <c r="Y185" i="3" s="1"/>
  <c r="Q127" i="2"/>
  <c r="Y167" i="3"/>
  <c r="Y174" i="3" s="1"/>
  <c r="AA163" i="3"/>
  <c r="AA105" i="3"/>
  <c r="T124" i="2" s="1"/>
  <c r="AC165" i="3"/>
  <c r="AC166" i="3"/>
  <c r="AA106" i="3"/>
  <c r="AH157" i="3"/>
  <c r="O7" i="2"/>
  <c r="S7" i="3"/>
  <c r="W107" i="3"/>
  <c r="W108" i="3" s="1"/>
  <c r="W149" i="3"/>
  <c r="U114" i="3"/>
  <c r="U122" i="3" s="1"/>
  <c r="U108" i="3"/>
  <c r="U153" i="3"/>
  <c r="S118" i="3"/>
  <c r="S22" i="3" s="1"/>
  <c r="P22" i="2" s="1"/>
  <c r="AC8" i="3"/>
  <c r="T8" i="2"/>
  <c r="AA34" i="3"/>
  <c r="AA36" i="3" s="1"/>
  <c r="S35" i="2"/>
  <c r="V206" i="2"/>
  <c r="W205" i="2"/>
  <c r="AB50" i="3" l="1"/>
  <c r="AC50" i="3"/>
  <c r="T277" i="2"/>
  <c r="T258" i="2" s="1"/>
  <c r="AD34" i="3"/>
  <c r="AB36" i="3"/>
  <c r="T125" i="2"/>
  <c r="J156" i="3"/>
  <c r="L156" i="3"/>
  <c r="V188" i="3"/>
  <c r="V134" i="3" s="1"/>
  <c r="V26" i="3" s="1"/>
  <c r="V15" i="3" s="1"/>
  <c r="X187" i="3"/>
  <c r="X133" i="3" s="1"/>
  <c r="R117" i="3"/>
  <c r="R20" i="3" s="1"/>
  <c r="V98" i="2"/>
  <c r="U99" i="2"/>
  <c r="U101" i="2" s="1"/>
  <c r="L15" i="7"/>
  <c r="L16" i="7" s="1"/>
  <c r="L18" i="7" s="1"/>
  <c r="N13" i="7"/>
  <c r="M12" i="7"/>
  <c r="M14" i="7" s="1"/>
  <c r="M17" i="7" s="1"/>
  <c r="Q26" i="2"/>
  <c r="K124" i="3"/>
  <c r="K151" i="3"/>
  <c r="AB181" i="3"/>
  <c r="AD163" i="3"/>
  <c r="AB167" i="3"/>
  <c r="AB103" i="3"/>
  <c r="J150" i="3"/>
  <c r="K115" i="3"/>
  <c r="J123" i="3"/>
  <c r="J158" i="3" s="1"/>
  <c r="O159" i="3"/>
  <c r="O125" i="3"/>
  <c r="O160" i="3" s="1"/>
  <c r="Z174" i="3"/>
  <c r="Z149" i="3"/>
  <c r="Z107" i="3"/>
  <c r="Z108" i="3" s="1"/>
  <c r="V118" i="3"/>
  <c r="V22" i="3" s="1"/>
  <c r="X153" i="3"/>
  <c r="X118" i="3" s="1"/>
  <c r="X22" i="3" s="1"/>
  <c r="P119" i="3"/>
  <c r="P155" i="3"/>
  <c r="V7" i="3"/>
  <c r="T115" i="3"/>
  <c r="T123" i="3" s="1"/>
  <c r="T151" i="3"/>
  <c r="T152" i="3" s="1"/>
  <c r="X159" i="3"/>
  <c r="V158" i="3"/>
  <c r="V150" i="3" s="1"/>
  <c r="X114" i="3"/>
  <c r="X122" i="3" s="1"/>
  <c r="AB105" i="3"/>
  <c r="AD165" i="3"/>
  <c r="AB106" i="3"/>
  <c r="AD166" i="3"/>
  <c r="R116" i="3"/>
  <c r="R124" i="3" s="1"/>
  <c r="R125" i="3" s="1"/>
  <c r="R160" i="3" s="1"/>
  <c r="R154" i="3"/>
  <c r="J159" i="3"/>
  <c r="J125" i="3"/>
  <c r="J160" i="3" s="1"/>
  <c r="Q15" i="2"/>
  <c r="Y186" i="3"/>
  <c r="Y132" i="3" s="1"/>
  <c r="Y187" i="3"/>
  <c r="Y133" i="3" s="1"/>
  <c r="Y131" i="3"/>
  <c r="Z186" i="3"/>
  <c r="Z132" i="3" s="1"/>
  <c r="Z131" i="3"/>
  <c r="W188" i="3"/>
  <c r="W134" i="3" s="1"/>
  <c r="W26" i="3" s="1"/>
  <c r="AC191" i="3"/>
  <c r="AB190" i="3"/>
  <c r="AB185" i="3" s="1"/>
  <c r="AA190" i="3"/>
  <c r="AA185" i="3" s="1"/>
  <c r="R126" i="2"/>
  <c r="R127" i="2" s="1"/>
  <c r="AA103" i="3"/>
  <c r="T122" i="2" s="1"/>
  <c r="AA181" i="3"/>
  <c r="AC105" i="3"/>
  <c r="AE165" i="3"/>
  <c r="AC163" i="3"/>
  <c r="AC181" i="3" s="1"/>
  <c r="AA167" i="3"/>
  <c r="AA174" i="3" s="1"/>
  <c r="AC106" i="3"/>
  <c r="AE166" i="3"/>
  <c r="Y107" i="3"/>
  <c r="Y108" i="3" s="1"/>
  <c r="Y149" i="3"/>
  <c r="W153" i="3"/>
  <c r="U118" i="3"/>
  <c r="U22" i="3" s="1"/>
  <c r="Q22" i="2" s="1"/>
  <c r="P7" i="2"/>
  <c r="U7" i="3"/>
  <c r="W114" i="3"/>
  <c r="W122" i="3" s="1"/>
  <c r="S50" i="2"/>
  <c r="AE8" i="3"/>
  <c r="U8" i="2"/>
  <c r="AC34" i="3"/>
  <c r="AC36" i="3" s="1"/>
  <c r="T35" i="2"/>
  <c r="X205" i="2"/>
  <c r="W206" i="2"/>
  <c r="AE50" i="3" l="1"/>
  <c r="AD50" i="3"/>
  <c r="U125" i="2"/>
  <c r="U277" i="2"/>
  <c r="U258" i="2" s="1"/>
  <c r="AF34" i="3"/>
  <c r="AD36" i="3"/>
  <c r="P25" i="3"/>
  <c r="P14" i="3" s="1"/>
  <c r="P120" i="3"/>
  <c r="X188" i="3"/>
  <c r="X134" i="3" s="1"/>
  <c r="X26" i="3" s="1"/>
  <c r="X15" i="3" s="1"/>
  <c r="Z187" i="3"/>
  <c r="Z133" i="3" s="1"/>
  <c r="K156" i="3"/>
  <c r="M156" i="3"/>
  <c r="Q159" i="3"/>
  <c r="S159" i="3" s="1"/>
  <c r="T117" i="3"/>
  <c r="T20" i="3" s="1"/>
  <c r="W98" i="2"/>
  <c r="W99" i="2" s="1"/>
  <c r="W101" i="2" s="1"/>
  <c r="V99" i="2"/>
  <c r="V101" i="2" s="1"/>
  <c r="M15" i="7"/>
  <c r="M16" i="7" s="1"/>
  <c r="M18" i="7" s="1"/>
  <c r="O13" i="7"/>
  <c r="N12" i="7"/>
  <c r="N14" i="7" s="1"/>
  <c r="N17" i="7" s="1"/>
  <c r="U124" i="2"/>
  <c r="AD106" i="3"/>
  <c r="AF166" i="3"/>
  <c r="X7" i="3"/>
  <c r="K150" i="3"/>
  <c r="K123" i="3"/>
  <c r="K158" i="3" s="1"/>
  <c r="AD105" i="3"/>
  <c r="AF165" i="3"/>
  <c r="AB174" i="3"/>
  <c r="AB107" i="3"/>
  <c r="AB108" i="3" s="1"/>
  <c r="AB149" i="3"/>
  <c r="V115" i="3"/>
  <c r="V123" i="3" s="1"/>
  <c r="V151" i="3"/>
  <c r="V152" i="3" s="1"/>
  <c r="AD181" i="3"/>
  <c r="AF163" i="3"/>
  <c r="AD103" i="3"/>
  <c r="AD167" i="3"/>
  <c r="Z159" i="3"/>
  <c r="X158" i="3"/>
  <c r="X150" i="3" s="1"/>
  <c r="T116" i="3"/>
  <c r="T124" i="3" s="1"/>
  <c r="T125" i="3" s="1"/>
  <c r="T160" i="3" s="1"/>
  <c r="T154" i="3"/>
  <c r="Z153" i="3"/>
  <c r="Z118" i="3" s="1"/>
  <c r="Z22" i="3" s="1"/>
  <c r="Z114" i="3"/>
  <c r="Z122" i="3" s="1"/>
  <c r="K125" i="3"/>
  <c r="K160" i="3" s="1"/>
  <c r="K159" i="3"/>
  <c r="R119" i="3"/>
  <c r="R155" i="3"/>
  <c r="W15" i="3"/>
  <c r="R15" i="2" s="1"/>
  <c r="R26" i="2"/>
  <c r="AA187" i="3"/>
  <c r="AA133" i="3" s="1"/>
  <c r="AA186" i="3"/>
  <c r="AA132" i="3" s="1"/>
  <c r="AA131" i="3"/>
  <c r="Y188" i="3"/>
  <c r="Y134" i="3" s="1"/>
  <c r="Y26" i="3" s="1"/>
  <c r="AB186" i="3"/>
  <c r="AB132" i="3" s="1"/>
  <c r="AB131" i="3"/>
  <c r="AE191" i="3"/>
  <c r="AD190" i="3"/>
  <c r="AD185" i="3" s="1"/>
  <c r="AC190" i="3"/>
  <c r="AC185" i="3" s="1"/>
  <c r="AC103" i="3"/>
  <c r="U122" i="2" s="1"/>
  <c r="AE163" i="3"/>
  <c r="AC167" i="3"/>
  <c r="AG165" i="3"/>
  <c r="AE105" i="3"/>
  <c r="AE106" i="3"/>
  <c r="AG166" i="3"/>
  <c r="S126" i="2"/>
  <c r="S127" i="2" s="1"/>
  <c r="Y153" i="3"/>
  <c r="W118" i="3"/>
  <c r="W22" i="3" s="1"/>
  <c r="R22" i="2" s="1"/>
  <c r="Y114" i="3"/>
  <c r="Y122" i="3" s="1"/>
  <c r="Q7" i="2"/>
  <c r="W7" i="3"/>
  <c r="AA107" i="3"/>
  <c r="AA149" i="3"/>
  <c r="AG8" i="3"/>
  <c r="V8" i="2"/>
  <c r="AE34" i="3"/>
  <c r="AE36" i="3" s="1"/>
  <c r="U35" i="2"/>
  <c r="X206" i="2"/>
  <c r="AF50" i="3" l="1"/>
  <c r="AG50" i="3"/>
  <c r="V277" i="2"/>
  <c r="V258" i="2" s="1"/>
  <c r="AH34" i="3"/>
  <c r="AH36" i="3" s="1"/>
  <c r="AF36" i="3"/>
  <c r="V125" i="2"/>
  <c r="R25" i="3"/>
  <c r="R14" i="3" s="1"/>
  <c r="R120" i="3"/>
  <c r="Q158" i="3"/>
  <c r="Q150" i="3" s="1"/>
  <c r="Q115" i="3" s="1"/>
  <c r="Q123" i="3" s="1"/>
  <c r="AB187" i="3"/>
  <c r="AB133" i="3" s="1"/>
  <c r="Z188" i="3"/>
  <c r="Z134" i="3" s="1"/>
  <c r="Z26" i="3" s="1"/>
  <c r="Z15" i="3" s="1"/>
  <c r="V117" i="3"/>
  <c r="V20" i="3" s="1"/>
  <c r="V124" i="2"/>
  <c r="X98" i="2"/>
  <c r="X99" i="2" s="1"/>
  <c r="X101" i="2" s="1"/>
  <c r="N15" i="7"/>
  <c r="N16" i="7" s="1"/>
  <c r="N18" i="7" s="1"/>
  <c r="P13" i="7"/>
  <c r="O12" i="7"/>
  <c r="O14" i="7" s="1"/>
  <c r="O17" i="7" s="1"/>
  <c r="V116" i="3"/>
  <c r="V124" i="3" s="1"/>
  <c r="V125" i="3" s="1"/>
  <c r="V160" i="3" s="1"/>
  <c r="V154" i="3"/>
  <c r="AB153" i="3"/>
  <c r="AB114" i="3"/>
  <c r="AB122" i="3" s="1"/>
  <c r="AD174" i="3"/>
  <c r="AD149" i="3"/>
  <c r="AD107" i="3"/>
  <c r="AD108" i="3" s="1"/>
  <c r="AA188" i="3"/>
  <c r="AA134" i="3" s="1"/>
  <c r="AA26" i="3" s="1"/>
  <c r="AA15" i="3" s="1"/>
  <c r="T119" i="3"/>
  <c r="T155" i="3"/>
  <c r="U159" i="3"/>
  <c r="S158" i="3"/>
  <c r="S150" i="3" s="1"/>
  <c r="AF181" i="3"/>
  <c r="AF167" i="3"/>
  <c r="AF103" i="3"/>
  <c r="AH163" i="3"/>
  <c r="X115" i="3"/>
  <c r="X123" i="3" s="1"/>
  <c r="X151" i="3"/>
  <c r="X152" i="3" s="1"/>
  <c r="AH165" i="3"/>
  <c r="AH105" i="3" s="1"/>
  <c r="AF105" i="3"/>
  <c r="Z7" i="3"/>
  <c r="AB159" i="3"/>
  <c r="Z158" i="3"/>
  <c r="Z150" i="3" s="1"/>
  <c r="AH166" i="3"/>
  <c r="AH106" i="3" s="1"/>
  <c r="AF106" i="3"/>
  <c r="Y15" i="3"/>
  <c r="S15" i="2" s="1"/>
  <c r="S26" i="2"/>
  <c r="AC187" i="3"/>
  <c r="AC133" i="3" s="1"/>
  <c r="AC131" i="3"/>
  <c r="AC186" i="3"/>
  <c r="AC132" i="3" s="1"/>
  <c r="AD131" i="3"/>
  <c r="AD186" i="3"/>
  <c r="AD132" i="3" s="1"/>
  <c r="AG191" i="3"/>
  <c r="AF190" i="3"/>
  <c r="AF185" i="3" s="1"/>
  <c r="AE190" i="3"/>
  <c r="AE185" i="3" s="1"/>
  <c r="AE103" i="3"/>
  <c r="V122" i="2" s="1"/>
  <c r="AE181" i="3"/>
  <c r="AC107" i="3"/>
  <c r="AC108" i="3" s="1"/>
  <c r="AC174" i="3"/>
  <c r="AI165" i="3"/>
  <c r="AI105" i="3" s="1"/>
  <c r="AG105" i="3"/>
  <c r="AE167" i="3"/>
  <c r="AE174" i="3" s="1"/>
  <c r="AG163" i="3"/>
  <c r="AG181" i="3" s="1"/>
  <c r="AG106" i="3"/>
  <c r="AI166" i="3"/>
  <c r="AI106" i="3" s="1"/>
  <c r="AC149" i="3"/>
  <c r="AC114" i="3" s="1"/>
  <c r="AA114" i="3"/>
  <c r="AA122" i="3" s="1"/>
  <c r="T126" i="2"/>
  <c r="T127" i="2" s="1"/>
  <c r="Y7" i="3"/>
  <c r="R7" i="2"/>
  <c r="AA153" i="3"/>
  <c r="Y118" i="3"/>
  <c r="Y22" i="3" s="1"/>
  <c r="S22" i="2" s="1"/>
  <c r="AA108" i="3"/>
  <c r="T50" i="2"/>
  <c r="AI8" i="3"/>
  <c r="W8" i="2"/>
  <c r="AG34" i="3"/>
  <c r="AG36" i="3" s="1"/>
  <c r="V35" i="2"/>
  <c r="AI50" i="3" l="1"/>
  <c r="AH50" i="3"/>
  <c r="X125" i="2"/>
  <c r="W277" i="2"/>
  <c r="W258" i="2" s="1"/>
  <c r="W125" i="2"/>
  <c r="W124" i="2"/>
  <c r="T25" i="3"/>
  <c r="T120" i="3"/>
  <c r="Q151" i="3"/>
  <c r="Q152" i="3" s="1"/>
  <c r="Q117" i="3" s="1"/>
  <c r="Q20" i="3" s="1"/>
  <c r="O20" i="2" s="1"/>
  <c r="AB188" i="3"/>
  <c r="AB134" i="3" s="1"/>
  <c r="AB26" i="3" s="1"/>
  <c r="AB15" i="3" s="1"/>
  <c r="AD187" i="3"/>
  <c r="AD133" i="3" s="1"/>
  <c r="T15" i="2"/>
  <c r="X117" i="3"/>
  <c r="X20" i="3" s="1"/>
  <c r="AB7" i="3"/>
  <c r="P12" i="7"/>
  <c r="P14" i="7" s="1"/>
  <c r="P17" i="7" s="1"/>
  <c r="Q13" i="7"/>
  <c r="O15" i="7"/>
  <c r="O16" i="7" s="1"/>
  <c r="O18" i="7" s="1"/>
  <c r="T26" i="2"/>
  <c r="T14" i="3"/>
  <c r="AD159" i="3"/>
  <c r="AB158" i="3"/>
  <c r="AB150" i="3" s="1"/>
  <c r="X124" i="2"/>
  <c r="AC188" i="3"/>
  <c r="AC134" i="3" s="1"/>
  <c r="AC26" i="3" s="1"/>
  <c r="AC15" i="3" s="1"/>
  <c r="X116" i="3"/>
  <c r="X124" i="3" s="1"/>
  <c r="X125" i="3" s="1"/>
  <c r="X160" i="3" s="1"/>
  <c r="X154" i="3"/>
  <c r="AB118" i="3"/>
  <c r="AB22" i="3" s="1"/>
  <c r="AD153" i="3"/>
  <c r="AH181" i="3"/>
  <c r="AH167" i="3"/>
  <c r="AH103" i="3"/>
  <c r="AF149" i="3"/>
  <c r="AF174" i="3"/>
  <c r="AF107" i="3"/>
  <c r="AF108" i="3" s="1"/>
  <c r="V119" i="3"/>
  <c r="V155" i="3"/>
  <c r="S115" i="3"/>
  <c r="S123" i="3" s="1"/>
  <c r="S151" i="3"/>
  <c r="AD114" i="3"/>
  <c r="AD122" i="3" s="1"/>
  <c r="Z115" i="3"/>
  <c r="Z123" i="3" s="1"/>
  <c r="Z151" i="3"/>
  <c r="Z152" i="3" s="1"/>
  <c r="W159" i="3"/>
  <c r="U158" i="3"/>
  <c r="U150" i="3" s="1"/>
  <c r="AE131" i="3"/>
  <c r="AE187" i="3"/>
  <c r="AE133" i="3" s="1"/>
  <c r="AE186" i="3"/>
  <c r="AE132" i="3" s="1"/>
  <c r="AF131" i="3"/>
  <c r="AF186" i="3"/>
  <c r="AF132" i="3" s="1"/>
  <c r="U126" i="2"/>
  <c r="U127" i="2" s="1"/>
  <c r="AH190" i="3"/>
  <c r="AH185" i="3" s="1"/>
  <c r="AI191" i="3"/>
  <c r="AI190" i="3" s="1"/>
  <c r="AI185" i="3" s="1"/>
  <c r="AG190" i="3"/>
  <c r="AG185" i="3" s="1"/>
  <c r="AG103" i="3"/>
  <c r="W122" i="2" s="1"/>
  <c r="AC122" i="3"/>
  <c r="AG167" i="3"/>
  <c r="AG174" i="3" s="1"/>
  <c r="AI163" i="3"/>
  <c r="AC153" i="3"/>
  <c r="AA118" i="3"/>
  <c r="AA22" i="3" s="1"/>
  <c r="T22" i="2" s="1"/>
  <c r="AA7" i="3"/>
  <c r="S7" i="2"/>
  <c r="AE107" i="3"/>
  <c r="AE108" i="3" s="1"/>
  <c r="AE149" i="3"/>
  <c r="X8" i="2"/>
  <c r="AI34" i="3"/>
  <c r="W35" i="2"/>
  <c r="V25" i="3" l="1"/>
  <c r="V120" i="3"/>
  <c r="Q116" i="3"/>
  <c r="Q124" i="3" s="1"/>
  <c r="Q125" i="3" s="1"/>
  <c r="Q160" i="3" s="1"/>
  <c r="S152" i="3"/>
  <c r="S117" i="3" s="1"/>
  <c r="S20" i="3" s="1"/>
  <c r="P20" i="2" s="1"/>
  <c r="Q154" i="3"/>
  <c r="Q155" i="3" s="1"/>
  <c r="AD188" i="3"/>
  <c r="AD134" i="3" s="1"/>
  <c r="AD26" i="3" s="1"/>
  <c r="AD15" i="3" s="1"/>
  <c r="AF187" i="3"/>
  <c r="AF133" i="3" s="1"/>
  <c r="Z117" i="3"/>
  <c r="Z20" i="3" s="1"/>
  <c r="P15" i="7"/>
  <c r="P16" i="7" s="1"/>
  <c r="P18" i="7" s="1"/>
  <c r="Q12" i="7"/>
  <c r="Q14" i="7" s="1"/>
  <c r="Q17" i="7" s="1"/>
  <c r="R13" i="7"/>
  <c r="AD7" i="3"/>
  <c r="X35" i="2"/>
  <c r="AI36" i="3"/>
  <c r="X277" i="2" s="1"/>
  <c r="X258" i="2" s="1"/>
  <c r="U15" i="2"/>
  <c r="AB115" i="3"/>
  <c r="AB123" i="3" s="1"/>
  <c r="AB151" i="3"/>
  <c r="AB152" i="3" s="1"/>
  <c r="U26" i="2"/>
  <c r="U115" i="3"/>
  <c r="U123" i="3" s="1"/>
  <c r="U151" i="3"/>
  <c r="AF159" i="3"/>
  <c r="AD158" i="3"/>
  <c r="AD150" i="3" s="1"/>
  <c r="Y159" i="3"/>
  <c r="W158" i="3"/>
  <c r="W150" i="3" s="1"/>
  <c r="V14" i="3"/>
  <c r="AH174" i="3"/>
  <c r="AH149" i="3"/>
  <c r="AH107" i="3"/>
  <c r="AH108" i="3" s="1"/>
  <c r="Z116" i="3"/>
  <c r="Z124" i="3" s="1"/>
  <c r="Z125" i="3" s="1"/>
  <c r="Z160" i="3" s="1"/>
  <c r="Z154" i="3"/>
  <c r="AD118" i="3"/>
  <c r="AD22" i="3" s="1"/>
  <c r="AF153" i="3"/>
  <c r="AF114" i="3"/>
  <c r="AF122" i="3" s="1"/>
  <c r="X155" i="3"/>
  <c r="X119" i="3"/>
  <c r="S116" i="3"/>
  <c r="S124" i="3" s="1"/>
  <c r="S125" i="3" s="1"/>
  <c r="S160" i="3" s="1"/>
  <c r="AE188" i="3"/>
  <c r="AE134" i="3" s="1"/>
  <c r="AE26" i="3" s="1"/>
  <c r="AE15" i="3" s="1"/>
  <c r="AG131" i="3"/>
  <c r="AG187" i="3"/>
  <c r="AG133" i="3" s="1"/>
  <c r="AG186" i="3"/>
  <c r="AG132" i="3" s="1"/>
  <c r="AI131" i="3"/>
  <c r="AH186" i="3"/>
  <c r="AH132" i="3" s="1"/>
  <c r="AH131" i="3"/>
  <c r="AI167" i="3"/>
  <c r="AI174" i="3" s="1"/>
  <c r="AI181" i="3"/>
  <c r="AI103" i="3"/>
  <c r="X122" i="2" s="1"/>
  <c r="AE114" i="3"/>
  <c r="AE122" i="3" s="1"/>
  <c r="AC7" i="3"/>
  <c r="T7" i="2"/>
  <c r="AG107" i="3"/>
  <c r="AG149" i="3"/>
  <c r="V126" i="2"/>
  <c r="V127" i="2" s="1"/>
  <c r="AE153" i="3"/>
  <c r="AC118" i="3"/>
  <c r="AC22" i="3" s="1"/>
  <c r="U22" i="2" s="1"/>
  <c r="U50" i="2"/>
  <c r="X25" i="3" l="1"/>
  <c r="X14" i="3" s="1"/>
  <c r="X120" i="3"/>
  <c r="S154" i="3"/>
  <c r="S119" i="3" s="1"/>
  <c r="Q119" i="3"/>
  <c r="U152" i="3"/>
  <c r="U117" i="3" s="1"/>
  <c r="U20" i="3" s="1"/>
  <c r="Q20" i="2" s="1"/>
  <c r="AF188" i="3"/>
  <c r="AF134" i="3" s="1"/>
  <c r="AF26" i="3" s="1"/>
  <c r="AF15" i="3" s="1"/>
  <c r="AH187" i="3"/>
  <c r="AH133" i="3" s="1"/>
  <c r="AB117" i="3"/>
  <c r="AB20" i="3" s="1"/>
  <c r="R12" i="7"/>
  <c r="R14" i="7" s="1"/>
  <c r="R17" i="7" s="1"/>
  <c r="S13" i="7"/>
  <c r="Q15" i="7"/>
  <c r="Q16" i="7" s="1"/>
  <c r="Q18" i="7" s="1"/>
  <c r="AF7" i="3"/>
  <c r="V26" i="2"/>
  <c r="V15" i="2"/>
  <c r="AF118" i="3"/>
  <c r="AF22" i="3" s="1"/>
  <c r="AH153" i="3"/>
  <c r="AH118" i="3" s="1"/>
  <c r="AH22" i="3" s="1"/>
  <c r="W115" i="3"/>
  <c r="W123" i="3" s="1"/>
  <c r="W151" i="3"/>
  <c r="AA159" i="3"/>
  <c r="Y158" i="3"/>
  <c r="Y150" i="3" s="1"/>
  <c r="AD115" i="3"/>
  <c r="AD123" i="3" s="1"/>
  <c r="AD151" i="3"/>
  <c r="AD152" i="3" s="1"/>
  <c r="Z155" i="3"/>
  <c r="Z119" i="3"/>
  <c r="AH159" i="3"/>
  <c r="AH158" i="3" s="1"/>
  <c r="AH150" i="3" s="1"/>
  <c r="AH115" i="3" s="1"/>
  <c r="AH123" i="3" s="1"/>
  <c r="AF158" i="3"/>
  <c r="AF150" i="3" s="1"/>
  <c r="AH114" i="3"/>
  <c r="U116" i="3"/>
  <c r="U124" i="3" s="1"/>
  <c r="U125" i="3" s="1"/>
  <c r="U160" i="3" s="1"/>
  <c r="AB116" i="3"/>
  <c r="AB124" i="3" s="1"/>
  <c r="AB125" i="3" s="1"/>
  <c r="AB160" i="3" s="1"/>
  <c r="AB154" i="3"/>
  <c r="AI187" i="3"/>
  <c r="AI133" i="3" s="1"/>
  <c r="AI186" i="3"/>
  <c r="AG188" i="3"/>
  <c r="AG134" i="3" s="1"/>
  <c r="AG26" i="3" s="1"/>
  <c r="AI149" i="3"/>
  <c r="AI114" i="3" s="1"/>
  <c r="AI107" i="3"/>
  <c r="X126" i="2" s="1"/>
  <c r="AG153" i="3"/>
  <c r="AE118" i="3"/>
  <c r="AE22" i="3" s="1"/>
  <c r="V22" i="2" s="1"/>
  <c r="U7" i="2"/>
  <c r="AE7" i="3"/>
  <c r="AG114" i="3"/>
  <c r="AG122" i="3" s="1"/>
  <c r="AG108" i="3"/>
  <c r="W126" i="2"/>
  <c r="W127" i="2" s="1"/>
  <c r="Q25" i="3" l="1"/>
  <c r="O25" i="2" s="1"/>
  <c r="Q120" i="3"/>
  <c r="Z25" i="3"/>
  <c r="Z14" i="3" s="1"/>
  <c r="Z120" i="3"/>
  <c r="S25" i="3"/>
  <c r="S14" i="3" s="1"/>
  <c r="S120" i="3"/>
  <c r="S155" i="3"/>
  <c r="W152" i="3"/>
  <c r="W154" i="3" s="1"/>
  <c r="U154" i="3"/>
  <c r="U119" i="3" s="1"/>
  <c r="AH188" i="3"/>
  <c r="AH134" i="3" s="1"/>
  <c r="AH26" i="3" s="1"/>
  <c r="AH15" i="3" s="1"/>
  <c r="AD117" i="3"/>
  <c r="AD20" i="3" s="1"/>
  <c r="T13" i="7"/>
  <c r="S12" i="7"/>
  <c r="S14" i="7" s="1"/>
  <c r="S17" i="7" s="1"/>
  <c r="R15" i="7"/>
  <c r="R16" i="7" s="1"/>
  <c r="R18" i="7" s="1"/>
  <c r="AH7" i="3"/>
  <c r="AH122" i="3"/>
  <c r="AB155" i="3"/>
  <c r="AB119" i="3"/>
  <c r="AF115" i="3"/>
  <c r="AF123" i="3" s="1"/>
  <c r="AF151" i="3"/>
  <c r="AF152" i="3" s="1"/>
  <c r="Y115" i="3"/>
  <c r="Y123" i="3" s="1"/>
  <c r="Y151" i="3"/>
  <c r="AC159" i="3"/>
  <c r="AA158" i="3"/>
  <c r="AA150" i="3" s="1"/>
  <c r="W116" i="3"/>
  <c r="W124" i="3" s="1"/>
  <c r="W125" i="3" s="1"/>
  <c r="W160" i="3" s="1"/>
  <c r="AD116" i="3"/>
  <c r="AD124" i="3" s="1"/>
  <c r="AD125" i="3" s="1"/>
  <c r="AD160" i="3" s="1"/>
  <c r="AD154" i="3"/>
  <c r="AH151" i="3"/>
  <c r="AG15" i="3"/>
  <c r="W15" i="2" s="1"/>
  <c r="W26" i="2"/>
  <c r="AI132" i="3"/>
  <c r="AI188" i="3"/>
  <c r="AI134" i="3" s="1"/>
  <c r="AI26" i="3" s="1"/>
  <c r="AI15" i="3" s="1"/>
  <c r="AI122" i="3"/>
  <c r="AI108" i="3"/>
  <c r="AI153" i="3"/>
  <c r="AI118" i="3" s="1"/>
  <c r="AI22" i="3" s="1"/>
  <c r="X22" i="2" s="1"/>
  <c r="AG118" i="3"/>
  <c r="AG22" i="3" s="1"/>
  <c r="W22" i="2" s="1"/>
  <c r="V7" i="2"/>
  <c r="AG7" i="3"/>
  <c r="X127" i="2"/>
  <c r="V50" i="2"/>
  <c r="Q14" i="3" l="1"/>
  <c r="O14" i="2" s="1"/>
  <c r="P25" i="2"/>
  <c r="U25" i="3"/>
  <c r="Q25" i="2" s="1"/>
  <c r="U120" i="3"/>
  <c r="AB25" i="3"/>
  <c r="AB14" i="3" s="1"/>
  <c r="AB120" i="3"/>
  <c r="U155" i="3"/>
  <c r="W117" i="3"/>
  <c r="W20" i="3" s="1"/>
  <c r="R20" i="2" s="1"/>
  <c r="Y152" i="3"/>
  <c r="Y154" i="3" s="1"/>
  <c r="AH152" i="3"/>
  <c r="AH117" i="3" s="1"/>
  <c r="AH20" i="3" s="1"/>
  <c r="AF117" i="3"/>
  <c r="AF20" i="3" s="1"/>
  <c r="S15" i="7"/>
  <c r="S16" i="7" s="1"/>
  <c r="S18" i="7" s="1"/>
  <c r="U13" i="7"/>
  <c r="T12" i="7"/>
  <c r="T14" i="7" s="1"/>
  <c r="T17" i="7" s="1"/>
  <c r="X15" i="2"/>
  <c r="X26" i="2"/>
  <c r="AD119" i="3"/>
  <c r="AD155" i="3"/>
  <c r="Y116" i="3"/>
  <c r="Y124" i="3" s="1"/>
  <c r="Y125" i="3" s="1"/>
  <c r="Y160" i="3" s="1"/>
  <c r="AC158" i="3"/>
  <c r="AC150" i="3" s="1"/>
  <c r="AE159" i="3"/>
  <c r="AF116" i="3"/>
  <c r="AF124" i="3" s="1"/>
  <c r="AF125" i="3" s="1"/>
  <c r="AF160" i="3" s="1"/>
  <c r="AF154" i="3"/>
  <c r="W155" i="3"/>
  <c r="W119" i="3"/>
  <c r="P14" i="2"/>
  <c r="AH116" i="3"/>
  <c r="AH124" i="3" s="1"/>
  <c r="AH125" i="3" s="1"/>
  <c r="AH160" i="3" s="1"/>
  <c r="AA115" i="3"/>
  <c r="AA123" i="3" s="1"/>
  <c r="AA151" i="3"/>
  <c r="AI7" i="3"/>
  <c r="X7" i="2" s="1"/>
  <c r="W7" i="2"/>
  <c r="U14" i="3" l="1"/>
  <c r="Q14" i="2" s="1"/>
  <c r="AD25" i="3"/>
  <c r="AD14" i="3" s="1"/>
  <c r="AD120" i="3"/>
  <c r="W25" i="3"/>
  <c r="W14" i="3" s="1"/>
  <c r="W120" i="3"/>
  <c r="Y117" i="3"/>
  <c r="Y20" i="3" s="1"/>
  <c r="S20" i="2" s="1"/>
  <c r="AA152" i="3"/>
  <c r="AA154" i="3" s="1"/>
  <c r="AH154" i="3"/>
  <c r="AH119" i="3" s="1"/>
  <c r="T15" i="7"/>
  <c r="T16" i="7" s="1"/>
  <c r="T18" i="7" s="1"/>
  <c r="V13" i="7"/>
  <c r="U12" i="7"/>
  <c r="U14" i="7" s="1"/>
  <c r="U17" i="7" s="1"/>
  <c r="Y155" i="3"/>
  <c r="Y119" i="3"/>
  <c r="AF155" i="3"/>
  <c r="AF119" i="3"/>
  <c r="AE158" i="3"/>
  <c r="AE150" i="3" s="1"/>
  <c r="AG159" i="3"/>
  <c r="AA116" i="3"/>
  <c r="AA124" i="3" s="1"/>
  <c r="AA125" i="3" s="1"/>
  <c r="AA160" i="3" s="1"/>
  <c r="AC115" i="3"/>
  <c r="AC123" i="3" s="1"/>
  <c r="AC151" i="3"/>
  <c r="W50" i="2"/>
  <c r="AH155" i="3" l="1"/>
  <c r="R25" i="2"/>
  <c r="AH25" i="3"/>
  <c r="AH14" i="3" s="1"/>
  <c r="AH120" i="3"/>
  <c r="AF25" i="3"/>
  <c r="AF14" i="3" s="1"/>
  <c r="AF120" i="3"/>
  <c r="Y25" i="3"/>
  <c r="Y14" i="3" s="1"/>
  <c r="Y120" i="3"/>
  <c r="AA117" i="3"/>
  <c r="AA20" i="3" s="1"/>
  <c r="T20" i="2" s="1"/>
  <c r="AC152" i="3"/>
  <c r="AC117" i="3" s="1"/>
  <c r="AC20" i="3" s="1"/>
  <c r="U20" i="2" s="1"/>
  <c r="U15" i="7"/>
  <c r="U16" i="7" s="1"/>
  <c r="U18" i="7" s="1"/>
  <c r="V12" i="7"/>
  <c r="V14" i="7" s="1"/>
  <c r="V17" i="7" s="1"/>
  <c r="W13" i="7"/>
  <c r="AC116" i="3"/>
  <c r="AC124" i="3" s="1"/>
  <c r="AC125" i="3" s="1"/>
  <c r="AC160" i="3" s="1"/>
  <c r="AI159" i="3"/>
  <c r="AI158" i="3" s="1"/>
  <c r="AI150" i="3" s="1"/>
  <c r="AG158" i="3"/>
  <c r="AG150" i="3" s="1"/>
  <c r="R14" i="2"/>
  <c r="AE115" i="3"/>
  <c r="AE123" i="3" s="1"/>
  <c r="AE151" i="3"/>
  <c r="AA119" i="3"/>
  <c r="AA155" i="3"/>
  <c r="S25" i="2" l="1"/>
  <c r="AA25" i="3"/>
  <c r="AA14" i="3" s="1"/>
  <c r="AA120" i="3"/>
  <c r="AC154" i="3"/>
  <c r="AC119" i="3" s="1"/>
  <c r="AE152" i="3"/>
  <c r="AE117" i="3" s="1"/>
  <c r="AE20" i="3" s="1"/>
  <c r="V20" i="2" s="1"/>
  <c r="V15" i="7"/>
  <c r="V16" i="7" s="1"/>
  <c r="V18" i="7" s="1"/>
  <c r="W12" i="7"/>
  <c r="W14" i="7" s="1"/>
  <c r="W17" i="7" s="1"/>
  <c r="X13" i="7"/>
  <c r="S14" i="2"/>
  <c r="AE116" i="3"/>
  <c r="AE124" i="3" s="1"/>
  <c r="AE125" i="3" s="1"/>
  <c r="AE160" i="3" s="1"/>
  <c r="AG115" i="3"/>
  <c r="AG123" i="3" s="1"/>
  <c r="AG151" i="3"/>
  <c r="AI151" i="3"/>
  <c r="AI115" i="3"/>
  <c r="AI123" i="3" s="1"/>
  <c r="T25" i="2" l="1"/>
  <c r="AC25" i="3"/>
  <c r="AC14" i="3" s="1"/>
  <c r="AC120" i="3"/>
  <c r="AE154" i="3"/>
  <c r="AE119" i="3" s="1"/>
  <c r="AG152" i="3"/>
  <c r="AG154" i="3" s="1"/>
  <c r="AC155" i="3"/>
  <c r="W15" i="7"/>
  <c r="W16" i="7" s="1"/>
  <c r="W18" i="7" s="1"/>
  <c r="Y13" i="7"/>
  <c r="X12" i="7"/>
  <c r="X14" i="7" s="1"/>
  <c r="X17" i="7" s="1"/>
  <c r="AG116" i="3"/>
  <c r="AG124" i="3" s="1"/>
  <c r="AG125" i="3" s="1"/>
  <c r="AG160" i="3" s="1"/>
  <c r="T14" i="2"/>
  <c r="AI116" i="3"/>
  <c r="AI124" i="3" s="1"/>
  <c r="AI125" i="3" s="1"/>
  <c r="AI160" i="3" s="1"/>
  <c r="X50" i="2"/>
  <c r="U25" i="2" l="1"/>
  <c r="AE25" i="3"/>
  <c r="AE14" i="3" s="1"/>
  <c r="AE120" i="3"/>
  <c r="AE155" i="3"/>
  <c r="AG117" i="3"/>
  <c r="AG20" i="3" s="1"/>
  <c r="W20" i="2" s="1"/>
  <c r="AI152" i="3"/>
  <c r="AI117" i="3" s="1"/>
  <c r="AI20" i="3" s="1"/>
  <c r="X20" i="2" s="1"/>
  <c r="X15" i="7"/>
  <c r="X16" i="7" s="1"/>
  <c r="X18" i="7" s="1"/>
  <c r="Y12" i="7"/>
  <c r="Y14" i="7" s="1"/>
  <c r="Y17" i="7" s="1"/>
  <c r="U14" i="2"/>
  <c r="AG155" i="3"/>
  <c r="AG119" i="3"/>
  <c r="V25" i="2" l="1"/>
  <c r="AG25" i="3"/>
  <c r="AG14" i="3" s="1"/>
  <c r="AG120" i="3"/>
  <c r="AI154" i="3"/>
  <c r="AI119" i="3" s="1"/>
  <c r="Y15" i="7"/>
  <c r="Y16" i="7" s="1"/>
  <c r="Y18" i="7" s="1"/>
  <c r="Z18" i="7" s="1"/>
  <c r="E19" i="7" s="1"/>
  <c r="V14" i="2"/>
  <c r="W25" i="2" l="1"/>
  <c r="AI25" i="3"/>
  <c r="AI120" i="3"/>
  <c r="AI155" i="3"/>
  <c r="E20" i="7"/>
  <c r="W14" i="2"/>
  <c r="S44" i="3"/>
  <c r="S28" i="3" s="1"/>
  <c r="T44" i="3"/>
  <c r="T28" i="3" s="1"/>
  <c r="R28" i="3"/>
  <c r="R29" i="3" s="1"/>
  <c r="Q28" i="3"/>
  <c r="Q9" i="3" s="1"/>
  <c r="Q16" i="3" s="1"/>
  <c r="Q17" i="3" s="1"/>
  <c r="P28" i="3"/>
  <c r="P29" i="3" s="1"/>
  <c r="P42" i="3" s="1"/>
  <c r="P43" i="3" s="1"/>
  <c r="AI14" i="3" l="1"/>
  <c r="X14" i="2" s="1"/>
  <c r="X25" i="2"/>
  <c r="R9" i="3"/>
  <c r="R10" i="3" s="1"/>
  <c r="R64" i="3" s="1"/>
  <c r="Q29" i="3"/>
  <c r="O29" i="2" s="1"/>
  <c r="O30" i="2" s="1"/>
  <c r="V44" i="3"/>
  <c r="P28" i="2"/>
  <c r="S29" i="3"/>
  <c r="P29" i="2" s="1"/>
  <c r="S9" i="3"/>
  <c r="S10" i="3" s="1"/>
  <c r="R42" i="3"/>
  <c r="R51" i="3" s="1"/>
  <c r="R30" i="3"/>
  <c r="O28" i="2"/>
  <c r="P30" i="3"/>
  <c r="Q10" i="3"/>
  <c r="P9" i="3"/>
  <c r="P16" i="3" s="1"/>
  <c r="P51" i="3"/>
  <c r="U44" i="3"/>
  <c r="P9" i="2" l="1"/>
  <c r="P10" i="2"/>
  <c r="P212" i="2" s="1"/>
  <c r="S16" i="3"/>
  <c r="S17" i="3" s="1"/>
  <c r="S19" i="3" s="1"/>
  <c r="S21" i="3" s="1"/>
  <c r="R16" i="3"/>
  <c r="R17" i="3" s="1"/>
  <c r="P30" i="2"/>
  <c r="Q42" i="3"/>
  <c r="Q51" i="3" s="1"/>
  <c r="O51" i="2" s="1"/>
  <c r="Q30" i="3"/>
  <c r="P17" i="3"/>
  <c r="O17" i="2" s="1"/>
  <c r="O16" i="2"/>
  <c r="P56" i="3"/>
  <c r="P52" i="3"/>
  <c r="R43" i="3"/>
  <c r="R56" i="3"/>
  <c r="R52" i="3"/>
  <c r="R53" i="3"/>
  <c r="S11" i="3"/>
  <c r="S64" i="3"/>
  <c r="P64" i="2" s="1"/>
  <c r="O9" i="2"/>
  <c r="P10" i="3"/>
  <c r="P53" i="3" s="1"/>
  <c r="V28" i="3"/>
  <c r="X44" i="3"/>
  <c r="Q64" i="3"/>
  <c r="Q92" i="3" s="1"/>
  <c r="Q93" i="3"/>
  <c r="S93" i="3" s="1"/>
  <c r="Q11" i="3"/>
  <c r="Q19" i="3"/>
  <c r="T9" i="3"/>
  <c r="T29" i="3"/>
  <c r="W44" i="3"/>
  <c r="U28" i="3"/>
  <c r="Q28" i="2" s="1"/>
  <c r="S30" i="3"/>
  <c r="S42" i="3"/>
  <c r="Q21" i="3" l="1"/>
  <c r="Q24" i="3"/>
  <c r="S43" i="3"/>
  <c r="P199" i="2"/>
  <c r="P256" i="2"/>
  <c r="P198" i="2"/>
  <c r="P16" i="2"/>
  <c r="P257" i="2"/>
  <c r="S51" i="3"/>
  <c r="P51" i="2" s="1"/>
  <c r="P52" i="2" s="1"/>
  <c r="P55" i="2" s="1"/>
  <c r="O41" i="2"/>
  <c r="O42" i="2" s="1"/>
  <c r="Q43" i="3"/>
  <c r="S92" i="3"/>
  <c r="Q56" i="3"/>
  <c r="O56" i="2" s="1"/>
  <c r="Q52" i="3"/>
  <c r="Q53" i="3"/>
  <c r="T10" i="3"/>
  <c r="T16" i="3"/>
  <c r="P41" i="2"/>
  <c r="P17" i="2"/>
  <c r="R19" i="3"/>
  <c r="Y44" i="3"/>
  <c r="W28" i="3"/>
  <c r="R28" i="2" s="1"/>
  <c r="P65" i="2"/>
  <c r="V9" i="3"/>
  <c r="V16" i="3" s="1"/>
  <c r="V29" i="3"/>
  <c r="P57" i="3"/>
  <c r="P58" i="3"/>
  <c r="T42" i="3"/>
  <c r="T51" i="3" s="1"/>
  <c r="T30" i="3"/>
  <c r="R68" i="3"/>
  <c r="R57" i="3"/>
  <c r="R58" i="3"/>
  <c r="Z44" i="3"/>
  <c r="X28" i="3"/>
  <c r="U9" i="3"/>
  <c r="U10" i="3" s="1"/>
  <c r="U93" i="3" s="1"/>
  <c r="U29" i="3"/>
  <c r="Q29" i="2" s="1"/>
  <c r="Q30" i="2" s="1"/>
  <c r="P11" i="3"/>
  <c r="P93" i="3"/>
  <c r="P19" i="3"/>
  <c r="P24" i="3" s="1"/>
  <c r="O10" i="2"/>
  <c r="O53" i="2" s="1"/>
  <c r="P64" i="3"/>
  <c r="P68" i="3" s="1"/>
  <c r="R11" i="3"/>
  <c r="O242" i="2"/>
  <c r="S24" i="1"/>
  <c r="P30" i="4" s="1"/>
  <c r="P31" i="4" s="1"/>
  <c r="O52" i="2"/>
  <c r="O55" i="2" s="1"/>
  <c r="P207" i="2" l="1"/>
  <c r="P282" i="2"/>
  <c r="P287" i="2" s="1"/>
  <c r="P262" i="2"/>
  <c r="P270" i="2" s="1"/>
  <c r="S52" i="3"/>
  <c r="S53" i="3"/>
  <c r="T24" i="1"/>
  <c r="P242" i="2"/>
  <c r="P53" i="2"/>
  <c r="S56" i="3"/>
  <c r="P56" i="2" s="1"/>
  <c r="P57" i="2" s="1"/>
  <c r="O43" i="2"/>
  <c r="Q68" i="3"/>
  <c r="O68" i="2" s="1"/>
  <c r="Q58" i="3"/>
  <c r="Q57" i="3"/>
  <c r="T56" i="3"/>
  <c r="T53" i="3"/>
  <c r="T52" i="3"/>
  <c r="V17" i="3"/>
  <c r="X29" i="3"/>
  <c r="X9" i="3"/>
  <c r="X16" i="3" s="1"/>
  <c r="U30" i="3"/>
  <c r="U42" i="3"/>
  <c r="U43" i="3" s="1"/>
  <c r="T43" i="3"/>
  <c r="U11" i="3"/>
  <c r="U64" i="3"/>
  <c r="U92" i="3" s="1"/>
  <c r="AB44" i="3"/>
  <c r="Z28" i="3"/>
  <c r="P42" i="2"/>
  <c r="P43" i="2"/>
  <c r="O58" i="2"/>
  <c r="O57" i="2"/>
  <c r="O64" i="2"/>
  <c r="P92" i="3"/>
  <c r="W9" i="3"/>
  <c r="W10" i="3" s="1"/>
  <c r="W29" i="3"/>
  <c r="T17" i="3"/>
  <c r="T19" i="3" s="1"/>
  <c r="O257" i="2"/>
  <c r="O212" i="2"/>
  <c r="O256" i="2"/>
  <c r="O11" i="2"/>
  <c r="O198" i="2"/>
  <c r="O74" i="2"/>
  <c r="O199" i="2"/>
  <c r="P11" i="2"/>
  <c r="Y28" i="3"/>
  <c r="S28" i="2" s="1"/>
  <c r="AA44" i="3"/>
  <c r="Q10" i="2"/>
  <c r="T64" i="3"/>
  <c r="T11" i="3"/>
  <c r="S25" i="1"/>
  <c r="P70" i="3"/>
  <c r="P69" i="3"/>
  <c r="P21" i="3"/>
  <c r="O21" i="2" s="1"/>
  <c r="O19" i="2"/>
  <c r="R70" i="3"/>
  <c r="R69" i="3"/>
  <c r="P19" i="2"/>
  <c r="T29" i="1" s="1"/>
  <c r="R21" i="3"/>
  <c r="P21" i="2" s="1"/>
  <c r="Q9" i="2"/>
  <c r="Q6" i="2" s="1"/>
  <c r="R93" i="3"/>
  <c r="O92" i="2"/>
  <c r="V42" i="3"/>
  <c r="V51" i="3" s="1"/>
  <c r="V30" i="3"/>
  <c r="V10" i="3"/>
  <c r="U16" i="3"/>
  <c r="U17" i="3" s="1"/>
  <c r="U19" i="3" s="1"/>
  <c r="U21" i="3" s="1"/>
  <c r="S29" i="1" l="1"/>
  <c r="S27" i="1" s="1"/>
  <c r="O23" i="2"/>
  <c r="T25" i="1"/>
  <c r="Q30" i="4"/>
  <c r="Q31" i="4" s="1"/>
  <c r="T30" i="1"/>
  <c r="Q25" i="4"/>
  <c r="Q64" i="2"/>
  <c r="Q65" i="2" s="1"/>
  <c r="P58" i="2"/>
  <c r="S68" i="3"/>
  <c r="P68" i="2" s="1"/>
  <c r="P70" i="2" s="1"/>
  <c r="S58" i="3"/>
  <c r="R9" i="2"/>
  <c r="R6" i="2" s="1"/>
  <c r="S57" i="3"/>
  <c r="Q41" i="2"/>
  <c r="Q43" i="2" s="1"/>
  <c r="W16" i="3"/>
  <c r="W17" i="3" s="1"/>
  <c r="R17" i="2" s="1"/>
  <c r="Q16" i="2"/>
  <c r="U51" i="3"/>
  <c r="Q51" i="2" s="1"/>
  <c r="Q242" i="2" s="1"/>
  <c r="Q69" i="3"/>
  <c r="Q70" i="3"/>
  <c r="X17" i="3"/>
  <c r="W42" i="3"/>
  <c r="W43" i="3" s="1"/>
  <c r="W30" i="3"/>
  <c r="X42" i="3"/>
  <c r="X51" i="3" s="1"/>
  <c r="X30" i="3"/>
  <c r="Z9" i="3"/>
  <c r="Z16" i="3" s="1"/>
  <c r="Z29" i="3"/>
  <c r="P74" i="2"/>
  <c r="Q74" i="2" s="1"/>
  <c r="O61" i="2"/>
  <c r="P61" i="2" s="1"/>
  <c r="O62" i="2"/>
  <c r="P62" i="2" s="1"/>
  <c r="O65" i="2"/>
  <c r="O63" i="2"/>
  <c r="O201" i="2" s="1"/>
  <c r="AD44" i="3"/>
  <c r="AB28" i="3"/>
  <c r="V43" i="3"/>
  <c r="AA28" i="3"/>
  <c r="T28" i="2" s="1"/>
  <c r="AC44" i="3"/>
  <c r="P92" i="2"/>
  <c r="T93" i="3"/>
  <c r="R92" i="3"/>
  <c r="O91" i="2"/>
  <c r="O207" i="2"/>
  <c r="T27" i="1"/>
  <c r="O317" i="2"/>
  <c r="O69" i="2"/>
  <c r="L34" i="1"/>
  <c r="L35" i="1" s="1"/>
  <c r="O70" i="2"/>
  <c r="R10" i="2"/>
  <c r="V19" i="3"/>
  <c r="V64" i="3"/>
  <c r="V11" i="3"/>
  <c r="O282" i="2"/>
  <c r="O287" i="2" s="1"/>
  <c r="O262" i="2"/>
  <c r="O270" i="2" s="1"/>
  <c r="O217" i="2" s="1"/>
  <c r="O218" i="2" s="1"/>
  <c r="R29" i="2"/>
  <c r="R30" i="2" s="1"/>
  <c r="Q19" i="2"/>
  <c r="U29" i="1" s="1"/>
  <c r="T21" i="3"/>
  <c r="Q21" i="2" s="1"/>
  <c r="Q17" i="2"/>
  <c r="V53" i="3"/>
  <c r="V56" i="3"/>
  <c r="V52" i="3"/>
  <c r="T57" i="3"/>
  <c r="T58" i="3"/>
  <c r="T68" i="3"/>
  <c r="Q212" i="2"/>
  <c r="Q199" i="2"/>
  <c r="Q11" i="2"/>
  <c r="Q198" i="2"/>
  <c r="Q257" i="2"/>
  <c r="Q256" i="2"/>
  <c r="Y9" i="3"/>
  <c r="Y10" i="3" s="1"/>
  <c r="Y29" i="3"/>
  <c r="W64" i="3"/>
  <c r="W92" i="3" s="1"/>
  <c r="W11" i="3"/>
  <c r="X10" i="3"/>
  <c r="W93" i="3"/>
  <c r="P25" i="4" l="1"/>
  <c r="Q39" i="4" s="1"/>
  <c r="S30" i="1"/>
  <c r="U30" i="1"/>
  <c r="R25" i="4"/>
  <c r="Q26" i="4"/>
  <c r="W19" i="3"/>
  <c r="W21" i="3" s="1"/>
  <c r="U52" i="3"/>
  <c r="R16" i="2"/>
  <c r="R41" i="2"/>
  <c r="R42" i="2" s="1"/>
  <c r="S69" i="3"/>
  <c r="U56" i="3"/>
  <c r="Q56" i="2" s="1"/>
  <c r="Q58" i="2" s="1"/>
  <c r="Q61" i="2"/>
  <c r="Q62" i="2"/>
  <c r="S9" i="2"/>
  <c r="S6" i="2" s="1"/>
  <c r="Q42" i="2"/>
  <c r="U24" i="1"/>
  <c r="P69" i="2"/>
  <c r="P317" i="2"/>
  <c r="S70" i="3"/>
  <c r="Q52" i="2"/>
  <c r="Q55" i="2" s="1"/>
  <c r="Q53" i="2"/>
  <c r="U53" i="3"/>
  <c r="M34" i="1"/>
  <c r="M35" i="1" s="1"/>
  <c r="O200" i="2"/>
  <c r="P200" i="2" s="1"/>
  <c r="Q207" i="2"/>
  <c r="Q243" i="2" s="1"/>
  <c r="Q245" i="2" s="1"/>
  <c r="R74" i="2"/>
  <c r="Z17" i="3"/>
  <c r="X53" i="3"/>
  <c r="X56" i="3"/>
  <c r="X52" i="3"/>
  <c r="Y30" i="3"/>
  <c r="Y42" i="3"/>
  <c r="Y43" i="3" s="1"/>
  <c r="R64" i="2"/>
  <c r="P63" i="2"/>
  <c r="Q63" i="2" s="1"/>
  <c r="O243" i="2"/>
  <c r="O245" i="2" s="1"/>
  <c r="P243" i="2"/>
  <c r="P245" i="2" s="1"/>
  <c r="R212" i="2"/>
  <c r="R198" i="2"/>
  <c r="R257" i="2"/>
  <c r="R11" i="2"/>
  <c r="R256" i="2"/>
  <c r="R199" i="2"/>
  <c r="V68" i="3"/>
  <c r="V58" i="3"/>
  <c r="V57" i="3"/>
  <c r="Z10" i="3"/>
  <c r="Y64" i="3"/>
  <c r="Y92" i="3" s="1"/>
  <c r="Y11" i="3"/>
  <c r="V21" i="3"/>
  <c r="S29" i="2"/>
  <c r="S30" i="2" s="1"/>
  <c r="AB9" i="3"/>
  <c r="AB29" i="3"/>
  <c r="P91" i="2"/>
  <c r="T92" i="3"/>
  <c r="T70" i="3"/>
  <c r="T69" i="3"/>
  <c r="X43" i="3"/>
  <c r="AF44" i="3"/>
  <c r="AD28" i="3"/>
  <c r="Y16" i="3"/>
  <c r="V93" i="3"/>
  <c r="Q92" i="2"/>
  <c r="P217" i="2"/>
  <c r="O75" i="2"/>
  <c r="Y93" i="3"/>
  <c r="Q262" i="2"/>
  <c r="Q270" i="2" s="1"/>
  <c r="Q282" i="2"/>
  <c r="Q287" i="2" s="1"/>
  <c r="AE44" i="3"/>
  <c r="AC28" i="3"/>
  <c r="W51" i="3"/>
  <c r="X19" i="3"/>
  <c r="X64" i="3"/>
  <c r="X11" i="3"/>
  <c r="S10" i="2"/>
  <c r="AA29" i="3"/>
  <c r="T29" i="2" s="1"/>
  <c r="AA9" i="3"/>
  <c r="AA10" i="3" s="1"/>
  <c r="Z42" i="3"/>
  <c r="Z51" i="3" s="1"/>
  <c r="Z30" i="3"/>
  <c r="P26" i="4" l="1"/>
  <c r="P39" i="4"/>
  <c r="U25" i="1"/>
  <c r="R30" i="4"/>
  <c r="R31" i="4" s="1"/>
  <c r="R26" i="4"/>
  <c r="Q200" i="2"/>
  <c r="R21" i="2"/>
  <c r="R19" i="2"/>
  <c r="R43" i="2"/>
  <c r="S64" i="2"/>
  <c r="S65" i="2" s="1"/>
  <c r="S41" i="2"/>
  <c r="S42" i="2" s="1"/>
  <c r="U58" i="3"/>
  <c r="U57" i="3"/>
  <c r="Q57" i="2"/>
  <c r="U68" i="3"/>
  <c r="U69" i="3" s="1"/>
  <c r="AA16" i="3"/>
  <c r="AA17" i="3" s="1"/>
  <c r="T17" i="2" s="1"/>
  <c r="Y51" i="3"/>
  <c r="S51" i="2" s="1"/>
  <c r="T30" i="2"/>
  <c r="T10" i="2"/>
  <c r="Z19" i="3"/>
  <c r="Z64" i="3"/>
  <c r="Z11" i="3"/>
  <c r="X21" i="3"/>
  <c r="V69" i="3"/>
  <c r="V70" i="3"/>
  <c r="S212" i="2"/>
  <c r="S198" i="2"/>
  <c r="S199" i="2"/>
  <c r="S11" i="2"/>
  <c r="S256" i="2"/>
  <c r="S257" i="2"/>
  <c r="W53" i="3"/>
  <c r="W56" i="3"/>
  <c r="W52" i="3"/>
  <c r="R51" i="2"/>
  <c r="S74" i="2"/>
  <c r="AC29" i="3"/>
  <c r="AC9" i="3"/>
  <c r="AC10" i="3" s="1"/>
  <c r="X93" i="3"/>
  <c r="R92" i="2"/>
  <c r="R262" i="2"/>
  <c r="R270" i="2" s="1"/>
  <c r="R282" i="2"/>
  <c r="R287" i="2" s="1"/>
  <c r="Z43" i="3"/>
  <c r="P75" i="3"/>
  <c r="P76" i="3" s="1"/>
  <c r="P82" i="3" s="1"/>
  <c r="O76" i="2"/>
  <c r="AG44" i="3"/>
  <c r="AE28" i="3"/>
  <c r="V28" i="2" s="1"/>
  <c r="X68" i="3"/>
  <c r="X57" i="3"/>
  <c r="X58" i="3"/>
  <c r="V92" i="3"/>
  <c r="Q91" i="2"/>
  <c r="AA30" i="3"/>
  <c r="AA42" i="3"/>
  <c r="AA43" i="3" s="1"/>
  <c r="AH44" i="3"/>
  <c r="AH28" i="3" s="1"/>
  <c r="AF28" i="3"/>
  <c r="AB10" i="3"/>
  <c r="O251" i="2"/>
  <c r="Z53" i="3"/>
  <c r="Z56" i="3"/>
  <c r="Z52" i="3"/>
  <c r="Q217" i="2"/>
  <c r="Q75" i="2" s="1"/>
  <c r="P218" i="2"/>
  <c r="AB16" i="3"/>
  <c r="Q251" i="2"/>
  <c r="Y17" i="3"/>
  <c r="S16" i="2"/>
  <c r="AA11" i="3"/>
  <c r="AA64" i="3"/>
  <c r="AA92" i="3" s="1"/>
  <c r="AD9" i="3"/>
  <c r="AD29" i="3"/>
  <c r="R207" i="2"/>
  <c r="R243" i="2" s="1"/>
  <c r="AA93" i="3"/>
  <c r="AB42" i="3"/>
  <c r="AB30" i="3"/>
  <c r="R61" i="2"/>
  <c r="R63" i="2"/>
  <c r="R62" i="2"/>
  <c r="R65" i="2"/>
  <c r="P75" i="2"/>
  <c r="U28" i="2"/>
  <c r="T9" i="2"/>
  <c r="T6" i="2" s="1"/>
  <c r="P251" i="2"/>
  <c r="P201" i="2"/>
  <c r="Q201" i="2" s="1"/>
  <c r="R200" i="2" l="1"/>
  <c r="S62" i="2"/>
  <c r="S63" i="2"/>
  <c r="S43" i="2"/>
  <c r="Q68" i="2"/>
  <c r="Q70" i="2" s="1"/>
  <c r="U70" i="3"/>
  <c r="AA19" i="3"/>
  <c r="AA21" i="3" s="1"/>
  <c r="U9" i="2"/>
  <c r="U6" i="2" s="1"/>
  <c r="Y53" i="3"/>
  <c r="Y56" i="3"/>
  <c r="S56" i="2" s="1"/>
  <c r="S58" i="2" s="1"/>
  <c r="Y52" i="3"/>
  <c r="T16" i="2"/>
  <c r="T41" i="2"/>
  <c r="T43" i="2" s="1"/>
  <c r="R201" i="2"/>
  <c r="Q75" i="3"/>
  <c r="Q76" i="3" s="1"/>
  <c r="Q82" i="3" s="1"/>
  <c r="Q85" i="3" s="1"/>
  <c r="Q89" i="3" s="1"/>
  <c r="Q91" i="3" s="1"/>
  <c r="Q94" i="3" s="1"/>
  <c r="T75" i="3"/>
  <c r="U75" i="3" s="1"/>
  <c r="S53" i="2"/>
  <c r="S52" i="2"/>
  <c r="S55" i="2" s="1"/>
  <c r="S242" i="2"/>
  <c r="AD10" i="3"/>
  <c r="AH29" i="3"/>
  <c r="AH9" i="3"/>
  <c r="AH16" i="3" s="1"/>
  <c r="AC11" i="3"/>
  <c r="AC64" i="3"/>
  <c r="AC92" i="3" s="1"/>
  <c r="AA51" i="3"/>
  <c r="AC42" i="3"/>
  <c r="AC43" i="3" s="1"/>
  <c r="AC30" i="3"/>
  <c r="O246" i="2"/>
  <c r="O81" i="2"/>
  <c r="L29" i="1" s="1"/>
  <c r="AC16" i="3"/>
  <c r="AC17" i="3" s="1"/>
  <c r="AC19" i="3" s="1"/>
  <c r="AC21" i="3" s="1"/>
  <c r="Z93" i="3"/>
  <c r="S92" i="2"/>
  <c r="Z68" i="3"/>
  <c r="Z58" i="3"/>
  <c r="Z57" i="3"/>
  <c r="P85" i="3"/>
  <c r="P89" i="3" s="1"/>
  <c r="T74" i="2"/>
  <c r="AB17" i="3"/>
  <c r="AB19" i="3" s="1"/>
  <c r="R75" i="3"/>
  <c r="S75" i="3" s="1"/>
  <c r="AF9" i="3"/>
  <c r="AF16" i="3" s="1"/>
  <c r="AF29" i="3"/>
  <c r="R242" i="2"/>
  <c r="R245" i="2" s="1"/>
  <c r="R52" i="2"/>
  <c r="R55" i="2" s="1"/>
  <c r="R53" i="2"/>
  <c r="S262" i="2"/>
  <c r="S270" i="2" s="1"/>
  <c r="S282" i="2"/>
  <c r="S287" i="2" s="1"/>
  <c r="AB43" i="3"/>
  <c r="X92" i="3"/>
  <c r="R91" i="2"/>
  <c r="U29" i="2"/>
  <c r="U30" i="2" s="1"/>
  <c r="S17" i="2"/>
  <c r="Y19" i="3"/>
  <c r="W58" i="3"/>
  <c r="W68" i="3"/>
  <c r="W57" i="3"/>
  <c r="R56" i="2"/>
  <c r="AB51" i="3"/>
  <c r="S207" i="2"/>
  <c r="S243" i="2" s="1"/>
  <c r="T64" i="2"/>
  <c r="AD42" i="3"/>
  <c r="AD30" i="3"/>
  <c r="R217" i="2"/>
  <c r="Q218" i="2"/>
  <c r="AG28" i="3"/>
  <c r="W28" i="2" s="1"/>
  <c r="AI44" i="3"/>
  <c r="AI28" i="3" s="1"/>
  <c r="X28" i="2" s="1"/>
  <c r="AD16" i="3"/>
  <c r="AC93" i="3"/>
  <c r="U10" i="2"/>
  <c r="AB64" i="3"/>
  <c r="AB11" i="3"/>
  <c r="X70" i="3"/>
  <c r="X69" i="3"/>
  <c r="S61" i="2"/>
  <c r="S200" i="2" s="1"/>
  <c r="Z21" i="3"/>
  <c r="T198" i="2"/>
  <c r="T199" i="2"/>
  <c r="T256" i="2"/>
  <c r="T212" i="2"/>
  <c r="T257" i="2"/>
  <c r="T11" i="2"/>
  <c r="AE29" i="3"/>
  <c r="V29" i="2" s="1"/>
  <c r="AE9" i="3"/>
  <c r="AE10" i="3" s="1"/>
  <c r="T21" i="2" l="1"/>
  <c r="T19" i="2"/>
  <c r="N34" i="1"/>
  <c r="N35" i="1" s="1"/>
  <c r="S201" i="2"/>
  <c r="Q317" i="2"/>
  <c r="U64" i="2"/>
  <c r="U65" i="2" s="1"/>
  <c r="Q69" i="2"/>
  <c r="Y57" i="3"/>
  <c r="Y68" i="3"/>
  <c r="S68" i="2" s="1"/>
  <c r="S317" i="2" s="1"/>
  <c r="S57" i="2"/>
  <c r="Y58" i="3"/>
  <c r="AE16" i="3"/>
  <c r="AE17" i="3" s="1"/>
  <c r="AE19" i="3" s="1"/>
  <c r="AE21" i="3" s="1"/>
  <c r="V30" i="2"/>
  <c r="T42" i="2"/>
  <c r="U41" i="2"/>
  <c r="U43" i="2" s="1"/>
  <c r="U16" i="2"/>
  <c r="AC51" i="3"/>
  <c r="AC56" i="3" s="1"/>
  <c r="O84" i="2"/>
  <c r="O85" i="2" s="1"/>
  <c r="O320" i="2" s="1"/>
  <c r="W70" i="3"/>
  <c r="W69" i="3"/>
  <c r="R68" i="2"/>
  <c r="AB21" i="3"/>
  <c r="U21" i="2" s="1"/>
  <c r="U19" i="2"/>
  <c r="U17" i="2"/>
  <c r="AH30" i="3"/>
  <c r="AH42" i="3"/>
  <c r="AH51" i="3" s="1"/>
  <c r="AD17" i="3"/>
  <c r="S91" i="2"/>
  <c r="Z92" i="3"/>
  <c r="U74" i="2"/>
  <c r="AH17" i="3"/>
  <c r="AE64" i="3"/>
  <c r="AE92" i="3" s="1"/>
  <c r="AE11" i="3"/>
  <c r="V9" i="2"/>
  <c r="V6" i="2" s="1"/>
  <c r="AH10" i="3"/>
  <c r="AE42" i="3"/>
  <c r="AE43" i="3" s="1"/>
  <c r="AE30" i="3"/>
  <c r="AE93" i="3"/>
  <c r="V10" i="2"/>
  <c r="AD64" i="3"/>
  <c r="AD11" i="3"/>
  <c r="U199" i="2"/>
  <c r="U256" i="2"/>
  <c r="U11" i="2"/>
  <c r="U212" i="2"/>
  <c r="U257" i="2"/>
  <c r="U198" i="2"/>
  <c r="AD43" i="3"/>
  <c r="AI9" i="3"/>
  <c r="AI10" i="3" s="1"/>
  <c r="AI29" i="3"/>
  <c r="X29" i="2" s="1"/>
  <c r="AG29" i="3"/>
  <c r="W29" i="2" s="1"/>
  <c r="W30" i="2" s="1"/>
  <c r="AG9" i="3"/>
  <c r="AG10" i="3" s="1"/>
  <c r="T282" i="2"/>
  <c r="T287" i="2" s="1"/>
  <c r="T262" i="2"/>
  <c r="T270" i="2" s="1"/>
  <c r="R251" i="2"/>
  <c r="AB56" i="3"/>
  <c r="AB52" i="3"/>
  <c r="AB53" i="3"/>
  <c r="R58" i="2"/>
  <c r="R57" i="2"/>
  <c r="AF42" i="3"/>
  <c r="AF30" i="3"/>
  <c r="T62" i="2"/>
  <c r="T61" i="2"/>
  <c r="T200" i="2" s="1"/>
  <c r="T63" i="2"/>
  <c r="T65" i="2"/>
  <c r="P91" i="3"/>
  <c r="O88" i="2"/>
  <c r="Q95" i="3"/>
  <c r="Q96" i="3"/>
  <c r="S245" i="2"/>
  <c r="S217" i="2"/>
  <c r="S75" i="2" s="1"/>
  <c r="R218" i="2"/>
  <c r="T207" i="2"/>
  <c r="T243" i="2" s="1"/>
  <c r="R75" i="2"/>
  <c r="AF10" i="3"/>
  <c r="Z70" i="3"/>
  <c r="Z69" i="3"/>
  <c r="AA52" i="3"/>
  <c r="AA53" i="3"/>
  <c r="AA56" i="3"/>
  <c r="T51" i="2"/>
  <c r="AF17" i="3"/>
  <c r="AD51" i="3"/>
  <c r="Y21" i="3"/>
  <c r="S21" i="2" s="1"/>
  <c r="S19" i="2"/>
  <c r="AB93" i="3"/>
  <c r="T92" i="2"/>
  <c r="V41" i="2" l="1"/>
  <c r="V43" i="2" s="1"/>
  <c r="U51" i="2"/>
  <c r="U53" i="2" s="1"/>
  <c r="T201" i="2"/>
  <c r="U62" i="2"/>
  <c r="V17" i="2"/>
  <c r="V16" i="2"/>
  <c r="S70" i="2"/>
  <c r="Y70" i="3"/>
  <c r="Y69" i="3"/>
  <c r="U42" i="2"/>
  <c r="AC52" i="3"/>
  <c r="AC53" i="3"/>
  <c r="AE51" i="3"/>
  <c r="AE53" i="3" s="1"/>
  <c r="U61" i="2"/>
  <c r="U200" i="2" s="1"/>
  <c r="O247" i="2"/>
  <c r="O249" i="2" s="1"/>
  <c r="O281" i="2" s="1"/>
  <c r="W9" i="2"/>
  <c r="W6" i="2" s="1"/>
  <c r="AG93" i="3"/>
  <c r="AI93" i="3" s="1"/>
  <c r="U207" i="2"/>
  <c r="U243" i="2" s="1"/>
  <c r="U63" i="2"/>
  <c r="AA57" i="3"/>
  <c r="AA58" i="3"/>
  <c r="AA68" i="3"/>
  <c r="T56" i="2"/>
  <c r="AF43" i="3"/>
  <c r="AG16" i="3"/>
  <c r="V74" i="2"/>
  <c r="R70" i="2"/>
  <c r="R69" i="2"/>
  <c r="R317" i="2"/>
  <c r="X75" i="3"/>
  <c r="Y75" i="3" s="1"/>
  <c r="O90" i="2"/>
  <c r="O105" i="2" s="1"/>
  <c r="P94" i="3"/>
  <c r="AF51" i="3"/>
  <c r="AH52" i="3" s="1"/>
  <c r="X9" i="2"/>
  <c r="X6" i="2" s="1"/>
  <c r="AB92" i="3"/>
  <c r="T91" i="2"/>
  <c r="AF64" i="3"/>
  <c r="W10" i="2"/>
  <c r="AF11" i="3"/>
  <c r="AF19" i="3"/>
  <c r="AG11" i="3"/>
  <c r="AG64" i="3"/>
  <c r="AG92" i="3" s="1"/>
  <c r="U262" i="2"/>
  <c r="U270" i="2" s="1"/>
  <c r="U282" i="2"/>
  <c r="U287" i="2" s="1"/>
  <c r="U92" i="2"/>
  <c r="AD93" i="3"/>
  <c r="AG42" i="3"/>
  <c r="AG43" i="3" s="1"/>
  <c r="AG30" i="3"/>
  <c r="AH64" i="3"/>
  <c r="AH19" i="3"/>
  <c r="AH11" i="3"/>
  <c r="X10" i="2"/>
  <c r="V75" i="3"/>
  <c r="W75" i="3" s="1"/>
  <c r="AI42" i="3"/>
  <c r="AI51" i="3" s="1"/>
  <c r="AI30" i="3"/>
  <c r="AD19" i="3"/>
  <c r="S69" i="2"/>
  <c r="AD52" i="3"/>
  <c r="AD53" i="3"/>
  <c r="AD56" i="3"/>
  <c r="V51" i="2"/>
  <c r="T217" i="2"/>
  <c r="S218" i="2"/>
  <c r="S251" i="2"/>
  <c r="AC58" i="3"/>
  <c r="AC68" i="3"/>
  <c r="AC57" i="3"/>
  <c r="T52" i="2"/>
  <c r="T55" i="2" s="1"/>
  <c r="T242" i="2"/>
  <c r="T245" i="2" s="1"/>
  <c r="T53" i="2"/>
  <c r="AI16" i="3"/>
  <c r="V64" i="2"/>
  <c r="AH43" i="3"/>
  <c r="AI64" i="3"/>
  <c r="AI11" i="3"/>
  <c r="V212" i="2"/>
  <c r="V11" i="2"/>
  <c r="V257" i="2"/>
  <c r="V198" i="2"/>
  <c r="V256" i="2"/>
  <c r="V199" i="2"/>
  <c r="AB68" i="3"/>
  <c r="U56" i="2"/>
  <c r="AB58" i="3"/>
  <c r="AB57" i="3"/>
  <c r="AH53" i="3"/>
  <c r="AH56" i="3"/>
  <c r="O322" i="2"/>
  <c r="X30" i="2"/>
  <c r="V42" i="2" l="1"/>
  <c r="U52" i="2"/>
  <c r="U55" i="2" s="1"/>
  <c r="U242" i="2"/>
  <c r="U245" i="2" s="1"/>
  <c r="U251" i="2" s="1"/>
  <c r="U201" i="2"/>
  <c r="AE52" i="3"/>
  <c r="AE56" i="3"/>
  <c r="AE57" i="3" s="1"/>
  <c r="O250" i="2"/>
  <c r="W41" i="2"/>
  <c r="W43" i="2" s="1"/>
  <c r="AI92" i="3"/>
  <c r="W64" i="2"/>
  <c r="W65" i="2" s="1"/>
  <c r="AI56" i="3"/>
  <c r="X56" i="2" s="1"/>
  <c r="AI53" i="3"/>
  <c r="X51" i="2"/>
  <c r="AF21" i="3"/>
  <c r="X64" i="2"/>
  <c r="AA70" i="3"/>
  <c r="AA69" i="3"/>
  <c r="T68" i="2"/>
  <c r="T57" i="2"/>
  <c r="T58" i="2"/>
  <c r="W199" i="2"/>
  <c r="W198" i="2"/>
  <c r="W212" i="2"/>
  <c r="W11" i="2"/>
  <c r="W257" i="2"/>
  <c r="W256" i="2"/>
  <c r="AH68" i="3"/>
  <c r="AH58" i="3"/>
  <c r="U217" i="2"/>
  <c r="U75" i="2" s="1"/>
  <c r="T218" i="2"/>
  <c r="AD57" i="3"/>
  <c r="AD68" i="3"/>
  <c r="AD58" i="3"/>
  <c r="W74" i="2"/>
  <c r="X74" i="2" s="1"/>
  <c r="U57" i="2"/>
  <c r="U58" i="2"/>
  <c r="AD21" i="3"/>
  <c r="V21" i="2" s="1"/>
  <c r="V19" i="2"/>
  <c r="AG51" i="3"/>
  <c r="W51" i="2" s="1"/>
  <c r="V262" i="2"/>
  <c r="V270" i="2" s="1"/>
  <c r="V282" i="2"/>
  <c r="V287" i="2" s="1"/>
  <c r="X41" i="2"/>
  <c r="AF93" i="3"/>
  <c r="V92" i="2"/>
  <c r="AD92" i="3"/>
  <c r="U91" i="2"/>
  <c r="AG17" i="3"/>
  <c r="W16" i="2"/>
  <c r="AH21" i="3"/>
  <c r="V62" i="2"/>
  <c r="V63" i="2"/>
  <c r="V61" i="2"/>
  <c r="V200" i="2" s="1"/>
  <c r="V65" i="2"/>
  <c r="AI43" i="3"/>
  <c r="V207" i="2"/>
  <c r="V243" i="2" s="1"/>
  <c r="AI17" i="3"/>
  <c r="X16" i="2"/>
  <c r="T75" i="2"/>
  <c r="AF56" i="3"/>
  <c r="AH57" i="3" s="1"/>
  <c r="AF53" i="3"/>
  <c r="AF52" i="3"/>
  <c r="T251" i="2"/>
  <c r="AC70" i="3"/>
  <c r="AC69" i="3"/>
  <c r="U68" i="2"/>
  <c r="AB70" i="3"/>
  <c r="AB69" i="3"/>
  <c r="O93" i="2"/>
  <c r="O103" i="2" s="1"/>
  <c r="P95" i="3"/>
  <c r="P96" i="3"/>
  <c r="O283" i="2"/>
  <c r="O286" i="2"/>
  <c r="L24" i="1"/>
  <c r="V242" i="2"/>
  <c r="V52" i="2"/>
  <c r="V55" i="2" s="1"/>
  <c r="V53" i="2"/>
  <c r="X198" i="2"/>
  <c r="X11" i="2"/>
  <c r="X257" i="2"/>
  <c r="X256" i="2"/>
  <c r="X199" i="2"/>
  <c r="X212" i="2"/>
  <c r="L25" i="1" l="1"/>
  <c r="V25" i="4"/>
  <c r="V26" i="4" s="1"/>
  <c r="AE68" i="3"/>
  <c r="AE69" i="3" s="1"/>
  <c r="V201" i="2"/>
  <c r="V56" i="2"/>
  <c r="V58" i="2" s="1"/>
  <c r="V245" i="2"/>
  <c r="V251" i="2" s="1"/>
  <c r="AE58" i="3"/>
  <c r="W42" i="2"/>
  <c r="W61" i="2"/>
  <c r="X61" i="2" s="1"/>
  <c r="W62" i="2"/>
  <c r="X62" i="2" s="1"/>
  <c r="W63" i="2"/>
  <c r="X63" i="2" s="1"/>
  <c r="W242" i="2"/>
  <c r="W53" i="2"/>
  <c r="W52" i="2"/>
  <c r="W55" i="2" s="1"/>
  <c r="AH70" i="3"/>
  <c r="X65" i="2"/>
  <c r="X58" i="2"/>
  <c r="AF58" i="3"/>
  <c r="AF68" i="3"/>
  <c r="AH69" i="3" s="1"/>
  <c r="AF57" i="3"/>
  <c r="AD69" i="3"/>
  <c r="AD70" i="3"/>
  <c r="Z75" i="3"/>
  <c r="AA75" i="3" s="1"/>
  <c r="AG53" i="3"/>
  <c r="AG52" i="3"/>
  <c r="AG56" i="3"/>
  <c r="W56" i="2" s="1"/>
  <c r="U69" i="2"/>
  <c r="U70" i="2"/>
  <c r="U317" i="2"/>
  <c r="W92" i="2"/>
  <c r="AH93" i="3"/>
  <c r="X92" i="2" s="1"/>
  <c r="W262" i="2"/>
  <c r="W270" i="2" s="1"/>
  <c r="W282" i="2"/>
  <c r="W287" i="2" s="1"/>
  <c r="O288" i="2"/>
  <c r="O284" i="2"/>
  <c r="X42" i="2"/>
  <c r="X43" i="2"/>
  <c r="W207" i="2"/>
  <c r="W243" i="2" s="1"/>
  <c r="X262" i="2"/>
  <c r="X270" i="2" s="1"/>
  <c r="X282" i="2"/>
  <c r="X287" i="2" s="1"/>
  <c r="AB75" i="3"/>
  <c r="AC75" i="3" s="1"/>
  <c r="X242" i="2"/>
  <c r="X53" i="2"/>
  <c r="X52" i="2"/>
  <c r="X55" i="2" s="1"/>
  <c r="X17" i="2"/>
  <c r="AI19" i="3"/>
  <c r="O94" i="2"/>
  <c r="O97" i="2" s="1"/>
  <c r="O95" i="2"/>
  <c r="O106" i="2" s="1"/>
  <c r="AG19" i="3"/>
  <c r="W17" i="2"/>
  <c r="V217" i="2"/>
  <c r="V75" i="2" s="1"/>
  <c r="U218" i="2"/>
  <c r="AI52" i="3"/>
  <c r="X207" i="2"/>
  <c r="AF92" i="3"/>
  <c r="V91" i="2"/>
  <c r="T317" i="2"/>
  <c r="T70" i="2"/>
  <c r="T69" i="2"/>
  <c r="AI68" i="3"/>
  <c r="X68" i="2" s="1"/>
  <c r="AI58" i="3"/>
  <c r="AE70" i="3" l="1"/>
  <c r="V68" i="2"/>
  <c r="V317" i="2" s="1"/>
  <c r="V57" i="2"/>
  <c r="W200" i="2"/>
  <c r="X200" i="2" s="1"/>
  <c r="W201" i="2"/>
  <c r="X201" i="2" s="1"/>
  <c r="AI57" i="3"/>
  <c r="X317" i="2"/>
  <c r="X70" i="2"/>
  <c r="AI70" i="3"/>
  <c r="W217" i="2"/>
  <c r="V218" i="2"/>
  <c r="AD75" i="3"/>
  <c r="AE75" i="3" s="1"/>
  <c r="AF69" i="3"/>
  <c r="AF70" i="3"/>
  <c r="W91" i="2"/>
  <c r="AH92" i="3"/>
  <c r="X91" i="2" s="1"/>
  <c r="W57" i="2"/>
  <c r="W58" i="2"/>
  <c r="O111" i="2"/>
  <c r="O104" i="2"/>
  <c r="E29" i="1"/>
  <c r="AI21" i="3"/>
  <c r="X21" i="2" s="1"/>
  <c r="X19" i="2"/>
  <c r="AG57" i="3"/>
  <c r="AG58" i="3"/>
  <c r="AG68" i="3"/>
  <c r="W68" i="2" s="1"/>
  <c r="X57" i="2"/>
  <c r="O285" i="2"/>
  <c r="X243" i="2"/>
  <c r="X245" i="2" s="1"/>
  <c r="AG21" i="3"/>
  <c r="W21" i="2" s="1"/>
  <c r="W19" i="2"/>
  <c r="W245" i="2"/>
  <c r="V70" i="2" l="1"/>
  <c r="V69" i="2"/>
  <c r="E23" i="1"/>
  <c r="E24" i="1" s="1"/>
  <c r="E30" i="1"/>
  <c r="AI69" i="3"/>
  <c r="X251" i="2"/>
  <c r="W251" i="2"/>
  <c r="W317" i="2"/>
  <c r="W70" i="2"/>
  <c r="W69" i="2"/>
  <c r="X217" i="2"/>
  <c r="W218" i="2"/>
  <c r="W75" i="2"/>
  <c r="O114" i="2"/>
  <c r="O112" i="2"/>
  <c r="O306" i="2"/>
  <c r="O308" i="2" s="1"/>
  <c r="O115" i="2"/>
  <c r="X69" i="2"/>
  <c r="AG70" i="3"/>
  <c r="AG69" i="3"/>
  <c r="X218" i="2" l="1"/>
  <c r="O267" i="2"/>
  <c r="O271" i="2" s="1"/>
  <c r="O275" i="2" s="1"/>
  <c r="O197" i="2" s="1"/>
  <c r="P73" i="2" s="1"/>
  <c r="O229" i="2"/>
  <c r="AF75" i="3"/>
  <c r="AG75" i="3" s="1"/>
  <c r="X75" i="2"/>
  <c r="AH75" i="3" l="1"/>
  <c r="AI75" i="3" s="1"/>
  <c r="O232" i="2"/>
  <c r="O204" i="2"/>
  <c r="O220" i="2"/>
  <c r="O209" i="2" l="1"/>
  <c r="O208" i="2"/>
  <c r="P76" i="2"/>
  <c r="R73" i="3"/>
  <c r="R76" i="3" s="1"/>
  <c r="R82" i="3" s="1"/>
  <c r="O316" i="2"/>
  <c r="O234" i="2"/>
  <c r="O233" i="2"/>
  <c r="S33" i="1"/>
  <c r="S34" i="1"/>
  <c r="O221" i="2"/>
  <c r="O224" i="2" l="1"/>
  <c r="O222" i="2"/>
  <c r="O225" i="2"/>
  <c r="R85" i="3"/>
  <c r="R89" i="3" s="1"/>
  <c r="O318" i="2"/>
  <c r="O321" i="2"/>
  <c r="P246" i="2"/>
  <c r="P81" i="2"/>
  <c r="M29" i="1" s="1"/>
  <c r="S73" i="3"/>
  <c r="S76" i="3" s="1"/>
  <c r="S82" i="3" s="1"/>
  <c r="R91" i="3" l="1"/>
  <c r="S85" i="3"/>
  <c r="S89" i="3" s="1"/>
  <c r="P84" i="2" l="1"/>
  <c r="P247" i="2" s="1"/>
  <c r="P249" i="2" s="1"/>
  <c r="S91" i="3"/>
  <c r="S94" i="3" s="1"/>
  <c r="S96" i="3" s="1"/>
  <c r="P88" i="2"/>
  <c r="P90" i="2"/>
  <c r="P105" i="2" s="1"/>
  <c r="R94" i="3"/>
  <c r="P85" i="2" l="1"/>
  <c r="P320" i="2" s="1"/>
  <c r="P322" i="2" s="1"/>
  <c r="S95" i="3"/>
  <c r="R96" i="3"/>
  <c r="R95" i="3"/>
  <c r="P93" i="2"/>
  <c r="P103" i="2" s="1"/>
  <c r="M24" i="1"/>
  <c r="P281" i="2"/>
  <c r="P250" i="2"/>
  <c r="M25" i="1" l="1"/>
  <c r="W25" i="4"/>
  <c r="W26" i="4" s="1"/>
  <c r="P283" i="2"/>
  <c r="P286" i="2"/>
  <c r="P95" i="2"/>
  <c r="P106" i="2" s="1"/>
  <c r="P94" i="2"/>
  <c r="P97" i="2" s="1"/>
  <c r="F29" i="1" l="1"/>
  <c r="P111" i="2"/>
  <c r="P104" i="2"/>
  <c r="P284" i="2"/>
  <c r="P288" i="2"/>
  <c r="F23" i="1" l="1"/>
  <c r="F30" i="1"/>
  <c r="P285" i="2"/>
  <c r="P115" i="2"/>
  <c r="P114" i="2"/>
  <c r="P306" i="2"/>
  <c r="P308" i="2" s="1"/>
  <c r="P112" i="2"/>
  <c r="P267" i="2" l="1"/>
  <c r="P271" i="2" s="1"/>
  <c r="P275" i="2" s="1"/>
  <c r="P197" i="2" s="1"/>
  <c r="Q73" i="2" s="1"/>
  <c r="P229" i="2"/>
  <c r="P232" i="2" l="1"/>
  <c r="P204" i="2"/>
  <c r="P220" i="2"/>
  <c r="T34" i="1" l="1"/>
  <c r="T33" i="1"/>
  <c r="P221" i="2"/>
  <c r="T73" i="3"/>
  <c r="T76" i="3" s="1"/>
  <c r="T82" i="3" s="1"/>
  <c r="Q76" i="2"/>
  <c r="P209" i="2"/>
  <c r="P208" i="2"/>
  <c r="P234" i="2"/>
  <c r="P316" i="2"/>
  <c r="P233" i="2"/>
  <c r="Q246" i="2" l="1"/>
  <c r="Q81" i="2"/>
  <c r="N29" i="1" s="1"/>
  <c r="U73" i="3"/>
  <c r="U76" i="3" s="1"/>
  <c r="U82" i="3" s="1"/>
  <c r="T85" i="3"/>
  <c r="T89" i="3" s="1"/>
  <c r="P222" i="2"/>
  <c r="P225" i="2"/>
  <c r="P224" i="2"/>
  <c r="P318" i="2"/>
  <c r="P321" i="2"/>
  <c r="T91" i="3" l="1"/>
  <c r="Q84" i="2"/>
  <c r="U85" i="3"/>
  <c r="U89" i="3" s="1"/>
  <c r="U91" i="3" l="1"/>
  <c r="U94" i="3" s="1"/>
  <c r="U96" i="3" s="1"/>
  <c r="Q88" i="2"/>
  <c r="Q247" i="2"/>
  <c r="Q249" i="2" s="1"/>
  <c r="Q85" i="2"/>
  <c r="Q320" i="2" s="1"/>
  <c r="Q90" i="2"/>
  <c r="Q105" i="2" s="1"/>
  <c r="T94" i="3"/>
  <c r="U95" i="3" l="1"/>
  <c r="Q93" i="2"/>
  <c r="Q103" i="2" s="1"/>
  <c r="T95" i="3"/>
  <c r="T96" i="3"/>
  <c r="Q322" i="2"/>
  <c r="N24" i="1"/>
  <c r="Q281" i="2"/>
  <c r="Q250" i="2"/>
  <c r="N25" i="1" l="1"/>
  <c r="X25" i="4"/>
  <c r="X26" i="4" s="1"/>
  <c r="Q286" i="2"/>
  <c r="Q283" i="2"/>
  <c r="Q94" i="2"/>
  <c r="Q97" i="2" s="1"/>
  <c r="Q95" i="2"/>
  <c r="Q106" i="2" s="1"/>
  <c r="Q111" i="2" l="1"/>
  <c r="Q104" i="2"/>
  <c r="G29" i="1"/>
  <c r="Q288" i="2"/>
  <c r="Q284" i="2"/>
  <c r="G23" i="1" l="1"/>
  <c r="G30" i="1"/>
  <c r="Q285" i="2"/>
  <c r="Q115" i="2"/>
  <c r="Q306" i="2"/>
  <c r="Q308" i="2" s="1"/>
  <c r="Q112" i="2"/>
  <c r="Q114" i="2"/>
  <c r="Q267" i="2" l="1"/>
  <c r="Q271" i="2" s="1"/>
  <c r="Q275" i="2" s="1"/>
  <c r="Q197" i="2" s="1"/>
  <c r="R73" i="2" s="1"/>
  <c r="Q229" i="2"/>
  <c r="Q204" i="2" l="1"/>
  <c r="Q220" i="2"/>
  <c r="Q232" i="2"/>
  <c r="Q221" i="2" l="1"/>
  <c r="U34" i="1"/>
  <c r="U33" i="1"/>
  <c r="Q316" i="2"/>
  <c r="Q234" i="2"/>
  <c r="Q233" i="2"/>
  <c r="Q209" i="2"/>
  <c r="Q208" i="2"/>
  <c r="V73" i="3"/>
  <c r="V76" i="3" s="1"/>
  <c r="V82" i="3" s="1"/>
  <c r="R76" i="2"/>
  <c r="W73" i="3" l="1"/>
  <c r="W76" i="3" s="1"/>
  <c r="W82" i="3" s="1"/>
  <c r="W85" i="3" s="1"/>
  <c r="V85" i="3"/>
  <c r="V89" i="3" s="1"/>
  <c r="R246" i="2"/>
  <c r="R81" i="2"/>
  <c r="Q318" i="2"/>
  <c r="Q321" i="2"/>
  <c r="Q224" i="2"/>
  <c r="Q222" i="2"/>
  <c r="Q225" i="2"/>
  <c r="W89" i="3" l="1"/>
  <c r="W91" i="3" s="1"/>
  <c r="W94" i="3" s="1"/>
  <c r="W96" i="3" s="1"/>
  <c r="R84" i="2"/>
  <c r="R247" i="2" s="1"/>
  <c r="R249" i="2" s="1"/>
  <c r="V91" i="3"/>
  <c r="R88" i="2"/>
  <c r="W95" i="3" l="1"/>
  <c r="R85" i="2"/>
  <c r="R320" i="2" s="1"/>
  <c r="R322" i="2" s="1"/>
  <c r="R281" i="2"/>
  <c r="R250" i="2"/>
  <c r="R90" i="2"/>
  <c r="R105" i="2" s="1"/>
  <c r="V94" i="3"/>
  <c r="R93" i="2" l="1"/>
  <c r="R103" i="2" s="1"/>
  <c r="V95" i="3"/>
  <c r="V96" i="3"/>
  <c r="R283" i="2"/>
  <c r="R286" i="2"/>
  <c r="R284" i="2" l="1"/>
  <c r="R288" i="2"/>
  <c r="R94" i="2"/>
  <c r="R97" i="2" s="1"/>
  <c r="R95" i="2"/>
  <c r="R106" i="2" s="1"/>
  <c r="R111" i="2" l="1"/>
  <c r="R104" i="2"/>
  <c r="R285" i="2"/>
  <c r="R115" i="2" l="1"/>
  <c r="R114" i="2"/>
  <c r="R306" i="2"/>
  <c r="R308" i="2" s="1"/>
  <c r="R112" i="2"/>
  <c r="R267" i="2" l="1"/>
  <c r="R271" i="2" s="1"/>
  <c r="R275" i="2" s="1"/>
  <c r="R197" i="2" s="1"/>
  <c r="S73" i="2" s="1"/>
  <c r="R229" i="2"/>
  <c r="R232" i="2" l="1"/>
  <c r="R204" i="2"/>
  <c r="R220" i="2"/>
  <c r="R221" i="2" s="1"/>
  <c r="R224" i="2" s="1"/>
  <c r="R208" i="2" l="1"/>
  <c r="R209" i="2"/>
  <c r="R225" i="2"/>
  <c r="R222" i="2"/>
  <c r="S76" i="2"/>
  <c r="X73" i="3"/>
  <c r="X76" i="3" s="1"/>
  <c r="X82" i="3" s="1"/>
  <c r="R316" i="2"/>
  <c r="R234" i="2"/>
  <c r="R233" i="2"/>
  <c r="R318" i="2" l="1"/>
  <c r="R321" i="2"/>
  <c r="Y73" i="3"/>
  <c r="Y76" i="3" s="1"/>
  <c r="Y82" i="3" s="1"/>
  <c r="X85" i="3"/>
  <c r="S246" i="2"/>
  <c r="S81" i="2"/>
  <c r="S84" i="2" l="1"/>
  <c r="X89" i="3"/>
  <c r="Y85" i="3"/>
  <c r="Y89" i="3" s="1"/>
  <c r="Y91" i="3" s="1"/>
  <c r="Y94" i="3" s="1"/>
  <c r="Y96" i="3" l="1"/>
  <c r="Y95" i="3"/>
  <c r="X91" i="3"/>
  <c r="S88" i="2"/>
  <c r="S85" i="2"/>
  <c r="S320" i="2" s="1"/>
  <c r="S247" i="2"/>
  <c r="S249" i="2" s="1"/>
  <c r="S281" i="2" l="1"/>
  <c r="S250" i="2"/>
  <c r="S322" i="2"/>
  <c r="X94" i="3"/>
  <c r="S90" i="2"/>
  <c r="S105" i="2" s="1"/>
  <c r="S93" i="2" l="1"/>
  <c r="S103" i="2" s="1"/>
  <c r="X95" i="3"/>
  <c r="X96" i="3"/>
  <c r="S286" i="2"/>
  <c r="S283" i="2"/>
  <c r="S95" i="2" l="1"/>
  <c r="S106" i="2" s="1"/>
  <c r="S94" i="2"/>
  <c r="S97" i="2" s="1"/>
  <c r="S288" i="2"/>
  <c r="S284" i="2"/>
  <c r="S111" i="2" l="1"/>
  <c r="S104" i="2"/>
  <c r="S285" i="2"/>
  <c r="S112" i="2" l="1"/>
  <c r="S114" i="2"/>
  <c r="S115" i="2"/>
  <c r="S306" i="2"/>
  <c r="S308" i="2" s="1"/>
  <c r="S267" i="2" l="1"/>
  <c r="S271" i="2" s="1"/>
  <c r="S275" i="2" s="1"/>
  <c r="S197" i="2" s="1"/>
  <c r="T73" i="2" s="1"/>
  <c r="S229" i="2"/>
  <c r="S232" i="2" l="1"/>
  <c r="S204" i="2"/>
  <c r="S220" i="2"/>
  <c r="S221" i="2" s="1"/>
  <c r="S208" i="2" l="1"/>
  <c r="S209" i="2"/>
  <c r="S224" i="2"/>
  <c r="S225" i="2"/>
  <c r="S222" i="2"/>
  <c r="T76" i="2"/>
  <c r="Z73" i="3"/>
  <c r="Z76" i="3" s="1"/>
  <c r="Z82" i="3" s="1"/>
  <c r="S316" i="2"/>
  <c r="S234" i="2"/>
  <c r="S233" i="2"/>
  <c r="S318" i="2" l="1"/>
  <c r="S321" i="2"/>
  <c r="Z85" i="3"/>
  <c r="Z89" i="3" s="1"/>
  <c r="AA73" i="3"/>
  <c r="AA76" i="3" s="1"/>
  <c r="AA82" i="3" s="1"/>
  <c r="T246" i="2"/>
  <c r="T81" i="2"/>
  <c r="Z91" i="3" l="1"/>
  <c r="AA85" i="3"/>
  <c r="AA89" i="3" s="1"/>
  <c r="T84" i="2"/>
  <c r="AA91" i="3" l="1"/>
  <c r="AA94" i="3" s="1"/>
  <c r="AA95" i="3" s="1"/>
  <c r="T88" i="2"/>
  <c r="T85" i="2"/>
  <c r="T320" i="2" s="1"/>
  <c r="T247" i="2"/>
  <c r="T249" i="2" s="1"/>
  <c r="T90" i="2"/>
  <c r="T105" i="2" s="1"/>
  <c r="Z94" i="3"/>
  <c r="AA96" i="3" l="1"/>
  <c r="T281" i="2"/>
  <c r="T250" i="2"/>
  <c r="Z96" i="3"/>
  <c r="T93" i="2"/>
  <c r="T103" i="2" s="1"/>
  <c r="Z95" i="3"/>
  <c r="T322" i="2"/>
  <c r="T94" i="2" l="1"/>
  <c r="T97" i="2" s="1"/>
  <c r="T95" i="2"/>
  <c r="T106" i="2" s="1"/>
  <c r="T283" i="2"/>
  <c r="T286" i="2"/>
  <c r="T288" i="2" l="1"/>
  <c r="T284" i="2"/>
  <c r="T104" i="2"/>
  <c r="T111" i="2"/>
  <c r="T306" i="2" l="1"/>
  <c r="T308" i="2" s="1"/>
  <c r="T112" i="2"/>
  <c r="T114" i="2"/>
  <c r="T115" i="2"/>
  <c r="T285" i="2"/>
  <c r="T267" i="2" l="1"/>
  <c r="T271" i="2" s="1"/>
  <c r="T275" i="2" s="1"/>
  <c r="T197" i="2" s="1"/>
  <c r="U73" i="2" s="1"/>
  <c r="T229" i="2"/>
  <c r="T232" i="2" l="1"/>
  <c r="T204" i="2"/>
  <c r="T220" i="2"/>
  <c r="T221" i="2" s="1"/>
  <c r="T208" i="2" l="1"/>
  <c r="T209" i="2"/>
  <c r="T222" i="2"/>
  <c r="T224" i="2"/>
  <c r="T225" i="2"/>
  <c r="U76" i="2"/>
  <c r="AB73" i="3"/>
  <c r="AB76" i="3" s="1"/>
  <c r="AB82" i="3" s="1"/>
  <c r="T234" i="2"/>
  <c r="T316" i="2"/>
  <c r="T233" i="2"/>
  <c r="T318" i="2" l="1"/>
  <c r="T321" i="2"/>
  <c r="AB85" i="3"/>
  <c r="AC73" i="3"/>
  <c r="AC76" i="3" s="1"/>
  <c r="AC82" i="3" s="1"/>
  <c r="U246" i="2"/>
  <c r="U81" i="2"/>
  <c r="U84" i="2" l="1"/>
  <c r="AC85" i="3"/>
  <c r="AC89" i="3" s="1"/>
  <c r="AC91" i="3" s="1"/>
  <c r="AC94" i="3" s="1"/>
  <c r="AB89" i="3"/>
  <c r="AC96" i="3" l="1"/>
  <c r="AC95" i="3"/>
  <c r="AB91" i="3"/>
  <c r="U88" i="2"/>
  <c r="U85" i="2"/>
  <c r="U320" i="2" s="1"/>
  <c r="U247" i="2"/>
  <c r="U249" i="2" s="1"/>
  <c r="U250" i="2" l="1"/>
  <c r="U281" i="2"/>
  <c r="U322" i="2"/>
  <c r="AB94" i="3"/>
  <c r="U90" i="2"/>
  <c r="U105" i="2" s="1"/>
  <c r="AB96" i="3" l="1"/>
  <c r="U93" i="2"/>
  <c r="U103" i="2" s="1"/>
  <c r="AB95" i="3"/>
  <c r="U283" i="2"/>
  <c r="U286" i="2"/>
  <c r="U284" i="2" l="1"/>
  <c r="U288" i="2"/>
  <c r="U94" i="2"/>
  <c r="U97" i="2" s="1"/>
  <c r="U95" i="2"/>
  <c r="U106" i="2" s="1"/>
  <c r="U111" i="2" l="1"/>
  <c r="U104" i="2"/>
  <c r="U285" i="2"/>
  <c r="U115" i="2" l="1"/>
  <c r="U306" i="2"/>
  <c r="U308" i="2" s="1"/>
  <c r="U112" i="2"/>
  <c r="U114" i="2"/>
  <c r="U267" i="2" l="1"/>
  <c r="U271" i="2" s="1"/>
  <c r="U275" i="2" s="1"/>
  <c r="U197" i="2" s="1"/>
  <c r="V73" i="2" s="1"/>
  <c r="U229" i="2"/>
  <c r="U232" i="2" l="1"/>
  <c r="U204" i="2"/>
  <c r="U220" i="2"/>
  <c r="U221" i="2" s="1"/>
  <c r="U222" i="2" l="1"/>
  <c r="U224" i="2"/>
  <c r="U225" i="2"/>
  <c r="U208" i="2"/>
  <c r="U209" i="2"/>
  <c r="V76" i="2"/>
  <c r="AD73" i="3"/>
  <c r="AD76" i="3" s="1"/>
  <c r="AD82" i="3" s="1"/>
  <c r="U316" i="2"/>
  <c r="U234" i="2"/>
  <c r="U233" i="2"/>
  <c r="AE73" i="3" l="1"/>
  <c r="AE76" i="3" s="1"/>
  <c r="AE82" i="3" s="1"/>
  <c r="AE85" i="3" s="1"/>
  <c r="AE89" i="3" s="1"/>
  <c r="AE91" i="3" s="1"/>
  <c r="AE94" i="3" s="1"/>
  <c r="AD85" i="3"/>
  <c r="U318" i="2"/>
  <c r="U321" i="2"/>
  <c r="V246" i="2"/>
  <c r="V81" i="2"/>
  <c r="V84" i="2" l="1"/>
  <c r="V85" i="2" s="1"/>
  <c r="V320" i="2" s="1"/>
  <c r="AE95" i="3"/>
  <c r="AE96" i="3"/>
  <c r="AD89" i="3"/>
  <c r="V247" i="2" l="1"/>
  <c r="V249" i="2" s="1"/>
  <c r="V281" i="2" s="1"/>
  <c r="V322" i="2"/>
  <c r="AD91" i="3"/>
  <c r="V88" i="2"/>
  <c r="V250" i="2" l="1"/>
  <c r="AD94" i="3"/>
  <c r="V90" i="2"/>
  <c r="V105" i="2" s="1"/>
  <c r="V286" i="2"/>
  <c r="V283" i="2"/>
  <c r="V284" i="2" l="1"/>
  <c r="V288" i="2"/>
  <c r="V93" i="2"/>
  <c r="V103" i="2" s="1"/>
  <c r="AD95" i="3"/>
  <c r="AD96" i="3"/>
  <c r="V95" i="2" l="1"/>
  <c r="V106" i="2" s="1"/>
  <c r="V94" i="2"/>
  <c r="V97" i="2" s="1"/>
  <c r="V285" i="2"/>
  <c r="V111" i="2" l="1"/>
  <c r="V104" i="2"/>
  <c r="V115" i="2" l="1"/>
  <c r="V114" i="2"/>
  <c r="V306" i="2"/>
  <c r="V308" i="2" s="1"/>
  <c r="V112" i="2"/>
  <c r="V267" i="2" l="1"/>
  <c r="V271" i="2" s="1"/>
  <c r="V275" i="2" s="1"/>
  <c r="V197" i="2" s="1"/>
  <c r="W73" i="2" s="1"/>
  <c r="V229" i="2"/>
  <c r="V232" i="2" l="1"/>
  <c r="V204" i="2"/>
  <c r="V220" i="2"/>
  <c r="V221" i="2" s="1"/>
  <c r="V209" i="2" l="1"/>
  <c r="V208" i="2"/>
  <c r="V225" i="2"/>
  <c r="V222" i="2"/>
  <c r="V224" i="2"/>
  <c r="AF73" i="3"/>
  <c r="AF76" i="3" s="1"/>
  <c r="AF82" i="3" s="1"/>
  <c r="W76" i="2"/>
  <c r="V316" i="2"/>
  <c r="V234" i="2"/>
  <c r="V233" i="2"/>
  <c r="V318" i="2" l="1"/>
  <c r="V321" i="2"/>
  <c r="W246" i="2"/>
  <c r="W81" i="2"/>
  <c r="AG73" i="3"/>
  <c r="AG76" i="3" s="1"/>
  <c r="AG82" i="3" s="1"/>
  <c r="AF85" i="3"/>
  <c r="AF89" i="3" s="1"/>
  <c r="AF91" i="3" l="1"/>
  <c r="AG85" i="3"/>
  <c r="AG89" i="3" s="1"/>
  <c r="W84" i="2"/>
  <c r="AG91" i="3" l="1"/>
  <c r="AG94" i="3" s="1"/>
  <c r="AG96" i="3" s="1"/>
  <c r="W88" i="2"/>
  <c r="W247" i="2"/>
  <c r="W249" i="2" s="1"/>
  <c r="W85" i="2"/>
  <c r="W320" i="2" s="1"/>
  <c r="W90" i="2"/>
  <c r="W105" i="2" s="1"/>
  <c r="AF94" i="3"/>
  <c r="AG95" i="3" l="1"/>
  <c r="W93" i="2"/>
  <c r="W103" i="2" s="1"/>
  <c r="AF95" i="3"/>
  <c r="AF96" i="3"/>
  <c r="W322" i="2"/>
  <c r="W281" i="2"/>
  <c r="W250" i="2"/>
  <c r="W95" i="2" l="1"/>
  <c r="W106" i="2" s="1"/>
  <c r="W94" i="2"/>
  <c r="W97" i="2" s="1"/>
  <c r="W283" i="2"/>
  <c r="W286" i="2"/>
  <c r="W288" i="2" l="1"/>
  <c r="W284" i="2"/>
  <c r="W111" i="2"/>
  <c r="W104" i="2"/>
  <c r="W112" i="2" l="1"/>
  <c r="W114" i="2"/>
  <c r="W306" i="2"/>
  <c r="W115" i="2"/>
  <c r="W285" i="2"/>
  <c r="W267" i="2" l="1"/>
  <c r="W271" i="2" s="1"/>
  <c r="W275" i="2" s="1"/>
  <c r="W197" i="2" s="1"/>
  <c r="X73" i="2" s="1"/>
  <c r="W229" i="2"/>
  <c r="W232" i="2" l="1"/>
  <c r="W204" i="2"/>
  <c r="W220" i="2"/>
  <c r="W221" i="2" s="1"/>
  <c r="W222" i="2" l="1"/>
  <c r="W224" i="2"/>
  <c r="W225" i="2"/>
  <c r="X76" i="2"/>
  <c r="AH73" i="3"/>
  <c r="AH76" i="3" s="1"/>
  <c r="AH82" i="3" s="1"/>
  <c r="W208" i="2"/>
  <c r="W209" i="2"/>
  <c r="W316" i="2"/>
  <c r="W234" i="2"/>
  <c r="W233" i="2"/>
  <c r="W318" i="2" l="1"/>
  <c r="W321" i="2"/>
  <c r="AI73" i="3"/>
  <c r="AI76" i="3" s="1"/>
  <c r="AI82" i="3" s="1"/>
  <c r="AH85" i="3"/>
  <c r="X246" i="2"/>
  <c r="X81" i="2"/>
  <c r="X84" i="2" l="1"/>
  <c r="AH89" i="3"/>
  <c r="AI85" i="3"/>
  <c r="AI89" i="3" s="1"/>
  <c r="AI91" i="3" s="1"/>
  <c r="AI94" i="3" s="1"/>
  <c r="AI95" i="3" l="1"/>
  <c r="AI96" i="3"/>
  <c r="X88" i="2"/>
  <c r="AH91" i="3"/>
  <c r="X85" i="2"/>
  <c r="X320" i="2" s="1"/>
  <c r="X247" i="2"/>
  <c r="X249" i="2" s="1"/>
  <c r="X281" i="2" l="1"/>
  <c r="X250" i="2"/>
  <c r="X322" i="2"/>
  <c r="X90" i="2"/>
  <c r="X105" i="2" s="1"/>
  <c r="AH94" i="3"/>
  <c r="AH95" i="3" l="1"/>
  <c r="AH96" i="3"/>
  <c r="X93" i="2"/>
  <c r="X103" i="2" s="1"/>
  <c r="X283" i="2"/>
  <c r="X286" i="2"/>
  <c r="X288" i="2" l="1"/>
  <c r="X284" i="2"/>
  <c r="X95" i="2"/>
  <c r="X106" i="2" s="1"/>
  <c r="X94" i="2"/>
  <c r="X97" i="2" s="1"/>
  <c r="X104" i="2" l="1"/>
  <c r="X111" i="2"/>
  <c r="X285" i="2"/>
  <c r="X306" i="2" l="1"/>
  <c r="X112" i="2"/>
  <c r="X114" i="2"/>
  <c r="X115" i="2"/>
  <c r="X267" i="2" l="1"/>
  <c r="X271" i="2" s="1"/>
  <c r="X275" i="2" s="1"/>
  <c r="X197" i="2" s="1"/>
  <c r="X229" i="2"/>
  <c r="X232" i="2" s="1"/>
  <c r="X308" i="2"/>
  <c r="W307" i="2"/>
  <c r="W308" i="2" s="1"/>
  <c r="X234" i="2" l="1"/>
  <c r="X233" i="2"/>
  <c r="D308" i="2"/>
  <c r="X204" i="2"/>
  <c r="X220" i="2"/>
  <c r="X221" i="2" s="1"/>
  <c r="X209" i="2" l="1"/>
  <c r="X208" i="2"/>
  <c r="X224" i="2"/>
  <c r="X222" i="2"/>
  <c r="X225" i="2"/>
  <c r="X310" i="2"/>
  <c r="V309" i="2"/>
  <c r="Q310" i="2"/>
  <c r="X309" i="2"/>
  <c r="P309" i="2"/>
  <c r="Q309" i="2"/>
  <c r="V310" i="2"/>
  <c r="T309" i="2"/>
  <c r="W310" i="2"/>
  <c r="S309" i="2"/>
  <c r="O310" i="2"/>
  <c r="W309" i="2"/>
  <c r="P310" i="2"/>
  <c r="U310" i="2"/>
  <c r="R309" i="2"/>
  <c r="O309" i="2"/>
  <c r="U309" i="2"/>
  <c r="T310" i="2"/>
  <c r="K11" i="1"/>
  <c r="R310" i="2"/>
  <c r="S310" i="2"/>
  <c r="O312" i="2"/>
  <c r="O311" i="2"/>
  <c r="P312" i="2"/>
  <c r="P311" i="2"/>
  <c r="Q312" i="2"/>
  <c r="Q311" i="2"/>
  <c r="R312" i="2"/>
  <c r="R311" i="2"/>
  <c r="S312" i="2"/>
  <c r="S311" i="2"/>
  <c r="T311" i="2"/>
  <c r="T312" i="2"/>
  <c r="U312" i="2"/>
  <c r="U311" i="2"/>
  <c r="V312" i="2"/>
  <c r="V311" i="2"/>
  <c r="W311" i="2"/>
  <c r="W312" i="2"/>
  <c r="X312" i="2"/>
  <c r="X311" i="2"/>
  <c r="X316" i="2"/>
  <c r="L11" i="1" l="1"/>
  <c r="N12" i="1"/>
  <c r="N13" i="1" s="1"/>
  <c r="X318" i="2"/>
  <c r="X3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 Wilson</author>
  </authors>
  <commentList>
    <comment ref="O73" authorId="0" shapeId="0" xr:uid="{A6F99EF1-5B09-4323-89A1-177D61D6773B}">
      <text>
        <r>
          <rPr>
            <b/>
            <sz val="9"/>
            <color indexed="81"/>
            <rFont val="Tahoma"/>
            <family val="2"/>
          </rPr>
          <t>Peter Wilson:</t>
        </r>
        <r>
          <rPr>
            <sz val="9"/>
            <color indexed="81"/>
            <rFont val="Tahoma"/>
            <family val="2"/>
          </rPr>
          <t xml:space="preserve">
Inlcudes interest on restricted cash and cash collections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 Wilson</author>
  </authors>
  <commentList>
    <comment ref="O34" authorId="0" shapeId="0" xr:uid="{D49D9279-2CBB-4B3A-8121-B26861DB1952}">
      <text>
        <r>
          <rPr>
            <b/>
            <sz val="9"/>
            <color indexed="81"/>
            <rFont val="Tahoma"/>
            <family val="2"/>
          </rPr>
          <t>Peter Wilson:</t>
        </r>
        <r>
          <rPr>
            <sz val="9"/>
            <color indexed="81"/>
            <rFont val="Tahoma"/>
            <family val="2"/>
          </rPr>
          <t xml:space="preserve">
FY25 transcript "we are seeing 2 broad groupings: smaller busineses in the $0.5-0.7mn EBITDA, and larger groups in the low single digit millions"
S18 FY25 preso. $0.7-1.0mn annualised EBITDA</t>
        </r>
      </text>
    </comment>
    <comment ref="R34" authorId="0" shapeId="0" xr:uid="{D407162A-7307-4608-B2AA-E928CC4AB598}">
      <text>
        <r>
          <rPr>
            <b/>
            <sz val="9"/>
            <color indexed="81"/>
            <rFont val="Tahoma"/>
            <family val="2"/>
          </rPr>
          <t>Peter Wilson:</t>
        </r>
        <r>
          <rPr>
            <sz val="9"/>
            <color indexed="81"/>
            <rFont val="Tahoma"/>
            <family val="2"/>
          </rPr>
          <t xml:space="preserve">
Assume larger to start (HUBS), then smaller</t>
        </r>
      </text>
    </comment>
    <comment ref="P44" authorId="0" shapeId="0" xr:uid="{287BC2F9-0EBD-45CE-955A-EB11A194917E}">
      <text>
        <r>
          <rPr>
            <b/>
            <sz val="9"/>
            <color indexed="81"/>
            <rFont val="Tahoma"/>
            <family val="2"/>
          </rPr>
          <t>Peter Wilson:</t>
        </r>
        <r>
          <rPr>
            <sz val="9"/>
            <color indexed="81"/>
            <rFont val="Tahoma"/>
            <family val="2"/>
          </rPr>
          <t xml:space="preserve">
FY25: "we made several changes to the team late in FY25, as a result we expect people costs being slightly higher in FY26 driven by wage growth and the SGC" Super Gurabntee
At post FY25, Management said nominal costs grow below inflation. COmpleted restructuring June, $2mn savings</t>
        </r>
      </text>
    </comment>
    <comment ref="P192" authorId="0" shapeId="0" xr:uid="{33756420-ADE3-41D2-8762-88642FF19DD8}">
      <text>
        <r>
          <rPr>
            <b/>
            <sz val="9"/>
            <color indexed="81"/>
            <rFont val="Tahoma"/>
            <family val="2"/>
          </rPr>
          <t>Peter Wilson:</t>
        </r>
        <r>
          <rPr>
            <sz val="9"/>
            <color indexed="81"/>
            <rFont val="Tahoma"/>
            <family val="2"/>
          </rPr>
          <t xml:space="preserve">
1Q lodgements +34%, assume settlements/;pdgements 70%</t>
        </r>
      </text>
    </comment>
  </commentList>
</comments>
</file>

<file path=xl/sharedStrings.xml><?xml version="1.0" encoding="utf-8"?>
<sst xmlns="http://schemas.openxmlformats.org/spreadsheetml/2006/main" count="1428" uniqueCount="512">
  <si>
    <t>Value of new loan commitments for dwellings (a), seasonally adjusted and trend, Australia</t>
  </si>
  <si>
    <t>Total dwellings (seasadj) ($b)</t>
  </si>
  <si>
    <t>Owner occupier (seasadj) ($b)</t>
  </si>
  <si>
    <t>Investor (seasadj) ($b)</t>
  </si>
  <si>
    <t>Owner occupier first home buyers (seasadj) ($b)</t>
  </si>
  <si>
    <t>Total dwellings (trend) ($b)</t>
  </si>
  <si>
    <t>Owner occupier (trend) ($b)</t>
  </si>
  <si>
    <t>Investor (trend) ($b)</t>
  </si>
  <si>
    <t>Owner occupier first home buyers (trend) ($b)</t>
  </si>
  <si>
    <t>a. All series exclude refinancingSome series only commenced collection in the September quarter 2019 with the introduction of the Economic and Financial Statistics collection.Loan commitments for dwellings includes loans for the purpose of ‘Construction of new dwellings’, ‘Purchase of new dwellings’ and ‘Purchase of existing dwellings’. 'Residential land' and 'Alterations and additions' are available as separate series.</t>
  </si>
  <si>
    <t>All series exclude refinancing</t>
  </si>
  <si>
    <t>Some series only commenced collection in the September quarter 2019 with the introduction of the Economic and Financial Statistics collection.</t>
  </si>
  <si>
    <t>Loan commitments for dwellings includes loans for the purpose of ‘Construction of new dwellings’, ‘Purchase of new dwellings’ and ‘Purchase of existing dwellings’. 'Residential land' and 'Alterations and additions' are available as separate series.</t>
  </si>
  <si>
    <t>Source: Australian Bureau of Statistics, Lending indicators June Quarter 2025</t>
  </si>
  <si>
    <t>Value of refinanced loan commitments, seasonally adjusted and trend, Australia</t>
  </si>
  <si>
    <t>Owner occupier, external refinancing (seasadj) ($b)</t>
  </si>
  <si>
    <t>Owner occupier, internal refinancing (seasadj) ($b)</t>
  </si>
  <si>
    <t>Investor, external refinancing (seasadj) ($b)</t>
  </si>
  <si>
    <t>Investor, internal refinancing (seasadj) ($b)</t>
  </si>
  <si>
    <t>Owner occupier, external refinancing (trend) ($b)</t>
  </si>
  <si>
    <t>Owner occupier, internal refinancing (trend) ($b)</t>
  </si>
  <si>
    <t>Investor, external refinancing (trend) ($b)</t>
  </si>
  <si>
    <t>Investor, internal refinancing (trend) ($b)</t>
  </si>
  <si>
    <t>NA</t>
  </si>
  <si>
    <t>Segments</t>
  </si>
  <si>
    <t>Actual ----------&gt;</t>
  </si>
  <si>
    <t>Forecast -----&gt;</t>
  </si>
  <si>
    <t>Seasonality- 5yr averages</t>
  </si>
  <si>
    <t>Units</t>
  </si>
  <si>
    <t>1H20</t>
  </si>
  <si>
    <t>2H20</t>
  </si>
  <si>
    <t>1H21</t>
  </si>
  <si>
    <t>2H21</t>
  </si>
  <si>
    <t>1H22</t>
  </si>
  <si>
    <t>2H22</t>
  </si>
  <si>
    <t>1H23</t>
  </si>
  <si>
    <t>2H23</t>
  </si>
  <si>
    <t>1H24</t>
  </si>
  <si>
    <t>2H24</t>
  </si>
  <si>
    <t>1H25</t>
  </si>
  <si>
    <t>2H25</t>
  </si>
  <si>
    <t>1H26</t>
  </si>
  <si>
    <t>2H26</t>
  </si>
  <si>
    <t>1H27</t>
  </si>
  <si>
    <t>2H27</t>
  </si>
  <si>
    <t>1H28</t>
  </si>
  <si>
    <t>2H28</t>
  </si>
  <si>
    <t>1H29</t>
  </si>
  <si>
    <t>2H29</t>
  </si>
  <si>
    <t>1H30</t>
  </si>
  <si>
    <t>2H30</t>
  </si>
  <si>
    <t>1H31</t>
  </si>
  <si>
    <t>2H31</t>
  </si>
  <si>
    <t>1H32</t>
  </si>
  <si>
    <t>2H32</t>
  </si>
  <si>
    <t>1H33</t>
  </si>
  <si>
    <t>2H33</t>
  </si>
  <si>
    <t>1H34</t>
  </si>
  <si>
    <t>2H34</t>
  </si>
  <si>
    <t>1H35</t>
  </si>
  <si>
    <t>2H35</t>
  </si>
  <si>
    <t>1H</t>
  </si>
  <si>
    <t>2H</t>
  </si>
  <si>
    <t>P &amp;L</t>
  </si>
  <si>
    <t>Revenue</t>
  </si>
  <si>
    <t>Rev-Commission revenue and other income</t>
  </si>
  <si>
    <t>Commission revenue and other income</t>
  </si>
  <si>
    <t>AUDm</t>
  </si>
  <si>
    <t>1H25 preso</t>
  </si>
  <si>
    <t>Rev-Securitisation interest income</t>
  </si>
  <si>
    <t>Securitisation interest income</t>
  </si>
  <si>
    <t>Rev-Other</t>
  </si>
  <si>
    <t>Other</t>
  </si>
  <si>
    <t>AR</t>
  </si>
  <si>
    <t>Rev-Total Revenue</t>
  </si>
  <si>
    <t>Total Revenue</t>
  </si>
  <si>
    <t>Growth</t>
  </si>
  <si>
    <t>% YoY</t>
  </si>
  <si>
    <t>COGS</t>
  </si>
  <si>
    <t>DC-Commission and other cost of sales</t>
  </si>
  <si>
    <t>Commission and other cost of sales</t>
  </si>
  <si>
    <t>DC-Securitisation and interest expense</t>
  </si>
  <si>
    <t>Securitisation and interest expense</t>
  </si>
  <si>
    <t>DC-Other</t>
  </si>
  <si>
    <t>DC-Total COGS</t>
  </si>
  <si>
    <t>Total COGS</t>
  </si>
  <si>
    <t>GP-Gross Profit</t>
  </si>
  <si>
    <t>Gross Profit</t>
  </si>
  <si>
    <t>DC-Other income</t>
  </si>
  <si>
    <t>Other income</t>
  </si>
  <si>
    <t>DC-Gross Profit inc Other income</t>
  </si>
  <si>
    <t>Gross Profit inc Other income</t>
  </si>
  <si>
    <t>DC-Trail book adjustment</t>
  </si>
  <si>
    <t>Trail book adjustment</t>
  </si>
  <si>
    <t>Preso</t>
  </si>
  <si>
    <t>Gross Profit by segment</t>
  </si>
  <si>
    <t>GP-Distribution</t>
  </si>
  <si>
    <t>Distribution</t>
  </si>
  <si>
    <t>NR</t>
  </si>
  <si>
    <t>GP-Manufacturing</t>
  </si>
  <si>
    <t>Manufacturing</t>
  </si>
  <si>
    <t>GP-Central</t>
  </si>
  <si>
    <t>Central</t>
  </si>
  <si>
    <t>GP-Inorganic- forecast</t>
  </si>
  <si>
    <t>Inorganic- forecast</t>
  </si>
  <si>
    <t>GP-Gross Profit and Other income excluding trail book adjustment</t>
  </si>
  <si>
    <t>Gross Profit and Other income excluding trail book adjustment</t>
  </si>
  <si>
    <t>Number of acquired brokers</t>
  </si>
  <si>
    <t>Number of acquired brokers during period</t>
  </si>
  <si>
    <t>#</t>
  </si>
  <si>
    <t>Number of acquired brokers cumulative</t>
  </si>
  <si>
    <t>EBITDA per acquired broker</t>
  </si>
  <si>
    <t>EBITDA per acquired broker- annualised</t>
  </si>
  <si>
    <t>Operating Expenses</t>
  </si>
  <si>
    <t>Opex-Total Operating Costs</t>
  </si>
  <si>
    <t>Total Operating Costs</t>
  </si>
  <si>
    <t>Cost to Income Ratio</t>
  </si>
  <si>
    <t>%</t>
  </si>
  <si>
    <t>EBITDA</t>
  </si>
  <si>
    <t>EBITDA-Distribution</t>
  </si>
  <si>
    <t>EBITDA-Manuracturing</t>
  </si>
  <si>
    <t>EBITDA-Central</t>
  </si>
  <si>
    <t>EBITDA-Inorganic- forecast</t>
  </si>
  <si>
    <t>EBITDA-Underlying EBITDA</t>
  </si>
  <si>
    <t>Underlying EBITDA</t>
  </si>
  <si>
    <t>Margin</t>
  </si>
  <si>
    <t>Share-based payments (employees)</t>
  </si>
  <si>
    <t>EBITDA-EBITDA</t>
  </si>
  <si>
    <t xml:space="preserve">D&amp;A </t>
  </si>
  <si>
    <t>D&amp;A-Depreciation</t>
  </si>
  <si>
    <t>Depreciation</t>
  </si>
  <si>
    <t>Pres</t>
  </si>
  <si>
    <t>D&amp;A-Depreciation of right of use assets</t>
  </si>
  <si>
    <t>Depreciation of right of use assets</t>
  </si>
  <si>
    <t>D&amp;A-Amortisation</t>
  </si>
  <si>
    <t>Amortisation</t>
  </si>
  <si>
    <t xml:space="preserve">D&amp;A-D&amp;A </t>
  </si>
  <si>
    <t>D&amp;A / Revenue</t>
  </si>
  <si>
    <t>EBIT</t>
  </si>
  <si>
    <t>Underlying EBIT Growth</t>
  </si>
  <si>
    <t>EBIT Margin</t>
  </si>
  <si>
    <t>Interest</t>
  </si>
  <si>
    <t>Interest income</t>
  </si>
  <si>
    <t>Interest on lease liabilities</t>
  </si>
  <si>
    <t>Interest expense</t>
  </si>
  <si>
    <t>Net Interest (underlying)</t>
  </si>
  <si>
    <t>PBT</t>
  </si>
  <si>
    <t>Manuracturing</t>
  </si>
  <si>
    <t>Tax</t>
  </si>
  <si>
    <t>Tax expense</t>
  </si>
  <si>
    <t>Underlying Tax rate</t>
  </si>
  <si>
    <t>NPAT</t>
  </si>
  <si>
    <t>Statutory NPAT pre-NCI</t>
  </si>
  <si>
    <t>Non-controlling Interests</t>
  </si>
  <si>
    <t>Statutory NPAT</t>
  </si>
  <si>
    <t>Amortisation of intangibles</t>
  </si>
  <si>
    <t>Significant items after tax</t>
  </si>
  <si>
    <t>Underlying NPATA</t>
  </si>
  <si>
    <t>Underlying NPAT Growth</t>
  </si>
  <si>
    <t>Underlying NPAT margin</t>
  </si>
  <si>
    <t>Operating metrics</t>
  </si>
  <si>
    <t>Settlements</t>
  </si>
  <si>
    <t>KPIResidential</t>
  </si>
  <si>
    <t>Residential</t>
  </si>
  <si>
    <t>Preso appendix</t>
  </si>
  <si>
    <t>KPIAFGHL</t>
  </si>
  <si>
    <t>AFGHL</t>
  </si>
  <si>
    <t>KPICommercial</t>
  </si>
  <si>
    <t>Commercial</t>
  </si>
  <si>
    <t>KPILeasing and Asset finance</t>
  </si>
  <si>
    <t>Leasing and Asset finance</t>
  </si>
  <si>
    <t>KPITotal settlements ex AFGHL</t>
  </si>
  <si>
    <t>Total settlements</t>
  </si>
  <si>
    <t>KPIResidential lodgements</t>
  </si>
  <si>
    <t>Residential lodgements</t>
  </si>
  <si>
    <t>Settlement ratio</t>
  </si>
  <si>
    <t>Segment reporting</t>
  </si>
  <si>
    <t>KPI_DistCommission revenue and other income- Grossed up for internal</t>
  </si>
  <si>
    <t>Commission revenue and other income- Grossed up for internal</t>
  </si>
  <si>
    <t>KPI_DistCommission and other cost of sales</t>
  </si>
  <si>
    <t>KPI_DistGross Profit</t>
  </si>
  <si>
    <t>KPI_DistOther income</t>
  </si>
  <si>
    <t>KPI_DistExcluding trail book NPV adjustment</t>
  </si>
  <si>
    <t>Excluding trail book NPV adjustment</t>
  </si>
  <si>
    <t>KPI_DistGross Profit inc Other Income and excluding trail book adj</t>
  </si>
  <si>
    <t>Gross Profit inc Other Income and excluding trail book adj</t>
  </si>
  <si>
    <t>KPI_Dist</t>
  </si>
  <si>
    <t>KPI_DistCommission revenue- rate</t>
  </si>
  <si>
    <t>Commission revenue- rate</t>
  </si>
  <si>
    <t>KPI_DistCommission expenses- rate</t>
  </si>
  <si>
    <t>Commission expenses- rate</t>
  </si>
  <si>
    <t>KPI_DistCommission Net</t>
  </si>
  <si>
    <t>Commission Net</t>
  </si>
  <si>
    <t>KPI_DistCommission Retention</t>
  </si>
  <si>
    <t>Commission Retention</t>
  </si>
  <si>
    <t>ROE</t>
  </si>
  <si>
    <t>KPI</t>
  </si>
  <si>
    <t>KPIManufacturing</t>
  </si>
  <si>
    <t>KPIAFG Securities NIM</t>
  </si>
  <si>
    <t>AFG Securities NIM</t>
  </si>
  <si>
    <t>KPIAFG Securities commission</t>
  </si>
  <si>
    <t>AFG Securities commission</t>
  </si>
  <si>
    <t>KPIOther fees/costs</t>
  </si>
  <si>
    <t>Other fees/costs</t>
  </si>
  <si>
    <t>KPIGross Profit</t>
  </si>
  <si>
    <t>KPIAFG Securities average book</t>
  </si>
  <si>
    <t>AFG Securities average book</t>
  </si>
  <si>
    <t>KPIAFG Securities period-end loan book</t>
  </si>
  <si>
    <t>AFG Securities period-end loan book</t>
  </si>
  <si>
    <t>KPIAFG Securities Settlements</t>
  </si>
  <si>
    <t>AFG Securities Settlements</t>
  </si>
  <si>
    <t>KPINIM</t>
  </si>
  <si>
    <t>NIM</t>
  </si>
  <si>
    <t>bps</t>
  </si>
  <si>
    <t>KPIOther</t>
  </si>
  <si>
    <t>KPIAFG Brokers</t>
  </si>
  <si>
    <t>AFG Brokers</t>
  </si>
  <si>
    <t>KPIAustralian settlements</t>
  </si>
  <si>
    <t>Australian settlements</t>
  </si>
  <si>
    <t>AUDb</t>
  </si>
  <si>
    <t>Total settlements ex AFGHL</t>
  </si>
  <si>
    <t>ABS lending indicators</t>
  </si>
  <si>
    <t>Residential- new</t>
  </si>
  <si>
    <t>Resi- refin</t>
  </si>
  <si>
    <t>Total residential settlements</t>
  </si>
  <si>
    <t>AFG share</t>
  </si>
  <si>
    <t>Total debt</t>
  </si>
  <si>
    <t>Net debt</t>
  </si>
  <si>
    <t>Adjusted Net Debt</t>
  </si>
  <si>
    <t>Earnings changes=&gt;</t>
  </si>
  <si>
    <t>Source</t>
  </si>
  <si>
    <t>FY16A</t>
  </si>
  <si>
    <t>FY17A</t>
  </si>
  <si>
    <t>FY18A</t>
  </si>
  <si>
    <t>FY19A</t>
  </si>
  <si>
    <t>FY20A</t>
  </si>
  <si>
    <t>FY21A</t>
  </si>
  <si>
    <t>FY22A</t>
  </si>
  <si>
    <t>FY23A</t>
  </si>
  <si>
    <t>FY24A</t>
  </si>
  <si>
    <t>FY25A</t>
  </si>
  <si>
    <t>FY26E</t>
  </si>
  <si>
    <t>FY27E</t>
  </si>
  <si>
    <t>FY28E</t>
  </si>
  <si>
    <t>FY29E</t>
  </si>
  <si>
    <t>FY30E</t>
  </si>
  <si>
    <t>FY31E</t>
  </si>
  <si>
    <t>FY32E</t>
  </si>
  <si>
    <t>FY33E</t>
  </si>
  <si>
    <t>FY34E</t>
  </si>
  <si>
    <t>FY35E</t>
  </si>
  <si>
    <t>FY25E</t>
  </si>
  <si>
    <t>FY24E</t>
  </si>
  <si>
    <t>FY29 Aspiration</t>
  </si>
  <si>
    <t>Opex-Distribution</t>
  </si>
  <si>
    <t>Opex-Manuracturing</t>
  </si>
  <si>
    <t>Opex-Central</t>
  </si>
  <si>
    <t>&lt;50%</t>
  </si>
  <si>
    <t>Interest income rate</t>
  </si>
  <si>
    <t>Interest expense rate</t>
  </si>
  <si>
    <t>EPS</t>
  </si>
  <si>
    <t>YE Basic Shares Outstanding</t>
  </si>
  <si>
    <t>#m</t>
  </si>
  <si>
    <t>Weighted Average Basic Shares Outstanding</t>
  </si>
  <si>
    <t>Dilution</t>
  </si>
  <si>
    <t>Weighted Average Diluted Shares Outstanding</t>
  </si>
  <si>
    <t>Underlying EPS</t>
  </si>
  <si>
    <t>AUDps</t>
  </si>
  <si>
    <t>Average Share Price</t>
  </si>
  <si>
    <t>Please sign in</t>
  </si>
  <si>
    <t>PE multiple</t>
  </si>
  <si>
    <t>x</t>
  </si>
  <si>
    <t>Dividends</t>
  </si>
  <si>
    <t>Payout Ratio</t>
  </si>
  <si>
    <t>Dividend Yield</t>
  </si>
  <si>
    <t>Dividend Growth</t>
  </si>
  <si>
    <t>FY29 Aspiration- CAGR</t>
  </si>
  <si>
    <t>KPIResidential- new</t>
  </si>
  <si>
    <t>KPIResi- refin</t>
  </si>
  <si>
    <t>KPIPersonal Finance</t>
  </si>
  <si>
    <t>Personal Finance</t>
  </si>
  <si>
    <t>Balance Sheet</t>
  </si>
  <si>
    <t>Assets</t>
  </si>
  <si>
    <t xml:space="preserve">Cash </t>
  </si>
  <si>
    <t>Current Receivables</t>
  </si>
  <si>
    <t>Contract Assets</t>
  </si>
  <si>
    <t>PPE</t>
  </si>
  <si>
    <t>Intangibles</t>
  </si>
  <si>
    <t>Right-of-use-Assets</t>
  </si>
  <si>
    <t xml:space="preserve">Other </t>
  </si>
  <si>
    <t>TOTAL ASSETS</t>
  </si>
  <si>
    <t>Rec / Total Revenue</t>
  </si>
  <si>
    <t>Inv/ Total Revenue</t>
  </si>
  <si>
    <t>Working Capital</t>
  </si>
  <si>
    <t>ROA</t>
  </si>
  <si>
    <t>ROTA</t>
  </si>
  <si>
    <t>Liabilities</t>
  </si>
  <si>
    <t>Current Payables</t>
  </si>
  <si>
    <t>Employee Provisions</t>
  </si>
  <si>
    <t>Contract liabilities</t>
  </si>
  <si>
    <t>Lease Liabilities</t>
  </si>
  <si>
    <t xml:space="preserve">TOTAL LIABILITIES </t>
  </si>
  <si>
    <t>Payables /  Total Revenue</t>
  </si>
  <si>
    <t>Adj Net Debt/EBITDA</t>
  </si>
  <si>
    <t>Target Net Debt/EBITDA</t>
  </si>
  <si>
    <t>Gearing ND/(ND+E)</t>
  </si>
  <si>
    <t>Equity</t>
  </si>
  <si>
    <t>Issued Capital</t>
  </si>
  <si>
    <t xml:space="preserve">Retained Profits </t>
  </si>
  <si>
    <t xml:space="preserve">Reserves </t>
  </si>
  <si>
    <t xml:space="preserve">Minorities </t>
  </si>
  <si>
    <t xml:space="preserve">TOTAL EQUITY </t>
  </si>
  <si>
    <t>P/B</t>
  </si>
  <si>
    <t>Cash Flow</t>
  </si>
  <si>
    <t>CFO</t>
  </si>
  <si>
    <t>Receipts from customers</t>
  </si>
  <si>
    <t>Payments to suppliers and employees</t>
  </si>
  <si>
    <t>Interest received</t>
  </si>
  <si>
    <t>Interest paid</t>
  </si>
  <si>
    <t>Total EBITDA (Underlying)</t>
  </si>
  <si>
    <t>Non-cash/Significant Items</t>
  </si>
  <si>
    <t>Gross Operating Cash Flow</t>
  </si>
  <si>
    <t>Net Interest Paid</t>
  </si>
  <si>
    <t>Income Tax Paid</t>
  </si>
  <si>
    <t>Net Operating Cash Flow</t>
  </si>
  <si>
    <t>Net OCF Growth</t>
  </si>
  <si>
    <t>Underlying EBITDA / Gross OCF conversion (inc Interest Income in EBITDA)</t>
  </si>
  <si>
    <t>Interest Paid</t>
  </si>
  <si>
    <t>Tax conversion</t>
  </si>
  <si>
    <t>CFI</t>
  </si>
  <si>
    <t>Capex (PP&amp;E)</t>
  </si>
  <si>
    <t>Capex (Intangibles)</t>
  </si>
  <si>
    <t>CFAcquisitions</t>
  </si>
  <si>
    <t>Acquisitions</t>
  </si>
  <si>
    <t>Associate investments</t>
  </si>
  <si>
    <t>Asset Sales</t>
  </si>
  <si>
    <t>Investing Cash Flow</t>
  </si>
  <si>
    <t>Capex / Sales</t>
  </si>
  <si>
    <t>Intangibles / Sales</t>
  </si>
  <si>
    <t>CFF</t>
  </si>
  <si>
    <t>Dividends paid</t>
  </si>
  <si>
    <t xml:space="preserve">Issue of shares </t>
  </si>
  <si>
    <t>Lease Principal Payments</t>
  </si>
  <si>
    <t>Change in Debt</t>
  </si>
  <si>
    <t>Financing Cash Flow</t>
  </si>
  <si>
    <t>Dividend Conversion</t>
  </si>
  <si>
    <t>Debt financing of CFI</t>
  </si>
  <si>
    <t>Net Change in Cash Flow</t>
  </si>
  <si>
    <t>Free Cash Flow</t>
  </si>
  <si>
    <t>FCF</t>
  </si>
  <si>
    <t>Net OCF</t>
  </si>
  <si>
    <t>Net Capex * Lease principle</t>
  </si>
  <si>
    <t>FCFps</t>
  </si>
  <si>
    <t>FCF Yield</t>
  </si>
  <si>
    <t>OCF / Sales</t>
  </si>
  <si>
    <t>FCF Margin</t>
  </si>
  <si>
    <t>FCF Usage</t>
  </si>
  <si>
    <t xml:space="preserve">M&amp;A </t>
  </si>
  <si>
    <t>Debt Reduction</t>
  </si>
  <si>
    <t>ND/EBITDA</t>
  </si>
  <si>
    <t>Dividends (incl. specials)</t>
  </si>
  <si>
    <t>NPAT Payout Ratio</t>
  </si>
  <si>
    <t>FCF Payout Ratio</t>
  </si>
  <si>
    <t>Dividend Discount Model</t>
  </si>
  <si>
    <t>Discount</t>
  </si>
  <si>
    <t>Dividend</t>
  </si>
  <si>
    <t>Final Value</t>
  </si>
  <si>
    <t>Discounted Dividend</t>
  </si>
  <si>
    <t>Implied PE multiple</t>
  </si>
  <si>
    <t>Implied EV/EBITDA multiple</t>
  </si>
  <si>
    <t>Implied Div Yield</t>
  </si>
  <si>
    <t>Implied FCF Yield</t>
  </si>
  <si>
    <t>ROIC</t>
  </si>
  <si>
    <t>Invested Capital</t>
  </si>
  <si>
    <t>Underlying EBIT</t>
  </si>
  <si>
    <t>ROFE</t>
  </si>
  <si>
    <t>Underlying NOPAT</t>
  </si>
  <si>
    <t>Incremental ROIC</t>
  </si>
  <si>
    <t>Quality Score</t>
  </si>
  <si>
    <t>LTIs</t>
  </si>
  <si>
    <t>EPSg</t>
  </si>
  <si>
    <t>Minimum Target</t>
  </si>
  <si>
    <t>Middle Target</t>
  </si>
  <si>
    <t>Maximum Target</t>
  </si>
  <si>
    <t>EPS 3yr CAGR</t>
  </si>
  <si>
    <t>EPS CAGR Target</t>
  </si>
  <si>
    <t>Cash Flow Audit</t>
  </si>
  <si>
    <t>Operating Cash Flow</t>
  </si>
  <si>
    <t>Significant Items</t>
  </si>
  <si>
    <t>Working Capital Impact</t>
  </si>
  <si>
    <t>Average EBITDA Conversion</t>
  </si>
  <si>
    <t>Total</t>
  </si>
  <si>
    <t>Valuation</t>
  </si>
  <si>
    <t>AFG.AX</t>
  </si>
  <si>
    <t xml:space="preserve">DDM </t>
  </si>
  <si>
    <t>Current Price =</t>
  </si>
  <si>
    <t>Risk Free Rate</t>
  </si>
  <si>
    <t>Shares Outstanding =</t>
  </si>
  <si>
    <t>Beta</t>
  </si>
  <si>
    <t>AS51 Index</t>
  </si>
  <si>
    <t>Market Premium</t>
  </si>
  <si>
    <t>TARGET Relative Forward PE</t>
  </si>
  <si>
    <t>Ke</t>
  </si>
  <si>
    <t>TARGET Forward PE</t>
  </si>
  <si>
    <t>% p.a.</t>
  </si>
  <si>
    <t>PE Price Target =</t>
  </si>
  <si>
    <t>LT Payout Ratio</t>
  </si>
  <si>
    <t>LT growth rate</t>
  </si>
  <si>
    <t>SOTP</t>
  </si>
  <si>
    <t>Notes</t>
  </si>
  <si>
    <t>Implied 12M PE Ratio</t>
  </si>
  <si>
    <t>Actual Values</t>
  </si>
  <si>
    <t>(hard coded)</t>
  </si>
  <si>
    <t>Implied12M EV/EBITDA Ratio</t>
  </si>
  <si>
    <t>Formula</t>
  </si>
  <si>
    <t>EV- market</t>
  </si>
  <si>
    <t>Manual entry (assumption)</t>
  </si>
  <si>
    <t>(usually from guidance given by management)</t>
  </si>
  <si>
    <t>ND/EV</t>
  </si>
  <si>
    <t>Actual ---&gt;</t>
  </si>
  <si>
    <t>PE</t>
  </si>
  <si>
    <t>Consensus</t>
  </si>
  <si>
    <t>EBITDA (AUDm)</t>
  </si>
  <si>
    <t>Blackwattle</t>
  </si>
  <si>
    <t>Difference</t>
  </si>
  <si>
    <t>EPS (Acps)</t>
  </si>
  <si>
    <t>Shares Outstanding</t>
  </si>
  <si>
    <t>PBT (AUDm)</t>
  </si>
  <si>
    <t>DPS (Acps)</t>
  </si>
  <si>
    <t>EBIT (AUDm)</t>
  </si>
  <si>
    <t>EV / EBITDA</t>
  </si>
  <si>
    <t>FY24</t>
  </si>
  <si>
    <t>% Diff</t>
  </si>
  <si>
    <t>OLD</t>
  </si>
  <si>
    <t>EV/EBITDA</t>
  </si>
  <si>
    <t>EV/Sales</t>
  </si>
  <si>
    <t>EBITDA Growth</t>
  </si>
  <si>
    <t>EBITDA margin</t>
  </si>
  <si>
    <t>Revenue Growth</t>
  </si>
  <si>
    <t>EBIT margin</t>
  </si>
  <si>
    <t>Rule of 40</t>
  </si>
  <si>
    <t>Market Cap</t>
  </si>
  <si>
    <t>Stock</t>
  </si>
  <si>
    <t>D&amp;A</t>
  </si>
  <si>
    <t>FY1</t>
  </si>
  <si>
    <t>FY2</t>
  </si>
  <si>
    <t>NTM</t>
  </si>
  <si>
    <t>FY0-3 CAGR</t>
  </si>
  <si>
    <t>3yr CAGR</t>
  </si>
  <si>
    <t>FY3</t>
  </si>
  <si>
    <t>Code</t>
  </si>
  <si>
    <t>Net Interest</t>
  </si>
  <si>
    <t>Global Cloud Services</t>
  </si>
  <si>
    <t>PANW.O</t>
  </si>
  <si>
    <t>Tax Rate</t>
  </si>
  <si>
    <t>FTNT.O</t>
  </si>
  <si>
    <t>CSCO.O</t>
  </si>
  <si>
    <t>FY25</t>
  </si>
  <si>
    <t>MEDIAN</t>
  </si>
  <si>
    <t>Aus Tech/SaaS</t>
  </si>
  <si>
    <t>OCL.AX</t>
  </si>
  <si>
    <t>MP1.AX</t>
  </si>
  <si>
    <t>TNE.AX</t>
  </si>
  <si>
    <t>RDY.AX</t>
  </si>
  <si>
    <t>RUL.AX</t>
  </si>
  <si>
    <t>WTC.AX</t>
  </si>
  <si>
    <t>XRO.AX</t>
  </si>
  <si>
    <t>FY26</t>
  </si>
  <si>
    <t>SDR.AX</t>
  </si>
  <si>
    <t>NXL.AX</t>
  </si>
  <si>
    <t>HSN.AX</t>
  </si>
  <si>
    <t>360.AX</t>
  </si>
  <si>
    <t>Total external</t>
  </si>
  <si>
    <t>EV/EBITDA multiple of acquired</t>
  </si>
  <si>
    <t>Cash for acquisitions</t>
  </si>
  <si>
    <t>Cash for acquisitions- broker equity</t>
  </si>
  <si>
    <t>SDF max 35% Gearing</t>
  </si>
  <si>
    <t>DA</t>
  </si>
  <si>
    <t>Capex</t>
  </si>
  <si>
    <t>EV/EBITDA capex</t>
  </si>
  <si>
    <t>DA/Sales</t>
  </si>
  <si>
    <t>Rev</t>
  </si>
  <si>
    <t>Tax rate</t>
  </si>
  <si>
    <t>Terminal</t>
  </si>
  <si>
    <t>WACC</t>
  </si>
  <si>
    <t>NPV</t>
  </si>
  <si>
    <t>IRR</t>
  </si>
  <si>
    <t>Growth rate nominal</t>
  </si>
  <si>
    <t>Terminal growth rate nominal</t>
  </si>
  <si>
    <t>AFG Model Summary</t>
  </si>
  <si>
    <t>NPAT(AUDm)</t>
  </si>
  <si>
    <t>MQG</t>
  </si>
  <si>
    <t>Citi</t>
  </si>
  <si>
    <t>FY27</t>
  </si>
  <si>
    <t>FY28</t>
  </si>
  <si>
    <t>NPAT Adj</t>
  </si>
  <si>
    <t>Avg</t>
  </si>
  <si>
    <t>GP exc other income</t>
  </si>
  <si>
    <t>GP (AUDm)</t>
  </si>
  <si>
    <t>AFG</t>
  </si>
  <si>
    <t>Non-Equity brokers</t>
  </si>
  <si>
    <t>Broker growth</t>
  </si>
  <si>
    <t>FY15</t>
  </si>
  <si>
    <t>Resi</t>
  </si>
  <si>
    <t>Broker services</t>
  </si>
  <si>
    <t>FY23</t>
  </si>
  <si>
    <t>Underlying EPSA</t>
  </si>
  <si>
    <t>EPSA Growth</t>
  </si>
  <si>
    <t>EPSA</t>
  </si>
  <si>
    <t>Gross Profit (AUDm)</t>
  </si>
  <si>
    <t>Forecast</t>
  </si>
  <si>
    <t>NPAT (AUDm)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</si>
</sst>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164" formatCode="0.0%"/>
    <numFmt numFmtId="165" formatCode="0.000"/>
    <numFmt numFmtId="166" formatCode="0.0"/>
    <numFmt numFmtId="167" formatCode="#,##0.0"/>
    <numFmt numFmtId="168" formatCode="d/mm/yy;@"/>
    <numFmt numFmtId="169" formatCode="0.000%"/>
    <numFmt numFmtId="170" formatCode="0.00000000000000%"/>
  </numFmts>
  <fonts count="36" x14ac:knownFonts="1">
    <font>
      <sz val="11"/>
      <color theme="1"/>
      <name val="Aptos Narrow"/>
      <family val="2"/>
      <scheme val="minor"/>
    </font>
    <font>
      <b/>
      <sz val="11"/>
      <name val="Calibri"/>
      <family val="2"/>
    </font>
    <font>
      <sz val="11"/>
      <color rgb="FF000000"/>
      <name val="Calibri"/>
      <family val="2"/>
    </font>
    <font>
      <sz val="11"/>
      <name val="Calibri"/>
      <family val="2"/>
    </font>
    <font>
      <sz val="11"/>
      <color rgb="FFBFBFBF"/>
      <name val="Calibri"/>
      <family val="2"/>
    </font>
    <font>
      <b/>
      <u/>
      <sz val="11"/>
      <color rgb="FF000000"/>
      <name val="Calibri"/>
      <family val="2"/>
    </font>
    <font>
      <sz val="10"/>
      <color rgb="FF000000"/>
      <name val="Calibri"/>
      <family val="2"/>
    </font>
    <font>
      <b/>
      <sz val="11"/>
      <color rgb="FFFFFFFF"/>
      <name val="Calibri"/>
      <family val="2"/>
    </font>
    <font>
      <b/>
      <sz val="11"/>
      <color rgb="FF000000"/>
      <name val="Calibri"/>
      <family val="2"/>
    </font>
    <font>
      <sz val="10"/>
      <color rgb="FFD9D9D9"/>
      <name val="Calibri"/>
      <family val="2"/>
    </font>
    <font>
      <sz val="11"/>
      <color rgb="FF0070C0"/>
      <name val="Calibri"/>
      <family val="2"/>
    </font>
    <font>
      <sz val="11"/>
      <color rgb="FFC00000"/>
      <name val="Calibri"/>
      <family val="2"/>
    </font>
    <font>
      <b/>
      <sz val="11"/>
      <color rgb="FF0070C0"/>
      <name val="Calibri"/>
      <family val="2"/>
    </font>
    <font>
      <sz val="9"/>
      <color rgb="FF0070C0"/>
      <name val="Arial"/>
      <family val="2"/>
    </font>
    <font>
      <sz val="9"/>
      <color rgb="FFFF0000"/>
      <name val="Arial"/>
      <family val="2"/>
    </font>
    <font>
      <b/>
      <u/>
      <sz val="11"/>
      <color rgb="FF0070C0"/>
      <name val="Calibri"/>
      <family val="2"/>
    </font>
    <font>
      <sz val="10"/>
      <color rgb="FFBFBFBF"/>
      <name val="Calibri"/>
      <family val="2"/>
    </font>
    <font>
      <sz val="10"/>
      <name val="Calibri"/>
      <family val="2"/>
    </font>
    <font>
      <i/>
      <sz val="10"/>
      <color rgb="FFD9D9D9"/>
      <name val="Calibri"/>
      <family val="2"/>
    </font>
    <font>
      <i/>
      <sz val="11"/>
      <color rgb="FF000000"/>
      <name val="Calibri"/>
      <family val="2"/>
    </font>
    <font>
      <i/>
      <sz val="11"/>
      <color rgb="FF0070C0"/>
      <name val="Calibri"/>
      <family val="2"/>
    </font>
    <font>
      <i/>
      <sz val="11"/>
      <name val="Calibri"/>
      <family val="2"/>
    </font>
    <font>
      <sz val="11"/>
      <color rgb="FFD9D9D9"/>
      <name val="Calibri"/>
      <family val="2"/>
    </font>
    <font>
      <b/>
      <sz val="10"/>
      <color rgb="FFD9D9D9"/>
      <name val="Calibri"/>
      <family val="2"/>
    </font>
    <font>
      <sz val="10"/>
      <color rgb="FF0070C0"/>
      <name val="Calibri"/>
      <family val="2"/>
    </font>
    <font>
      <b/>
      <sz val="10"/>
      <color rgb="FF000000"/>
      <name val="Calibri"/>
      <family val="2"/>
    </font>
    <font>
      <b/>
      <sz val="10"/>
      <name val="Arial"/>
      <family val="2"/>
    </font>
    <font>
      <sz val="10"/>
      <name val="Arial"/>
      <family val="2"/>
    </font>
    <font>
      <sz val="11"/>
      <color theme="1"/>
      <name val="Aptos Narrow"/>
      <family val="2"/>
      <scheme val="minor"/>
    </font>
    <font>
      <sz val="9"/>
      <color indexed="81"/>
      <name val="Tahoma"/>
      <family val="2"/>
    </font>
    <font>
      <b/>
      <sz val="9"/>
      <color indexed="81"/>
      <name val="Tahoma"/>
      <family val="2"/>
    </font>
    <font>
      <sz val="11"/>
      <color theme="1"/>
      <name val="Calibri"/>
      <family val="2"/>
    </font>
    <font>
      <sz val="8"/>
      <name val="Aptos Narrow"/>
      <family val="2"/>
      <scheme val="minor"/>
    </font>
    <font>
      <sz val="11"/>
      <color rgb="FFC00000"/>
      <name val="Aptos Narrow"/>
      <family val="2"/>
      <scheme val="minor"/>
    </font>
    <font>
      <b/>
      <sz val="11"/>
      <color theme="0"/>
      <name val="Aptos Narrow"/>
      <family val="2"/>
      <scheme val="minor"/>
    </font>
    <font>
      <b/>
      <u/>
      <sz val="11"/>
      <color theme="1"/>
      <name val="Aptos Narrow"/>
      <family val="2"/>
      <scheme val="minor"/>
    </font>
  </fonts>
  <fills count="19">
    <fill>
      <patternFill patternType="none"/>
    </fill>
    <fill>
      <patternFill patternType="gray125"/>
    </fill>
    <fill>
      <patternFill patternType="solid">
        <fgColor rgb="FFF2F2F2"/>
        <bgColor rgb="FF000000"/>
      </patternFill>
    </fill>
    <fill>
      <patternFill patternType="solid">
        <fgColor rgb="FFE4DFEC"/>
        <bgColor rgb="FF000000"/>
      </patternFill>
    </fill>
    <fill>
      <patternFill patternType="solid">
        <fgColor rgb="FF002060"/>
        <bgColor rgb="FF000000"/>
      </patternFill>
    </fill>
    <fill>
      <patternFill patternType="solid">
        <fgColor rgb="FF0070C0"/>
        <bgColor rgb="FF000000"/>
      </patternFill>
    </fill>
    <fill>
      <patternFill patternType="solid">
        <fgColor rgb="FFC5D9F1"/>
        <bgColor rgb="FF000000"/>
      </patternFill>
    </fill>
    <fill>
      <patternFill patternType="solid">
        <fgColor rgb="FFFFFF00"/>
        <bgColor rgb="FF000000"/>
      </patternFill>
    </fill>
    <fill>
      <patternFill patternType="solid">
        <fgColor rgb="FFD9D9D9"/>
        <bgColor rgb="FF000000"/>
      </patternFill>
    </fill>
    <fill>
      <patternFill patternType="solid">
        <fgColor rgb="FFD8E4BC"/>
        <bgColor rgb="FF000000"/>
      </patternFill>
    </fill>
    <fill>
      <patternFill patternType="solid">
        <fgColor rgb="FFFFC000"/>
        <bgColor rgb="FF000000"/>
      </patternFill>
    </fill>
    <fill>
      <patternFill patternType="solid">
        <fgColor rgb="FFFF0000"/>
        <bgColor rgb="FF000000"/>
      </patternFill>
    </fill>
    <fill>
      <patternFill patternType="solid">
        <fgColor rgb="FFFFFFFF"/>
        <bgColor rgb="FF000000"/>
      </patternFill>
    </fill>
    <fill>
      <patternFill patternType="solid">
        <fgColor rgb="FF92D050"/>
        <bgColor rgb="FF000000"/>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8" fillId="0" borderId="0" applyFont="0" applyFill="0" applyBorder="0" applyAlignment="0" applyProtection="0"/>
  </cellStyleXfs>
  <cellXfs count="314">
    <xf numFmtId="0" fontId="0" fillId="0" borderId="0" xfId="0"/>
    <xf numFmtId="0" fontId="1" fillId="0" borderId="0" xfId="0" applyFont="1"/>
    <xf numFmtId="0" fontId="2" fillId="0" borderId="0" xfId="0" applyFont="1"/>
    <xf numFmtId="0" fontId="2" fillId="2" borderId="0" xfId="0" applyFont="1" applyFill="1"/>
    <xf numFmtId="17" fontId="1" fillId="0" borderId="0" xfId="0" applyNumberFormat="1" applyFont="1"/>
    <xf numFmtId="14" fontId="2" fillId="0" borderId="0" xfId="0" applyNumberFormat="1" applyFont="1"/>
    <xf numFmtId="0" fontId="3" fillId="0" borderId="0" xfId="0" applyFont="1"/>
    <xf numFmtId="9" fontId="2" fillId="0" borderId="0" xfId="0" applyNumberFormat="1" applyFont="1"/>
    <xf numFmtId="0" fontId="4" fillId="0" borderId="0" xfId="0" applyFont="1"/>
    <xf numFmtId="0" fontId="5" fillId="0" borderId="0" xfId="0" applyFont="1"/>
    <xf numFmtId="0" fontId="6" fillId="0" borderId="0" xfId="0" applyFont="1"/>
    <xf numFmtId="0" fontId="3" fillId="3" borderId="0" xfId="0" applyFont="1" applyFill="1"/>
    <xf numFmtId="0" fontId="7" fillId="4" borderId="0" xfId="0" applyFont="1" applyFill="1"/>
    <xf numFmtId="0" fontId="1" fillId="4" borderId="0" xfId="0" applyFont="1" applyFill="1"/>
    <xf numFmtId="0" fontId="7" fillId="5" borderId="0" xfId="0" applyFont="1" applyFill="1"/>
    <xf numFmtId="0" fontId="1" fillId="3" borderId="0" xfId="0" applyFont="1" applyFill="1"/>
    <xf numFmtId="0" fontId="8" fillId="0" borderId="1" xfId="0" applyFont="1" applyBorder="1" applyAlignment="1">
      <alignment horizontal="center"/>
    </xf>
    <xf numFmtId="0" fontId="7" fillId="4" borderId="0" xfId="0" applyFont="1" applyFill="1" applyAlignment="1">
      <alignment horizontal="center"/>
    </xf>
    <xf numFmtId="0" fontId="7" fillId="5" borderId="0" xfId="0" applyFont="1" applyFill="1" applyAlignment="1">
      <alignment horizontal="center"/>
    </xf>
    <xf numFmtId="0" fontId="1" fillId="3" borderId="0" xfId="0" applyFont="1" applyFill="1" applyAlignment="1">
      <alignment horizontal="center"/>
    </xf>
    <xf numFmtId="0" fontId="9" fillId="0" borderId="0" xfId="0" applyFont="1"/>
    <xf numFmtId="0" fontId="5" fillId="6" borderId="0" xfId="0" applyFont="1" applyFill="1"/>
    <xf numFmtId="0" fontId="8" fillId="0" borderId="0" xfId="0" applyFont="1"/>
    <xf numFmtId="0" fontId="8" fillId="6" borderId="2" xfId="0" applyFont="1" applyFill="1" applyBorder="1" applyAlignment="1">
      <alignment horizontal="center"/>
    </xf>
    <xf numFmtId="17" fontId="2" fillId="6" borderId="0" xfId="0" applyNumberFormat="1" applyFont="1" applyFill="1" applyAlignment="1">
      <alignment horizontal="center"/>
    </xf>
    <xf numFmtId="0" fontId="2" fillId="6" borderId="0" xfId="0" applyFont="1" applyFill="1" applyAlignment="1">
      <alignment horizontal="center"/>
    </xf>
    <xf numFmtId="0" fontId="2" fillId="3" borderId="0" xfId="0" applyFont="1" applyFill="1"/>
    <xf numFmtId="0" fontId="2" fillId="0" borderId="2" xfId="0" applyFont="1" applyBorder="1" applyAlignment="1">
      <alignment horizontal="center"/>
    </xf>
    <xf numFmtId="0" fontId="10" fillId="2" borderId="0" xfId="0" applyFont="1" applyFill="1" applyAlignment="1">
      <alignment horizontal="left"/>
    </xf>
    <xf numFmtId="0" fontId="2" fillId="0" borderId="0" xfId="0" applyFont="1" applyAlignment="1">
      <alignment horizontal="center"/>
    </xf>
    <xf numFmtId="0" fontId="5" fillId="0" borderId="0" xfId="0" applyFont="1" applyAlignment="1">
      <alignment horizontal="left" indent="1"/>
    </xf>
    <xf numFmtId="0" fontId="5" fillId="0" borderId="2" xfId="0" applyFont="1" applyBorder="1"/>
    <xf numFmtId="0" fontId="10" fillId="0" borderId="0" xfId="0" applyFont="1" applyAlignment="1">
      <alignment horizontal="left"/>
    </xf>
    <xf numFmtId="0" fontId="2" fillId="0" borderId="0" xfId="0" applyFont="1" applyAlignment="1">
      <alignment horizontal="left" indent="1"/>
    </xf>
    <xf numFmtId="0" fontId="10" fillId="0" borderId="0" xfId="0" applyFont="1" applyAlignment="1">
      <alignment horizontal="center"/>
    </xf>
    <xf numFmtId="0" fontId="3" fillId="0" borderId="0" xfId="0" applyFont="1" applyAlignment="1">
      <alignment horizontal="center"/>
    </xf>
    <xf numFmtId="0" fontId="8" fillId="0" borderId="3" xfId="0" applyFont="1" applyBorder="1" applyAlignment="1">
      <alignment horizontal="left" indent="1"/>
    </xf>
    <xf numFmtId="0" fontId="8" fillId="0" borderId="4" xfId="0" applyFont="1" applyBorder="1" applyAlignment="1">
      <alignment horizontal="center"/>
    </xf>
    <xf numFmtId="0" fontId="10" fillId="0" borderId="3" xfId="0" applyFont="1" applyBorder="1" applyAlignment="1">
      <alignment horizontal="left"/>
    </xf>
    <xf numFmtId="0" fontId="1" fillId="0" borderId="3" xfId="0" applyFont="1" applyBorder="1" applyAlignment="1">
      <alignment horizontal="center"/>
    </xf>
    <xf numFmtId="10" fontId="2" fillId="0" borderId="0" xfId="0" applyNumberFormat="1" applyFont="1" applyAlignment="1">
      <alignment horizontal="center"/>
    </xf>
    <xf numFmtId="9" fontId="2" fillId="0" borderId="0" xfId="0" applyNumberFormat="1" applyFont="1" applyAlignment="1">
      <alignment horizontal="center"/>
    </xf>
    <xf numFmtId="0" fontId="3" fillId="7" borderId="0" xfId="0" applyFont="1" applyFill="1" applyAlignment="1">
      <alignment horizontal="center"/>
    </xf>
    <xf numFmtId="0" fontId="8" fillId="0" borderId="2" xfId="0" applyFont="1" applyBorder="1" applyAlignment="1">
      <alignment horizontal="center"/>
    </xf>
    <xf numFmtId="0" fontId="1" fillId="0" borderId="0" xfId="0" applyFont="1" applyAlignment="1">
      <alignment horizontal="center"/>
    </xf>
    <xf numFmtId="10" fontId="3" fillId="0" borderId="0" xfId="0" applyNumberFormat="1" applyFont="1" applyAlignment="1">
      <alignment horizontal="center"/>
    </xf>
    <xf numFmtId="0" fontId="8" fillId="0" borderId="0" xfId="0" applyFont="1" applyAlignment="1">
      <alignment horizontal="left" indent="1"/>
    </xf>
    <xf numFmtId="0" fontId="8" fillId="0" borderId="0" xfId="0" applyFont="1" applyAlignment="1">
      <alignment horizontal="center"/>
    </xf>
    <xf numFmtId="10" fontId="1" fillId="0" borderId="0" xfId="0" applyNumberFormat="1" applyFont="1" applyAlignment="1">
      <alignment horizontal="center"/>
    </xf>
    <xf numFmtId="0" fontId="11" fillId="0" borderId="0" xfId="0" applyFont="1" applyAlignment="1">
      <alignment horizontal="center"/>
    </xf>
    <xf numFmtId="0" fontId="8" fillId="0" borderId="3" xfId="0" applyFont="1" applyBorder="1" applyAlignment="1">
      <alignment horizontal="center"/>
    </xf>
    <xf numFmtId="0" fontId="12" fillId="0" borderId="3" xfId="0" applyFont="1" applyBorder="1" applyAlignment="1">
      <alignment horizontal="center"/>
    </xf>
    <xf numFmtId="10" fontId="2" fillId="7" borderId="0" xfId="0" applyNumberFormat="1" applyFont="1" applyFill="1" applyAlignment="1">
      <alignment horizontal="center"/>
    </xf>
    <xf numFmtId="0" fontId="13" fillId="0" borderId="0" xfId="0" applyFont="1" applyAlignment="1">
      <alignment horizontal="left"/>
    </xf>
    <xf numFmtId="0" fontId="14" fillId="0" borderId="0" xfId="0" applyFont="1"/>
    <xf numFmtId="0" fontId="2" fillId="0" borderId="2" xfId="0" applyFont="1" applyBorder="1"/>
    <xf numFmtId="0" fontId="5" fillId="8" borderId="0" xfId="0" applyFont="1" applyFill="1"/>
    <xf numFmtId="0" fontId="2" fillId="8" borderId="2" xfId="0" applyFont="1" applyFill="1" applyBorder="1" applyAlignment="1">
      <alignment horizontal="center"/>
    </xf>
    <xf numFmtId="0" fontId="10" fillId="8" borderId="0" xfId="0" applyFont="1" applyFill="1" applyAlignment="1">
      <alignment horizontal="left"/>
    </xf>
    <xf numFmtId="0" fontId="8" fillId="8" borderId="0" xfId="0" applyFont="1" applyFill="1" applyAlignment="1">
      <alignment horizontal="center"/>
    </xf>
    <xf numFmtId="0" fontId="3" fillId="0" borderId="2" xfId="0" applyFont="1" applyBorder="1" applyAlignment="1">
      <alignment horizontal="center"/>
    </xf>
    <xf numFmtId="0" fontId="15" fillId="0" borderId="0" xfId="0" applyFont="1" applyAlignment="1">
      <alignment horizontal="left" indent="1"/>
    </xf>
    <xf numFmtId="3" fontId="3" fillId="0" borderId="0" xfId="0" applyNumberFormat="1" applyFont="1" applyAlignment="1">
      <alignment horizontal="center"/>
    </xf>
    <xf numFmtId="3" fontId="10" fillId="0" borderId="0" xfId="0" applyNumberFormat="1" applyFont="1" applyAlignment="1">
      <alignment horizontal="center"/>
    </xf>
    <xf numFmtId="0" fontId="2" fillId="0" borderId="5" xfId="0" applyFont="1" applyBorder="1" applyAlignment="1">
      <alignment horizontal="left" indent="1"/>
    </xf>
    <xf numFmtId="0" fontId="3" fillId="0" borderId="6" xfId="0" applyFont="1" applyBorder="1" applyAlignment="1">
      <alignment horizontal="center"/>
    </xf>
    <xf numFmtId="0" fontId="10" fillId="0" borderId="5" xfId="0" applyFont="1" applyBorder="1" applyAlignment="1">
      <alignment horizontal="left"/>
    </xf>
    <xf numFmtId="0" fontId="3" fillId="0" borderId="5" xfId="0" applyFont="1" applyBorder="1" applyAlignment="1">
      <alignment horizontal="center"/>
    </xf>
    <xf numFmtId="0" fontId="10" fillId="0" borderId="5" xfId="0" applyFont="1" applyBorder="1" applyAlignment="1">
      <alignment horizontal="center"/>
    </xf>
    <xf numFmtId="3" fontId="3" fillId="0" borderId="5" xfId="0" applyNumberFormat="1" applyFont="1" applyBorder="1" applyAlignment="1">
      <alignment horizontal="center"/>
    </xf>
    <xf numFmtId="3" fontId="10" fillId="0" borderId="5" xfId="0" applyNumberFormat="1" applyFont="1" applyBorder="1" applyAlignment="1">
      <alignment horizontal="center"/>
    </xf>
    <xf numFmtId="3" fontId="2" fillId="0" borderId="0" xfId="0" applyNumberFormat="1" applyFont="1" applyAlignment="1">
      <alignment horizontal="center"/>
    </xf>
    <xf numFmtId="0" fontId="2" fillId="0" borderId="5" xfId="0" applyFont="1" applyBorder="1" applyAlignment="1">
      <alignment horizontal="center"/>
    </xf>
    <xf numFmtId="10" fontId="10" fillId="0" borderId="0" xfId="0" applyNumberFormat="1" applyFont="1" applyAlignment="1">
      <alignment horizontal="center"/>
    </xf>
    <xf numFmtId="4" fontId="10" fillId="0" borderId="0" xfId="0" applyNumberFormat="1" applyFont="1" applyAlignment="1">
      <alignment horizontal="center"/>
    </xf>
    <xf numFmtId="0" fontId="17" fillId="3" borderId="0" xfId="0" applyFont="1" applyFill="1"/>
    <xf numFmtId="0" fontId="5" fillId="9" borderId="0" xfId="0" applyFont="1" applyFill="1"/>
    <xf numFmtId="0" fontId="2" fillId="9" borderId="2" xfId="0" applyFont="1" applyFill="1" applyBorder="1" applyAlignment="1">
      <alignment horizontal="center"/>
    </xf>
    <xf numFmtId="0" fontId="10" fillId="9" borderId="0" xfId="0" applyFont="1" applyFill="1" applyAlignment="1">
      <alignment horizontal="left"/>
    </xf>
    <xf numFmtId="0" fontId="8" fillId="9" borderId="0" xfId="0" applyFont="1" applyFill="1" applyAlignment="1">
      <alignment horizontal="center"/>
    </xf>
    <xf numFmtId="0" fontId="1" fillId="0" borderId="2" xfId="0" applyFont="1" applyBorder="1" applyAlignment="1">
      <alignment horizontal="center"/>
    </xf>
    <xf numFmtId="0" fontId="12" fillId="0" borderId="0" xfId="0" applyFont="1" applyAlignment="1">
      <alignment horizontal="left"/>
    </xf>
    <xf numFmtId="0" fontId="2" fillId="0" borderId="0" xfId="0" applyFont="1" applyAlignment="1">
      <alignment horizontal="left" indent="2"/>
    </xf>
    <xf numFmtId="10" fontId="3" fillId="7" borderId="0" xfId="0" applyNumberFormat="1" applyFont="1" applyFill="1" applyAlignment="1">
      <alignment horizontal="center"/>
    </xf>
    <xf numFmtId="0" fontId="18" fillId="0" borderId="0" xfId="0" applyFont="1"/>
    <xf numFmtId="0" fontId="19" fillId="0" borderId="0" xfId="0" applyFont="1" applyAlignment="1">
      <alignment horizontal="left" indent="1"/>
    </xf>
    <xf numFmtId="0" fontId="20" fillId="0" borderId="0" xfId="0" applyFont="1" applyAlignment="1">
      <alignment horizontal="left"/>
    </xf>
    <xf numFmtId="0" fontId="21" fillId="0" borderId="0" xfId="0" applyFont="1" applyAlignment="1">
      <alignment horizontal="center"/>
    </xf>
    <xf numFmtId="0" fontId="20" fillId="0" borderId="0" xfId="0" applyFont="1" applyAlignment="1">
      <alignment horizontal="center"/>
    </xf>
    <xf numFmtId="10" fontId="21" fillId="7" borderId="0" xfId="0" applyNumberFormat="1" applyFont="1" applyFill="1" applyAlignment="1">
      <alignment horizontal="center"/>
    </xf>
    <xf numFmtId="0" fontId="19" fillId="0" borderId="0" xfId="0" applyFont="1"/>
    <xf numFmtId="0" fontId="19" fillId="0" borderId="5" xfId="0" applyFont="1" applyBorder="1" applyAlignment="1">
      <alignment horizontal="left" indent="1"/>
    </xf>
    <xf numFmtId="0" fontId="2" fillId="0" borderId="6" xfId="0" applyFont="1" applyBorder="1" applyAlignment="1">
      <alignment horizontal="center"/>
    </xf>
    <xf numFmtId="0" fontId="20" fillId="0" borderId="5" xfId="0" applyFont="1" applyBorder="1" applyAlignment="1">
      <alignment horizontal="left"/>
    </xf>
    <xf numFmtId="0" fontId="21" fillId="0" borderId="5" xfId="0" applyFont="1" applyBorder="1" applyAlignment="1">
      <alignment horizontal="center"/>
    </xf>
    <xf numFmtId="0" fontId="20" fillId="0" borderId="5" xfId="0" applyFont="1" applyBorder="1" applyAlignment="1">
      <alignment horizontal="center"/>
    </xf>
    <xf numFmtId="0" fontId="19" fillId="0" borderId="0" xfId="0" applyFont="1" applyAlignment="1">
      <alignment horizontal="center"/>
    </xf>
    <xf numFmtId="0" fontId="2" fillId="0" borderId="5" xfId="0" applyFont="1" applyBorder="1"/>
    <xf numFmtId="0" fontId="22" fillId="0" borderId="0" xfId="0" applyFont="1"/>
    <xf numFmtId="0" fontId="2" fillId="8" borderId="0" xfId="0" applyFont="1" applyFill="1"/>
    <xf numFmtId="0" fontId="10" fillId="4" borderId="0" xfId="0" applyFont="1" applyFill="1" applyAlignment="1">
      <alignment horizontal="left"/>
    </xf>
    <xf numFmtId="0" fontId="7" fillId="8" borderId="0" xfId="0" applyFont="1" applyFill="1"/>
    <xf numFmtId="0" fontId="7" fillId="2" borderId="0" xfId="0" applyFont="1" applyFill="1"/>
    <xf numFmtId="0" fontId="10" fillId="0" borderId="1" xfId="0" applyFont="1" applyBorder="1" applyAlignment="1">
      <alignment horizontal="left"/>
    </xf>
    <xf numFmtId="0" fontId="7" fillId="8" borderId="0" xfId="0" applyFont="1" applyFill="1" applyAlignment="1">
      <alignment horizontal="center"/>
    </xf>
    <xf numFmtId="0" fontId="7" fillId="2" borderId="0" xfId="0" applyFont="1" applyFill="1" applyAlignment="1">
      <alignment horizontal="center"/>
    </xf>
    <xf numFmtId="0" fontId="2" fillId="8" borderId="0" xfId="0" applyFont="1" applyFill="1" applyAlignment="1">
      <alignment horizontal="center"/>
    </xf>
    <xf numFmtId="0" fontId="2" fillId="2" borderId="0" xfId="0" applyFont="1" applyFill="1" applyAlignment="1">
      <alignment horizontal="center"/>
    </xf>
    <xf numFmtId="0" fontId="3" fillId="8" borderId="0" xfId="0" applyFont="1" applyFill="1" applyAlignment="1">
      <alignment horizontal="center"/>
    </xf>
    <xf numFmtId="0" fontId="3" fillId="2" borderId="0" xfId="0" applyFont="1" applyFill="1" applyAlignment="1">
      <alignment horizontal="center"/>
    </xf>
    <xf numFmtId="4" fontId="3" fillId="2" borderId="0" xfId="0" applyNumberFormat="1" applyFont="1" applyFill="1" applyAlignment="1">
      <alignment horizontal="center"/>
    </xf>
    <xf numFmtId="0" fontId="1" fillId="8" borderId="3" xfId="0" applyFont="1" applyFill="1" applyBorder="1" applyAlignment="1">
      <alignment horizontal="center"/>
    </xf>
    <xf numFmtId="4" fontId="1" fillId="2" borderId="3" xfId="0" applyNumberFormat="1" applyFont="1" applyFill="1" applyBorder="1" applyAlignment="1">
      <alignment horizontal="center"/>
    </xf>
    <xf numFmtId="9" fontId="2" fillId="8" borderId="0" xfId="0" applyNumberFormat="1" applyFont="1" applyFill="1" applyAlignment="1">
      <alignment horizontal="center"/>
    </xf>
    <xf numFmtId="9" fontId="2" fillId="2" borderId="0" xfId="0" applyNumberFormat="1" applyFont="1" applyFill="1" applyAlignment="1">
      <alignment horizontal="center"/>
    </xf>
    <xf numFmtId="0" fontId="1" fillId="2" borderId="3" xfId="0" applyFont="1" applyFill="1" applyBorder="1" applyAlignment="1">
      <alignment horizontal="center"/>
    </xf>
    <xf numFmtId="0" fontId="12" fillId="0" borderId="0" xfId="0" applyFont="1" applyAlignment="1">
      <alignment horizontal="center"/>
    </xf>
    <xf numFmtId="0" fontId="1" fillId="8" borderId="0" xfId="0" applyFont="1" applyFill="1" applyAlignment="1">
      <alignment horizontal="center"/>
    </xf>
    <xf numFmtId="0" fontId="1" fillId="2" borderId="0" xfId="0" applyFont="1" applyFill="1" applyAlignment="1">
      <alignment horizontal="center"/>
    </xf>
    <xf numFmtId="0" fontId="23" fillId="0" borderId="0" xfId="0" applyFont="1"/>
    <xf numFmtId="0" fontId="23" fillId="10" borderId="0" xfId="0" applyFont="1" applyFill="1"/>
    <xf numFmtId="0" fontId="8" fillId="10" borderId="0" xfId="0" applyFont="1" applyFill="1" applyAlignment="1">
      <alignment horizontal="left" indent="1"/>
    </xf>
    <xf numFmtId="0" fontId="8" fillId="10" borderId="2" xfId="0" applyFont="1" applyFill="1" applyBorder="1" applyAlignment="1">
      <alignment horizontal="center"/>
    </xf>
    <xf numFmtId="0" fontId="8" fillId="10" borderId="0" xfId="0" applyFont="1" applyFill="1" applyAlignment="1">
      <alignment horizontal="center"/>
    </xf>
    <xf numFmtId="0" fontId="1" fillId="10" borderId="0" xfId="0" applyFont="1" applyFill="1" applyAlignment="1">
      <alignment horizontal="center"/>
    </xf>
    <xf numFmtId="0" fontId="12" fillId="10" borderId="0" xfId="0" applyFont="1" applyFill="1" applyAlignment="1">
      <alignment horizontal="center"/>
    </xf>
    <xf numFmtId="0" fontId="8" fillId="10" borderId="0" xfId="0" applyFont="1" applyFill="1"/>
    <xf numFmtId="0" fontId="12" fillId="0" borderId="8" xfId="0" applyFont="1" applyBorder="1" applyAlignment="1">
      <alignment horizontal="center"/>
    </xf>
    <xf numFmtId="10" fontId="2" fillId="8" borderId="0" xfId="0" applyNumberFormat="1" applyFont="1" applyFill="1" applyAlignment="1">
      <alignment horizontal="center"/>
    </xf>
    <xf numFmtId="10" fontId="2" fillId="2" borderId="0" xfId="0" applyNumberFormat="1" applyFont="1" applyFill="1" applyAlignment="1">
      <alignment horizontal="center"/>
    </xf>
    <xf numFmtId="0" fontId="14" fillId="8" borderId="0" xfId="0" applyFont="1" applyFill="1"/>
    <xf numFmtId="0" fontId="14" fillId="2" borderId="0" xfId="0" applyFont="1" applyFill="1"/>
    <xf numFmtId="9" fontId="3" fillId="8" borderId="0" xfId="0" applyNumberFormat="1" applyFont="1" applyFill="1" applyAlignment="1">
      <alignment horizontal="center"/>
    </xf>
    <xf numFmtId="9" fontId="3" fillId="2" borderId="0" xfId="0" applyNumberFormat="1" applyFont="1" applyFill="1" applyAlignment="1">
      <alignment horizontal="center"/>
    </xf>
    <xf numFmtId="0" fontId="10" fillId="8" borderId="0" xfId="0" applyFont="1" applyFill="1" applyAlignment="1">
      <alignment horizontal="center"/>
    </xf>
    <xf numFmtId="0" fontId="10" fillId="2" borderId="0" xfId="0" applyFont="1" applyFill="1" applyAlignment="1">
      <alignment horizontal="center"/>
    </xf>
    <xf numFmtId="4" fontId="8" fillId="8" borderId="3" xfId="0" applyNumberFormat="1" applyFont="1" applyFill="1" applyBorder="1" applyAlignment="1">
      <alignment horizontal="center"/>
    </xf>
    <xf numFmtId="0" fontId="8" fillId="2" borderId="3" xfId="0" applyFont="1" applyFill="1" applyBorder="1" applyAlignment="1">
      <alignment horizontal="center"/>
    </xf>
    <xf numFmtId="0" fontId="2" fillId="8" borderId="5" xfId="0" applyFont="1" applyFill="1" applyBorder="1" applyAlignment="1">
      <alignment horizontal="center"/>
    </xf>
    <xf numFmtId="0" fontId="2" fillId="2" borderId="5" xfId="0" applyFont="1" applyFill="1" applyBorder="1" applyAlignment="1">
      <alignment horizontal="center"/>
    </xf>
    <xf numFmtId="8" fontId="3" fillId="8" borderId="0" xfId="0" applyNumberFormat="1" applyFont="1" applyFill="1" applyAlignment="1">
      <alignment horizontal="center"/>
    </xf>
    <xf numFmtId="9" fontId="2" fillId="7" borderId="0" xfId="0" applyNumberFormat="1" applyFont="1" applyFill="1" applyAlignment="1">
      <alignment horizontal="center"/>
    </xf>
    <xf numFmtId="0" fontId="8" fillId="2" borderId="0" xfId="0" applyFont="1" applyFill="1" applyAlignment="1">
      <alignment horizontal="center"/>
    </xf>
    <xf numFmtId="10" fontId="8" fillId="0" borderId="0" xfId="0" applyNumberFormat="1" applyFont="1" applyAlignment="1">
      <alignment horizontal="center"/>
    </xf>
    <xf numFmtId="10" fontId="12" fillId="10" borderId="0" xfId="0" applyNumberFormat="1" applyFont="1" applyFill="1" applyAlignment="1">
      <alignment horizontal="center"/>
    </xf>
    <xf numFmtId="9" fontId="3" fillId="0" borderId="0" xfId="0" applyNumberFormat="1" applyFont="1" applyAlignment="1">
      <alignment horizontal="center"/>
    </xf>
    <xf numFmtId="9" fontId="10" fillId="0" borderId="0" xfId="0" applyNumberFormat="1" applyFont="1" applyAlignment="1">
      <alignment horizontal="center"/>
    </xf>
    <xf numFmtId="0" fontId="2" fillId="6" borderId="2" xfId="0" applyFont="1" applyFill="1" applyBorder="1" applyAlignment="1">
      <alignment horizontal="center"/>
    </xf>
    <xf numFmtId="0" fontId="10" fillId="6" borderId="0" xfId="0" applyFont="1" applyFill="1" applyAlignment="1">
      <alignment horizontal="left"/>
    </xf>
    <xf numFmtId="0" fontId="8" fillId="6" borderId="0" xfId="0" applyFont="1" applyFill="1" applyAlignment="1">
      <alignment horizontal="center"/>
    </xf>
    <xf numFmtId="3" fontId="3" fillId="2" borderId="0" xfId="0" applyNumberFormat="1" applyFont="1" applyFill="1" applyAlignment="1">
      <alignment horizontal="center"/>
    </xf>
    <xf numFmtId="0" fontId="8" fillId="8" borderId="3" xfId="0" applyFont="1" applyFill="1" applyBorder="1" applyAlignment="1">
      <alignment horizontal="center"/>
    </xf>
    <xf numFmtId="3" fontId="8" fillId="2" borderId="3" xfId="0" applyNumberFormat="1" applyFont="1" applyFill="1" applyBorder="1" applyAlignment="1">
      <alignment horizontal="center"/>
    </xf>
    <xf numFmtId="3" fontId="8" fillId="0" borderId="3" xfId="0" applyNumberFormat="1" applyFont="1" applyBorder="1" applyAlignment="1">
      <alignment horizontal="center"/>
    </xf>
    <xf numFmtId="0" fontId="10" fillId="6" borderId="0" xfId="0" applyFont="1" applyFill="1" applyAlignment="1">
      <alignment horizontal="center"/>
    </xf>
    <xf numFmtId="0" fontId="2" fillId="7" borderId="0" xfId="0" applyFont="1" applyFill="1" applyAlignment="1">
      <alignment horizontal="center"/>
    </xf>
    <xf numFmtId="9" fontId="8" fillId="0" borderId="0" xfId="0" applyNumberFormat="1" applyFont="1" applyAlignment="1">
      <alignment horizontal="center"/>
    </xf>
    <xf numFmtId="0" fontId="8" fillId="0" borderId="3" xfId="0" applyFont="1" applyBorder="1"/>
    <xf numFmtId="0" fontId="6" fillId="0" borderId="2" xfId="0" applyFont="1" applyBorder="1"/>
    <xf numFmtId="0" fontId="24" fillId="0" borderId="0" xfId="0" applyFont="1" applyAlignment="1">
      <alignment horizontal="left"/>
    </xf>
    <xf numFmtId="0" fontId="25" fillId="0" borderId="0" xfId="0" applyFont="1" applyAlignment="1">
      <alignment horizontal="center"/>
    </xf>
    <xf numFmtId="0" fontId="6" fillId="8" borderId="0" xfId="0" applyFont="1" applyFill="1"/>
    <xf numFmtId="0" fontId="6" fillId="2" borderId="0" xfId="0" applyFont="1" applyFill="1"/>
    <xf numFmtId="0" fontId="8" fillId="0" borderId="9" xfId="0" applyFont="1" applyBorder="1"/>
    <xf numFmtId="10" fontId="8" fillId="0" borderId="3" xfId="0" applyNumberFormat="1" applyFont="1" applyBorder="1" applyAlignment="1">
      <alignment horizontal="center"/>
    </xf>
    <xf numFmtId="10" fontId="8" fillId="8" borderId="3" xfId="0" applyNumberFormat="1" applyFont="1" applyFill="1" applyBorder="1" applyAlignment="1">
      <alignment horizontal="center"/>
    </xf>
    <xf numFmtId="10" fontId="8" fillId="2" borderId="3" xfId="0" applyNumberFormat="1" applyFont="1" applyFill="1" applyBorder="1" applyAlignment="1">
      <alignment horizontal="center"/>
    </xf>
    <xf numFmtId="0" fontId="10" fillId="2" borderId="3" xfId="0" applyFont="1" applyFill="1" applyBorder="1" applyAlignment="1">
      <alignment horizontal="left"/>
    </xf>
    <xf numFmtId="0" fontId="12" fillId="7" borderId="3" xfId="0" applyFont="1" applyFill="1" applyBorder="1" applyAlignment="1">
      <alignment horizontal="center"/>
    </xf>
    <xf numFmtId="0" fontId="10" fillId="7" borderId="0" xfId="0" applyFont="1" applyFill="1" applyAlignment="1">
      <alignment horizontal="left"/>
    </xf>
    <xf numFmtId="0" fontId="2" fillId="7" borderId="10" xfId="0" applyFont="1" applyFill="1" applyBorder="1" applyAlignment="1">
      <alignment horizontal="center"/>
    </xf>
    <xf numFmtId="0" fontId="2" fillId="0" borderId="11" xfId="0" applyFont="1" applyBorder="1"/>
    <xf numFmtId="0" fontId="8" fillId="0" borderId="12" xfId="0" applyFont="1" applyBorder="1" applyAlignment="1">
      <alignment horizontal="right"/>
    </xf>
    <xf numFmtId="0" fontId="2" fillId="0" borderId="4" xfId="0" applyFont="1" applyBorder="1"/>
    <xf numFmtId="0" fontId="26" fillId="12" borderId="4" xfId="0" applyFont="1" applyFill="1" applyBorder="1" applyAlignment="1">
      <alignment horizontal="center" vertical="center"/>
    </xf>
    <xf numFmtId="10" fontId="2" fillId="7" borderId="4" xfId="0" applyNumberFormat="1" applyFont="1" applyFill="1" applyBorder="1" applyAlignment="1">
      <alignment horizontal="center"/>
    </xf>
    <xf numFmtId="0" fontId="2" fillId="0" borderId="14" xfId="0" applyFont="1" applyBorder="1"/>
    <xf numFmtId="0" fontId="8" fillId="0" borderId="15" xfId="0" applyFont="1" applyBorder="1" applyAlignment="1">
      <alignment horizontal="right"/>
    </xf>
    <xf numFmtId="0" fontId="1" fillId="0" borderId="16" xfId="0" applyFont="1" applyBorder="1" applyAlignment="1">
      <alignment horizontal="center"/>
    </xf>
    <xf numFmtId="0" fontId="27" fillId="12" borderId="4" xfId="0" applyFont="1" applyFill="1" applyBorder="1" applyAlignment="1">
      <alignment horizontal="center" vertical="center"/>
    </xf>
    <xf numFmtId="0" fontId="2" fillId="7" borderId="4" xfId="0" applyFont="1" applyFill="1" applyBorder="1" applyAlignment="1">
      <alignment horizontal="center"/>
    </xf>
    <xf numFmtId="0" fontId="2" fillId="0" borderId="0" xfId="0" applyFont="1" applyAlignment="1">
      <alignment horizontal="left"/>
    </xf>
    <xf numFmtId="0" fontId="8" fillId="0" borderId="11" xfId="0" applyFont="1" applyBorder="1" applyAlignment="1">
      <alignment horizontal="right"/>
    </xf>
    <xf numFmtId="0" fontId="8" fillId="0" borderId="0" xfId="0" applyFont="1" applyAlignment="1">
      <alignment horizontal="right"/>
    </xf>
    <xf numFmtId="0" fontId="8" fillId="0" borderId="17" xfId="0" applyFont="1" applyBorder="1" applyAlignment="1">
      <alignment horizontal="center"/>
    </xf>
    <xf numFmtId="0" fontId="8" fillId="0" borderId="18" xfId="0" applyFont="1" applyBorder="1" applyAlignment="1">
      <alignment horizontal="right"/>
    </xf>
    <xf numFmtId="0" fontId="8" fillId="7" borderId="17" xfId="0" applyFont="1" applyFill="1" applyBorder="1" applyAlignment="1">
      <alignment horizontal="center"/>
    </xf>
    <xf numFmtId="10" fontId="2" fillId="0" borderId="4" xfId="0" applyNumberFormat="1" applyFont="1" applyBorder="1" applyAlignment="1">
      <alignment horizontal="center"/>
    </xf>
    <xf numFmtId="0" fontId="2" fillId="0" borderId="4" xfId="0" applyFont="1" applyBorder="1" applyAlignment="1">
      <alignment horizontal="center"/>
    </xf>
    <xf numFmtId="0" fontId="8" fillId="0" borderId="14" xfId="0" applyFont="1" applyBorder="1" applyAlignment="1">
      <alignment horizontal="right"/>
    </xf>
    <xf numFmtId="0" fontId="8" fillId="13" borderId="4" xfId="0" applyFont="1" applyFill="1" applyBorder="1" applyAlignment="1">
      <alignment horizontal="center"/>
    </xf>
    <xf numFmtId="0" fontId="8" fillId="0" borderId="19" xfId="0" applyFont="1" applyBorder="1" applyAlignment="1">
      <alignment horizontal="right"/>
    </xf>
    <xf numFmtId="0" fontId="8" fillId="0" borderId="20" xfId="0" applyFont="1" applyBorder="1" applyAlignment="1">
      <alignment horizontal="right"/>
    </xf>
    <xf numFmtId="0" fontId="8" fillId="0" borderId="10" xfId="0" applyFont="1" applyBorder="1" applyAlignment="1">
      <alignment horizontal="center"/>
    </xf>
    <xf numFmtId="0" fontId="8" fillId="13" borderId="0" xfId="0" applyFont="1" applyFill="1" applyAlignment="1">
      <alignment horizontal="center"/>
    </xf>
    <xf numFmtId="0" fontId="2" fillId="0" borderId="3" xfId="0" applyFont="1" applyBorder="1" applyAlignment="1">
      <alignment horizontal="center"/>
    </xf>
    <xf numFmtId="0" fontId="8" fillId="0" borderId="4" xfId="0" applyFont="1" applyBorder="1"/>
    <xf numFmtId="0" fontId="8" fillId="0" borderId="6" xfId="0" applyFont="1" applyBorder="1" applyAlignment="1">
      <alignment horizontal="center"/>
    </xf>
    <xf numFmtId="0" fontId="10" fillId="0" borderId="4" xfId="0" applyFont="1" applyBorder="1" applyAlignment="1">
      <alignment horizontal="center"/>
    </xf>
    <xf numFmtId="0" fontId="8" fillId="0" borderId="3" xfId="0" applyFont="1" applyBorder="1" applyAlignment="1">
      <alignment horizontal="center" vertical="center"/>
    </xf>
    <xf numFmtId="0" fontId="7" fillId="5" borderId="0" xfId="0" applyFont="1" applyFill="1" applyAlignment="1">
      <alignment horizontal="left"/>
    </xf>
    <xf numFmtId="0" fontId="2" fillId="5" borderId="0" xfId="0" applyFont="1" applyFill="1" applyAlignment="1">
      <alignment horizontal="center"/>
    </xf>
    <xf numFmtId="0" fontId="1" fillId="7" borderId="0" xfId="0" applyFont="1" applyFill="1" applyAlignment="1">
      <alignment horizontal="center"/>
    </xf>
    <xf numFmtId="0" fontId="22" fillId="0" borderId="0" xfId="0" applyFont="1" applyAlignment="1">
      <alignment horizontal="center"/>
    </xf>
    <xf numFmtId="0" fontId="8" fillId="0" borderId="5" xfId="0" applyFont="1" applyBorder="1"/>
    <xf numFmtId="0" fontId="2"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horizontal="center"/>
    </xf>
    <xf numFmtId="6" fontId="2" fillId="0" borderId="0" xfId="0" applyNumberFormat="1" applyFont="1" applyAlignment="1">
      <alignment horizontal="center"/>
    </xf>
    <xf numFmtId="0" fontId="7" fillId="4" borderId="0" xfId="0" applyFont="1" applyFill="1" applyAlignment="1">
      <alignment horizontal="left"/>
    </xf>
    <xf numFmtId="0" fontId="7" fillId="4" borderId="0" xfId="0" applyFont="1" applyFill="1" applyAlignment="1">
      <alignment horizontal="right"/>
    </xf>
    <xf numFmtId="0" fontId="7" fillId="4" borderId="0" xfId="0" applyFont="1" applyFill="1" applyAlignment="1">
      <alignment horizontal="center" vertical="center"/>
    </xf>
    <xf numFmtId="0" fontId="7" fillId="4" borderId="5" xfId="0" applyFont="1" applyFill="1" applyBorder="1" applyAlignment="1">
      <alignment horizontal="center" vertical="center"/>
    </xf>
    <xf numFmtId="0" fontId="7" fillId="4" borderId="5" xfId="0" applyFont="1" applyFill="1" applyBorder="1" applyAlignment="1">
      <alignment horizontal="center" wrapText="1"/>
    </xf>
    <xf numFmtId="0" fontId="2" fillId="0" borderId="4" xfId="0" applyFont="1" applyBorder="1" applyAlignment="1">
      <alignment horizontal="left"/>
    </xf>
    <xf numFmtId="0" fontId="5" fillId="0" borderId="4" xfId="0" applyFont="1" applyBorder="1" applyAlignment="1">
      <alignment horizontal="left"/>
    </xf>
    <xf numFmtId="0" fontId="3" fillId="0" borderId="0" xfId="0" applyFont="1" applyAlignment="1">
      <alignment horizontal="right"/>
    </xf>
    <xf numFmtId="0" fontId="3" fillId="0" borderId="0" xfId="0" applyFont="1" applyAlignment="1">
      <alignment horizontal="center" wrapText="1"/>
    </xf>
    <xf numFmtId="0" fontId="7" fillId="0" borderId="0" xfId="0" applyFont="1" applyAlignment="1">
      <alignment horizontal="center"/>
    </xf>
    <xf numFmtId="0" fontId="7" fillId="0" borderId="0" xfId="0" applyFont="1" applyAlignment="1">
      <alignment horizontal="right"/>
    </xf>
    <xf numFmtId="0" fontId="7" fillId="0" borderId="0" xfId="0" applyFont="1" applyAlignment="1">
      <alignment horizontal="center" wrapText="1"/>
    </xf>
    <xf numFmtId="0" fontId="7" fillId="0" borderId="0" xfId="0" applyFont="1" applyAlignment="1">
      <alignment horizontal="left"/>
    </xf>
    <xf numFmtId="0" fontId="7" fillId="0" borderId="0" xfId="0" applyFont="1" applyAlignment="1">
      <alignment horizontal="center" vertical="center"/>
    </xf>
    <xf numFmtId="164" fontId="21" fillId="0" borderId="0" xfId="0" applyNumberFormat="1" applyFont="1" applyAlignment="1">
      <alignment horizontal="center"/>
    </xf>
    <xf numFmtId="164" fontId="21" fillId="0" borderId="5" xfId="0" applyNumberFormat="1" applyFont="1" applyBorder="1" applyAlignment="1">
      <alignment horizontal="center"/>
    </xf>
    <xf numFmtId="164" fontId="3" fillId="0" borderId="0" xfId="0" applyNumberFormat="1" applyFont="1" applyAlignment="1">
      <alignment horizontal="center"/>
    </xf>
    <xf numFmtId="164" fontId="2" fillId="0" borderId="0" xfId="0" applyNumberFormat="1" applyFont="1" applyAlignment="1">
      <alignment horizontal="center"/>
    </xf>
    <xf numFmtId="2" fontId="3" fillId="0" borderId="0" xfId="0" applyNumberFormat="1" applyFont="1" applyAlignment="1">
      <alignment horizontal="center"/>
    </xf>
    <xf numFmtId="166" fontId="3" fillId="0" borderId="0" xfId="0" applyNumberFormat="1" applyFont="1" applyAlignment="1">
      <alignment horizontal="center"/>
    </xf>
    <xf numFmtId="166" fontId="3" fillId="0" borderId="5" xfId="0" applyNumberFormat="1" applyFont="1" applyBorder="1" applyAlignment="1">
      <alignment horizontal="center"/>
    </xf>
    <xf numFmtId="0" fontId="0" fillId="14" borderId="0" xfId="0" applyFill="1"/>
    <xf numFmtId="0" fontId="1" fillId="14" borderId="0" xfId="0" applyFont="1" applyFill="1"/>
    <xf numFmtId="10" fontId="3" fillId="0" borderId="0" xfId="1" applyNumberFormat="1" applyFont="1" applyAlignment="1">
      <alignment horizontal="center"/>
    </xf>
    <xf numFmtId="166" fontId="10" fillId="0" borderId="0" xfId="0" applyNumberFormat="1" applyFont="1" applyAlignment="1">
      <alignment horizontal="center"/>
    </xf>
    <xf numFmtId="2" fontId="1" fillId="0" borderId="3" xfId="0" applyNumberFormat="1" applyFont="1" applyBorder="1" applyAlignment="1">
      <alignment horizontal="center"/>
    </xf>
    <xf numFmtId="167" fontId="1" fillId="0" borderId="3" xfId="0" applyNumberFormat="1" applyFont="1" applyBorder="1" applyAlignment="1">
      <alignment horizontal="center"/>
    </xf>
    <xf numFmtId="167" fontId="3" fillId="0" borderId="0" xfId="0" applyNumberFormat="1" applyFont="1" applyAlignment="1">
      <alignment horizontal="center"/>
    </xf>
    <xf numFmtId="164" fontId="1" fillId="0" borderId="0" xfId="0" applyNumberFormat="1" applyFont="1" applyAlignment="1">
      <alignment horizontal="center"/>
    </xf>
    <xf numFmtId="166" fontId="1" fillId="0" borderId="3" xfId="0" applyNumberFormat="1" applyFont="1" applyBorder="1" applyAlignment="1">
      <alignment horizontal="center"/>
    </xf>
    <xf numFmtId="166" fontId="2" fillId="0" borderId="0" xfId="0" applyNumberFormat="1" applyFont="1" applyAlignment="1">
      <alignment horizontal="center"/>
    </xf>
    <xf numFmtId="165" fontId="2" fillId="0" borderId="5" xfId="0" applyNumberFormat="1" applyFont="1" applyBorder="1" applyAlignment="1">
      <alignment horizontal="center"/>
    </xf>
    <xf numFmtId="167" fontId="2" fillId="0" borderId="5" xfId="0" applyNumberFormat="1" applyFont="1" applyBorder="1" applyAlignment="1">
      <alignment horizontal="center"/>
    </xf>
    <xf numFmtId="167" fontId="2" fillId="0" borderId="0" xfId="0" applyNumberFormat="1" applyFont="1" applyAlignment="1">
      <alignment horizontal="center"/>
    </xf>
    <xf numFmtId="168" fontId="2" fillId="6" borderId="0" xfId="0" applyNumberFormat="1" applyFont="1" applyFill="1" applyAlignment="1">
      <alignment horizontal="center"/>
    </xf>
    <xf numFmtId="167" fontId="8" fillId="0" borderId="3" xfId="0" applyNumberFormat="1" applyFont="1" applyBorder="1" applyAlignment="1">
      <alignment horizontal="center"/>
    </xf>
    <xf numFmtId="166" fontId="12" fillId="0" borderId="3" xfId="0" applyNumberFormat="1" applyFont="1" applyBorder="1" applyAlignment="1">
      <alignment horizontal="center"/>
    </xf>
    <xf numFmtId="166" fontId="8" fillId="0" borderId="0" xfId="0" applyNumberFormat="1" applyFont="1" applyAlignment="1">
      <alignment horizontal="center"/>
    </xf>
    <xf numFmtId="166" fontId="2" fillId="0" borderId="0" xfId="0" applyNumberFormat="1" applyFont="1"/>
    <xf numFmtId="166" fontId="8" fillId="0" borderId="3" xfId="0" applyNumberFormat="1" applyFont="1" applyBorder="1" applyAlignment="1">
      <alignment horizontal="center"/>
    </xf>
    <xf numFmtId="9" fontId="2" fillId="0" borderId="0" xfId="1" applyFont="1" applyAlignment="1">
      <alignment horizontal="center"/>
    </xf>
    <xf numFmtId="164" fontId="2" fillId="0" borderId="0" xfId="1" applyNumberFormat="1" applyFont="1" applyAlignment="1">
      <alignment horizontal="center"/>
    </xf>
    <xf numFmtId="164" fontId="2" fillId="7" borderId="0" xfId="0" applyNumberFormat="1" applyFont="1" applyFill="1" applyAlignment="1">
      <alignment horizontal="center"/>
    </xf>
    <xf numFmtId="166" fontId="3" fillId="7" borderId="0" xfId="0" applyNumberFormat="1" applyFont="1" applyFill="1" applyAlignment="1">
      <alignment horizontal="center"/>
    </xf>
    <xf numFmtId="2" fontId="12" fillId="15" borderId="13" xfId="0" applyNumberFormat="1" applyFont="1" applyFill="1" applyBorder="1" applyAlignment="1">
      <alignment horizontal="center"/>
    </xf>
    <xf numFmtId="165" fontId="1" fillId="0" borderId="3" xfId="0" applyNumberFormat="1" applyFont="1" applyBorder="1" applyAlignment="1">
      <alignment horizontal="center"/>
    </xf>
    <xf numFmtId="165" fontId="8" fillId="0" borderId="3" xfId="0" applyNumberFormat="1" applyFont="1" applyBorder="1" applyAlignment="1">
      <alignment horizontal="center"/>
    </xf>
    <xf numFmtId="164" fontId="1" fillId="7" borderId="0" xfId="0" applyNumberFormat="1" applyFont="1" applyFill="1" applyAlignment="1">
      <alignment horizontal="center"/>
    </xf>
    <xf numFmtId="165" fontId="2" fillId="0" borderId="0" xfId="0" applyNumberFormat="1" applyFont="1" applyAlignment="1">
      <alignment horizontal="center"/>
    </xf>
    <xf numFmtId="2" fontId="2" fillId="0" borderId="0" xfId="0" applyNumberFormat="1" applyFont="1" applyAlignment="1">
      <alignment horizontal="center"/>
    </xf>
    <xf numFmtId="167" fontId="3" fillId="0" borderId="5" xfId="0" applyNumberFormat="1" applyFont="1" applyBorder="1" applyAlignment="1">
      <alignment horizontal="center"/>
    </xf>
    <xf numFmtId="167" fontId="1" fillId="0" borderId="0" xfId="0" applyNumberFormat="1" applyFont="1" applyAlignment="1">
      <alignment horizontal="center"/>
    </xf>
    <xf numFmtId="10" fontId="21" fillId="7" borderId="5" xfId="0" applyNumberFormat="1" applyFont="1" applyFill="1" applyBorder="1" applyAlignment="1">
      <alignment horizontal="center"/>
    </xf>
    <xf numFmtId="0" fontId="3" fillId="16" borderId="0" xfId="0" applyFont="1" applyFill="1" applyAlignment="1">
      <alignment horizontal="center"/>
    </xf>
    <xf numFmtId="167" fontId="2" fillId="7" borderId="0" xfId="0" applyNumberFormat="1" applyFont="1" applyFill="1" applyAlignment="1">
      <alignment horizontal="center"/>
    </xf>
    <xf numFmtId="167" fontId="3" fillId="7" borderId="0" xfId="0" applyNumberFormat="1" applyFont="1" applyFill="1" applyAlignment="1">
      <alignment horizontal="center"/>
    </xf>
    <xf numFmtId="10" fontId="0" fillId="0" borderId="0" xfId="0" applyNumberFormat="1"/>
    <xf numFmtId="9" fontId="0" fillId="0" borderId="0" xfId="1" applyFont="1"/>
    <xf numFmtId="164" fontId="0" fillId="0" borderId="0" xfId="1" applyNumberFormat="1" applyFont="1"/>
    <xf numFmtId="164" fontId="0" fillId="0" borderId="0" xfId="0" applyNumberFormat="1"/>
    <xf numFmtId="167" fontId="0" fillId="0" borderId="0" xfId="0" applyNumberFormat="1"/>
    <xf numFmtId="9" fontId="0" fillId="0" borderId="0" xfId="0" applyNumberFormat="1"/>
    <xf numFmtId="9" fontId="8" fillId="0" borderId="0" xfId="1" applyFont="1" applyAlignment="1">
      <alignment horizontal="center"/>
    </xf>
    <xf numFmtId="2" fontId="1" fillId="11" borderId="3" xfId="0" applyNumberFormat="1" applyFont="1" applyFill="1" applyBorder="1" applyAlignment="1">
      <alignment horizontal="left"/>
    </xf>
    <xf numFmtId="164" fontId="8" fillId="0" borderId="0" xfId="1" applyNumberFormat="1" applyFont="1" applyAlignment="1">
      <alignment horizontal="center"/>
    </xf>
    <xf numFmtId="2" fontId="8" fillId="0" borderId="10" xfId="0" applyNumberFormat="1" applyFont="1" applyBorder="1" applyAlignment="1">
      <alignment horizontal="center"/>
    </xf>
    <xf numFmtId="9" fontId="8" fillId="13" borderId="0" xfId="1" applyFont="1" applyFill="1" applyAlignment="1">
      <alignment horizontal="center"/>
    </xf>
    <xf numFmtId="164" fontId="8" fillId="0" borderId="3" xfId="0" applyNumberFormat="1" applyFont="1" applyBorder="1" applyAlignment="1">
      <alignment horizontal="center"/>
    </xf>
    <xf numFmtId="8" fontId="0" fillId="0" borderId="0" xfId="0" applyNumberFormat="1"/>
    <xf numFmtId="167" fontId="2" fillId="0" borderId="3" xfId="0" applyNumberFormat="1" applyFont="1" applyBorder="1" applyAlignment="1">
      <alignment horizontal="center"/>
    </xf>
    <xf numFmtId="166" fontId="3" fillId="15" borderId="0" xfId="0" applyNumberFormat="1" applyFont="1" applyFill="1" applyAlignment="1">
      <alignment horizontal="center"/>
    </xf>
    <xf numFmtId="166" fontId="31" fillId="0" borderId="0" xfId="0" applyNumberFormat="1" applyFont="1" applyAlignment="1">
      <alignment horizontal="center"/>
    </xf>
    <xf numFmtId="2" fontId="2" fillId="0" borderId="3" xfId="0" applyNumberFormat="1" applyFont="1" applyBorder="1" applyAlignment="1">
      <alignment horizontal="center"/>
    </xf>
    <xf numFmtId="166" fontId="2" fillId="0" borderId="3" xfId="0" applyNumberFormat="1" applyFont="1" applyBorder="1" applyAlignment="1">
      <alignment horizontal="center"/>
    </xf>
    <xf numFmtId="0" fontId="33" fillId="0" borderId="0" xfId="0" applyFont="1"/>
    <xf numFmtId="167" fontId="3" fillId="16" borderId="0" xfId="0" applyNumberFormat="1" applyFont="1" applyFill="1" applyAlignment="1">
      <alignment horizontal="center"/>
    </xf>
    <xf numFmtId="166" fontId="0" fillId="0" borderId="0" xfId="0" applyNumberFormat="1"/>
    <xf numFmtId="169" fontId="3" fillId="0" borderId="0" xfId="1" applyNumberFormat="1" applyFont="1" applyAlignment="1">
      <alignment horizontal="center"/>
    </xf>
    <xf numFmtId="9" fontId="10" fillId="0" borderId="0" xfId="1" applyFont="1" applyAlignment="1">
      <alignment horizontal="center"/>
    </xf>
    <xf numFmtId="0" fontId="0" fillId="17" borderId="0" xfId="0" applyFill="1"/>
    <xf numFmtId="10" fontId="0" fillId="17" borderId="0" xfId="0" applyNumberFormat="1" applyFill="1"/>
    <xf numFmtId="9" fontId="0" fillId="17" borderId="0" xfId="1" applyFont="1" applyFill="1"/>
    <xf numFmtId="9" fontId="0" fillId="17" borderId="0" xfId="0" applyNumberFormat="1" applyFill="1"/>
    <xf numFmtId="1" fontId="0" fillId="17" borderId="0" xfId="0" applyNumberFormat="1" applyFill="1"/>
    <xf numFmtId="164" fontId="0" fillId="17" borderId="0" xfId="1" applyNumberFormat="1" applyFont="1" applyFill="1"/>
    <xf numFmtId="170" fontId="0" fillId="17" borderId="0" xfId="0" applyNumberFormat="1" applyFill="1"/>
    <xf numFmtId="166" fontId="3" fillId="16" borderId="0" xfId="0" applyNumberFormat="1" applyFont="1" applyFill="1" applyAlignment="1">
      <alignment horizontal="center"/>
    </xf>
    <xf numFmtId="164" fontId="10" fillId="0" borderId="0" xfId="0" applyNumberFormat="1" applyFont="1" applyAlignment="1">
      <alignment horizontal="center"/>
    </xf>
    <xf numFmtId="2" fontId="2" fillId="0" borderId="0" xfId="0" applyNumberFormat="1" applyFont="1"/>
    <xf numFmtId="0" fontId="34" fillId="18" borderId="0" xfId="0" applyFont="1" applyFill="1"/>
    <xf numFmtId="0" fontId="34" fillId="18" borderId="0" xfId="0" applyFont="1" applyFill="1" applyAlignment="1">
      <alignment horizontal="center"/>
    </xf>
    <xf numFmtId="0" fontId="35" fillId="17" borderId="0" xfId="0" applyFont="1" applyFill="1"/>
    <xf numFmtId="0" fontId="0" fillId="17" borderId="0" xfId="0" applyFill="1" applyAlignment="1">
      <alignment horizontal="center"/>
    </xf>
    <xf numFmtId="167" fontId="0" fillId="17" borderId="0" xfId="0" applyNumberFormat="1" applyFill="1" applyAlignment="1">
      <alignment horizontal="center"/>
    </xf>
    <xf numFmtId="9" fontId="0" fillId="17" borderId="0" xfId="1" applyFont="1" applyFill="1" applyAlignment="1">
      <alignment horizontal="center"/>
    </xf>
    <xf numFmtId="0" fontId="2" fillId="0" borderId="0" xfId="0" applyFont="1"/>
    <xf numFmtId="0" fontId="5" fillId="0" borderId="0" xfId="0" applyFont="1"/>
    <xf numFmtId="0" fontId="2" fillId="0" borderId="0" xfId="0" applyFont="1" applyAlignment="1">
      <alignment horizontal="left"/>
    </xf>
    <xf numFmtId="0" fontId="9" fillId="0" borderId="0" xfId="0" applyFont="1"/>
    <xf numFmtId="0" fontId="9" fillId="0" borderId="7" xfId="0" applyFont="1" applyBorder="1"/>
    <xf numFmtId="0" fontId="22" fillId="0" borderId="0" xfId="0" applyFont="1"/>
    <xf numFmtId="0" fontId="22" fillId="0" borderId="7" xfId="0" applyFont="1" applyBorder="1"/>
    <xf numFmtId="0" fontId="4" fillId="0" borderId="0" xfId="0" applyFont="1"/>
    <xf numFmtId="0" fontId="4" fillId="0" borderId="7" xfId="0" applyFont="1" applyBorder="1"/>
    <xf numFmtId="0" fontId="16" fillId="0" borderId="0" xfId="0" applyFont="1"/>
  </cellXfs>
  <cellStyles count="2">
    <cellStyle name="Normal" xfId="0" builtinId="0"/>
    <cellStyle name="Per cent" xfId="1" builtinId="5"/>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AU" sz="2000"/>
              <a:t>AFG share</a:t>
            </a:r>
            <a:r>
              <a:rPr lang="en-AU" sz="2000" baseline="0"/>
              <a:t> of commission retained</a:t>
            </a:r>
            <a:endParaRPr lang="en-AU"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pieChart>
        <c:varyColors val="1"/>
        <c:ser>
          <c:idx val="0"/>
          <c:order val="0"/>
          <c:spPr>
            <a:solidFill>
              <a:schemeClr val="tx2"/>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2-C504-4FCC-ABA8-219F622A3AE8}"/>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1-C504-4FCC-ABA8-219F622A3AE8}"/>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04-4FCC-ABA8-219F622A3AE8}"/>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04-4FCC-ABA8-219F622A3AE8}"/>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Charts!$E$32:$F$32</c:f>
              <c:strCache>
                <c:ptCount val="2"/>
                <c:pt idx="0">
                  <c:v>AFG</c:v>
                </c:pt>
                <c:pt idx="1">
                  <c:v>Non-Equity brokers</c:v>
                </c:pt>
              </c:strCache>
            </c:strRef>
          </c:cat>
          <c:val>
            <c:numRef>
              <c:f>Charts!$E$33:$F$33</c:f>
              <c:numCache>
                <c:formatCode>0%</c:formatCode>
                <c:ptCount val="2"/>
                <c:pt idx="0">
                  <c:v>4.6245341614906822E-2</c:v>
                </c:pt>
                <c:pt idx="1">
                  <c:v>0.95375465838509321</c:v>
                </c:pt>
              </c:numCache>
            </c:numRef>
          </c:val>
          <c:extLst>
            <c:ext xmlns:c16="http://schemas.microsoft.com/office/drawing/2014/chart" uri="{C3380CC4-5D6E-409C-BE32-E72D297353CC}">
              <c16:uniqueId val="{00000000-C504-4FCC-ABA8-219F622A3AE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chart" Target="../charts/chart1.xml"/><Relationship Id="rId1" Type="http://schemas.openxmlformats.org/officeDocument/2006/relationships/image" Target="../media/image5.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16</xdr:col>
      <xdr:colOff>556259</xdr:colOff>
      <xdr:row>0</xdr:row>
      <xdr:rowOff>46870</xdr:rowOff>
    </xdr:from>
    <xdr:to>
      <xdr:col>28</xdr:col>
      <xdr:colOff>325230</xdr:colOff>
      <xdr:row>15</xdr:row>
      <xdr:rowOff>21524</xdr:rowOff>
    </xdr:to>
    <xdr:pic>
      <xdr:nvPicPr>
        <xdr:cNvPr id="2" name="Picture 1">
          <a:extLst>
            <a:ext uri="{FF2B5EF4-FFF2-40B4-BE49-F238E27FC236}">
              <a16:creationId xmlns:a16="http://schemas.microsoft.com/office/drawing/2014/main" id="{C2CE9E19-E12D-9149-606B-A31CFF1B1DC8}"/>
            </a:ext>
          </a:extLst>
        </xdr:cNvPr>
        <xdr:cNvPicPr>
          <a:picLocks noChangeAspect="1"/>
        </xdr:cNvPicPr>
      </xdr:nvPicPr>
      <xdr:blipFill>
        <a:blip xmlns:r="http://schemas.openxmlformats.org/officeDocument/2006/relationships" r:embed="rId1"/>
        <a:stretch>
          <a:fillRect/>
        </a:stretch>
      </xdr:blipFill>
      <xdr:spPr>
        <a:xfrm>
          <a:off x="12291059" y="46870"/>
          <a:ext cx="7080361" cy="2771194"/>
        </a:xfrm>
        <a:prstGeom prst="rect">
          <a:avLst/>
        </a:prstGeom>
      </xdr:spPr>
    </xdr:pic>
    <xdr:clientData/>
  </xdr:twoCellAnchor>
  <xdr:twoCellAnchor editAs="oneCell">
    <xdr:from>
      <xdr:col>16</xdr:col>
      <xdr:colOff>0</xdr:colOff>
      <xdr:row>16</xdr:row>
      <xdr:rowOff>0</xdr:rowOff>
    </xdr:from>
    <xdr:to>
      <xdr:col>33</xdr:col>
      <xdr:colOff>515867</xdr:colOff>
      <xdr:row>20</xdr:row>
      <xdr:rowOff>61074</xdr:rowOff>
    </xdr:to>
    <xdr:pic>
      <xdr:nvPicPr>
        <xdr:cNvPr id="3" name="Picture 2">
          <a:extLst>
            <a:ext uri="{FF2B5EF4-FFF2-40B4-BE49-F238E27FC236}">
              <a16:creationId xmlns:a16="http://schemas.microsoft.com/office/drawing/2014/main" id="{C25ED550-73BA-5BFB-72C8-16F1927BB949}"/>
            </a:ext>
          </a:extLst>
        </xdr:cNvPr>
        <xdr:cNvPicPr>
          <a:picLocks noChangeAspect="1"/>
        </xdr:cNvPicPr>
      </xdr:nvPicPr>
      <xdr:blipFill>
        <a:blip xmlns:r="http://schemas.openxmlformats.org/officeDocument/2006/relationships" r:embed="rId2"/>
        <a:stretch>
          <a:fillRect/>
        </a:stretch>
      </xdr:blipFill>
      <xdr:spPr>
        <a:xfrm>
          <a:off x="11649075" y="3133725"/>
          <a:ext cx="10869542" cy="819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32</xdr:col>
      <xdr:colOff>0</xdr:colOff>
      <xdr:row>225</xdr:row>
      <xdr:rowOff>0</xdr:rowOff>
    </xdr:from>
    <xdr:to>
      <xdr:col>50</xdr:col>
      <xdr:colOff>474699</xdr:colOff>
      <xdr:row>257</xdr:row>
      <xdr:rowOff>77061</xdr:rowOff>
    </xdr:to>
    <xdr:pic>
      <xdr:nvPicPr>
        <xdr:cNvPr id="2" name="Picture 1">
          <a:extLst>
            <a:ext uri="{FF2B5EF4-FFF2-40B4-BE49-F238E27FC236}">
              <a16:creationId xmlns:a16="http://schemas.microsoft.com/office/drawing/2014/main" id="{AF77BCFE-9763-ECAA-D1FC-367B96FA84AD}"/>
            </a:ext>
          </a:extLst>
        </xdr:cNvPr>
        <xdr:cNvPicPr>
          <a:picLocks noChangeAspect="1"/>
        </xdr:cNvPicPr>
      </xdr:nvPicPr>
      <xdr:blipFill>
        <a:blip xmlns:r="http://schemas.openxmlformats.org/officeDocument/2006/relationships" r:embed="rId1"/>
        <a:stretch>
          <a:fillRect/>
        </a:stretch>
      </xdr:blipFill>
      <xdr:spPr>
        <a:xfrm>
          <a:off x="23386676" y="42291000"/>
          <a:ext cx="11374437" cy="6173061"/>
        </a:xfrm>
        <a:prstGeom prst="rect">
          <a:avLst/>
        </a:prstGeom>
      </xdr:spPr>
    </xdr:pic>
    <xdr:clientData/>
  </xdr:twoCellAnchor>
  <xdr:twoCellAnchor editAs="oneCell">
    <xdr:from>
      <xdr:col>9</xdr:col>
      <xdr:colOff>0</xdr:colOff>
      <xdr:row>344</xdr:row>
      <xdr:rowOff>0</xdr:rowOff>
    </xdr:from>
    <xdr:to>
      <xdr:col>17</xdr:col>
      <xdr:colOff>286128</xdr:colOff>
      <xdr:row>355</xdr:row>
      <xdr:rowOff>152714</xdr:rowOff>
    </xdr:to>
    <xdr:pic>
      <xdr:nvPicPr>
        <xdr:cNvPr id="3" name="Picture 2">
          <a:extLst>
            <a:ext uri="{FF2B5EF4-FFF2-40B4-BE49-F238E27FC236}">
              <a16:creationId xmlns:a16="http://schemas.microsoft.com/office/drawing/2014/main" id="{0EAB4152-BDA4-CCC3-15E9-D75CCBC75000}"/>
            </a:ext>
          </a:extLst>
        </xdr:cNvPr>
        <xdr:cNvPicPr>
          <a:picLocks noChangeAspect="1"/>
        </xdr:cNvPicPr>
      </xdr:nvPicPr>
      <xdr:blipFill>
        <a:blip xmlns:r="http://schemas.openxmlformats.org/officeDocument/2006/relationships" r:embed="rId2"/>
        <a:stretch>
          <a:fillRect/>
        </a:stretch>
      </xdr:blipFill>
      <xdr:spPr>
        <a:xfrm>
          <a:off x="9468971" y="64960500"/>
          <a:ext cx="5115639" cy="22482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76200</xdr:colOff>
      <xdr:row>2</xdr:row>
      <xdr:rowOff>161925</xdr:rowOff>
    </xdr:from>
    <xdr:to>
      <xdr:col>22</xdr:col>
      <xdr:colOff>343788</xdr:colOff>
      <xdr:row>24</xdr:row>
      <xdr:rowOff>48194</xdr:rowOff>
    </xdr:to>
    <xdr:pic>
      <xdr:nvPicPr>
        <xdr:cNvPr id="2" name="Picture 1">
          <a:extLst>
            <a:ext uri="{FF2B5EF4-FFF2-40B4-BE49-F238E27FC236}">
              <a16:creationId xmlns:a16="http://schemas.microsoft.com/office/drawing/2014/main" id="{BB87A0F2-3EF5-D427-9C5A-DEF2A5531599}"/>
            </a:ext>
          </a:extLst>
        </xdr:cNvPr>
        <xdr:cNvPicPr>
          <a:picLocks noChangeAspect="1"/>
        </xdr:cNvPicPr>
      </xdr:nvPicPr>
      <xdr:blipFill>
        <a:blip xmlns:r="http://schemas.openxmlformats.org/officeDocument/2006/relationships" r:embed="rId1"/>
        <a:stretch>
          <a:fillRect/>
        </a:stretch>
      </xdr:blipFill>
      <xdr:spPr>
        <a:xfrm>
          <a:off x="7391400" y="542925"/>
          <a:ext cx="6363588" cy="4077269"/>
        </a:xfrm>
        <a:prstGeom prst="rect">
          <a:avLst/>
        </a:prstGeom>
      </xdr:spPr>
    </xdr:pic>
    <xdr:clientData/>
  </xdr:twoCellAnchor>
  <xdr:twoCellAnchor>
    <xdr:from>
      <xdr:col>0</xdr:col>
      <xdr:colOff>223836</xdr:colOff>
      <xdr:row>3</xdr:row>
      <xdr:rowOff>4762</xdr:rowOff>
    </xdr:from>
    <xdr:to>
      <xdr:col>10</xdr:col>
      <xdr:colOff>466725</xdr:colOff>
      <xdr:row>24</xdr:row>
      <xdr:rowOff>171450</xdr:rowOff>
    </xdr:to>
    <xdr:graphicFrame macro="">
      <xdr:nvGraphicFramePr>
        <xdr:cNvPr id="3" name="Chart 2">
          <a:extLst>
            <a:ext uri="{FF2B5EF4-FFF2-40B4-BE49-F238E27FC236}">
              <a16:creationId xmlns:a16="http://schemas.microsoft.com/office/drawing/2014/main" id="{531BDD7A-C1EA-B661-E29E-D86742D3E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12</xdr:row>
      <xdr:rowOff>28575</xdr:rowOff>
    </xdr:from>
    <xdr:to>
      <xdr:col>14</xdr:col>
      <xdr:colOff>9525</xdr:colOff>
      <xdr:row>16</xdr:row>
      <xdr:rowOff>123825</xdr:rowOff>
    </xdr:to>
    <xdr:sp macro="" textlink="">
      <xdr:nvSpPr>
        <xdr:cNvPr id="4" name="Arrow: Right 3">
          <a:extLst>
            <a:ext uri="{FF2B5EF4-FFF2-40B4-BE49-F238E27FC236}">
              <a16:creationId xmlns:a16="http://schemas.microsoft.com/office/drawing/2014/main" id="{C165A88F-DD17-1D55-44B8-4F42CFC4A52D}"/>
            </a:ext>
          </a:extLst>
        </xdr:cNvPr>
        <xdr:cNvSpPr/>
      </xdr:nvSpPr>
      <xdr:spPr>
        <a:xfrm>
          <a:off x="5562600" y="2314575"/>
          <a:ext cx="2981325" cy="857250"/>
        </a:xfrm>
        <a:prstGeom prst="rightArrow">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10</xdr:col>
      <xdr:colOff>57150</xdr:colOff>
      <xdr:row>37</xdr:row>
      <xdr:rowOff>0</xdr:rowOff>
    </xdr:from>
    <xdr:to>
      <xdr:col>17</xdr:col>
      <xdr:colOff>114904</xdr:colOff>
      <xdr:row>54</xdr:row>
      <xdr:rowOff>105242</xdr:rowOff>
    </xdr:to>
    <xdr:pic>
      <xdr:nvPicPr>
        <xdr:cNvPr id="6" name="Picture 5">
          <a:extLst>
            <a:ext uri="{FF2B5EF4-FFF2-40B4-BE49-F238E27FC236}">
              <a16:creationId xmlns:a16="http://schemas.microsoft.com/office/drawing/2014/main" id="{56463CD8-438C-E0A5-9777-6B773CE58CA6}"/>
            </a:ext>
          </a:extLst>
        </xdr:cNvPr>
        <xdr:cNvPicPr>
          <a:picLocks noChangeAspect="1"/>
        </xdr:cNvPicPr>
      </xdr:nvPicPr>
      <xdr:blipFill>
        <a:blip xmlns:r="http://schemas.openxmlformats.org/officeDocument/2006/relationships" r:embed="rId3"/>
        <a:stretch>
          <a:fillRect/>
        </a:stretch>
      </xdr:blipFill>
      <xdr:spPr>
        <a:xfrm>
          <a:off x="6153150" y="7048500"/>
          <a:ext cx="4324954" cy="3343742"/>
        </a:xfrm>
        <a:prstGeom prst="rect">
          <a:avLst/>
        </a:prstGeom>
      </xdr:spPr>
    </xdr:pic>
    <xdr:clientData/>
  </xdr:twoCellAnchor>
  <xdr:twoCellAnchor editAs="oneCell">
    <xdr:from>
      <xdr:col>17</xdr:col>
      <xdr:colOff>133350</xdr:colOff>
      <xdr:row>37</xdr:row>
      <xdr:rowOff>0</xdr:rowOff>
    </xdr:from>
    <xdr:to>
      <xdr:col>24</xdr:col>
      <xdr:colOff>410209</xdr:colOff>
      <xdr:row>54</xdr:row>
      <xdr:rowOff>76663</xdr:rowOff>
    </xdr:to>
    <xdr:pic>
      <xdr:nvPicPr>
        <xdr:cNvPr id="7" name="Picture 6">
          <a:extLst>
            <a:ext uri="{FF2B5EF4-FFF2-40B4-BE49-F238E27FC236}">
              <a16:creationId xmlns:a16="http://schemas.microsoft.com/office/drawing/2014/main" id="{42AD9FF6-6AD4-CD7D-0289-DDD8106394AE}"/>
            </a:ext>
          </a:extLst>
        </xdr:cNvPr>
        <xdr:cNvPicPr>
          <a:picLocks noChangeAspect="1"/>
        </xdr:cNvPicPr>
      </xdr:nvPicPr>
      <xdr:blipFill>
        <a:blip xmlns:r="http://schemas.openxmlformats.org/officeDocument/2006/relationships" r:embed="rId4"/>
        <a:stretch>
          <a:fillRect/>
        </a:stretch>
      </xdr:blipFill>
      <xdr:spPr>
        <a:xfrm>
          <a:off x="10496550" y="7048500"/>
          <a:ext cx="4544059" cy="3315163"/>
        </a:xfrm>
        <a:prstGeom prst="rect">
          <a:avLst/>
        </a:prstGeom>
      </xdr:spPr>
    </xdr:pic>
    <xdr:clientData/>
  </xdr:twoCellAnchor>
  <xdr:twoCellAnchor editAs="oneCell">
    <xdr:from>
      <xdr:col>3</xdr:col>
      <xdr:colOff>0</xdr:colOff>
      <xdr:row>37</xdr:row>
      <xdr:rowOff>0</xdr:rowOff>
    </xdr:from>
    <xdr:to>
      <xdr:col>10</xdr:col>
      <xdr:colOff>191122</xdr:colOff>
      <xdr:row>55</xdr:row>
      <xdr:rowOff>162426</xdr:rowOff>
    </xdr:to>
    <xdr:pic>
      <xdr:nvPicPr>
        <xdr:cNvPr id="8" name="Picture 7">
          <a:extLst>
            <a:ext uri="{FF2B5EF4-FFF2-40B4-BE49-F238E27FC236}">
              <a16:creationId xmlns:a16="http://schemas.microsoft.com/office/drawing/2014/main" id="{4A282BAB-7896-8474-F7B3-3CA52B72E4B1}"/>
            </a:ext>
          </a:extLst>
        </xdr:cNvPr>
        <xdr:cNvPicPr>
          <a:picLocks noChangeAspect="1"/>
        </xdr:cNvPicPr>
      </xdr:nvPicPr>
      <xdr:blipFill>
        <a:blip xmlns:r="http://schemas.openxmlformats.org/officeDocument/2006/relationships" r:embed="rId5"/>
        <a:stretch>
          <a:fillRect/>
        </a:stretch>
      </xdr:blipFill>
      <xdr:spPr>
        <a:xfrm>
          <a:off x="1828800" y="7048500"/>
          <a:ext cx="4458322" cy="3591426"/>
        </a:xfrm>
        <a:prstGeom prst="rect">
          <a:avLst/>
        </a:prstGeom>
      </xdr:spPr>
    </xdr:pic>
    <xdr:clientData/>
  </xdr:twoCellAnchor>
  <xdr:twoCellAnchor editAs="oneCell">
    <xdr:from>
      <xdr:col>3</xdr:col>
      <xdr:colOff>0</xdr:colOff>
      <xdr:row>60</xdr:row>
      <xdr:rowOff>0</xdr:rowOff>
    </xdr:from>
    <xdr:to>
      <xdr:col>9</xdr:col>
      <xdr:colOff>324406</xdr:colOff>
      <xdr:row>81</xdr:row>
      <xdr:rowOff>133927</xdr:rowOff>
    </xdr:to>
    <xdr:pic>
      <xdr:nvPicPr>
        <xdr:cNvPr id="9" name="Picture 8">
          <a:extLst>
            <a:ext uri="{FF2B5EF4-FFF2-40B4-BE49-F238E27FC236}">
              <a16:creationId xmlns:a16="http://schemas.microsoft.com/office/drawing/2014/main" id="{66F9BB63-7B4E-8E6C-72E7-3105698534A9}"/>
            </a:ext>
          </a:extLst>
        </xdr:cNvPr>
        <xdr:cNvPicPr>
          <a:picLocks noChangeAspect="1"/>
        </xdr:cNvPicPr>
      </xdr:nvPicPr>
      <xdr:blipFill>
        <a:blip xmlns:r="http://schemas.openxmlformats.org/officeDocument/2006/relationships" r:embed="rId6"/>
        <a:stretch>
          <a:fillRect/>
        </a:stretch>
      </xdr:blipFill>
      <xdr:spPr>
        <a:xfrm>
          <a:off x="1828800" y="11430000"/>
          <a:ext cx="3982006" cy="4134427"/>
        </a:xfrm>
        <a:prstGeom prst="rect">
          <a:avLst/>
        </a:prstGeom>
      </xdr:spPr>
    </xdr:pic>
    <xdr:clientData/>
  </xdr:twoCellAnchor>
  <xdr:twoCellAnchor editAs="oneCell">
    <xdr:from>
      <xdr:col>9</xdr:col>
      <xdr:colOff>333375</xdr:colOff>
      <xdr:row>60</xdr:row>
      <xdr:rowOff>0</xdr:rowOff>
    </xdr:from>
    <xdr:to>
      <xdr:col>15</xdr:col>
      <xdr:colOff>495833</xdr:colOff>
      <xdr:row>81</xdr:row>
      <xdr:rowOff>105348</xdr:rowOff>
    </xdr:to>
    <xdr:pic>
      <xdr:nvPicPr>
        <xdr:cNvPr id="10" name="Picture 9">
          <a:extLst>
            <a:ext uri="{FF2B5EF4-FFF2-40B4-BE49-F238E27FC236}">
              <a16:creationId xmlns:a16="http://schemas.microsoft.com/office/drawing/2014/main" id="{D65A7F54-B16F-8A8D-B8AF-C1143D904AE4}"/>
            </a:ext>
          </a:extLst>
        </xdr:cNvPr>
        <xdr:cNvPicPr>
          <a:picLocks noChangeAspect="1"/>
        </xdr:cNvPicPr>
      </xdr:nvPicPr>
      <xdr:blipFill>
        <a:blip xmlns:r="http://schemas.openxmlformats.org/officeDocument/2006/relationships" r:embed="rId7"/>
        <a:stretch>
          <a:fillRect/>
        </a:stretch>
      </xdr:blipFill>
      <xdr:spPr>
        <a:xfrm>
          <a:off x="5819775" y="11430000"/>
          <a:ext cx="3820058" cy="4105848"/>
        </a:xfrm>
        <a:prstGeom prst="rect">
          <a:avLst/>
        </a:prstGeom>
      </xdr:spPr>
    </xdr:pic>
    <xdr:clientData/>
  </xdr:twoCellAnchor>
  <xdr:twoCellAnchor editAs="oneCell">
    <xdr:from>
      <xdr:col>8</xdr:col>
      <xdr:colOff>600075</xdr:colOff>
      <xdr:row>84</xdr:row>
      <xdr:rowOff>152400</xdr:rowOff>
    </xdr:from>
    <xdr:to>
      <xdr:col>18</xdr:col>
      <xdr:colOff>767</xdr:colOff>
      <xdr:row>108</xdr:row>
      <xdr:rowOff>105406</xdr:rowOff>
    </xdr:to>
    <xdr:pic>
      <xdr:nvPicPr>
        <xdr:cNvPr id="11" name="Picture 10">
          <a:extLst>
            <a:ext uri="{FF2B5EF4-FFF2-40B4-BE49-F238E27FC236}">
              <a16:creationId xmlns:a16="http://schemas.microsoft.com/office/drawing/2014/main" id="{499EBF10-9ED6-B29C-46D2-B914065BF767}"/>
            </a:ext>
          </a:extLst>
        </xdr:cNvPr>
        <xdr:cNvPicPr>
          <a:picLocks noChangeAspect="1"/>
        </xdr:cNvPicPr>
      </xdr:nvPicPr>
      <xdr:blipFill>
        <a:blip xmlns:r="http://schemas.openxmlformats.org/officeDocument/2006/relationships" r:embed="rId8"/>
        <a:stretch>
          <a:fillRect/>
        </a:stretch>
      </xdr:blipFill>
      <xdr:spPr>
        <a:xfrm>
          <a:off x="5476875" y="16154400"/>
          <a:ext cx="5496692" cy="4525006"/>
        </a:xfrm>
        <a:prstGeom prst="rect">
          <a:avLst/>
        </a:prstGeom>
      </xdr:spPr>
    </xdr:pic>
    <xdr:clientData/>
  </xdr:twoCellAnchor>
  <xdr:twoCellAnchor>
    <xdr:from>
      <xdr:col>11</xdr:col>
      <xdr:colOff>295275</xdr:colOff>
      <xdr:row>94</xdr:row>
      <xdr:rowOff>19050</xdr:rowOff>
    </xdr:from>
    <xdr:to>
      <xdr:col>11</xdr:col>
      <xdr:colOff>323850</xdr:colOff>
      <xdr:row>102</xdr:row>
      <xdr:rowOff>47625</xdr:rowOff>
    </xdr:to>
    <xdr:cxnSp macro="">
      <xdr:nvCxnSpPr>
        <xdr:cNvPr id="13" name="Straight Connector 12">
          <a:extLst>
            <a:ext uri="{FF2B5EF4-FFF2-40B4-BE49-F238E27FC236}">
              <a16:creationId xmlns:a16="http://schemas.microsoft.com/office/drawing/2014/main" id="{92E9E6B8-7945-5A24-B43F-47F791F86E15}"/>
            </a:ext>
          </a:extLst>
        </xdr:cNvPr>
        <xdr:cNvCxnSpPr/>
      </xdr:nvCxnSpPr>
      <xdr:spPr>
        <a:xfrm>
          <a:off x="7000875" y="17926050"/>
          <a:ext cx="28575" cy="1552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196</xdr:row>
      <xdr:rowOff>0</xdr:rowOff>
    </xdr:from>
    <xdr:to>
      <xdr:col>15</xdr:col>
      <xdr:colOff>606213</xdr:colOff>
      <xdr:row>207</xdr:row>
      <xdr:rowOff>110794</xdr:rowOff>
    </xdr:to>
    <xdr:pic>
      <xdr:nvPicPr>
        <xdr:cNvPr id="2" name="Picture 1">
          <a:extLst>
            <a:ext uri="{FF2B5EF4-FFF2-40B4-BE49-F238E27FC236}">
              <a16:creationId xmlns:a16="http://schemas.microsoft.com/office/drawing/2014/main" id="{F56F2D03-727D-FD38-6A05-F78177821130}"/>
            </a:ext>
          </a:extLst>
        </xdr:cNvPr>
        <xdr:cNvPicPr>
          <a:picLocks noChangeAspect="1"/>
        </xdr:cNvPicPr>
      </xdr:nvPicPr>
      <xdr:blipFill>
        <a:blip xmlns:r="http://schemas.openxmlformats.org/officeDocument/2006/relationships" r:embed="rId1"/>
        <a:stretch>
          <a:fillRect/>
        </a:stretch>
      </xdr:blipFill>
      <xdr:spPr>
        <a:xfrm>
          <a:off x="7642412" y="37147500"/>
          <a:ext cx="5439534" cy="2181529"/>
        </a:xfrm>
        <a:prstGeom prst="rect">
          <a:avLst/>
        </a:prstGeom>
      </xdr:spPr>
    </xdr:pic>
    <xdr:clientData/>
  </xdr:twoCellAnchor>
  <xdr:twoCellAnchor editAs="oneCell">
    <xdr:from>
      <xdr:col>16</xdr:col>
      <xdr:colOff>524433</xdr:colOff>
      <xdr:row>50</xdr:row>
      <xdr:rowOff>174812</xdr:rowOff>
    </xdr:from>
    <xdr:to>
      <xdr:col>29</xdr:col>
      <xdr:colOff>307547</xdr:colOff>
      <xdr:row>56</xdr:row>
      <xdr:rowOff>33754</xdr:rowOff>
    </xdr:to>
    <xdr:pic>
      <xdr:nvPicPr>
        <xdr:cNvPr id="3" name="Picture 2">
          <a:extLst>
            <a:ext uri="{FF2B5EF4-FFF2-40B4-BE49-F238E27FC236}">
              <a16:creationId xmlns:a16="http://schemas.microsoft.com/office/drawing/2014/main" id="{9B112DAA-281C-FF65-CABE-C3D4C7955B11}"/>
            </a:ext>
          </a:extLst>
        </xdr:cNvPr>
        <xdr:cNvPicPr>
          <a:picLocks noChangeAspect="1"/>
        </xdr:cNvPicPr>
      </xdr:nvPicPr>
      <xdr:blipFill>
        <a:blip xmlns:r="http://schemas.openxmlformats.org/officeDocument/2006/relationships" r:embed="rId2"/>
        <a:stretch>
          <a:fillRect/>
        </a:stretch>
      </xdr:blipFill>
      <xdr:spPr>
        <a:xfrm>
          <a:off x="13792198" y="9139518"/>
          <a:ext cx="7707914" cy="915657"/>
        </a:xfrm>
        <a:prstGeom prst="rect">
          <a:avLst/>
        </a:prstGeom>
      </xdr:spPr>
    </xdr:pic>
    <xdr:clientData/>
  </xdr:twoCellAnchor>
  <xdr:twoCellAnchor editAs="oneCell">
    <xdr:from>
      <xdr:col>7</xdr:col>
      <xdr:colOff>0</xdr:colOff>
      <xdr:row>209</xdr:row>
      <xdr:rowOff>0</xdr:rowOff>
    </xdr:from>
    <xdr:to>
      <xdr:col>13</xdr:col>
      <xdr:colOff>187443</xdr:colOff>
      <xdr:row>213</xdr:row>
      <xdr:rowOff>1786</xdr:rowOff>
    </xdr:to>
    <xdr:pic>
      <xdr:nvPicPr>
        <xdr:cNvPr id="4" name="Picture 3">
          <a:extLst>
            <a:ext uri="{FF2B5EF4-FFF2-40B4-BE49-F238E27FC236}">
              <a16:creationId xmlns:a16="http://schemas.microsoft.com/office/drawing/2014/main" id="{C6F80D25-4AAA-BB11-2198-3289E409B44F}"/>
            </a:ext>
          </a:extLst>
        </xdr:cNvPr>
        <xdr:cNvPicPr>
          <a:picLocks noChangeAspect="1"/>
        </xdr:cNvPicPr>
      </xdr:nvPicPr>
      <xdr:blipFill>
        <a:blip xmlns:r="http://schemas.openxmlformats.org/officeDocument/2006/relationships" r:embed="rId3"/>
        <a:stretch>
          <a:fillRect/>
        </a:stretch>
      </xdr:blipFill>
      <xdr:spPr>
        <a:xfrm>
          <a:off x="7642412" y="39624000"/>
          <a:ext cx="3791479" cy="752580"/>
        </a:xfrm>
        <a:prstGeom prst="rect">
          <a:avLst/>
        </a:prstGeom>
      </xdr:spPr>
    </xdr:pic>
    <xdr:clientData/>
  </xdr:twoCellAnchor>
  <xdr:twoCellAnchor editAs="oneCell">
    <xdr:from>
      <xdr:col>36</xdr:col>
      <xdr:colOff>526676</xdr:colOff>
      <xdr:row>85</xdr:row>
      <xdr:rowOff>100853</xdr:rowOff>
    </xdr:from>
    <xdr:to>
      <xdr:col>49</xdr:col>
      <xdr:colOff>415998</xdr:colOff>
      <xdr:row>108</xdr:row>
      <xdr:rowOff>109735</xdr:rowOff>
    </xdr:to>
    <xdr:pic>
      <xdr:nvPicPr>
        <xdr:cNvPr id="6" name="Picture 5">
          <a:extLst>
            <a:ext uri="{FF2B5EF4-FFF2-40B4-BE49-F238E27FC236}">
              <a16:creationId xmlns:a16="http://schemas.microsoft.com/office/drawing/2014/main" id="{344823C7-43D3-407D-981D-797988F6D778}"/>
            </a:ext>
          </a:extLst>
        </xdr:cNvPr>
        <xdr:cNvPicPr>
          <a:picLocks noChangeAspect="1"/>
        </xdr:cNvPicPr>
      </xdr:nvPicPr>
      <xdr:blipFill>
        <a:blip xmlns:r="http://schemas.openxmlformats.org/officeDocument/2006/relationships" r:embed="rId4"/>
        <a:stretch>
          <a:fillRect/>
        </a:stretch>
      </xdr:blipFill>
      <xdr:spPr>
        <a:xfrm>
          <a:off x="25717500" y="16293353"/>
          <a:ext cx="7752041" cy="43808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C0605-BA0B-4138-9E1E-D54D0C4F5895}">
  <dimension ref="A1:AD134"/>
  <sheetViews>
    <sheetView topLeftCell="A9" workbookViewId="0">
      <selection activeCell="D5" sqref="D5"/>
    </sheetView>
  </sheetViews>
  <sheetFormatPr defaultRowHeight="15" x14ac:dyDescent="0.25"/>
  <cols>
    <col min="2" max="2" width="25.7109375" customWidth="1"/>
    <col min="9" max="9" width="21" customWidth="1"/>
  </cols>
  <sheetData>
    <row r="1" spans="1:30" ht="15.75" thickBot="1" x14ac:dyDescent="0.3">
      <c r="A1" s="304"/>
      <c r="B1" s="304"/>
      <c r="C1" s="29"/>
      <c r="D1" s="29"/>
      <c r="E1" s="29"/>
      <c r="F1" s="29"/>
      <c r="G1" s="29"/>
      <c r="H1" s="2"/>
      <c r="I1" s="2"/>
      <c r="J1" s="2"/>
      <c r="K1" s="2"/>
      <c r="L1" s="2"/>
      <c r="M1" s="2"/>
      <c r="N1" s="2"/>
      <c r="O1" s="2"/>
      <c r="P1" s="2"/>
      <c r="Q1" s="2"/>
      <c r="R1" s="2"/>
      <c r="S1" s="2"/>
      <c r="T1" s="2"/>
      <c r="U1" s="2"/>
      <c r="V1" s="2"/>
      <c r="W1" s="2"/>
      <c r="X1" s="2"/>
      <c r="Y1" s="2"/>
      <c r="Z1" s="2"/>
      <c r="AA1" s="2"/>
      <c r="AB1" s="2"/>
      <c r="AC1" s="2"/>
      <c r="AD1" s="2"/>
    </row>
    <row r="2" spans="1:30" ht="15.75" thickBot="1" x14ac:dyDescent="0.3">
      <c r="A2" s="9"/>
      <c r="B2" s="9" t="s">
        <v>392</v>
      </c>
      <c r="C2" s="170" t="s">
        <v>393</v>
      </c>
      <c r="D2" s="29"/>
      <c r="E2" s="29"/>
      <c r="F2" s="29"/>
      <c r="G2" s="29"/>
      <c r="H2" s="2"/>
      <c r="I2" s="2"/>
      <c r="J2" s="2"/>
      <c r="K2" s="2"/>
      <c r="L2" s="2"/>
      <c r="M2" s="2"/>
      <c r="N2" s="2"/>
      <c r="O2" s="2"/>
      <c r="P2" s="2"/>
      <c r="Q2" s="2"/>
      <c r="R2" s="2"/>
      <c r="S2" s="2"/>
      <c r="T2" s="2"/>
      <c r="U2" s="2"/>
      <c r="V2" s="2"/>
      <c r="W2" s="2"/>
      <c r="X2" s="2"/>
      <c r="Y2" s="2"/>
      <c r="Z2" s="2"/>
      <c r="AA2" s="2"/>
      <c r="AB2" s="2"/>
      <c r="AC2" s="2"/>
      <c r="AD2" s="2"/>
    </row>
    <row r="3" spans="1:30" ht="15.75" thickBot="1" x14ac:dyDescent="0.3">
      <c r="A3" s="305"/>
      <c r="B3" s="305"/>
      <c r="C3" s="29"/>
      <c r="D3" s="29"/>
      <c r="E3" s="29"/>
      <c r="F3" s="29"/>
      <c r="G3" s="29"/>
      <c r="H3" s="2"/>
      <c r="I3" s="9" t="s">
        <v>394</v>
      </c>
      <c r="J3" s="37" t="s">
        <v>28</v>
      </c>
      <c r="K3" s="29"/>
      <c r="L3" s="2"/>
      <c r="M3" s="2"/>
      <c r="N3" s="2"/>
      <c r="O3" s="2"/>
      <c r="P3" s="2"/>
      <c r="Q3" s="2"/>
      <c r="R3" s="2"/>
      <c r="S3" s="2"/>
      <c r="T3" s="2"/>
      <c r="U3" s="2"/>
      <c r="V3" s="2"/>
      <c r="W3" s="2"/>
      <c r="X3" s="2"/>
      <c r="Y3" s="2"/>
      <c r="Z3" s="2"/>
      <c r="AA3" s="2"/>
      <c r="AB3" s="2"/>
      <c r="AC3" s="2"/>
      <c r="AD3" s="2"/>
    </row>
    <row r="4" spans="1:30" x14ac:dyDescent="0.25">
      <c r="A4" s="2"/>
      <c r="B4" s="171"/>
      <c r="C4" s="172" t="s">
        <v>395</v>
      </c>
      <c r="D4" s="253">
        <v>2.35</v>
      </c>
      <c r="E4" s="29"/>
      <c r="F4" s="29"/>
      <c r="G4" s="29"/>
      <c r="H4" s="2"/>
      <c r="I4" s="173" t="s">
        <v>396</v>
      </c>
      <c r="J4" s="174" t="s">
        <v>117</v>
      </c>
      <c r="K4" s="175">
        <v>0.04</v>
      </c>
      <c r="L4" s="2"/>
      <c r="M4" s="175">
        <v>0.04</v>
      </c>
      <c r="N4" s="2"/>
      <c r="O4" s="2"/>
      <c r="P4" s="2"/>
      <c r="Q4" s="2"/>
      <c r="R4" s="2"/>
      <c r="S4" s="2"/>
      <c r="T4" s="2"/>
      <c r="U4" s="2"/>
      <c r="V4" s="2"/>
      <c r="W4" s="2"/>
      <c r="X4" s="2"/>
      <c r="Y4" s="2"/>
      <c r="Z4" s="2"/>
      <c r="AA4" s="2"/>
      <c r="AB4" s="2"/>
      <c r="AC4" s="2"/>
      <c r="AD4" s="2"/>
    </row>
    <row r="5" spans="1:30" ht="15.75" thickBot="1" x14ac:dyDescent="0.3">
      <c r="A5" s="2"/>
      <c r="B5" s="176"/>
      <c r="C5" s="177" t="s">
        <v>397</v>
      </c>
      <c r="D5" s="178" t="e">
        <v>#VALUE!</v>
      </c>
      <c r="E5" s="29"/>
      <c r="F5" s="29"/>
      <c r="G5" s="29"/>
      <c r="H5" s="2"/>
      <c r="I5" s="173" t="s">
        <v>398</v>
      </c>
      <c r="J5" s="179" t="s">
        <v>271</v>
      </c>
      <c r="K5" s="180">
        <v>1.2</v>
      </c>
      <c r="L5" s="2"/>
      <c r="M5" s="2"/>
      <c r="N5" s="2"/>
      <c r="O5" s="2"/>
      <c r="P5" s="2"/>
      <c r="Q5" s="2"/>
      <c r="R5" s="2"/>
      <c r="S5" s="2"/>
      <c r="T5" s="2"/>
      <c r="U5" s="2"/>
      <c r="V5" s="2"/>
      <c r="W5" s="2"/>
      <c r="X5" s="2"/>
      <c r="Y5" s="2"/>
      <c r="Z5" s="2"/>
      <c r="AA5" s="2"/>
      <c r="AB5" s="2"/>
      <c r="AC5" s="2"/>
      <c r="AD5" s="2"/>
    </row>
    <row r="6" spans="1:30" x14ac:dyDescent="0.25">
      <c r="A6" s="181"/>
      <c r="B6" s="182"/>
      <c r="C6" s="183" t="s">
        <v>399</v>
      </c>
      <c r="D6" s="184"/>
      <c r="E6" s="29"/>
      <c r="F6" s="181"/>
      <c r="G6" s="181"/>
      <c r="H6" s="2"/>
      <c r="I6" s="173" t="s">
        <v>400</v>
      </c>
      <c r="J6" s="174" t="s">
        <v>117</v>
      </c>
      <c r="K6" s="175">
        <v>0.06</v>
      </c>
      <c r="L6" s="2"/>
      <c r="M6" s="2"/>
      <c r="N6" s="2"/>
      <c r="O6" s="2"/>
      <c r="P6" s="2"/>
      <c r="Q6" s="2"/>
      <c r="R6" s="2"/>
      <c r="S6" s="2"/>
      <c r="T6" s="2"/>
      <c r="U6" s="2"/>
      <c r="V6" s="2"/>
      <c r="W6" s="2"/>
      <c r="X6" s="2"/>
      <c r="Y6" s="2"/>
      <c r="Z6" s="2"/>
      <c r="AA6" s="2"/>
      <c r="AB6" s="2"/>
      <c r="AC6" s="2"/>
      <c r="AD6" s="2"/>
    </row>
    <row r="7" spans="1:30" x14ac:dyDescent="0.25">
      <c r="A7" s="2"/>
      <c r="B7" s="185"/>
      <c r="C7" s="183" t="s">
        <v>401</v>
      </c>
      <c r="D7" s="186"/>
      <c r="E7" s="29"/>
      <c r="F7" s="2"/>
      <c r="G7" s="29"/>
      <c r="H7" s="2"/>
      <c r="I7" s="173" t="s">
        <v>402</v>
      </c>
      <c r="J7" s="174" t="s">
        <v>117</v>
      </c>
      <c r="K7" s="187">
        <f>K4+K5*K6</f>
        <v>0.11199999999999999</v>
      </c>
      <c r="L7" s="2"/>
      <c r="M7" s="2"/>
      <c r="N7" s="2"/>
      <c r="O7" s="2"/>
      <c r="P7" s="2"/>
      <c r="Q7" s="2"/>
      <c r="R7" s="2"/>
      <c r="S7" s="2"/>
      <c r="T7" s="2"/>
      <c r="U7" s="2"/>
      <c r="V7" s="2"/>
      <c r="W7" s="2"/>
      <c r="X7" s="2"/>
      <c r="Y7" s="2"/>
      <c r="Z7" s="2"/>
      <c r="AA7" s="2"/>
      <c r="AB7" s="2"/>
      <c r="AC7" s="2"/>
      <c r="AD7" s="2"/>
    </row>
    <row r="8" spans="1:30" x14ac:dyDescent="0.25">
      <c r="A8" s="29"/>
      <c r="B8" s="185"/>
      <c r="C8" s="183" t="s">
        <v>403</v>
      </c>
      <c r="D8" s="184"/>
      <c r="E8" s="29"/>
      <c r="F8" s="29"/>
      <c r="G8" s="2"/>
      <c r="H8" s="2"/>
      <c r="I8" s="173" t="s">
        <v>195</v>
      </c>
      <c r="J8" s="188" t="s">
        <v>404</v>
      </c>
      <c r="K8" s="175">
        <v>0.2</v>
      </c>
      <c r="L8" s="2"/>
      <c r="M8" s="2"/>
      <c r="N8" s="2"/>
      <c r="O8" s="2"/>
      <c r="P8" s="2"/>
      <c r="Q8" s="2"/>
      <c r="R8" s="2"/>
      <c r="S8" s="2"/>
      <c r="T8" s="2"/>
      <c r="U8" s="2"/>
      <c r="V8" s="2"/>
      <c r="W8" s="2"/>
      <c r="X8" s="2"/>
      <c r="Y8" s="2"/>
      <c r="Z8" s="2"/>
      <c r="AA8" s="2"/>
      <c r="AB8" s="2"/>
      <c r="AC8" s="2"/>
      <c r="AD8" s="2"/>
    </row>
    <row r="9" spans="1:30" ht="15.75" thickBot="1" x14ac:dyDescent="0.3">
      <c r="A9" s="2"/>
      <c r="B9" s="189"/>
      <c r="C9" s="177" t="s">
        <v>405</v>
      </c>
      <c r="D9" s="178"/>
      <c r="E9" s="190" t="e">
        <v>#VALUE!</v>
      </c>
      <c r="F9" s="2"/>
      <c r="G9" s="29"/>
      <c r="H9" s="2"/>
      <c r="I9" s="173" t="s">
        <v>406</v>
      </c>
      <c r="J9" s="188" t="s">
        <v>404</v>
      </c>
      <c r="K9" s="175">
        <v>0.7</v>
      </c>
      <c r="L9" s="2"/>
      <c r="M9" s="2"/>
      <c r="N9" s="2"/>
      <c r="O9" s="2"/>
      <c r="P9" s="2"/>
      <c r="Q9" s="2"/>
      <c r="R9" s="2"/>
      <c r="S9" s="2"/>
      <c r="T9" s="2"/>
      <c r="U9" s="2"/>
      <c r="V9" s="2"/>
      <c r="W9" s="2"/>
      <c r="X9" s="2"/>
      <c r="Y9" s="2"/>
      <c r="Z9" s="2"/>
      <c r="AA9" s="2"/>
      <c r="AB9" s="2"/>
      <c r="AC9" s="2"/>
      <c r="AD9" s="2"/>
    </row>
    <row r="10" spans="1:30" ht="15.75" thickBot="1" x14ac:dyDescent="0.3">
      <c r="A10" s="304"/>
      <c r="B10" s="304"/>
      <c r="C10" s="2"/>
      <c r="D10" s="2"/>
      <c r="E10" s="2"/>
      <c r="F10" s="2"/>
      <c r="G10" s="29"/>
      <c r="H10" s="2"/>
      <c r="I10" s="173" t="s">
        <v>407</v>
      </c>
      <c r="J10" s="188" t="s">
        <v>404</v>
      </c>
      <c r="K10" s="187">
        <f>(1-K9)*K8</f>
        <v>6.0000000000000012E-2</v>
      </c>
      <c r="L10" s="2"/>
      <c r="M10" s="2"/>
      <c r="N10" s="2"/>
      <c r="O10" s="2"/>
      <c r="P10" s="2"/>
      <c r="Q10" s="2"/>
      <c r="R10" s="2"/>
      <c r="S10" s="2"/>
      <c r="T10" s="2"/>
      <c r="U10" s="2"/>
      <c r="V10" s="2"/>
      <c r="W10" s="2"/>
      <c r="X10" s="2"/>
      <c r="Y10" s="2"/>
      <c r="Z10" s="2"/>
      <c r="AA10" s="2"/>
      <c r="AB10" s="2"/>
      <c r="AC10" s="2"/>
      <c r="AD10" s="2"/>
    </row>
    <row r="11" spans="1:30" ht="15.75" thickBot="1" x14ac:dyDescent="0.3">
      <c r="A11" s="304"/>
      <c r="B11" s="304"/>
      <c r="C11" s="29"/>
      <c r="D11" s="29"/>
      <c r="E11" s="29"/>
      <c r="F11" s="29"/>
      <c r="G11" s="29"/>
      <c r="H11" s="2"/>
      <c r="I11" s="191"/>
      <c r="J11" s="192" t="s">
        <v>363</v>
      </c>
      <c r="K11" s="274">
        <f>Annual!D308</f>
        <v>4.1462997012274965</v>
      </c>
      <c r="L11" s="275">
        <f>K11/D4-1</f>
        <v>0.76438285158616859</v>
      </c>
      <c r="M11" s="195"/>
      <c r="N11" s="2">
        <v>4.1558999535943357</v>
      </c>
      <c r="O11" s="2"/>
      <c r="P11" s="2"/>
      <c r="Q11" s="2"/>
      <c r="R11" s="2"/>
      <c r="S11" s="2"/>
      <c r="T11" s="2"/>
      <c r="U11" s="2"/>
      <c r="V11" s="2"/>
      <c r="W11" s="2"/>
      <c r="X11" s="2"/>
      <c r="Y11" s="2"/>
      <c r="Z11" s="2"/>
      <c r="AA11" s="2"/>
      <c r="AB11" s="2"/>
      <c r="AC11" s="2"/>
      <c r="AD11" s="2"/>
    </row>
    <row r="12" spans="1:30" ht="15.75" thickBot="1" x14ac:dyDescent="0.3">
      <c r="A12" s="304"/>
      <c r="B12" s="304"/>
      <c r="C12" s="29"/>
      <c r="D12" s="29"/>
      <c r="E12" s="29"/>
      <c r="F12" s="29"/>
      <c r="G12" s="29"/>
      <c r="H12" s="2"/>
      <c r="I12" s="191"/>
      <c r="J12" s="192" t="s">
        <v>408</v>
      </c>
      <c r="K12" s="193"/>
      <c r="L12" s="194"/>
      <c r="M12" s="2"/>
      <c r="N12" s="297">
        <f>N11-K11</f>
        <v>9.600252366839257E-3</v>
      </c>
      <c r="O12" s="2"/>
      <c r="P12" s="2"/>
      <c r="Q12" s="2"/>
      <c r="R12" s="2"/>
      <c r="S12" s="2"/>
      <c r="T12" s="2"/>
      <c r="U12" s="2"/>
      <c r="V12" s="2"/>
      <c r="W12" s="2"/>
      <c r="X12" s="2"/>
      <c r="Y12" s="2"/>
      <c r="Z12" s="2"/>
      <c r="AA12" s="2"/>
      <c r="AB12" s="2"/>
      <c r="AC12" s="2"/>
      <c r="AD12" s="2"/>
    </row>
    <row r="13" spans="1:30" ht="15.75" thickBot="1" x14ac:dyDescent="0.3">
      <c r="A13" s="304"/>
      <c r="B13" s="304"/>
      <c r="C13" s="29"/>
      <c r="D13" s="29"/>
      <c r="E13" s="29"/>
      <c r="F13" s="29"/>
      <c r="G13" s="29"/>
      <c r="H13" s="2"/>
      <c r="I13" s="191"/>
      <c r="J13" s="192"/>
      <c r="K13" s="193"/>
      <c r="L13" s="194"/>
      <c r="M13" s="2"/>
      <c r="N13" s="2">
        <f>N12*E27</f>
        <v>2.5997483409400708</v>
      </c>
      <c r="O13" s="2"/>
      <c r="P13" s="2"/>
      <c r="Q13" s="2"/>
      <c r="R13" s="2"/>
      <c r="S13" s="2"/>
      <c r="T13" s="2"/>
      <c r="U13" s="2"/>
      <c r="V13" s="2"/>
      <c r="W13" s="2"/>
      <c r="X13" s="2"/>
      <c r="Y13" s="2"/>
      <c r="Z13" s="2"/>
      <c r="AA13" s="2"/>
      <c r="AB13" s="2"/>
      <c r="AC13" s="2"/>
      <c r="AD13" s="2"/>
    </row>
    <row r="14" spans="1:30" x14ac:dyDescent="0.25">
      <c r="A14" s="2"/>
      <c r="B14" s="9" t="s">
        <v>409</v>
      </c>
      <c r="C14" s="37" t="s">
        <v>28</v>
      </c>
      <c r="D14" s="2"/>
      <c r="E14" s="2"/>
      <c r="F14" s="29"/>
      <c r="G14" s="29"/>
      <c r="H14" s="2"/>
      <c r="I14" s="196" t="s">
        <v>410</v>
      </c>
      <c r="J14" s="174" t="s">
        <v>271</v>
      </c>
      <c r="K14" s="197"/>
      <c r="L14" s="2"/>
      <c r="M14" s="2"/>
      <c r="N14" s="2"/>
      <c r="O14" s="2"/>
      <c r="P14" s="2"/>
      <c r="Q14" s="2"/>
      <c r="R14" s="2"/>
      <c r="S14" s="2"/>
      <c r="T14" s="2"/>
      <c r="U14" s="2"/>
      <c r="V14" s="2"/>
      <c r="W14" s="2"/>
      <c r="X14" s="2"/>
      <c r="Y14" s="2"/>
      <c r="Z14" s="2"/>
      <c r="AA14" s="2"/>
      <c r="AB14" s="2"/>
      <c r="AC14" s="2"/>
      <c r="AD14" s="2"/>
    </row>
    <row r="15" spans="1:30" x14ac:dyDescent="0.25">
      <c r="A15" s="2"/>
      <c r="B15" s="196" t="s">
        <v>411</v>
      </c>
      <c r="C15" s="198">
        <v>1000</v>
      </c>
      <c r="D15" s="181" t="s">
        <v>412</v>
      </c>
      <c r="E15" s="2"/>
      <c r="F15" s="29"/>
      <c r="G15" s="29"/>
      <c r="H15" s="2"/>
      <c r="I15" s="196" t="s">
        <v>413</v>
      </c>
      <c r="J15" s="174" t="s">
        <v>271</v>
      </c>
      <c r="K15" s="197"/>
      <c r="L15" s="2"/>
      <c r="M15" s="2"/>
      <c r="N15" s="2"/>
      <c r="O15" s="2"/>
      <c r="P15" s="2"/>
      <c r="Q15" s="2"/>
      <c r="R15" s="2"/>
      <c r="S15" s="2"/>
      <c r="T15" s="2"/>
      <c r="U15" s="2"/>
      <c r="V15" s="2"/>
      <c r="W15" s="2"/>
      <c r="X15" s="2"/>
      <c r="Y15" s="2"/>
      <c r="Z15" s="2"/>
      <c r="AA15" s="2"/>
      <c r="AB15" s="2"/>
      <c r="AC15" s="2"/>
      <c r="AD15" s="2"/>
    </row>
    <row r="16" spans="1:30" x14ac:dyDescent="0.25">
      <c r="A16" s="29"/>
      <c r="B16" s="196" t="s">
        <v>414</v>
      </c>
      <c r="C16" s="188">
        <v>1000</v>
      </c>
      <c r="D16" s="181"/>
      <c r="E16" s="2"/>
      <c r="F16" s="2"/>
      <c r="G16" s="2"/>
      <c r="H16" s="2"/>
      <c r="I16" s="196" t="s">
        <v>415</v>
      </c>
      <c r="J16" s="174"/>
      <c r="K16" s="199"/>
      <c r="L16" s="2"/>
      <c r="M16" s="2"/>
      <c r="N16" s="2"/>
      <c r="O16" s="2"/>
      <c r="P16" s="2"/>
      <c r="Q16" s="2"/>
      <c r="R16" s="2"/>
      <c r="S16" s="2"/>
      <c r="T16" s="2"/>
      <c r="U16" s="2"/>
      <c r="V16" s="2"/>
      <c r="W16" s="2"/>
      <c r="X16" s="2"/>
      <c r="Y16" s="2"/>
      <c r="Z16" s="2"/>
      <c r="AA16" s="2"/>
      <c r="AB16" s="2"/>
      <c r="AC16" s="2"/>
      <c r="AD16" s="2"/>
    </row>
    <row r="17" spans="1:30" x14ac:dyDescent="0.25">
      <c r="A17" s="29"/>
      <c r="B17" s="196" t="s">
        <v>416</v>
      </c>
      <c r="C17" s="180">
        <v>1000</v>
      </c>
      <c r="D17" s="181" t="s">
        <v>417</v>
      </c>
      <c r="E17" s="2"/>
      <c r="F17" s="2"/>
      <c r="G17" s="2"/>
      <c r="H17" s="2"/>
      <c r="I17" s="196" t="s">
        <v>418</v>
      </c>
      <c r="J17" s="174"/>
      <c r="K17" s="197"/>
      <c r="L17" s="2"/>
      <c r="M17" s="2"/>
      <c r="N17" s="2"/>
      <c r="O17" s="2"/>
      <c r="P17" s="2"/>
      <c r="Q17" s="2"/>
      <c r="R17" s="2"/>
      <c r="S17" s="2"/>
      <c r="T17" s="2"/>
      <c r="U17" s="2"/>
      <c r="V17" s="2"/>
      <c r="W17" s="2"/>
      <c r="X17" s="2"/>
      <c r="Y17" s="2"/>
      <c r="Z17" s="2"/>
      <c r="AA17" s="2"/>
      <c r="AB17" s="2"/>
      <c r="AC17" s="2"/>
      <c r="AD17" s="2"/>
    </row>
    <row r="18" spans="1:30" x14ac:dyDescent="0.25">
      <c r="A18" s="306"/>
      <c r="B18" s="306"/>
      <c r="C18" s="29"/>
      <c r="D18" s="29"/>
      <c r="E18" s="29"/>
      <c r="F18" s="29"/>
      <c r="G18" s="29"/>
      <c r="H18" s="2"/>
      <c r="I18" s="2"/>
      <c r="J18" s="2"/>
      <c r="K18" s="2"/>
      <c r="L18" s="2"/>
      <c r="M18" s="2"/>
      <c r="N18" s="2"/>
      <c r="O18" s="2"/>
      <c r="P18" s="2"/>
      <c r="Q18" s="2"/>
      <c r="R18" s="2"/>
      <c r="S18" s="2"/>
      <c r="T18" s="2"/>
      <c r="U18" s="2"/>
      <c r="V18" s="2"/>
      <c r="W18" s="2"/>
      <c r="X18" s="2"/>
      <c r="Y18" s="2"/>
      <c r="Z18" s="2"/>
      <c r="AA18" s="2"/>
      <c r="AB18" s="2"/>
      <c r="AC18" s="2"/>
      <c r="AD18" s="2"/>
    </row>
    <row r="19" spans="1:30" x14ac:dyDescent="0.25">
      <c r="A19" s="304"/>
      <c r="B19" s="304"/>
      <c r="C19" s="17" t="s">
        <v>419</v>
      </c>
      <c r="D19" s="17"/>
      <c r="E19" s="200" t="s">
        <v>26</v>
      </c>
      <c r="F19" s="201"/>
      <c r="G19" s="201"/>
      <c r="H19" s="2"/>
      <c r="I19" s="2"/>
      <c r="J19" s="2"/>
      <c r="K19" s="2"/>
      <c r="L19" s="2"/>
      <c r="M19" s="2"/>
      <c r="N19" s="2"/>
      <c r="O19" s="2"/>
      <c r="P19" s="2"/>
      <c r="Q19" s="2"/>
      <c r="R19" s="2"/>
      <c r="S19" s="2"/>
      <c r="T19" s="2"/>
      <c r="U19" s="2"/>
      <c r="V19" s="2"/>
      <c r="W19" s="2"/>
      <c r="X19" s="2"/>
      <c r="Y19" s="2"/>
      <c r="Z19" s="2"/>
      <c r="AA19" s="2"/>
      <c r="AB19" s="2"/>
      <c r="AC19" s="2"/>
      <c r="AD19" s="2"/>
    </row>
    <row r="20" spans="1:30" x14ac:dyDescent="0.25">
      <c r="A20" s="304"/>
      <c r="B20" s="304"/>
      <c r="C20" s="202">
        <v>2024</v>
      </c>
      <c r="D20" s="17">
        <v>2025</v>
      </c>
      <c r="E20" s="18">
        <v>2026</v>
      </c>
      <c r="F20" s="18">
        <v>2027</v>
      </c>
      <c r="G20" s="18">
        <v>2028</v>
      </c>
      <c r="H20" s="2"/>
      <c r="I20" s="2"/>
      <c r="J20" s="17" t="s">
        <v>419</v>
      </c>
      <c r="K20" s="17"/>
      <c r="L20" s="200" t="s">
        <v>26</v>
      </c>
      <c r="M20" s="201"/>
      <c r="N20" s="201"/>
      <c r="O20" s="2"/>
      <c r="P20" s="2"/>
      <c r="Q20" s="17" t="s">
        <v>419</v>
      </c>
      <c r="R20" s="17"/>
      <c r="S20" s="200" t="s">
        <v>26</v>
      </c>
      <c r="T20" s="201"/>
      <c r="U20" s="201"/>
      <c r="V20" s="2"/>
      <c r="W20" s="2"/>
      <c r="X20" s="2"/>
      <c r="Y20" s="2"/>
      <c r="Z20" s="2"/>
      <c r="AA20" s="2"/>
      <c r="AB20" s="2"/>
      <c r="AC20" s="2"/>
      <c r="AD20" s="2"/>
    </row>
    <row r="21" spans="1:30" x14ac:dyDescent="0.25">
      <c r="A21" s="2"/>
      <c r="B21" s="9" t="s">
        <v>420</v>
      </c>
      <c r="C21" s="29"/>
      <c r="D21" s="29"/>
      <c r="E21" s="29"/>
      <c r="F21" s="2"/>
      <c r="G21" s="2"/>
      <c r="H21" s="2"/>
      <c r="I21" s="2"/>
      <c r="J21" s="17">
        <v>2024</v>
      </c>
      <c r="K21" s="17">
        <v>2025</v>
      </c>
      <c r="L21" s="18">
        <v>2026</v>
      </c>
      <c r="M21" s="18">
        <v>2027</v>
      </c>
      <c r="N21" s="18">
        <v>2028</v>
      </c>
      <c r="O21" s="2"/>
      <c r="P21" s="2"/>
      <c r="Q21" s="17">
        <v>2024</v>
      </c>
      <c r="R21" s="17">
        <v>2025</v>
      </c>
      <c r="S21" s="18">
        <v>2026</v>
      </c>
      <c r="T21" s="18">
        <v>2027</v>
      </c>
      <c r="U21" s="18">
        <v>2028</v>
      </c>
      <c r="V21" s="2"/>
      <c r="W21" s="2"/>
      <c r="X21" s="2"/>
      <c r="Y21" s="2"/>
      <c r="Z21" s="2"/>
      <c r="AA21" s="2"/>
      <c r="AB21" s="2"/>
      <c r="AC21" s="2"/>
      <c r="AD21" s="2"/>
    </row>
    <row r="22" spans="1:30" x14ac:dyDescent="0.25">
      <c r="A22" s="2"/>
      <c r="B22" s="157" t="s">
        <v>421</v>
      </c>
      <c r="C22" s="195"/>
      <c r="D22" s="282">
        <f t="shared" ref="D22:G23" si="0">$D$4/D28</f>
        <v>18.182285714285715</v>
      </c>
      <c r="E22" s="282">
        <f t="shared" si="0"/>
        <v>14.110421286031043</v>
      </c>
      <c r="F22" s="282">
        <f t="shared" si="0"/>
        <v>12.22632084534102</v>
      </c>
      <c r="G22" s="282">
        <f t="shared" si="0"/>
        <v>11.04826388888889</v>
      </c>
      <c r="H22" s="2"/>
      <c r="I22" s="9" t="s">
        <v>490</v>
      </c>
      <c r="J22" s="29"/>
      <c r="K22" s="29"/>
      <c r="L22" s="29"/>
      <c r="M22" s="29"/>
      <c r="N22" s="2"/>
      <c r="O22" s="2"/>
      <c r="P22" s="9" t="s">
        <v>422</v>
      </c>
      <c r="Q22" s="29"/>
      <c r="R22" s="29"/>
      <c r="S22" s="29"/>
      <c r="T22" s="29"/>
      <c r="U22" s="2"/>
      <c r="V22" s="2"/>
      <c r="W22" s="2"/>
      <c r="X22" s="2"/>
      <c r="Y22" s="2"/>
      <c r="Z22" s="2"/>
      <c r="AA22" s="2"/>
      <c r="AB22" s="2"/>
      <c r="AC22" s="2"/>
      <c r="AD22" s="2"/>
    </row>
    <row r="23" spans="1:30" x14ac:dyDescent="0.25">
      <c r="A23" s="2"/>
      <c r="B23" s="157" t="s">
        <v>423</v>
      </c>
      <c r="C23" s="195"/>
      <c r="D23" s="282">
        <f t="shared" si="0"/>
        <v>18.518000000000001</v>
      </c>
      <c r="E23" s="282">
        <f t="shared" si="0"/>
        <v>13.262767013641126</v>
      </c>
      <c r="F23" s="282">
        <f t="shared" si="0"/>
        <v>11.518222386674932</v>
      </c>
      <c r="G23" s="282">
        <f t="shared" si="0"/>
        <v>10.187801686832367</v>
      </c>
      <c r="H23" s="2"/>
      <c r="I23" s="157" t="s">
        <v>421</v>
      </c>
      <c r="J23" s="195"/>
      <c r="K23" s="282">
        <f>'Vs cons'!E12</f>
        <v>35</v>
      </c>
      <c r="L23" s="282">
        <f>'Vs cons'!F12</f>
        <v>45.1</v>
      </c>
      <c r="M23" s="282">
        <f>'Vs cons'!G12</f>
        <v>52.05</v>
      </c>
      <c r="N23" s="282">
        <f>'Vs cons'!H12</f>
        <v>57.6</v>
      </c>
      <c r="O23" s="2"/>
      <c r="P23" s="157" t="s">
        <v>421</v>
      </c>
      <c r="Q23" s="195"/>
      <c r="R23" s="282">
        <f>'Vs cons'!E24</f>
        <v>55.25</v>
      </c>
      <c r="S23" s="282">
        <f>'Vs cons'!F24</f>
        <v>73.100000000000009</v>
      </c>
      <c r="T23" s="282">
        <f>'Vs cons'!G24</f>
        <v>83.699999999999989</v>
      </c>
      <c r="U23" s="282">
        <f>'Vs cons'!H24</f>
        <v>91.65</v>
      </c>
      <c r="V23" s="2"/>
      <c r="W23" s="2"/>
      <c r="X23" s="2"/>
      <c r="Y23" s="2"/>
      <c r="Z23" s="2"/>
      <c r="AA23" s="2"/>
      <c r="AB23" s="2"/>
      <c r="AC23" s="2"/>
      <c r="AD23" s="2"/>
    </row>
    <row r="24" spans="1:30" x14ac:dyDescent="0.25">
      <c r="A24" s="2"/>
      <c r="B24" s="2" t="s">
        <v>424</v>
      </c>
      <c r="C24" s="29"/>
      <c r="D24" s="29"/>
      <c r="E24" s="29">
        <f>E23/E22</f>
        <v>0.93992707551339572</v>
      </c>
      <c r="F24" s="29"/>
      <c r="G24" s="29"/>
      <c r="H24" s="203" t="str">
        <f>Annual!A90</f>
        <v>Statutory NPAT</v>
      </c>
      <c r="I24" s="157" t="s">
        <v>423</v>
      </c>
      <c r="J24" s="278">
        <f>INDEX(Annual!$A:$Y,MATCH(Value!$H24,Annual!$A:$A,0),MATCH(Value!J$21,Annual!$A$1:$Y$1,0))</f>
        <v>29</v>
      </c>
      <c r="K24" s="278">
        <f>INDEX(Annual!$A:$Y,MATCH(Value!$H24,Annual!$A:$A,0),MATCH(Value!K$21,Annual!$A$1:$Y$1,0))</f>
        <v>35</v>
      </c>
      <c r="L24" s="278">
        <f>INDEX(Annual!$A:$Y,MATCH(Value!$H24,Annual!$A:$A,0),MATCH(Value!L$21,Annual!$A$1:$Y$1,0))</f>
        <v>48.868384654075598</v>
      </c>
      <c r="M24" s="278">
        <f>INDEX(Annual!$A:$Y,MATCH(Value!$H24,Annual!$A:$A,0),MATCH(Value!M$21,Annual!$A$1:$Y$1,0))</f>
        <v>56.269967555913944</v>
      </c>
      <c r="N24" s="278">
        <f>INDEX(Annual!$A:$Y,MATCH(Value!$H24,Annual!$A:$A,0),MATCH(Value!N$21,Annual!$A$1:$Y$1,0))</f>
        <v>63.618238745037772</v>
      </c>
      <c r="O24" s="98" t="s">
        <v>123</v>
      </c>
      <c r="P24" s="157" t="s">
        <v>423</v>
      </c>
      <c r="Q24" s="278">
        <f>INDEX(Annual!$A:$Y,MATCH($O24,Annual!$A:$A,0),MATCH(Value!Q$21,Annual!$A$1:$Y$1,0))</f>
        <v>47.399999999999991</v>
      </c>
      <c r="R24" s="278">
        <f>INDEX(Annual!$A:$Y,MATCH($O24,Annual!$A:$A,0),MATCH(Value!R$21,Annual!$A$1:$Y$1,0))</f>
        <v>56.2</v>
      </c>
      <c r="S24" s="278">
        <f>INDEX(Annual!$A:$Y,MATCH($O24,Annual!$A:$A,0),MATCH(Value!S$21,Annual!$A$1:$Y$1,0))</f>
        <v>80.145939984336394</v>
      </c>
      <c r="T24" s="278">
        <f>INDEX(Annual!$A:$Y,MATCH($O24,Annual!$A:$A,0),MATCH(Value!T$21,Annual!$A$1:$Y$1,0))</f>
        <v>93.116026859441007</v>
      </c>
      <c r="U24" s="278">
        <f>INDEX(Annual!$A:$Y,MATCH($O24,Annual!$A:$A,0),MATCH(Value!U$21,Annual!$A$1:$Y$1,0))</f>
        <v>106.21390069569668</v>
      </c>
      <c r="V24" s="2"/>
      <c r="W24" s="2"/>
      <c r="X24" s="2"/>
      <c r="Y24" s="2"/>
      <c r="Z24" s="2"/>
      <c r="AA24" s="2"/>
      <c r="AB24" s="2"/>
      <c r="AC24" s="2"/>
      <c r="AD24" s="2"/>
    </row>
    <row r="25" spans="1:30" x14ac:dyDescent="0.25">
      <c r="A25" s="304"/>
      <c r="B25" s="304"/>
      <c r="C25" s="35"/>
      <c r="D25" s="35"/>
      <c r="E25" s="35"/>
      <c r="F25" s="2"/>
      <c r="G25" s="2"/>
      <c r="H25" s="2"/>
      <c r="I25" s="2" t="s">
        <v>424</v>
      </c>
      <c r="J25" s="249"/>
      <c r="K25" s="249">
        <f>K24/K23-1</f>
        <v>0</v>
      </c>
      <c r="L25" s="249">
        <f t="shared" ref="L25:N25" si="1">L24/L23-1</f>
        <v>8.3556200755556365E-2</v>
      </c>
      <c r="M25" s="249">
        <f t="shared" si="1"/>
        <v>8.1075265243303551E-2</v>
      </c>
      <c r="N25" s="249">
        <f t="shared" si="1"/>
        <v>0.1044833115457946</v>
      </c>
      <c r="O25" s="2"/>
      <c r="P25" s="2" t="s">
        <v>424</v>
      </c>
      <c r="Q25" s="249"/>
      <c r="R25" s="249">
        <f>R24/R23-1</f>
        <v>1.7194570135746767E-2</v>
      </c>
      <c r="S25" s="249">
        <f t="shared" ref="S25" si="2">S24/S23-1</f>
        <v>9.6387687884218698E-2</v>
      </c>
      <c r="T25" s="249">
        <f t="shared" ref="T25" si="3">T24/T23-1</f>
        <v>0.11249733404350093</v>
      </c>
      <c r="U25" s="249">
        <f t="shared" ref="U25" si="4">U24/U23-1</f>
        <v>0.15890780900923818</v>
      </c>
      <c r="V25" s="2"/>
      <c r="W25" s="2"/>
      <c r="X25" s="2"/>
      <c r="Y25" s="2"/>
      <c r="Z25" s="2"/>
      <c r="AA25" s="2"/>
      <c r="AB25" s="2"/>
      <c r="AC25" s="2"/>
      <c r="AD25" s="2"/>
    </row>
    <row r="26" spans="1:30" x14ac:dyDescent="0.25">
      <c r="A26" s="2"/>
      <c r="B26" s="9" t="s">
        <v>425</v>
      </c>
      <c r="C26" s="29"/>
      <c r="D26" s="29"/>
      <c r="E26" s="29"/>
      <c r="F26" s="2"/>
      <c r="G26" s="2"/>
      <c r="H26" s="2"/>
      <c r="I26" s="2"/>
      <c r="J26" s="34"/>
      <c r="K26" s="34"/>
      <c r="L26" s="29"/>
      <c r="M26" s="29"/>
      <c r="N26" s="29"/>
      <c r="O26" s="2"/>
      <c r="P26" s="2"/>
      <c r="Q26" s="34"/>
      <c r="R26" s="285">
        <f t="shared" ref="R26:T27" si="5">R23-R28</f>
        <v>-64.75</v>
      </c>
      <c r="S26" s="285">
        <f t="shared" si="5"/>
        <v>-63.3</v>
      </c>
      <c r="T26" s="285">
        <f t="shared" si="5"/>
        <v>-67</v>
      </c>
      <c r="U26" s="34"/>
      <c r="V26" s="2"/>
      <c r="W26" s="2"/>
      <c r="X26" s="2"/>
      <c r="Y26" s="2"/>
      <c r="Z26" s="2"/>
      <c r="AA26" s="2"/>
      <c r="AB26" s="2"/>
      <c r="AC26" s="2"/>
      <c r="AD26" s="2"/>
    </row>
    <row r="27" spans="1:30" x14ac:dyDescent="0.25">
      <c r="A27" s="2" t="s">
        <v>261</v>
      </c>
      <c r="B27" s="157" t="s">
        <v>426</v>
      </c>
      <c r="C27" s="278">
        <f>INDEX(Annual!$A:$Y,MATCH($A27,Annual!$A:$A,0),MATCH(C$20,Annual!$A$1:$Y$1,0))</f>
        <v>270.8</v>
      </c>
      <c r="D27" s="278">
        <f>INDEX(Annual!$A:$Y,MATCH($A27,Annual!$A:$A,0),MATCH(D$20,Annual!$A$1:$Y$1,0))</f>
        <v>270.8</v>
      </c>
      <c r="E27" s="278">
        <f>INDEX(Annual!$A:$Y,MATCH($A27,Annual!$A:$A,0),MATCH(E$20,Annual!$A$1:$Y$1,0))</f>
        <v>270.8</v>
      </c>
      <c r="F27" s="278">
        <f>INDEX(Annual!$A:$Y,MATCH($A27,Annual!$A:$A,0),MATCH(F$20,Annual!$A$1:$Y$1,0))</f>
        <v>270.8</v>
      </c>
      <c r="G27" s="278">
        <f>INDEX(Annual!$A:$Y,MATCH($A27,Annual!$A:$A,0),MATCH(G$20,Annual!$A$1:$Y$1,0))</f>
        <v>270.8</v>
      </c>
      <c r="H27" s="2"/>
      <c r="I27" s="9" t="s">
        <v>427</v>
      </c>
      <c r="J27" s="29"/>
      <c r="K27" s="29"/>
      <c r="L27" s="29"/>
      <c r="M27" s="29"/>
      <c r="N27" s="29"/>
      <c r="O27" s="2"/>
      <c r="P27" s="9" t="s">
        <v>498</v>
      </c>
      <c r="Q27" s="29"/>
      <c r="R27" s="285">
        <f t="shared" si="5"/>
        <v>-63.8</v>
      </c>
      <c r="S27" s="285">
        <f t="shared" si="5"/>
        <v>-65.287351306616927</v>
      </c>
      <c r="T27" s="285">
        <f t="shared" si="5"/>
        <v>-72.22810152890284</v>
      </c>
      <c r="U27" s="29"/>
      <c r="V27" s="2"/>
      <c r="W27" s="2"/>
      <c r="X27" s="2"/>
      <c r="Y27" s="2"/>
      <c r="Z27" s="2"/>
      <c r="AA27" s="2"/>
      <c r="AB27" s="2"/>
      <c r="AC27" s="2"/>
      <c r="AD27" s="2"/>
    </row>
    <row r="28" spans="1:30" x14ac:dyDescent="0.25">
      <c r="A28" s="2"/>
      <c r="B28" s="157" t="s">
        <v>421</v>
      </c>
      <c r="C28" s="195"/>
      <c r="D28" s="281">
        <f>K23/D27</f>
        <v>0.12924667651403249</v>
      </c>
      <c r="E28" s="281">
        <f t="shared" ref="E28:G28" si="6">L23/E27</f>
        <v>0.16654357459379615</v>
      </c>
      <c r="F28" s="281">
        <f t="shared" si="6"/>
        <v>0.19220827178729688</v>
      </c>
      <c r="G28" s="281">
        <f t="shared" si="6"/>
        <v>0.21270310192023634</v>
      </c>
      <c r="H28" s="2"/>
      <c r="I28" s="157" t="s">
        <v>421</v>
      </c>
      <c r="J28" s="195"/>
      <c r="K28" s="195"/>
      <c r="L28" s="195"/>
      <c r="M28" s="195"/>
      <c r="N28" s="195"/>
      <c r="O28" s="2"/>
      <c r="P28" s="157" t="s">
        <v>421</v>
      </c>
      <c r="Q28" s="195"/>
      <c r="R28" s="281">
        <f>'Vs cons'!E29</f>
        <v>120</v>
      </c>
      <c r="S28" s="281">
        <f>'Vs cons'!F29</f>
        <v>136.4</v>
      </c>
      <c r="T28" s="281">
        <f>'Vs cons'!G29</f>
        <v>150.69999999999999</v>
      </c>
      <c r="U28" s="281">
        <f>'Vs cons'!H29</f>
        <v>161.89999999999998</v>
      </c>
      <c r="V28" s="2"/>
      <c r="W28" s="2"/>
      <c r="X28" s="2"/>
      <c r="Y28" s="2"/>
      <c r="Z28" s="2"/>
      <c r="AA28" s="2"/>
      <c r="AB28" s="2"/>
      <c r="AC28" s="2"/>
      <c r="AD28" s="2"/>
    </row>
    <row r="29" spans="1:30" x14ac:dyDescent="0.25">
      <c r="A29" s="98" t="s">
        <v>260</v>
      </c>
      <c r="B29" s="157" t="s">
        <v>423</v>
      </c>
      <c r="C29" s="278">
        <f>INDEX(Annual!$A:$Y,MATCH($A29,Annual!$A:$A,0),MATCH(C$20,Annual!$A$1:$Y$1,0))</f>
        <v>0.10580080262677855</v>
      </c>
      <c r="D29" s="281">
        <f>INDEX(Annual!$A:$Y,MATCH($A29,Annual!$A:$A,0),MATCH(D$20,Annual!$A$1:$Y$1,0))</f>
        <v>0.12690355329949238</v>
      </c>
      <c r="E29" s="281">
        <f>INDEX(Annual!$A:$Y,MATCH($A29,Annual!$A:$A,0),MATCH(E$20,Annual!$A$1:$Y$1,0))</f>
        <v>0.17718776161738795</v>
      </c>
      <c r="F29" s="281">
        <f>INDEX(Annual!$A:$Y,MATCH($A29,Annual!$A:$A,0),MATCH(F$20,Annual!$A$1:$Y$1,0))</f>
        <v>0.20402453791121805</v>
      </c>
      <c r="G29" s="281">
        <f>INDEX(Annual!$A:$Y,MATCH($A29,Annual!$A:$A,0),MATCH(G$20,Annual!$A$1:$Y$1,0))</f>
        <v>0.23066801575430662</v>
      </c>
      <c r="H29" s="98" t="s">
        <v>146</v>
      </c>
      <c r="I29" s="157" t="s">
        <v>423</v>
      </c>
      <c r="J29" s="278">
        <f>INDEX(Annual!$A:$Y,MATCH(Value!$H29,Annual!$A:$A,0),MATCH(Value!J$21,Annual!$A$1:$Y$1,0))</f>
        <v>43.899999999999991</v>
      </c>
      <c r="K29" s="278">
        <f>INDEX(Annual!$A:$Y,MATCH(Value!$H29,Annual!$A:$A,0),MATCH(Value!K$21,Annual!$A$1:$Y$1,0))</f>
        <v>48.6</v>
      </c>
      <c r="L29" s="278">
        <f>INDEX(Annual!$A:$Y,MATCH(Value!$H29,Annual!$A:$A,0),MATCH(Value!L$21,Annual!$A$1:$Y$1,0))</f>
        <v>69.573248627057396</v>
      </c>
      <c r="M29" s="278">
        <f>INDEX(Annual!$A:$Y,MATCH(Value!$H29,Annual!$A:$A,0),MATCH(Value!M$21,Annual!$A$1:$Y$1,0))</f>
        <v>80.116339641268951</v>
      </c>
      <c r="N29" s="278">
        <f>INDEX(Annual!$A:$Y,MATCH(Value!$H29,Annual!$A:$A,0),MATCH(Value!N$21,Annual!$A$1:$Y$1,0))</f>
        <v>90.585206642854502</v>
      </c>
      <c r="O29" s="98" t="str">
        <f>Annual!A19</f>
        <v>GP-Gross Profit</v>
      </c>
      <c r="P29" s="157" t="s">
        <v>423</v>
      </c>
      <c r="Q29" s="278">
        <f>INDEX(Annual!$A:$Y,MATCH($O29,Annual!$A:$A,0),MATCH(Value!Q$21,Annual!$A$1:$Y$1,0))</f>
        <v>104.70000000000016</v>
      </c>
      <c r="R29" s="278">
        <f>INDEX(Annual!$A:$Y,MATCH($O29,Annual!$A:$A,0),MATCH(Value!R$21,Annual!$A$1:$Y$1,0))</f>
        <v>120</v>
      </c>
      <c r="S29" s="278">
        <f>INDEX(Annual!$A:$Y,MATCH($O29,Annual!$A:$A,0),MATCH(Value!S$21,Annual!$A$1:$Y$1,0))</f>
        <v>145.43329129095332</v>
      </c>
      <c r="T29" s="278">
        <f>INDEX(Annual!$A:$Y,MATCH($O29,Annual!$A:$A,0),MATCH(Value!T$21,Annual!$A$1:$Y$1,0))</f>
        <v>165.34412838834385</v>
      </c>
      <c r="U29" s="278">
        <f>INDEX(Annual!$A:$Y,MATCH($O29,Annual!$A:$A,0),MATCH(Value!U$21,Annual!$A$1:$Y$1,0))</f>
        <v>184.71041396396106</v>
      </c>
      <c r="V29" s="2"/>
      <c r="W29" s="2"/>
      <c r="X29" s="2"/>
      <c r="Y29" s="2"/>
      <c r="Z29" s="2"/>
      <c r="AA29" s="2"/>
      <c r="AB29" s="2"/>
      <c r="AC29" s="2"/>
      <c r="AD29" s="2"/>
    </row>
    <row r="30" spans="1:30" x14ac:dyDescent="0.25">
      <c r="A30" s="2"/>
      <c r="B30" s="2" t="s">
        <v>424</v>
      </c>
      <c r="C30" s="29"/>
      <c r="D30" s="249">
        <f>D29/D28-1</f>
        <v>-1.8129079042784602E-2</v>
      </c>
      <c r="E30" s="249">
        <f t="shared" ref="E30:G30" si="7">E29/E28-1</f>
        <v>6.3912324744759497E-2</v>
      </c>
      <c r="F30" s="249">
        <f t="shared" si="7"/>
        <v>6.1476366308508279E-2</v>
      </c>
      <c r="G30" s="249">
        <f t="shared" si="7"/>
        <v>8.4460046289344337E-2</v>
      </c>
      <c r="H30" s="2"/>
      <c r="I30" s="2" t="s">
        <v>424</v>
      </c>
      <c r="J30" s="29"/>
      <c r="K30" s="29"/>
      <c r="L30" s="29"/>
      <c r="M30" s="29"/>
      <c r="N30" s="29"/>
      <c r="O30" s="29"/>
      <c r="P30" s="2" t="s">
        <v>424</v>
      </c>
      <c r="Q30" s="249"/>
      <c r="R30" s="249">
        <f>R29/R28-1</f>
        <v>0</v>
      </c>
      <c r="S30" s="249">
        <f t="shared" ref="S30" si="8">S29/S28-1</f>
        <v>6.6226475740126967E-2</v>
      </c>
      <c r="T30" s="249">
        <f t="shared" ref="T30" si="9">T29/T28-1</f>
        <v>9.7174043718273762E-2</v>
      </c>
      <c r="U30" s="249">
        <f t="shared" ref="U30" si="10">U29/U28-1</f>
        <v>0.14089199483607828</v>
      </c>
      <c r="V30" s="2"/>
      <c r="W30" s="2"/>
      <c r="X30" s="2"/>
      <c r="Y30" s="2"/>
      <c r="Z30" s="2"/>
      <c r="AA30" s="2"/>
      <c r="AB30" s="2"/>
      <c r="AC30" s="2"/>
      <c r="AD30" s="2"/>
    </row>
    <row r="31" spans="1:30" x14ac:dyDescent="0.25">
      <c r="A31" s="304"/>
      <c r="B31" s="304"/>
      <c r="C31" s="29"/>
      <c r="D31" s="29"/>
      <c r="E31" s="29"/>
      <c r="F31" s="2"/>
      <c r="G31" s="2"/>
      <c r="H31" s="2"/>
      <c r="I31" s="2"/>
      <c r="J31" s="2"/>
      <c r="K31" s="2"/>
      <c r="L31" s="2"/>
      <c r="M31" s="2"/>
      <c r="N31" s="2"/>
      <c r="O31" s="2"/>
      <c r="P31" s="2"/>
      <c r="Q31" s="2"/>
      <c r="R31" s="2"/>
      <c r="S31" s="2"/>
      <c r="T31" s="2"/>
      <c r="U31" s="2"/>
      <c r="V31" s="2"/>
      <c r="W31" s="2"/>
      <c r="X31" s="2"/>
      <c r="Y31" s="2"/>
      <c r="Z31" s="2"/>
      <c r="AA31" s="2"/>
      <c r="AB31" s="2"/>
      <c r="AC31" s="2"/>
      <c r="AD31" s="2"/>
    </row>
    <row r="32" spans="1:30" x14ac:dyDescent="0.25">
      <c r="A32" s="2"/>
      <c r="B32" s="9" t="s">
        <v>428</v>
      </c>
      <c r="C32" s="29"/>
      <c r="D32" s="29"/>
      <c r="E32" s="29"/>
      <c r="F32" s="2"/>
      <c r="G32" s="2"/>
      <c r="H32" s="2"/>
      <c r="I32" s="9" t="s">
        <v>429</v>
      </c>
      <c r="J32" s="29"/>
      <c r="K32" s="29"/>
      <c r="L32" s="29"/>
      <c r="M32" s="2"/>
      <c r="N32" s="2"/>
      <c r="O32" s="2"/>
      <c r="P32" s="9" t="s">
        <v>430</v>
      </c>
      <c r="Q32" s="29"/>
      <c r="R32" s="29"/>
      <c r="S32" s="29"/>
      <c r="T32" s="2"/>
      <c r="U32" s="2"/>
      <c r="V32" s="2"/>
      <c r="W32" s="2"/>
      <c r="X32" s="2"/>
      <c r="Y32" s="2"/>
      <c r="Z32" s="2"/>
      <c r="AA32" s="2"/>
      <c r="AB32" s="2"/>
      <c r="AC32" s="2"/>
      <c r="AD32" s="2"/>
    </row>
    <row r="33" spans="1:30" x14ac:dyDescent="0.25">
      <c r="A33" s="2"/>
      <c r="B33" s="157" t="s">
        <v>421</v>
      </c>
      <c r="C33" s="195"/>
      <c r="D33" s="195"/>
      <c r="E33" s="195"/>
      <c r="F33" s="195"/>
      <c r="G33" s="195"/>
      <c r="H33" s="98"/>
      <c r="I33" s="157" t="s">
        <v>421</v>
      </c>
      <c r="J33" s="195"/>
      <c r="K33" s="195">
        <f>'Vs cons'!E34</f>
        <v>44.75</v>
      </c>
      <c r="L33" s="195">
        <f>'Vs cons'!F34</f>
        <v>60.5</v>
      </c>
      <c r="M33" s="195">
        <f>'Vs cons'!G34</f>
        <v>71.099999999999994</v>
      </c>
      <c r="N33" s="195">
        <f>'Vs cons'!H34</f>
        <v>78.949999999999989</v>
      </c>
      <c r="O33" s="98"/>
      <c r="P33" s="157" t="s">
        <v>421</v>
      </c>
      <c r="Q33" s="278" t="e">
        <f>(INDEX(Annual!$A:$Y,MATCH($O34,Annual!$A:$A,0),MATCH(Value!Q$21,Annual!$A$1:$Y$1,0))+$D$4*C27)/Q23</f>
        <v>#DIV/0!</v>
      </c>
      <c r="R33" s="278">
        <f>(INDEX(Annual!$A:$Y,MATCH($O34,Annual!$A:$A,0),MATCH(Value!R$21,Annual!$A$1:$Y$1,0))+$D$4*D27)/R23</f>
        <v>11.300995475113123</v>
      </c>
      <c r="S33" s="278">
        <f>(INDEX(Annual!$A:$Y,MATCH($O34,Annual!$A:$A,0),MATCH(Value!S$21,Annual!$A$1:$Y$1,0))+$D$4*E27)/S23</f>
        <v>8.6119089835236107</v>
      </c>
      <c r="T33" s="278">
        <f>(INDEX(Annual!$A:$Y,MATCH($O34,Annual!$A:$A,0),MATCH(Value!T$21,Annual!$A$1:$Y$1,0))+$D$4*F27)/T23</f>
        <v>7.7164296774079633</v>
      </c>
      <c r="U33" s="278">
        <f>(INDEX(Annual!$A:$Y,MATCH($O34,Annual!$A:$A,0),MATCH(Value!U$21,Annual!$A$1:$Y$1,0))+$D$4*G27)/U23</f>
        <v>7.2280181250828308</v>
      </c>
      <c r="V33" s="2"/>
      <c r="W33" s="2"/>
      <c r="X33" s="2"/>
      <c r="Y33" s="2"/>
      <c r="Z33" s="2"/>
      <c r="AA33" s="2"/>
      <c r="AB33" s="2"/>
      <c r="AC33" s="2"/>
      <c r="AD33" s="2"/>
    </row>
    <row r="34" spans="1:30" x14ac:dyDescent="0.25">
      <c r="A34" s="98" t="s">
        <v>272</v>
      </c>
      <c r="B34" s="157" t="s">
        <v>423</v>
      </c>
      <c r="C34" s="195"/>
      <c r="D34" s="195"/>
      <c r="E34" s="195"/>
      <c r="F34" s="195"/>
      <c r="G34" s="195"/>
      <c r="H34" s="98" t="s">
        <v>138</v>
      </c>
      <c r="I34" s="157" t="s">
        <v>423</v>
      </c>
      <c r="J34" s="278">
        <f>INDEX(Annual!$A:$Y,MATCH(Value!$H34,Annual!$A:$A,0),MATCH(Value!J$21,Annual!$A$1:$Y$1,0))</f>
        <v>39.999999999999993</v>
      </c>
      <c r="K34" s="278">
        <f>INDEX(Annual!$A:$Y,MATCH(Value!$H34,Annual!$A:$A,0),MATCH(Value!K$21,Annual!$A$1:$Y$1,0))</f>
        <v>45.7</v>
      </c>
      <c r="L34" s="278">
        <f>INDEX(Annual!$A:$Y,MATCH(Value!$H34,Annual!$A:$A,0),MATCH(Value!L$21,Annual!$A$1:$Y$1,0))</f>
        <v>65.87961443332216</v>
      </c>
      <c r="M34" s="278">
        <f>INDEX(Annual!$A:$Y,MATCH(Value!$H34,Annual!$A:$A,0),MATCH(Value!M$21,Annual!$A$1:$Y$1,0))</f>
        <v>77.021133061589993</v>
      </c>
      <c r="N34" s="278">
        <f>INDEX(Annual!$A:$Y,MATCH(Value!$H34,Annual!$A:$A,0),MATCH(Value!N$21,Annual!$A$1:$Y$1,0))</f>
        <v>88.406107543581555</v>
      </c>
      <c r="O34" s="98" t="s">
        <v>227</v>
      </c>
      <c r="P34" s="204" t="s">
        <v>423</v>
      </c>
      <c r="Q34" s="278">
        <f>(INDEX(Annual!$A:$Y,MATCH($O34,Annual!$A:$A,0),MATCH(Value!Q$21,Annual!$A$1:$Y$1,0))+$D$4*C27)/Q24</f>
        <v>12.989029535864979</v>
      </c>
      <c r="R34" s="278">
        <f>(INDEX(Annual!$A:$Y,MATCH($O34,Annual!$A:$A,0),MATCH(Value!R$21,Annual!$A$1:$Y$1,0))+$D$4*D27)/R24</f>
        <v>11.109964412811387</v>
      </c>
      <c r="S34" s="278">
        <f>(INDEX(Annual!$A:$Y,MATCH($O34,Annual!$A:$A,0),MATCH(Value!S$21,Annual!$A$1:$Y$1,0))+$D$4*E27)/S24</f>
        <v>7.8548027113863856</v>
      </c>
      <c r="T34" s="278">
        <f>(INDEX(Annual!$A:$Y,MATCH($O34,Annual!$A:$A,0),MATCH(Value!T$21,Annual!$A$1:$Y$1,0))+$D$4*F27)/T24</f>
        <v>6.9361331854717374</v>
      </c>
      <c r="U34" s="278">
        <f>(INDEX(Annual!$A:$Y,MATCH($O34,Annual!$A:$A,0),MATCH(Value!U$21,Annual!$A$1:$Y$1,0))+$D$4*G27)/U24</f>
        <v>6.2369224444713476</v>
      </c>
      <c r="V34" s="2"/>
      <c r="W34" s="2"/>
      <c r="X34" s="2"/>
      <c r="Y34" s="2"/>
      <c r="Z34" s="2"/>
      <c r="AA34" s="2"/>
      <c r="AB34" s="2"/>
      <c r="AC34" s="2"/>
      <c r="AD34" s="2"/>
    </row>
    <row r="35" spans="1:30" x14ac:dyDescent="0.25">
      <c r="A35" s="2"/>
      <c r="B35" s="157" t="s">
        <v>274</v>
      </c>
      <c r="C35" s="195"/>
      <c r="D35" s="195"/>
      <c r="E35" s="195"/>
      <c r="F35" s="195"/>
      <c r="G35" s="195"/>
      <c r="H35" s="2"/>
      <c r="I35" s="2" t="s">
        <v>424</v>
      </c>
      <c r="J35" s="249" t="e">
        <f>J34/J33-1</f>
        <v>#DIV/0!</v>
      </c>
      <c r="K35" s="249">
        <f>K34/K33-1</f>
        <v>2.1229050279329753E-2</v>
      </c>
      <c r="L35" s="249">
        <f t="shared" ref="L35" si="11">L34/L33-1</f>
        <v>8.8919246831771215E-2</v>
      </c>
      <c r="M35" s="249">
        <f t="shared" ref="M35" si="12">M34/M33-1</f>
        <v>8.3278946013924049E-2</v>
      </c>
      <c r="N35" s="249">
        <f t="shared" ref="N35" si="13">N34/N33-1</f>
        <v>0.11977336977304076</v>
      </c>
      <c r="O35" s="98"/>
      <c r="P35" s="2" t="s">
        <v>424</v>
      </c>
      <c r="Q35" s="29"/>
      <c r="R35" s="29"/>
      <c r="S35" s="29"/>
      <c r="T35" s="29"/>
      <c r="U35" s="29"/>
      <c r="V35" s="205"/>
      <c r="W35" s="2"/>
      <c r="X35" s="2"/>
      <c r="Y35" s="2"/>
      <c r="Z35" s="2"/>
      <c r="AA35" s="2"/>
      <c r="AB35" s="2"/>
      <c r="AC35" s="2"/>
      <c r="AD35" s="2"/>
    </row>
    <row r="36" spans="1:30" x14ac:dyDescent="0.25">
      <c r="A36" s="304"/>
      <c r="B36" s="304"/>
      <c r="C36" s="29"/>
      <c r="D36" s="29"/>
      <c r="E36" s="29"/>
      <c r="F36" s="29"/>
      <c r="G36" s="29"/>
      <c r="H36" s="2"/>
      <c r="I36" s="205"/>
      <c r="J36" s="205"/>
      <c r="K36" s="205"/>
      <c r="L36" s="205"/>
      <c r="M36" s="205"/>
      <c r="N36" s="205"/>
      <c r="O36" s="205"/>
      <c r="P36" s="205"/>
      <c r="Q36" s="206"/>
      <c r="R36" s="34"/>
      <c r="S36" s="34"/>
      <c r="T36" s="34"/>
      <c r="U36" s="34"/>
      <c r="V36" s="205"/>
      <c r="W36" s="2"/>
      <c r="X36" s="2"/>
      <c r="Y36" s="2"/>
      <c r="Z36" s="2"/>
      <c r="AA36" s="2"/>
      <c r="AB36" s="2"/>
      <c r="AC36" s="2"/>
      <c r="AD36" s="2"/>
    </row>
    <row r="37" spans="1:30" x14ac:dyDescent="0.25">
      <c r="A37" s="2"/>
      <c r="B37" s="207" t="s">
        <v>431</v>
      </c>
      <c r="C37" s="207" t="s">
        <v>421</v>
      </c>
      <c r="D37" s="207" t="s">
        <v>423</v>
      </c>
      <c r="E37" s="207" t="s">
        <v>432</v>
      </c>
      <c r="F37" s="207" t="s">
        <v>433</v>
      </c>
      <c r="G37" s="207" t="s">
        <v>432</v>
      </c>
      <c r="H37" s="2"/>
      <c r="I37" s="2"/>
      <c r="J37" s="2"/>
      <c r="K37" s="2"/>
      <c r="L37" s="29"/>
      <c r="M37" s="29"/>
      <c r="N37" s="29"/>
      <c r="O37" s="2"/>
      <c r="P37" s="205"/>
      <c r="Q37" s="206"/>
      <c r="R37" s="34"/>
      <c r="S37" s="34"/>
      <c r="T37" s="34"/>
      <c r="U37" s="34"/>
      <c r="V37" s="205"/>
      <c r="W37" s="2"/>
      <c r="X37" s="2"/>
      <c r="Y37" s="2"/>
      <c r="Z37" s="2"/>
      <c r="AA37" s="2"/>
      <c r="AB37" s="2"/>
      <c r="AC37" s="2"/>
      <c r="AD37" s="2"/>
    </row>
    <row r="38" spans="1:30" x14ac:dyDescent="0.25">
      <c r="A38" s="2"/>
      <c r="B38" s="29" t="s">
        <v>118</v>
      </c>
      <c r="C38" s="29" t="s">
        <v>269</v>
      </c>
      <c r="D38" s="208">
        <v>81</v>
      </c>
      <c r="E38" s="29" t="e">
        <v>#VALUE!</v>
      </c>
      <c r="F38" s="29"/>
      <c r="G38" s="29" t="e">
        <v>#DIV/0!</v>
      </c>
      <c r="H38" s="2"/>
      <c r="I38" s="209"/>
      <c r="J38" s="210" t="s">
        <v>420</v>
      </c>
      <c r="K38" s="210"/>
      <c r="L38" s="210" t="s">
        <v>434</v>
      </c>
      <c r="M38" s="210"/>
      <c r="N38" s="210" t="s">
        <v>435</v>
      </c>
      <c r="O38" s="211" t="s">
        <v>436</v>
      </c>
      <c r="P38" s="211" t="s">
        <v>437</v>
      </c>
      <c r="Q38" s="211" t="s">
        <v>438</v>
      </c>
      <c r="R38" s="211" t="s">
        <v>439</v>
      </c>
      <c r="S38" s="211" t="s">
        <v>440</v>
      </c>
      <c r="T38" s="17" t="s">
        <v>441</v>
      </c>
      <c r="U38" s="17" t="s">
        <v>274</v>
      </c>
      <c r="V38" s="17" t="s">
        <v>442</v>
      </c>
      <c r="W38" s="2"/>
      <c r="X38" s="2"/>
      <c r="Y38" s="2"/>
      <c r="Z38" s="2"/>
      <c r="AA38" s="2"/>
      <c r="AB38" s="2"/>
      <c r="AC38" s="2"/>
      <c r="AD38" s="2"/>
    </row>
    <row r="39" spans="1:30" x14ac:dyDescent="0.25">
      <c r="A39" s="2"/>
      <c r="B39" s="29" t="s">
        <v>443</v>
      </c>
      <c r="C39" s="29" t="e">
        <v>#VALUE!</v>
      </c>
      <c r="D39" s="208">
        <v>15</v>
      </c>
      <c r="E39" s="29" t="e">
        <v>#VALUE!</v>
      </c>
      <c r="F39" s="29"/>
      <c r="G39" s="29" t="e">
        <v>#DIV/0!</v>
      </c>
      <c r="H39" s="2"/>
      <c r="I39" s="209"/>
      <c r="J39" s="17" t="s">
        <v>444</v>
      </c>
      <c r="K39" s="17" t="s">
        <v>445</v>
      </c>
      <c r="L39" s="17" t="s">
        <v>444</v>
      </c>
      <c r="M39" s="17" t="s">
        <v>445</v>
      </c>
      <c r="N39" s="17" t="s">
        <v>446</v>
      </c>
      <c r="O39" s="212" t="s">
        <v>447</v>
      </c>
      <c r="P39" s="211" t="s">
        <v>444</v>
      </c>
      <c r="Q39" s="211" t="s">
        <v>448</v>
      </c>
      <c r="R39" s="211" t="s">
        <v>449</v>
      </c>
      <c r="S39" s="211" t="s">
        <v>449</v>
      </c>
      <c r="T39" s="17" t="s">
        <v>67</v>
      </c>
      <c r="U39" s="17" t="s">
        <v>446</v>
      </c>
      <c r="V39" s="213" t="s">
        <v>450</v>
      </c>
      <c r="W39" s="2"/>
      <c r="X39" s="2"/>
      <c r="Y39" s="2"/>
      <c r="Z39" s="2"/>
      <c r="AA39" s="2"/>
      <c r="AB39" s="2"/>
      <c r="AC39" s="2"/>
      <c r="AD39" s="2"/>
    </row>
    <row r="40" spans="1:30" x14ac:dyDescent="0.25">
      <c r="A40" s="2"/>
      <c r="B40" s="29" t="s">
        <v>138</v>
      </c>
      <c r="C40" s="29" t="s">
        <v>269</v>
      </c>
      <c r="D40" s="208">
        <v>66</v>
      </c>
      <c r="E40" s="29" t="e">
        <v>#VALUE!</v>
      </c>
      <c r="F40" s="29"/>
      <c r="G40" s="29" t="e">
        <v>#DIV/0!</v>
      </c>
      <c r="H40" s="2"/>
      <c r="I40" s="214" t="e">
        <v>#NAME?</v>
      </c>
      <c r="J40" s="188" t="e">
        <v>#NAME?</v>
      </c>
      <c r="K40" s="188" t="e">
        <v>#NAME?</v>
      </c>
      <c r="L40" s="188" t="e">
        <v>#NAME?</v>
      </c>
      <c r="M40" s="188" t="e">
        <v>#NAME?</v>
      </c>
      <c r="N40" s="188" t="e">
        <v>#NAME?</v>
      </c>
      <c r="O40" s="188" t="e">
        <v>#NAME?</v>
      </c>
      <c r="P40" s="188" t="e">
        <v>#VALUE!</v>
      </c>
      <c r="Q40" s="188" t="e">
        <v>#VALUE!</v>
      </c>
      <c r="R40" s="188" t="e">
        <v>#VALUE!</v>
      </c>
      <c r="S40" s="188" t="e">
        <v>#VALUE!</v>
      </c>
      <c r="T40" s="188" t="e">
        <v>#NAME?</v>
      </c>
      <c r="U40" s="188" t="e">
        <v>#NAME?</v>
      </c>
      <c r="V40" s="188" t="s">
        <v>393</v>
      </c>
      <c r="W40" s="2"/>
      <c r="X40" s="2"/>
      <c r="Y40" s="2"/>
      <c r="Z40" s="2"/>
      <c r="AA40" s="2"/>
      <c r="AB40" s="2"/>
      <c r="AC40" s="2"/>
      <c r="AD40" s="2"/>
    </row>
    <row r="41" spans="1:30" x14ac:dyDescent="0.25">
      <c r="A41" s="2"/>
      <c r="B41" s="29" t="s">
        <v>451</v>
      </c>
      <c r="C41" s="29" t="e">
        <v>#VALUE!</v>
      </c>
      <c r="D41" s="208">
        <v>-2</v>
      </c>
      <c r="E41" s="29" t="e">
        <v>#VALUE!</v>
      </c>
      <c r="F41" s="29"/>
      <c r="G41" s="29" t="e">
        <v>#DIV/0!</v>
      </c>
      <c r="H41" s="2"/>
      <c r="I41" s="214"/>
      <c r="J41" s="188"/>
      <c r="K41" s="188"/>
      <c r="L41" s="188"/>
      <c r="M41" s="188"/>
      <c r="N41" s="188"/>
      <c r="O41" s="188"/>
      <c r="P41" s="188"/>
      <c r="Q41" s="188"/>
      <c r="R41" s="188"/>
      <c r="S41" s="188"/>
      <c r="T41" s="188"/>
      <c r="U41" s="188"/>
      <c r="V41" s="188"/>
      <c r="W41" s="2"/>
      <c r="X41" s="2"/>
      <c r="Y41" s="2"/>
      <c r="Z41" s="2"/>
      <c r="AA41" s="2"/>
      <c r="AB41" s="2"/>
      <c r="AC41" s="2"/>
      <c r="AD41" s="2"/>
    </row>
    <row r="42" spans="1:30" x14ac:dyDescent="0.25">
      <c r="A42" s="2"/>
      <c r="B42" s="29" t="s">
        <v>146</v>
      </c>
      <c r="C42" s="29" t="s">
        <v>269</v>
      </c>
      <c r="D42" s="208">
        <v>69</v>
      </c>
      <c r="E42" s="29" t="e">
        <v>#VALUE!</v>
      </c>
      <c r="F42" s="29"/>
      <c r="G42" s="29" t="e">
        <v>#DIV/0!</v>
      </c>
      <c r="H42" s="2"/>
      <c r="I42" s="215" t="s">
        <v>452</v>
      </c>
      <c r="J42" s="188"/>
      <c r="K42" s="188"/>
      <c r="L42" s="188"/>
      <c r="M42" s="188"/>
      <c r="N42" s="188"/>
      <c r="O42" s="188"/>
      <c r="P42" s="188"/>
      <c r="Q42" s="188"/>
      <c r="R42" s="188"/>
      <c r="S42" s="188"/>
      <c r="T42" s="188"/>
      <c r="U42" s="188"/>
      <c r="V42" s="188"/>
      <c r="W42" s="2"/>
      <c r="X42" s="2"/>
      <c r="Y42" s="2"/>
      <c r="Z42" s="2"/>
      <c r="AA42" s="2"/>
      <c r="AB42" s="2"/>
      <c r="AC42" s="2"/>
      <c r="AD42" s="2"/>
    </row>
    <row r="43" spans="1:30" x14ac:dyDescent="0.25">
      <c r="A43" s="2"/>
      <c r="B43" s="29" t="s">
        <v>148</v>
      </c>
      <c r="C43" s="29" t="e">
        <v>#VALUE!</v>
      </c>
      <c r="D43" s="208">
        <v>16</v>
      </c>
      <c r="E43" s="29" t="e">
        <v>#VALUE!</v>
      </c>
      <c r="F43" s="29"/>
      <c r="G43" s="29" t="e">
        <v>#DIV/0!</v>
      </c>
      <c r="H43" s="2"/>
      <c r="I43" s="214" t="e">
        <v>#NAME?</v>
      </c>
      <c r="J43" s="188" t="e">
        <v>#NAME?</v>
      </c>
      <c r="K43" s="188" t="e">
        <v>#NAME?</v>
      </c>
      <c r="L43" s="188" t="e">
        <v>#NAME?</v>
      </c>
      <c r="M43" s="188" t="e">
        <v>#NAME?</v>
      </c>
      <c r="N43" s="188" t="e">
        <v>#NAME?</v>
      </c>
      <c r="O43" s="188" t="e">
        <v>#NAME?</v>
      </c>
      <c r="P43" s="188" t="e">
        <v>#VALUE!</v>
      </c>
      <c r="Q43" s="188" t="e">
        <v>#VALUE!</v>
      </c>
      <c r="R43" s="188" t="e">
        <v>#VALUE!</v>
      </c>
      <c r="S43" s="188" t="e">
        <v>#VALUE!</v>
      </c>
      <c r="T43" s="188" t="e">
        <v>#NAME?</v>
      </c>
      <c r="U43" s="188" t="e">
        <v>#NAME?</v>
      </c>
      <c r="V43" s="188" t="s">
        <v>453</v>
      </c>
      <c r="W43" s="2"/>
      <c r="X43" s="2"/>
      <c r="Y43" s="2"/>
      <c r="Z43" s="2"/>
      <c r="AA43" s="2"/>
      <c r="AB43" s="2"/>
      <c r="AC43" s="2"/>
      <c r="AD43" s="2"/>
    </row>
    <row r="44" spans="1:30" x14ac:dyDescent="0.25">
      <c r="A44" s="2"/>
      <c r="B44" s="29" t="s">
        <v>454</v>
      </c>
      <c r="C44" s="29" t="e">
        <v>#VALUE!</v>
      </c>
      <c r="D44" s="41">
        <v>0.24</v>
      </c>
      <c r="E44" s="29" t="e">
        <v>#VALUE!</v>
      </c>
      <c r="F44" s="29"/>
      <c r="G44" s="29" t="e">
        <v>#DIV/0!</v>
      </c>
      <c r="H44" s="2"/>
      <c r="I44" s="214" t="e">
        <v>#NAME?</v>
      </c>
      <c r="J44" s="188" t="e">
        <v>#NAME?</v>
      </c>
      <c r="K44" s="188" t="e">
        <v>#NAME?</v>
      </c>
      <c r="L44" s="188" t="e">
        <v>#NAME?</v>
      </c>
      <c r="M44" s="188" t="e">
        <v>#NAME?</v>
      </c>
      <c r="N44" s="188" t="e">
        <v>#NAME?</v>
      </c>
      <c r="O44" s="188" t="e">
        <v>#NAME?</v>
      </c>
      <c r="P44" s="188" t="e">
        <v>#VALUE!</v>
      </c>
      <c r="Q44" s="188" t="e">
        <v>#VALUE!</v>
      </c>
      <c r="R44" s="188" t="e">
        <v>#VALUE!</v>
      </c>
      <c r="S44" s="188" t="e">
        <v>#VALUE!</v>
      </c>
      <c r="T44" s="188" t="e">
        <v>#NAME?</v>
      </c>
      <c r="U44" s="188" t="e">
        <v>#NAME?</v>
      </c>
      <c r="V44" s="188" t="s">
        <v>455</v>
      </c>
      <c r="W44" s="34"/>
      <c r="X44" s="34"/>
      <c r="Y44" s="2"/>
      <c r="Z44" s="2"/>
      <c r="AA44" s="2"/>
      <c r="AB44" s="2"/>
      <c r="AC44" s="2"/>
      <c r="AD44" s="2"/>
    </row>
    <row r="45" spans="1:30" x14ac:dyDescent="0.25">
      <c r="A45" s="2"/>
      <c r="B45" s="29" t="s">
        <v>151</v>
      </c>
      <c r="C45" s="29" t="s">
        <v>269</v>
      </c>
      <c r="D45" s="208">
        <v>52</v>
      </c>
      <c r="E45" s="29" t="e">
        <v>#VALUE!</v>
      </c>
      <c r="F45" s="29"/>
      <c r="G45" s="29" t="e">
        <v>#DIV/0!</v>
      </c>
      <c r="H45" s="2"/>
      <c r="I45" s="214" t="e">
        <v>#NAME?</v>
      </c>
      <c r="J45" s="188" t="e">
        <v>#NAME?</v>
      </c>
      <c r="K45" s="188" t="e">
        <v>#NAME?</v>
      </c>
      <c r="L45" s="188" t="e">
        <v>#NAME?</v>
      </c>
      <c r="M45" s="188" t="e">
        <v>#NAME?</v>
      </c>
      <c r="N45" s="188" t="e">
        <v>#NAME?</v>
      </c>
      <c r="O45" s="188" t="e">
        <v>#NAME?</v>
      </c>
      <c r="P45" s="188" t="e">
        <v>#VALUE!</v>
      </c>
      <c r="Q45" s="188" t="e">
        <v>#VALUE!</v>
      </c>
      <c r="R45" s="188" t="e">
        <v>#VALUE!</v>
      </c>
      <c r="S45" s="188" t="e">
        <v>#VALUE!</v>
      </c>
      <c r="T45" s="188" t="e">
        <v>#NAME?</v>
      </c>
      <c r="U45" s="188" t="e">
        <v>#NAME?</v>
      </c>
      <c r="V45" s="188" t="s">
        <v>456</v>
      </c>
      <c r="W45" s="34"/>
      <c r="X45" s="34"/>
      <c r="Y45" s="2"/>
      <c r="Z45" s="2"/>
      <c r="AA45" s="2"/>
      <c r="AB45" s="2"/>
      <c r="AC45" s="2"/>
      <c r="AD45" s="2"/>
    </row>
    <row r="46" spans="1:30" x14ac:dyDescent="0.25">
      <c r="A46" s="304"/>
      <c r="B46" s="304"/>
      <c r="C46" s="29"/>
      <c r="D46" s="29"/>
      <c r="E46" s="29"/>
      <c r="F46" s="2"/>
      <c r="G46" s="29"/>
      <c r="H46" s="2"/>
      <c r="I46" s="214"/>
      <c r="J46" s="188"/>
      <c r="K46" s="188"/>
      <c r="L46" s="188"/>
      <c r="M46" s="188"/>
      <c r="N46" s="188"/>
      <c r="O46" s="188"/>
      <c r="P46" s="188"/>
      <c r="Q46" s="188"/>
      <c r="R46" s="188"/>
      <c r="S46" s="188"/>
      <c r="T46" s="188"/>
      <c r="U46" s="188"/>
      <c r="V46" s="188"/>
      <c r="W46" s="35"/>
      <c r="X46" s="35"/>
      <c r="Y46" s="2"/>
      <c r="Z46" s="2"/>
      <c r="AA46" s="2"/>
      <c r="AB46" s="2"/>
      <c r="AC46" s="2"/>
      <c r="AD46" s="2"/>
    </row>
    <row r="47" spans="1:30" x14ac:dyDescent="0.25">
      <c r="A47" s="2"/>
      <c r="B47" s="207" t="s">
        <v>457</v>
      </c>
      <c r="C47" s="207" t="s">
        <v>421</v>
      </c>
      <c r="D47" s="207" t="s">
        <v>423</v>
      </c>
      <c r="E47" s="207" t="s">
        <v>432</v>
      </c>
      <c r="F47" s="207" t="s">
        <v>433</v>
      </c>
      <c r="G47" s="207" t="s">
        <v>432</v>
      </c>
      <c r="H47" s="2"/>
      <c r="I47" s="196" t="s">
        <v>458</v>
      </c>
      <c r="J47" s="37" t="e">
        <v>#NAME?</v>
      </c>
      <c r="K47" s="37" t="e">
        <v>#NAME?</v>
      </c>
      <c r="L47" s="37" t="e">
        <v>#NAME?</v>
      </c>
      <c r="M47" s="37" t="e">
        <v>#NAME?</v>
      </c>
      <c r="N47" s="37" t="e">
        <v>#NAME?</v>
      </c>
      <c r="O47" s="37" t="e">
        <v>#NAME?</v>
      </c>
      <c r="P47" s="37" t="e">
        <v>#VALUE!</v>
      </c>
      <c r="Q47" s="37" t="e">
        <v>#VALUE!</v>
      </c>
      <c r="R47" s="37" t="e">
        <v>#VALUE!</v>
      </c>
      <c r="S47" s="37" t="e">
        <v>#VALUE!</v>
      </c>
      <c r="T47" s="37" t="e">
        <v>#NAME?</v>
      </c>
      <c r="U47" s="37" t="e">
        <v>#NAME?</v>
      </c>
      <c r="V47" s="37"/>
      <c r="W47" s="44"/>
      <c r="X47" s="44"/>
      <c r="Y47" s="2"/>
      <c r="Z47" s="2"/>
      <c r="AA47" s="2"/>
      <c r="AB47" s="2"/>
      <c r="AC47" s="2"/>
      <c r="AD47" s="2"/>
    </row>
    <row r="48" spans="1:30" x14ac:dyDescent="0.25">
      <c r="A48" s="2"/>
      <c r="B48" s="29" t="s">
        <v>118</v>
      </c>
      <c r="C48" s="29" t="s">
        <v>269</v>
      </c>
      <c r="D48" s="208">
        <v>97</v>
      </c>
      <c r="E48" s="29" t="e">
        <v>#VALUE!</v>
      </c>
      <c r="F48" s="29"/>
      <c r="G48" s="29" t="e">
        <v>#DIV/0!</v>
      </c>
      <c r="H48" s="2"/>
      <c r="I48" s="196"/>
      <c r="J48" s="37"/>
      <c r="K48" s="37"/>
      <c r="L48" s="37"/>
      <c r="M48" s="37"/>
      <c r="N48" s="37"/>
      <c r="O48" s="37"/>
      <c r="P48" s="37"/>
      <c r="Q48" s="37"/>
      <c r="R48" s="37"/>
      <c r="S48" s="37"/>
      <c r="T48" s="37"/>
      <c r="U48" s="37"/>
      <c r="V48" s="37"/>
      <c r="W48" s="34"/>
      <c r="X48" s="34"/>
      <c r="Y48" s="2"/>
      <c r="Z48" s="2"/>
      <c r="AA48" s="2"/>
      <c r="AB48" s="2"/>
      <c r="AC48" s="2"/>
      <c r="AD48" s="2"/>
    </row>
    <row r="49" spans="1:30" x14ac:dyDescent="0.25">
      <c r="A49" s="2"/>
      <c r="B49" s="29" t="s">
        <v>443</v>
      </c>
      <c r="C49" s="29" t="e">
        <v>#VALUE!</v>
      </c>
      <c r="D49" s="208">
        <v>17</v>
      </c>
      <c r="E49" s="29" t="e">
        <v>#VALUE!</v>
      </c>
      <c r="F49" s="29"/>
      <c r="G49" s="29" t="e">
        <v>#DIV/0!</v>
      </c>
      <c r="H49" s="2"/>
      <c r="I49" s="215" t="s">
        <v>459</v>
      </c>
      <c r="J49" s="188"/>
      <c r="K49" s="188"/>
      <c r="L49" s="188"/>
      <c r="M49" s="188"/>
      <c r="N49" s="188"/>
      <c r="O49" s="188"/>
      <c r="P49" s="188"/>
      <c r="Q49" s="188"/>
      <c r="R49" s="188"/>
      <c r="S49" s="188"/>
      <c r="T49" s="188"/>
      <c r="U49" s="188"/>
      <c r="V49" s="188"/>
      <c r="W49" s="2"/>
      <c r="X49" s="2"/>
      <c r="Y49" s="2"/>
      <c r="Z49" s="2"/>
      <c r="AA49" s="2"/>
      <c r="AB49" s="2"/>
      <c r="AC49" s="2"/>
      <c r="AD49" s="2"/>
    </row>
    <row r="50" spans="1:30" x14ac:dyDescent="0.25">
      <c r="A50" s="2"/>
      <c r="B50" s="29" t="s">
        <v>138</v>
      </c>
      <c r="C50" s="29" t="s">
        <v>269</v>
      </c>
      <c r="D50" s="208">
        <v>80</v>
      </c>
      <c r="E50" s="29" t="e">
        <v>#VALUE!</v>
      </c>
      <c r="F50" s="29"/>
      <c r="G50" s="29" t="e">
        <v>#DIV/0!</v>
      </c>
      <c r="H50" s="2"/>
      <c r="I50" s="214" t="e">
        <v>#NAME?</v>
      </c>
      <c r="J50" s="188" t="e">
        <v>#NAME?</v>
      </c>
      <c r="K50" s="188" t="e">
        <v>#NAME?</v>
      </c>
      <c r="L50" s="188" t="e">
        <v>#NAME?</v>
      </c>
      <c r="M50" s="188" t="e">
        <v>#NAME?</v>
      </c>
      <c r="N50" s="188" t="e">
        <v>#NAME?</v>
      </c>
      <c r="O50" s="188" t="e">
        <v>#NAME?</v>
      </c>
      <c r="P50" s="188" t="e">
        <v>#VALUE!</v>
      </c>
      <c r="Q50" s="188" t="e">
        <v>#VALUE!</v>
      </c>
      <c r="R50" s="188" t="e">
        <v>#VALUE!</v>
      </c>
      <c r="S50" s="188" t="e">
        <v>#VALUE!</v>
      </c>
      <c r="T50" s="188" t="e">
        <v>#NAME?</v>
      </c>
      <c r="U50" s="188" t="e">
        <v>#NAME?</v>
      </c>
      <c r="V50" s="188" t="s">
        <v>460</v>
      </c>
      <c r="W50" s="2"/>
      <c r="X50" s="2"/>
      <c r="Y50" s="2"/>
      <c r="Z50" s="2"/>
      <c r="AA50" s="2"/>
      <c r="AB50" s="2"/>
      <c r="AC50" s="2"/>
      <c r="AD50" s="2"/>
    </row>
    <row r="51" spans="1:30" x14ac:dyDescent="0.25">
      <c r="A51" s="2"/>
      <c r="B51" s="29" t="s">
        <v>451</v>
      </c>
      <c r="C51" s="29" t="e">
        <v>#VALUE!</v>
      </c>
      <c r="D51" s="29" t="e">
        <v>#VALUE!</v>
      </c>
      <c r="E51" s="29" t="e">
        <v>#VALUE!</v>
      </c>
      <c r="F51" s="29"/>
      <c r="G51" s="29" t="e">
        <v>#VALUE!</v>
      </c>
      <c r="H51" s="2"/>
      <c r="I51" s="214" t="e">
        <v>#NAME?</v>
      </c>
      <c r="J51" s="188" t="e">
        <v>#NAME?</v>
      </c>
      <c r="K51" s="188" t="e">
        <v>#NAME?</v>
      </c>
      <c r="L51" s="188" t="e">
        <v>#NAME?</v>
      </c>
      <c r="M51" s="188" t="e">
        <v>#NAME?</v>
      </c>
      <c r="N51" s="188" t="e">
        <v>#NAME?</v>
      </c>
      <c r="O51" s="188" t="e">
        <v>#NAME?</v>
      </c>
      <c r="P51" s="188" t="e">
        <v>#VALUE!</v>
      </c>
      <c r="Q51" s="188" t="e">
        <v>#VALUE!</v>
      </c>
      <c r="R51" s="188" t="e">
        <v>#VALUE!</v>
      </c>
      <c r="S51" s="188" t="e">
        <v>#VALUE!</v>
      </c>
      <c r="T51" s="188" t="e">
        <v>#NAME?</v>
      </c>
      <c r="U51" s="188" t="e">
        <v>#NAME?</v>
      </c>
      <c r="V51" s="188" t="s">
        <v>461</v>
      </c>
      <c r="W51" s="2"/>
      <c r="X51" s="2"/>
      <c r="Y51" s="2"/>
      <c r="Z51" s="2"/>
      <c r="AA51" s="2"/>
      <c r="AB51" s="2"/>
      <c r="AC51" s="2"/>
      <c r="AD51" s="2"/>
    </row>
    <row r="52" spans="1:30" x14ac:dyDescent="0.25">
      <c r="A52" s="2"/>
      <c r="B52" s="29" t="s">
        <v>146</v>
      </c>
      <c r="C52" s="29" t="s">
        <v>269</v>
      </c>
      <c r="D52" s="29" t="e">
        <v>#VALUE!</v>
      </c>
      <c r="E52" s="29" t="e">
        <v>#VALUE!</v>
      </c>
      <c r="F52" s="29"/>
      <c r="G52" s="29" t="e">
        <v>#VALUE!</v>
      </c>
      <c r="H52" s="2"/>
      <c r="I52" s="214" t="e">
        <v>#NAME?</v>
      </c>
      <c r="J52" s="188" t="e">
        <v>#NAME?</v>
      </c>
      <c r="K52" s="188" t="e">
        <v>#NAME?</v>
      </c>
      <c r="L52" s="188" t="e">
        <v>#NAME?</v>
      </c>
      <c r="M52" s="188" t="e">
        <v>#NAME?</v>
      </c>
      <c r="N52" s="188" t="e">
        <v>#NAME?</v>
      </c>
      <c r="O52" s="188" t="e">
        <v>#NAME?</v>
      </c>
      <c r="P52" s="188" t="e">
        <v>#VALUE!</v>
      </c>
      <c r="Q52" s="188" t="e">
        <v>#VALUE!</v>
      </c>
      <c r="R52" s="188" t="e">
        <v>#VALUE!</v>
      </c>
      <c r="S52" s="188" t="e">
        <v>#VALUE!</v>
      </c>
      <c r="T52" s="188" t="e">
        <v>#NAME?</v>
      </c>
      <c r="U52" s="188" t="e">
        <v>#NAME?</v>
      </c>
      <c r="V52" s="188" t="s">
        <v>462</v>
      </c>
      <c r="W52" s="2"/>
      <c r="X52" s="2"/>
      <c r="Y52" s="2"/>
      <c r="Z52" s="2"/>
      <c r="AA52" s="2"/>
      <c r="AB52" s="2"/>
      <c r="AC52" s="2"/>
      <c r="AD52" s="2"/>
    </row>
    <row r="53" spans="1:30" x14ac:dyDescent="0.25">
      <c r="A53" s="2"/>
      <c r="B53" s="29" t="s">
        <v>148</v>
      </c>
      <c r="C53" s="29" t="e">
        <v>#VALUE!</v>
      </c>
      <c r="D53" s="29" t="e">
        <v>#VALUE!</v>
      </c>
      <c r="E53" s="29" t="e">
        <v>#VALUE!</v>
      </c>
      <c r="F53" s="29"/>
      <c r="G53" s="29" t="e">
        <v>#VALUE!</v>
      </c>
      <c r="H53" s="2"/>
      <c r="I53" s="214" t="e">
        <v>#NAME?</v>
      </c>
      <c r="J53" s="188" t="e">
        <v>#NAME?</v>
      </c>
      <c r="K53" s="188" t="e">
        <v>#NAME?</v>
      </c>
      <c r="L53" s="188" t="e">
        <v>#NAME?</v>
      </c>
      <c r="M53" s="188" t="e">
        <v>#NAME?</v>
      </c>
      <c r="N53" s="188" t="e">
        <v>#NAME?</v>
      </c>
      <c r="O53" s="188" t="e">
        <v>#NAME?</v>
      </c>
      <c r="P53" s="188" t="e">
        <v>#VALUE!</v>
      </c>
      <c r="Q53" s="188" t="e">
        <v>#VALUE!</v>
      </c>
      <c r="R53" s="188" t="e">
        <v>#VALUE!</v>
      </c>
      <c r="S53" s="188" t="e">
        <v>#VALUE!</v>
      </c>
      <c r="T53" s="188" t="e">
        <v>#NAME?</v>
      </c>
      <c r="U53" s="188" t="e">
        <v>#NAME?</v>
      </c>
      <c r="V53" s="188" t="s">
        <v>463</v>
      </c>
      <c r="W53" s="2"/>
      <c r="X53" s="2"/>
      <c r="Y53" s="2"/>
      <c r="Z53" s="2"/>
      <c r="AA53" s="2"/>
      <c r="AB53" s="2"/>
      <c r="AC53" s="2"/>
      <c r="AD53" s="2"/>
    </row>
    <row r="54" spans="1:30" x14ac:dyDescent="0.25">
      <c r="A54" s="2"/>
      <c r="B54" s="29" t="s">
        <v>454</v>
      </c>
      <c r="C54" s="29" t="e">
        <v>#VALUE!</v>
      </c>
      <c r="D54" s="29" t="e">
        <v>#VALUE!</v>
      </c>
      <c r="E54" s="29" t="e">
        <v>#VALUE!</v>
      </c>
      <c r="F54" s="29"/>
      <c r="G54" s="29" t="e">
        <v>#VALUE!</v>
      </c>
      <c r="H54" s="2"/>
      <c r="I54" s="214" t="e">
        <v>#NAME?</v>
      </c>
      <c r="J54" s="188" t="e">
        <v>#NAME?</v>
      </c>
      <c r="K54" s="188" t="e">
        <v>#NAME?</v>
      </c>
      <c r="L54" s="188" t="e">
        <v>#NAME?</v>
      </c>
      <c r="M54" s="188" t="e">
        <v>#NAME?</v>
      </c>
      <c r="N54" s="188" t="e">
        <v>#NAME?</v>
      </c>
      <c r="O54" s="188" t="e">
        <v>#NAME?</v>
      </c>
      <c r="P54" s="188" t="e">
        <v>#VALUE!</v>
      </c>
      <c r="Q54" s="188" t="e">
        <v>#VALUE!</v>
      </c>
      <c r="R54" s="188" t="e">
        <v>#VALUE!</v>
      </c>
      <c r="S54" s="188" t="e">
        <v>#VALUE!</v>
      </c>
      <c r="T54" s="188" t="e">
        <v>#NAME?</v>
      </c>
      <c r="U54" s="188" t="e">
        <v>#NAME?</v>
      </c>
      <c r="V54" s="188" t="s">
        <v>464</v>
      </c>
      <c r="W54" s="2"/>
      <c r="X54" s="2"/>
      <c r="Y54" s="2"/>
      <c r="Z54" s="2"/>
      <c r="AA54" s="2"/>
      <c r="AB54" s="2"/>
      <c r="AC54" s="2"/>
      <c r="AD54" s="2"/>
    </row>
    <row r="55" spans="1:30" x14ac:dyDescent="0.25">
      <c r="A55" s="2"/>
      <c r="B55" s="29" t="s">
        <v>151</v>
      </c>
      <c r="C55" s="29" t="s">
        <v>269</v>
      </c>
      <c r="D55" s="29" t="e">
        <v>#VALUE!</v>
      </c>
      <c r="E55" s="29" t="e">
        <v>#VALUE!</v>
      </c>
      <c r="F55" s="29"/>
      <c r="G55" s="29" t="e">
        <v>#VALUE!</v>
      </c>
      <c r="H55" s="2"/>
      <c r="I55" s="214" t="e">
        <v>#NAME?</v>
      </c>
      <c r="J55" s="188" t="e">
        <v>#NAME?</v>
      </c>
      <c r="K55" s="188" t="e">
        <v>#NAME?</v>
      </c>
      <c r="L55" s="188" t="e">
        <v>#NAME?</v>
      </c>
      <c r="M55" s="188" t="e">
        <v>#NAME?</v>
      </c>
      <c r="N55" s="188" t="e">
        <v>#NAME?</v>
      </c>
      <c r="O55" s="188" t="e">
        <v>#NAME?</v>
      </c>
      <c r="P55" s="188" t="e">
        <v>#VALUE!</v>
      </c>
      <c r="Q55" s="188" t="e">
        <v>#VALUE!</v>
      </c>
      <c r="R55" s="188" t="e">
        <v>#VALUE!</v>
      </c>
      <c r="S55" s="188" t="e">
        <v>#VALUE!</v>
      </c>
      <c r="T55" s="188" t="e">
        <v>#NAME?</v>
      </c>
      <c r="U55" s="188" t="e">
        <v>#NAME?</v>
      </c>
      <c r="V55" s="188" t="s">
        <v>465</v>
      </c>
      <c r="W55" s="2"/>
      <c r="X55" s="2"/>
      <c r="Y55" s="2"/>
      <c r="Z55" s="2"/>
      <c r="AA55" s="2"/>
      <c r="AB55" s="2"/>
      <c r="AC55" s="2"/>
      <c r="AD55" s="2"/>
    </row>
    <row r="56" spans="1:30" x14ac:dyDescent="0.25">
      <c r="A56" s="304"/>
      <c r="B56" s="304"/>
      <c r="C56" s="29"/>
      <c r="D56" s="29"/>
      <c r="E56" s="29"/>
      <c r="F56" s="29"/>
      <c r="G56" s="29"/>
      <c r="H56" s="2"/>
      <c r="I56" s="214" t="e">
        <v>#NAME?</v>
      </c>
      <c r="J56" s="188" t="e">
        <v>#NAME?</v>
      </c>
      <c r="K56" s="188" t="e">
        <v>#NAME?</v>
      </c>
      <c r="L56" s="188" t="e">
        <v>#NAME?</v>
      </c>
      <c r="M56" s="188" t="e">
        <v>#NAME?</v>
      </c>
      <c r="N56" s="188" t="e">
        <v>#NAME?</v>
      </c>
      <c r="O56" s="188" t="e">
        <v>#NAME?</v>
      </c>
      <c r="P56" s="188" t="e">
        <v>#VALUE!</v>
      </c>
      <c r="Q56" s="188" t="e">
        <v>#VALUE!</v>
      </c>
      <c r="R56" s="188" t="e">
        <v>#VALUE!</v>
      </c>
      <c r="S56" s="188" t="e">
        <v>#VALUE!</v>
      </c>
      <c r="T56" s="188" t="e">
        <v>#NAME?</v>
      </c>
      <c r="U56" s="188" t="e">
        <v>#NAME?</v>
      </c>
      <c r="V56" s="188" t="s">
        <v>466</v>
      </c>
      <c r="W56" s="2"/>
      <c r="X56" s="2"/>
      <c r="Y56" s="2"/>
      <c r="Z56" s="2"/>
      <c r="AA56" s="2"/>
      <c r="AB56" s="2"/>
      <c r="AC56" s="2"/>
      <c r="AD56" s="2"/>
    </row>
    <row r="57" spans="1:30" x14ac:dyDescent="0.25">
      <c r="A57" s="2"/>
      <c r="B57" s="207" t="s">
        <v>467</v>
      </c>
      <c r="C57" s="207" t="s">
        <v>421</v>
      </c>
      <c r="D57" s="207" t="s">
        <v>423</v>
      </c>
      <c r="E57" s="207" t="s">
        <v>432</v>
      </c>
      <c r="F57" s="207" t="s">
        <v>433</v>
      </c>
      <c r="G57" s="207" t="s">
        <v>432</v>
      </c>
      <c r="H57" s="2"/>
      <c r="I57" s="214" t="e">
        <v>#NAME?</v>
      </c>
      <c r="J57" s="188" t="e">
        <v>#NAME?</v>
      </c>
      <c r="K57" s="188" t="e">
        <v>#NAME?</v>
      </c>
      <c r="L57" s="188" t="e">
        <v>#NAME?</v>
      </c>
      <c r="M57" s="188" t="e">
        <v>#NAME?</v>
      </c>
      <c r="N57" s="188" t="e">
        <v>#NAME?</v>
      </c>
      <c r="O57" s="188" t="e">
        <v>#NAME?</v>
      </c>
      <c r="P57" s="188" t="e">
        <v>#VALUE!</v>
      </c>
      <c r="Q57" s="188" t="e">
        <v>#VALUE!</v>
      </c>
      <c r="R57" s="188" t="e">
        <v>#VALUE!</v>
      </c>
      <c r="S57" s="188" t="e">
        <v>#VALUE!</v>
      </c>
      <c r="T57" s="188" t="e">
        <v>#NAME?</v>
      </c>
      <c r="U57" s="188" t="e">
        <v>#NAME?</v>
      </c>
      <c r="V57" s="188" t="s">
        <v>468</v>
      </c>
      <c r="W57" s="2"/>
      <c r="X57" s="2"/>
      <c r="Y57" s="2"/>
      <c r="Z57" s="2"/>
      <c r="AA57" s="2"/>
      <c r="AB57" s="2"/>
      <c r="AC57" s="2"/>
      <c r="AD57" s="2"/>
    </row>
    <row r="58" spans="1:30" x14ac:dyDescent="0.25">
      <c r="A58" s="2"/>
      <c r="B58" s="29" t="s">
        <v>118</v>
      </c>
      <c r="C58" s="29" t="s">
        <v>269</v>
      </c>
      <c r="D58" s="208">
        <v>116</v>
      </c>
      <c r="E58" s="29" t="e">
        <v>#VALUE!</v>
      </c>
      <c r="F58" s="29"/>
      <c r="G58" s="29" t="e">
        <v>#DIV/0!</v>
      </c>
      <c r="H58" s="2"/>
      <c r="I58" s="214" t="e">
        <v>#NAME?</v>
      </c>
      <c r="J58" s="188" t="e">
        <v>#NAME?</v>
      </c>
      <c r="K58" s="188" t="e">
        <v>#NAME?</v>
      </c>
      <c r="L58" s="188" t="e">
        <v>#NAME?</v>
      </c>
      <c r="M58" s="188" t="e">
        <v>#NAME?</v>
      </c>
      <c r="N58" s="188" t="e">
        <v>#NAME?</v>
      </c>
      <c r="O58" s="188" t="e">
        <v>#NAME?</v>
      </c>
      <c r="P58" s="188" t="e">
        <v>#VALUE!</v>
      </c>
      <c r="Q58" s="188" t="e">
        <v>#VALUE!</v>
      </c>
      <c r="R58" s="188" t="e">
        <v>#VALUE!</v>
      </c>
      <c r="S58" s="188" t="e">
        <v>#VALUE!</v>
      </c>
      <c r="T58" s="188" t="e">
        <v>#NAME?</v>
      </c>
      <c r="U58" s="188" t="e">
        <v>#NAME?</v>
      </c>
      <c r="V58" s="188" t="s">
        <v>469</v>
      </c>
      <c r="W58" s="2"/>
      <c r="X58" s="2"/>
      <c r="Y58" s="2"/>
      <c r="Z58" s="2"/>
      <c r="AA58" s="2"/>
      <c r="AB58" s="2"/>
      <c r="AC58" s="2"/>
      <c r="AD58" s="2"/>
    </row>
    <row r="59" spans="1:30" x14ac:dyDescent="0.25">
      <c r="A59" s="2"/>
      <c r="B59" s="29" t="s">
        <v>443</v>
      </c>
      <c r="C59" s="29" t="e">
        <v>#VALUE!</v>
      </c>
      <c r="D59" s="208">
        <v>20</v>
      </c>
      <c r="E59" s="29" t="e">
        <v>#VALUE!</v>
      </c>
      <c r="F59" s="29"/>
      <c r="G59" s="29" t="e">
        <v>#DIV/0!</v>
      </c>
      <c r="H59" s="2"/>
      <c r="I59" s="214" t="e">
        <v>#NAME?</v>
      </c>
      <c r="J59" s="188" t="e">
        <v>#NAME?</v>
      </c>
      <c r="K59" s="188" t="e">
        <v>#NAME?</v>
      </c>
      <c r="L59" s="188" t="e">
        <v>#NAME?</v>
      </c>
      <c r="M59" s="188" t="e">
        <v>#NAME?</v>
      </c>
      <c r="N59" s="188" t="e">
        <v>#NAME?</v>
      </c>
      <c r="O59" s="188" t="e">
        <v>#NAME?</v>
      </c>
      <c r="P59" s="188" t="e">
        <v>#VALUE!</v>
      </c>
      <c r="Q59" s="188" t="e">
        <v>#VALUE!</v>
      </c>
      <c r="R59" s="188" t="e">
        <v>#VALUE!</v>
      </c>
      <c r="S59" s="188" t="e">
        <v>#VALUE!</v>
      </c>
      <c r="T59" s="188" t="e">
        <v>#NAME?</v>
      </c>
      <c r="U59" s="188" t="e">
        <v>#NAME?</v>
      </c>
      <c r="V59" s="188" t="s">
        <v>470</v>
      </c>
      <c r="W59" s="2"/>
      <c r="X59" s="2"/>
      <c r="Y59" s="2"/>
      <c r="Z59" s="2"/>
      <c r="AA59" s="2"/>
      <c r="AB59" s="2"/>
      <c r="AC59" s="2"/>
      <c r="AD59" s="2"/>
    </row>
    <row r="60" spans="1:30" x14ac:dyDescent="0.25">
      <c r="A60" s="2"/>
      <c r="B60" s="29" t="s">
        <v>138</v>
      </c>
      <c r="C60" s="29" t="s">
        <v>269</v>
      </c>
      <c r="D60" s="208">
        <v>97</v>
      </c>
      <c r="E60" s="29" t="e">
        <v>#VALUE!</v>
      </c>
      <c r="F60" s="29"/>
      <c r="G60" s="29" t="e">
        <v>#DIV/0!</v>
      </c>
      <c r="H60" s="2"/>
      <c r="I60" s="214" t="e">
        <v>#NAME?</v>
      </c>
      <c r="J60" s="188" t="e">
        <v>#NAME?</v>
      </c>
      <c r="K60" s="188" t="e">
        <v>#NAME?</v>
      </c>
      <c r="L60" s="188" t="e">
        <v>#NAME?</v>
      </c>
      <c r="M60" s="188" t="e">
        <v>#NAME?</v>
      </c>
      <c r="N60" s="188" t="e">
        <v>#NAME?</v>
      </c>
      <c r="O60" s="188" t="e">
        <v>#NAME?</v>
      </c>
      <c r="P60" s="188" t="e">
        <v>#VALUE!</v>
      </c>
      <c r="Q60" s="188" t="e">
        <v>#VALUE!</v>
      </c>
      <c r="R60" s="188" t="e">
        <v>#VALUE!</v>
      </c>
      <c r="S60" s="188" t="e">
        <v>#VALUE!</v>
      </c>
      <c r="T60" s="188" t="e">
        <v>#NAME?</v>
      </c>
      <c r="U60" s="188" t="e">
        <v>#NAME?</v>
      </c>
      <c r="V60" s="188" t="s">
        <v>471</v>
      </c>
      <c r="W60" s="2"/>
      <c r="X60" s="2"/>
      <c r="Y60" s="2"/>
      <c r="Z60" s="2"/>
      <c r="AA60" s="2"/>
      <c r="AB60" s="2"/>
      <c r="AC60" s="2"/>
      <c r="AD60" s="2"/>
    </row>
    <row r="61" spans="1:30" x14ac:dyDescent="0.25">
      <c r="A61" s="2"/>
      <c r="B61" s="29" t="s">
        <v>451</v>
      </c>
      <c r="C61" s="29" t="e">
        <v>#VALUE!</v>
      </c>
      <c r="D61" s="29" t="e">
        <v>#VALUE!</v>
      </c>
      <c r="E61" s="29" t="e">
        <v>#VALUE!</v>
      </c>
      <c r="F61" s="29"/>
      <c r="G61" s="29" t="e">
        <v>#VALUE!</v>
      </c>
      <c r="H61" s="2"/>
      <c r="I61" s="196" t="s">
        <v>458</v>
      </c>
      <c r="J61" s="37" t="e">
        <v>#NAME?</v>
      </c>
      <c r="K61" s="37" t="e">
        <v>#NAME?</v>
      </c>
      <c r="L61" s="37" t="e">
        <v>#NAME?</v>
      </c>
      <c r="M61" s="37" t="e">
        <v>#NAME?</v>
      </c>
      <c r="N61" s="37" t="e">
        <v>#NAME?</v>
      </c>
      <c r="O61" s="37" t="e">
        <v>#NAME?</v>
      </c>
      <c r="P61" s="37" t="e">
        <v>#VALUE!</v>
      </c>
      <c r="Q61" s="37" t="e">
        <v>#VALUE!</v>
      </c>
      <c r="R61" s="37" t="e">
        <v>#VALUE!</v>
      </c>
      <c r="S61" s="37" t="e">
        <v>#VALUE!</v>
      </c>
      <c r="T61" s="37" t="e">
        <v>#NAME?</v>
      </c>
      <c r="U61" s="37"/>
      <c r="V61" s="37"/>
      <c r="W61" s="2"/>
      <c r="X61" s="2"/>
      <c r="Y61" s="2"/>
      <c r="Z61" s="2"/>
      <c r="AA61" s="2"/>
      <c r="AB61" s="2"/>
      <c r="AC61" s="2"/>
      <c r="AD61" s="2"/>
    </row>
    <row r="62" spans="1:30" x14ac:dyDescent="0.25">
      <c r="A62" s="2"/>
      <c r="B62" s="29" t="s">
        <v>146</v>
      </c>
      <c r="C62" s="29" t="s">
        <v>269</v>
      </c>
      <c r="D62" s="29" t="e">
        <v>#VALUE!</v>
      </c>
      <c r="E62" s="29" t="e">
        <v>#VALUE!</v>
      </c>
      <c r="F62" s="29"/>
      <c r="G62" s="29" t="e">
        <v>#VALUE!</v>
      </c>
      <c r="H62" s="2"/>
      <c r="I62" s="214"/>
      <c r="J62" s="188"/>
      <c r="K62" s="188"/>
      <c r="L62" s="188"/>
      <c r="M62" s="188"/>
      <c r="N62" s="188"/>
      <c r="O62" s="188"/>
      <c r="P62" s="188"/>
      <c r="Q62" s="188"/>
      <c r="R62" s="188"/>
      <c r="S62" s="188"/>
      <c r="T62" s="188"/>
      <c r="U62" s="188"/>
      <c r="V62" s="188"/>
      <c r="W62" s="2"/>
      <c r="X62" s="2"/>
      <c r="Y62" s="2"/>
      <c r="Z62" s="2"/>
      <c r="AA62" s="2"/>
      <c r="AB62" s="2"/>
      <c r="AC62" s="2"/>
      <c r="AD62" s="2"/>
    </row>
    <row r="63" spans="1:30" x14ac:dyDescent="0.25">
      <c r="A63" s="2"/>
      <c r="B63" s="29" t="s">
        <v>148</v>
      </c>
      <c r="C63" s="29" t="e">
        <v>#VALUE!</v>
      </c>
      <c r="D63" s="29" t="e">
        <v>#VALUE!</v>
      </c>
      <c r="E63" s="29" t="e">
        <v>#VALUE!</v>
      </c>
      <c r="F63" s="29"/>
      <c r="G63" s="29" t="e">
        <v>#VALUE!</v>
      </c>
      <c r="H63" s="2"/>
      <c r="I63" s="2"/>
      <c r="J63" s="2"/>
      <c r="K63" s="2"/>
      <c r="L63" s="2"/>
      <c r="M63" s="2"/>
      <c r="N63" s="2"/>
      <c r="O63" s="2"/>
      <c r="P63" s="2"/>
      <c r="Q63" s="34"/>
      <c r="R63" s="34"/>
      <c r="S63" s="2"/>
      <c r="T63" s="2"/>
      <c r="U63" s="2"/>
      <c r="V63" s="2"/>
      <c r="W63" s="2"/>
      <c r="X63" s="2"/>
      <c r="Y63" s="2"/>
      <c r="Z63" s="2"/>
      <c r="AA63" s="2"/>
      <c r="AB63" s="2"/>
      <c r="AC63" s="2"/>
      <c r="AD63" s="2"/>
    </row>
    <row r="64" spans="1:30" x14ac:dyDescent="0.25">
      <c r="A64" s="2"/>
      <c r="B64" s="29" t="s">
        <v>454</v>
      </c>
      <c r="C64" s="29" t="e">
        <v>#VALUE!</v>
      </c>
      <c r="D64" s="29" t="e">
        <v>#VALUE!</v>
      </c>
      <c r="E64" s="29" t="e">
        <v>#VALUE!</v>
      </c>
      <c r="F64" s="29"/>
      <c r="G64" s="29" t="e">
        <v>#VALUE!</v>
      </c>
      <c r="H64" s="2"/>
      <c r="I64" s="2"/>
      <c r="J64" s="2"/>
      <c r="K64" s="2"/>
      <c r="L64" s="2"/>
      <c r="M64" s="2"/>
      <c r="N64" s="2"/>
      <c r="O64" s="2"/>
      <c r="P64" s="22"/>
      <c r="Q64" s="22"/>
      <c r="R64" s="22"/>
      <c r="S64" s="2"/>
      <c r="T64" s="2"/>
      <c r="U64" s="2"/>
      <c r="V64" s="2"/>
      <c r="W64" s="2"/>
      <c r="X64" s="2"/>
      <c r="Y64" s="2"/>
      <c r="Z64" s="2"/>
      <c r="AA64" s="2"/>
      <c r="AB64" s="2"/>
      <c r="AC64" s="2"/>
      <c r="AD64" s="2"/>
    </row>
    <row r="65" spans="1:30" x14ac:dyDescent="0.25">
      <c r="A65" s="2"/>
      <c r="B65" s="29" t="s">
        <v>151</v>
      </c>
      <c r="C65" s="29" t="s">
        <v>269</v>
      </c>
      <c r="D65" s="29" t="e">
        <v>#VALUE!</v>
      </c>
      <c r="E65" s="29" t="e">
        <v>#VALUE!</v>
      </c>
      <c r="F65" s="29"/>
      <c r="G65" s="29" t="e">
        <v>#VALUE!</v>
      </c>
      <c r="H65" s="2"/>
      <c r="I65" s="2"/>
      <c r="J65" s="2"/>
      <c r="K65" s="2"/>
      <c r="L65" s="2"/>
      <c r="M65" s="2"/>
      <c r="N65" s="2"/>
      <c r="O65" s="2"/>
      <c r="P65" s="2"/>
      <c r="Q65" s="34"/>
      <c r="R65" s="34"/>
      <c r="S65" s="2"/>
      <c r="T65" s="2"/>
      <c r="U65" s="2"/>
      <c r="V65" s="2"/>
      <c r="W65" s="2"/>
      <c r="X65" s="2"/>
      <c r="Y65" s="2"/>
      <c r="Z65" s="2"/>
      <c r="AA65" s="2"/>
      <c r="AB65" s="2"/>
      <c r="AC65" s="2"/>
      <c r="AD65" s="2"/>
    </row>
    <row r="66" spans="1:30" x14ac:dyDescent="0.25">
      <c r="A66" s="304"/>
      <c r="B66" s="304"/>
      <c r="C66" s="29"/>
      <c r="D66" s="29"/>
      <c r="E66" s="29"/>
      <c r="F66" s="29"/>
      <c r="G66" s="29"/>
      <c r="H66" s="2"/>
      <c r="I66" s="2"/>
      <c r="J66" s="2"/>
      <c r="K66" s="2"/>
      <c r="L66" s="2"/>
      <c r="M66" s="2"/>
      <c r="N66" s="2"/>
      <c r="O66" s="2"/>
      <c r="P66" s="2"/>
      <c r="Q66" s="2"/>
      <c r="R66" s="2"/>
      <c r="S66" s="2"/>
      <c r="T66" s="2"/>
      <c r="U66" s="2"/>
      <c r="V66" s="2"/>
      <c r="W66" s="2"/>
      <c r="X66" s="2"/>
      <c r="Y66" s="2"/>
      <c r="Z66" s="2"/>
      <c r="AA66" s="2"/>
      <c r="AB66" s="2"/>
      <c r="AC66" s="2"/>
      <c r="AD66" s="2"/>
    </row>
    <row r="67" spans="1:30" x14ac:dyDescent="0.25">
      <c r="A67" s="304"/>
      <c r="B67" s="304"/>
      <c r="C67" s="29"/>
      <c r="D67" s="29"/>
      <c r="E67" s="29"/>
      <c r="F67" s="29"/>
      <c r="G67" s="29"/>
      <c r="H67" s="2"/>
      <c r="I67" s="2"/>
      <c r="J67" s="2"/>
      <c r="K67" s="2"/>
      <c r="L67" s="2"/>
      <c r="M67" s="2"/>
      <c r="N67" s="2"/>
      <c r="O67" s="2"/>
      <c r="P67" s="2"/>
      <c r="Q67" s="2"/>
      <c r="R67" s="2"/>
      <c r="S67" s="2"/>
      <c r="T67" s="2"/>
      <c r="U67" s="2"/>
      <c r="V67" s="2"/>
      <c r="W67" s="2"/>
      <c r="X67" s="2"/>
      <c r="Y67" s="2"/>
      <c r="Z67" s="2"/>
      <c r="AA67" s="2"/>
      <c r="AB67" s="2"/>
      <c r="AC67" s="2"/>
      <c r="AD67" s="2"/>
    </row>
    <row r="68" spans="1:30" x14ac:dyDescent="0.25">
      <c r="A68" s="304"/>
      <c r="B68" s="304"/>
      <c r="C68" s="35"/>
      <c r="D68" s="35"/>
      <c r="E68" s="35"/>
      <c r="F68" s="35"/>
      <c r="G68" s="35"/>
      <c r="H68" s="2"/>
      <c r="I68" s="2"/>
      <c r="J68" s="2"/>
      <c r="K68" s="2"/>
      <c r="L68" s="2"/>
      <c r="M68" s="2"/>
      <c r="N68" s="2"/>
      <c r="O68" s="2"/>
      <c r="P68" s="2"/>
      <c r="Q68" s="2"/>
      <c r="R68" s="2"/>
      <c r="S68" s="2"/>
      <c r="T68" s="2"/>
      <c r="U68" s="2"/>
      <c r="V68" s="2"/>
      <c r="W68" s="2"/>
      <c r="X68" s="2"/>
      <c r="Y68" s="2"/>
      <c r="Z68" s="2"/>
      <c r="AA68" s="2"/>
      <c r="AB68" s="2"/>
      <c r="AC68" s="2"/>
      <c r="AD68" s="2"/>
    </row>
    <row r="69" spans="1:30" x14ac:dyDescent="0.25">
      <c r="A69" s="304"/>
      <c r="B69" s="304"/>
      <c r="C69" s="29"/>
      <c r="D69" s="29"/>
      <c r="E69" s="29"/>
      <c r="F69" s="216"/>
      <c r="G69" s="35"/>
      <c r="H69" s="2"/>
      <c r="I69" s="2"/>
      <c r="J69" s="2"/>
      <c r="K69" s="2"/>
      <c r="L69" s="2"/>
      <c r="M69" s="2"/>
      <c r="N69" s="2"/>
      <c r="O69" s="2"/>
      <c r="P69" s="2"/>
      <c r="Q69" s="2"/>
      <c r="R69" s="2"/>
      <c r="S69" s="2"/>
      <c r="T69" s="2"/>
      <c r="U69" s="2"/>
      <c r="V69" s="2"/>
      <c r="W69" s="2"/>
      <c r="X69" s="2"/>
      <c r="Y69" s="2"/>
      <c r="Z69" s="2"/>
      <c r="AA69" s="2"/>
      <c r="AB69" s="2"/>
      <c r="AC69" s="2"/>
      <c r="AD69" s="2"/>
    </row>
    <row r="70" spans="1:30" x14ac:dyDescent="0.25">
      <c r="A70" s="304"/>
      <c r="B70" s="304"/>
      <c r="C70" s="35"/>
      <c r="D70" s="29"/>
      <c r="E70" s="35"/>
      <c r="F70" s="35"/>
      <c r="G70" s="217"/>
      <c r="H70" s="218"/>
      <c r="I70" s="2"/>
      <c r="J70" s="2"/>
      <c r="K70" s="2"/>
      <c r="L70" s="2"/>
      <c r="M70" s="2"/>
      <c r="N70" s="2"/>
      <c r="O70" s="2"/>
      <c r="P70" s="2"/>
      <c r="Q70" s="2"/>
      <c r="R70" s="2"/>
      <c r="S70" s="2"/>
      <c r="T70" s="2"/>
      <c r="U70" s="2"/>
      <c r="V70" s="2"/>
      <c r="W70" s="2"/>
      <c r="X70" s="2"/>
      <c r="Y70" s="2"/>
      <c r="Z70" s="2"/>
      <c r="AA70" s="2"/>
      <c r="AB70" s="2"/>
      <c r="AC70" s="2"/>
      <c r="AD70" s="2"/>
    </row>
    <row r="71" spans="1:30" x14ac:dyDescent="0.25">
      <c r="A71" s="304"/>
      <c r="B71" s="304"/>
      <c r="C71" s="35"/>
      <c r="D71" s="35"/>
      <c r="E71" s="35"/>
      <c r="F71" s="35"/>
      <c r="G71" s="35"/>
      <c r="H71" s="218"/>
      <c r="I71" s="2"/>
      <c r="J71" s="2"/>
      <c r="K71" s="2"/>
      <c r="L71" s="2"/>
      <c r="M71" s="2"/>
      <c r="N71" s="2"/>
      <c r="O71" s="2"/>
      <c r="P71" s="2"/>
      <c r="Q71" s="2"/>
      <c r="R71" s="2"/>
      <c r="S71" s="2"/>
      <c r="T71" s="2"/>
      <c r="U71" s="2"/>
      <c r="V71" s="2"/>
      <c r="W71" s="2"/>
      <c r="X71" s="2"/>
      <c r="Y71" s="2"/>
      <c r="Z71" s="2"/>
      <c r="AA71" s="2"/>
      <c r="AB71" s="2"/>
      <c r="AC71" s="2"/>
      <c r="AD71" s="2"/>
    </row>
    <row r="72" spans="1:30" x14ac:dyDescent="0.25">
      <c r="A72" s="304"/>
      <c r="B72" s="304"/>
      <c r="C72" s="35"/>
      <c r="D72" s="35"/>
      <c r="E72" s="35"/>
      <c r="F72" s="35"/>
      <c r="G72" s="35"/>
      <c r="H72" s="29"/>
      <c r="I72" s="2"/>
      <c r="J72" s="2"/>
      <c r="K72" s="2"/>
      <c r="L72" s="2"/>
      <c r="M72" s="2"/>
      <c r="N72" s="2"/>
      <c r="O72" s="2"/>
      <c r="P72" s="2"/>
      <c r="Q72" s="2"/>
      <c r="R72" s="2"/>
      <c r="S72" s="2"/>
      <c r="T72" s="2"/>
      <c r="U72" s="2"/>
      <c r="V72" s="2"/>
      <c r="W72" s="2"/>
      <c r="X72" s="2"/>
      <c r="Y72" s="2"/>
      <c r="Z72" s="2"/>
      <c r="AA72" s="2"/>
      <c r="AB72" s="2"/>
      <c r="AC72" s="2"/>
      <c r="AD72" s="2"/>
    </row>
    <row r="73" spans="1:30" x14ac:dyDescent="0.25">
      <c r="A73" s="304"/>
      <c r="B73" s="304"/>
      <c r="C73" s="35"/>
      <c r="D73" s="35"/>
      <c r="E73" s="35"/>
      <c r="F73" s="35"/>
      <c r="G73" s="35"/>
      <c r="H73" s="29"/>
      <c r="I73" s="2"/>
      <c r="J73" s="2"/>
      <c r="K73" s="2"/>
      <c r="L73" s="2"/>
      <c r="M73" s="2"/>
      <c r="N73" s="2"/>
      <c r="O73" s="2"/>
      <c r="P73" s="2"/>
      <c r="Q73" s="2"/>
      <c r="R73" s="2"/>
      <c r="S73" s="2"/>
      <c r="T73" s="2"/>
      <c r="U73" s="2"/>
      <c r="V73" s="2"/>
      <c r="W73" s="2"/>
      <c r="X73" s="2"/>
      <c r="Y73" s="2"/>
      <c r="Z73" s="2"/>
      <c r="AA73" s="2"/>
      <c r="AB73" s="2"/>
      <c r="AC73" s="2"/>
      <c r="AD73" s="2"/>
    </row>
    <row r="74" spans="1:30" x14ac:dyDescent="0.25">
      <c r="A74" s="304"/>
      <c r="B74" s="304"/>
      <c r="C74" s="35"/>
      <c r="D74" s="35"/>
      <c r="E74" s="35"/>
      <c r="F74" s="35"/>
      <c r="G74" s="35"/>
      <c r="H74" s="29"/>
      <c r="I74" s="2"/>
      <c r="J74" s="2"/>
      <c r="K74" s="2"/>
      <c r="L74" s="2"/>
      <c r="M74" s="2"/>
      <c r="N74" s="2"/>
      <c r="O74" s="2"/>
      <c r="P74" s="2"/>
      <c r="Q74" s="2"/>
      <c r="R74" s="2"/>
      <c r="S74" s="2"/>
      <c r="T74" s="2"/>
      <c r="U74" s="2"/>
      <c r="V74" s="2"/>
      <c r="W74" s="2"/>
      <c r="X74" s="2"/>
      <c r="Y74" s="2"/>
      <c r="Z74" s="2"/>
      <c r="AA74" s="2"/>
      <c r="AB74" s="2"/>
      <c r="AC74" s="2"/>
      <c r="AD74" s="2"/>
    </row>
    <row r="75" spans="1:30" x14ac:dyDescent="0.25">
      <c r="A75" s="304"/>
      <c r="B75" s="304"/>
      <c r="C75" s="35"/>
      <c r="D75" s="35"/>
      <c r="E75" s="35"/>
      <c r="F75" s="35"/>
      <c r="G75" s="35"/>
      <c r="H75" s="29"/>
      <c r="I75" s="218"/>
      <c r="J75" s="218"/>
      <c r="K75" s="218"/>
      <c r="L75" s="219"/>
      <c r="M75" s="2"/>
      <c r="N75" s="2"/>
      <c r="O75" s="2"/>
      <c r="P75" s="2"/>
      <c r="Q75" s="2"/>
      <c r="R75" s="2"/>
      <c r="S75" s="2"/>
      <c r="T75" s="2"/>
      <c r="U75" s="2"/>
      <c r="V75" s="2"/>
      <c r="W75" s="2"/>
      <c r="X75" s="2"/>
      <c r="Y75" s="2"/>
      <c r="Z75" s="2"/>
      <c r="AA75" s="2"/>
      <c r="AB75" s="2"/>
      <c r="AC75" s="2"/>
      <c r="AD75" s="2"/>
    </row>
    <row r="76" spans="1:30" x14ac:dyDescent="0.25">
      <c r="A76" s="304"/>
      <c r="B76" s="304"/>
      <c r="C76" s="35"/>
      <c r="D76" s="35"/>
      <c r="E76" s="35"/>
      <c r="F76" s="35"/>
      <c r="G76" s="35"/>
      <c r="H76" s="29"/>
      <c r="I76" s="220"/>
      <c r="J76" s="220"/>
      <c r="K76" s="220"/>
      <c r="L76" s="218"/>
      <c r="M76" s="2"/>
      <c r="N76" s="2"/>
      <c r="O76" s="2"/>
      <c r="P76" s="2"/>
      <c r="Q76" s="2"/>
      <c r="R76" s="2"/>
      <c r="S76" s="2"/>
      <c r="T76" s="2"/>
      <c r="U76" s="2"/>
      <c r="V76" s="2"/>
      <c r="W76" s="2"/>
      <c r="X76" s="2"/>
      <c r="Y76" s="2"/>
      <c r="Z76" s="2"/>
      <c r="AA76" s="2"/>
      <c r="AB76" s="2"/>
      <c r="AC76" s="2"/>
      <c r="AD76" s="2"/>
    </row>
    <row r="77" spans="1:30" x14ac:dyDescent="0.25">
      <c r="A77" s="304"/>
      <c r="B77" s="304"/>
      <c r="C77" s="35"/>
      <c r="D77" s="29"/>
      <c r="E77" s="35"/>
      <c r="F77" s="35"/>
      <c r="G77" s="35"/>
      <c r="H77" s="29"/>
      <c r="I77" s="29"/>
      <c r="J77" s="29"/>
      <c r="K77" s="29"/>
      <c r="L77" s="29"/>
      <c r="M77" s="2"/>
      <c r="N77" s="2"/>
      <c r="O77" s="2"/>
      <c r="P77" s="2"/>
      <c r="Q77" s="2"/>
      <c r="R77" s="2"/>
      <c r="S77" s="2"/>
      <c r="T77" s="2"/>
      <c r="U77" s="2"/>
      <c r="V77" s="2"/>
      <c r="W77" s="2"/>
      <c r="X77" s="2"/>
      <c r="Y77" s="2"/>
      <c r="Z77" s="2"/>
      <c r="AA77" s="2"/>
      <c r="AB77" s="2"/>
      <c r="AC77" s="2"/>
      <c r="AD77" s="2"/>
    </row>
    <row r="78" spans="1:30" x14ac:dyDescent="0.25">
      <c r="A78" s="304"/>
      <c r="B78" s="304"/>
      <c r="C78" s="35"/>
      <c r="D78" s="35"/>
      <c r="E78" s="35"/>
      <c r="F78" s="35"/>
      <c r="G78" s="35"/>
      <c r="H78" s="47"/>
      <c r="I78" s="29"/>
      <c r="J78" s="29"/>
      <c r="K78" s="29"/>
      <c r="L78" s="29"/>
      <c r="M78" s="2"/>
      <c r="N78" s="2"/>
      <c r="O78" s="2"/>
      <c r="P78" s="2"/>
      <c r="Q78" s="2"/>
      <c r="R78" s="2"/>
      <c r="S78" s="2"/>
      <c r="T78" s="2"/>
      <c r="U78" s="2"/>
      <c r="V78" s="2"/>
      <c r="W78" s="2"/>
      <c r="X78" s="2"/>
      <c r="Y78" s="2"/>
      <c r="Z78" s="2"/>
      <c r="AA78" s="2"/>
      <c r="AB78" s="2"/>
      <c r="AC78" s="2"/>
      <c r="AD78" s="2"/>
    </row>
    <row r="79" spans="1:30" x14ac:dyDescent="0.25">
      <c r="A79" s="304"/>
      <c r="B79" s="304"/>
      <c r="C79" s="35"/>
      <c r="D79" s="35"/>
      <c r="E79" s="35"/>
      <c r="F79" s="35"/>
      <c r="G79" s="35"/>
      <c r="H79" s="29"/>
      <c r="I79" s="29"/>
      <c r="J79" s="29"/>
      <c r="K79" s="29"/>
      <c r="L79" s="29"/>
      <c r="M79" s="2"/>
      <c r="N79" s="2"/>
      <c r="O79" s="2"/>
      <c r="P79" s="2"/>
      <c r="Q79" s="2"/>
      <c r="R79" s="2"/>
      <c r="S79" s="2"/>
      <c r="T79" s="2"/>
      <c r="U79" s="2"/>
      <c r="V79" s="2"/>
      <c r="W79" s="2"/>
      <c r="X79" s="2"/>
      <c r="Y79" s="2"/>
      <c r="Z79" s="2"/>
      <c r="AA79" s="2"/>
      <c r="AB79" s="2"/>
      <c r="AC79" s="2"/>
      <c r="AD79" s="2"/>
    </row>
    <row r="80" spans="1:30" x14ac:dyDescent="0.25">
      <c r="A80" s="304"/>
      <c r="B80" s="304"/>
      <c r="C80" s="35"/>
      <c r="D80" s="35"/>
      <c r="E80" s="35"/>
      <c r="F80" s="35"/>
      <c r="G80" s="35"/>
      <c r="H80" s="2"/>
      <c r="I80" s="29"/>
      <c r="J80" s="29"/>
      <c r="K80" s="29"/>
      <c r="L80" s="29"/>
      <c r="M80" s="2"/>
      <c r="N80" s="2"/>
      <c r="O80" s="2"/>
      <c r="P80" s="2"/>
      <c r="Q80" s="2"/>
      <c r="R80" s="2"/>
      <c r="S80" s="2"/>
      <c r="T80" s="2"/>
      <c r="U80" s="2"/>
      <c r="V80" s="2"/>
      <c r="W80" s="2"/>
      <c r="X80" s="2"/>
      <c r="Y80" s="2"/>
      <c r="Z80" s="2"/>
      <c r="AA80" s="2"/>
      <c r="AB80" s="2"/>
      <c r="AC80" s="2"/>
      <c r="AD80" s="2"/>
    </row>
    <row r="81" spans="1:30" x14ac:dyDescent="0.25">
      <c r="A81" s="304"/>
      <c r="B81" s="304"/>
      <c r="C81" s="35"/>
      <c r="D81" s="35"/>
      <c r="E81" s="35"/>
      <c r="F81" s="35"/>
      <c r="G81" s="35"/>
      <c r="H81" s="2"/>
      <c r="I81" s="29"/>
      <c r="J81" s="29"/>
      <c r="K81" s="29"/>
      <c r="L81" s="29"/>
      <c r="M81" s="2"/>
      <c r="N81" s="2"/>
      <c r="O81" s="2"/>
      <c r="P81" s="2"/>
      <c r="Q81" s="2"/>
      <c r="R81" s="2"/>
      <c r="S81" s="2"/>
      <c r="T81" s="2"/>
      <c r="U81" s="2"/>
      <c r="V81" s="2"/>
      <c r="W81" s="2"/>
      <c r="X81" s="2"/>
      <c r="Y81" s="2"/>
      <c r="Z81" s="2"/>
      <c r="AA81" s="2"/>
      <c r="AB81" s="2"/>
      <c r="AC81" s="2"/>
      <c r="AD81" s="2"/>
    </row>
    <row r="82" spans="1:30" x14ac:dyDescent="0.25">
      <c r="A82" s="304"/>
      <c r="B82" s="304"/>
      <c r="C82" s="29"/>
      <c r="D82" s="29"/>
      <c r="E82" s="29"/>
      <c r="F82" s="29"/>
      <c r="G82" s="29"/>
      <c r="H82" s="2"/>
      <c r="I82" s="29"/>
      <c r="J82" s="29"/>
      <c r="K82" s="29"/>
      <c r="L82" s="29"/>
      <c r="M82" s="2"/>
      <c r="N82" s="2"/>
      <c r="O82" s="2"/>
      <c r="P82" s="2"/>
      <c r="Q82" s="2"/>
      <c r="R82" s="2"/>
      <c r="S82" s="2"/>
      <c r="T82" s="2"/>
      <c r="U82" s="2"/>
      <c r="V82" s="2"/>
      <c r="W82" s="2"/>
      <c r="X82" s="2"/>
      <c r="Y82" s="2"/>
      <c r="Z82" s="2"/>
      <c r="AA82" s="2"/>
      <c r="AB82" s="2"/>
      <c r="AC82" s="2"/>
      <c r="AD82" s="2"/>
    </row>
    <row r="83" spans="1:30" x14ac:dyDescent="0.25">
      <c r="A83" s="304"/>
      <c r="B83" s="304"/>
      <c r="C83" s="35"/>
      <c r="D83" s="35"/>
      <c r="E83" s="35"/>
      <c r="F83" s="29"/>
      <c r="G83" s="29"/>
      <c r="H83" s="2"/>
      <c r="I83" s="47"/>
      <c r="J83" s="47"/>
      <c r="K83" s="47"/>
      <c r="L83" s="47"/>
      <c r="M83" s="2"/>
      <c r="N83" s="2"/>
      <c r="O83" s="2"/>
      <c r="P83" s="2"/>
      <c r="Q83" s="2"/>
      <c r="R83" s="2"/>
      <c r="S83" s="2"/>
      <c r="T83" s="2"/>
      <c r="U83" s="2"/>
      <c r="V83" s="2"/>
      <c r="W83" s="2"/>
      <c r="X83" s="2"/>
      <c r="Y83" s="2"/>
      <c r="Z83" s="2"/>
      <c r="AA83" s="2"/>
      <c r="AB83" s="2"/>
      <c r="AC83" s="2"/>
      <c r="AD83" s="2"/>
    </row>
    <row r="84" spans="1:30" x14ac:dyDescent="0.25">
      <c r="A84" s="304"/>
      <c r="B84" s="304"/>
      <c r="C84" s="35"/>
      <c r="D84" s="29"/>
      <c r="E84" s="35"/>
      <c r="F84" s="29"/>
      <c r="G84" s="29"/>
      <c r="H84" s="2"/>
      <c r="I84" s="29"/>
      <c r="J84" s="29"/>
      <c r="K84" s="29"/>
      <c r="L84" s="29"/>
      <c r="M84" s="2"/>
      <c r="N84" s="2"/>
      <c r="O84" s="2"/>
      <c r="P84" s="2"/>
      <c r="Q84" s="2"/>
      <c r="R84" s="2"/>
      <c r="S84" s="2"/>
      <c r="T84" s="2"/>
      <c r="U84" s="2"/>
      <c r="V84" s="2"/>
      <c r="W84" s="2"/>
      <c r="X84" s="2"/>
      <c r="Y84" s="2"/>
      <c r="Z84" s="2"/>
      <c r="AA84" s="2"/>
      <c r="AB84" s="2"/>
      <c r="AC84" s="2"/>
      <c r="AD84" s="2"/>
    </row>
    <row r="85" spans="1:30" x14ac:dyDescent="0.25">
      <c r="A85" s="304"/>
      <c r="B85" s="304"/>
      <c r="C85" s="35"/>
      <c r="D85" s="29"/>
      <c r="E85" s="35"/>
      <c r="F85" s="29"/>
      <c r="G85" s="29"/>
      <c r="H85" s="2"/>
      <c r="I85" s="2"/>
      <c r="J85" s="2"/>
      <c r="K85" s="2"/>
      <c r="L85" s="2"/>
      <c r="M85" s="2"/>
      <c r="N85" s="2"/>
      <c r="O85" s="2"/>
      <c r="P85" s="2"/>
      <c r="Q85" s="2"/>
      <c r="R85" s="2"/>
      <c r="S85" s="2"/>
      <c r="T85" s="2"/>
      <c r="U85" s="2"/>
      <c r="V85" s="2"/>
      <c r="W85" s="2"/>
      <c r="X85" s="2"/>
      <c r="Y85" s="2"/>
      <c r="Z85" s="2"/>
      <c r="AA85" s="2"/>
      <c r="AB85" s="2"/>
      <c r="AC85" s="2"/>
      <c r="AD85" s="2"/>
    </row>
    <row r="86" spans="1:30" x14ac:dyDescent="0.25">
      <c r="A86" s="304"/>
      <c r="B86" s="304"/>
      <c r="C86" s="35"/>
      <c r="D86" s="35"/>
      <c r="E86" s="35"/>
      <c r="F86" s="29"/>
      <c r="G86" s="29"/>
      <c r="H86" s="2"/>
      <c r="I86" s="2"/>
      <c r="J86" s="2"/>
      <c r="K86" s="2"/>
      <c r="L86" s="2"/>
      <c r="M86" s="2"/>
      <c r="N86" s="2"/>
      <c r="O86" s="2"/>
      <c r="P86" s="2"/>
      <c r="Q86" s="2"/>
      <c r="R86" s="2"/>
      <c r="S86" s="2"/>
      <c r="T86" s="2"/>
      <c r="U86" s="2"/>
      <c r="V86" s="2"/>
      <c r="W86" s="2"/>
      <c r="X86" s="2"/>
      <c r="Y86" s="2"/>
      <c r="Z86" s="2"/>
      <c r="AA86" s="2"/>
      <c r="AB86" s="2"/>
      <c r="AC86" s="2"/>
      <c r="AD86" s="2"/>
    </row>
    <row r="87" spans="1:30" x14ac:dyDescent="0.25">
      <c r="A87" s="304"/>
      <c r="B87" s="304"/>
      <c r="C87" s="35"/>
      <c r="D87" s="35"/>
      <c r="E87" s="35"/>
      <c r="F87" s="29"/>
      <c r="G87" s="29"/>
      <c r="H87" s="2"/>
      <c r="I87" s="2"/>
      <c r="J87" s="2"/>
      <c r="K87" s="2"/>
      <c r="L87" s="2"/>
      <c r="M87" s="2"/>
      <c r="N87" s="2"/>
      <c r="O87" s="2"/>
      <c r="P87" s="2"/>
      <c r="Q87" s="2"/>
      <c r="R87" s="2"/>
      <c r="S87" s="2"/>
      <c r="T87" s="2"/>
      <c r="U87" s="2"/>
      <c r="V87" s="2"/>
      <c r="W87" s="2"/>
      <c r="X87" s="2"/>
      <c r="Y87" s="2"/>
      <c r="Z87" s="2"/>
      <c r="AA87" s="2"/>
      <c r="AB87" s="2"/>
      <c r="AC87" s="2"/>
      <c r="AD87" s="2"/>
    </row>
    <row r="88" spans="1:30" x14ac:dyDescent="0.25">
      <c r="A88" s="304"/>
      <c r="B88" s="304"/>
      <c r="C88" s="35"/>
      <c r="D88" s="35"/>
      <c r="E88" s="35"/>
      <c r="F88" s="29"/>
      <c r="G88" s="29"/>
      <c r="H88" s="2"/>
      <c r="I88" s="2"/>
      <c r="J88" s="2"/>
      <c r="K88" s="2"/>
      <c r="L88" s="2"/>
      <c r="M88" s="2"/>
      <c r="N88" s="2"/>
      <c r="O88" s="2"/>
      <c r="P88" s="2"/>
      <c r="Q88" s="2"/>
      <c r="R88" s="2"/>
      <c r="S88" s="2"/>
      <c r="T88" s="2"/>
      <c r="U88" s="2"/>
      <c r="V88" s="2"/>
      <c r="W88" s="2"/>
      <c r="X88" s="2"/>
      <c r="Y88" s="2"/>
      <c r="Z88" s="2"/>
      <c r="AA88" s="2"/>
      <c r="AB88" s="2"/>
      <c r="AC88" s="2"/>
      <c r="AD88" s="2"/>
    </row>
    <row r="89" spans="1:30" x14ac:dyDescent="0.25">
      <c r="A89" s="304"/>
      <c r="B89" s="304"/>
      <c r="C89" s="35"/>
      <c r="D89" s="29"/>
      <c r="E89" s="35"/>
      <c r="F89" s="29"/>
      <c r="G89" s="29"/>
      <c r="H89" s="2"/>
      <c r="I89" s="2"/>
      <c r="J89" s="2"/>
      <c r="K89" s="2"/>
      <c r="L89" s="2"/>
      <c r="M89" s="2"/>
      <c r="N89" s="2"/>
      <c r="O89" s="2"/>
      <c r="P89" s="2"/>
      <c r="Q89" s="2"/>
      <c r="R89" s="2"/>
      <c r="S89" s="2"/>
      <c r="T89" s="2"/>
      <c r="U89" s="2"/>
      <c r="V89" s="2"/>
      <c r="W89" s="2"/>
      <c r="X89" s="2"/>
      <c r="Y89" s="2"/>
      <c r="Z89" s="2"/>
      <c r="AA89" s="2"/>
      <c r="AB89" s="2"/>
      <c r="AC89" s="2"/>
      <c r="AD89" s="2"/>
    </row>
    <row r="90" spans="1:30" x14ac:dyDescent="0.25">
      <c r="A90" s="304"/>
      <c r="B90" s="304"/>
      <c r="C90" s="35"/>
      <c r="D90" s="35"/>
      <c r="E90" s="35"/>
      <c r="F90" s="29"/>
      <c r="G90" s="29"/>
      <c r="H90" s="2"/>
      <c r="I90" s="2"/>
      <c r="J90" s="2"/>
      <c r="K90" s="2"/>
      <c r="L90" s="2"/>
      <c r="M90" s="2"/>
      <c r="N90" s="2"/>
      <c r="O90" s="2"/>
      <c r="P90" s="2"/>
      <c r="Q90" s="2"/>
      <c r="R90" s="2"/>
      <c r="S90" s="2"/>
      <c r="T90" s="2"/>
      <c r="U90" s="2"/>
      <c r="V90" s="2"/>
      <c r="W90" s="2"/>
      <c r="X90" s="2"/>
      <c r="Y90" s="2"/>
      <c r="Z90" s="2"/>
      <c r="AA90" s="2"/>
      <c r="AB90" s="2"/>
      <c r="AC90" s="2"/>
      <c r="AD90" s="2"/>
    </row>
    <row r="91" spans="1:30" x14ac:dyDescent="0.25">
      <c r="A91" s="304"/>
      <c r="B91" s="304"/>
      <c r="C91" s="35"/>
      <c r="D91" s="35"/>
      <c r="E91" s="35"/>
      <c r="F91" s="29"/>
      <c r="G91" s="29"/>
      <c r="H91" s="2"/>
      <c r="I91" s="2"/>
      <c r="J91" s="2"/>
      <c r="K91" s="2"/>
      <c r="L91" s="2"/>
      <c r="M91" s="2"/>
      <c r="N91" s="2"/>
      <c r="O91" s="2"/>
      <c r="P91" s="2"/>
      <c r="Q91" s="2"/>
      <c r="R91" s="2"/>
      <c r="S91" s="2"/>
      <c r="T91" s="2"/>
      <c r="U91" s="2"/>
      <c r="V91" s="2"/>
      <c r="W91" s="2"/>
      <c r="X91" s="2"/>
      <c r="Y91" s="2"/>
      <c r="Z91" s="2"/>
      <c r="AA91" s="2"/>
      <c r="AB91" s="2"/>
      <c r="AC91" s="2"/>
      <c r="AD91" s="2"/>
    </row>
    <row r="92" spans="1:30" x14ac:dyDescent="0.25">
      <c r="A92" s="304"/>
      <c r="B92" s="304"/>
      <c r="C92" s="35"/>
      <c r="D92" s="35"/>
      <c r="E92" s="35"/>
      <c r="F92" s="29"/>
      <c r="G92" s="29"/>
      <c r="H92" s="2"/>
      <c r="I92" s="2"/>
      <c r="J92" s="2"/>
      <c r="K92" s="2"/>
      <c r="L92" s="2"/>
      <c r="M92" s="2"/>
      <c r="N92" s="2"/>
      <c r="O92" s="2"/>
      <c r="P92" s="2"/>
      <c r="Q92" s="2"/>
      <c r="R92" s="2"/>
      <c r="S92" s="2"/>
      <c r="T92" s="2"/>
      <c r="U92" s="2"/>
      <c r="V92" s="2"/>
      <c r="W92" s="2"/>
      <c r="X92" s="2"/>
      <c r="Y92" s="2"/>
      <c r="Z92" s="2"/>
      <c r="AA92" s="2"/>
      <c r="AB92" s="2"/>
      <c r="AC92" s="2"/>
      <c r="AD92" s="2"/>
    </row>
    <row r="93" spans="1:30" x14ac:dyDescent="0.25">
      <c r="A93" s="304"/>
      <c r="B93" s="304"/>
      <c r="C93" s="35"/>
      <c r="D93" s="35"/>
      <c r="E93" s="35"/>
      <c r="F93" s="29"/>
      <c r="G93" s="29"/>
      <c r="H93" s="2"/>
      <c r="I93" s="2"/>
      <c r="J93" s="2"/>
      <c r="K93" s="2"/>
      <c r="L93" s="2"/>
      <c r="M93" s="2"/>
      <c r="N93" s="2"/>
      <c r="O93" s="2"/>
      <c r="P93" s="2"/>
      <c r="Q93" s="2"/>
      <c r="R93" s="2"/>
      <c r="S93" s="2"/>
      <c r="T93" s="2"/>
      <c r="U93" s="2"/>
      <c r="V93" s="2"/>
      <c r="W93" s="2"/>
      <c r="X93" s="2"/>
      <c r="Y93" s="2"/>
      <c r="Z93" s="2"/>
      <c r="AA93" s="2"/>
      <c r="AB93" s="2"/>
      <c r="AC93" s="2"/>
      <c r="AD93" s="2"/>
    </row>
    <row r="94" spans="1:30" x14ac:dyDescent="0.25">
      <c r="A94" s="304"/>
      <c r="B94" s="304"/>
      <c r="C94" s="44"/>
      <c r="D94" s="44"/>
      <c r="E94" s="44"/>
      <c r="F94" s="29"/>
      <c r="G94" s="29"/>
      <c r="H94" s="2"/>
      <c r="I94" s="2"/>
      <c r="J94" s="2"/>
      <c r="K94" s="2"/>
      <c r="L94" s="2"/>
      <c r="M94" s="2"/>
      <c r="N94" s="2"/>
      <c r="O94" s="2"/>
      <c r="P94" s="2"/>
      <c r="Q94" s="2"/>
      <c r="R94" s="2"/>
      <c r="S94" s="2"/>
      <c r="T94" s="2"/>
      <c r="U94" s="2"/>
      <c r="V94" s="2"/>
      <c r="W94" s="2"/>
      <c r="X94" s="2"/>
      <c r="Y94" s="2"/>
      <c r="Z94" s="2"/>
      <c r="AA94" s="2"/>
      <c r="AB94" s="2"/>
      <c r="AC94" s="2"/>
      <c r="AD94" s="2"/>
    </row>
    <row r="95" spans="1:30" x14ac:dyDescent="0.25">
      <c r="A95" s="304"/>
      <c r="B95" s="304"/>
      <c r="C95" s="29"/>
      <c r="D95" s="29"/>
      <c r="E95" s="29"/>
      <c r="F95" s="29"/>
      <c r="G95" s="29"/>
      <c r="H95" s="2"/>
      <c r="I95" s="2"/>
      <c r="J95" s="2"/>
      <c r="K95" s="2"/>
      <c r="L95" s="2"/>
      <c r="M95" s="2"/>
      <c r="N95" s="2"/>
      <c r="O95" s="2"/>
      <c r="P95" s="2"/>
      <c r="Q95" s="2"/>
      <c r="R95" s="2"/>
      <c r="S95" s="2"/>
      <c r="T95" s="2"/>
      <c r="U95" s="2"/>
      <c r="V95" s="2"/>
      <c r="W95" s="2"/>
      <c r="X95" s="2"/>
      <c r="Y95" s="2"/>
      <c r="Z95" s="2"/>
      <c r="AA95" s="2"/>
      <c r="AB95" s="2"/>
      <c r="AC95" s="2"/>
      <c r="AD95" s="2"/>
    </row>
    <row r="96" spans="1:30" x14ac:dyDescent="0.25">
      <c r="A96" s="304"/>
      <c r="B96" s="304"/>
      <c r="C96" s="29"/>
      <c r="D96" s="29"/>
      <c r="E96" s="29"/>
      <c r="F96" s="29"/>
      <c r="G96" s="29"/>
      <c r="H96" s="2"/>
      <c r="I96" s="2"/>
      <c r="J96" s="2"/>
      <c r="K96" s="2"/>
      <c r="L96" s="2"/>
      <c r="M96" s="2"/>
      <c r="N96" s="2"/>
      <c r="O96" s="2"/>
      <c r="P96" s="2"/>
      <c r="Q96" s="2"/>
      <c r="R96" s="2"/>
      <c r="S96" s="2"/>
      <c r="T96" s="2"/>
      <c r="U96" s="2"/>
      <c r="V96" s="205"/>
      <c r="W96" s="2"/>
      <c r="X96" s="2"/>
      <c r="Y96" s="2"/>
      <c r="Z96" s="2"/>
      <c r="AA96" s="2"/>
      <c r="AB96" s="2"/>
      <c r="AC96" s="2"/>
      <c r="AD96" s="2"/>
    </row>
    <row r="97" spans="1:30" x14ac:dyDescent="0.25">
      <c r="A97" s="304"/>
      <c r="B97" s="304"/>
      <c r="C97" s="29"/>
      <c r="D97" s="29"/>
      <c r="E97" s="29"/>
      <c r="F97" s="29"/>
      <c r="G97" s="29"/>
      <c r="H97" s="2"/>
      <c r="I97" s="2"/>
      <c r="J97" s="2"/>
      <c r="K97" s="2"/>
      <c r="L97" s="2"/>
      <c r="M97" s="2"/>
      <c r="N97" s="2"/>
      <c r="O97" s="2"/>
      <c r="P97" s="2"/>
      <c r="Q97" s="2"/>
      <c r="R97" s="2"/>
      <c r="S97" s="2"/>
      <c r="T97" s="2"/>
      <c r="U97" s="2"/>
      <c r="V97" s="205"/>
      <c r="W97" s="2"/>
      <c r="X97" s="2"/>
      <c r="Y97" s="2"/>
      <c r="Z97" s="2"/>
      <c r="AA97" s="2"/>
      <c r="AB97" s="2"/>
      <c r="AC97" s="2"/>
      <c r="AD97" s="2"/>
    </row>
    <row r="98" spans="1:30" x14ac:dyDescent="0.25">
      <c r="A98" s="304"/>
      <c r="B98" s="304"/>
      <c r="C98" s="29"/>
      <c r="D98" s="29"/>
      <c r="E98" s="29"/>
      <c r="F98" s="29"/>
      <c r="G98" s="29"/>
      <c r="H98" s="2"/>
      <c r="I98" s="2"/>
      <c r="J98" s="2"/>
      <c r="K98" s="2"/>
      <c r="L98" s="2"/>
      <c r="M98" s="2"/>
      <c r="N98" s="2"/>
      <c r="O98" s="2"/>
      <c r="P98" s="2"/>
      <c r="Q98" s="2"/>
      <c r="R98" s="2"/>
      <c r="S98" s="2"/>
      <c r="T98" s="2"/>
      <c r="U98" s="2"/>
      <c r="V98" s="205"/>
      <c r="W98" s="2"/>
      <c r="X98" s="2"/>
      <c r="Y98" s="2"/>
      <c r="Z98" s="2"/>
      <c r="AA98" s="2"/>
      <c r="AB98" s="2"/>
      <c r="AC98" s="2"/>
      <c r="AD98" s="2"/>
    </row>
    <row r="99" spans="1:30" x14ac:dyDescent="0.25">
      <c r="A99" s="304"/>
      <c r="B99" s="304"/>
      <c r="C99" s="29"/>
      <c r="D99" s="29"/>
      <c r="E99" s="29"/>
      <c r="F99" s="29"/>
      <c r="G99" s="29"/>
      <c r="H99" s="2"/>
      <c r="I99" s="2"/>
      <c r="J99" s="2"/>
      <c r="K99" s="2"/>
      <c r="L99" s="2"/>
      <c r="M99" s="2"/>
      <c r="N99" s="2"/>
      <c r="O99" s="2"/>
      <c r="P99" s="2"/>
      <c r="Q99" s="2"/>
      <c r="R99" s="2"/>
      <c r="S99" s="2"/>
      <c r="T99" s="2"/>
      <c r="U99" s="2"/>
      <c r="V99" s="205"/>
      <c r="W99" s="2"/>
      <c r="X99" s="2"/>
      <c r="Y99" s="2"/>
      <c r="Z99" s="2"/>
      <c r="AA99" s="2"/>
      <c r="AB99" s="2"/>
      <c r="AC99" s="2"/>
      <c r="AD99" s="2"/>
    </row>
    <row r="100" spans="1:30" x14ac:dyDescent="0.25">
      <c r="A100" s="304"/>
      <c r="B100" s="304"/>
      <c r="C100" s="29"/>
      <c r="D100" s="29"/>
      <c r="E100" s="29"/>
      <c r="F100" s="29"/>
      <c r="G100" s="29"/>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x14ac:dyDescent="0.25">
      <c r="A101" s="304"/>
      <c r="B101" s="304"/>
      <c r="C101" s="29"/>
      <c r="D101" s="29"/>
      <c r="E101" s="29"/>
      <c r="F101" s="29"/>
      <c r="G101" s="29"/>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x14ac:dyDescent="0.25">
      <c r="A102" s="304"/>
      <c r="B102" s="304"/>
      <c r="C102" s="29"/>
      <c r="D102" s="29"/>
      <c r="E102" s="29"/>
      <c r="F102" s="29"/>
      <c r="G102" s="29"/>
      <c r="H102" s="2"/>
      <c r="I102" s="2"/>
      <c r="J102" s="2"/>
      <c r="K102" s="2"/>
      <c r="L102" s="2"/>
      <c r="M102" s="2"/>
      <c r="N102" s="2"/>
      <c r="O102" s="2"/>
      <c r="P102" s="2"/>
      <c r="Q102" s="2"/>
      <c r="R102" s="2"/>
      <c r="S102" s="2"/>
      <c r="T102" s="2"/>
      <c r="U102" s="2"/>
      <c r="V102" s="205"/>
      <c r="W102" s="2"/>
      <c r="X102" s="2"/>
      <c r="Y102" s="2"/>
      <c r="Z102" s="2"/>
      <c r="AA102" s="2"/>
      <c r="AB102" s="2"/>
      <c r="AC102" s="2"/>
      <c r="AD102" s="2"/>
    </row>
    <row r="103" spans="1:30" x14ac:dyDescent="0.25">
      <c r="A103" s="304"/>
      <c r="B103" s="304"/>
      <c r="C103" s="29"/>
      <c r="D103" s="29"/>
      <c r="E103" s="29"/>
      <c r="F103" s="29"/>
      <c r="G103" s="29"/>
      <c r="H103" s="2"/>
      <c r="I103" s="2"/>
      <c r="J103" s="2"/>
      <c r="K103" s="2"/>
      <c r="L103" s="2"/>
      <c r="M103" s="2"/>
      <c r="N103" s="2"/>
      <c r="O103" s="2"/>
      <c r="P103" s="2"/>
      <c r="Q103" s="2"/>
      <c r="R103" s="2"/>
      <c r="S103" s="2"/>
      <c r="T103" s="2"/>
      <c r="U103" s="2"/>
      <c r="V103" s="205"/>
      <c r="W103" s="2"/>
      <c r="X103" s="2"/>
      <c r="Y103" s="2"/>
      <c r="Z103" s="2"/>
      <c r="AA103" s="2"/>
      <c r="AB103" s="2"/>
      <c r="AC103" s="2"/>
      <c r="AD103" s="2"/>
    </row>
    <row r="104" spans="1:30" x14ac:dyDescent="0.25">
      <c r="A104" s="304"/>
      <c r="B104" s="304"/>
      <c r="C104" s="29"/>
      <c r="D104" s="29"/>
      <c r="E104" s="29"/>
      <c r="F104" s="29"/>
      <c r="G104" s="29"/>
      <c r="H104" s="2"/>
      <c r="I104" s="2"/>
      <c r="J104" s="2"/>
      <c r="K104" s="2"/>
      <c r="L104" s="2"/>
      <c r="M104" s="2"/>
      <c r="N104" s="2"/>
      <c r="O104" s="2"/>
      <c r="P104" s="2"/>
      <c r="Q104" s="2"/>
      <c r="R104" s="2"/>
      <c r="S104" s="2"/>
      <c r="T104" s="2"/>
      <c r="U104" s="2"/>
      <c r="V104" s="205"/>
      <c r="W104" s="2"/>
      <c r="X104" s="2"/>
      <c r="Y104" s="2"/>
      <c r="Z104" s="2"/>
      <c r="AA104" s="2"/>
      <c r="AB104" s="2"/>
      <c r="AC104" s="2"/>
      <c r="AD104" s="2"/>
    </row>
    <row r="105" spans="1:30" x14ac:dyDescent="0.25">
      <c r="A105" s="304"/>
      <c r="B105" s="304"/>
      <c r="C105" s="29"/>
      <c r="D105" s="29"/>
      <c r="E105" s="29"/>
      <c r="F105" s="29"/>
      <c r="G105" s="29"/>
      <c r="H105" s="2"/>
      <c r="I105" s="2"/>
      <c r="J105" s="2"/>
      <c r="K105" s="2"/>
      <c r="L105" s="2"/>
      <c r="M105" s="2"/>
      <c r="N105" s="2"/>
      <c r="O105" s="2"/>
      <c r="P105" s="2"/>
      <c r="Q105" s="2"/>
      <c r="R105" s="2"/>
      <c r="S105" s="2"/>
      <c r="T105" s="2"/>
      <c r="U105" s="2"/>
      <c r="V105" s="205"/>
      <c r="W105" s="2"/>
      <c r="X105" s="2"/>
      <c r="Y105" s="2"/>
      <c r="Z105" s="2"/>
      <c r="AA105" s="2"/>
      <c r="AB105" s="2"/>
      <c r="AC105" s="2"/>
      <c r="AD105" s="2"/>
    </row>
    <row r="106" spans="1:30" x14ac:dyDescent="0.25">
      <c r="A106" s="304"/>
      <c r="B106" s="304"/>
      <c r="C106" s="29"/>
      <c r="D106" s="29"/>
      <c r="E106" s="29"/>
      <c r="F106" s="29"/>
      <c r="G106" s="29"/>
      <c r="H106" s="2"/>
      <c r="I106" s="2"/>
      <c r="J106" s="2"/>
      <c r="K106" s="2"/>
      <c r="L106" s="2"/>
      <c r="M106" s="2"/>
      <c r="N106" s="2"/>
      <c r="O106" s="2"/>
      <c r="P106" s="2"/>
      <c r="Q106" s="2"/>
      <c r="R106" s="2"/>
      <c r="S106" s="2"/>
      <c r="T106" s="2"/>
      <c r="U106" s="2"/>
      <c r="V106" s="205"/>
      <c r="W106" s="2"/>
      <c r="X106" s="2"/>
      <c r="Y106" s="2"/>
      <c r="Z106" s="2"/>
      <c r="AA106" s="2"/>
      <c r="AB106" s="2"/>
      <c r="AC106" s="2"/>
      <c r="AD106" s="2"/>
    </row>
    <row r="107" spans="1:30" x14ac:dyDescent="0.25">
      <c r="A107" s="304"/>
      <c r="B107" s="304"/>
      <c r="C107" s="29"/>
      <c r="D107" s="29"/>
      <c r="E107" s="29"/>
      <c r="F107" s="29"/>
      <c r="G107" s="29"/>
      <c r="H107" s="2"/>
      <c r="I107" s="2"/>
      <c r="J107" s="2"/>
      <c r="K107" s="2"/>
      <c r="L107" s="2"/>
      <c r="M107" s="2"/>
      <c r="N107" s="2"/>
      <c r="O107" s="2"/>
      <c r="P107" s="2"/>
      <c r="Q107" s="2"/>
      <c r="R107" s="2"/>
      <c r="S107" s="2"/>
      <c r="T107" s="34"/>
      <c r="U107" s="34"/>
      <c r="V107" s="205"/>
      <c r="W107" s="2"/>
      <c r="X107" s="2"/>
      <c r="Y107" s="2"/>
      <c r="Z107" s="2"/>
      <c r="AA107" s="2"/>
      <c r="AB107" s="2"/>
      <c r="AC107" s="2"/>
      <c r="AD107" s="2"/>
    </row>
    <row r="108" spans="1:30" x14ac:dyDescent="0.25">
      <c r="A108" s="304"/>
      <c r="B108" s="304"/>
      <c r="C108" s="29"/>
      <c r="D108" s="29"/>
      <c r="E108" s="29"/>
      <c r="F108" s="29"/>
      <c r="G108" s="29"/>
      <c r="H108" s="2"/>
      <c r="I108" s="2"/>
      <c r="J108" s="2"/>
      <c r="K108" s="2"/>
      <c r="L108" s="2"/>
      <c r="M108" s="2"/>
      <c r="N108" s="2"/>
      <c r="O108" s="2"/>
      <c r="P108" s="2"/>
      <c r="Q108" s="2"/>
      <c r="R108" s="2"/>
      <c r="S108" s="2"/>
      <c r="T108" s="34"/>
      <c r="U108" s="34"/>
      <c r="V108" s="205"/>
      <c r="W108" s="2"/>
      <c r="X108" s="2"/>
      <c r="Y108" s="2"/>
      <c r="Z108" s="2"/>
      <c r="AA108" s="2"/>
      <c r="AB108" s="2"/>
      <c r="AC108" s="2"/>
      <c r="AD108" s="2"/>
    </row>
    <row r="109" spans="1:30" x14ac:dyDescent="0.25">
      <c r="A109" s="304"/>
      <c r="B109" s="304"/>
      <c r="C109" s="29"/>
      <c r="D109" s="29"/>
      <c r="E109" s="29"/>
      <c r="F109" s="29"/>
      <c r="G109" s="29"/>
      <c r="H109" s="2"/>
      <c r="I109" s="2"/>
      <c r="J109" s="2"/>
      <c r="K109" s="2"/>
      <c r="L109" s="2"/>
      <c r="M109" s="2"/>
      <c r="N109" s="2"/>
      <c r="O109" s="2"/>
      <c r="P109" s="2"/>
      <c r="Q109" s="2"/>
      <c r="R109" s="2"/>
      <c r="S109" s="205"/>
      <c r="T109" s="205"/>
      <c r="U109" s="205"/>
      <c r="V109" s="205"/>
      <c r="W109" s="2"/>
      <c r="X109" s="2"/>
      <c r="Y109" s="2"/>
      <c r="Z109" s="2"/>
      <c r="AA109" s="2"/>
      <c r="AB109" s="2"/>
      <c r="AC109" s="2"/>
      <c r="AD109" s="2"/>
    </row>
    <row r="110" spans="1:30" x14ac:dyDescent="0.25">
      <c r="A110" s="304"/>
      <c r="B110" s="304"/>
      <c r="C110" s="29"/>
      <c r="D110" s="29"/>
      <c r="E110" s="29"/>
      <c r="F110" s="29"/>
      <c r="G110" s="29"/>
      <c r="H110" s="2"/>
      <c r="I110" s="2"/>
      <c r="J110" s="2"/>
      <c r="K110" s="2"/>
      <c r="L110" s="2"/>
      <c r="M110" s="2"/>
      <c r="N110" s="2"/>
      <c r="O110" s="2"/>
      <c r="P110" s="2"/>
      <c r="Q110" s="2"/>
      <c r="R110" s="2"/>
      <c r="S110" s="205"/>
      <c r="T110" s="205"/>
      <c r="U110" s="205"/>
      <c r="V110" s="205"/>
      <c r="W110" s="2"/>
      <c r="X110" s="2"/>
      <c r="Y110" s="2"/>
      <c r="Z110" s="2"/>
      <c r="AA110" s="2"/>
      <c r="AB110" s="2"/>
      <c r="AC110" s="2"/>
      <c r="AD110" s="2"/>
    </row>
    <row r="111" spans="1:30" x14ac:dyDescent="0.25">
      <c r="A111" s="304"/>
      <c r="B111" s="304"/>
      <c r="C111" s="29"/>
      <c r="D111" s="29"/>
      <c r="E111" s="29"/>
      <c r="F111" s="29"/>
      <c r="G111" s="29"/>
      <c r="H111" s="2"/>
      <c r="I111" s="2"/>
      <c r="J111" s="2"/>
      <c r="K111" s="2"/>
      <c r="L111" s="2"/>
      <c r="M111" s="2"/>
      <c r="N111" s="2"/>
      <c r="O111" s="2"/>
      <c r="P111" s="2"/>
      <c r="Q111" s="2"/>
      <c r="R111" s="2"/>
      <c r="S111" s="205"/>
      <c r="T111" s="205"/>
      <c r="U111" s="205"/>
      <c r="V111" s="2"/>
      <c r="W111" s="2"/>
      <c r="X111" s="2"/>
      <c r="Y111" s="2"/>
      <c r="Z111" s="2"/>
      <c r="AA111" s="2"/>
      <c r="AB111" s="2"/>
      <c r="AC111" s="2"/>
      <c r="AD111" s="2"/>
    </row>
    <row r="112" spans="1:30" x14ac:dyDescent="0.25">
      <c r="A112" s="304"/>
      <c r="B112" s="304"/>
      <c r="C112" s="29"/>
      <c r="D112" s="29"/>
      <c r="E112" s="29"/>
      <c r="F112" s="29"/>
      <c r="G112" s="29"/>
      <c r="H112" s="2"/>
      <c r="I112" s="2"/>
      <c r="J112" s="2"/>
      <c r="K112" s="2"/>
      <c r="L112" s="2"/>
      <c r="M112" s="2"/>
      <c r="N112" s="2"/>
      <c r="O112" s="2"/>
      <c r="P112" s="2"/>
      <c r="Q112" s="2"/>
      <c r="R112" s="2"/>
      <c r="S112" s="205"/>
      <c r="T112" s="205"/>
      <c r="U112" s="205"/>
      <c r="V112" s="2"/>
      <c r="W112" s="2"/>
      <c r="X112" s="2"/>
      <c r="Y112" s="2"/>
      <c r="Z112" s="2"/>
      <c r="AA112" s="2"/>
      <c r="AB112" s="2"/>
      <c r="AC112" s="2"/>
      <c r="AD112" s="2"/>
    </row>
    <row r="113" spans="1:30" x14ac:dyDescent="0.25">
      <c r="A113" s="304"/>
      <c r="B113" s="304"/>
      <c r="C113" s="29"/>
      <c r="D113" s="29"/>
      <c r="E113" s="29"/>
      <c r="F113" s="29"/>
      <c r="G113" s="29"/>
      <c r="H113" s="2"/>
      <c r="I113" s="221"/>
      <c r="J113" s="219"/>
      <c r="K113" s="219"/>
      <c r="L113" s="219"/>
      <c r="M113" s="219"/>
      <c r="N113" s="222"/>
      <c r="O113" s="218"/>
      <c r="P113" s="218"/>
      <c r="Q113" s="2"/>
      <c r="R113" s="219"/>
      <c r="S113" s="205"/>
      <c r="T113" s="205"/>
      <c r="U113" s="205"/>
      <c r="V113" s="2"/>
      <c r="W113" s="2"/>
      <c r="X113" s="2"/>
      <c r="Y113" s="2"/>
      <c r="Z113" s="2"/>
      <c r="AA113" s="2"/>
      <c r="AB113" s="2"/>
      <c r="AC113" s="2"/>
      <c r="AD113" s="2"/>
    </row>
    <row r="114" spans="1:30" x14ac:dyDescent="0.25">
      <c r="A114" s="304"/>
      <c r="B114" s="304"/>
      <c r="C114" s="29"/>
      <c r="D114" s="29"/>
      <c r="E114" s="29"/>
      <c r="F114" s="29"/>
      <c r="G114" s="29"/>
      <c r="H114" s="2"/>
      <c r="I114" s="221"/>
      <c r="J114" s="218"/>
      <c r="K114" s="218"/>
      <c r="L114" s="218"/>
      <c r="M114" s="218"/>
      <c r="N114" s="222"/>
      <c r="O114" s="218"/>
      <c r="P114" s="218"/>
      <c r="Q114" s="2"/>
      <c r="R114" s="218"/>
      <c r="S114" s="205"/>
      <c r="T114" s="205"/>
      <c r="U114" s="205"/>
      <c r="V114" s="2"/>
      <c r="W114" s="2"/>
      <c r="X114" s="2"/>
      <c r="Y114" s="2"/>
      <c r="Z114" s="2"/>
      <c r="AA114" s="2"/>
      <c r="AB114" s="2"/>
      <c r="AC114" s="2"/>
      <c r="AD114" s="2"/>
    </row>
    <row r="115" spans="1:30" x14ac:dyDescent="0.25">
      <c r="A115" s="304"/>
      <c r="B115" s="304"/>
      <c r="C115" s="29"/>
      <c r="D115" s="29"/>
      <c r="E115" s="29"/>
      <c r="F115" s="29"/>
      <c r="G115" s="29"/>
      <c r="H115" s="2"/>
      <c r="I115" s="2"/>
      <c r="J115" s="29"/>
      <c r="K115" s="29"/>
      <c r="L115" s="29"/>
      <c r="M115" s="29"/>
      <c r="N115" s="29"/>
      <c r="O115" s="29"/>
      <c r="P115" s="29"/>
      <c r="Q115" s="2"/>
      <c r="R115" s="29"/>
      <c r="S115" s="205"/>
      <c r="T115" s="205"/>
      <c r="U115" s="205"/>
      <c r="V115" s="2"/>
      <c r="W115" s="2"/>
      <c r="X115" s="2"/>
      <c r="Y115" s="2"/>
      <c r="Z115" s="2"/>
      <c r="AA115" s="2"/>
      <c r="AB115" s="2"/>
      <c r="AC115" s="2"/>
      <c r="AD115" s="2"/>
    </row>
    <row r="116" spans="1:30" x14ac:dyDescent="0.25">
      <c r="A116" s="304"/>
      <c r="B116" s="304"/>
      <c r="C116" s="29"/>
      <c r="D116" s="29"/>
      <c r="E116" s="29"/>
      <c r="F116" s="29"/>
      <c r="G116" s="29"/>
      <c r="H116" s="2"/>
      <c r="I116" s="2"/>
      <c r="J116" s="29"/>
      <c r="K116" s="29"/>
      <c r="L116" s="29"/>
      <c r="M116" s="29"/>
      <c r="N116" s="29"/>
      <c r="O116" s="29"/>
      <c r="P116" s="29"/>
      <c r="Q116" s="2"/>
      <c r="R116" s="29"/>
      <c r="S116" s="205"/>
      <c r="T116" s="205"/>
      <c r="U116" s="205"/>
      <c r="V116" s="2"/>
      <c r="W116" s="2"/>
      <c r="X116" s="2"/>
      <c r="Y116" s="2"/>
      <c r="Z116" s="2"/>
      <c r="AA116" s="2"/>
      <c r="AB116" s="2"/>
      <c r="AC116" s="2"/>
      <c r="AD116" s="2"/>
    </row>
    <row r="117" spans="1:30" x14ac:dyDescent="0.25">
      <c r="A117" s="304"/>
      <c r="B117" s="304"/>
      <c r="C117" s="29"/>
      <c r="D117" s="29"/>
      <c r="E117" s="29"/>
      <c r="F117" s="29"/>
      <c r="G117" s="29"/>
      <c r="H117" s="2"/>
      <c r="I117" s="2"/>
      <c r="J117" s="29"/>
      <c r="K117" s="29"/>
      <c r="L117" s="29"/>
      <c r="M117" s="29"/>
      <c r="N117" s="29"/>
      <c r="O117" s="29"/>
      <c r="P117" s="29"/>
      <c r="Q117" s="2"/>
      <c r="R117" s="29"/>
      <c r="S117" s="205"/>
      <c r="T117" s="205"/>
      <c r="U117" s="205"/>
      <c r="V117" s="2"/>
      <c r="W117" s="2"/>
      <c r="X117" s="2"/>
      <c r="Y117" s="2"/>
      <c r="Z117" s="2"/>
      <c r="AA117" s="2"/>
      <c r="AB117" s="2"/>
      <c r="AC117" s="2"/>
      <c r="AD117" s="2"/>
    </row>
    <row r="118" spans="1:30" x14ac:dyDescent="0.25">
      <c r="A118" s="304"/>
      <c r="B118" s="304"/>
      <c r="C118" s="29"/>
      <c r="D118" s="29"/>
      <c r="E118" s="29"/>
      <c r="F118" s="29"/>
      <c r="G118" s="29"/>
      <c r="H118" s="2"/>
      <c r="I118" s="2"/>
      <c r="J118" s="29"/>
      <c r="K118" s="29"/>
      <c r="L118" s="29"/>
      <c r="M118" s="29"/>
      <c r="N118" s="29"/>
      <c r="O118" s="29"/>
      <c r="P118" s="29"/>
      <c r="Q118" s="2"/>
      <c r="R118" s="29"/>
      <c r="S118" s="205"/>
      <c r="T118" s="205"/>
      <c r="U118" s="205"/>
      <c r="V118" s="2"/>
      <c r="W118" s="2"/>
      <c r="X118" s="2"/>
      <c r="Y118" s="2"/>
      <c r="Z118" s="2"/>
      <c r="AA118" s="2"/>
      <c r="AB118" s="2"/>
      <c r="AC118" s="2"/>
      <c r="AD118" s="2"/>
    </row>
    <row r="119" spans="1:30" x14ac:dyDescent="0.25">
      <c r="A119" s="304"/>
      <c r="B119" s="304"/>
      <c r="C119" s="29"/>
      <c r="D119" s="29"/>
      <c r="E119" s="29"/>
      <c r="F119" s="29"/>
      <c r="G119" s="29"/>
      <c r="H119" s="2"/>
      <c r="I119" s="2"/>
      <c r="J119" s="29"/>
      <c r="K119" s="29"/>
      <c r="L119" s="29"/>
      <c r="M119" s="29"/>
      <c r="N119" s="29"/>
      <c r="O119" s="29"/>
      <c r="P119" s="29"/>
      <c r="Q119" s="2"/>
      <c r="R119" s="29"/>
      <c r="S119" s="205"/>
      <c r="T119" s="205"/>
      <c r="U119" s="205"/>
      <c r="V119" s="2"/>
      <c r="W119" s="2"/>
      <c r="X119" s="2"/>
      <c r="Y119" s="2"/>
      <c r="Z119" s="2"/>
      <c r="AA119" s="2"/>
      <c r="AB119" s="2"/>
      <c r="AC119" s="2"/>
      <c r="AD119" s="2"/>
    </row>
    <row r="120" spans="1:30" x14ac:dyDescent="0.25">
      <c r="A120" s="304"/>
      <c r="B120" s="304"/>
      <c r="C120" s="29"/>
      <c r="D120" s="29"/>
      <c r="E120" s="29"/>
      <c r="F120" s="29"/>
      <c r="G120" s="29"/>
      <c r="H120" s="2"/>
      <c r="I120" s="2"/>
      <c r="J120" s="29"/>
      <c r="K120" s="29"/>
      <c r="L120" s="29"/>
      <c r="M120" s="29"/>
      <c r="N120" s="29"/>
      <c r="O120" s="29"/>
      <c r="P120" s="29"/>
      <c r="Q120" s="2"/>
      <c r="R120" s="29"/>
      <c r="S120" s="205"/>
      <c r="T120" s="205"/>
      <c r="U120" s="205"/>
      <c r="V120" s="2"/>
      <c r="W120" s="2"/>
      <c r="X120" s="2"/>
      <c r="Y120" s="2"/>
      <c r="Z120" s="2"/>
      <c r="AA120" s="2"/>
      <c r="AB120" s="2"/>
      <c r="AC120" s="2"/>
      <c r="AD120" s="2"/>
    </row>
    <row r="121" spans="1:30" x14ac:dyDescent="0.25">
      <c r="A121" s="304"/>
      <c r="B121" s="304"/>
      <c r="C121" s="29"/>
      <c r="D121" s="29"/>
      <c r="E121" s="29"/>
      <c r="F121" s="29"/>
      <c r="G121" s="29"/>
      <c r="H121" s="2"/>
      <c r="I121" s="2"/>
      <c r="J121" s="29"/>
      <c r="K121" s="29"/>
      <c r="L121" s="29"/>
      <c r="M121" s="29"/>
      <c r="N121" s="29"/>
      <c r="O121" s="29"/>
      <c r="P121" s="29"/>
      <c r="Q121" s="2"/>
      <c r="R121" s="29"/>
      <c r="S121" s="205"/>
      <c r="T121" s="205"/>
      <c r="U121" s="205"/>
      <c r="V121" s="2"/>
      <c r="W121" s="2"/>
      <c r="X121" s="2"/>
      <c r="Y121" s="2"/>
      <c r="Z121" s="2"/>
      <c r="AA121" s="2"/>
      <c r="AB121" s="2"/>
      <c r="AC121" s="2"/>
      <c r="AD121" s="2"/>
    </row>
    <row r="122" spans="1:30" x14ac:dyDescent="0.25">
      <c r="A122" s="304"/>
      <c r="B122" s="304"/>
      <c r="C122" s="29"/>
      <c r="D122" s="29"/>
      <c r="E122" s="29"/>
      <c r="F122" s="29"/>
      <c r="G122" s="29"/>
      <c r="H122" s="2"/>
      <c r="I122" s="22"/>
      <c r="J122" s="47"/>
      <c r="K122" s="47"/>
      <c r="L122" s="47"/>
      <c r="M122" s="47"/>
      <c r="N122" s="47"/>
      <c r="O122" s="47"/>
      <c r="P122" s="47"/>
      <c r="Q122" s="2"/>
      <c r="R122" s="2"/>
      <c r="S122" s="2"/>
      <c r="T122" s="2"/>
      <c r="U122" s="2"/>
      <c r="V122" s="2"/>
      <c r="W122" s="2"/>
      <c r="X122" s="2"/>
      <c r="Y122" s="2"/>
      <c r="Z122" s="2"/>
      <c r="AA122" s="2"/>
      <c r="AB122" s="2"/>
      <c r="AC122" s="2"/>
      <c r="AD122" s="2"/>
    </row>
    <row r="123" spans="1:30" x14ac:dyDescent="0.25">
      <c r="A123" s="304"/>
      <c r="B123" s="304"/>
      <c r="C123" s="29"/>
      <c r="D123" s="29"/>
      <c r="E123" s="29"/>
      <c r="F123" s="29"/>
      <c r="G123" s="29"/>
      <c r="H123" s="2"/>
      <c r="I123" s="2"/>
      <c r="J123" s="29"/>
      <c r="K123" s="29"/>
      <c r="L123" s="29"/>
      <c r="M123" s="29"/>
      <c r="N123" s="29"/>
      <c r="O123" s="29"/>
      <c r="P123" s="29"/>
      <c r="Q123" s="2"/>
      <c r="R123" s="29"/>
      <c r="S123" s="2"/>
      <c r="T123" s="2"/>
      <c r="U123" s="2"/>
      <c r="V123" s="2"/>
      <c r="W123" s="2"/>
      <c r="X123" s="2"/>
      <c r="Y123" s="2"/>
      <c r="Z123" s="2"/>
      <c r="AA123" s="2"/>
      <c r="AB123" s="2"/>
      <c r="AC123" s="2"/>
      <c r="AD123" s="2"/>
    </row>
    <row r="124" spans="1:30" x14ac:dyDescent="0.25">
      <c r="A124" s="304"/>
      <c r="B124" s="304"/>
      <c r="C124" s="29"/>
      <c r="D124" s="29"/>
      <c r="E124" s="29"/>
      <c r="F124" s="29"/>
      <c r="G124" s="29"/>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x14ac:dyDescent="0.25">
      <c r="A125" s="304"/>
      <c r="B125" s="304"/>
      <c r="C125" s="29"/>
      <c r="D125" s="29"/>
      <c r="E125" s="29"/>
      <c r="F125" s="29"/>
      <c r="G125" s="29"/>
      <c r="H125" s="2"/>
      <c r="I125" s="221"/>
      <c r="J125" s="219"/>
      <c r="K125" s="219"/>
      <c r="L125" s="219"/>
      <c r="M125" s="219"/>
      <c r="N125" s="222"/>
      <c r="O125" s="218"/>
      <c r="P125" s="218"/>
      <c r="Q125" s="2"/>
      <c r="R125" s="219"/>
      <c r="S125" s="2"/>
      <c r="T125" s="2"/>
      <c r="U125" s="2"/>
      <c r="V125" s="2"/>
      <c r="W125" s="2"/>
      <c r="X125" s="2"/>
      <c r="Y125" s="2"/>
      <c r="Z125" s="2"/>
      <c r="AA125" s="2"/>
      <c r="AB125" s="2"/>
      <c r="AC125" s="2"/>
      <c r="AD125" s="2"/>
    </row>
    <row r="126" spans="1:30" x14ac:dyDescent="0.25">
      <c r="A126" s="304"/>
      <c r="B126" s="304"/>
      <c r="C126" s="29"/>
      <c r="D126" s="29"/>
      <c r="E126" s="29"/>
      <c r="F126" s="29"/>
      <c r="G126" s="29"/>
      <c r="H126" s="2"/>
      <c r="I126" s="221"/>
      <c r="J126" s="218"/>
      <c r="K126" s="218"/>
      <c r="L126" s="218"/>
      <c r="M126" s="218"/>
      <c r="N126" s="222"/>
      <c r="O126" s="218"/>
      <c r="P126" s="218"/>
      <c r="Q126" s="2"/>
      <c r="R126" s="218"/>
      <c r="S126" s="2"/>
      <c r="T126" s="2"/>
      <c r="U126" s="2"/>
      <c r="V126" s="2"/>
      <c r="W126" s="2"/>
      <c r="X126" s="2"/>
      <c r="Y126" s="2"/>
      <c r="Z126" s="2"/>
      <c r="AA126" s="2"/>
      <c r="AB126" s="2"/>
      <c r="AC126" s="2"/>
      <c r="AD126" s="2"/>
    </row>
    <row r="127" spans="1:30" x14ac:dyDescent="0.25">
      <c r="A127" s="304"/>
      <c r="B127" s="304"/>
      <c r="C127" s="29"/>
      <c r="D127" s="29"/>
      <c r="E127" s="29"/>
      <c r="F127" s="29"/>
      <c r="G127" s="29"/>
      <c r="H127" s="2"/>
      <c r="I127" s="2"/>
      <c r="J127" s="29"/>
      <c r="K127" s="29"/>
      <c r="L127" s="29"/>
      <c r="M127" s="29"/>
      <c r="N127" s="29"/>
      <c r="O127" s="29"/>
      <c r="P127" s="29"/>
      <c r="Q127" s="2"/>
      <c r="R127" s="29"/>
      <c r="S127" s="2"/>
      <c r="T127" s="2"/>
      <c r="U127" s="2"/>
      <c r="V127" s="2"/>
      <c r="W127" s="2"/>
      <c r="X127" s="2"/>
      <c r="Y127" s="2"/>
      <c r="Z127" s="2"/>
      <c r="AA127" s="2"/>
      <c r="AB127" s="2"/>
      <c r="AC127" s="2"/>
      <c r="AD127" s="2"/>
    </row>
    <row r="128" spans="1:30" x14ac:dyDescent="0.25">
      <c r="A128" s="304"/>
      <c r="B128" s="304"/>
      <c r="C128" s="29"/>
      <c r="D128" s="29"/>
      <c r="E128" s="29"/>
      <c r="F128" s="29"/>
      <c r="G128" s="29"/>
      <c r="H128" s="2"/>
      <c r="I128" s="2"/>
      <c r="J128" s="29"/>
      <c r="K128" s="29"/>
      <c r="L128" s="29"/>
      <c r="M128" s="29"/>
      <c r="N128" s="29"/>
      <c r="O128" s="29"/>
      <c r="P128" s="29"/>
      <c r="Q128" s="2"/>
      <c r="R128" s="29"/>
      <c r="S128" s="2"/>
      <c r="T128" s="2"/>
      <c r="U128" s="2"/>
      <c r="V128" s="2"/>
      <c r="W128" s="2"/>
      <c r="X128" s="2"/>
      <c r="Y128" s="2"/>
      <c r="Z128" s="2"/>
      <c r="AA128" s="2"/>
      <c r="AB128" s="2"/>
      <c r="AC128" s="2"/>
      <c r="AD128" s="2"/>
    </row>
    <row r="129" spans="1:30" x14ac:dyDescent="0.25">
      <c r="A129" s="304"/>
      <c r="B129" s="304"/>
      <c r="C129" s="29"/>
      <c r="D129" s="29"/>
      <c r="E129" s="29"/>
      <c r="F129" s="29"/>
      <c r="G129" s="29"/>
      <c r="H129" s="2"/>
      <c r="I129" s="2"/>
      <c r="J129" s="29"/>
      <c r="K129" s="29"/>
      <c r="L129" s="29"/>
      <c r="M129" s="29"/>
      <c r="N129" s="29"/>
      <c r="O129" s="29"/>
      <c r="P129" s="29"/>
      <c r="Q129" s="2"/>
      <c r="R129" s="29"/>
      <c r="S129" s="2"/>
      <c r="T129" s="2"/>
      <c r="U129" s="2"/>
      <c r="V129" s="2"/>
      <c r="W129" s="2"/>
      <c r="X129" s="2"/>
      <c r="Y129" s="2"/>
      <c r="Z129" s="2"/>
      <c r="AA129" s="2"/>
      <c r="AB129" s="2"/>
      <c r="AC129" s="2"/>
      <c r="AD129" s="2"/>
    </row>
    <row r="130" spans="1:30" x14ac:dyDescent="0.25">
      <c r="A130" s="304"/>
      <c r="B130" s="304"/>
      <c r="C130" s="29"/>
      <c r="D130" s="29"/>
      <c r="E130" s="29"/>
      <c r="F130" s="29"/>
      <c r="G130" s="29"/>
      <c r="H130" s="2"/>
      <c r="I130" s="2"/>
      <c r="J130" s="29"/>
      <c r="K130" s="29"/>
      <c r="L130" s="29"/>
      <c r="M130" s="29"/>
      <c r="N130" s="29"/>
      <c r="O130" s="29"/>
      <c r="P130" s="29"/>
      <c r="Q130" s="2"/>
      <c r="R130" s="29"/>
      <c r="S130" s="2"/>
      <c r="T130" s="2"/>
      <c r="U130" s="2"/>
      <c r="V130" s="2"/>
      <c r="W130" s="2"/>
      <c r="X130" s="2"/>
      <c r="Y130" s="2"/>
      <c r="Z130" s="2"/>
      <c r="AA130" s="2"/>
      <c r="AB130" s="2"/>
      <c r="AC130" s="2"/>
      <c r="AD130" s="2"/>
    </row>
    <row r="131" spans="1:30" x14ac:dyDescent="0.25">
      <c r="A131" s="304"/>
      <c r="B131" s="304"/>
      <c r="C131" s="29"/>
      <c r="D131" s="29"/>
      <c r="E131" s="29"/>
      <c r="F131" s="29"/>
      <c r="G131" s="29"/>
      <c r="H131" s="2"/>
      <c r="I131" s="2"/>
      <c r="J131" s="29"/>
      <c r="K131" s="29"/>
      <c r="L131" s="29"/>
      <c r="M131" s="29"/>
      <c r="N131" s="29"/>
      <c r="O131" s="29"/>
      <c r="P131" s="29"/>
      <c r="Q131" s="2"/>
      <c r="R131" s="29"/>
      <c r="S131" s="2"/>
      <c r="T131" s="2"/>
      <c r="U131" s="2"/>
      <c r="V131" s="2"/>
      <c r="W131" s="2"/>
      <c r="X131" s="2"/>
      <c r="Y131" s="2"/>
      <c r="Z131" s="2"/>
      <c r="AA131" s="2"/>
      <c r="AB131" s="2"/>
      <c r="AC131" s="2"/>
      <c r="AD131" s="2"/>
    </row>
    <row r="132" spans="1:30" x14ac:dyDescent="0.25">
      <c r="A132" s="304"/>
      <c r="B132" s="304"/>
      <c r="C132" s="29"/>
      <c r="D132" s="29"/>
      <c r="E132" s="29"/>
      <c r="F132" s="29"/>
      <c r="G132" s="29"/>
      <c r="H132" s="2"/>
      <c r="I132" s="22"/>
      <c r="J132" s="47"/>
      <c r="K132" s="47"/>
      <c r="L132" s="47"/>
      <c r="M132" s="47"/>
      <c r="N132" s="47"/>
      <c r="O132" s="47"/>
      <c r="P132" s="47"/>
      <c r="Q132" s="2"/>
      <c r="R132" s="2"/>
      <c r="S132" s="2"/>
      <c r="T132" s="2"/>
      <c r="U132" s="2"/>
      <c r="V132" s="2"/>
      <c r="W132" s="2"/>
      <c r="X132" s="2"/>
      <c r="Y132" s="2"/>
      <c r="Z132" s="2"/>
      <c r="AA132" s="2"/>
      <c r="AB132" s="2"/>
      <c r="AC132" s="2"/>
      <c r="AD132" s="2"/>
    </row>
    <row r="133" spans="1:30" x14ac:dyDescent="0.25">
      <c r="A133" s="304"/>
      <c r="B133" s="304"/>
      <c r="C133" s="29"/>
      <c r="D133" s="29"/>
      <c r="E133" s="29"/>
      <c r="F133" s="29"/>
      <c r="G133" s="29"/>
      <c r="H133" s="2"/>
      <c r="I133" s="2"/>
      <c r="J133" s="29"/>
      <c r="K133" s="29"/>
      <c r="L133" s="29"/>
      <c r="M133" s="29"/>
      <c r="N133" s="29"/>
      <c r="O133" s="29"/>
      <c r="P133" s="29"/>
      <c r="Q133" s="2"/>
      <c r="R133" s="29"/>
      <c r="S133" s="2"/>
      <c r="T133" s="2"/>
      <c r="U133" s="2"/>
      <c r="V133" s="2"/>
      <c r="W133" s="2"/>
      <c r="X133" s="2"/>
      <c r="Y133" s="2"/>
      <c r="Z133" s="2"/>
      <c r="AA133" s="2"/>
      <c r="AB133" s="2"/>
      <c r="AC133" s="2"/>
      <c r="AD133" s="2"/>
    </row>
    <row r="134" spans="1:30" x14ac:dyDescent="0.25">
      <c r="A134" s="304"/>
      <c r="B134" s="304"/>
      <c r="C134" s="29"/>
      <c r="D134" s="29"/>
      <c r="E134" s="29"/>
      <c r="F134" s="29"/>
      <c r="G134" s="29"/>
      <c r="H134" s="2"/>
      <c r="I134" s="181"/>
      <c r="J134" s="29"/>
      <c r="K134" s="29"/>
      <c r="L134" s="29"/>
      <c r="M134" s="29"/>
      <c r="N134" s="29"/>
      <c r="O134" s="29"/>
      <c r="P134" s="2"/>
      <c r="Q134" s="2"/>
      <c r="R134" s="2"/>
      <c r="S134" s="2"/>
      <c r="T134" s="2"/>
      <c r="U134" s="2"/>
      <c r="V134" s="2"/>
      <c r="W134" s="2"/>
      <c r="X134" s="2"/>
      <c r="Y134" s="2"/>
      <c r="Z134" s="2"/>
      <c r="AA134" s="2"/>
      <c r="AB134" s="2"/>
      <c r="AC134" s="2"/>
      <c r="AD134" s="2"/>
    </row>
  </sheetData>
  <mergeCells count="83">
    <mergeCell ref="A130:B130"/>
    <mergeCell ref="A131:B131"/>
    <mergeCell ref="A132:B132"/>
    <mergeCell ref="A133:B133"/>
    <mergeCell ref="A134:B134"/>
    <mergeCell ref="A129:B129"/>
    <mergeCell ref="A118:B118"/>
    <mergeCell ref="A119:B119"/>
    <mergeCell ref="A120:B120"/>
    <mergeCell ref="A121:B121"/>
    <mergeCell ref="A122:B122"/>
    <mergeCell ref="A123:B123"/>
    <mergeCell ref="A124:B124"/>
    <mergeCell ref="A125:B125"/>
    <mergeCell ref="A126:B126"/>
    <mergeCell ref="A127:B127"/>
    <mergeCell ref="A128:B128"/>
    <mergeCell ref="A117:B117"/>
    <mergeCell ref="A106:B106"/>
    <mergeCell ref="A107:B107"/>
    <mergeCell ref="A108:B108"/>
    <mergeCell ref="A109:B109"/>
    <mergeCell ref="A110:B110"/>
    <mergeCell ref="A111:B111"/>
    <mergeCell ref="A112:B112"/>
    <mergeCell ref="A113:B113"/>
    <mergeCell ref="A114:B114"/>
    <mergeCell ref="A115:B115"/>
    <mergeCell ref="A116:B116"/>
    <mergeCell ref="A105:B105"/>
    <mergeCell ref="A94:B94"/>
    <mergeCell ref="A95:B95"/>
    <mergeCell ref="A96:B96"/>
    <mergeCell ref="A97:B97"/>
    <mergeCell ref="A98:B98"/>
    <mergeCell ref="A99:B99"/>
    <mergeCell ref="A100:B100"/>
    <mergeCell ref="A101:B101"/>
    <mergeCell ref="A102:B102"/>
    <mergeCell ref="A103:B103"/>
    <mergeCell ref="A104:B104"/>
    <mergeCell ref="A93:B93"/>
    <mergeCell ref="A82:B82"/>
    <mergeCell ref="A83:B83"/>
    <mergeCell ref="A84:B84"/>
    <mergeCell ref="A85:B85"/>
    <mergeCell ref="A86:B86"/>
    <mergeCell ref="A87:B87"/>
    <mergeCell ref="A88:B88"/>
    <mergeCell ref="A89:B89"/>
    <mergeCell ref="A90:B90"/>
    <mergeCell ref="A91:B91"/>
    <mergeCell ref="A92:B92"/>
    <mergeCell ref="A81:B81"/>
    <mergeCell ref="A70:B70"/>
    <mergeCell ref="A71:B71"/>
    <mergeCell ref="A72:B72"/>
    <mergeCell ref="A73:B73"/>
    <mergeCell ref="A74:B74"/>
    <mergeCell ref="A75:B75"/>
    <mergeCell ref="A76:B76"/>
    <mergeCell ref="A77:B77"/>
    <mergeCell ref="A78:B78"/>
    <mergeCell ref="A79:B79"/>
    <mergeCell ref="A80:B80"/>
    <mergeCell ref="A69:B69"/>
    <mergeCell ref="A18:B18"/>
    <mergeCell ref="A19:B19"/>
    <mergeCell ref="A20:B20"/>
    <mergeCell ref="A25:B25"/>
    <mergeCell ref="A31:B31"/>
    <mergeCell ref="A36:B36"/>
    <mergeCell ref="A46:B46"/>
    <mergeCell ref="A56:B56"/>
    <mergeCell ref="A66:B66"/>
    <mergeCell ref="A67:B67"/>
    <mergeCell ref="A68:B68"/>
    <mergeCell ref="A13:B13"/>
    <mergeCell ref="A1:B1"/>
    <mergeCell ref="A3:B3"/>
    <mergeCell ref="A10:B10"/>
    <mergeCell ref="A11:B11"/>
    <mergeCell ref="A12:B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5BCD-43B6-413B-828B-9780D2019C5B}">
  <dimension ref="A1:AI342"/>
  <sheetViews>
    <sheetView tabSelected="1" zoomScale="85" zoomScaleNormal="85" workbookViewId="0">
      <pane xSplit="4" ySplit="4" topLeftCell="E5" activePane="bottomRight" state="frozen"/>
      <selection pane="topRight" activeCell="E1" sqref="E1"/>
      <selection pane="bottomLeft" activeCell="A5" sqref="A5"/>
      <selection pane="bottomRight" activeCell="N23" sqref="N23"/>
    </sheetView>
  </sheetViews>
  <sheetFormatPr defaultRowHeight="15" x14ac:dyDescent="0.25"/>
  <cols>
    <col min="2" max="2" width="69.42578125" bestFit="1" customWidth="1"/>
    <col min="14" max="14" width="9" customWidth="1"/>
  </cols>
  <sheetData>
    <row r="1" spans="1:35" x14ac:dyDescent="0.25">
      <c r="A1" s="98"/>
      <c r="B1" s="9" t="s">
        <v>489</v>
      </c>
      <c r="C1" s="2"/>
      <c r="D1" s="32">
        <v>2015</v>
      </c>
      <c r="E1" s="2">
        <v>2016</v>
      </c>
      <c r="F1" s="2">
        <v>2017</v>
      </c>
      <c r="G1" s="2">
        <v>2018</v>
      </c>
      <c r="H1" s="2">
        <v>2019</v>
      </c>
      <c r="I1" s="2">
        <v>2020</v>
      </c>
      <c r="J1" s="2">
        <v>2021</v>
      </c>
      <c r="K1" s="2">
        <v>2022</v>
      </c>
      <c r="L1" s="2">
        <v>2023</v>
      </c>
      <c r="M1" s="2">
        <v>2024</v>
      </c>
      <c r="N1" s="2">
        <v>2025</v>
      </c>
      <c r="O1" s="2">
        <v>2026</v>
      </c>
      <c r="P1" s="2">
        <v>2027</v>
      </c>
      <c r="Q1" s="2">
        <v>2028</v>
      </c>
      <c r="R1" s="2">
        <v>2029</v>
      </c>
      <c r="S1" s="2">
        <v>2030</v>
      </c>
      <c r="T1" s="2">
        <v>2031</v>
      </c>
      <c r="U1" s="2">
        <v>2032</v>
      </c>
      <c r="V1" s="2">
        <v>2033</v>
      </c>
      <c r="W1" s="2">
        <v>2034</v>
      </c>
      <c r="X1" s="2">
        <v>2035</v>
      </c>
      <c r="Y1" s="2"/>
      <c r="Z1" s="2" t="s">
        <v>229</v>
      </c>
      <c r="AA1" s="99">
        <v>2025</v>
      </c>
      <c r="AB1" s="3"/>
      <c r="AC1" s="99">
        <v>2026</v>
      </c>
      <c r="AD1" s="3"/>
      <c r="AE1" s="99">
        <v>2027</v>
      </c>
      <c r="AF1" s="3"/>
      <c r="AG1" s="2"/>
      <c r="AH1" s="2"/>
      <c r="AI1" s="2"/>
    </row>
    <row r="2" spans="1:35" x14ac:dyDescent="0.25">
      <c r="A2" s="309"/>
      <c r="B2" s="309"/>
      <c r="C2" s="2"/>
      <c r="D2" s="100"/>
      <c r="E2" s="12" t="s">
        <v>25</v>
      </c>
      <c r="F2" s="12"/>
      <c r="G2" s="12"/>
      <c r="H2" s="12"/>
      <c r="I2" s="12"/>
      <c r="J2" s="12"/>
      <c r="K2" s="12"/>
      <c r="L2" s="12"/>
      <c r="M2" s="12"/>
      <c r="N2" s="12"/>
      <c r="O2" s="14" t="s">
        <v>26</v>
      </c>
      <c r="P2" s="14"/>
      <c r="Q2" s="14"/>
      <c r="R2" s="14"/>
      <c r="S2" s="14"/>
      <c r="T2" s="14"/>
      <c r="U2" s="14"/>
      <c r="V2" s="14"/>
      <c r="W2" s="14"/>
      <c r="X2" s="14"/>
      <c r="Y2" s="2"/>
      <c r="Z2" s="2"/>
      <c r="AA2" s="101" t="s">
        <v>26</v>
      </c>
      <c r="AB2" s="102" t="s">
        <v>26</v>
      </c>
      <c r="AC2" s="101"/>
      <c r="AD2" s="102" t="s">
        <v>26</v>
      </c>
      <c r="AE2" s="101"/>
      <c r="AF2" s="102" t="s">
        <v>26</v>
      </c>
      <c r="AG2" s="2"/>
      <c r="AH2" s="2"/>
      <c r="AI2" s="2"/>
    </row>
    <row r="3" spans="1:35" x14ac:dyDescent="0.25">
      <c r="A3" s="307"/>
      <c r="B3" s="308"/>
      <c r="C3" s="16" t="s">
        <v>28</v>
      </c>
      <c r="D3" s="103" t="s">
        <v>230</v>
      </c>
      <c r="E3" s="17" t="s">
        <v>231</v>
      </c>
      <c r="F3" s="17" t="s">
        <v>232</v>
      </c>
      <c r="G3" s="17" t="s">
        <v>233</v>
      </c>
      <c r="H3" s="17" t="s">
        <v>234</v>
      </c>
      <c r="I3" s="17" t="s">
        <v>235</v>
      </c>
      <c r="J3" s="17" t="s">
        <v>236</v>
      </c>
      <c r="K3" s="17" t="s">
        <v>237</v>
      </c>
      <c r="L3" s="17" t="s">
        <v>238</v>
      </c>
      <c r="M3" s="17" t="s">
        <v>239</v>
      </c>
      <c r="N3" s="17" t="s">
        <v>240</v>
      </c>
      <c r="O3" s="18" t="s">
        <v>241</v>
      </c>
      <c r="P3" s="18" t="s">
        <v>242</v>
      </c>
      <c r="Q3" s="18" t="s">
        <v>243</v>
      </c>
      <c r="R3" s="18" t="s">
        <v>244</v>
      </c>
      <c r="S3" s="18" t="s">
        <v>245</v>
      </c>
      <c r="T3" s="18" t="s">
        <v>246</v>
      </c>
      <c r="U3" s="18" t="s">
        <v>247</v>
      </c>
      <c r="V3" s="18" t="s">
        <v>248</v>
      </c>
      <c r="W3" s="18" t="s">
        <v>249</v>
      </c>
      <c r="X3" s="18" t="s">
        <v>250</v>
      </c>
      <c r="Y3" s="2"/>
      <c r="Z3" s="2"/>
      <c r="AA3" s="104" t="s">
        <v>251</v>
      </c>
      <c r="AB3" s="105" t="s">
        <v>252</v>
      </c>
      <c r="AC3" s="104" t="s">
        <v>241</v>
      </c>
      <c r="AD3" s="105" t="s">
        <v>252</v>
      </c>
      <c r="AE3" s="104" t="s">
        <v>242</v>
      </c>
      <c r="AF3" s="105" t="s">
        <v>252</v>
      </c>
      <c r="AG3" s="2"/>
      <c r="AH3" s="2"/>
      <c r="AI3" s="2"/>
    </row>
    <row r="4" spans="1:35" x14ac:dyDescent="0.25">
      <c r="A4" s="20"/>
      <c r="B4" s="21" t="s">
        <v>63</v>
      </c>
      <c r="C4" s="23"/>
      <c r="D4" s="243">
        <f t="shared" ref="D4:M4" si="0">DATE(D1,6,30)</f>
        <v>42185</v>
      </c>
      <c r="E4" s="243">
        <f t="shared" si="0"/>
        <v>42551</v>
      </c>
      <c r="F4" s="243">
        <f t="shared" si="0"/>
        <v>42916</v>
      </c>
      <c r="G4" s="243">
        <f t="shared" si="0"/>
        <v>43281</v>
      </c>
      <c r="H4" s="243">
        <f t="shared" si="0"/>
        <v>43646</v>
      </c>
      <c r="I4" s="243">
        <f t="shared" si="0"/>
        <v>44012</v>
      </c>
      <c r="J4" s="243">
        <f t="shared" si="0"/>
        <v>44377</v>
      </c>
      <c r="K4" s="243">
        <f t="shared" si="0"/>
        <v>44742</v>
      </c>
      <c r="L4" s="243">
        <f t="shared" si="0"/>
        <v>45107</v>
      </c>
      <c r="M4" s="243">
        <f t="shared" si="0"/>
        <v>45473</v>
      </c>
      <c r="N4" s="243">
        <f>DATE(N1,6,30)</f>
        <v>45838</v>
      </c>
      <c r="O4" s="243">
        <f t="shared" ref="O4:X4" si="1">DATE(O1,6,30)</f>
        <v>46203</v>
      </c>
      <c r="P4" s="243">
        <f t="shared" si="1"/>
        <v>46568</v>
      </c>
      <c r="Q4" s="243">
        <f t="shared" si="1"/>
        <v>46934</v>
      </c>
      <c r="R4" s="243">
        <f t="shared" si="1"/>
        <v>47299</v>
      </c>
      <c r="S4" s="243">
        <f t="shared" si="1"/>
        <v>47664</v>
      </c>
      <c r="T4" s="243">
        <f t="shared" si="1"/>
        <v>48029</v>
      </c>
      <c r="U4" s="243">
        <f t="shared" si="1"/>
        <v>48395</v>
      </c>
      <c r="V4" s="243">
        <f t="shared" si="1"/>
        <v>48760</v>
      </c>
      <c r="W4" s="243">
        <f t="shared" si="1"/>
        <v>49125</v>
      </c>
      <c r="X4" s="243">
        <f t="shared" si="1"/>
        <v>49490</v>
      </c>
      <c r="Y4" s="2"/>
      <c r="Z4" s="2"/>
      <c r="AA4" s="106"/>
      <c r="AB4" s="107"/>
      <c r="AC4" s="106"/>
      <c r="AD4" s="107"/>
      <c r="AE4" s="106"/>
      <c r="AF4" s="107"/>
      <c r="AG4" s="2"/>
      <c r="AH4" s="2"/>
      <c r="AI4" s="2"/>
    </row>
    <row r="5" spans="1:35" x14ac:dyDescent="0.25">
      <c r="A5" s="307"/>
      <c r="B5" s="308"/>
      <c r="C5" s="27"/>
      <c r="D5" s="28"/>
      <c r="E5" s="29"/>
      <c r="F5" s="29"/>
      <c r="G5" s="29"/>
      <c r="H5" s="29"/>
      <c r="I5" s="29"/>
      <c r="J5" s="29"/>
      <c r="K5" s="29"/>
      <c r="L5" s="29"/>
      <c r="M5" s="29"/>
      <c r="N5" s="29"/>
      <c r="O5" s="29"/>
      <c r="P5" s="29"/>
      <c r="Q5" s="29"/>
      <c r="R5" s="29"/>
      <c r="S5" s="29"/>
      <c r="T5" s="29"/>
      <c r="U5" s="29"/>
      <c r="V5" s="29"/>
      <c r="W5" s="29"/>
      <c r="X5" s="29"/>
      <c r="Y5" s="2"/>
      <c r="Z5" s="2"/>
      <c r="AA5" s="106"/>
      <c r="AB5" s="107"/>
      <c r="AC5" s="106"/>
      <c r="AD5" s="107"/>
      <c r="AE5" s="106"/>
      <c r="AF5" s="107"/>
      <c r="AG5" s="2"/>
      <c r="AH5" s="2"/>
      <c r="AI5" s="2"/>
    </row>
    <row r="6" spans="1:35" x14ac:dyDescent="0.25">
      <c r="A6" s="20"/>
      <c r="B6" s="30" t="s">
        <v>64</v>
      </c>
      <c r="C6" s="31"/>
      <c r="D6" s="32"/>
      <c r="E6" s="2"/>
      <c r="F6" s="2"/>
      <c r="G6" s="2"/>
      <c r="H6" s="2"/>
      <c r="I6" s="29"/>
      <c r="J6" s="29"/>
      <c r="K6" s="29"/>
      <c r="L6" s="29"/>
      <c r="M6" s="29"/>
      <c r="N6" s="29"/>
      <c r="O6" s="29"/>
      <c r="P6" s="29"/>
      <c r="Q6" s="249">
        <f>Q9/Q7</f>
        <v>0.10567939898031081</v>
      </c>
      <c r="R6" s="249">
        <f t="shared" ref="R6:X6" si="2">R9/R7</f>
        <v>0.15990013231537784</v>
      </c>
      <c r="S6" s="249">
        <f t="shared" si="2"/>
        <v>0.21711165306541766</v>
      </c>
      <c r="T6" s="249">
        <f t="shared" si="2"/>
        <v>0.27829394027105187</v>
      </c>
      <c r="U6" s="249">
        <f t="shared" si="2"/>
        <v>0.34259987543897186</v>
      </c>
      <c r="V6" s="249">
        <f t="shared" si="2"/>
        <v>0.4102424751627074</v>
      </c>
      <c r="W6" s="249">
        <f t="shared" si="2"/>
        <v>0.48144626785742273</v>
      </c>
      <c r="X6" s="249">
        <f t="shared" si="2"/>
        <v>0.55644813867416287</v>
      </c>
      <c r="Y6" s="2"/>
      <c r="Z6" s="2"/>
      <c r="AA6" s="106"/>
      <c r="AB6" s="107"/>
      <c r="AC6" s="106"/>
      <c r="AD6" s="107"/>
      <c r="AE6" s="106"/>
      <c r="AF6" s="107"/>
      <c r="AG6" s="2"/>
      <c r="AH6" s="2"/>
      <c r="AI6" s="2"/>
    </row>
    <row r="7" spans="1:35" x14ac:dyDescent="0.25">
      <c r="A7" s="20" t="s">
        <v>65</v>
      </c>
      <c r="B7" s="33" t="s">
        <v>66</v>
      </c>
      <c r="C7" s="27" t="s">
        <v>67</v>
      </c>
      <c r="D7" s="32"/>
      <c r="E7" s="34"/>
      <c r="F7" s="34">
        <v>527</v>
      </c>
      <c r="G7" s="34">
        <v>551.1</v>
      </c>
      <c r="H7" s="34">
        <v>569.70000000000005</v>
      </c>
      <c r="I7" s="34">
        <v>589.29999999999995</v>
      </c>
      <c r="J7" s="34">
        <v>656.8</v>
      </c>
      <c r="K7" s="34">
        <v>820.1</v>
      </c>
      <c r="L7" s="34">
        <v>742.8</v>
      </c>
      <c r="M7" s="34">
        <v>799.2</v>
      </c>
      <c r="N7" s="34">
        <v>911.3</v>
      </c>
      <c r="O7" s="236">
        <f>INDEX(Segments!$A:$AJ,MATCH(Annual!$A7,Segments!$A:$A,0),MATCH("1H"&amp;RIGHT(Annual!O$1,2),Segments!$A$3:$AJ$3,0))+INDEX(Segments!$A:$AJ,MATCH(Annual!$A7,Segments!$A:$A,0),MATCH("2H"&amp;RIGHT(Annual!O$1,2),Segments!$A$3:$AJ$3,0))</f>
        <v>1066.3765458430769</v>
      </c>
      <c r="P7" s="236">
        <f>INDEX(Segments!$A:$AJ,MATCH(Annual!$A7,Segments!$A:$A,0),MATCH("1H"&amp;RIGHT(Annual!P$1,2),Segments!$A$3:$AJ$3,0))+INDEX(Segments!$A:$AJ,MATCH(Annual!$A7,Segments!$A:$A,0),MATCH("2H"&amp;RIGHT(Annual!P$1,2),Segments!$A$3:$AJ$3,0))</f>
        <v>1176.697481757144</v>
      </c>
      <c r="Q7" s="236">
        <f>INDEX(Segments!$A:$AJ,MATCH(Annual!$A7,Segments!$A:$A,0),MATCH("1H"&amp;RIGHT(Annual!Q$1,2),Segments!$A$3:$AJ$3,0))+INDEX(Segments!$A:$AJ,MATCH(Annual!$A7,Segments!$A:$A,0),MATCH("2H"&amp;RIGHT(Annual!Q$1,2),Segments!$A$3:$AJ$3,0))</f>
        <v>1257.0465945249359</v>
      </c>
      <c r="R7" s="236">
        <f>INDEX(Segments!$A:$AJ,MATCH(Annual!$A7,Segments!$A:$A,0),MATCH("1H"&amp;RIGHT(Annual!R$1,2),Segments!$A$3:$AJ$3,0))+INDEX(Segments!$A:$AJ,MATCH(Annual!$A7,Segments!$A:$A,0),MATCH("2H"&amp;RIGHT(Annual!R$1,2),Segments!$A$3:$AJ$3,0))</f>
        <v>1341.2374414019246</v>
      </c>
      <c r="S7" s="236">
        <f>INDEX(Segments!$A:$AJ,MATCH(Annual!$A7,Segments!$A:$A,0),MATCH("1H"&amp;RIGHT(Annual!S$1,2),Segments!$A$3:$AJ$3,0))+INDEX(Segments!$A:$AJ,MATCH(Annual!$A7,Segments!$A:$A,0),MATCH("2H"&amp;RIGHT(Annual!S$1,2),Segments!$A$3:$AJ$3,0))</f>
        <v>1431.7949467723561</v>
      </c>
      <c r="T7" s="236">
        <f>INDEX(Segments!$A:$AJ,MATCH(Annual!$A7,Segments!$A:$A,0),MATCH("1H"&amp;RIGHT(Annual!T$1,2),Segments!$A$3:$AJ$3,0))+INDEX(Segments!$A:$AJ,MATCH(Annual!$A7,Segments!$A:$A,0),MATCH("2H"&amp;RIGHT(Annual!T$1,2),Segments!$A$3:$AJ$3,0))</f>
        <v>1517.7026435786977</v>
      </c>
      <c r="U7" s="236">
        <f>INDEX(Segments!$A:$AJ,MATCH(Annual!$A7,Segments!$A:$A,0),MATCH("1H"&amp;RIGHT(Annual!U$1,2),Segments!$A$3:$AJ$3,0))+INDEX(Segments!$A:$AJ,MATCH(Annual!$A7,Segments!$A:$A,0),MATCH("2H"&amp;RIGHT(Annual!U$1,2),Segments!$A$3:$AJ$3,0))</f>
        <v>1608.7648021934197</v>
      </c>
      <c r="V7" s="236">
        <f>INDEX(Segments!$A:$AJ,MATCH(Annual!$A7,Segments!$A:$A,0),MATCH("1H"&amp;RIGHT(Annual!V$1,2),Segments!$A$3:$AJ$3,0))+INDEX(Segments!$A:$AJ,MATCH(Annual!$A7,Segments!$A:$A,0),MATCH("2H"&amp;RIGHT(Annual!V$1,2),Segments!$A$3:$AJ$3,0))</f>
        <v>1705.290690325025</v>
      </c>
      <c r="W7" s="236">
        <f>INDEX(Segments!$A:$AJ,MATCH(Annual!$A7,Segments!$A:$A,0),MATCH("1H"&amp;RIGHT(Annual!W$1,2),Segments!$A$3:$AJ$3,0))+INDEX(Segments!$A:$AJ,MATCH(Annual!$A7,Segments!$A:$A,0),MATCH("2H"&amp;RIGHT(Annual!W$1,2),Segments!$A$3:$AJ$3,0))</f>
        <v>1807.6081317445264</v>
      </c>
      <c r="X7" s="236">
        <f>INDEX(Segments!$A:$AJ,MATCH(Annual!$A7,Segments!$A:$A,0),MATCH("1H"&amp;RIGHT(Annual!X$1,2),Segments!$A$3:$AJ$3,0))+INDEX(Segments!$A:$AJ,MATCH(Annual!$A7,Segments!$A:$A,0),MATCH("2H"&amp;RIGHT(Annual!X$1,2),Segments!$A$3:$AJ$3,0))</f>
        <v>1916.064619649198</v>
      </c>
      <c r="Y7" s="2"/>
      <c r="Z7" s="2"/>
      <c r="AA7" s="108">
        <v>90.2</v>
      </c>
      <c r="AB7" s="109">
        <v>821.1</v>
      </c>
      <c r="AC7" s="108">
        <v>127.4</v>
      </c>
      <c r="AD7" s="109">
        <v>958.6</v>
      </c>
      <c r="AE7" s="108">
        <v>155.1</v>
      </c>
      <c r="AF7" s="110">
        <v>1043.2</v>
      </c>
      <c r="AG7" s="2"/>
      <c r="AH7" s="2"/>
      <c r="AI7" s="2"/>
    </row>
    <row r="8" spans="1:35" x14ac:dyDescent="0.25">
      <c r="A8" s="20" t="s">
        <v>69</v>
      </c>
      <c r="B8" s="33" t="s">
        <v>70</v>
      </c>
      <c r="C8" s="27" t="s">
        <v>67</v>
      </c>
      <c r="D8" s="32"/>
      <c r="E8" s="34"/>
      <c r="F8" s="34">
        <v>46.3</v>
      </c>
      <c r="G8" s="34">
        <v>52.3</v>
      </c>
      <c r="H8" s="34">
        <v>73.099999999999994</v>
      </c>
      <c r="I8" s="34">
        <v>85.7</v>
      </c>
      <c r="J8" s="34">
        <v>90.2</v>
      </c>
      <c r="K8" s="34">
        <v>108.8</v>
      </c>
      <c r="L8" s="34">
        <v>260</v>
      </c>
      <c r="M8" s="34">
        <v>278.60000000000002</v>
      </c>
      <c r="N8" s="34">
        <v>324.2</v>
      </c>
      <c r="O8" s="236">
        <f>INDEX(Segments!$A:$AJ,MATCH(Annual!$A8,Segments!$A:$A,0),MATCH("1H"&amp;RIGHT(Annual!O$1,2),Segments!$A$3:$AJ$3,0))+INDEX(Segments!$A:$AJ,MATCH(Annual!$A8,Segments!$A:$A,0),MATCH("2H"&amp;RIGHT(Annual!O$1,2),Segments!$A$3:$AJ$3,0))</f>
        <v>386.75159999999994</v>
      </c>
      <c r="P8" s="236">
        <f>INDEX(Segments!$A:$AJ,MATCH(Annual!$A8,Segments!$A:$A,0),MATCH("1H"&amp;RIGHT(Annual!P$1,2),Segments!$A$3:$AJ$3,0))+INDEX(Segments!$A:$AJ,MATCH(Annual!$A8,Segments!$A:$A,0),MATCH("2H"&amp;RIGHT(Annual!P$1,2),Segments!$A$3:$AJ$3,0))</f>
        <v>425.42676</v>
      </c>
      <c r="Q8" s="236">
        <f>INDEX(Segments!$A:$AJ,MATCH(Annual!$A8,Segments!$A:$A,0),MATCH("1H"&amp;RIGHT(Annual!Q$1,2),Segments!$A$3:$AJ$3,0))+INDEX(Segments!$A:$AJ,MATCH(Annual!$A8,Segments!$A:$A,0),MATCH("2H"&amp;RIGHT(Annual!Q$1,2),Segments!$A$3:$AJ$3,0))</f>
        <v>450.95236560000001</v>
      </c>
      <c r="R8" s="236">
        <f>INDEX(Segments!$A:$AJ,MATCH(Annual!$A8,Segments!$A:$A,0),MATCH("1H"&amp;RIGHT(Annual!R$1,2),Segments!$A$3:$AJ$3,0))+INDEX(Segments!$A:$AJ,MATCH(Annual!$A8,Segments!$A:$A,0),MATCH("2H"&amp;RIGHT(Annual!R$1,2),Segments!$A$3:$AJ$3,0))</f>
        <v>478.009507536</v>
      </c>
      <c r="S8" s="236">
        <f>INDEX(Segments!$A:$AJ,MATCH(Annual!$A8,Segments!$A:$A,0),MATCH("1H"&amp;RIGHT(Annual!S$1,2),Segments!$A$3:$AJ$3,0))+INDEX(Segments!$A:$AJ,MATCH(Annual!$A8,Segments!$A:$A,0),MATCH("2H"&amp;RIGHT(Annual!S$1,2),Segments!$A$3:$AJ$3,0))</f>
        <v>506.69007798816006</v>
      </c>
      <c r="T8" s="236">
        <f>INDEX(Segments!$A:$AJ,MATCH(Annual!$A8,Segments!$A:$A,0),MATCH("1H"&amp;RIGHT(Annual!T$1,2),Segments!$A$3:$AJ$3,0))+INDEX(Segments!$A:$AJ,MATCH(Annual!$A8,Segments!$A:$A,0),MATCH("2H"&amp;RIGHT(Annual!T$1,2),Segments!$A$3:$AJ$3,0))</f>
        <v>537.09148266744978</v>
      </c>
      <c r="U8" s="236">
        <f>INDEX(Segments!$A:$AJ,MATCH(Annual!$A8,Segments!$A:$A,0),MATCH("1H"&amp;RIGHT(Annual!U$1,2),Segments!$A$3:$AJ$3,0))+INDEX(Segments!$A:$AJ,MATCH(Annual!$A8,Segments!$A:$A,0),MATCH("2H"&amp;RIGHT(Annual!U$1,2),Segments!$A$3:$AJ$3,0))</f>
        <v>569.31697162749674</v>
      </c>
      <c r="V8" s="236">
        <f>INDEX(Segments!$A:$AJ,MATCH(Annual!$A8,Segments!$A:$A,0),MATCH("1H"&amp;RIGHT(Annual!V$1,2),Segments!$A$3:$AJ$3,0))+INDEX(Segments!$A:$AJ,MATCH(Annual!$A8,Segments!$A:$A,0),MATCH("2H"&amp;RIGHT(Annual!V$1,2),Segments!$A$3:$AJ$3,0))</f>
        <v>603.47598992514656</v>
      </c>
      <c r="W8" s="236">
        <f>INDEX(Segments!$A:$AJ,MATCH(Annual!$A8,Segments!$A:$A,0),MATCH("1H"&amp;RIGHT(Annual!W$1,2),Segments!$A$3:$AJ$3,0))+INDEX(Segments!$A:$AJ,MATCH(Annual!$A8,Segments!$A:$A,0),MATCH("2H"&amp;RIGHT(Annual!W$1,2),Segments!$A$3:$AJ$3,0))</f>
        <v>639.68454932065538</v>
      </c>
      <c r="X8" s="236">
        <f>INDEX(Segments!$A:$AJ,MATCH(Annual!$A8,Segments!$A:$A,0),MATCH("1H"&amp;RIGHT(Annual!X$1,2),Segments!$A$3:$AJ$3,0))+INDEX(Segments!$A:$AJ,MATCH(Annual!$A8,Segments!$A:$A,0),MATCH("2H"&amp;RIGHT(Annual!X$1,2),Segments!$A$3:$AJ$3,0))</f>
        <v>678.0656222798948</v>
      </c>
      <c r="Y8" s="2"/>
      <c r="Z8" s="2"/>
      <c r="AA8" s="108">
        <v>26.4</v>
      </c>
      <c r="AB8" s="109">
        <v>297.8</v>
      </c>
      <c r="AC8" s="108">
        <v>31.6</v>
      </c>
      <c r="AD8" s="109">
        <v>357.4</v>
      </c>
      <c r="AE8" s="108">
        <v>39.5</v>
      </c>
      <c r="AF8" s="109">
        <v>388.4</v>
      </c>
      <c r="AG8" s="2"/>
      <c r="AH8" s="2"/>
      <c r="AI8" s="2"/>
    </row>
    <row r="9" spans="1:35" x14ac:dyDescent="0.25">
      <c r="A9" s="20" t="s">
        <v>71</v>
      </c>
      <c r="B9" s="33" t="s">
        <v>72</v>
      </c>
      <c r="C9" s="27" t="s">
        <v>67</v>
      </c>
      <c r="D9" s="32" t="s">
        <v>73</v>
      </c>
      <c r="E9" s="34"/>
      <c r="F9" s="34"/>
      <c r="G9" s="34"/>
      <c r="H9" s="34"/>
      <c r="I9" s="34"/>
      <c r="J9" s="34"/>
      <c r="K9" s="34"/>
      <c r="L9" s="34"/>
      <c r="M9" s="34"/>
      <c r="N9" s="34"/>
      <c r="O9" s="236">
        <f>INDEX(Segments!$A:$AJ,MATCH(Annual!$A9,Segments!$A:$A,0),MATCH("1H"&amp;RIGHT(Annual!O$1,2),Segments!$A$3:$AJ$3,0))+INDEX(Segments!$A:$AJ,MATCH(Annual!$A9,Segments!$A:$A,0),MATCH("2H"&amp;RIGHT(Annual!O$1,2),Segments!$A$3:$AJ$3,0))</f>
        <v>21.623032727022686</v>
      </c>
      <c r="P9" s="236">
        <f>INDEX(Segments!$A:$AJ,MATCH(Annual!$A9,Segments!$A:$A,0),MATCH("1H"&amp;RIGHT(Annual!P$1,2),Segments!$A$3:$AJ$3,0))+INDEX(Segments!$A:$AJ,MATCH(Annual!$A9,Segments!$A:$A,0),MATCH("2H"&amp;RIGHT(Annual!P$1,2),Segments!$A$3:$AJ$3,0))</f>
        <v>61.651305244438419</v>
      </c>
      <c r="Q9" s="236">
        <f>INDEX(Segments!$A:$AJ,MATCH(Annual!$A9,Segments!$A:$A,0),MATCH("1H"&amp;RIGHT(Annual!Q$1,2),Segments!$A$3:$AJ$3,0))+INDEX(Segments!$A:$AJ,MATCH(Annual!$A9,Segments!$A:$A,0),MATCH("2H"&amp;RIGHT(Annual!Q$1,2),Segments!$A$3:$AJ$3,0))</f>
        <v>132.84392859964169</v>
      </c>
      <c r="R9" s="236">
        <f>INDEX(Segments!$A:$AJ,MATCH(Annual!$A9,Segments!$A:$A,0),MATCH("1H"&amp;RIGHT(Annual!R$1,2),Segments!$A$3:$AJ$3,0))+INDEX(Segments!$A:$AJ,MATCH(Annual!$A9,Segments!$A:$A,0),MATCH("2H"&amp;RIGHT(Annual!R$1,2),Segments!$A$3:$AJ$3,0))</f>
        <v>214.46404434650657</v>
      </c>
      <c r="S9" s="236">
        <f>INDEX(Segments!$A:$AJ,MATCH(Annual!$A9,Segments!$A:$A,0),MATCH("1H"&amp;RIGHT(Annual!S$1,2),Segments!$A$3:$AJ$3,0))+INDEX(Segments!$A:$AJ,MATCH(Annual!$A9,Segments!$A:$A,0),MATCH("2H"&amp;RIGHT(Annual!S$1,2),Segments!$A$3:$AJ$3,0))</f>
        <v>310.85936774445793</v>
      </c>
      <c r="T9" s="236">
        <f>INDEX(Segments!$A:$AJ,MATCH(Annual!$A9,Segments!$A:$A,0),MATCH("1H"&amp;RIGHT(Annual!T$1,2),Segments!$A$3:$AJ$3,0))+INDEX(Segments!$A:$AJ,MATCH(Annual!$A9,Segments!$A:$A,0),MATCH("2H"&amp;RIGHT(Annual!T$1,2),Segments!$A$3:$AJ$3,0))</f>
        <v>422.36744884130763</v>
      </c>
      <c r="U9" s="236">
        <f>INDEX(Segments!$A:$AJ,MATCH(Annual!$A9,Segments!$A:$A,0),MATCH("1H"&amp;RIGHT(Annual!U$1,2),Segments!$A$3:$AJ$3,0))+INDEX(Segments!$A:$AJ,MATCH(Annual!$A9,Segments!$A:$A,0),MATCH("2H"&amp;RIGHT(Annual!U$1,2),Segments!$A$3:$AJ$3,0))</f>
        <v>551.16262084206778</v>
      </c>
      <c r="V9" s="236">
        <f>INDEX(Segments!$A:$AJ,MATCH(Annual!$A9,Segments!$A:$A,0),MATCH("1H"&amp;RIGHT(Annual!V$1,2),Segments!$A$3:$AJ$3,0))+INDEX(Segments!$A:$AJ,MATCH(Annual!$A9,Segments!$A:$A,0),MATCH("2H"&amp;RIGHT(Annual!V$1,2),Segments!$A$3:$AJ$3,0))</f>
        <v>699.58267367086023</v>
      </c>
      <c r="W9" s="236">
        <f>INDEX(Segments!$A:$AJ,MATCH(Annual!$A9,Segments!$A:$A,0),MATCH("1H"&amp;RIGHT(Annual!W$1,2),Segments!$A$3:$AJ$3,0))+INDEX(Segments!$A:$AJ,MATCH(Annual!$A9,Segments!$A:$A,0),MATCH("2H"&amp;RIGHT(Annual!W$1,2),Segments!$A$3:$AJ$3,0))</f>
        <v>870.26618877713076</v>
      </c>
      <c r="X9" s="236">
        <f>INDEX(Segments!$A:$AJ,MATCH(Annual!$A9,Segments!$A:$A,0),MATCH("1H"&amp;RIGHT(Annual!X$1,2),Segments!$A$3:$AJ$3,0))+INDEX(Segments!$A:$AJ,MATCH(Annual!$A9,Segments!$A:$A,0),MATCH("2H"&amp;RIGHT(Annual!X$1,2),Segments!$A$3:$AJ$3,0))</f>
        <v>1066.1905911832141</v>
      </c>
      <c r="Y9" s="2"/>
      <c r="Z9" s="2"/>
      <c r="AA9" s="108">
        <v>0.7</v>
      </c>
      <c r="AB9" s="109">
        <v>-0.7</v>
      </c>
      <c r="AC9" s="108">
        <v>0.7</v>
      </c>
      <c r="AD9" s="109">
        <v>43.3</v>
      </c>
      <c r="AE9" s="108">
        <v>0.7</v>
      </c>
      <c r="AF9" s="109">
        <v>128.19999999999999</v>
      </c>
      <c r="AG9" s="2"/>
      <c r="AH9" s="2"/>
      <c r="AI9" s="2"/>
    </row>
    <row r="10" spans="1:35" x14ac:dyDescent="0.25">
      <c r="A10" s="20" t="s">
        <v>74</v>
      </c>
      <c r="B10" s="36" t="s">
        <v>75</v>
      </c>
      <c r="C10" s="37" t="s">
        <v>67</v>
      </c>
      <c r="D10" s="38"/>
      <c r="E10" s="38"/>
      <c r="F10" s="235">
        <f t="shared" ref="F10:M10" si="3">SUM(F7:F9)</f>
        <v>573.29999999999995</v>
      </c>
      <c r="G10" s="235">
        <f t="shared" si="3"/>
        <v>603.4</v>
      </c>
      <c r="H10" s="235">
        <f t="shared" si="3"/>
        <v>642.80000000000007</v>
      </c>
      <c r="I10" s="235">
        <f t="shared" si="3"/>
        <v>675</v>
      </c>
      <c r="J10" s="235">
        <f t="shared" si="3"/>
        <v>747</v>
      </c>
      <c r="K10" s="235">
        <f t="shared" si="3"/>
        <v>928.9</v>
      </c>
      <c r="L10" s="235">
        <f t="shared" si="3"/>
        <v>1002.8</v>
      </c>
      <c r="M10" s="235">
        <f t="shared" si="3"/>
        <v>1077.8000000000002</v>
      </c>
      <c r="N10" s="235">
        <f>SUM(N7:N9)</f>
        <v>1235.5</v>
      </c>
      <c r="O10" s="235">
        <f>INDEX(Segments!$A:$AJ,MATCH(Annual!$A10,Segments!$A:$A,0),MATCH("1H"&amp;RIGHT(Annual!O$1,2),Segments!$A$3:$AJ$3,0))+INDEX(Segments!$A:$AJ,MATCH(Annual!$A10,Segments!$A:$A,0),MATCH("2H"&amp;RIGHT(Annual!O$1,2),Segments!$A$3:$AJ$3,0))</f>
        <v>1474.7511785700995</v>
      </c>
      <c r="P10" s="235">
        <f>INDEX(Segments!$A:$AJ,MATCH(Annual!$A10,Segments!$A:$A,0),MATCH("1H"&amp;RIGHT(Annual!P$1,2),Segments!$A$3:$AJ$3,0))+INDEX(Segments!$A:$AJ,MATCH(Annual!$A10,Segments!$A:$A,0),MATCH("2H"&amp;RIGHT(Annual!P$1,2),Segments!$A$3:$AJ$3,0))</f>
        <v>1663.7755470015825</v>
      </c>
      <c r="Q10" s="235">
        <f>INDEX(Segments!$A:$AJ,MATCH(Annual!$A10,Segments!$A:$A,0),MATCH("1H"&amp;RIGHT(Annual!Q$1,2),Segments!$A$3:$AJ$3,0))+INDEX(Segments!$A:$AJ,MATCH(Annual!$A10,Segments!$A:$A,0),MATCH("2H"&amp;RIGHT(Annual!Q$1,2),Segments!$A$3:$AJ$3,0))</f>
        <v>1840.8428887245777</v>
      </c>
      <c r="R10" s="235">
        <f>INDEX(Segments!$A:$AJ,MATCH(Annual!$A10,Segments!$A:$A,0),MATCH("1H"&amp;RIGHT(Annual!R$1,2),Segments!$A$3:$AJ$3,0))+INDEX(Segments!$A:$AJ,MATCH(Annual!$A10,Segments!$A:$A,0),MATCH("2H"&amp;RIGHT(Annual!R$1,2),Segments!$A$3:$AJ$3,0))</f>
        <v>2033.710993284431</v>
      </c>
      <c r="S10" s="235">
        <f>INDEX(Segments!$A:$AJ,MATCH(Annual!$A10,Segments!$A:$A,0),MATCH("1H"&amp;RIGHT(Annual!S$1,2),Segments!$A$3:$AJ$3,0))+INDEX(Segments!$A:$AJ,MATCH(Annual!$A10,Segments!$A:$A,0),MATCH("2H"&amp;RIGHT(Annual!S$1,2),Segments!$A$3:$AJ$3,0))</f>
        <v>2249.3443925049742</v>
      </c>
      <c r="T10" s="235">
        <f>INDEX(Segments!$A:$AJ,MATCH(Annual!$A10,Segments!$A:$A,0),MATCH("1H"&amp;RIGHT(Annual!T$1,2),Segments!$A$3:$AJ$3,0))+INDEX(Segments!$A:$AJ,MATCH(Annual!$A10,Segments!$A:$A,0),MATCH("2H"&amp;RIGHT(Annual!T$1,2),Segments!$A$3:$AJ$3,0))</f>
        <v>2477.1615750874553</v>
      </c>
      <c r="U10" s="235">
        <f>INDEX(Segments!$A:$AJ,MATCH(Annual!$A10,Segments!$A:$A,0),MATCH("1H"&amp;RIGHT(Annual!U$1,2),Segments!$A$3:$AJ$3,0))+INDEX(Segments!$A:$AJ,MATCH(Annual!$A10,Segments!$A:$A,0),MATCH("2H"&amp;RIGHT(Annual!U$1,2),Segments!$A$3:$AJ$3,0))</f>
        <v>2729.2443946629842</v>
      </c>
      <c r="V10" s="235">
        <f>INDEX(Segments!$A:$AJ,MATCH(Annual!$A10,Segments!$A:$A,0),MATCH("1H"&amp;RIGHT(Annual!V$1,2),Segments!$A$3:$AJ$3,0))+INDEX(Segments!$A:$AJ,MATCH(Annual!$A10,Segments!$A:$A,0),MATCH("2H"&amp;RIGHT(Annual!V$1,2),Segments!$A$3:$AJ$3,0))</f>
        <v>3008.3493539210317</v>
      </c>
      <c r="W10" s="235">
        <f>INDEX(Segments!$A:$AJ,MATCH(Annual!$A10,Segments!$A:$A,0),MATCH("1H"&amp;RIGHT(Annual!W$1,2),Segments!$A$3:$AJ$3,0))+INDEX(Segments!$A:$AJ,MATCH(Annual!$A10,Segments!$A:$A,0),MATCH("2H"&amp;RIGHT(Annual!W$1,2),Segments!$A$3:$AJ$3,0))</f>
        <v>3317.5588698423126</v>
      </c>
      <c r="X10" s="235">
        <f>INDEX(Segments!$A:$AJ,MATCH(Annual!$A10,Segments!$A:$A,0),MATCH("1H"&amp;RIGHT(Annual!X$1,2),Segments!$A$3:$AJ$3,0))+INDEX(Segments!$A:$AJ,MATCH(Annual!$A10,Segments!$A:$A,0),MATCH("2H"&amp;RIGHT(Annual!X$1,2),Segments!$A$3:$AJ$3,0))</f>
        <v>3660.3208331123069</v>
      </c>
      <c r="Y10" s="2"/>
      <c r="Z10" s="2"/>
      <c r="AA10" s="111">
        <v>117.3</v>
      </c>
      <c r="AB10" s="112">
        <v>1118.2</v>
      </c>
      <c r="AC10" s="111">
        <v>159.69999999999999</v>
      </c>
      <c r="AD10" s="112">
        <v>1359.4</v>
      </c>
      <c r="AE10" s="111">
        <v>195.3</v>
      </c>
      <c r="AF10" s="112">
        <v>1559.9</v>
      </c>
      <c r="AG10" s="2"/>
      <c r="AH10" s="2"/>
      <c r="AI10" s="2"/>
    </row>
    <row r="11" spans="1:35" x14ac:dyDescent="0.25">
      <c r="A11" s="20"/>
      <c r="B11" s="33" t="s">
        <v>76</v>
      </c>
      <c r="C11" s="27" t="s">
        <v>77</v>
      </c>
      <c r="D11" s="29"/>
      <c r="E11" s="29"/>
      <c r="F11" s="40"/>
      <c r="G11" s="40">
        <f t="shared" ref="G11:M11" si="4">G10/F10-1</f>
        <v>5.2503052503052539E-2</v>
      </c>
      <c r="H11" s="40">
        <f t="shared" si="4"/>
        <v>6.5296652303612923E-2</v>
      </c>
      <c r="I11" s="40">
        <f t="shared" si="4"/>
        <v>5.009334163036705E-2</v>
      </c>
      <c r="J11" s="40">
        <f t="shared" si="4"/>
        <v>0.10666666666666669</v>
      </c>
      <c r="K11" s="40">
        <f t="shared" si="4"/>
        <v>0.24350736278447127</v>
      </c>
      <c r="L11" s="40">
        <f t="shared" si="4"/>
        <v>7.9556464635590407E-2</v>
      </c>
      <c r="M11" s="40">
        <f t="shared" si="4"/>
        <v>7.4790586358197242E-2</v>
      </c>
      <c r="N11" s="40">
        <f>N10/M10-1</f>
        <v>0.14631657079235461</v>
      </c>
      <c r="O11" s="40">
        <f t="shared" ref="O11:X11" si="5">O10/N10-1</f>
        <v>0.19364725096730018</v>
      </c>
      <c r="P11" s="40">
        <f t="shared" si="5"/>
        <v>0.12817373613815897</v>
      </c>
      <c r="Q11" s="40">
        <f t="shared" si="5"/>
        <v>0.1064250175103858</v>
      </c>
      <c r="R11" s="40">
        <f t="shared" si="5"/>
        <v>0.10477162703085496</v>
      </c>
      <c r="S11" s="40">
        <f t="shared" si="5"/>
        <v>0.1060295194020151</v>
      </c>
      <c r="T11" s="40">
        <f t="shared" si="5"/>
        <v>0.10128159269055881</v>
      </c>
      <c r="U11" s="40">
        <f t="shared" si="5"/>
        <v>0.10176276836791698</v>
      </c>
      <c r="V11" s="40">
        <f t="shared" si="5"/>
        <v>0.10226455344337615</v>
      </c>
      <c r="W11" s="40">
        <f t="shared" si="5"/>
        <v>0.10278377925697435</v>
      </c>
      <c r="X11" s="40">
        <f t="shared" si="5"/>
        <v>0.10331752252712434</v>
      </c>
      <c r="Y11" s="2"/>
      <c r="Z11" s="2"/>
      <c r="AA11" s="113">
        <v>0.15</v>
      </c>
      <c r="AB11" s="114">
        <v>-0.01</v>
      </c>
      <c r="AC11" s="113">
        <v>0.36</v>
      </c>
      <c r="AD11" s="114">
        <v>-0.13</v>
      </c>
      <c r="AE11" s="113">
        <v>0.22</v>
      </c>
      <c r="AF11" s="114">
        <v>-7.0000000000000007E-2</v>
      </c>
      <c r="AG11" s="2"/>
      <c r="AH11" s="2"/>
      <c r="AI11" s="2"/>
    </row>
    <row r="12" spans="1:35" x14ac:dyDescent="0.25">
      <c r="A12" s="307"/>
      <c r="B12" s="308"/>
      <c r="C12" s="27"/>
      <c r="D12" s="29"/>
      <c r="E12" s="29"/>
      <c r="F12" s="29"/>
      <c r="G12" s="29"/>
      <c r="H12" s="29"/>
      <c r="I12" s="29"/>
      <c r="J12" s="29"/>
      <c r="K12" s="29"/>
      <c r="L12" s="29"/>
      <c r="M12" s="29"/>
      <c r="N12" s="29"/>
      <c r="O12" s="29"/>
      <c r="P12" s="29"/>
      <c r="Q12" s="29"/>
      <c r="R12" s="29"/>
      <c r="S12" s="29"/>
      <c r="T12" s="29"/>
      <c r="U12" s="29"/>
      <c r="V12" s="29"/>
      <c r="W12" s="29"/>
      <c r="X12" s="29"/>
      <c r="Y12" s="2"/>
      <c r="Z12" s="2"/>
      <c r="AA12" s="106"/>
      <c r="AB12" s="107"/>
      <c r="AC12" s="106"/>
      <c r="AD12" s="107"/>
      <c r="AE12" s="106"/>
      <c r="AF12" s="107"/>
      <c r="AG12" s="2"/>
      <c r="AH12" s="2"/>
      <c r="AI12" s="2"/>
    </row>
    <row r="13" spans="1:35" x14ac:dyDescent="0.25">
      <c r="A13" s="20"/>
      <c r="B13" s="30" t="s">
        <v>78</v>
      </c>
      <c r="C13" s="31"/>
      <c r="D13" s="2"/>
      <c r="E13" s="2"/>
      <c r="F13" s="2"/>
      <c r="G13" s="2"/>
      <c r="H13" s="2"/>
      <c r="I13" s="29"/>
      <c r="J13" s="29"/>
      <c r="K13" s="29"/>
      <c r="L13" s="29"/>
      <c r="M13" s="29"/>
      <c r="N13" s="29"/>
      <c r="O13" s="29"/>
      <c r="P13" s="29"/>
      <c r="Q13" s="29"/>
      <c r="R13" s="29"/>
      <c r="S13" s="29"/>
      <c r="T13" s="29"/>
      <c r="U13" s="29"/>
      <c r="V13" s="29"/>
      <c r="W13" s="29"/>
      <c r="X13" s="29"/>
      <c r="Y13" s="2"/>
      <c r="Z13" s="2"/>
      <c r="AA13" s="106"/>
      <c r="AB13" s="107"/>
      <c r="AC13" s="106"/>
      <c r="AD13" s="107"/>
      <c r="AE13" s="106"/>
      <c r="AF13" s="107"/>
      <c r="AG13" s="2"/>
      <c r="AH13" s="2"/>
      <c r="AI13" s="2"/>
    </row>
    <row r="14" spans="1:35" x14ac:dyDescent="0.25">
      <c r="A14" s="20" t="s">
        <v>79</v>
      </c>
      <c r="B14" s="33" t="s">
        <v>80</v>
      </c>
      <c r="C14" s="27" t="s">
        <v>67</v>
      </c>
      <c r="D14" s="34" t="s">
        <v>73</v>
      </c>
      <c r="E14" s="34"/>
      <c r="F14" s="34">
        <v>-474.6</v>
      </c>
      <c r="G14" s="34">
        <v>-493.9</v>
      </c>
      <c r="H14" s="34">
        <v>-514.1</v>
      </c>
      <c r="I14" s="34">
        <v>-531.1</v>
      </c>
      <c r="J14" s="34">
        <v>-598.1</v>
      </c>
      <c r="K14" s="34">
        <v>-741</v>
      </c>
      <c r="L14" s="34">
        <v>-679.1</v>
      </c>
      <c r="M14" s="34">
        <v>-726.5</v>
      </c>
      <c r="N14" s="34">
        <v>-832.6</v>
      </c>
      <c r="O14" s="236">
        <f>INDEX(Segments!$A:$AJ,MATCH(Annual!$A14,Segments!$A:$A,0),MATCH("1H"&amp;RIGHT(Annual!O$1,2),Segments!$A$3:$AJ$3,0))+INDEX(Segments!$A:$AJ,MATCH(Annual!$A14,Segments!$A:$A,0),MATCH("2H"&amp;RIGHT(Annual!O$1,2),Segments!$A$3:$AJ$3,0))</f>
        <v>-960.57357502660545</v>
      </c>
      <c r="P14" s="236">
        <f>INDEX(Segments!$A:$AJ,MATCH(Annual!$A14,Segments!$A:$A,0),MATCH("1H"&amp;RIGHT(Annual!P$1,2),Segments!$A$3:$AJ$3,0))+INDEX(Segments!$A:$AJ,MATCH(Annual!$A14,Segments!$A:$A,0),MATCH("2H"&amp;RIGHT(Annual!P$1,2),Segments!$A$3:$AJ$3,0))</f>
        <v>-1059.9486188862654</v>
      </c>
      <c r="Q14" s="236">
        <f>INDEX(Segments!$A:$AJ,MATCH(Annual!$A14,Segments!$A:$A,0),MATCH("1H"&amp;RIGHT(Annual!Q$1,2),Segments!$A$3:$AJ$3,0))+INDEX(Segments!$A:$AJ,MATCH(Annual!$A14,Segments!$A:$A,0),MATCH("2H"&amp;RIGHT(Annual!Q$1,2),Segments!$A$3:$AJ$3,0))</f>
        <v>-1132.3253042470192</v>
      </c>
      <c r="R14" s="236">
        <f>INDEX(Segments!$A:$AJ,MATCH(Annual!$A14,Segments!$A:$A,0),MATCH("1H"&amp;RIGHT(Annual!R$1,2),Segments!$A$3:$AJ$3,0))+INDEX(Segments!$A:$AJ,MATCH(Annual!$A14,Segments!$A:$A,0),MATCH("2H"&amp;RIGHT(Annual!R$1,2),Segments!$A$3:$AJ$3,0))</f>
        <v>-1208.1625748746778</v>
      </c>
      <c r="S14" s="236">
        <f>INDEX(Segments!$A:$AJ,MATCH(Annual!$A14,Segments!$A:$A,0),MATCH("1H"&amp;RIGHT(Annual!S$1,2),Segments!$A$3:$AJ$3,0))+INDEX(Segments!$A:$AJ,MATCH(Annual!$A14,Segments!$A:$A,0),MATCH("2H"&amp;RIGHT(Annual!S$1,2),Segments!$A$3:$AJ$3,0))</f>
        <v>-1289.7347445959219</v>
      </c>
      <c r="T14" s="236">
        <f>INDEX(Segments!$A:$AJ,MATCH(Annual!$A14,Segments!$A:$A,0),MATCH("1H"&amp;RIGHT(Annual!T$1,2),Segments!$A$3:$AJ$3,0))+INDEX(Segments!$A:$AJ,MATCH(Annual!$A14,Segments!$A:$A,0),MATCH("2H"&amp;RIGHT(Annual!T$1,2),Segments!$A$3:$AJ$3,0))</f>
        <v>-1367.1188292716772</v>
      </c>
      <c r="U14" s="236">
        <f>INDEX(Segments!$A:$AJ,MATCH(Annual!$A14,Segments!$A:$A,0),MATCH("1H"&amp;RIGHT(Annual!U$1,2),Segments!$A$3:$AJ$3,0))+INDEX(Segments!$A:$AJ,MATCH(Annual!$A14,Segments!$A:$A,0),MATCH("2H"&amp;RIGHT(Annual!U$1,2),Segments!$A$3:$AJ$3,0))</f>
        <v>-1449.1459590279778</v>
      </c>
      <c r="V14" s="236">
        <f>INDEX(Segments!$A:$AJ,MATCH(Annual!$A14,Segments!$A:$A,0),MATCH("1H"&amp;RIGHT(Annual!V$1,2),Segments!$A$3:$AJ$3,0))+INDEX(Segments!$A:$AJ,MATCH(Annual!$A14,Segments!$A:$A,0),MATCH("2H"&amp;RIGHT(Annual!V$1,2),Segments!$A$3:$AJ$3,0))</f>
        <v>-1536.0947165696568</v>
      </c>
      <c r="W14" s="236">
        <f>INDEX(Segments!$A:$AJ,MATCH(Annual!$A14,Segments!$A:$A,0),MATCH("1H"&amp;RIGHT(Annual!W$1,2),Segments!$A$3:$AJ$3,0))+INDEX(Segments!$A:$AJ,MATCH(Annual!$A14,Segments!$A:$A,0),MATCH("2H"&amp;RIGHT(Annual!W$1,2),Segments!$A$3:$AJ$3,0))</f>
        <v>-1628.2603995638365</v>
      </c>
      <c r="X14" s="236">
        <f>INDEX(Segments!$A:$AJ,MATCH(Annual!$A14,Segments!$A:$A,0),MATCH("1H"&amp;RIGHT(Annual!X$1,2),Segments!$A$3:$AJ$3,0))+INDEX(Segments!$A:$AJ,MATCH(Annual!$A14,Segments!$A:$A,0),MATCH("2H"&amp;RIGHT(Annual!X$1,2),Segments!$A$3:$AJ$3,0))</f>
        <v>-1725.9560235376664</v>
      </c>
      <c r="Y14" s="2"/>
      <c r="Z14" s="2"/>
      <c r="AA14" s="108"/>
      <c r="AB14" s="109"/>
      <c r="AC14" s="108"/>
      <c r="AD14" s="109"/>
      <c r="AE14" s="108"/>
      <c r="AF14" s="109"/>
      <c r="AG14" s="2"/>
      <c r="AH14" s="2"/>
      <c r="AI14" s="2"/>
    </row>
    <row r="15" spans="1:35" x14ac:dyDescent="0.25">
      <c r="A15" s="20" t="s">
        <v>81</v>
      </c>
      <c r="B15" s="33" t="s">
        <v>82</v>
      </c>
      <c r="C15" s="27" t="s">
        <v>67</v>
      </c>
      <c r="D15" s="34"/>
      <c r="E15" s="34"/>
      <c r="F15" s="34">
        <v>-31.7</v>
      </c>
      <c r="G15" s="34">
        <v>-36.9</v>
      </c>
      <c r="H15" s="34">
        <v>-53.5</v>
      </c>
      <c r="I15" s="34">
        <v>-53.3</v>
      </c>
      <c r="J15" s="34">
        <v>-46.5</v>
      </c>
      <c r="K15" s="34">
        <v>-57.7</v>
      </c>
      <c r="L15" s="34">
        <v>-210.6</v>
      </c>
      <c r="M15" s="34">
        <v>-246.6</v>
      </c>
      <c r="N15" s="34">
        <v>-282.89999999999998</v>
      </c>
      <c r="O15" s="236">
        <f>INDEX(Segments!$A:$AJ,MATCH(Annual!$A15,Segments!$A:$A,0),MATCH("1H"&amp;RIGHT(Annual!O$1,2),Segments!$A$3:$AJ$3,0))+INDEX(Segments!$A:$AJ,MATCH(Annual!$A15,Segments!$A:$A,0),MATCH("2H"&amp;RIGHT(Annual!O$1,2),Segments!$A$3:$AJ$3,0))</f>
        <v>-349.79161229483566</v>
      </c>
      <c r="P15" s="236">
        <f>INDEX(Segments!$A:$AJ,MATCH(Annual!$A15,Segments!$A:$A,0),MATCH("1H"&amp;RIGHT(Annual!P$1,2),Segments!$A$3:$AJ$3,0))+INDEX(Segments!$A:$AJ,MATCH(Annual!$A15,Segments!$A:$A,0),MATCH("2H"&amp;RIGHT(Annual!P$1,2),Segments!$A$3:$AJ$3,0))</f>
        <v>-384.37204218103568</v>
      </c>
      <c r="Q15" s="236">
        <f>INDEX(Segments!$A:$AJ,MATCH(Annual!$A15,Segments!$A:$A,0),MATCH("1H"&amp;RIGHT(Annual!Q$1,2),Segments!$A$3:$AJ$3,0))+INDEX(Segments!$A:$AJ,MATCH(Annual!$A15,Segments!$A:$A,0),MATCH("2H"&amp;RIGHT(Annual!Q$1,2),Segments!$A$3:$AJ$3,0))</f>
        <v>-407.06753187607694</v>
      </c>
      <c r="R15" s="236">
        <f>INDEX(Segments!$A:$AJ,MATCH(Annual!$A15,Segments!$A:$A,0),MATCH("1H"&amp;RIGHT(Annual!R$1,2),Segments!$A$3:$AJ$3,0))+INDEX(Segments!$A:$AJ,MATCH(Annual!$A15,Segments!$A:$A,0),MATCH("2H"&amp;RIGHT(Annual!R$1,2),Segments!$A$3:$AJ$3,0))</f>
        <v>-431.49158378864161</v>
      </c>
      <c r="S15" s="236">
        <f>INDEX(Segments!$A:$AJ,MATCH(Annual!$A15,Segments!$A:$A,0),MATCH("1H"&amp;RIGHT(Annual!S$1,2),Segments!$A$3:$AJ$3,0))+INDEX(Segments!$A:$AJ,MATCH(Annual!$A15,Segments!$A:$A,0),MATCH("2H"&amp;RIGHT(Annual!S$1,2),Segments!$A$3:$AJ$3,0))</f>
        <v>-457.38107881596017</v>
      </c>
      <c r="T15" s="236">
        <f>INDEX(Segments!$A:$AJ,MATCH(Annual!$A15,Segments!$A:$A,0),MATCH("1H"&amp;RIGHT(Annual!T$1,2),Segments!$A$3:$AJ$3,0))+INDEX(Segments!$A:$AJ,MATCH(Annual!$A15,Segments!$A:$A,0),MATCH("2H"&amp;RIGHT(Annual!T$1,2),Segments!$A$3:$AJ$3,0))</f>
        <v>-484.82394354491777</v>
      </c>
      <c r="U15" s="236">
        <f>INDEX(Segments!$A:$AJ,MATCH(Annual!$A15,Segments!$A:$A,0),MATCH("1H"&amp;RIGHT(Annual!U$1,2),Segments!$A$3:$AJ$3,0))+INDEX(Segments!$A:$AJ,MATCH(Annual!$A15,Segments!$A:$A,0),MATCH("2H"&amp;RIGHT(Annual!U$1,2),Segments!$A$3:$AJ$3,0))</f>
        <v>-513.91338015761289</v>
      </c>
      <c r="V15" s="236">
        <f>INDEX(Segments!$A:$AJ,MATCH(Annual!$A15,Segments!$A:$A,0),MATCH("1H"&amp;RIGHT(Annual!V$1,2),Segments!$A$3:$AJ$3,0))+INDEX(Segments!$A:$AJ,MATCH(Annual!$A15,Segments!$A:$A,0),MATCH("2H"&amp;RIGHT(Annual!V$1,2),Segments!$A$3:$AJ$3,0))</f>
        <v>-544.74818296706962</v>
      </c>
      <c r="W15" s="236">
        <f>INDEX(Segments!$A:$AJ,MATCH(Annual!$A15,Segments!$A:$A,0),MATCH("1H"&amp;RIGHT(Annual!W$1,2),Segments!$A$3:$AJ$3,0))+INDEX(Segments!$A:$AJ,MATCH(Annual!$A15,Segments!$A:$A,0),MATCH("2H"&amp;RIGHT(Annual!W$1,2),Segments!$A$3:$AJ$3,0))</f>
        <v>-577.43307394509384</v>
      </c>
      <c r="X15" s="236">
        <f>INDEX(Segments!$A:$AJ,MATCH(Annual!$A15,Segments!$A:$A,0),MATCH("1H"&amp;RIGHT(Annual!X$1,2),Segments!$A$3:$AJ$3,0))+INDEX(Segments!$A:$AJ,MATCH(Annual!$A15,Segments!$A:$A,0),MATCH("2H"&amp;RIGHT(Annual!X$1,2),Segments!$A$3:$AJ$3,0))</f>
        <v>-612.07905838179954</v>
      </c>
      <c r="Y15" s="2"/>
      <c r="Z15" s="2"/>
      <c r="AA15" s="108"/>
      <c r="AB15" s="109"/>
      <c r="AC15" s="108"/>
      <c r="AD15" s="109"/>
      <c r="AE15" s="108"/>
      <c r="AF15" s="109"/>
      <c r="AG15" s="2"/>
      <c r="AH15" s="2"/>
      <c r="AI15" s="2"/>
    </row>
    <row r="16" spans="1:35" x14ac:dyDescent="0.25">
      <c r="A16" s="20" t="s">
        <v>83</v>
      </c>
      <c r="B16" s="33" t="s">
        <v>72</v>
      </c>
      <c r="C16" s="27" t="s">
        <v>67</v>
      </c>
      <c r="D16" s="34"/>
      <c r="E16" s="34"/>
      <c r="F16" s="34"/>
      <c r="G16" s="34"/>
      <c r="H16" s="34"/>
      <c r="I16" s="34"/>
      <c r="J16" s="34"/>
      <c r="K16" s="34"/>
      <c r="L16" s="34"/>
      <c r="M16" s="34"/>
      <c r="N16" s="34"/>
      <c r="O16" s="236">
        <f>INDEX(Segments!$A:$AJ,MATCH(Annual!$A16,Segments!$A:$A,0),MATCH("1H"&amp;RIGHT(Annual!O$1,2),Segments!$A$3:$AJ$3,0))+INDEX(Segments!$A:$AJ,MATCH(Annual!$A16,Segments!$A:$A,0),MATCH("2H"&amp;RIGHT(Annual!O$1,2),Segments!$A$3:$AJ$3,0))</f>
        <v>-18.952699957705143</v>
      </c>
      <c r="P16" s="236">
        <f>INDEX(Segments!$A:$AJ,MATCH(Annual!$A16,Segments!$A:$A,0),MATCH("1H"&amp;RIGHT(Annual!P$1,2),Segments!$A$3:$AJ$3,0))+INDEX(Segments!$A:$AJ,MATCH(Annual!$A16,Segments!$A:$A,0),MATCH("2H"&amp;RIGHT(Annual!P$1,2),Segments!$A$3:$AJ$3,0))</f>
        <v>-54.110757545937439</v>
      </c>
      <c r="Q16" s="236">
        <f>INDEX(Segments!$A:$AJ,MATCH(Annual!$A16,Segments!$A:$A,0),MATCH("1H"&amp;RIGHT(Annual!Q$1,2),Segments!$A$3:$AJ$3,0))+INDEX(Segments!$A:$AJ,MATCH(Annual!$A16,Segments!$A:$A,0),MATCH("2H"&amp;RIGHT(Annual!Q$1,2),Segments!$A$3:$AJ$3,0))</f>
        <v>-116.73963863752047</v>
      </c>
      <c r="R16" s="236">
        <f>INDEX(Segments!$A:$AJ,MATCH(Annual!$A16,Segments!$A:$A,0),MATCH("1H"&amp;RIGHT(Annual!R$1,2),Segments!$A$3:$AJ$3,0))+INDEX(Segments!$A:$AJ,MATCH(Annual!$A16,Segments!$A:$A,0),MATCH("2H"&amp;RIGHT(Annual!R$1,2),Segments!$A$3:$AJ$3,0))</f>
        <v>-188.61909972425426</v>
      </c>
      <c r="S16" s="236">
        <f>INDEX(Segments!$A:$AJ,MATCH(Annual!$A16,Segments!$A:$A,0),MATCH("1H"&amp;RIGHT(Annual!S$1,2),Segments!$A$3:$AJ$3,0))+INDEX(Segments!$A:$AJ,MATCH(Annual!$A16,Segments!$A:$A,0),MATCH("2H"&amp;RIGHT(Annual!S$1,2),Segments!$A$3:$AJ$3,0))</f>
        <v>-273.59138314260576</v>
      </c>
      <c r="T16" s="236">
        <f>INDEX(Segments!$A:$AJ,MATCH(Annual!$A16,Segments!$A:$A,0),MATCH("1H"&amp;RIGHT(Annual!T$1,2),Segments!$A$3:$AJ$3,0))+INDEX(Segments!$A:$AJ,MATCH(Annual!$A16,Segments!$A:$A,0),MATCH("2H"&amp;RIGHT(Annual!T$1,2),Segments!$A$3:$AJ$3,0))</f>
        <v>-371.94952623897717</v>
      </c>
      <c r="U16" s="236">
        <f>INDEX(Segments!$A:$AJ,MATCH(Annual!$A16,Segments!$A:$A,0),MATCH("1H"&amp;RIGHT(Annual!U$1,2),Segments!$A$3:$AJ$3,0))+INDEX(Segments!$A:$AJ,MATCH(Annual!$A16,Segments!$A:$A,0),MATCH("2H"&amp;RIGHT(Annual!U$1,2),Segments!$A$3:$AJ$3,0))</f>
        <v>-485.63894702679596</v>
      </c>
      <c r="V16" s="236">
        <f>INDEX(Segments!$A:$AJ,MATCH(Annual!$A16,Segments!$A:$A,0),MATCH("1H"&amp;RIGHT(Annual!V$1,2),Segments!$A$3:$AJ$3,0))+INDEX(Segments!$A:$AJ,MATCH(Annual!$A16,Segments!$A:$A,0),MATCH("2H"&amp;RIGHT(Annual!V$1,2),Segments!$A$3:$AJ$3,0))</f>
        <v>-616.73955782572568</v>
      </c>
      <c r="W16" s="236">
        <f>INDEX(Segments!$A:$AJ,MATCH(Annual!$A16,Segments!$A:$A,0),MATCH("1H"&amp;RIGHT(Annual!W$1,2),Segments!$A$3:$AJ$3,0))+INDEX(Segments!$A:$AJ,MATCH(Annual!$A16,Segments!$A:$A,0),MATCH("2H"&amp;RIGHT(Annual!W$1,2),Segments!$A$3:$AJ$3,0))</f>
        <v>-767.5994796620073</v>
      </c>
      <c r="X16" s="236">
        <f>INDEX(Segments!$A:$AJ,MATCH(Annual!$A16,Segments!$A:$A,0),MATCH("1H"&amp;RIGHT(Annual!X$1,2),Segments!$A$3:$AJ$3,0))+INDEX(Segments!$A:$AJ,MATCH(Annual!$A16,Segments!$A:$A,0),MATCH("2H"&amp;RIGHT(Annual!X$1,2),Segments!$A$3:$AJ$3,0))</f>
        <v>-940.86902316654539</v>
      </c>
      <c r="Y16" s="2"/>
      <c r="Z16" s="2"/>
      <c r="AA16" s="108"/>
      <c r="AB16" s="109"/>
      <c r="AC16" s="108"/>
      <c r="AD16" s="109"/>
      <c r="AE16" s="108"/>
      <c r="AF16" s="109"/>
      <c r="AG16" s="2"/>
      <c r="AH16" s="2"/>
      <c r="AI16" s="2"/>
    </row>
    <row r="17" spans="1:35" x14ac:dyDescent="0.25">
      <c r="A17" s="20" t="s">
        <v>84</v>
      </c>
      <c r="B17" s="36" t="s">
        <v>85</v>
      </c>
      <c r="C17" s="37" t="s">
        <v>67</v>
      </c>
      <c r="D17" s="39"/>
      <c r="E17" s="39"/>
      <c r="F17" s="235">
        <f t="shared" ref="F17:M17" si="6">SUM(F14:F16)</f>
        <v>-506.3</v>
      </c>
      <c r="G17" s="235">
        <f t="shared" si="6"/>
        <v>-530.79999999999995</v>
      </c>
      <c r="H17" s="235">
        <f t="shared" si="6"/>
        <v>-567.6</v>
      </c>
      <c r="I17" s="235">
        <f t="shared" si="6"/>
        <v>-584.4</v>
      </c>
      <c r="J17" s="235">
        <f t="shared" si="6"/>
        <v>-644.6</v>
      </c>
      <c r="K17" s="235">
        <f t="shared" si="6"/>
        <v>-798.7</v>
      </c>
      <c r="L17" s="235">
        <f t="shared" si="6"/>
        <v>-889.7</v>
      </c>
      <c r="M17" s="235">
        <f t="shared" si="6"/>
        <v>-973.1</v>
      </c>
      <c r="N17" s="235">
        <f>SUM(N14:N16)</f>
        <v>-1115.5</v>
      </c>
      <c r="O17" s="235">
        <f>INDEX(Segments!$A:$AJ,MATCH(Annual!$A17,Segments!$A:$A,0),MATCH("1H"&amp;RIGHT(Annual!O$1,2),Segments!$A$3:$AJ$3,0))+INDEX(Segments!$A:$AJ,MATCH(Annual!$A17,Segments!$A:$A,0),MATCH("2H"&amp;RIGHT(Annual!O$1,2),Segments!$A$3:$AJ$3,0))</f>
        <v>-1329.3178872791464</v>
      </c>
      <c r="P17" s="235">
        <f>INDEX(Segments!$A:$AJ,MATCH(Annual!$A17,Segments!$A:$A,0),MATCH("1H"&amp;RIGHT(Annual!P$1,2),Segments!$A$3:$AJ$3,0))+INDEX(Segments!$A:$AJ,MATCH(Annual!$A17,Segments!$A:$A,0),MATCH("2H"&amp;RIGHT(Annual!P$1,2),Segments!$A$3:$AJ$3,0))</f>
        <v>-1498.4314186132387</v>
      </c>
      <c r="Q17" s="235">
        <f>INDEX(Segments!$A:$AJ,MATCH(Annual!$A17,Segments!$A:$A,0),MATCH("1H"&amp;RIGHT(Annual!Q$1,2),Segments!$A$3:$AJ$3,0))+INDEX(Segments!$A:$AJ,MATCH(Annual!$A17,Segments!$A:$A,0),MATCH("2H"&amp;RIGHT(Annual!Q$1,2),Segments!$A$3:$AJ$3,0))</f>
        <v>-1656.1324747606166</v>
      </c>
      <c r="R17" s="235">
        <f>INDEX(Segments!$A:$AJ,MATCH(Annual!$A17,Segments!$A:$A,0),MATCH("1H"&amp;RIGHT(Annual!R$1,2),Segments!$A$3:$AJ$3,0))+INDEX(Segments!$A:$AJ,MATCH(Annual!$A17,Segments!$A:$A,0),MATCH("2H"&amp;RIGHT(Annual!R$1,2),Segments!$A$3:$AJ$3,0))</f>
        <v>-1828.2732583875736</v>
      </c>
      <c r="S17" s="235">
        <f>INDEX(Segments!$A:$AJ,MATCH(Annual!$A17,Segments!$A:$A,0),MATCH("1H"&amp;RIGHT(Annual!S$1,2),Segments!$A$3:$AJ$3,0))+INDEX(Segments!$A:$AJ,MATCH(Annual!$A17,Segments!$A:$A,0),MATCH("2H"&amp;RIGHT(Annual!S$1,2),Segments!$A$3:$AJ$3,0))</f>
        <v>-2020.7072065544878</v>
      </c>
      <c r="T17" s="235">
        <f>INDEX(Segments!$A:$AJ,MATCH(Annual!$A17,Segments!$A:$A,0),MATCH("1H"&amp;RIGHT(Annual!T$1,2),Segments!$A$3:$AJ$3,0))+INDEX(Segments!$A:$AJ,MATCH(Annual!$A17,Segments!$A:$A,0),MATCH("2H"&amp;RIGHT(Annual!T$1,2),Segments!$A$3:$AJ$3,0))</f>
        <v>-2223.892299055572</v>
      </c>
      <c r="U17" s="235">
        <f>INDEX(Segments!$A:$AJ,MATCH(Annual!$A17,Segments!$A:$A,0),MATCH("1H"&amp;RIGHT(Annual!U$1,2),Segments!$A$3:$AJ$3,0))+INDEX(Segments!$A:$AJ,MATCH(Annual!$A17,Segments!$A:$A,0),MATCH("2H"&amp;RIGHT(Annual!U$1,2),Segments!$A$3:$AJ$3,0))</f>
        <v>-2448.6982862123868</v>
      </c>
      <c r="V17" s="235">
        <f>INDEX(Segments!$A:$AJ,MATCH(Annual!$A17,Segments!$A:$A,0),MATCH("1H"&amp;RIGHT(Annual!V$1,2),Segments!$A$3:$AJ$3,0))+INDEX(Segments!$A:$AJ,MATCH(Annual!$A17,Segments!$A:$A,0),MATCH("2H"&amp;RIGHT(Annual!V$1,2),Segments!$A$3:$AJ$3,0))</f>
        <v>-2697.5824573624523</v>
      </c>
      <c r="W17" s="235">
        <f>INDEX(Segments!$A:$AJ,MATCH(Annual!$A17,Segments!$A:$A,0),MATCH("1H"&amp;RIGHT(Annual!W$1,2),Segments!$A$3:$AJ$3,0))+INDEX(Segments!$A:$AJ,MATCH(Annual!$A17,Segments!$A:$A,0),MATCH("2H"&amp;RIGHT(Annual!W$1,2),Segments!$A$3:$AJ$3,0))</f>
        <v>-2973.2929531709374</v>
      </c>
      <c r="X17" s="235">
        <f>INDEX(Segments!$A:$AJ,MATCH(Annual!$A17,Segments!$A:$A,0),MATCH("1H"&amp;RIGHT(Annual!X$1,2),Segments!$A$3:$AJ$3,0))+INDEX(Segments!$A:$AJ,MATCH(Annual!$A17,Segments!$A:$A,0),MATCH("2H"&amp;RIGHT(Annual!X$1,2),Segments!$A$3:$AJ$3,0))</f>
        <v>-3278.9041050860114</v>
      </c>
      <c r="Y17" s="2"/>
      <c r="Z17" s="2"/>
      <c r="AA17" s="111">
        <v>-29.3</v>
      </c>
      <c r="AB17" s="112">
        <v>-1086.2</v>
      </c>
      <c r="AC17" s="111">
        <v>-39.9</v>
      </c>
      <c r="AD17" s="112">
        <v>-1329</v>
      </c>
      <c r="AE17" s="111">
        <v>-48.8</v>
      </c>
      <c r="AF17" s="112">
        <v>-1529.9</v>
      </c>
      <c r="AG17" s="2"/>
      <c r="AH17" s="2"/>
      <c r="AI17" s="2"/>
    </row>
    <row r="18" spans="1:35" x14ac:dyDescent="0.25">
      <c r="A18" s="307"/>
      <c r="B18" s="308"/>
      <c r="C18" s="27"/>
      <c r="D18" s="29"/>
      <c r="E18" s="29"/>
      <c r="F18" s="29"/>
      <c r="G18" s="29"/>
      <c r="H18" s="29"/>
      <c r="I18" s="29"/>
      <c r="J18" s="29"/>
      <c r="K18" s="29"/>
      <c r="L18" s="29"/>
      <c r="M18" s="29"/>
      <c r="N18" s="29"/>
      <c r="O18" s="29"/>
      <c r="P18" s="29"/>
      <c r="Q18" s="29"/>
      <c r="R18" s="29"/>
      <c r="S18" s="29"/>
      <c r="T18" s="29"/>
      <c r="U18" s="29"/>
      <c r="V18" s="29"/>
      <c r="W18" s="29"/>
      <c r="X18" s="29"/>
      <c r="Y18" s="2"/>
      <c r="Z18" s="2"/>
      <c r="AA18" s="111"/>
      <c r="AB18" s="115"/>
      <c r="AC18" s="111"/>
      <c r="AD18" s="115"/>
      <c r="AE18" s="111"/>
      <c r="AF18" s="115"/>
      <c r="AG18" s="2"/>
      <c r="AH18" s="2"/>
      <c r="AI18" s="2"/>
    </row>
    <row r="19" spans="1:35" x14ac:dyDescent="0.25">
      <c r="A19" s="20" t="s">
        <v>86</v>
      </c>
      <c r="B19" s="36" t="s">
        <v>87</v>
      </c>
      <c r="C19" s="37" t="s">
        <v>67</v>
      </c>
      <c r="D19" s="39"/>
      <c r="E19" s="39"/>
      <c r="F19" s="235">
        <f t="shared" ref="F19:M19" si="7">F10+F17</f>
        <v>66.999999999999943</v>
      </c>
      <c r="G19" s="235">
        <f t="shared" si="7"/>
        <v>72.600000000000023</v>
      </c>
      <c r="H19" s="235">
        <f t="shared" si="7"/>
        <v>75.200000000000045</v>
      </c>
      <c r="I19" s="235">
        <f t="shared" si="7"/>
        <v>90.600000000000023</v>
      </c>
      <c r="J19" s="235">
        <f t="shared" si="7"/>
        <v>102.39999999999998</v>
      </c>
      <c r="K19" s="235">
        <f t="shared" si="7"/>
        <v>130.19999999999993</v>
      </c>
      <c r="L19" s="235">
        <f t="shared" si="7"/>
        <v>113.09999999999991</v>
      </c>
      <c r="M19" s="235">
        <f t="shared" si="7"/>
        <v>104.70000000000016</v>
      </c>
      <c r="N19" s="235">
        <f>N10+N17</f>
        <v>120</v>
      </c>
      <c r="O19" s="235">
        <f>INDEX(Segments!$A:$AJ,MATCH(Annual!$A19,Segments!$A:$A,0),MATCH("1H"&amp;RIGHT(Annual!O$1,2),Segments!$A$3:$AJ$3,0))+INDEX(Segments!$A:$AJ,MATCH(Annual!$A19,Segments!$A:$A,0),MATCH("2H"&amp;RIGHT(Annual!O$1,2),Segments!$A$3:$AJ$3,0))</f>
        <v>145.43329129095332</v>
      </c>
      <c r="P19" s="235">
        <f>INDEX(Segments!$A:$AJ,MATCH(Annual!$A19,Segments!$A:$A,0),MATCH("1H"&amp;RIGHT(Annual!P$1,2),Segments!$A$3:$AJ$3,0))+INDEX(Segments!$A:$AJ,MATCH(Annual!$A19,Segments!$A:$A,0),MATCH("2H"&amp;RIGHT(Annual!P$1,2),Segments!$A$3:$AJ$3,0))</f>
        <v>165.34412838834385</v>
      </c>
      <c r="Q19" s="235">
        <f>INDEX(Segments!$A:$AJ,MATCH(Annual!$A19,Segments!$A:$A,0),MATCH("1H"&amp;RIGHT(Annual!Q$1,2),Segments!$A$3:$AJ$3,0))+INDEX(Segments!$A:$AJ,MATCH(Annual!$A19,Segments!$A:$A,0),MATCH("2H"&amp;RIGHT(Annual!Q$1,2),Segments!$A$3:$AJ$3,0))</f>
        <v>184.71041396396106</v>
      </c>
      <c r="R19" s="235">
        <f>INDEX(Segments!$A:$AJ,MATCH(Annual!$A19,Segments!$A:$A,0),MATCH("1H"&amp;RIGHT(Annual!R$1,2),Segments!$A$3:$AJ$3,0))+INDEX(Segments!$A:$AJ,MATCH(Annual!$A19,Segments!$A:$A,0),MATCH("2H"&amp;RIGHT(Annual!R$1,2),Segments!$A$3:$AJ$3,0))</f>
        <v>205.43773489685736</v>
      </c>
      <c r="S19" s="235">
        <f>INDEX(Segments!$A:$AJ,MATCH(Annual!$A19,Segments!$A:$A,0),MATCH("1H"&amp;RIGHT(Annual!S$1,2),Segments!$A$3:$AJ$3,0))+INDEX(Segments!$A:$AJ,MATCH(Annual!$A19,Segments!$A:$A,0),MATCH("2H"&amp;RIGHT(Annual!S$1,2),Segments!$A$3:$AJ$3,0))</f>
        <v>228.63718595048636</v>
      </c>
      <c r="T19" s="235">
        <f>INDEX(Segments!$A:$AJ,MATCH(Annual!$A19,Segments!$A:$A,0),MATCH("1H"&amp;RIGHT(Annual!T$1,2),Segments!$A$3:$AJ$3,0))+INDEX(Segments!$A:$AJ,MATCH(Annual!$A19,Segments!$A:$A,0),MATCH("2H"&amp;RIGHT(Annual!T$1,2),Segments!$A$3:$AJ$3,0))</f>
        <v>253.26927603188301</v>
      </c>
      <c r="U19" s="235">
        <f>INDEX(Segments!$A:$AJ,MATCH(Annual!$A19,Segments!$A:$A,0),MATCH("1H"&amp;RIGHT(Annual!U$1,2),Segments!$A$3:$AJ$3,0))+INDEX(Segments!$A:$AJ,MATCH(Annual!$A19,Segments!$A:$A,0),MATCH("2H"&amp;RIGHT(Annual!U$1,2),Segments!$A$3:$AJ$3,0))</f>
        <v>280.54610845059756</v>
      </c>
      <c r="V19" s="235">
        <f>INDEX(Segments!$A:$AJ,MATCH(Annual!$A19,Segments!$A:$A,0),MATCH("1H"&amp;RIGHT(Annual!V$1,2),Segments!$A$3:$AJ$3,0))+INDEX(Segments!$A:$AJ,MATCH(Annual!$A19,Segments!$A:$A,0),MATCH("2H"&amp;RIGHT(Annual!V$1,2),Segments!$A$3:$AJ$3,0))</f>
        <v>310.76689655857967</v>
      </c>
      <c r="W19" s="235">
        <f>INDEX(Segments!$A:$AJ,MATCH(Annual!$A19,Segments!$A:$A,0),MATCH("1H"&amp;RIGHT(Annual!W$1,2),Segments!$A$3:$AJ$3,0))+INDEX(Segments!$A:$AJ,MATCH(Annual!$A19,Segments!$A:$A,0),MATCH("2H"&amp;RIGHT(Annual!W$1,2),Segments!$A$3:$AJ$3,0))</f>
        <v>344.26591667137518</v>
      </c>
      <c r="X19" s="235">
        <f>INDEX(Segments!$A:$AJ,MATCH(Annual!$A19,Segments!$A:$A,0),MATCH("1H"&amp;RIGHT(Annual!X$1,2),Segments!$A$3:$AJ$3,0))+INDEX(Segments!$A:$AJ,MATCH(Annual!$A19,Segments!$A:$A,0),MATCH("2H"&amp;RIGHT(Annual!X$1,2),Segments!$A$3:$AJ$3,0))</f>
        <v>381.41672802629569</v>
      </c>
      <c r="Y19" s="2"/>
      <c r="Z19" s="2"/>
      <c r="AA19" s="111">
        <v>-29.3</v>
      </c>
      <c r="AB19" s="115">
        <v>149.30000000000001</v>
      </c>
      <c r="AC19" s="111">
        <v>-39.9</v>
      </c>
      <c r="AD19" s="115">
        <v>190.1</v>
      </c>
      <c r="AE19" s="111">
        <v>-48.8</v>
      </c>
      <c r="AF19" s="115">
        <v>225.2</v>
      </c>
      <c r="AG19" s="2"/>
      <c r="AH19" s="2"/>
      <c r="AI19" s="2"/>
    </row>
    <row r="20" spans="1:35" x14ac:dyDescent="0.25">
      <c r="A20" s="20" t="s">
        <v>88</v>
      </c>
      <c r="B20" s="33" t="s">
        <v>89</v>
      </c>
      <c r="C20" s="27" t="s">
        <v>67</v>
      </c>
      <c r="D20" s="34" t="s">
        <v>73</v>
      </c>
      <c r="E20" s="34"/>
      <c r="F20" s="34">
        <v>16.7</v>
      </c>
      <c r="G20" s="34">
        <v>13.4</v>
      </c>
      <c r="H20" s="34">
        <v>15.1</v>
      </c>
      <c r="I20" s="34">
        <v>14.5</v>
      </c>
      <c r="J20" s="34">
        <v>14.4</v>
      </c>
      <c r="K20" s="34">
        <v>20.399999999999999</v>
      </c>
      <c r="L20" s="34">
        <v>21.9</v>
      </c>
      <c r="M20" s="34">
        <v>17.3</v>
      </c>
      <c r="N20" s="34">
        <v>19.2</v>
      </c>
      <c r="O20" s="236">
        <f>INDEX(Segments!$A:$AJ,MATCH(Annual!$A20,Segments!$A:$A,0),MATCH("1H"&amp;RIGHT(Annual!O$1,2),Segments!$A$3:$AJ$3,0))+INDEX(Segments!$A:$AJ,MATCH(Annual!$A20,Segments!$A:$A,0),MATCH("2H"&amp;RIGHT(Annual!O$1,2),Segments!$A$3:$AJ$3,0))</f>
        <v>20.352</v>
      </c>
      <c r="P20" s="236">
        <f>INDEX(Segments!$A:$AJ,MATCH(Annual!$A20,Segments!$A:$A,0),MATCH("1H"&amp;RIGHT(Annual!P$1,2),Segments!$A$3:$AJ$3,0))+INDEX(Segments!$A:$AJ,MATCH(Annual!$A20,Segments!$A:$A,0),MATCH("2H"&amp;RIGHT(Annual!P$1,2),Segments!$A$3:$AJ$3,0))</f>
        <v>21.404718259878706</v>
      </c>
      <c r="Q20" s="236">
        <f>INDEX(Segments!$A:$AJ,MATCH(Annual!$A20,Segments!$A:$A,0),MATCH("1H"&amp;RIGHT(Annual!Q$1,2),Segments!$A$3:$AJ$3,0))+INDEX(Segments!$A:$AJ,MATCH(Annual!$A20,Segments!$A:$A,0),MATCH("2H"&amp;RIGHT(Annual!Q$1,2),Segments!$A$3:$AJ$3,0))</f>
        <v>22.135438263691974</v>
      </c>
      <c r="R20" s="236">
        <f>INDEX(Segments!$A:$AJ,MATCH(Annual!$A20,Segments!$A:$A,0),MATCH("1H"&amp;RIGHT(Annual!R$1,2),Segments!$A$3:$AJ$3,0))+INDEX(Segments!$A:$AJ,MATCH(Annual!$A20,Segments!$A:$A,0),MATCH("2H"&amp;RIGHT(Annual!R$1,2),Segments!$A$3:$AJ$3,0))</f>
        <v>22.876635308688229</v>
      </c>
      <c r="S20" s="236">
        <f>INDEX(Segments!$A:$AJ,MATCH(Annual!$A20,Segments!$A:$A,0),MATCH("1H"&amp;RIGHT(Annual!S$1,2),Segments!$A$3:$AJ$3,0))+INDEX(Segments!$A:$AJ,MATCH(Annual!$A20,Segments!$A:$A,0),MATCH("2H"&amp;RIGHT(Annual!S$1,2),Segments!$A$3:$AJ$3,0))</f>
        <v>23.648854539615265</v>
      </c>
      <c r="T20" s="236">
        <f>INDEX(Segments!$A:$AJ,MATCH(Annual!$A20,Segments!$A:$A,0),MATCH("1H"&amp;RIGHT(Annual!T$1,2),Segments!$A$3:$AJ$3,0))+INDEX(Segments!$A:$AJ,MATCH(Annual!$A20,Segments!$A:$A,0),MATCH("2H"&amp;RIGHT(Annual!T$1,2),Segments!$A$3:$AJ$3,0))</f>
        <v>24.35832017580373</v>
      </c>
      <c r="U20" s="236">
        <f>INDEX(Segments!$A:$AJ,MATCH(Annual!$A20,Segments!$A:$A,0),MATCH("1H"&amp;RIGHT(Annual!U$1,2),Segments!$A$3:$AJ$3,0))+INDEX(Segments!$A:$AJ,MATCH(Annual!$A20,Segments!$A:$A,0),MATCH("2H"&amp;RIGHT(Annual!U$1,2),Segments!$A$3:$AJ$3,0))</f>
        <v>25.089069781077843</v>
      </c>
      <c r="V20" s="236">
        <f>INDEX(Segments!$A:$AJ,MATCH(Annual!$A20,Segments!$A:$A,0),MATCH("1H"&amp;RIGHT(Annual!V$1,2),Segments!$A$3:$AJ$3,0))+INDEX(Segments!$A:$AJ,MATCH(Annual!$A20,Segments!$A:$A,0),MATCH("2H"&amp;RIGHT(Annual!V$1,2),Segments!$A$3:$AJ$3,0))</f>
        <v>25.841741874510173</v>
      </c>
      <c r="W20" s="236">
        <f>INDEX(Segments!$A:$AJ,MATCH(Annual!$A20,Segments!$A:$A,0),MATCH("1H"&amp;RIGHT(Annual!W$1,2),Segments!$A$3:$AJ$3,0))+INDEX(Segments!$A:$AJ,MATCH(Annual!$A20,Segments!$A:$A,0),MATCH("2H"&amp;RIGHT(Annual!W$1,2),Segments!$A$3:$AJ$3,0))</f>
        <v>26.616994130745478</v>
      </c>
      <c r="X20" s="236">
        <f>INDEX(Segments!$A:$AJ,MATCH(Annual!$A20,Segments!$A:$A,0),MATCH("1H"&amp;RIGHT(Annual!X$1,2),Segments!$A$3:$AJ$3,0))+INDEX(Segments!$A:$AJ,MATCH(Annual!$A20,Segments!$A:$A,0),MATCH("2H"&amp;RIGHT(Annual!X$1,2),Segments!$A$3:$AJ$3,0))</f>
        <v>27.415503954667852</v>
      </c>
      <c r="Y20" s="2"/>
      <c r="Z20" s="2"/>
      <c r="AA20" s="108"/>
      <c r="AB20" s="109"/>
      <c r="AC20" s="108"/>
      <c r="AD20" s="109"/>
      <c r="AE20" s="108"/>
      <c r="AF20" s="109"/>
      <c r="AG20" s="2"/>
      <c r="AH20" s="2"/>
      <c r="AI20" s="2"/>
    </row>
    <row r="21" spans="1:35" x14ac:dyDescent="0.25">
      <c r="A21" s="20" t="s">
        <v>90</v>
      </c>
      <c r="B21" s="36" t="s">
        <v>91</v>
      </c>
      <c r="C21" s="37" t="s">
        <v>67</v>
      </c>
      <c r="D21" s="39"/>
      <c r="E21" s="39"/>
      <c r="F21" s="235">
        <f t="shared" ref="F21:M21" si="8">F19+F20</f>
        <v>83.699999999999946</v>
      </c>
      <c r="G21" s="235">
        <f t="shared" si="8"/>
        <v>86.000000000000028</v>
      </c>
      <c r="H21" s="235">
        <f t="shared" si="8"/>
        <v>90.30000000000004</v>
      </c>
      <c r="I21" s="235">
        <f t="shared" si="8"/>
        <v>105.10000000000002</v>
      </c>
      <c r="J21" s="235">
        <f t="shared" si="8"/>
        <v>116.79999999999998</v>
      </c>
      <c r="K21" s="235">
        <f t="shared" si="8"/>
        <v>150.59999999999994</v>
      </c>
      <c r="L21" s="235">
        <f t="shared" si="8"/>
        <v>134.99999999999991</v>
      </c>
      <c r="M21" s="235">
        <f t="shared" si="8"/>
        <v>122.00000000000016</v>
      </c>
      <c r="N21" s="235">
        <f>N19+N20</f>
        <v>139.19999999999999</v>
      </c>
      <c r="O21" s="235">
        <f>INDEX(Segments!$A:$AJ,MATCH(Annual!$A21,Segments!$A:$A,0),MATCH("1H"&amp;RIGHT(Annual!O$1,2),Segments!$A$3:$AJ$3,0))+INDEX(Segments!$A:$AJ,MATCH(Annual!$A21,Segments!$A:$A,0),MATCH("2H"&amp;RIGHT(Annual!O$1,2),Segments!$A$3:$AJ$3,0))</f>
        <v>165.78529129095332</v>
      </c>
      <c r="P21" s="235">
        <f>INDEX(Segments!$A:$AJ,MATCH(Annual!$A21,Segments!$A:$A,0),MATCH("1H"&amp;RIGHT(Annual!P$1,2),Segments!$A$3:$AJ$3,0))+INDEX(Segments!$A:$AJ,MATCH(Annual!$A21,Segments!$A:$A,0),MATCH("2H"&amp;RIGHT(Annual!P$1,2),Segments!$A$3:$AJ$3,0))</f>
        <v>186.74884664822255</v>
      </c>
      <c r="Q21" s="235">
        <f>INDEX(Segments!$A:$AJ,MATCH(Annual!$A21,Segments!$A:$A,0),MATCH("1H"&amp;RIGHT(Annual!Q$1,2),Segments!$A$3:$AJ$3,0))+INDEX(Segments!$A:$AJ,MATCH(Annual!$A21,Segments!$A:$A,0),MATCH("2H"&amp;RIGHT(Annual!Q$1,2),Segments!$A$3:$AJ$3,0))</f>
        <v>206.84585222765304</v>
      </c>
      <c r="R21" s="235">
        <f>INDEX(Segments!$A:$AJ,MATCH(Annual!$A21,Segments!$A:$A,0),MATCH("1H"&amp;RIGHT(Annual!R$1,2),Segments!$A$3:$AJ$3,0))+INDEX(Segments!$A:$AJ,MATCH(Annual!$A21,Segments!$A:$A,0),MATCH("2H"&amp;RIGHT(Annual!R$1,2),Segments!$A$3:$AJ$3,0))</f>
        <v>228.3143702055456</v>
      </c>
      <c r="S21" s="235">
        <f>INDEX(Segments!$A:$AJ,MATCH(Annual!$A21,Segments!$A:$A,0),MATCH("1H"&amp;RIGHT(Annual!S$1,2),Segments!$A$3:$AJ$3,0))+INDEX(Segments!$A:$AJ,MATCH(Annual!$A21,Segments!$A:$A,0),MATCH("2H"&amp;RIGHT(Annual!S$1,2),Segments!$A$3:$AJ$3,0))</f>
        <v>252.28604049010164</v>
      </c>
      <c r="T21" s="235">
        <f>INDEX(Segments!$A:$AJ,MATCH(Annual!$A21,Segments!$A:$A,0),MATCH("1H"&amp;RIGHT(Annual!T$1,2),Segments!$A$3:$AJ$3,0))+INDEX(Segments!$A:$AJ,MATCH(Annual!$A21,Segments!$A:$A,0),MATCH("2H"&amp;RIGHT(Annual!T$1,2),Segments!$A$3:$AJ$3,0))</f>
        <v>277.62759620768674</v>
      </c>
      <c r="U21" s="235">
        <f>INDEX(Segments!$A:$AJ,MATCH(Annual!$A21,Segments!$A:$A,0),MATCH("1H"&amp;RIGHT(Annual!U$1,2),Segments!$A$3:$AJ$3,0))+INDEX(Segments!$A:$AJ,MATCH(Annual!$A21,Segments!$A:$A,0),MATCH("2H"&amp;RIGHT(Annual!U$1,2),Segments!$A$3:$AJ$3,0))</f>
        <v>305.63517823167535</v>
      </c>
      <c r="V21" s="235">
        <f>INDEX(Segments!$A:$AJ,MATCH(Annual!$A21,Segments!$A:$A,0),MATCH("1H"&amp;RIGHT(Annual!V$1,2),Segments!$A$3:$AJ$3,0))+INDEX(Segments!$A:$AJ,MATCH(Annual!$A21,Segments!$A:$A,0),MATCH("2H"&amp;RIGHT(Annual!V$1,2),Segments!$A$3:$AJ$3,0))</f>
        <v>336.60863843308982</v>
      </c>
      <c r="W21" s="235">
        <f>INDEX(Segments!$A:$AJ,MATCH(Annual!$A21,Segments!$A:$A,0),MATCH("1H"&amp;RIGHT(Annual!W$1,2),Segments!$A$3:$AJ$3,0))+INDEX(Segments!$A:$AJ,MATCH(Annual!$A21,Segments!$A:$A,0),MATCH("2H"&amp;RIGHT(Annual!W$1,2),Segments!$A$3:$AJ$3,0))</f>
        <v>370.88291080212065</v>
      </c>
      <c r="X21" s="235">
        <f>INDEX(Segments!$A:$AJ,MATCH(Annual!$A21,Segments!$A:$A,0),MATCH("1H"&amp;RIGHT(Annual!X$1,2),Segments!$A$3:$AJ$3,0))+INDEX(Segments!$A:$AJ,MATCH(Annual!$A21,Segments!$A:$A,0),MATCH("2H"&amp;RIGHT(Annual!X$1,2),Segments!$A$3:$AJ$3,0))</f>
        <v>408.83223198096351</v>
      </c>
      <c r="Y21" s="2"/>
      <c r="Z21" s="2"/>
      <c r="AA21" s="111">
        <v>-29.3</v>
      </c>
      <c r="AB21" s="115">
        <v>168.5</v>
      </c>
      <c r="AC21" s="111">
        <v>-39.9</v>
      </c>
      <c r="AD21" s="115">
        <v>212.9</v>
      </c>
      <c r="AE21" s="111">
        <v>-48.8</v>
      </c>
      <c r="AF21" s="115">
        <v>250.5</v>
      </c>
      <c r="AG21" s="2"/>
      <c r="AH21" s="2"/>
      <c r="AI21" s="2"/>
    </row>
    <row r="22" spans="1:35" x14ac:dyDescent="0.25">
      <c r="A22" s="20" t="s">
        <v>92</v>
      </c>
      <c r="B22" s="33" t="s">
        <v>93</v>
      </c>
      <c r="C22" s="27" t="s">
        <v>67</v>
      </c>
      <c r="D22" s="34"/>
      <c r="E22" s="34"/>
      <c r="F22" s="236">
        <f t="shared" ref="F22:M22" si="9">F29-F21</f>
        <v>-19.899999999999949</v>
      </c>
      <c r="G22" s="236">
        <f t="shared" si="9"/>
        <v>-7.5000000000000284</v>
      </c>
      <c r="H22" s="236">
        <f t="shared" si="9"/>
        <v>-6.3000000000000398</v>
      </c>
      <c r="I22" s="236">
        <f t="shared" si="9"/>
        <v>-2.6000000000000227</v>
      </c>
      <c r="J22" s="236">
        <f t="shared" si="9"/>
        <v>-2.3999999999999773</v>
      </c>
      <c r="K22" s="236">
        <f t="shared" si="9"/>
        <v>-7.9999999999999432</v>
      </c>
      <c r="L22" s="236">
        <f t="shared" si="9"/>
        <v>9.2000000000000739</v>
      </c>
      <c r="M22" s="236">
        <f t="shared" si="9"/>
        <v>4.9999999999998437</v>
      </c>
      <c r="N22" s="236">
        <f>N29-N21</f>
        <v>3.6000000000000227</v>
      </c>
      <c r="O22" s="236">
        <f>INDEX(Segments!$A:$AJ,MATCH(Annual!$A22,Segments!$A:$A,0),MATCH("1H"&amp;RIGHT(Annual!O$1,2),Segments!$A$3:$AJ$3,0))+INDEX(Segments!$A:$AJ,MATCH(Annual!$A22,Segments!$A:$A,0),MATCH("2H"&amp;RIGHT(Annual!O$1,2),Segments!$A$3:$AJ$3,0))</f>
        <v>4.188588465701895</v>
      </c>
      <c r="P22" s="236">
        <f>INDEX(Segments!$A:$AJ,MATCH(Annual!$A22,Segments!$A:$A,0),MATCH("1H"&amp;RIGHT(Annual!P$1,2),Segments!$A$3:$AJ$3,0))+INDEX(Segments!$A:$AJ,MATCH(Annual!$A22,Segments!$A:$A,0),MATCH("2H"&amp;RIGHT(Annual!P$1,2),Segments!$A$3:$AJ$3,0))</f>
        <v>4.6219516978602551</v>
      </c>
      <c r="Q22" s="236">
        <f>INDEX(Segments!$A:$AJ,MATCH(Annual!$A22,Segments!$A:$A,0),MATCH("1H"&amp;RIGHT(Annual!Q$1,2),Segments!$A$3:$AJ$3,0))+INDEX(Segments!$A:$AJ,MATCH(Annual!$A22,Segments!$A:$A,0),MATCH("2H"&amp;RIGHT(Annual!Q$1,2),Segments!$A$3:$AJ$3,0))</f>
        <v>4.9376530604975324</v>
      </c>
      <c r="R22" s="236">
        <f>INDEX(Segments!$A:$AJ,MATCH(Annual!$A22,Segments!$A:$A,0),MATCH("1H"&amp;RIGHT(Annual!R$1,2),Segments!$A$3:$AJ$3,0))+INDEX(Segments!$A:$AJ,MATCH(Annual!$A22,Segments!$A:$A,0),MATCH("2H"&amp;RIGHT(Annual!R$1,2),Segments!$A$3:$AJ$3,0))</f>
        <v>5.268439934020023</v>
      </c>
      <c r="S22" s="236">
        <f>INDEX(Segments!$A:$AJ,MATCH(Annual!$A22,Segments!$A:$A,0),MATCH("1H"&amp;RIGHT(Annual!S$1,2),Segments!$A$3:$AJ$3,0))+INDEX(Segments!$A:$AJ,MATCH(Annual!$A22,Segments!$A:$A,0),MATCH("2H"&amp;RIGHT(Annual!S$1,2),Segments!$A$3:$AJ$3,0))</f>
        <v>5.6242531734377597</v>
      </c>
      <c r="T22" s="236">
        <f>INDEX(Segments!$A:$AJ,MATCH(Annual!$A22,Segments!$A:$A,0),MATCH("1H"&amp;RIGHT(Annual!T$1,2),Segments!$A$3:$AJ$3,0))+INDEX(Segments!$A:$AJ,MATCH(Annual!$A22,Segments!$A:$A,0),MATCH("2H"&amp;RIGHT(Annual!T$1,2),Segments!$A$3:$AJ$3,0))</f>
        <v>5.9617083638440267</v>
      </c>
      <c r="U22" s="236">
        <f>INDEX(Segments!$A:$AJ,MATCH(Annual!$A22,Segments!$A:$A,0),MATCH("1H"&amp;RIGHT(Annual!U$1,2),Segments!$A$3:$AJ$3,0))+INDEX(Segments!$A:$AJ,MATCH(Annual!$A22,Segments!$A:$A,0),MATCH("2H"&amp;RIGHT(Annual!U$1,2),Segments!$A$3:$AJ$3,0))</f>
        <v>6.3194108656746684</v>
      </c>
      <c r="V22" s="236">
        <f>INDEX(Segments!$A:$AJ,MATCH(Annual!$A22,Segments!$A:$A,0),MATCH("1H"&amp;RIGHT(Annual!V$1,2),Segments!$A$3:$AJ$3,0))+INDEX(Segments!$A:$AJ,MATCH(Annual!$A22,Segments!$A:$A,0),MATCH("2H"&amp;RIGHT(Annual!V$1,2),Segments!$A$3:$AJ$3,0))</f>
        <v>6.6985755176151498</v>
      </c>
      <c r="W22" s="236">
        <f>INDEX(Segments!$A:$AJ,MATCH(Annual!$A22,Segments!$A:$A,0),MATCH("1H"&amp;RIGHT(Annual!W$1,2),Segments!$A$3:$AJ$3,0))+INDEX(Segments!$A:$AJ,MATCH(Annual!$A22,Segments!$A:$A,0),MATCH("2H"&amp;RIGHT(Annual!W$1,2),Segments!$A$3:$AJ$3,0))</f>
        <v>7.100490048672059</v>
      </c>
      <c r="X22" s="236">
        <f>INDEX(Segments!$A:$AJ,MATCH(Annual!$A22,Segments!$A:$A,0),MATCH("1H"&amp;RIGHT(Annual!X$1,2),Segments!$A$3:$AJ$3,0))+INDEX(Segments!$A:$AJ,MATCH(Annual!$A22,Segments!$A:$A,0),MATCH("2H"&amp;RIGHT(Annual!X$1,2),Segments!$A$3:$AJ$3,0))</f>
        <v>7.5265194515923834</v>
      </c>
      <c r="Y22" s="2"/>
      <c r="Z22" s="2"/>
      <c r="AA22" s="108"/>
      <c r="AB22" s="109"/>
      <c r="AC22" s="108"/>
      <c r="AD22" s="109"/>
      <c r="AE22" s="108"/>
      <c r="AF22" s="109"/>
      <c r="AG22" s="2"/>
      <c r="AH22" s="2"/>
      <c r="AI22" s="2"/>
    </row>
    <row r="23" spans="1:35" x14ac:dyDescent="0.25">
      <c r="A23" s="307"/>
      <c r="B23" s="308"/>
      <c r="C23" s="27"/>
      <c r="D23" s="29"/>
      <c r="E23" s="29"/>
      <c r="F23" s="29"/>
      <c r="G23" s="29">
        <f>G20/F20-1</f>
        <v>-0.19760479041916157</v>
      </c>
      <c r="H23" s="29"/>
      <c r="I23" s="29"/>
      <c r="J23" s="29"/>
      <c r="K23" s="35"/>
      <c r="L23" s="29"/>
      <c r="M23" s="35"/>
      <c r="N23" s="35">
        <f>N19/M19-1</f>
        <v>0.14613180515759128</v>
      </c>
      <c r="O23" s="35">
        <f>O19/N19-1</f>
        <v>0.21194409409127757</v>
      </c>
      <c r="P23" s="35"/>
      <c r="Q23" s="35"/>
      <c r="R23" s="35"/>
      <c r="S23" s="35"/>
      <c r="T23" s="35"/>
      <c r="U23" s="35"/>
      <c r="V23" s="35"/>
      <c r="W23" s="35"/>
      <c r="X23" s="35"/>
      <c r="Y23" s="2"/>
      <c r="Z23" s="2"/>
      <c r="AA23" s="108"/>
      <c r="AB23" s="109"/>
      <c r="AC23" s="108"/>
      <c r="AD23" s="109"/>
      <c r="AE23" s="108"/>
      <c r="AF23" s="109"/>
      <c r="AG23" s="2"/>
      <c r="AH23" s="2"/>
      <c r="AI23" s="2"/>
    </row>
    <row r="24" spans="1:35" x14ac:dyDescent="0.25">
      <c r="A24" s="20"/>
      <c r="B24" s="30" t="s">
        <v>95</v>
      </c>
      <c r="C24" s="27"/>
      <c r="D24" s="34"/>
      <c r="E24" s="34"/>
      <c r="F24" s="34"/>
      <c r="G24" s="34"/>
      <c r="H24" s="34"/>
      <c r="I24" s="34"/>
      <c r="J24" s="34"/>
      <c r="K24" s="34"/>
      <c r="L24" s="35"/>
      <c r="M24" s="35"/>
      <c r="N24" s="35">
        <f>N25/N29</f>
        <v>0.79341736694677867</v>
      </c>
      <c r="O24" s="35"/>
      <c r="P24" s="35"/>
      <c r="Q24" s="35"/>
      <c r="R24" s="35"/>
      <c r="S24" s="35"/>
      <c r="T24" s="35"/>
      <c r="U24" s="35"/>
      <c r="V24" s="35"/>
      <c r="W24" s="35"/>
      <c r="X24" s="35"/>
      <c r="Y24" s="2"/>
      <c r="Z24" s="2"/>
      <c r="AA24" s="108"/>
      <c r="AB24" s="109"/>
      <c r="AC24" s="108"/>
      <c r="AD24" s="109"/>
      <c r="AE24" s="108"/>
      <c r="AF24" s="109"/>
      <c r="AG24" s="2"/>
      <c r="AH24" s="2"/>
      <c r="AI24" s="2"/>
    </row>
    <row r="25" spans="1:35" x14ac:dyDescent="0.25">
      <c r="A25" s="20" t="s">
        <v>96</v>
      </c>
      <c r="B25" s="33" t="s">
        <v>97</v>
      </c>
      <c r="C25" s="27" t="s">
        <v>67</v>
      </c>
      <c r="D25" s="34" t="s">
        <v>94</v>
      </c>
      <c r="E25" s="34"/>
      <c r="F25" s="34"/>
      <c r="G25" s="34"/>
      <c r="H25" s="34"/>
      <c r="I25" s="34"/>
      <c r="J25" s="34" t="s">
        <v>98</v>
      </c>
      <c r="K25" s="34">
        <v>101.8</v>
      </c>
      <c r="L25" s="34">
        <v>105.8</v>
      </c>
      <c r="M25" s="34">
        <v>104.4</v>
      </c>
      <c r="N25" s="34">
        <v>113.3</v>
      </c>
      <c r="O25" s="236">
        <f>INDEX(Segments!$A:$AJ,MATCH(Annual!$A25,Segments!$A:$A,0),MATCH("1H"&amp;RIGHT(Annual!O$1,2),Segments!$A$3:$AJ$3,0))+INDEX(Segments!$A:$AJ,MATCH(Annual!$A25,Segments!$A:$A,0),MATCH("2H"&amp;RIGHT(Annual!O$1,2),Segments!$A$3:$AJ$3,0))</f>
        <v>130.34355928217337</v>
      </c>
      <c r="P25" s="236">
        <f>INDEX(Segments!$A:$AJ,MATCH(Annual!$A25,Segments!$A:$A,0),MATCH("1H"&amp;RIGHT(Annual!P$1,2),Segments!$A$3:$AJ$3,0))+INDEX(Segments!$A:$AJ,MATCH(Annual!$A25,Segments!$A:$A,0),MATCH("2H"&amp;RIGHT(Annual!P$1,2),Segments!$A$3:$AJ$3,0))</f>
        <v>142.77553282861746</v>
      </c>
      <c r="Q25" s="236">
        <f>INDEX(Segments!$A:$AJ,MATCH(Annual!$A25,Segments!$A:$A,0),MATCH("1H"&amp;RIGHT(Annual!Q$1,2),Segments!$A$3:$AJ$3,0))+INDEX(Segments!$A:$AJ,MATCH(Annual!$A25,Segments!$A:$A,0),MATCH("2H"&amp;RIGHT(Annual!Q$1,2),Segments!$A$3:$AJ$3,0))</f>
        <v>151.79438160210617</v>
      </c>
      <c r="R25" s="236">
        <f>INDEX(Segments!$A:$AJ,MATCH(Annual!$A25,Segments!$A:$A,0),MATCH("1H"&amp;RIGHT(Annual!R$1,2),Segments!$A$3:$AJ$3,0))+INDEX(Segments!$A:$AJ,MATCH(Annual!$A25,Segments!$A:$A,0),MATCH("2H"&amp;RIGHT(Annual!R$1,2),Segments!$A$3:$AJ$3,0))</f>
        <v>161.21994176995466</v>
      </c>
      <c r="S25" s="236">
        <f>INDEX(Segments!$A:$AJ,MATCH(Annual!$A25,Segments!$A:$A,0),MATCH("1H"&amp;RIGHT(Annual!S$1,2),Segments!$A$3:$AJ$3,0))+INDEX(Segments!$A:$AJ,MATCH(Annual!$A25,Segments!$A:$A,0),MATCH("2H"&amp;RIGHT(Annual!S$1,2),Segments!$A$3:$AJ$3,0))</f>
        <v>171.33330988948728</v>
      </c>
      <c r="T25" s="236">
        <f>INDEX(Segments!$A:$AJ,MATCH(Annual!$A25,Segments!$A:$A,0),MATCH("1H"&amp;RIGHT(Annual!T$1,2),Segments!$A$3:$AJ$3,0))+INDEX(Segments!$A:$AJ,MATCH(Annual!$A25,Segments!$A:$A,0),MATCH("2H"&amp;RIGHT(Annual!T$1,2),Segments!$A$3:$AJ$3,0))</f>
        <v>180.90384284666811</v>
      </c>
      <c r="U25" s="236">
        <f>INDEX(Segments!$A:$AJ,MATCH(Annual!$A25,Segments!$A:$A,0),MATCH("1H"&amp;RIGHT(Annual!U$1,2),Segments!$A$3:$AJ$3,0))+INDEX(Segments!$A:$AJ,MATCH(Annual!$A25,Segments!$A:$A,0),MATCH("2H"&amp;RIGHT(Annual!U$1,2),Segments!$A$3:$AJ$3,0))</f>
        <v>191.02732381219414</v>
      </c>
      <c r="V25" s="236">
        <f>INDEX(Segments!$A:$AJ,MATCH(Annual!$A25,Segments!$A:$A,0),MATCH("1H"&amp;RIGHT(Annual!V$1,2),Segments!$A$3:$AJ$3,0))+INDEX(Segments!$A:$AJ,MATCH(Annual!$A25,Segments!$A:$A,0),MATCH("2H"&amp;RIGHT(Annual!V$1,2),Segments!$A$3:$AJ$3,0))</f>
        <v>201.73629114749338</v>
      </c>
      <c r="W25" s="236">
        <f>INDEX(Segments!$A:$AJ,MATCH(Annual!$A25,Segments!$A:$A,0),MATCH("1H"&amp;RIGHT(Annual!W$1,2),Segments!$A$3:$AJ$3,0))+INDEX(Segments!$A:$AJ,MATCH(Annual!$A25,Segments!$A:$A,0),MATCH("2H"&amp;RIGHT(Annual!W$1,2),Segments!$A$3:$AJ$3,0))</f>
        <v>213.06521636010768</v>
      </c>
      <c r="X25" s="236">
        <f>INDEX(Segments!$A:$AJ,MATCH(Annual!$A25,Segments!$A:$A,0),MATCH("1H"&amp;RIGHT(Annual!X$1,2),Segments!$A$3:$AJ$3,0))+INDEX(Segments!$A:$AJ,MATCH(Annual!$A25,Segments!$A:$A,0),MATCH("2H"&amp;RIGHT(Annual!X$1,2),Segments!$A$3:$AJ$3,0))</f>
        <v>225.05061951779194</v>
      </c>
      <c r="Y25" s="2"/>
      <c r="Z25" s="2"/>
      <c r="AA25" s="108">
        <v>-28.6</v>
      </c>
      <c r="AB25" s="109">
        <v>141.9</v>
      </c>
      <c r="AC25" s="108">
        <v>0</v>
      </c>
      <c r="AD25" s="109">
        <v>135</v>
      </c>
      <c r="AE25" s="108">
        <v>0</v>
      </c>
      <c r="AF25" s="109">
        <v>149</v>
      </c>
      <c r="AG25" s="2"/>
      <c r="AH25" s="2"/>
      <c r="AI25" s="2"/>
    </row>
    <row r="26" spans="1:35" x14ac:dyDescent="0.25">
      <c r="A26" s="20" t="s">
        <v>99</v>
      </c>
      <c r="B26" s="33" t="s">
        <v>100</v>
      </c>
      <c r="C26" s="27" t="s">
        <v>67</v>
      </c>
      <c r="D26" s="34"/>
      <c r="E26" s="34"/>
      <c r="F26" s="34"/>
      <c r="G26" s="34"/>
      <c r="H26" s="34"/>
      <c r="I26" s="34"/>
      <c r="J26" s="34" t="s">
        <v>98</v>
      </c>
      <c r="K26" s="34">
        <v>40.799999999999997</v>
      </c>
      <c r="L26" s="34">
        <v>38.4</v>
      </c>
      <c r="M26" s="34">
        <v>22.6</v>
      </c>
      <c r="N26" s="34">
        <v>29.5</v>
      </c>
      <c r="O26" s="236">
        <f>INDEX(Segments!$A:$AJ,MATCH(Annual!$A26,Segments!$A:$A,0),MATCH("1H"&amp;RIGHT(Annual!O$1,2),Segments!$A$3:$AJ$3,0))+INDEX(Segments!$A:$AJ,MATCH(Annual!$A26,Segments!$A:$A,0),MATCH("2H"&amp;RIGHT(Annual!O$1,2),Segments!$A$3:$AJ$3,0))</f>
        <v>36.959987705164281</v>
      </c>
      <c r="P26" s="236">
        <f>INDEX(Segments!$A:$AJ,MATCH(Annual!$A26,Segments!$A:$A,0),MATCH("1H"&amp;RIGHT(Annual!P$1,2),Segments!$A$3:$AJ$3,0))+INDEX(Segments!$A:$AJ,MATCH(Annual!$A26,Segments!$A:$A,0),MATCH("2H"&amp;RIGHT(Annual!P$1,2),Segments!$A$3:$AJ$3,0))</f>
        <v>41.054717818964292</v>
      </c>
      <c r="Q26" s="236">
        <f>INDEX(Segments!$A:$AJ,MATCH(Annual!$A26,Segments!$A:$A,0),MATCH("1H"&amp;RIGHT(Annual!Q$1,2),Segments!$A$3:$AJ$3,0))+INDEX(Segments!$A:$AJ,MATCH(Annual!$A26,Segments!$A:$A,0),MATCH("2H"&amp;RIGHT(Annual!Q$1,2),Segments!$A$3:$AJ$3,0))</f>
        <v>43.884833723923037</v>
      </c>
      <c r="R26" s="236">
        <f>INDEX(Segments!$A:$AJ,MATCH(Annual!$A26,Segments!$A:$A,0),MATCH("1H"&amp;RIGHT(Annual!R$1,2),Segments!$A$3:$AJ$3,0))+INDEX(Segments!$A:$AJ,MATCH(Annual!$A26,Segments!$A:$A,0),MATCH("2H"&amp;RIGHT(Annual!R$1,2),Segments!$A$3:$AJ$3,0))</f>
        <v>46.517923747358431</v>
      </c>
      <c r="S26" s="236">
        <f>INDEX(Segments!$A:$AJ,MATCH(Annual!$A26,Segments!$A:$A,0),MATCH("1H"&amp;RIGHT(Annual!S$1,2),Segments!$A$3:$AJ$3,0))+INDEX(Segments!$A:$AJ,MATCH(Annual!$A26,Segments!$A:$A,0),MATCH("2H"&amp;RIGHT(Annual!S$1,2),Segments!$A$3:$AJ$3,0))</f>
        <v>49.308999172199933</v>
      </c>
      <c r="T26" s="236">
        <f>INDEX(Segments!$A:$AJ,MATCH(Annual!$A26,Segments!$A:$A,0),MATCH("1H"&amp;RIGHT(Annual!T$1,2),Segments!$A$3:$AJ$3,0))+INDEX(Segments!$A:$AJ,MATCH(Annual!$A26,Segments!$A:$A,0),MATCH("2H"&amp;RIGHT(Annual!T$1,2),Segments!$A$3:$AJ$3,0))</f>
        <v>52.267539122531929</v>
      </c>
      <c r="U26" s="236">
        <f>INDEX(Segments!$A:$AJ,MATCH(Annual!$A26,Segments!$A:$A,0),MATCH("1H"&amp;RIGHT(Annual!U$1,2),Segments!$A$3:$AJ$3,0))+INDEX(Segments!$A:$AJ,MATCH(Annual!$A26,Segments!$A:$A,0),MATCH("2H"&amp;RIGHT(Annual!U$1,2),Segments!$A$3:$AJ$3,0))</f>
        <v>55.40359146988385</v>
      </c>
      <c r="V26" s="236">
        <f>INDEX(Segments!$A:$AJ,MATCH(Annual!$A26,Segments!$A:$A,0),MATCH("1H"&amp;RIGHT(Annual!V$1,2),Segments!$A$3:$AJ$3,0))+INDEX(Segments!$A:$AJ,MATCH(Annual!$A26,Segments!$A:$A,0),MATCH("2H"&amp;RIGHT(Annual!V$1,2),Segments!$A$3:$AJ$3,0))</f>
        <v>58.727806958076883</v>
      </c>
      <c r="W26" s="236">
        <f>INDEX(Segments!$A:$AJ,MATCH(Annual!$A26,Segments!$A:$A,0),MATCH("1H"&amp;RIGHT(Annual!W$1,2),Segments!$A$3:$AJ$3,0))+INDEX(Segments!$A:$AJ,MATCH(Annual!$A26,Segments!$A:$A,0),MATCH("2H"&amp;RIGHT(Annual!W$1,2),Segments!$A$3:$AJ$3,0))</f>
        <v>62.251475375561498</v>
      </c>
      <c r="X26" s="236">
        <f>INDEX(Segments!$A:$AJ,MATCH(Annual!$A26,Segments!$A:$A,0),MATCH("1H"&amp;RIGHT(Annual!X$1,2),Segments!$A$3:$AJ$3,0))+INDEX(Segments!$A:$AJ,MATCH(Annual!$A26,Segments!$A:$A,0),MATCH("2H"&amp;RIGHT(Annual!X$1,2),Segments!$A$3:$AJ$3,0))</f>
        <v>65.986563898095199</v>
      </c>
      <c r="Y26" s="2"/>
      <c r="Z26" s="2"/>
      <c r="AA26" s="108">
        <v>-6.9</v>
      </c>
      <c r="AB26" s="109">
        <v>36.4</v>
      </c>
      <c r="AC26" s="108">
        <v>0</v>
      </c>
      <c r="AD26" s="109">
        <v>36.799999999999997</v>
      </c>
      <c r="AE26" s="108">
        <v>0</v>
      </c>
      <c r="AF26" s="109">
        <v>41.3</v>
      </c>
      <c r="AG26" s="2"/>
      <c r="AH26" s="2"/>
      <c r="AI26" s="2"/>
    </row>
    <row r="27" spans="1:35" x14ac:dyDescent="0.25">
      <c r="A27" s="20" t="s">
        <v>101</v>
      </c>
      <c r="B27" s="33" t="s">
        <v>102</v>
      </c>
      <c r="C27" s="27" t="s">
        <v>67</v>
      </c>
      <c r="D27" s="34"/>
      <c r="E27" s="34"/>
      <c r="F27" s="34"/>
      <c r="G27" s="34"/>
      <c r="H27" s="34"/>
      <c r="I27" s="34"/>
      <c r="J27" s="34"/>
      <c r="K27" s="34"/>
      <c r="L27" s="34"/>
      <c r="M27" s="34"/>
      <c r="N27" s="34"/>
      <c r="O27" s="236">
        <f>INDEX(Segments!$A:$AJ,MATCH(Annual!$A27,Segments!$A:$A,0),MATCH("1H"&amp;RIGHT(Annual!O$1,2),Segments!$A$3:$AJ$3,0))+INDEX(Segments!$A:$AJ,MATCH(Annual!$A27,Segments!$A:$A,0),MATCH("2H"&amp;RIGHT(Annual!O$1,2),Segments!$A$3:$AJ$3,0))</f>
        <v>0</v>
      </c>
      <c r="P27" s="236">
        <f>INDEX(Segments!$A:$AJ,MATCH(Annual!$A27,Segments!$A:$A,0),MATCH("1H"&amp;RIGHT(Annual!P$1,2),Segments!$A$3:$AJ$3,0))+INDEX(Segments!$A:$AJ,MATCH(Annual!$A27,Segments!$A:$A,0),MATCH("2H"&amp;RIGHT(Annual!P$1,2),Segments!$A$3:$AJ$3,0))</f>
        <v>0</v>
      </c>
      <c r="Q27" s="236">
        <f>INDEX(Segments!$A:$AJ,MATCH(Annual!$A27,Segments!$A:$A,0),MATCH("1H"&amp;RIGHT(Annual!Q$1,2),Segments!$A$3:$AJ$3,0))+INDEX(Segments!$A:$AJ,MATCH(Annual!$A27,Segments!$A:$A,0),MATCH("2H"&amp;RIGHT(Annual!Q$1,2),Segments!$A$3:$AJ$3,0))</f>
        <v>0</v>
      </c>
      <c r="R27" s="236">
        <f>INDEX(Segments!$A:$AJ,MATCH(Annual!$A27,Segments!$A:$A,0),MATCH("1H"&amp;RIGHT(Annual!R$1,2),Segments!$A$3:$AJ$3,0))+INDEX(Segments!$A:$AJ,MATCH(Annual!$A27,Segments!$A:$A,0),MATCH("2H"&amp;RIGHT(Annual!R$1,2),Segments!$A$3:$AJ$3,0))</f>
        <v>0</v>
      </c>
      <c r="S27" s="236">
        <f>INDEX(Segments!$A:$AJ,MATCH(Annual!$A27,Segments!$A:$A,0),MATCH("1H"&amp;RIGHT(Annual!S$1,2),Segments!$A$3:$AJ$3,0))+INDEX(Segments!$A:$AJ,MATCH(Annual!$A27,Segments!$A:$A,0),MATCH("2H"&amp;RIGHT(Annual!S$1,2),Segments!$A$3:$AJ$3,0))</f>
        <v>0</v>
      </c>
      <c r="T27" s="236">
        <f>INDEX(Segments!$A:$AJ,MATCH(Annual!$A27,Segments!$A:$A,0),MATCH("1H"&amp;RIGHT(Annual!T$1,2),Segments!$A$3:$AJ$3,0))+INDEX(Segments!$A:$AJ,MATCH(Annual!$A27,Segments!$A:$A,0),MATCH("2H"&amp;RIGHT(Annual!T$1,2),Segments!$A$3:$AJ$3,0))</f>
        <v>0</v>
      </c>
      <c r="U27" s="236">
        <f>INDEX(Segments!$A:$AJ,MATCH(Annual!$A27,Segments!$A:$A,0),MATCH("1H"&amp;RIGHT(Annual!U$1,2),Segments!$A$3:$AJ$3,0))+INDEX(Segments!$A:$AJ,MATCH(Annual!$A27,Segments!$A:$A,0),MATCH("2H"&amp;RIGHT(Annual!U$1,2),Segments!$A$3:$AJ$3,0))</f>
        <v>0</v>
      </c>
      <c r="V27" s="236">
        <f>INDEX(Segments!$A:$AJ,MATCH(Annual!$A27,Segments!$A:$A,0),MATCH("1H"&amp;RIGHT(Annual!V$1,2),Segments!$A$3:$AJ$3,0))+INDEX(Segments!$A:$AJ,MATCH(Annual!$A27,Segments!$A:$A,0),MATCH("2H"&amp;RIGHT(Annual!V$1,2),Segments!$A$3:$AJ$3,0))</f>
        <v>0</v>
      </c>
      <c r="W27" s="236">
        <f>INDEX(Segments!$A:$AJ,MATCH(Annual!$A27,Segments!$A:$A,0),MATCH("1H"&amp;RIGHT(Annual!W$1,2),Segments!$A$3:$AJ$3,0))+INDEX(Segments!$A:$AJ,MATCH(Annual!$A27,Segments!$A:$A,0),MATCH("2H"&amp;RIGHT(Annual!W$1,2),Segments!$A$3:$AJ$3,0))</f>
        <v>0</v>
      </c>
      <c r="X27" s="236">
        <f>INDEX(Segments!$A:$AJ,MATCH(Annual!$A27,Segments!$A:$A,0),MATCH("1H"&amp;RIGHT(Annual!X$1,2),Segments!$A$3:$AJ$3,0))+INDEX(Segments!$A:$AJ,MATCH(Annual!$A27,Segments!$A:$A,0),MATCH("2H"&amp;RIGHT(Annual!X$1,2),Segments!$A$3:$AJ$3,0))</f>
        <v>0</v>
      </c>
      <c r="Y27" s="2"/>
      <c r="Z27" s="2"/>
      <c r="AA27" s="108">
        <v>-6.9</v>
      </c>
      <c r="AB27" s="109">
        <v>6.9</v>
      </c>
      <c r="AC27" s="108">
        <v>0</v>
      </c>
      <c r="AD27" s="109">
        <v>0</v>
      </c>
      <c r="AE27" s="108">
        <v>0</v>
      </c>
      <c r="AF27" s="109">
        <v>0</v>
      </c>
      <c r="AG27" s="2"/>
      <c r="AH27" s="2"/>
      <c r="AI27" s="2"/>
    </row>
    <row r="28" spans="1:35" x14ac:dyDescent="0.25">
      <c r="A28" s="20" t="s">
        <v>103</v>
      </c>
      <c r="B28" s="33" t="s">
        <v>104</v>
      </c>
      <c r="C28" s="27"/>
      <c r="D28" s="34"/>
      <c r="E28" s="34"/>
      <c r="F28" s="34"/>
      <c r="G28" s="34"/>
      <c r="H28" s="34"/>
      <c r="I28" s="34"/>
      <c r="J28" s="34"/>
      <c r="K28" s="34"/>
      <c r="L28" s="34"/>
      <c r="M28" s="34"/>
      <c r="N28" s="34"/>
      <c r="O28" s="236">
        <f>INDEX(Segments!$A:$AJ,MATCH(Annual!$A28,Segments!$A:$A,0),MATCH("1H"&amp;RIGHT(Annual!O$1,2),Segments!$A$3:$AJ$3,0))+INDEX(Segments!$A:$AJ,MATCH(Annual!$A28,Segments!$A:$A,0),MATCH("2H"&amp;RIGHT(Annual!O$1,2),Segments!$A$3:$AJ$3,0))</f>
        <v>2.6703327693175409</v>
      </c>
      <c r="P28" s="236">
        <f>INDEX(Segments!$A:$AJ,MATCH(Annual!$A28,Segments!$A:$A,0),MATCH("1H"&amp;RIGHT(Annual!P$1,2),Segments!$A$3:$AJ$3,0))+INDEX(Segments!$A:$AJ,MATCH(Annual!$A28,Segments!$A:$A,0),MATCH("2H"&amp;RIGHT(Annual!P$1,2),Segments!$A$3:$AJ$3,0))</f>
        <v>7.5405476985009798</v>
      </c>
      <c r="Q28" s="236">
        <f>INDEX(Segments!$A:$AJ,MATCH(Annual!$A28,Segments!$A:$A,0),MATCH("1H"&amp;RIGHT(Annual!Q$1,2),Segments!$A$3:$AJ$3,0))+INDEX(Segments!$A:$AJ,MATCH(Annual!$A28,Segments!$A:$A,0),MATCH("2H"&amp;RIGHT(Annual!Q$1,2),Segments!$A$3:$AJ$3,0))</f>
        <v>16.104289962121211</v>
      </c>
      <c r="R28" s="236">
        <f>INDEX(Segments!$A:$AJ,MATCH(Annual!$A28,Segments!$A:$A,0),MATCH("1H"&amp;RIGHT(Annual!R$1,2),Segments!$A$3:$AJ$3,0))+INDEX(Segments!$A:$AJ,MATCH(Annual!$A28,Segments!$A:$A,0),MATCH("2H"&amp;RIGHT(Annual!R$1,2),Segments!$A$3:$AJ$3,0))</f>
        <v>25.844944622252292</v>
      </c>
      <c r="S28" s="236">
        <f>INDEX(Segments!$A:$AJ,MATCH(Annual!$A28,Segments!$A:$A,0),MATCH("1H"&amp;RIGHT(Annual!S$1,2),Segments!$A$3:$AJ$3,0))+INDEX(Segments!$A:$AJ,MATCH(Annual!$A28,Segments!$A:$A,0),MATCH("2H"&amp;RIGHT(Annual!S$1,2),Segments!$A$3:$AJ$3,0))</f>
        <v>37.267984601852156</v>
      </c>
      <c r="T28" s="236">
        <f>INDEX(Segments!$A:$AJ,MATCH(Annual!$A28,Segments!$A:$A,0),MATCH("1H"&amp;RIGHT(Annual!T$1,2),Segments!$A$3:$AJ$3,0))+INDEX(Segments!$A:$AJ,MATCH(Annual!$A28,Segments!$A:$A,0),MATCH("2H"&amp;RIGHT(Annual!T$1,2),Segments!$A$3:$AJ$3,0))</f>
        <v>50.417922602330457</v>
      </c>
      <c r="U28" s="236">
        <f>INDEX(Segments!$A:$AJ,MATCH(Annual!$A28,Segments!$A:$A,0),MATCH("1H"&amp;RIGHT(Annual!U$1,2),Segments!$A$3:$AJ$3,0))+INDEX(Segments!$A:$AJ,MATCH(Annual!$A28,Segments!$A:$A,0),MATCH("2H"&amp;RIGHT(Annual!U$1,2),Segments!$A$3:$AJ$3,0))</f>
        <v>65.523673815271891</v>
      </c>
      <c r="V28" s="236">
        <f>INDEX(Segments!$A:$AJ,MATCH(Annual!$A28,Segments!$A:$A,0),MATCH("1H"&amp;RIGHT(Annual!V$1,2),Segments!$A$3:$AJ$3,0))+INDEX(Segments!$A:$AJ,MATCH(Annual!$A28,Segments!$A:$A,0),MATCH("2H"&amp;RIGHT(Annual!V$1,2),Segments!$A$3:$AJ$3,0))</f>
        <v>82.843115845134534</v>
      </c>
      <c r="W28" s="236">
        <f>INDEX(Segments!$A:$AJ,MATCH(Annual!$A28,Segments!$A:$A,0),MATCH("1H"&amp;RIGHT(Annual!W$1,2),Segments!$A$3:$AJ$3,0))+INDEX(Segments!$A:$AJ,MATCH(Annual!$A28,Segments!$A:$A,0),MATCH("2H"&amp;RIGHT(Annual!W$1,2),Segments!$A$3:$AJ$3,0))</f>
        <v>102.66670911512355</v>
      </c>
      <c r="X28" s="236">
        <f>INDEX(Segments!$A:$AJ,MATCH(Annual!$A28,Segments!$A:$A,0),MATCH("1H"&amp;RIGHT(Annual!X$1,2),Segments!$A$3:$AJ$3,0))+INDEX(Segments!$A:$AJ,MATCH(Annual!$A28,Segments!$A:$A,0),MATCH("2H"&amp;RIGHT(Annual!X$1,2),Segments!$A$3:$AJ$3,0))</f>
        <v>125.32156801666879</v>
      </c>
      <c r="Y28" s="2"/>
      <c r="Z28" s="2"/>
      <c r="AA28" s="108"/>
      <c r="AB28" s="109"/>
      <c r="AC28" s="108"/>
      <c r="AD28" s="109"/>
      <c r="AE28" s="108"/>
      <c r="AF28" s="109"/>
      <c r="AG28" s="2"/>
      <c r="AH28" s="2"/>
      <c r="AI28" s="2"/>
    </row>
    <row r="29" spans="1:35" x14ac:dyDescent="0.25">
      <c r="A29" s="20" t="s">
        <v>105</v>
      </c>
      <c r="B29" s="36" t="s">
        <v>106</v>
      </c>
      <c r="C29" s="37" t="s">
        <v>67</v>
      </c>
      <c r="D29" s="38" t="s">
        <v>94</v>
      </c>
      <c r="E29" s="38"/>
      <c r="F29" s="51">
        <v>63.8</v>
      </c>
      <c r="G29" s="51">
        <v>78.5</v>
      </c>
      <c r="H29" s="51">
        <v>84</v>
      </c>
      <c r="I29" s="51">
        <v>102.5</v>
      </c>
      <c r="J29" s="51">
        <v>114.4</v>
      </c>
      <c r="K29" s="39">
        <f t="shared" ref="K29:M29" si="10">SUM(K25:K28)</f>
        <v>142.6</v>
      </c>
      <c r="L29" s="39">
        <f t="shared" si="10"/>
        <v>144.19999999999999</v>
      </c>
      <c r="M29" s="39">
        <f t="shared" si="10"/>
        <v>127</v>
      </c>
      <c r="N29" s="39">
        <f>SUM(N25:N28)</f>
        <v>142.80000000000001</v>
      </c>
      <c r="O29" s="235">
        <f>INDEX(Segments!$A:$AJ,MATCH(Annual!$A29,Segments!$A:$A,0),MATCH("1H"&amp;RIGHT(Annual!O$1,2),Segments!$A$3:$AJ$3,0))+INDEX(Segments!$A:$AJ,MATCH(Annual!$A29,Segments!$A:$A,0),MATCH("2H"&amp;RIGHT(Annual!O$1,2),Segments!$A$3:$AJ$3,0))</f>
        <v>169.97387975665521</v>
      </c>
      <c r="P29" s="235">
        <f>INDEX(Segments!$A:$AJ,MATCH(Annual!$A29,Segments!$A:$A,0),MATCH("1H"&amp;RIGHT(Annual!P$1,2),Segments!$A$3:$AJ$3,0))+INDEX(Segments!$A:$AJ,MATCH(Annual!$A29,Segments!$A:$A,0),MATCH("2H"&amp;RIGHT(Annual!P$1,2),Segments!$A$3:$AJ$3,0))</f>
        <v>191.37079834608272</v>
      </c>
      <c r="Q29" s="235">
        <f>INDEX(Segments!$A:$AJ,MATCH(Annual!$A29,Segments!$A:$A,0),MATCH("1H"&amp;RIGHT(Annual!Q$1,2),Segments!$A$3:$AJ$3,0))+INDEX(Segments!$A:$AJ,MATCH(Annual!$A29,Segments!$A:$A,0),MATCH("2H"&amp;RIGHT(Annual!Q$1,2),Segments!$A$3:$AJ$3,0))</f>
        <v>211.78350528815042</v>
      </c>
      <c r="R29" s="235">
        <f>INDEX(Segments!$A:$AJ,MATCH(Annual!$A29,Segments!$A:$A,0),MATCH("1H"&amp;RIGHT(Annual!R$1,2),Segments!$A$3:$AJ$3,0))+INDEX(Segments!$A:$AJ,MATCH(Annual!$A29,Segments!$A:$A,0),MATCH("2H"&amp;RIGHT(Annual!R$1,2),Segments!$A$3:$AJ$3,0))</f>
        <v>233.58281013956537</v>
      </c>
      <c r="S29" s="235">
        <f>INDEX(Segments!$A:$AJ,MATCH(Annual!$A29,Segments!$A:$A,0),MATCH("1H"&amp;RIGHT(Annual!S$1,2),Segments!$A$3:$AJ$3,0))+INDEX(Segments!$A:$AJ,MATCH(Annual!$A29,Segments!$A:$A,0),MATCH("2H"&amp;RIGHT(Annual!S$1,2),Segments!$A$3:$AJ$3,0))</f>
        <v>257.91029366353939</v>
      </c>
      <c r="T29" s="235">
        <f>INDEX(Segments!$A:$AJ,MATCH(Annual!$A29,Segments!$A:$A,0),MATCH("1H"&amp;RIGHT(Annual!T$1,2),Segments!$A$3:$AJ$3,0))+INDEX(Segments!$A:$AJ,MATCH(Annual!$A29,Segments!$A:$A,0),MATCH("2H"&amp;RIGHT(Annual!T$1,2),Segments!$A$3:$AJ$3,0))</f>
        <v>283.58930457153053</v>
      </c>
      <c r="U29" s="235">
        <f>INDEX(Segments!$A:$AJ,MATCH(Annual!$A29,Segments!$A:$A,0),MATCH("1H"&amp;RIGHT(Annual!U$1,2),Segments!$A$3:$AJ$3,0))+INDEX(Segments!$A:$AJ,MATCH(Annual!$A29,Segments!$A:$A,0),MATCH("2H"&amp;RIGHT(Annual!U$1,2),Segments!$A$3:$AJ$3,0))</f>
        <v>311.95458909734987</v>
      </c>
      <c r="V29" s="235">
        <f>INDEX(Segments!$A:$AJ,MATCH(Annual!$A29,Segments!$A:$A,0),MATCH("1H"&amp;RIGHT(Annual!V$1,2),Segments!$A$3:$AJ$3,0))+INDEX(Segments!$A:$AJ,MATCH(Annual!$A29,Segments!$A:$A,0),MATCH("2H"&amp;RIGHT(Annual!V$1,2),Segments!$A$3:$AJ$3,0))</f>
        <v>343.30721395070486</v>
      </c>
      <c r="W29" s="235">
        <f>INDEX(Segments!$A:$AJ,MATCH(Annual!$A29,Segments!$A:$A,0),MATCH("1H"&amp;RIGHT(Annual!W$1,2),Segments!$A$3:$AJ$3,0))+INDEX(Segments!$A:$AJ,MATCH(Annual!$A29,Segments!$A:$A,0),MATCH("2H"&amp;RIGHT(Annual!W$1,2),Segments!$A$3:$AJ$3,0))</f>
        <v>377.98340085079269</v>
      </c>
      <c r="X29" s="235">
        <f>INDEX(Segments!$A:$AJ,MATCH(Annual!$A29,Segments!$A:$A,0),MATCH("1H"&amp;RIGHT(Annual!X$1,2),Segments!$A$3:$AJ$3,0))+INDEX(Segments!$A:$AJ,MATCH(Annual!$A29,Segments!$A:$A,0),MATCH("2H"&amp;RIGHT(Annual!X$1,2),Segments!$A$3:$AJ$3,0))</f>
        <v>416.35875143255589</v>
      </c>
      <c r="Y29" s="2"/>
      <c r="Z29" s="2"/>
      <c r="AA29" s="111">
        <v>18</v>
      </c>
      <c r="AB29" s="115">
        <v>124.8</v>
      </c>
      <c r="AC29" s="111">
        <v>46.3</v>
      </c>
      <c r="AD29" s="115">
        <v>131.1</v>
      </c>
      <c r="AE29" s="111">
        <v>61.9</v>
      </c>
      <c r="AF29" s="115">
        <v>144.5</v>
      </c>
      <c r="AG29" s="2"/>
      <c r="AH29" s="2"/>
      <c r="AI29" s="2"/>
    </row>
    <row r="30" spans="1:35" x14ac:dyDescent="0.25">
      <c r="A30" s="20"/>
      <c r="B30" s="33" t="s">
        <v>76</v>
      </c>
      <c r="C30" s="27" t="s">
        <v>77</v>
      </c>
      <c r="D30" s="29"/>
      <c r="E30" s="29"/>
      <c r="F30" s="29"/>
      <c r="G30" s="45">
        <f t="shared" ref="G30:H30" si="11">G29/F29-1</f>
        <v>0.23040752351097193</v>
      </c>
      <c r="H30" s="45">
        <f t="shared" si="11"/>
        <v>7.0063694267515908E-2</v>
      </c>
      <c r="I30" s="45">
        <f t="shared" ref="I30:J30" si="12">I29/H29-1</f>
        <v>0.22023809523809534</v>
      </c>
      <c r="J30" s="45">
        <f t="shared" si="12"/>
        <v>0.11609756097560986</v>
      </c>
      <c r="K30" s="45">
        <f t="shared" ref="K30:L30" si="13">K29/J29-1</f>
        <v>0.24650349650349646</v>
      </c>
      <c r="L30" s="45">
        <f t="shared" si="13"/>
        <v>1.1220196353436185E-2</v>
      </c>
      <c r="M30" s="45">
        <f t="shared" ref="M30" si="14">M29/L29-1</f>
        <v>-0.11927877947295418</v>
      </c>
      <c r="N30" s="45">
        <f>N29/M29-1</f>
        <v>0.12440944881889782</v>
      </c>
      <c r="O30" s="45">
        <f t="shared" ref="O30:X30" si="15">O29/N29-1</f>
        <v>0.19029327560682918</v>
      </c>
      <c r="P30" s="45">
        <f t="shared" si="15"/>
        <v>0.12588356881693019</v>
      </c>
      <c r="Q30" s="45">
        <f t="shared" si="15"/>
        <v>0.10666573541252888</v>
      </c>
      <c r="R30" s="45">
        <f t="shared" si="15"/>
        <v>0.10293202401081736</v>
      </c>
      <c r="S30" s="45">
        <f t="shared" si="15"/>
        <v>0.10414928868026885</v>
      </c>
      <c r="T30" s="45">
        <f t="shared" si="15"/>
        <v>9.9565668912350747E-2</v>
      </c>
      <c r="U30" s="45">
        <f t="shared" si="15"/>
        <v>0.10002240588260514</v>
      </c>
      <c r="V30" s="45">
        <f t="shared" si="15"/>
        <v>0.10050381032724909</v>
      </c>
      <c r="W30" s="45">
        <f t="shared" si="15"/>
        <v>0.10100628676293111</v>
      </c>
      <c r="X30" s="45">
        <f t="shared" si="15"/>
        <v>0.10152654983098497</v>
      </c>
      <c r="Y30" s="2"/>
      <c r="Z30" s="2"/>
      <c r="AA30" s="108">
        <v>0</v>
      </c>
      <c r="AB30" s="109"/>
      <c r="AC30" s="108">
        <v>0.1</v>
      </c>
      <c r="AD30" s="109"/>
      <c r="AE30" s="108">
        <v>0.2</v>
      </c>
      <c r="AF30" s="109">
        <v>0</v>
      </c>
      <c r="AG30" s="2"/>
      <c r="AH30" s="2"/>
      <c r="AI30" s="2"/>
    </row>
    <row r="31" spans="1:35" x14ac:dyDescent="0.25">
      <c r="A31" s="307"/>
      <c r="B31" s="308"/>
      <c r="C31" s="43"/>
      <c r="D31" s="32"/>
      <c r="E31" s="32"/>
      <c r="F31" s="32"/>
      <c r="G31" s="32"/>
      <c r="H31" s="116"/>
      <c r="I31" s="44"/>
      <c r="J31" s="44"/>
      <c r="K31" s="44"/>
      <c r="L31" s="44"/>
      <c r="M31" s="44"/>
      <c r="N31" s="44"/>
      <c r="O31" s="44"/>
      <c r="P31" s="44"/>
      <c r="Q31" s="44"/>
      <c r="R31" s="44"/>
      <c r="S31" s="44"/>
      <c r="T31" s="44"/>
      <c r="U31" s="44"/>
      <c r="V31" s="44"/>
      <c r="W31" s="44"/>
      <c r="X31" s="44"/>
      <c r="Y31" s="2"/>
      <c r="Z31" s="2"/>
      <c r="AA31" s="117"/>
      <c r="AB31" s="118"/>
      <c r="AC31" s="117"/>
      <c r="AD31" s="118"/>
      <c r="AE31" s="117"/>
      <c r="AF31" s="118"/>
      <c r="AG31" s="2"/>
      <c r="AH31" s="2"/>
      <c r="AI31" s="2"/>
    </row>
    <row r="32" spans="1:35" x14ac:dyDescent="0.25">
      <c r="A32" s="20" t="s">
        <v>107</v>
      </c>
      <c r="B32" s="33" t="s">
        <v>107</v>
      </c>
      <c r="C32" s="27" t="s">
        <v>109</v>
      </c>
      <c r="D32" s="29"/>
      <c r="E32" s="29"/>
      <c r="F32" s="29"/>
      <c r="G32" s="29"/>
      <c r="H32" s="29"/>
      <c r="I32" s="29"/>
      <c r="J32" s="29"/>
      <c r="K32" s="29"/>
      <c r="L32" s="29"/>
      <c r="M32" s="29"/>
      <c r="N32" s="34">
        <v>2</v>
      </c>
      <c r="O32" s="35">
        <f>INDEX(Segments!$A:$AJ,MATCH(Annual!$A32,Segments!$A:$A,0),MATCH("1H"&amp;RIGHT(Annual!O$1,2),Segments!$A$3:$AJ$3,0))+INDEX(Segments!$A:$AJ,MATCH(Annual!$A32,Segments!$A:$A,0),MATCH("2H"&amp;RIGHT(Annual!O$1,2),Segments!$A$3:$AJ$3,0))</f>
        <v>4</v>
      </c>
      <c r="P32" s="236">
        <f>INDEX(Segments!$A:$AJ,MATCH(Annual!$A32,Segments!$A:$A,0),MATCH("1H"&amp;RIGHT(Annual!P$1,2),Segments!$A$3:$AJ$3,0))+INDEX(Segments!$A:$AJ,MATCH(Annual!$A32,Segments!$A:$A,0),MATCH("2H"&amp;RIGHT(Annual!P$1,2),Segments!$A$3:$AJ$3,0))</f>
        <v>8</v>
      </c>
      <c r="Q32" s="236">
        <f>INDEX(Segments!$A:$AJ,MATCH(Annual!$A32,Segments!$A:$A,0),MATCH("1H"&amp;RIGHT(Annual!Q$1,2),Segments!$A$3:$AJ$3,0))+INDEX(Segments!$A:$AJ,MATCH(Annual!$A32,Segments!$A:$A,0),MATCH("2H"&amp;RIGHT(Annual!Q$1,2),Segments!$A$3:$AJ$3,0))</f>
        <v>8.56</v>
      </c>
      <c r="R32" s="236">
        <f>INDEX(Segments!$A:$AJ,MATCH(Annual!$A32,Segments!$A:$A,0),MATCH("1H"&amp;RIGHT(Annual!R$1,2),Segments!$A$3:$AJ$3,0))+INDEX(Segments!$A:$AJ,MATCH(Annual!$A32,Segments!$A:$A,0),MATCH("2H"&amp;RIGHT(Annual!R$1,2),Segments!$A$3:$AJ$3,0))</f>
        <v>9.1592000000000002</v>
      </c>
      <c r="S32" s="236">
        <f>INDEX(Segments!$A:$AJ,MATCH(Annual!$A32,Segments!$A:$A,0),MATCH("1H"&amp;RIGHT(Annual!S$1,2),Segments!$A$3:$AJ$3,0))+INDEX(Segments!$A:$AJ,MATCH(Annual!$A32,Segments!$A:$A,0),MATCH("2H"&amp;RIGHT(Annual!S$1,2),Segments!$A$3:$AJ$3,0))</f>
        <v>9.8003440000000008</v>
      </c>
      <c r="T32" s="236">
        <f>INDEX(Segments!$A:$AJ,MATCH(Annual!$A32,Segments!$A:$A,0),MATCH("1H"&amp;RIGHT(Annual!T$1,2),Segments!$A$3:$AJ$3,0))+INDEX(Segments!$A:$AJ,MATCH(Annual!$A32,Segments!$A:$A,0),MATCH("2H"&amp;RIGHT(Annual!T$1,2),Segments!$A$3:$AJ$3,0))</f>
        <v>10.486368080000002</v>
      </c>
      <c r="U32" s="236">
        <f>INDEX(Segments!$A:$AJ,MATCH(Annual!$A32,Segments!$A:$A,0),MATCH("1H"&amp;RIGHT(Annual!U$1,2),Segments!$A$3:$AJ$3,0))+INDEX(Segments!$A:$AJ,MATCH(Annual!$A32,Segments!$A:$A,0),MATCH("2H"&amp;RIGHT(Annual!U$1,2),Segments!$A$3:$AJ$3,0))</f>
        <v>11.220413845600003</v>
      </c>
      <c r="V32" s="236">
        <f>INDEX(Segments!$A:$AJ,MATCH(Annual!$A32,Segments!$A:$A,0),MATCH("1H"&amp;RIGHT(Annual!V$1,2),Segments!$A$3:$AJ$3,0))+INDEX(Segments!$A:$AJ,MATCH(Annual!$A32,Segments!$A:$A,0),MATCH("2H"&amp;RIGHT(Annual!V$1,2),Segments!$A$3:$AJ$3,0))</f>
        <v>12.005842814792004</v>
      </c>
      <c r="W32" s="236">
        <f>INDEX(Segments!$A:$AJ,MATCH(Annual!$A32,Segments!$A:$A,0),MATCH("1H"&amp;RIGHT(Annual!W$1,2),Segments!$A$3:$AJ$3,0))+INDEX(Segments!$A:$AJ,MATCH(Annual!$A32,Segments!$A:$A,0),MATCH("2H"&amp;RIGHT(Annual!W$1,2),Segments!$A$3:$AJ$3,0))</f>
        <v>12.846251811827445</v>
      </c>
      <c r="X32" s="236">
        <f>INDEX(Segments!$A:$AJ,MATCH(Annual!$A32,Segments!$A:$A,0),MATCH("1H"&amp;RIGHT(Annual!X$1,2),Segments!$A$3:$AJ$3,0))+INDEX(Segments!$A:$AJ,MATCH(Annual!$A32,Segments!$A:$A,0),MATCH("2H"&amp;RIGHT(Annual!X$1,2),Segments!$A$3:$AJ$3,0))</f>
        <v>13.745489438655367</v>
      </c>
      <c r="Y32" s="29"/>
      <c r="Z32" s="29"/>
      <c r="AA32" s="29"/>
      <c r="AB32" s="29"/>
      <c r="AC32" s="29"/>
      <c r="AD32" s="29"/>
      <c r="AE32" s="29"/>
      <c r="AF32" s="29"/>
      <c r="AG32" s="29"/>
      <c r="AH32" s="29"/>
      <c r="AI32" s="29"/>
    </row>
    <row r="33" spans="1:35" x14ac:dyDescent="0.25">
      <c r="A33" s="20" t="s">
        <v>110</v>
      </c>
      <c r="B33" s="33" t="s">
        <v>110</v>
      </c>
      <c r="C33" s="27" t="s">
        <v>109</v>
      </c>
      <c r="D33" s="29"/>
      <c r="E33" s="29"/>
      <c r="F33" s="29"/>
      <c r="G33" s="29"/>
      <c r="H33" s="29"/>
      <c r="I33" s="29"/>
      <c r="J33" s="29"/>
      <c r="K33" s="29"/>
      <c r="L33" s="29"/>
      <c r="M33" s="29"/>
      <c r="N33" s="35">
        <f>INDEX(Segments!$A:$AJ,MATCH(Annual!$A33,Segments!$A:$A,0),MATCH("2H"&amp;RIGHT(Annual!N$1,2),Segments!$A$3:$AJ$3,0))</f>
        <v>2</v>
      </c>
      <c r="O33" s="35">
        <f>INDEX(Segments!$A:$AJ,MATCH(Annual!$A33,Segments!$A:$A,0),MATCH("2H"&amp;RIGHT(Annual!O$1,2),Segments!$A$3:$AJ$3,0))</f>
        <v>6</v>
      </c>
      <c r="P33" s="236">
        <f>INDEX(Segments!$A:$AJ,MATCH(Annual!$A33,Segments!$A:$A,0),MATCH("2H"&amp;RIGHT(Annual!P$1,2),Segments!$A$3:$AJ$3,0))</f>
        <v>14</v>
      </c>
      <c r="Q33" s="236">
        <f>INDEX(Segments!$A:$AJ,MATCH(Annual!$A33,Segments!$A:$A,0),MATCH("2H"&amp;RIGHT(Annual!Q$1,2),Segments!$A$3:$AJ$3,0))</f>
        <v>22.560000000000002</v>
      </c>
      <c r="R33" s="236">
        <f>INDEX(Segments!$A:$AJ,MATCH(Annual!$A33,Segments!$A:$A,0),MATCH("2H"&amp;RIGHT(Annual!R$1,2),Segments!$A$3:$AJ$3,0))</f>
        <v>31.719200000000001</v>
      </c>
      <c r="S33" s="236">
        <f>INDEX(Segments!$A:$AJ,MATCH(Annual!$A33,Segments!$A:$A,0),MATCH("2H"&amp;RIGHT(Annual!S$1,2),Segments!$A$3:$AJ$3,0))</f>
        <v>41.519543999999996</v>
      </c>
      <c r="T33" s="236">
        <f>INDEX(Segments!$A:$AJ,MATCH(Annual!$A33,Segments!$A:$A,0),MATCH("2H"&amp;RIGHT(Annual!T$1,2),Segments!$A$3:$AJ$3,0))</f>
        <v>52.005912080000002</v>
      </c>
      <c r="U33" s="236">
        <f>INDEX(Segments!$A:$AJ,MATCH(Annual!$A33,Segments!$A:$A,0),MATCH("2H"&amp;RIGHT(Annual!U$1,2),Segments!$A$3:$AJ$3,0))</f>
        <v>63.226325925600008</v>
      </c>
      <c r="V33" s="236">
        <f>INDEX(Segments!$A:$AJ,MATCH(Annual!$A33,Segments!$A:$A,0),MATCH("2H"&amp;RIGHT(Annual!V$1,2),Segments!$A$3:$AJ$3,0))</f>
        <v>75.232168740392012</v>
      </c>
      <c r="W33" s="236">
        <f>INDEX(Segments!$A:$AJ,MATCH(Annual!$A33,Segments!$A:$A,0),MATCH("2H"&amp;RIGHT(Annual!W$1,2),Segments!$A$3:$AJ$3,0))</f>
        <v>88.078420552219455</v>
      </c>
      <c r="X33" s="236">
        <f>INDEX(Segments!$A:$AJ,MATCH(Annual!$A33,Segments!$A:$A,0),MATCH("2H"&amp;RIGHT(Annual!X$1,2),Segments!$A$3:$AJ$3,0))</f>
        <v>101.82390999087482</v>
      </c>
      <c r="Y33" s="35"/>
      <c r="Z33" s="35"/>
      <c r="AA33" s="35"/>
      <c r="AB33" s="35"/>
      <c r="AC33" s="35"/>
      <c r="AD33" s="35"/>
      <c r="AE33" s="35"/>
      <c r="AF33" s="35"/>
      <c r="AG33" s="35"/>
      <c r="AH33" s="35"/>
      <c r="AI33" s="35"/>
    </row>
    <row r="34" spans="1:35" x14ac:dyDescent="0.25">
      <c r="A34" s="120"/>
      <c r="B34" s="121" t="s">
        <v>253</v>
      </c>
      <c r="C34" s="122"/>
      <c r="D34" s="123"/>
      <c r="E34" s="123"/>
      <c r="F34" s="124"/>
      <c r="G34" s="124"/>
      <c r="H34" s="124"/>
      <c r="I34" s="124"/>
      <c r="J34" s="124"/>
      <c r="K34" s="124"/>
      <c r="L34" s="124"/>
      <c r="M34" s="124"/>
      <c r="N34" s="124"/>
      <c r="O34" s="124"/>
      <c r="P34" s="124"/>
      <c r="Q34" s="124"/>
      <c r="R34" s="125">
        <v>35</v>
      </c>
      <c r="S34" s="124"/>
      <c r="T34" s="124"/>
      <c r="U34" s="124"/>
      <c r="V34" s="124"/>
      <c r="W34" s="124"/>
      <c r="X34" s="124"/>
      <c r="Y34" s="126"/>
      <c r="Z34" s="126"/>
      <c r="AA34" s="124"/>
      <c r="AB34" s="124"/>
      <c r="AC34" s="124"/>
      <c r="AD34" s="124"/>
      <c r="AE34" s="124"/>
      <c r="AF34" s="124"/>
      <c r="AG34" s="126"/>
      <c r="AH34" s="126"/>
      <c r="AI34" s="126"/>
    </row>
    <row r="35" spans="1:35" x14ac:dyDescent="0.25">
      <c r="A35" s="20" t="s">
        <v>111</v>
      </c>
      <c r="B35" s="33" t="s">
        <v>111</v>
      </c>
      <c r="C35" s="27" t="s">
        <v>67</v>
      </c>
      <c r="D35" s="29"/>
      <c r="E35" s="29"/>
      <c r="F35" s="29"/>
      <c r="G35" s="29"/>
      <c r="H35" s="29"/>
      <c r="I35" s="29"/>
      <c r="J35" s="29"/>
      <c r="K35" s="29"/>
      <c r="L35" s="29"/>
      <c r="M35" s="29"/>
      <c r="N35" s="34">
        <f>0.85/2</f>
        <v>0.42499999999999999</v>
      </c>
      <c r="O35" s="228">
        <f>INDEX(Segments!$A:$AJ,MATCH(Annual!$A35,Segments!$A:$A,0),MATCH("2H"&amp;RIGHT(Annual!O$1,2),Segments!$A$3:$AJ$3,0))</f>
        <v>0.48874999999999996</v>
      </c>
      <c r="P35" s="228">
        <f>INDEX(Segments!$A:$AJ,MATCH(Annual!$A35,Segments!$A:$A,0),MATCH("2H"&amp;RIGHT(Annual!P$1,2),Segments!$A$3:$AJ$3,0))</f>
        <v>0.53762500000000002</v>
      </c>
      <c r="Q35" s="228">
        <f>INDEX(Segments!$A:$AJ,MATCH(Annual!$A35,Segments!$A:$A,0),MATCH("2H"&amp;RIGHT(Annual!Q$1,2),Segments!$A$3:$AJ$3,0))</f>
        <v>0.56988250000000007</v>
      </c>
      <c r="R35" s="228">
        <f>INDEX(Segments!$A:$AJ,MATCH(Annual!$A35,Segments!$A:$A,0),MATCH("2H"&amp;RIGHT(Annual!R$1,2),Segments!$A$3:$AJ$3,0))</f>
        <v>0.60407545000000007</v>
      </c>
      <c r="S35" s="228">
        <f>INDEX(Segments!$A:$AJ,MATCH(Annual!$A35,Segments!$A:$A,0),MATCH("2H"&amp;RIGHT(Annual!S$1,2),Segments!$A$3:$AJ$3,0))</f>
        <v>0.6403199770000001</v>
      </c>
      <c r="T35" s="228">
        <f>INDEX(Segments!$A:$AJ,MATCH(Annual!$A35,Segments!$A:$A,0),MATCH("2H"&amp;RIGHT(Annual!T$1,2),Segments!$A$3:$AJ$3,0))</f>
        <v>0.67873917562000019</v>
      </c>
      <c r="U35" s="228">
        <f>INDEX(Segments!$A:$AJ,MATCH(Annual!$A35,Segments!$A:$A,0),MATCH("2H"&amp;RIGHT(Annual!U$1,2),Segments!$A$3:$AJ$3,0))</f>
        <v>0.71946352615720022</v>
      </c>
      <c r="V35" s="228">
        <f>INDEX(Segments!$A:$AJ,MATCH(Annual!$A35,Segments!$A:$A,0),MATCH("2H"&amp;RIGHT(Annual!V$1,2),Segments!$A$3:$AJ$3,0))</f>
        <v>0.76263133772663227</v>
      </c>
      <c r="W35" s="228">
        <f>INDEX(Segments!$A:$AJ,MATCH(Annual!$A35,Segments!$A:$A,0),MATCH("2H"&amp;RIGHT(Annual!W$1,2),Segments!$A$3:$AJ$3,0))</f>
        <v>0.80838921799023022</v>
      </c>
      <c r="X35" s="228">
        <f>INDEX(Segments!$A:$AJ,MATCH(Annual!$A35,Segments!$A:$A,0),MATCH("2H"&amp;RIGHT(Annual!X$1,2),Segments!$A$3:$AJ$3,0))</f>
        <v>0.85689257106964412</v>
      </c>
      <c r="Y35" s="29"/>
      <c r="Z35" s="29"/>
      <c r="AA35" s="29"/>
      <c r="AB35" s="29"/>
      <c r="AC35" s="29"/>
      <c r="AD35" s="29"/>
      <c r="AE35" s="29"/>
      <c r="AF35" s="29"/>
      <c r="AG35" s="29"/>
      <c r="AH35" s="29"/>
      <c r="AI35" s="29"/>
    </row>
    <row r="36" spans="1:35" x14ac:dyDescent="0.25">
      <c r="A36" s="307"/>
      <c r="B36" s="308"/>
      <c r="C36" s="43"/>
      <c r="D36" s="32"/>
      <c r="E36" s="32"/>
      <c r="F36" s="44"/>
      <c r="G36" s="44"/>
      <c r="H36" s="44"/>
      <c r="I36" s="44"/>
      <c r="J36" s="44"/>
      <c r="K36" s="44"/>
      <c r="L36" s="44"/>
      <c r="M36" s="44"/>
      <c r="N36" s="44">
        <f>6/6.5/2</f>
        <v>0.46153846153846156</v>
      </c>
      <c r="O36" s="44"/>
      <c r="P36" s="44"/>
      <c r="Q36" s="44"/>
      <c r="R36" s="44"/>
      <c r="S36" s="44"/>
      <c r="T36" s="44"/>
      <c r="U36" s="44"/>
      <c r="V36" s="44"/>
      <c r="W36" s="44"/>
      <c r="X36" s="44"/>
      <c r="Y36" s="44"/>
      <c r="Z36" s="44"/>
      <c r="AA36" s="44"/>
      <c r="AB36" s="44"/>
      <c r="AC36" s="44"/>
      <c r="AD36" s="44"/>
      <c r="AE36" s="44"/>
      <c r="AF36" s="44"/>
      <c r="AG36" s="44"/>
      <c r="AH36" s="44"/>
      <c r="AI36" s="44"/>
    </row>
    <row r="37" spans="1:35" x14ac:dyDescent="0.25">
      <c r="A37" s="20"/>
      <c r="B37" s="30" t="s">
        <v>113</v>
      </c>
      <c r="C37" s="31"/>
      <c r="D37" s="2"/>
      <c r="E37" s="2"/>
      <c r="F37" s="2"/>
      <c r="G37" s="2"/>
      <c r="H37" s="2"/>
      <c r="I37" s="29"/>
      <c r="J37" s="29"/>
      <c r="K37" s="29"/>
      <c r="L37" s="29"/>
      <c r="M37" s="29"/>
      <c r="N37" s="29"/>
      <c r="O37" s="29"/>
      <c r="P37" s="29"/>
      <c r="Q37" s="29"/>
      <c r="R37" s="29"/>
      <c r="S37" s="29"/>
      <c r="T37" s="29"/>
      <c r="U37" s="29"/>
      <c r="V37" s="29"/>
      <c r="W37" s="29"/>
      <c r="X37" s="29"/>
      <c r="Y37" s="2"/>
      <c r="Z37" s="2"/>
      <c r="AA37" s="106"/>
      <c r="AB37" s="107"/>
      <c r="AC37" s="106"/>
      <c r="AD37" s="107"/>
      <c r="AE37" s="106"/>
      <c r="AF37" s="107"/>
      <c r="AG37" s="2"/>
      <c r="AH37" s="2"/>
      <c r="AI37" s="2"/>
    </row>
    <row r="38" spans="1:35" x14ac:dyDescent="0.25">
      <c r="A38" s="20" t="s">
        <v>254</v>
      </c>
      <c r="B38" s="33" t="s">
        <v>97</v>
      </c>
      <c r="C38" s="27" t="s">
        <v>67</v>
      </c>
      <c r="D38" s="34" t="s">
        <v>73</v>
      </c>
      <c r="E38" s="34"/>
      <c r="F38" s="35"/>
      <c r="G38" s="35"/>
      <c r="H38" s="35"/>
      <c r="I38" s="35"/>
      <c r="J38" s="35"/>
      <c r="K38" s="35"/>
      <c r="L38" s="35"/>
      <c r="M38" s="35">
        <f t="shared" ref="M38:M40" si="16">M47-M25</f>
        <v>-42.800000000000004</v>
      </c>
      <c r="N38" s="35">
        <f>N47-N25</f>
        <v>-45.399999999999991</v>
      </c>
      <c r="O38" s="35"/>
      <c r="P38" s="35"/>
      <c r="Q38" s="35"/>
      <c r="R38" s="35"/>
      <c r="S38" s="35"/>
      <c r="T38" s="35"/>
      <c r="U38" s="35"/>
      <c r="V38" s="35"/>
      <c r="W38" s="35"/>
      <c r="X38" s="35"/>
      <c r="Y38" s="2"/>
      <c r="Z38" s="2"/>
      <c r="AA38" s="108">
        <v>-28.6</v>
      </c>
      <c r="AB38" s="109">
        <v>-16.8</v>
      </c>
      <c r="AC38" s="108">
        <v>0</v>
      </c>
      <c r="AD38" s="109">
        <v>0</v>
      </c>
      <c r="AE38" s="108">
        <v>0</v>
      </c>
      <c r="AF38" s="109">
        <v>0</v>
      </c>
      <c r="AG38" s="2"/>
      <c r="AH38" s="2"/>
      <c r="AI38" s="2"/>
    </row>
    <row r="39" spans="1:35" x14ac:dyDescent="0.25">
      <c r="A39" s="20" t="s">
        <v>255</v>
      </c>
      <c r="B39" s="33" t="s">
        <v>147</v>
      </c>
      <c r="C39" s="27" t="s">
        <v>67</v>
      </c>
      <c r="D39" s="34"/>
      <c r="E39" s="34"/>
      <c r="F39" s="35"/>
      <c r="G39" s="35"/>
      <c r="H39" s="35"/>
      <c r="I39" s="35"/>
      <c r="J39" s="35"/>
      <c r="K39" s="35"/>
      <c r="L39" s="35"/>
      <c r="M39" s="35">
        <f t="shared" si="16"/>
        <v>-12.100000000000001</v>
      </c>
      <c r="N39" s="35">
        <f t="shared" ref="N39:N40" si="17">N48-N26</f>
        <v>-13.399999999999999</v>
      </c>
      <c r="O39" s="35"/>
      <c r="P39" s="35"/>
      <c r="Q39" s="35"/>
      <c r="R39" s="35"/>
      <c r="S39" s="35"/>
      <c r="T39" s="35"/>
      <c r="U39" s="35"/>
      <c r="V39" s="35"/>
      <c r="W39" s="35"/>
      <c r="X39" s="35"/>
      <c r="Y39" s="2"/>
      <c r="Z39" s="2"/>
      <c r="AA39" s="108">
        <v>-6.9</v>
      </c>
      <c r="AB39" s="109">
        <v>-6.5</v>
      </c>
      <c r="AC39" s="108">
        <v>0</v>
      </c>
      <c r="AD39" s="109">
        <v>0</v>
      </c>
      <c r="AE39" s="108">
        <v>0</v>
      </c>
      <c r="AF39" s="109">
        <v>0</v>
      </c>
      <c r="AG39" s="2"/>
      <c r="AH39" s="2"/>
      <c r="AI39" s="2"/>
    </row>
    <row r="40" spans="1:35" x14ac:dyDescent="0.25">
      <c r="A40" s="20" t="s">
        <v>256</v>
      </c>
      <c r="B40" s="33" t="s">
        <v>102</v>
      </c>
      <c r="C40" s="27" t="s">
        <v>67</v>
      </c>
      <c r="D40" s="34"/>
      <c r="E40" s="34"/>
      <c r="F40" s="35"/>
      <c r="G40" s="35"/>
      <c r="H40" s="35"/>
      <c r="I40" s="35"/>
      <c r="J40" s="35"/>
      <c r="K40" s="35"/>
      <c r="L40" s="35"/>
      <c r="M40" s="35">
        <f t="shared" si="16"/>
        <v>-24.7</v>
      </c>
      <c r="N40" s="35">
        <f t="shared" si="17"/>
        <v>-27.8</v>
      </c>
      <c r="O40" s="35"/>
      <c r="P40" s="35"/>
      <c r="Q40" s="35"/>
      <c r="R40" s="35"/>
      <c r="S40" s="35"/>
      <c r="T40" s="35"/>
      <c r="U40" s="35"/>
      <c r="V40" s="35"/>
      <c r="W40" s="35"/>
      <c r="X40" s="35"/>
      <c r="Y40" s="2"/>
      <c r="Z40" s="2"/>
      <c r="AA40" s="108">
        <v>0</v>
      </c>
      <c r="AB40" s="109">
        <v>-27.8</v>
      </c>
      <c r="AC40" s="108">
        <v>0</v>
      </c>
      <c r="AD40" s="109">
        <v>0</v>
      </c>
      <c r="AE40" s="108">
        <v>0</v>
      </c>
      <c r="AF40" s="109">
        <v>0</v>
      </c>
      <c r="AG40" s="2"/>
      <c r="AH40" s="2"/>
      <c r="AI40" s="2"/>
    </row>
    <row r="41" spans="1:35" x14ac:dyDescent="0.25">
      <c r="A41" s="20" t="s">
        <v>114</v>
      </c>
      <c r="B41" s="36" t="s">
        <v>115</v>
      </c>
      <c r="C41" s="37" t="s">
        <v>67</v>
      </c>
      <c r="D41" s="39"/>
      <c r="E41" s="39"/>
      <c r="F41" s="39">
        <f t="shared" ref="F41:M41" si="18">F51-F29</f>
        <v>-20.9</v>
      </c>
      <c r="G41" s="39">
        <f t="shared" si="18"/>
        <v>-32.200000000000003</v>
      </c>
      <c r="H41" s="39">
        <f t="shared" si="18"/>
        <v>-38.5</v>
      </c>
      <c r="I41" s="39">
        <f t="shared" si="18"/>
        <v>-47.2</v>
      </c>
      <c r="J41" s="39">
        <f t="shared" si="18"/>
        <v>-42.100000000000009</v>
      </c>
      <c r="K41" s="39">
        <f t="shared" si="18"/>
        <v>-55.899999999999991</v>
      </c>
      <c r="L41" s="39">
        <f t="shared" si="18"/>
        <v>-84.799999999999983</v>
      </c>
      <c r="M41" s="39">
        <f t="shared" si="18"/>
        <v>-79.600000000000009</v>
      </c>
      <c r="N41" s="39">
        <f>N51-N29</f>
        <v>-86.600000000000009</v>
      </c>
      <c r="O41" s="235">
        <f>INDEX(Segments!$A:$AJ,MATCH(Annual!$A41,Segments!$A:$A,0),MATCH("1H"&amp;RIGHT(Annual!O$1,2),Segments!$A$3:$AJ$3,0))+INDEX(Segments!$A:$AJ,MATCH(Annual!$A41,Segments!$A:$A,0),MATCH("2H"&amp;RIGHT(Annual!O$1,2),Segments!$A$3:$AJ$3,0))</f>
        <v>-89.8279397723188</v>
      </c>
      <c r="P41" s="235">
        <f>INDEX(Segments!$A:$AJ,MATCH(Annual!$A41,Segments!$A:$A,0),MATCH("1H"&amp;RIGHT(Annual!P$1,2),Segments!$A$3:$AJ$3,0))+INDEX(Segments!$A:$AJ,MATCH(Annual!$A41,Segments!$A:$A,0),MATCH("2H"&amp;RIGHT(Annual!P$1,2),Segments!$A$3:$AJ$3,0))</f>
        <v>-98.254771486641715</v>
      </c>
      <c r="Q41" s="235">
        <f>INDEX(Segments!$A:$AJ,MATCH(Annual!$A41,Segments!$A:$A,0),MATCH("1H"&amp;RIGHT(Annual!Q$1,2),Segments!$A$3:$AJ$3,0))+INDEX(Segments!$A:$AJ,MATCH(Annual!$A41,Segments!$A:$A,0),MATCH("2H"&amp;RIGHT(Annual!Q$1,2),Segments!$A$3:$AJ$3,0))</f>
        <v>-105.56960459245373</v>
      </c>
      <c r="R41" s="235">
        <f>INDEX(Segments!$A:$AJ,MATCH(Annual!$A41,Segments!$A:$A,0),MATCH("1H"&amp;RIGHT(Annual!R$1,2),Segments!$A$3:$AJ$3,0))+INDEX(Segments!$A:$AJ,MATCH(Annual!$A41,Segments!$A:$A,0),MATCH("2H"&amp;RIGHT(Annual!R$1,2),Segments!$A$3:$AJ$3,0))</f>
        <v>-112.93496115678386</v>
      </c>
      <c r="S41" s="235">
        <f>INDEX(Segments!$A:$AJ,MATCH(Annual!$A41,Segments!$A:$A,0),MATCH("1H"&amp;RIGHT(Annual!S$1,2),Segments!$A$3:$AJ$3,0))+INDEX(Segments!$A:$AJ,MATCH(Annual!$A41,Segments!$A:$A,0),MATCH("2H"&amp;RIGHT(Annual!S$1,2),Segments!$A$3:$AJ$3,0))</f>
        <v>-122.12034797404289</v>
      </c>
      <c r="T41" s="235">
        <f>INDEX(Segments!$A:$AJ,MATCH(Annual!$A41,Segments!$A:$A,0),MATCH("1H"&amp;RIGHT(Annual!T$1,2),Segments!$A$3:$AJ$3,0))+INDEX(Segments!$A:$AJ,MATCH(Annual!$A41,Segments!$A:$A,0),MATCH("2H"&amp;RIGHT(Annual!T$1,2),Segments!$A$3:$AJ$3,0))</f>
        <v>-131.44577227891659</v>
      </c>
      <c r="U41" s="235">
        <f>INDEX(Segments!$A:$AJ,MATCH(Annual!$A41,Segments!$A:$A,0),MATCH("1H"&amp;RIGHT(Annual!U$1,2),Segments!$A$3:$AJ$3,0))+INDEX(Segments!$A:$AJ,MATCH(Annual!$A41,Segments!$A:$A,0),MATCH("2H"&amp;RIGHT(Annual!U$1,2),Segments!$A$3:$AJ$3,0))</f>
        <v>-141.47605903323648</v>
      </c>
      <c r="V41" s="235">
        <f>INDEX(Segments!$A:$AJ,MATCH(Annual!$A41,Segments!$A:$A,0),MATCH("1H"&amp;RIGHT(Annual!V$1,2),Segments!$A$3:$AJ$3,0))+INDEX(Segments!$A:$AJ,MATCH(Annual!$A41,Segments!$A:$A,0),MATCH("2H"&amp;RIGHT(Annual!V$1,2),Segments!$A$3:$AJ$3,0))</f>
        <v>-152.26416780972113</v>
      </c>
      <c r="W41" s="235">
        <f>INDEX(Segments!$A:$AJ,MATCH(Annual!$A41,Segments!$A:$A,0),MATCH("1H"&amp;RIGHT(Annual!W$1,2),Segments!$A$3:$AJ$3,0))+INDEX(Segments!$A:$AJ,MATCH(Annual!$A41,Segments!$A:$A,0),MATCH("2H"&amp;RIGHT(Annual!W$1,2),Segments!$A$3:$AJ$3,0))</f>
        <v>-163.86625720953271</v>
      </c>
      <c r="X41" s="235">
        <f>INDEX(Segments!$A:$AJ,MATCH(Annual!$A41,Segments!$A:$A,0),MATCH("1H"&amp;RIGHT(Annual!X$1,2),Segments!$A$3:$AJ$3,0))+INDEX(Segments!$A:$AJ,MATCH(Annual!$A41,Segments!$A:$A,0),MATCH("2H"&amp;RIGHT(Annual!X$1,2),Segments!$A$3:$AJ$3,0))</f>
        <v>-176.34171650267626</v>
      </c>
      <c r="Y41" s="2"/>
      <c r="Z41" s="2"/>
      <c r="AA41" s="111">
        <v>-70</v>
      </c>
      <c r="AB41" s="115">
        <v>-16.600000000000001</v>
      </c>
      <c r="AC41" s="111">
        <v>-73.5</v>
      </c>
      <c r="AD41" s="115">
        <v>-23</v>
      </c>
      <c r="AE41" s="111">
        <v>-84.6</v>
      </c>
      <c r="AF41" s="115">
        <v>-24.6</v>
      </c>
      <c r="AG41" s="2"/>
      <c r="AH41" s="2"/>
      <c r="AI41" s="2"/>
    </row>
    <row r="42" spans="1:35" x14ac:dyDescent="0.25">
      <c r="A42" s="20"/>
      <c r="B42" s="33" t="s">
        <v>76</v>
      </c>
      <c r="C42" s="27" t="s">
        <v>77</v>
      </c>
      <c r="D42" s="29"/>
      <c r="E42" s="29"/>
      <c r="F42" s="29"/>
      <c r="G42" s="29"/>
      <c r="H42" s="29"/>
      <c r="I42" s="29"/>
      <c r="J42" s="29"/>
      <c r="K42" s="35"/>
      <c r="L42" s="45">
        <f t="shared" ref="L42:M42" si="19">L41/K41-1</f>
        <v>0.51699463327370299</v>
      </c>
      <c r="M42" s="45">
        <f t="shared" si="19"/>
        <v>-6.1320754716980841E-2</v>
      </c>
      <c r="N42" s="45">
        <f>N41/M41-1</f>
        <v>8.7939698492462304E-2</v>
      </c>
      <c r="O42" s="45">
        <f t="shared" ref="O42:X42" si="20">O41/N41-1</f>
        <v>3.7274131320078396E-2</v>
      </c>
      <c r="P42" s="45">
        <f t="shared" si="20"/>
        <v>9.3810809150046914E-2</v>
      </c>
      <c r="Q42" s="45">
        <f t="shared" si="20"/>
        <v>7.44476120104407E-2</v>
      </c>
      <c r="R42" s="45">
        <f t="shared" si="20"/>
        <v>6.9767776366727263E-2</v>
      </c>
      <c r="S42" s="45">
        <f t="shared" si="20"/>
        <v>8.1333421671852868E-2</v>
      </c>
      <c r="T42" s="45">
        <f t="shared" si="20"/>
        <v>7.6362575603337257E-2</v>
      </c>
      <c r="U42" s="45">
        <f t="shared" si="20"/>
        <v>7.6307412406056541E-2</v>
      </c>
      <c r="V42" s="45">
        <f t="shared" si="20"/>
        <v>7.6253953143762931E-2</v>
      </c>
      <c r="W42" s="45">
        <f t="shared" si="20"/>
        <v>7.6197109055298418E-2</v>
      </c>
      <c r="X42" s="45">
        <f t="shared" si="20"/>
        <v>7.6131959718781061E-2</v>
      </c>
      <c r="Y42" s="2"/>
      <c r="Z42" s="2"/>
      <c r="AA42" s="108">
        <v>0</v>
      </c>
      <c r="AB42" s="109"/>
      <c r="AC42" s="108">
        <v>0.1</v>
      </c>
      <c r="AD42" s="109"/>
      <c r="AE42" s="108">
        <v>0.2</v>
      </c>
      <c r="AF42" s="109">
        <v>0</v>
      </c>
      <c r="AG42" s="2"/>
      <c r="AH42" s="2"/>
      <c r="AI42" s="2"/>
    </row>
    <row r="43" spans="1:35" x14ac:dyDescent="0.25">
      <c r="A43" s="119"/>
      <c r="B43" s="46" t="s">
        <v>116</v>
      </c>
      <c r="C43" s="43" t="s">
        <v>117</v>
      </c>
      <c r="D43" s="47"/>
      <c r="E43" s="47"/>
      <c r="F43" s="237">
        <f t="shared" ref="F43:M43" si="21">-F41/F29</f>
        <v>0.32758620689655171</v>
      </c>
      <c r="G43" s="237">
        <f t="shared" si="21"/>
        <v>0.41019108280254779</v>
      </c>
      <c r="H43" s="237">
        <f t="shared" si="21"/>
        <v>0.45833333333333331</v>
      </c>
      <c r="I43" s="237">
        <f t="shared" si="21"/>
        <v>0.4604878048780488</v>
      </c>
      <c r="J43" s="237">
        <f t="shared" si="21"/>
        <v>0.36800699300699308</v>
      </c>
      <c r="K43" s="237">
        <f t="shared" si="21"/>
        <v>0.39200561009817669</v>
      </c>
      <c r="L43" s="237">
        <f t="shared" si="21"/>
        <v>0.58807212205270454</v>
      </c>
      <c r="M43" s="237">
        <f t="shared" si="21"/>
        <v>0.62677165354330711</v>
      </c>
      <c r="N43" s="237">
        <f>-N41/N29</f>
        <v>0.60644257703081239</v>
      </c>
      <c r="O43" s="237">
        <f t="shared" ref="O43:X43" si="22">-O41/O29</f>
        <v>0.52848084600364398</v>
      </c>
      <c r="P43" s="237">
        <f t="shared" si="22"/>
        <v>0.51342614618220794</v>
      </c>
      <c r="Q43" s="237">
        <f t="shared" si="22"/>
        <v>0.49847888034914156</v>
      </c>
      <c r="R43" s="237">
        <f t="shared" si="22"/>
        <v>0.48349003545811181</v>
      </c>
      <c r="S43" s="237">
        <f t="shared" si="22"/>
        <v>0.47349931729889289</v>
      </c>
      <c r="T43" s="237">
        <f t="shared" si="22"/>
        <v>0.46350750948635178</v>
      </c>
      <c r="U43" s="237">
        <f t="shared" si="22"/>
        <v>0.4535149152400732</v>
      </c>
      <c r="V43" s="237">
        <f t="shared" si="22"/>
        <v>0.44352160869996921</v>
      </c>
      <c r="W43" s="237">
        <f t="shared" si="22"/>
        <v>0.43352765449670683</v>
      </c>
      <c r="X43" s="237">
        <f t="shared" si="22"/>
        <v>0.42353310911789754</v>
      </c>
      <c r="Y43" s="22"/>
      <c r="Z43" s="22"/>
      <c r="AA43" s="117">
        <v>0.6</v>
      </c>
      <c r="AB43" s="118">
        <v>0</v>
      </c>
      <c r="AC43" s="117">
        <v>0.5</v>
      </c>
      <c r="AD43" s="118">
        <v>0.1</v>
      </c>
      <c r="AE43" s="117">
        <v>0.4</v>
      </c>
      <c r="AF43" s="118">
        <v>0.1</v>
      </c>
      <c r="AG43" s="22"/>
      <c r="AH43" s="22"/>
      <c r="AI43" s="22"/>
    </row>
    <row r="44" spans="1:35" x14ac:dyDescent="0.25">
      <c r="A44" s="120"/>
      <c r="B44" s="121" t="s">
        <v>253</v>
      </c>
      <c r="C44" s="122"/>
      <c r="D44" s="123"/>
      <c r="E44" s="123"/>
      <c r="F44" s="124"/>
      <c r="G44" s="124"/>
      <c r="H44" s="124"/>
      <c r="I44" s="124"/>
      <c r="J44" s="124"/>
      <c r="K44" s="124"/>
      <c r="L44" s="124"/>
      <c r="M44" s="124"/>
      <c r="N44" s="124"/>
      <c r="O44" s="124"/>
      <c r="P44" s="124"/>
      <c r="Q44" s="124"/>
      <c r="R44" s="125" t="s">
        <v>257</v>
      </c>
      <c r="S44" s="124"/>
      <c r="T44" s="124"/>
      <c r="U44" s="124"/>
      <c r="V44" s="124"/>
      <c r="W44" s="124"/>
      <c r="X44" s="124"/>
      <c r="Y44" s="126"/>
      <c r="Z44" s="126"/>
      <c r="AA44" s="124"/>
      <c r="AB44" s="124"/>
      <c r="AC44" s="124"/>
      <c r="AD44" s="124"/>
      <c r="AE44" s="124"/>
      <c r="AF44" s="124"/>
      <c r="AG44" s="126"/>
      <c r="AH44" s="126"/>
      <c r="AI44" s="126"/>
    </row>
    <row r="45" spans="1:35" x14ac:dyDescent="0.25">
      <c r="A45" s="307"/>
      <c r="B45" s="308"/>
      <c r="C45" s="43"/>
      <c r="D45" s="44"/>
      <c r="E45" s="44"/>
      <c r="F45" s="44"/>
      <c r="G45" s="44"/>
      <c r="H45" s="44"/>
      <c r="I45" s="44"/>
      <c r="J45" s="44"/>
      <c r="K45" s="44"/>
      <c r="L45" s="44"/>
      <c r="M45" s="44"/>
      <c r="N45" s="44"/>
      <c r="O45" s="44"/>
      <c r="P45" s="44"/>
      <c r="Q45" s="44"/>
      <c r="R45" s="44"/>
      <c r="S45" s="44"/>
      <c r="T45" s="44"/>
      <c r="U45" s="44"/>
      <c r="V45" s="44"/>
      <c r="W45" s="44"/>
      <c r="X45" s="44"/>
      <c r="Y45" s="2"/>
      <c r="Z45" s="2"/>
      <c r="AA45" s="117"/>
      <c r="AB45" s="118"/>
      <c r="AC45" s="117"/>
      <c r="AD45" s="118"/>
      <c r="AE45" s="117"/>
      <c r="AF45" s="118"/>
      <c r="AG45" s="2"/>
      <c r="AH45" s="2"/>
      <c r="AI45" s="2"/>
    </row>
    <row r="46" spans="1:35" x14ac:dyDescent="0.25">
      <c r="A46" s="20"/>
      <c r="B46" s="30" t="s">
        <v>118</v>
      </c>
      <c r="C46" s="27"/>
      <c r="D46" s="34"/>
      <c r="E46" s="34"/>
      <c r="F46" s="34"/>
      <c r="G46" s="34"/>
      <c r="H46" s="34"/>
      <c r="I46" s="34"/>
      <c r="J46" s="34"/>
      <c r="K46" s="34"/>
      <c r="L46" s="35"/>
      <c r="M46" s="35"/>
      <c r="N46" s="35"/>
      <c r="O46" s="35"/>
      <c r="P46" s="35"/>
      <c r="Q46" s="35"/>
      <c r="R46" s="35"/>
      <c r="S46" s="35"/>
      <c r="T46" s="35"/>
      <c r="U46" s="35"/>
      <c r="V46" s="35"/>
      <c r="W46" s="35"/>
      <c r="X46" s="35"/>
      <c r="Y46" s="2"/>
      <c r="Z46" s="2"/>
      <c r="AA46" s="108"/>
      <c r="AB46" s="109"/>
      <c r="AC46" s="108"/>
      <c r="AD46" s="109"/>
      <c r="AE46" s="108"/>
      <c r="AF46" s="109"/>
      <c r="AG46" s="2"/>
      <c r="AH46" s="2"/>
      <c r="AI46" s="2"/>
    </row>
    <row r="47" spans="1:35" x14ac:dyDescent="0.25">
      <c r="A47" s="20" t="s">
        <v>119</v>
      </c>
      <c r="B47" s="33" t="s">
        <v>97</v>
      </c>
      <c r="C47" s="27" t="s">
        <v>67</v>
      </c>
      <c r="D47" s="34" t="s">
        <v>73</v>
      </c>
      <c r="E47" s="34"/>
      <c r="F47" s="34"/>
      <c r="G47" s="34"/>
      <c r="H47" s="34"/>
      <c r="I47" s="34"/>
      <c r="J47" s="34"/>
      <c r="K47" s="34"/>
      <c r="L47" s="34" t="s">
        <v>98</v>
      </c>
      <c r="M47" s="34">
        <v>61.6</v>
      </c>
      <c r="N47" s="34">
        <v>67.900000000000006</v>
      </c>
      <c r="O47" s="35"/>
      <c r="P47" s="35"/>
      <c r="Q47" s="35"/>
      <c r="R47" s="35"/>
      <c r="S47" s="35"/>
      <c r="T47" s="35"/>
      <c r="U47" s="35"/>
      <c r="V47" s="35"/>
      <c r="W47" s="35"/>
      <c r="X47" s="35"/>
      <c r="Y47" s="2"/>
      <c r="Z47" s="2"/>
      <c r="AA47" s="108">
        <v>-28.6</v>
      </c>
      <c r="AB47" s="109">
        <v>96.5</v>
      </c>
      <c r="AC47" s="108">
        <v>0</v>
      </c>
      <c r="AD47" s="109">
        <v>0</v>
      </c>
      <c r="AE47" s="108">
        <v>0</v>
      </c>
      <c r="AF47" s="109">
        <v>0</v>
      </c>
      <c r="AG47" s="2"/>
      <c r="AH47" s="2"/>
      <c r="AI47" s="2"/>
    </row>
    <row r="48" spans="1:35" x14ac:dyDescent="0.25">
      <c r="A48" s="20" t="s">
        <v>120</v>
      </c>
      <c r="B48" s="33" t="s">
        <v>147</v>
      </c>
      <c r="C48" s="27" t="s">
        <v>67</v>
      </c>
      <c r="D48" s="34"/>
      <c r="E48" s="34"/>
      <c r="F48" s="34"/>
      <c r="G48" s="34"/>
      <c r="H48" s="34"/>
      <c r="I48" s="34"/>
      <c r="J48" s="34"/>
      <c r="K48" s="34"/>
      <c r="L48" s="34" t="s">
        <v>98</v>
      </c>
      <c r="M48" s="34">
        <v>10.5</v>
      </c>
      <c r="N48" s="34">
        <v>16.100000000000001</v>
      </c>
      <c r="O48" s="35"/>
      <c r="P48" s="35"/>
      <c r="Q48" s="35"/>
      <c r="R48" s="35"/>
      <c r="S48" s="35"/>
      <c r="T48" s="35"/>
      <c r="U48" s="35"/>
      <c r="V48" s="35"/>
      <c r="W48" s="35"/>
      <c r="X48" s="35"/>
      <c r="Y48" s="2"/>
      <c r="Z48" s="2"/>
      <c r="AA48" s="108">
        <v>-6.9</v>
      </c>
      <c r="AB48" s="109">
        <v>23</v>
      </c>
      <c r="AC48" s="108">
        <v>0</v>
      </c>
      <c r="AD48" s="109">
        <v>0</v>
      </c>
      <c r="AE48" s="108">
        <v>0</v>
      </c>
      <c r="AF48" s="109">
        <v>0</v>
      </c>
      <c r="AG48" s="2"/>
      <c r="AH48" s="2"/>
      <c r="AI48" s="2"/>
    </row>
    <row r="49" spans="1:35" x14ac:dyDescent="0.25">
      <c r="A49" s="20" t="s">
        <v>121</v>
      </c>
      <c r="B49" s="33" t="s">
        <v>102</v>
      </c>
      <c r="C49" s="27" t="s">
        <v>67</v>
      </c>
      <c r="D49" s="34"/>
      <c r="E49" s="34"/>
      <c r="F49" s="34"/>
      <c r="G49" s="34"/>
      <c r="H49" s="34"/>
      <c r="I49" s="34"/>
      <c r="J49" s="34"/>
      <c r="K49" s="34"/>
      <c r="L49" s="34"/>
      <c r="M49" s="34">
        <v>-24.7</v>
      </c>
      <c r="N49" s="34">
        <v>-27.8</v>
      </c>
      <c r="O49" s="35"/>
      <c r="P49" s="35"/>
      <c r="Q49" s="35"/>
      <c r="R49" s="35"/>
      <c r="S49" s="35"/>
      <c r="T49" s="35"/>
      <c r="U49" s="35"/>
      <c r="V49" s="35"/>
      <c r="W49" s="35"/>
      <c r="X49" s="35"/>
      <c r="Y49" s="2"/>
      <c r="Z49" s="2"/>
      <c r="AA49" s="108">
        <v>-6.9</v>
      </c>
      <c r="AB49" s="109">
        <v>-20.9</v>
      </c>
      <c r="AC49" s="108">
        <v>0</v>
      </c>
      <c r="AD49" s="109">
        <v>0</v>
      </c>
      <c r="AE49" s="108">
        <v>0</v>
      </c>
      <c r="AF49" s="109">
        <v>0</v>
      </c>
      <c r="AG49" s="2"/>
      <c r="AH49" s="2"/>
      <c r="AI49" s="2"/>
    </row>
    <row r="50" spans="1:35" x14ac:dyDescent="0.25">
      <c r="A50" s="20" t="s">
        <v>122</v>
      </c>
      <c r="B50" s="33" t="s">
        <v>104</v>
      </c>
      <c r="C50" s="27"/>
      <c r="D50" s="34"/>
      <c r="E50" s="34"/>
      <c r="F50" s="34"/>
      <c r="G50" s="34"/>
      <c r="H50" s="34"/>
      <c r="I50" s="34"/>
      <c r="J50" s="34"/>
      <c r="K50" s="34"/>
      <c r="L50" s="34"/>
      <c r="M50" s="34"/>
      <c r="N50" s="34"/>
      <c r="O50" s="236">
        <f>INDEX(Segments!$A:$AJ,MATCH(Annual!$A50,Segments!$A:$A,0),MATCH("1H"&amp;RIGHT(Annual!O$1,2),Segments!$A$3:$AJ$3,0))+INDEX(Segments!$A:$AJ,MATCH(Annual!$A50,Segments!$A:$A,0),MATCH("2H"&amp;RIGHT(Annual!O$1,2),Segments!$A$3:$AJ$3,0))</f>
        <v>1.2749999999999999</v>
      </c>
      <c r="P50" s="236">
        <f>INDEX(Segments!$A:$AJ,MATCH(Annual!$A50,Segments!$A:$A,0),MATCH("1H"&amp;RIGHT(Annual!P$1,2),Segments!$A$3:$AJ$3,0))+INDEX(Segments!$A:$AJ,MATCH(Annual!$A50,Segments!$A:$A,0),MATCH("2H"&amp;RIGHT(Annual!P$1,2),Segments!$A$3:$AJ$3,0))</f>
        <v>3.7017500000000001</v>
      </c>
      <c r="Q50" s="236">
        <f>INDEX(Segments!$A:$AJ,MATCH(Annual!$A50,Segments!$A:$A,0),MATCH("1H"&amp;RIGHT(Annual!Q$1,2),Segments!$A$3:$AJ$3,0))+INDEX(Segments!$A:$AJ,MATCH(Annual!$A50,Segments!$A:$A,0),MATCH("2H"&amp;RIGHT(Annual!Q$1,2),Segments!$A$3:$AJ$3,0))</f>
        <v>8.1068494999999992</v>
      </c>
      <c r="R50" s="236">
        <f>INDEX(Segments!$A:$AJ,MATCH(Annual!$A50,Segments!$A:$A,0),MATCH("1H"&amp;RIGHT(Annual!R$1,2),Segments!$A$3:$AJ$3,0))+INDEX(Segments!$A:$AJ,MATCH(Annual!$A50,Segments!$A:$A,0),MATCH("2H"&amp;RIGHT(Annual!R$1,2),Segments!$A$3:$AJ$3,0))</f>
        <v>13.376696078400002</v>
      </c>
      <c r="S50" s="236">
        <f>INDEX(Segments!$A:$AJ,MATCH(Annual!$A50,Segments!$A:$A,0),MATCH("1H"&amp;RIGHT(Annual!S$1,2),Segments!$A$3:$AJ$3,0))+INDEX(Segments!$A:$AJ,MATCH(Annual!$A50,Segments!$A:$A,0),MATCH("2H"&amp;RIGHT(Annual!S$1,2),Segments!$A$3:$AJ$3,0))</f>
        <v>19.646489583906284</v>
      </c>
      <c r="T50" s="236">
        <f>INDEX(Segments!$A:$AJ,MATCH(Annual!$A50,Segments!$A:$A,0),MATCH("1H"&amp;RIGHT(Annual!T$1,2),Segments!$A$3:$AJ$3,0))+INDEX(Segments!$A:$AJ,MATCH(Annual!$A50,Segments!$A:$A,0),MATCH("2H"&amp;RIGHT(Annual!T$1,2),Segments!$A$3:$AJ$3,0))</f>
        <v>27.070914240276458</v>
      </c>
      <c r="U50" s="236">
        <f>INDEX(Segments!$A:$AJ,MATCH(Annual!$A50,Segments!$A:$A,0),MATCH("1H"&amp;RIGHT(Annual!U$1,2),Segments!$A$3:$AJ$3,0))+INDEX(Segments!$A:$AJ,MATCH(Annual!$A50,Segments!$A:$A,0),MATCH("2H"&amp;RIGHT(Annual!U$1,2),Segments!$A$3:$AJ$3,0))</f>
        <v>35.826847288326206</v>
      </c>
      <c r="V50" s="236">
        <f>INDEX(Segments!$A:$AJ,MATCH(Annual!$A50,Segments!$A:$A,0),MATCH("1H"&amp;RIGHT(Annual!V$1,2),Segments!$A$3:$AJ$3,0))+INDEX(Segments!$A:$AJ,MATCH(Annual!$A50,Segments!$A:$A,0),MATCH("2H"&amp;RIGHT(Annual!V$1,2),Segments!$A$3:$AJ$3,0))</f>
        <v>46.116437696414565</v>
      </c>
      <c r="W50" s="236">
        <f>INDEX(Segments!$A:$AJ,MATCH(Annual!$A50,Segments!$A:$A,0),MATCH("1H"&amp;RIGHT(Annual!W$1,2),Segments!$A$3:$AJ$3,0))+INDEX(Segments!$A:$AJ,MATCH(Annual!$A50,Segments!$A:$A,0),MATCH("2H"&amp;RIGHT(Annual!W$1,2),Segments!$A$3:$AJ$3,0))</f>
        <v>58.170605062408029</v>
      </c>
      <c r="X50" s="236">
        <f>INDEX(Segments!$A:$AJ,MATCH(Annual!$A50,Segments!$A:$A,0),MATCH("1H"&amp;RIGHT(Annual!X$1,2),Segments!$A$3:$AJ$3,0))+INDEX(Segments!$A:$AJ,MATCH(Annual!$A50,Segments!$A:$A,0),MATCH("2H"&amp;RIGHT(Annual!X$1,2),Segments!$A$3:$AJ$3,0))</f>
        <v>72.253015588817235</v>
      </c>
      <c r="Y50" s="2"/>
      <c r="Z50" s="2"/>
      <c r="AA50" s="108"/>
      <c r="AB50" s="109"/>
      <c r="AC50" s="108"/>
      <c r="AD50" s="109"/>
      <c r="AE50" s="108"/>
      <c r="AF50" s="109"/>
      <c r="AG50" s="2"/>
      <c r="AH50" s="2"/>
      <c r="AI50" s="2"/>
    </row>
    <row r="51" spans="1:35" x14ac:dyDescent="0.25">
      <c r="A51" s="20" t="s">
        <v>123</v>
      </c>
      <c r="B51" s="36" t="s">
        <v>124</v>
      </c>
      <c r="C51" s="37" t="s">
        <v>67</v>
      </c>
      <c r="D51" s="38" t="s">
        <v>94</v>
      </c>
      <c r="E51" s="38"/>
      <c r="F51" s="51">
        <v>42.9</v>
      </c>
      <c r="G51" s="51">
        <v>46.3</v>
      </c>
      <c r="H51" s="51">
        <v>45.5</v>
      </c>
      <c r="I51" s="51">
        <v>55.3</v>
      </c>
      <c r="J51" s="51">
        <v>72.3</v>
      </c>
      <c r="K51" s="51">
        <v>86.7</v>
      </c>
      <c r="L51" s="51">
        <v>59.4</v>
      </c>
      <c r="M51" s="39">
        <f>SUM(M47:M50)</f>
        <v>47.399999999999991</v>
      </c>
      <c r="N51" s="39">
        <f>SUM(N47:N50)</f>
        <v>56.2</v>
      </c>
      <c r="O51" s="235">
        <f>INDEX(Segments!$A:$AJ,MATCH(Annual!$A51,Segments!$A:$A,0),MATCH("1H"&amp;RIGHT(Annual!O$1,2),Segments!$A$3:$AJ$3,0))+INDEX(Segments!$A:$AJ,MATCH(Annual!$A51,Segments!$A:$A,0),MATCH("2H"&amp;RIGHT(Annual!O$1,2),Segments!$A$3:$AJ$3,0))</f>
        <v>80.145939984336394</v>
      </c>
      <c r="P51" s="235">
        <f>INDEX(Segments!$A:$AJ,MATCH(Annual!$A51,Segments!$A:$A,0),MATCH("1H"&amp;RIGHT(Annual!P$1,2),Segments!$A$3:$AJ$3,0))+INDEX(Segments!$A:$AJ,MATCH(Annual!$A51,Segments!$A:$A,0),MATCH("2H"&amp;RIGHT(Annual!P$1,2),Segments!$A$3:$AJ$3,0))</f>
        <v>93.116026859441007</v>
      </c>
      <c r="Q51" s="235">
        <f>INDEX(Segments!$A:$AJ,MATCH(Annual!$A51,Segments!$A:$A,0),MATCH("1H"&amp;RIGHT(Annual!Q$1,2),Segments!$A$3:$AJ$3,0))+INDEX(Segments!$A:$AJ,MATCH(Annual!$A51,Segments!$A:$A,0),MATCH("2H"&amp;RIGHT(Annual!Q$1,2),Segments!$A$3:$AJ$3,0))</f>
        <v>106.21390069569668</v>
      </c>
      <c r="R51" s="235">
        <f>INDEX(Segments!$A:$AJ,MATCH(Annual!$A51,Segments!$A:$A,0),MATCH("1H"&amp;RIGHT(Annual!R$1,2),Segments!$A$3:$AJ$3,0))+INDEX(Segments!$A:$AJ,MATCH(Annual!$A51,Segments!$A:$A,0),MATCH("2H"&amp;RIGHT(Annual!R$1,2),Segments!$A$3:$AJ$3,0))</f>
        <v>120.64784898278153</v>
      </c>
      <c r="S51" s="235">
        <f>INDEX(Segments!$A:$AJ,MATCH(Annual!$A51,Segments!$A:$A,0),MATCH("1H"&amp;RIGHT(Annual!S$1,2),Segments!$A$3:$AJ$3,0))+INDEX(Segments!$A:$AJ,MATCH(Annual!$A51,Segments!$A:$A,0),MATCH("2H"&amp;RIGHT(Annual!S$1,2),Segments!$A$3:$AJ$3,0))</f>
        <v>135.78994568949648</v>
      </c>
      <c r="T51" s="235">
        <f>INDEX(Segments!$A:$AJ,MATCH(Annual!$A51,Segments!$A:$A,0),MATCH("1H"&amp;RIGHT(Annual!T$1,2),Segments!$A$3:$AJ$3,0))+INDEX(Segments!$A:$AJ,MATCH(Annual!$A51,Segments!$A:$A,0),MATCH("2H"&amp;RIGHT(Annual!T$1,2),Segments!$A$3:$AJ$3,0))</f>
        <v>152.14353229261394</v>
      </c>
      <c r="U51" s="235">
        <f>INDEX(Segments!$A:$AJ,MATCH(Annual!$A51,Segments!$A:$A,0),MATCH("1H"&amp;RIGHT(Annual!U$1,2),Segments!$A$3:$AJ$3,0))+INDEX(Segments!$A:$AJ,MATCH(Annual!$A51,Segments!$A:$A,0),MATCH("2H"&amp;RIGHT(Annual!U$1,2),Segments!$A$3:$AJ$3,0))</f>
        <v>170.47853006411339</v>
      </c>
      <c r="V51" s="235">
        <f>INDEX(Segments!$A:$AJ,MATCH(Annual!$A51,Segments!$A:$A,0),MATCH("1H"&amp;RIGHT(Annual!V$1,2),Segments!$A$3:$AJ$3,0))+INDEX(Segments!$A:$AJ,MATCH(Annual!$A51,Segments!$A:$A,0),MATCH("2H"&amp;RIGHT(Annual!V$1,2),Segments!$A$3:$AJ$3,0))</f>
        <v>191.04304614098368</v>
      </c>
      <c r="W51" s="235">
        <f>INDEX(Segments!$A:$AJ,MATCH(Annual!$A51,Segments!$A:$A,0),MATCH("1H"&amp;RIGHT(Annual!W$1,2),Segments!$A$3:$AJ$3,0))+INDEX(Segments!$A:$AJ,MATCH(Annual!$A51,Segments!$A:$A,0),MATCH("2H"&amp;RIGHT(Annual!W$1,2),Segments!$A$3:$AJ$3,0))</f>
        <v>214.11714364125999</v>
      </c>
      <c r="X51" s="235">
        <f>INDEX(Segments!$A:$AJ,MATCH(Annual!$A51,Segments!$A:$A,0),MATCH("1H"&amp;RIGHT(Annual!X$1,2),Segments!$A$3:$AJ$3,0))+INDEX(Segments!$A:$AJ,MATCH(Annual!$A51,Segments!$A:$A,0),MATCH("2H"&amp;RIGHT(Annual!X$1,2),Segments!$A$3:$AJ$3,0))</f>
        <v>240.01703492987966</v>
      </c>
      <c r="Y51" s="2"/>
      <c r="Z51" s="2"/>
      <c r="AA51" s="111">
        <v>18</v>
      </c>
      <c r="AB51" s="115">
        <v>38.200000000000003</v>
      </c>
      <c r="AC51" s="111">
        <v>46.3</v>
      </c>
      <c r="AD51" s="115">
        <v>34.6</v>
      </c>
      <c r="AE51" s="111">
        <v>61.9</v>
      </c>
      <c r="AF51" s="115">
        <v>35.299999999999997</v>
      </c>
      <c r="AG51" s="2"/>
      <c r="AH51" s="2"/>
      <c r="AI51" s="2"/>
    </row>
    <row r="52" spans="1:35" x14ac:dyDescent="0.25">
      <c r="A52" s="20"/>
      <c r="B52" s="33" t="s">
        <v>76</v>
      </c>
      <c r="C52" s="27" t="s">
        <v>77</v>
      </c>
      <c r="D52" s="28"/>
      <c r="E52" s="29"/>
      <c r="F52" s="127"/>
      <c r="G52" s="127"/>
      <c r="H52" s="127"/>
      <c r="I52" s="29"/>
      <c r="J52" s="29"/>
      <c r="K52" s="29"/>
      <c r="L52" s="41">
        <f t="shared" ref="L52:M52" si="23">L51/K51-1</f>
        <v>-0.31487889273356406</v>
      </c>
      <c r="M52" s="41">
        <f t="shared" si="23"/>
        <v>-0.2020202020202021</v>
      </c>
      <c r="N52" s="41">
        <f>N51/M51-1</f>
        <v>0.18565400843881874</v>
      </c>
      <c r="O52" s="41">
        <f t="shared" ref="O52:X52" si="24">O51/N51-1</f>
        <v>0.42608434135829865</v>
      </c>
      <c r="P52" s="41">
        <f t="shared" si="24"/>
        <v>0.16183086601316887</v>
      </c>
      <c r="Q52" s="41">
        <f t="shared" si="24"/>
        <v>0.14066186324752628</v>
      </c>
      <c r="R52" s="41">
        <f t="shared" si="24"/>
        <v>0.13589509652261222</v>
      </c>
      <c r="S52" s="41">
        <f t="shared" si="24"/>
        <v>0.12550656173634711</v>
      </c>
      <c r="T52" s="41">
        <f t="shared" si="24"/>
        <v>0.12043297108691919</v>
      </c>
      <c r="U52" s="41">
        <f t="shared" si="24"/>
        <v>0.12051118766084778</v>
      </c>
      <c r="V52" s="41">
        <f t="shared" si="24"/>
        <v>0.12062818742709958</v>
      </c>
      <c r="W52" s="41">
        <f t="shared" si="24"/>
        <v>0.1207795728050125</v>
      </c>
      <c r="X52" s="41">
        <f t="shared" si="24"/>
        <v>0.12096131513884445</v>
      </c>
      <c r="Y52" s="2"/>
      <c r="Z52" s="2"/>
      <c r="AA52" s="113">
        <v>8.18</v>
      </c>
      <c r="AB52" s="114">
        <v>-8</v>
      </c>
      <c r="AC52" s="113">
        <v>1.57</v>
      </c>
      <c r="AD52" s="114">
        <v>-1.1299999999999999</v>
      </c>
      <c r="AE52" s="113">
        <v>0.34</v>
      </c>
      <c r="AF52" s="114">
        <v>-0.14000000000000001</v>
      </c>
      <c r="AG52" s="2"/>
      <c r="AH52" s="2"/>
      <c r="AI52" s="2"/>
    </row>
    <row r="53" spans="1:35" x14ac:dyDescent="0.25">
      <c r="A53" s="20"/>
      <c r="B53" s="33" t="s">
        <v>125</v>
      </c>
      <c r="C53" s="27" t="s">
        <v>117</v>
      </c>
      <c r="D53" s="32"/>
      <c r="E53" s="29"/>
      <c r="F53" s="29"/>
      <c r="G53" s="29"/>
      <c r="H53" s="29"/>
      <c r="I53" s="29"/>
      <c r="J53" s="29"/>
      <c r="K53" s="40">
        <f t="shared" ref="K53:M53" si="25">K51/K$10</f>
        <v>9.3336204112391005E-2</v>
      </c>
      <c r="L53" s="40">
        <f t="shared" si="25"/>
        <v>5.9234144395692065E-2</v>
      </c>
      <c r="M53" s="40">
        <f t="shared" si="25"/>
        <v>4.397847467062533E-2</v>
      </c>
      <c r="N53" s="40">
        <f>N51/N$10</f>
        <v>4.548765681910158E-2</v>
      </c>
      <c r="O53" s="40">
        <f t="shared" ref="O53:X53" si="26">O51/O$10</f>
        <v>5.4345398158654065E-2</v>
      </c>
      <c r="P53" s="40">
        <f t="shared" si="26"/>
        <v>5.5966699971791593E-2</v>
      </c>
      <c r="Q53" s="40">
        <f t="shared" si="26"/>
        <v>5.7698514819636046E-2</v>
      </c>
      <c r="R53" s="40">
        <f t="shared" si="26"/>
        <v>5.9323989190782696E-2</v>
      </c>
      <c r="S53" s="40">
        <f t="shared" si="26"/>
        <v>6.0368677265233935E-2</v>
      </c>
      <c r="T53" s="40">
        <f t="shared" si="26"/>
        <v>6.141849357857998E-2</v>
      </c>
      <c r="U53" s="40">
        <f t="shared" si="26"/>
        <v>6.2463636601208308E-2</v>
      </c>
      <c r="V53" s="40">
        <f t="shared" si="26"/>
        <v>6.3504275489806861E-2</v>
      </c>
      <c r="W53" s="40">
        <f t="shared" si="26"/>
        <v>6.4540570956450646E-2</v>
      </c>
      <c r="X53" s="40">
        <f t="shared" si="26"/>
        <v>6.557267678795177E-2</v>
      </c>
      <c r="Y53" s="2"/>
      <c r="Z53" s="2"/>
      <c r="AA53" s="128">
        <v>0.154</v>
      </c>
      <c r="AB53" s="129">
        <v>-0.108</v>
      </c>
      <c r="AC53" s="128">
        <v>0.28999999999999998</v>
      </c>
      <c r="AD53" s="129">
        <v>-0.23599999999999999</v>
      </c>
      <c r="AE53" s="128">
        <v>0.317</v>
      </c>
      <c r="AF53" s="129">
        <v>-0.26200000000000001</v>
      </c>
      <c r="AG53" s="2"/>
      <c r="AH53" s="2"/>
      <c r="AI53" s="2"/>
    </row>
    <row r="54" spans="1:35" x14ac:dyDescent="0.25">
      <c r="A54" s="307"/>
      <c r="B54" s="308"/>
      <c r="C54" s="27"/>
      <c r="D54" s="32"/>
      <c r="E54" s="29"/>
      <c r="F54" s="29"/>
      <c r="G54" s="29"/>
      <c r="H54" s="29"/>
      <c r="I54" s="29"/>
      <c r="J54" s="29"/>
      <c r="K54" s="29"/>
      <c r="L54" s="29"/>
      <c r="M54" s="29"/>
      <c r="N54" s="29"/>
      <c r="O54" s="29">
        <v>0.44393817891996368</v>
      </c>
      <c r="P54" s="249">
        <v>0.1894538208376475</v>
      </c>
      <c r="Q54" s="249">
        <v>0.15344958867630298</v>
      </c>
      <c r="R54" s="249">
        <v>0.14061246817352613</v>
      </c>
      <c r="S54" s="249">
        <v>0.12390162736902588</v>
      </c>
      <c r="T54" s="249">
        <v>0.11363816803693005</v>
      </c>
      <c r="U54" s="249">
        <v>0.10890115661180677</v>
      </c>
      <c r="V54" s="249">
        <v>0.10480323447724693</v>
      </c>
      <c r="W54" s="249">
        <v>0.10122964737356788</v>
      </c>
      <c r="X54" s="249">
        <v>9.8091421007986845E-2</v>
      </c>
      <c r="Y54" s="2"/>
      <c r="Z54" s="2"/>
      <c r="AA54" s="106"/>
      <c r="AB54" s="107"/>
      <c r="AC54" s="106"/>
      <c r="AD54" s="107"/>
      <c r="AE54" s="106"/>
      <c r="AF54" s="107"/>
      <c r="AG54" s="2"/>
      <c r="AH54" s="2"/>
      <c r="AI54" s="2"/>
    </row>
    <row r="55" spans="1:35" x14ac:dyDescent="0.25">
      <c r="A55" s="20" t="s">
        <v>126</v>
      </c>
      <c r="B55" s="33" t="s">
        <v>126</v>
      </c>
      <c r="C55" s="27"/>
      <c r="D55" s="32"/>
      <c r="E55" s="29"/>
      <c r="F55" s="29"/>
      <c r="G55" s="29"/>
      <c r="H55" s="29"/>
      <c r="I55" s="34"/>
      <c r="J55" s="34"/>
      <c r="K55" s="34"/>
      <c r="L55" s="34"/>
      <c r="M55" s="34"/>
      <c r="N55" s="34"/>
      <c r="O55" s="145">
        <f>O52-O54</f>
        <v>-1.7853837561665031E-2</v>
      </c>
      <c r="P55" s="145">
        <f t="shared" ref="P55:X55" si="27">P52-P54</f>
        <v>-2.7622954824478629E-2</v>
      </c>
      <c r="Q55" s="145">
        <f t="shared" si="27"/>
        <v>-1.2787725428776708E-2</v>
      </c>
      <c r="R55" s="145">
        <f t="shared" si="27"/>
        <v>-4.7173716509139041E-3</v>
      </c>
      <c r="S55" s="145">
        <f t="shared" si="27"/>
        <v>1.6049343673212313E-3</v>
      </c>
      <c r="T55" s="145">
        <f t="shared" si="27"/>
        <v>6.7948030499891399E-3</v>
      </c>
      <c r="U55" s="145">
        <f t="shared" si="27"/>
        <v>1.1610031049041014E-2</v>
      </c>
      <c r="V55" s="145">
        <f t="shared" si="27"/>
        <v>1.5824952949852644E-2</v>
      </c>
      <c r="W55" s="145">
        <f t="shared" si="27"/>
        <v>1.9549925431444626E-2</v>
      </c>
      <c r="X55" s="145">
        <f t="shared" si="27"/>
        <v>2.2869894130857604E-2</v>
      </c>
      <c r="Y55" s="2"/>
      <c r="Z55" s="2"/>
      <c r="AA55" s="128">
        <v>-9.7949999999999999</v>
      </c>
      <c r="AB55" s="107"/>
      <c r="AC55" s="128">
        <v>-10.285</v>
      </c>
      <c r="AD55" s="107"/>
      <c r="AE55" s="128">
        <v>-11.827</v>
      </c>
      <c r="AF55" s="129">
        <v>11.827</v>
      </c>
      <c r="AG55" s="2"/>
      <c r="AH55" s="2"/>
      <c r="AI55" s="2"/>
    </row>
    <row r="56" spans="1:35" x14ac:dyDescent="0.25">
      <c r="A56" s="20" t="s">
        <v>127</v>
      </c>
      <c r="B56" s="36" t="s">
        <v>118</v>
      </c>
      <c r="C56" s="37" t="s">
        <v>67</v>
      </c>
      <c r="D56" s="38" t="s">
        <v>94</v>
      </c>
      <c r="E56" s="38"/>
      <c r="F56" s="39">
        <f t="shared" ref="F56" si="28">F51+F55</f>
        <v>42.9</v>
      </c>
      <c r="G56" s="39">
        <f t="shared" ref="G56" si="29">G51+G55</f>
        <v>46.3</v>
      </c>
      <c r="H56" s="39">
        <f t="shared" ref="H56" si="30">H51+H55</f>
        <v>45.5</v>
      </c>
      <c r="I56" s="39">
        <f t="shared" ref="I56" si="31">I51+I55</f>
        <v>55.3</v>
      </c>
      <c r="J56" s="39">
        <f t="shared" ref="J56" si="32">J51+J55</f>
        <v>72.3</v>
      </c>
      <c r="K56" s="39">
        <f t="shared" ref="K56:M56" si="33">K51+K55</f>
        <v>86.7</v>
      </c>
      <c r="L56" s="39">
        <f t="shared" si="33"/>
        <v>59.4</v>
      </c>
      <c r="M56" s="39">
        <f t="shared" si="33"/>
        <v>47.399999999999991</v>
      </c>
      <c r="N56" s="39">
        <f>N51+N55</f>
        <v>56.2</v>
      </c>
      <c r="O56" s="235">
        <f>INDEX(Segments!$A:$AJ,MATCH(Annual!$A56,Segments!$A:$A,0),MATCH("1H"&amp;RIGHT(Annual!O$1,2),Segments!$A$3:$AJ$3,0))+INDEX(Segments!$A:$AJ,MATCH(Annual!$A56,Segments!$A:$A,0),MATCH("2H"&amp;RIGHT(Annual!O$1,2),Segments!$A$3:$AJ$3,0))</f>
        <v>80.145939984336394</v>
      </c>
      <c r="P56" s="235">
        <f>INDEX(Segments!$A:$AJ,MATCH(Annual!$A56,Segments!$A:$A,0),MATCH("1H"&amp;RIGHT(Annual!P$1,2),Segments!$A$3:$AJ$3,0))+INDEX(Segments!$A:$AJ,MATCH(Annual!$A56,Segments!$A:$A,0),MATCH("2H"&amp;RIGHT(Annual!P$1,2),Segments!$A$3:$AJ$3,0))</f>
        <v>93.116026859441007</v>
      </c>
      <c r="Q56" s="235">
        <f>INDEX(Segments!$A:$AJ,MATCH(Annual!$A56,Segments!$A:$A,0),MATCH("1H"&amp;RIGHT(Annual!Q$1,2),Segments!$A$3:$AJ$3,0))+INDEX(Segments!$A:$AJ,MATCH(Annual!$A56,Segments!$A:$A,0),MATCH("2H"&amp;RIGHT(Annual!Q$1,2),Segments!$A$3:$AJ$3,0))</f>
        <v>106.21390069569668</v>
      </c>
      <c r="R56" s="235">
        <f>INDEX(Segments!$A:$AJ,MATCH(Annual!$A56,Segments!$A:$A,0),MATCH("1H"&amp;RIGHT(Annual!R$1,2),Segments!$A$3:$AJ$3,0))+INDEX(Segments!$A:$AJ,MATCH(Annual!$A56,Segments!$A:$A,0),MATCH("2H"&amp;RIGHT(Annual!R$1,2),Segments!$A$3:$AJ$3,0))</f>
        <v>120.64784898278153</v>
      </c>
      <c r="S56" s="235">
        <f>INDEX(Segments!$A:$AJ,MATCH(Annual!$A56,Segments!$A:$A,0),MATCH("1H"&amp;RIGHT(Annual!S$1,2),Segments!$A$3:$AJ$3,0))+INDEX(Segments!$A:$AJ,MATCH(Annual!$A56,Segments!$A:$A,0),MATCH("2H"&amp;RIGHT(Annual!S$1,2),Segments!$A$3:$AJ$3,0))</f>
        <v>135.78994568949648</v>
      </c>
      <c r="T56" s="235">
        <f>INDEX(Segments!$A:$AJ,MATCH(Annual!$A56,Segments!$A:$A,0),MATCH("1H"&amp;RIGHT(Annual!T$1,2),Segments!$A$3:$AJ$3,0))+INDEX(Segments!$A:$AJ,MATCH(Annual!$A56,Segments!$A:$A,0),MATCH("2H"&amp;RIGHT(Annual!T$1,2),Segments!$A$3:$AJ$3,0))</f>
        <v>152.14353229261394</v>
      </c>
      <c r="U56" s="235">
        <f>INDEX(Segments!$A:$AJ,MATCH(Annual!$A56,Segments!$A:$A,0),MATCH("1H"&amp;RIGHT(Annual!U$1,2),Segments!$A$3:$AJ$3,0))+INDEX(Segments!$A:$AJ,MATCH(Annual!$A56,Segments!$A:$A,0),MATCH("2H"&amp;RIGHT(Annual!U$1,2),Segments!$A$3:$AJ$3,0))</f>
        <v>170.47853006411339</v>
      </c>
      <c r="V56" s="235">
        <f>INDEX(Segments!$A:$AJ,MATCH(Annual!$A56,Segments!$A:$A,0),MATCH("1H"&amp;RIGHT(Annual!V$1,2),Segments!$A$3:$AJ$3,0))+INDEX(Segments!$A:$AJ,MATCH(Annual!$A56,Segments!$A:$A,0),MATCH("2H"&amp;RIGHT(Annual!V$1,2),Segments!$A$3:$AJ$3,0))</f>
        <v>191.04304614098368</v>
      </c>
      <c r="W56" s="235">
        <f>INDEX(Segments!$A:$AJ,MATCH(Annual!$A56,Segments!$A:$A,0),MATCH("1H"&amp;RIGHT(Annual!W$1,2),Segments!$A$3:$AJ$3,0))+INDEX(Segments!$A:$AJ,MATCH(Annual!$A56,Segments!$A:$A,0),MATCH("2H"&amp;RIGHT(Annual!W$1,2),Segments!$A$3:$AJ$3,0))</f>
        <v>214.11714364125999</v>
      </c>
      <c r="X56" s="235">
        <f>INDEX(Segments!$A:$AJ,MATCH(Annual!$A56,Segments!$A:$A,0),MATCH("1H"&amp;RIGHT(Annual!X$1,2),Segments!$A$3:$AJ$3,0))+INDEX(Segments!$A:$AJ,MATCH(Annual!$A56,Segments!$A:$A,0),MATCH("2H"&amp;RIGHT(Annual!X$1,2),Segments!$A$3:$AJ$3,0))</f>
        <v>240.01703492987966</v>
      </c>
      <c r="Y56" s="2"/>
      <c r="Z56" s="2"/>
      <c r="AA56" s="111">
        <v>8.1999999999999993</v>
      </c>
      <c r="AB56" s="115">
        <v>48</v>
      </c>
      <c r="AC56" s="111">
        <v>36</v>
      </c>
      <c r="AD56" s="115">
        <v>44.9</v>
      </c>
      <c r="AE56" s="111">
        <v>50.1</v>
      </c>
      <c r="AF56" s="115">
        <v>47.1</v>
      </c>
      <c r="AG56" s="2"/>
      <c r="AH56" s="2"/>
      <c r="AI56" s="2"/>
    </row>
    <row r="57" spans="1:35" x14ac:dyDescent="0.25">
      <c r="A57" s="20"/>
      <c r="B57" s="33" t="s">
        <v>76</v>
      </c>
      <c r="C57" s="27" t="s">
        <v>77</v>
      </c>
      <c r="D57" s="28"/>
      <c r="E57" s="29"/>
      <c r="F57" s="29"/>
      <c r="G57" s="29"/>
      <c r="H57" s="29"/>
      <c r="I57" s="29"/>
      <c r="J57" s="29"/>
      <c r="K57" s="41"/>
      <c r="L57" s="41">
        <f t="shared" ref="L57:M57" si="34">L56/K56-1</f>
        <v>-0.31487889273356406</v>
      </c>
      <c r="M57" s="41">
        <f t="shared" si="34"/>
        <v>-0.2020202020202021</v>
      </c>
      <c r="N57" s="41">
        <f>N56/M56-1</f>
        <v>0.18565400843881874</v>
      </c>
      <c r="O57" s="41">
        <f t="shared" ref="O57" si="35">O56/N56-1</f>
        <v>0.42608434135829865</v>
      </c>
      <c r="P57" s="41">
        <f t="shared" ref="P57" si="36">P56/O56-1</f>
        <v>0.16183086601316887</v>
      </c>
      <c r="Q57" s="41">
        <f t="shared" ref="Q57" si="37">Q56/P56-1</f>
        <v>0.14066186324752628</v>
      </c>
      <c r="R57" s="41">
        <f t="shared" ref="R57" si="38">R56/Q56-1</f>
        <v>0.13589509652261222</v>
      </c>
      <c r="S57" s="41">
        <f t="shared" ref="S57" si="39">S56/R56-1</f>
        <v>0.12550656173634711</v>
      </c>
      <c r="T57" s="41">
        <f t="shared" ref="T57" si="40">T56/S56-1</f>
        <v>0.12043297108691919</v>
      </c>
      <c r="U57" s="41">
        <f t="shared" ref="U57" si="41">U56/T56-1</f>
        <v>0.12051118766084778</v>
      </c>
      <c r="V57" s="41">
        <f t="shared" ref="V57" si="42">V56/U56-1</f>
        <v>0.12062818742709958</v>
      </c>
      <c r="W57" s="41">
        <f t="shared" ref="W57" si="43">W56/V56-1</f>
        <v>0.1207795728050125</v>
      </c>
      <c r="X57" s="41">
        <f t="shared" ref="X57" si="44">X56/W56-1</f>
        <v>0.12096131513884445</v>
      </c>
      <c r="Y57" s="2"/>
      <c r="Z57" s="2"/>
      <c r="AA57" s="113">
        <v>-1.87</v>
      </c>
      <c r="AB57" s="114">
        <v>2.0499999999999998</v>
      </c>
      <c r="AC57" s="113">
        <v>3.38</v>
      </c>
      <c r="AD57" s="114">
        <v>-2.94</v>
      </c>
      <c r="AE57" s="113">
        <v>0.39</v>
      </c>
      <c r="AF57" s="114">
        <v>-0.19</v>
      </c>
      <c r="AG57" s="2"/>
      <c r="AH57" s="2"/>
      <c r="AI57" s="2"/>
    </row>
    <row r="58" spans="1:35" x14ac:dyDescent="0.25">
      <c r="A58" s="20"/>
      <c r="B58" s="33" t="s">
        <v>125</v>
      </c>
      <c r="C58" s="27" t="s">
        <v>117</v>
      </c>
      <c r="D58" s="32"/>
      <c r="E58" s="29"/>
      <c r="F58" s="29"/>
      <c r="G58" s="29"/>
      <c r="H58" s="29"/>
      <c r="I58" s="29"/>
      <c r="J58" s="29"/>
      <c r="K58" s="40">
        <f t="shared" ref="K58:M58" si="45">K56/K$10</f>
        <v>9.3336204112391005E-2</v>
      </c>
      <c r="L58" s="40">
        <f t="shared" si="45"/>
        <v>5.9234144395692065E-2</v>
      </c>
      <c r="M58" s="40">
        <f t="shared" si="45"/>
        <v>4.397847467062533E-2</v>
      </c>
      <c r="N58" s="226">
        <f>N56/N$10</f>
        <v>4.548765681910158E-2</v>
      </c>
      <c r="O58" s="40">
        <f t="shared" ref="O58:X58" si="46">O56/O$10</f>
        <v>5.4345398158654065E-2</v>
      </c>
      <c r="P58" s="40">
        <f t="shared" si="46"/>
        <v>5.5966699971791593E-2</v>
      </c>
      <c r="Q58" s="40">
        <f t="shared" si="46"/>
        <v>5.7698514819636046E-2</v>
      </c>
      <c r="R58" s="40">
        <f t="shared" si="46"/>
        <v>5.9323989190782696E-2</v>
      </c>
      <c r="S58" s="40">
        <f t="shared" si="46"/>
        <v>6.0368677265233935E-2</v>
      </c>
      <c r="T58" s="40">
        <f t="shared" si="46"/>
        <v>6.141849357857998E-2</v>
      </c>
      <c r="U58" s="40">
        <f t="shared" si="46"/>
        <v>6.2463636601208308E-2</v>
      </c>
      <c r="V58" s="40">
        <f t="shared" si="46"/>
        <v>6.3504275489806861E-2</v>
      </c>
      <c r="W58" s="40">
        <f t="shared" si="46"/>
        <v>6.4540570956450646E-2</v>
      </c>
      <c r="X58" s="40">
        <f t="shared" si="46"/>
        <v>6.557267678795177E-2</v>
      </c>
      <c r="Y58" s="2"/>
      <c r="Z58" s="2"/>
      <c r="AA58" s="128">
        <v>7.0000000000000007E-2</v>
      </c>
      <c r="AB58" s="129">
        <v>-2.5000000000000001E-2</v>
      </c>
      <c r="AC58" s="128">
        <v>0.22500000000000001</v>
      </c>
      <c r="AD58" s="129">
        <v>-0.17199999999999999</v>
      </c>
      <c r="AE58" s="128">
        <v>0.25600000000000001</v>
      </c>
      <c r="AF58" s="129">
        <v>-0.20100000000000001</v>
      </c>
      <c r="AG58" s="2"/>
      <c r="AH58" s="2"/>
      <c r="AI58" s="2"/>
    </row>
    <row r="59" spans="1:35" x14ac:dyDescent="0.25">
      <c r="A59" s="307"/>
      <c r="B59" s="308"/>
      <c r="C59" s="27"/>
      <c r="D59" s="28"/>
      <c r="E59" s="29"/>
      <c r="F59" s="29"/>
      <c r="G59" s="29"/>
      <c r="H59" s="29"/>
      <c r="I59" s="29"/>
      <c r="J59" s="29"/>
      <c r="K59" s="29"/>
      <c r="L59" s="29"/>
      <c r="M59" s="29"/>
      <c r="N59" s="29"/>
      <c r="O59" s="29"/>
      <c r="P59" s="29"/>
      <c r="Q59" s="29"/>
      <c r="R59" s="29"/>
      <c r="S59" s="29"/>
      <c r="T59" s="29"/>
      <c r="U59" s="29"/>
      <c r="V59" s="29"/>
      <c r="W59" s="29"/>
      <c r="X59" s="29"/>
      <c r="Y59" s="2"/>
      <c r="Z59" s="2"/>
      <c r="AA59" s="106"/>
      <c r="AB59" s="107"/>
      <c r="AC59" s="106"/>
      <c r="AD59" s="107"/>
      <c r="AE59" s="106"/>
      <c r="AF59" s="107"/>
      <c r="AG59" s="2"/>
      <c r="AH59" s="2"/>
      <c r="AI59" s="2"/>
    </row>
    <row r="60" spans="1:35" x14ac:dyDescent="0.25">
      <c r="A60" s="20"/>
      <c r="B60" s="30" t="s">
        <v>128</v>
      </c>
      <c r="C60" s="31"/>
      <c r="D60" s="32"/>
      <c r="E60" s="2"/>
      <c r="F60" s="2"/>
      <c r="G60" s="2"/>
      <c r="H60" s="2"/>
      <c r="I60" s="2"/>
      <c r="J60" s="2"/>
      <c r="K60" s="2"/>
      <c r="L60" s="2"/>
      <c r="M60" s="2"/>
      <c r="N60" s="2"/>
      <c r="O60" s="2"/>
      <c r="P60" s="2"/>
      <c r="Q60" s="2"/>
      <c r="R60" s="2"/>
      <c r="S60" s="2"/>
      <c r="T60" s="2"/>
      <c r="U60" s="2"/>
      <c r="V60" s="2"/>
      <c r="W60" s="2"/>
      <c r="X60" s="2"/>
      <c r="Y60" s="2"/>
      <c r="Z60" s="2"/>
      <c r="AA60" s="99"/>
      <c r="AB60" s="3"/>
      <c r="AC60" s="99"/>
      <c r="AD60" s="3"/>
      <c r="AE60" s="99"/>
      <c r="AF60" s="3"/>
      <c r="AG60" s="2"/>
      <c r="AH60" s="2"/>
      <c r="AI60" s="2"/>
    </row>
    <row r="61" spans="1:35" x14ac:dyDescent="0.25">
      <c r="A61" s="20" t="s">
        <v>129</v>
      </c>
      <c r="B61" s="33" t="s">
        <v>130</v>
      </c>
      <c r="C61" s="27" t="s">
        <v>67</v>
      </c>
      <c r="D61" s="32" t="s">
        <v>131</v>
      </c>
      <c r="E61" s="35"/>
      <c r="F61" s="35"/>
      <c r="G61" s="35"/>
      <c r="H61" s="35"/>
      <c r="I61" s="35">
        <f t="shared" ref="I61:M61" si="47">I64-I63-I62</f>
        <v>-2.5</v>
      </c>
      <c r="J61" s="35">
        <f t="shared" si="47"/>
        <v>-2.1</v>
      </c>
      <c r="K61" s="35">
        <f t="shared" si="47"/>
        <v>-4.0999999999999996</v>
      </c>
      <c r="L61" s="35">
        <f t="shared" si="47"/>
        <v>-7</v>
      </c>
      <c r="M61" s="35">
        <f t="shared" si="47"/>
        <v>-0.50000000000000044</v>
      </c>
      <c r="N61" s="35">
        <f>N64-N63-N62</f>
        <v>-0.89999999999999969</v>
      </c>
      <c r="O61" s="236">
        <f t="shared" ref="O61:X62" si="48">O$64/N$64*N61</f>
        <v>-1.2228279043726491</v>
      </c>
      <c r="P61" s="236">
        <f t="shared" si="48"/>
        <v>-1.3795623255300868</v>
      </c>
      <c r="Q61" s="236">
        <f t="shared" si="48"/>
        <v>-1.5263822701812948</v>
      </c>
      <c r="R61" s="236">
        <f t="shared" si="48"/>
        <v>-1.6863038240992394</v>
      </c>
      <c r="S61" s="236">
        <f t="shared" si="48"/>
        <v>-1.8651018081342621</v>
      </c>
      <c r="T61" s="236">
        <f t="shared" si="48"/>
        <v>-2.0540022897921411</v>
      </c>
      <c r="U61" s="236">
        <f t="shared" si="48"/>
        <v>-2.2630232490354296</v>
      </c>
      <c r="V61" s="236">
        <f t="shared" si="48"/>
        <v>-2.494450311030016</v>
      </c>
      <c r="W61" s="236">
        <f t="shared" si="48"/>
        <v>-2.7508393411664169</v>
      </c>
      <c r="X61" s="236">
        <f t="shared" si="48"/>
        <v>-3.0350492467658783</v>
      </c>
      <c r="Y61" s="2"/>
      <c r="Z61" s="2"/>
      <c r="AA61" s="108">
        <v>-3.9</v>
      </c>
      <c r="AB61" s="109">
        <v>3</v>
      </c>
      <c r="AC61" s="108">
        <v>-4</v>
      </c>
      <c r="AD61" s="109">
        <v>2.7</v>
      </c>
      <c r="AE61" s="108">
        <v>-4.0999999999999996</v>
      </c>
      <c r="AF61" s="109">
        <v>2.7</v>
      </c>
      <c r="AG61" s="2"/>
      <c r="AH61" s="2"/>
      <c r="AI61" s="2"/>
    </row>
    <row r="62" spans="1:35" x14ac:dyDescent="0.25">
      <c r="A62" s="20" t="s">
        <v>132</v>
      </c>
      <c r="B62" s="33" t="s">
        <v>133</v>
      </c>
      <c r="C62" s="27"/>
      <c r="D62" s="32"/>
      <c r="E62" s="34"/>
      <c r="F62" s="34"/>
      <c r="G62" s="34"/>
      <c r="H62" s="34"/>
      <c r="I62" s="34"/>
      <c r="J62" s="34"/>
      <c r="K62" s="34"/>
      <c r="L62" s="34"/>
      <c r="M62" s="34">
        <v>-2.1</v>
      </c>
      <c r="N62" s="34">
        <v>-1.7</v>
      </c>
      <c r="O62" s="236">
        <f t="shared" si="48"/>
        <v>-2.3097860415927824</v>
      </c>
      <c r="P62" s="236">
        <f t="shared" si="48"/>
        <v>-2.6058399482234984</v>
      </c>
      <c r="Q62" s="236">
        <f t="shared" si="48"/>
        <v>-2.8831665103424471</v>
      </c>
      <c r="R62" s="236">
        <f t="shared" si="48"/>
        <v>-3.1852405566318982</v>
      </c>
      <c r="S62" s="236">
        <f t="shared" si="48"/>
        <v>-3.5229700820313856</v>
      </c>
      <c r="T62" s="236">
        <f t="shared" si="48"/>
        <v>-3.8797821029407129</v>
      </c>
      <c r="U62" s="236">
        <f t="shared" si="48"/>
        <v>-4.2745994704002586</v>
      </c>
      <c r="V62" s="236">
        <f t="shared" si="48"/>
        <v>-4.7117394763900329</v>
      </c>
      <c r="W62" s="236">
        <f t="shared" si="48"/>
        <v>-5.1960298666476792</v>
      </c>
      <c r="X62" s="236">
        <f t="shared" si="48"/>
        <v>-5.7328707994466619</v>
      </c>
      <c r="Y62" s="2"/>
      <c r="Z62" s="2"/>
      <c r="AA62" s="108">
        <v>-1.7</v>
      </c>
      <c r="AB62" s="109">
        <v>0</v>
      </c>
      <c r="AC62" s="108">
        <v>-1.8</v>
      </c>
      <c r="AD62" s="109">
        <v>-0.6</v>
      </c>
      <c r="AE62" s="108">
        <v>-1.8</v>
      </c>
      <c r="AF62" s="109">
        <v>-0.9</v>
      </c>
      <c r="AG62" s="2"/>
      <c r="AH62" s="2"/>
      <c r="AI62" s="2"/>
    </row>
    <row r="63" spans="1:35" x14ac:dyDescent="0.25">
      <c r="A63" s="20" t="s">
        <v>134</v>
      </c>
      <c r="B63" s="33" t="s">
        <v>135</v>
      </c>
      <c r="C63" s="27" t="s">
        <v>67</v>
      </c>
      <c r="D63" s="32" t="s">
        <v>94</v>
      </c>
      <c r="E63" s="34"/>
      <c r="F63" s="34"/>
      <c r="G63" s="34"/>
      <c r="H63" s="34"/>
      <c r="I63" s="34"/>
      <c r="J63" s="34"/>
      <c r="K63" s="34"/>
      <c r="L63" s="34"/>
      <c r="M63" s="34">
        <v>-4.8</v>
      </c>
      <c r="N63" s="34">
        <v>-7.9</v>
      </c>
      <c r="O63" s="236">
        <f>O$64/N$64*N63</f>
        <v>-10.733711605048814</v>
      </c>
      <c r="P63" s="236">
        <f t="shared" ref="P63:X63" si="49">P$64/O$64*O63</f>
        <v>-12.109491524097436</v>
      </c>
      <c r="Q63" s="236">
        <f t="shared" si="49"/>
        <v>-13.398244371591375</v>
      </c>
      <c r="R63" s="236">
        <f t="shared" si="49"/>
        <v>-14.802000233760001</v>
      </c>
      <c r="S63" s="236">
        <f t="shared" si="49"/>
        <v>-16.371449204734088</v>
      </c>
      <c r="T63" s="236">
        <f t="shared" si="49"/>
        <v>-18.029575654842137</v>
      </c>
      <c r="U63" s="236">
        <f t="shared" si="49"/>
        <v>-19.864315185977674</v>
      </c>
      <c r="V63" s="236">
        <f t="shared" si="49"/>
        <v>-21.895730507930157</v>
      </c>
      <c r="W63" s="236">
        <f t="shared" si="49"/>
        <v>-24.146256439127455</v>
      </c>
      <c r="X63" s="236">
        <f t="shared" si="49"/>
        <v>-26.640987832722729</v>
      </c>
      <c r="Y63" s="2"/>
      <c r="Z63" s="2"/>
      <c r="AA63" s="108">
        <v>-28.9</v>
      </c>
      <c r="AB63" s="109">
        <v>21</v>
      </c>
      <c r="AC63" s="108">
        <v>-29.7</v>
      </c>
      <c r="AD63" s="109">
        <v>18.600000000000001</v>
      </c>
      <c r="AE63" s="108">
        <v>-30.4</v>
      </c>
      <c r="AF63" s="109">
        <v>17.600000000000001</v>
      </c>
      <c r="AG63" s="2"/>
      <c r="AH63" s="2"/>
      <c r="AI63" s="2"/>
    </row>
    <row r="64" spans="1:35" x14ac:dyDescent="0.25">
      <c r="A64" s="20" t="s">
        <v>136</v>
      </c>
      <c r="B64" s="36" t="s">
        <v>128</v>
      </c>
      <c r="C64" s="37" t="s">
        <v>67</v>
      </c>
      <c r="D64" s="38"/>
      <c r="E64" s="38"/>
      <c r="F64" s="51">
        <v>-0.9</v>
      </c>
      <c r="G64" s="51">
        <v>-1</v>
      </c>
      <c r="H64" s="51">
        <v>-1</v>
      </c>
      <c r="I64" s="51">
        <v>-2.5</v>
      </c>
      <c r="J64" s="51">
        <v>-2.1</v>
      </c>
      <c r="K64" s="51">
        <v>-4.0999999999999996</v>
      </c>
      <c r="L64" s="51">
        <v>-7</v>
      </c>
      <c r="M64" s="51">
        <v>-7.4</v>
      </c>
      <c r="N64" s="51">
        <v>-10.5</v>
      </c>
      <c r="O64" s="235">
        <f>INDEX(Segments!$A:$AJ,MATCH(Annual!$A64,Segments!$A:$A,0),MATCH("1H"&amp;RIGHT(Annual!O$1,2),Segments!$A$3:$AJ$3,0))+INDEX(Segments!$A:$AJ,MATCH(Annual!$A64,Segments!$A:$A,0),MATCH("2H"&amp;RIGHT(Annual!O$1,2),Segments!$A$3:$AJ$3,0))</f>
        <v>-14.266325551014244</v>
      </c>
      <c r="P64" s="235">
        <f>INDEX(Segments!$A:$AJ,MATCH(Annual!$A64,Segments!$A:$A,0),MATCH("1H"&amp;RIGHT(Annual!P$1,2),Segments!$A$3:$AJ$3,0))+INDEX(Segments!$A:$AJ,MATCH(Annual!$A64,Segments!$A:$A,0),MATCH("2H"&amp;RIGHT(Annual!P$1,2),Segments!$A$3:$AJ$3,0))</f>
        <v>-16.094893797851018</v>
      </c>
      <c r="Q64" s="235">
        <f>INDEX(Segments!$A:$AJ,MATCH(Annual!$A64,Segments!$A:$A,0),MATCH("1H"&amp;RIGHT(Annual!Q$1,2),Segments!$A$3:$AJ$3,0))+INDEX(Segments!$A:$AJ,MATCH(Annual!$A64,Segments!$A:$A,0),MATCH("2H"&amp;RIGHT(Annual!Q$1,2),Segments!$A$3:$AJ$3,0))</f>
        <v>-17.807793152115114</v>
      </c>
      <c r="R64" s="235">
        <f>INDEX(Segments!$A:$AJ,MATCH(Annual!$A64,Segments!$A:$A,0),MATCH("1H"&amp;RIGHT(Annual!R$1,2),Segments!$A$3:$AJ$3,0))+INDEX(Segments!$A:$AJ,MATCH(Annual!$A64,Segments!$A:$A,0),MATCH("2H"&amp;RIGHT(Annual!R$1,2),Segments!$A$3:$AJ$3,0))</f>
        <v>-19.673544614491135</v>
      </c>
      <c r="S64" s="235">
        <f>INDEX(Segments!$A:$AJ,MATCH(Annual!$A64,Segments!$A:$A,0),MATCH("1H"&amp;RIGHT(Annual!S$1,2),Segments!$A$3:$AJ$3,0))+INDEX(Segments!$A:$AJ,MATCH(Annual!$A64,Segments!$A:$A,0),MATCH("2H"&amp;RIGHT(Annual!S$1,2),Segments!$A$3:$AJ$3,0))</f>
        <v>-21.759521094899732</v>
      </c>
      <c r="T64" s="235">
        <f>INDEX(Segments!$A:$AJ,MATCH(Annual!$A64,Segments!$A:$A,0),MATCH("1H"&amp;RIGHT(Annual!T$1,2),Segments!$A$3:$AJ$3,0))+INDEX(Segments!$A:$AJ,MATCH(Annual!$A64,Segments!$A:$A,0),MATCH("2H"&amp;RIGHT(Annual!T$1,2),Segments!$A$3:$AJ$3,0))</f>
        <v>-23.963360047574987</v>
      </c>
      <c r="U64" s="235">
        <f>INDEX(Segments!$A:$AJ,MATCH(Annual!$A64,Segments!$A:$A,0),MATCH("1H"&amp;RIGHT(Annual!U$1,2),Segments!$A$3:$AJ$3,0))+INDEX(Segments!$A:$AJ,MATCH(Annual!$A64,Segments!$A:$A,0),MATCH("2H"&amp;RIGHT(Annual!U$1,2),Segments!$A$3:$AJ$3,0))</f>
        <v>-26.401937905413355</v>
      </c>
      <c r="V64" s="235">
        <f>INDEX(Segments!$A:$AJ,MATCH(Annual!$A64,Segments!$A:$A,0),MATCH("1H"&amp;RIGHT(Annual!V$1,2),Segments!$A$3:$AJ$3,0))+INDEX(Segments!$A:$AJ,MATCH(Annual!$A64,Segments!$A:$A,0),MATCH("2H"&amp;RIGHT(Annual!V$1,2),Segments!$A$3:$AJ$3,0))</f>
        <v>-29.101920295350197</v>
      </c>
      <c r="W64" s="235">
        <f>INDEX(Segments!$A:$AJ,MATCH(Annual!$A64,Segments!$A:$A,0),MATCH("1H"&amp;RIGHT(Annual!W$1,2),Segments!$A$3:$AJ$3,0))+INDEX(Segments!$A:$AJ,MATCH(Annual!$A64,Segments!$A:$A,0),MATCH("2H"&amp;RIGHT(Annual!W$1,2),Segments!$A$3:$AJ$3,0))</f>
        <v>-32.093125646941537</v>
      </c>
      <c r="X64" s="235">
        <f>INDEX(Segments!$A:$AJ,MATCH(Annual!$A64,Segments!$A:$A,0),MATCH("1H"&amp;RIGHT(Annual!X$1,2),Segments!$A$3:$AJ$3,0))+INDEX(Segments!$A:$AJ,MATCH(Annual!$A64,Segments!$A:$A,0),MATCH("2H"&amp;RIGHT(Annual!X$1,2),Segments!$A$3:$AJ$3,0))</f>
        <v>-35.408907878935253</v>
      </c>
      <c r="Y64" s="2"/>
      <c r="Z64" s="2"/>
      <c r="AA64" s="111">
        <v>-34.6</v>
      </c>
      <c r="AB64" s="115">
        <v>24.1</v>
      </c>
      <c r="AC64" s="111">
        <v>-35.5</v>
      </c>
      <c r="AD64" s="115">
        <v>20.8</v>
      </c>
      <c r="AE64" s="111">
        <v>-36.299999999999997</v>
      </c>
      <c r="AF64" s="115">
        <v>19.399999999999999</v>
      </c>
      <c r="AG64" s="2"/>
      <c r="AH64" s="2"/>
      <c r="AI64" s="2"/>
    </row>
    <row r="65" spans="1:35" x14ac:dyDescent="0.25">
      <c r="A65" s="20"/>
      <c r="B65" s="33" t="s">
        <v>137</v>
      </c>
      <c r="C65" s="27" t="s">
        <v>117</v>
      </c>
      <c r="D65" s="32"/>
      <c r="E65" s="29"/>
      <c r="F65" s="29"/>
      <c r="G65" s="29"/>
      <c r="H65" s="29"/>
      <c r="I65" s="40">
        <f t="shared" ref="I65:M65" si="50">I64/I$10</f>
        <v>-3.7037037037037038E-3</v>
      </c>
      <c r="J65" s="40">
        <f t="shared" si="50"/>
        <v>-2.8112449799196789E-3</v>
      </c>
      <c r="K65" s="40">
        <f t="shared" si="50"/>
        <v>-4.4138228011626653E-3</v>
      </c>
      <c r="L65" s="40">
        <f t="shared" si="50"/>
        <v>-6.9804547267650584E-3</v>
      </c>
      <c r="M65" s="40">
        <f t="shared" si="50"/>
        <v>-6.8658378177769526E-3</v>
      </c>
      <c r="N65" s="40">
        <f>N64/N$10</f>
        <v>-8.4985835694051E-3</v>
      </c>
      <c r="O65" s="40">
        <f t="shared" ref="O65:X65" si="51">O64/O$10</f>
        <v>-9.6737170027873434E-3</v>
      </c>
      <c r="P65" s="40">
        <f t="shared" si="51"/>
        <v>-9.6737170027873416E-3</v>
      </c>
      <c r="Q65" s="40">
        <f t="shared" si="51"/>
        <v>-9.6737170027873416E-3</v>
      </c>
      <c r="R65" s="40">
        <f t="shared" si="51"/>
        <v>-9.6737170027873434E-3</v>
      </c>
      <c r="S65" s="40">
        <f t="shared" si="51"/>
        <v>-9.6737170027873416E-3</v>
      </c>
      <c r="T65" s="40">
        <f t="shared" si="51"/>
        <v>-9.6737170027873416E-3</v>
      </c>
      <c r="U65" s="40">
        <f t="shared" si="51"/>
        <v>-9.6737170027873416E-3</v>
      </c>
      <c r="V65" s="40">
        <f t="shared" si="51"/>
        <v>-9.6737170027873416E-3</v>
      </c>
      <c r="W65" s="40">
        <f t="shared" si="51"/>
        <v>-9.6737170027873416E-3</v>
      </c>
      <c r="X65" s="40">
        <f t="shared" si="51"/>
        <v>-9.6737170027873416E-3</v>
      </c>
      <c r="Y65" s="2"/>
      <c r="Z65" s="2"/>
      <c r="AA65" s="128">
        <v>-0.29499999999999998</v>
      </c>
      <c r="AB65" s="129">
        <v>0.28599999999999998</v>
      </c>
      <c r="AC65" s="128">
        <v>-0.222</v>
      </c>
      <c r="AD65" s="129">
        <v>0.21199999999999999</v>
      </c>
      <c r="AE65" s="128">
        <v>-0.186</v>
      </c>
      <c r="AF65" s="129">
        <v>0.17599999999999999</v>
      </c>
      <c r="AG65" s="2"/>
      <c r="AH65" s="2"/>
      <c r="AI65" s="2"/>
    </row>
    <row r="66" spans="1:35" x14ac:dyDescent="0.25">
      <c r="A66" s="307"/>
      <c r="B66" s="308"/>
      <c r="C66" s="27"/>
      <c r="D66" s="32"/>
      <c r="E66" s="29"/>
      <c r="F66" s="29"/>
      <c r="G66" s="29"/>
      <c r="H66" s="29"/>
      <c r="I66" s="29"/>
      <c r="J66" s="29"/>
      <c r="K66" s="29"/>
      <c r="L66" s="29"/>
      <c r="M66" s="29"/>
      <c r="N66" s="29"/>
      <c r="O66" s="29"/>
      <c r="P66" s="29"/>
      <c r="Q66" s="29"/>
      <c r="R66" s="29"/>
      <c r="S66" s="29"/>
      <c r="T66" s="29"/>
      <c r="U66" s="29"/>
      <c r="V66" s="29"/>
      <c r="W66" s="29"/>
      <c r="X66" s="29"/>
      <c r="Y66" s="2"/>
      <c r="Z66" s="2"/>
      <c r="AA66" s="106"/>
      <c r="AB66" s="107"/>
      <c r="AC66" s="106"/>
      <c r="AD66" s="107"/>
      <c r="AE66" s="106"/>
      <c r="AF66" s="107"/>
      <c r="AG66" s="2"/>
      <c r="AH66" s="2"/>
      <c r="AI66" s="2"/>
    </row>
    <row r="67" spans="1:35" x14ac:dyDescent="0.25">
      <c r="A67" s="20"/>
      <c r="B67" s="30" t="s">
        <v>138</v>
      </c>
      <c r="C67" s="31"/>
      <c r="D67" s="32"/>
      <c r="E67" s="35"/>
      <c r="F67" s="35"/>
      <c r="G67" s="35"/>
      <c r="H67" s="35"/>
      <c r="I67" s="35"/>
      <c r="J67" s="35"/>
      <c r="K67" s="35"/>
      <c r="L67" s="35"/>
      <c r="M67" s="35"/>
      <c r="N67" s="35"/>
      <c r="O67" s="35"/>
      <c r="P67" s="35"/>
      <c r="Q67" s="35"/>
      <c r="R67" s="35"/>
      <c r="S67" s="35"/>
      <c r="T67" s="35"/>
      <c r="U67" s="35"/>
      <c r="V67" s="35"/>
      <c r="W67" s="35"/>
      <c r="X67" s="35"/>
      <c r="Y67" s="2"/>
      <c r="Z67" s="2"/>
      <c r="AA67" s="108"/>
      <c r="AB67" s="109"/>
      <c r="AC67" s="108"/>
      <c r="AD67" s="109"/>
      <c r="AE67" s="108"/>
      <c r="AF67" s="109"/>
      <c r="AG67" s="2"/>
      <c r="AH67" s="2"/>
      <c r="AI67" s="2"/>
    </row>
    <row r="68" spans="1:35" x14ac:dyDescent="0.25">
      <c r="A68" s="20" t="s">
        <v>138</v>
      </c>
      <c r="B68" s="36" t="s">
        <v>138</v>
      </c>
      <c r="C68" s="37" t="s">
        <v>67</v>
      </c>
      <c r="D68" s="38"/>
      <c r="E68" s="39"/>
      <c r="F68" s="39">
        <f>F56+F64</f>
        <v>42</v>
      </c>
      <c r="G68" s="39">
        <f t="shared" ref="G68:M68" si="52">G56+G64</f>
        <v>45.3</v>
      </c>
      <c r="H68" s="39">
        <f t="shared" si="52"/>
        <v>44.5</v>
      </c>
      <c r="I68" s="39">
        <f t="shared" si="52"/>
        <v>52.8</v>
      </c>
      <c r="J68" s="39">
        <f t="shared" si="52"/>
        <v>70.2</v>
      </c>
      <c r="K68" s="39">
        <f t="shared" si="52"/>
        <v>82.600000000000009</v>
      </c>
      <c r="L68" s="39">
        <f t="shared" si="52"/>
        <v>52.4</v>
      </c>
      <c r="M68" s="39">
        <f t="shared" si="52"/>
        <v>39.999999999999993</v>
      </c>
      <c r="N68" s="39">
        <f>N56+N64</f>
        <v>45.7</v>
      </c>
      <c r="O68" s="235">
        <f>INDEX(Segments!$A:$AJ,MATCH(Annual!$A68,Segments!$A:$A,0),MATCH("1H"&amp;RIGHT(Annual!O$1,2),Segments!$A$3:$AJ$3,0))+INDEX(Segments!$A:$AJ,MATCH(Annual!$A68,Segments!$A:$A,0),MATCH("2H"&amp;RIGHT(Annual!O$1,2),Segments!$A$3:$AJ$3,0))</f>
        <v>65.87961443332216</v>
      </c>
      <c r="P68" s="235">
        <f>INDEX(Segments!$A:$AJ,MATCH(Annual!$A68,Segments!$A:$A,0),MATCH("1H"&amp;RIGHT(Annual!P$1,2),Segments!$A$3:$AJ$3,0))+INDEX(Segments!$A:$AJ,MATCH(Annual!$A68,Segments!$A:$A,0),MATCH("2H"&amp;RIGHT(Annual!P$1,2),Segments!$A$3:$AJ$3,0))</f>
        <v>77.021133061589993</v>
      </c>
      <c r="Q68" s="235">
        <f>INDEX(Segments!$A:$AJ,MATCH(Annual!$A68,Segments!$A:$A,0),MATCH("1H"&amp;RIGHT(Annual!Q$1,2),Segments!$A$3:$AJ$3,0))+INDEX(Segments!$A:$AJ,MATCH(Annual!$A68,Segments!$A:$A,0),MATCH("2H"&amp;RIGHT(Annual!Q$1,2),Segments!$A$3:$AJ$3,0))</f>
        <v>88.406107543581555</v>
      </c>
      <c r="R68" s="235">
        <f>INDEX(Segments!$A:$AJ,MATCH(Annual!$A68,Segments!$A:$A,0),MATCH("1H"&amp;RIGHT(Annual!R$1,2),Segments!$A$3:$AJ$3,0))+INDEX(Segments!$A:$AJ,MATCH(Annual!$A68,Segments!$A:$A,0),MATCH("2H"&amp;RIGHT(Annual!R$1,2),Segments!$A$3:$AJ$3,0))</f>
        <v>100.97430436829039</v>
      </c>
      <c r="S68" s="235">
        <f>INDEX(Segments!$A:$AJ,MATCH(Annual!$A68,Segments!$A:$A,0),MATCH("1H"&amp;RIGHT(Annual!S$1,2),Segments!$A$3:$AJ$3,0))+INDEX(Segments!$A:$AJ,MATCH(Annual!$A68,Segments!$A:$A,0),MATCH("2H"&amp;RIGHT(Annual!S$1,2),Segments!$A$3:$AJ$3,0))</f>
        <v>114.03042459459675</v>
      </c>
      <c r="T68" s="235">
        <f>INDEX(Segments!$A:$AJ,MATCH(Annual!$A68,Segments!$A:$A,0),MATCH("1H"&amp;RIGHT(Annual!T$1,2),Segments!$A$3:$AJ$3,0))+INDEX(Segments!$A:$AJ,MATCH(Annual!$A68,Segments!$A:$A,0),MATCH("2H"&amp;RIGHT(Annual!T$1,2),Segments!$A$3:$AJ$3,0))</f>
        <v>128.18017224503896</v>
      </c>
      <c r="U68" s="235">
        <f>INDEX(Segments!$A:$AJ,MATCH(Annual!$A68,Segments!$A:$A,0),MATCH("1H"&amp;RIGHT(Annual!U$1,2),Segments!$A$3:$AJ$3,0))+INDEX(Segments!$A:$AJ,MATCH(Annual!$A68,Segments!$A:$A,0),MATCH("2H"&amp;RIGHT(Annual!U$1,2),Segments!$A$3:$AJ$3,0))</f>
        <v>144.07659215870004</v>
      </c>
      <c r="V68" s="235">
        <f>INDEX(Segments!$A:$AJ,MATCH(Annual!$A68,Segments!$A:$A,0),MATCH("1H"&amp;RIGHT(Annual!V$1,2),Segments!$A$3:$AJ$3,0))+INDEX(Segments!$A:$AJ,MATCH(Annual!$A68,Segments!$A:$A,0),MATCH("2H"&amp;RIGHT(Annual!V$1,2),Segments!$A$3:$AJ$3,0))</f>
        <v>161.94112584563351</v>
      </c>
      <c r="W68" s="235">
        <f>INDEX(Segments!$A:$AJ,MATCH(Annual!$A68,Segments!$A:$A,0),MATCH("1H"&amp;RIGHT(Annual!W$1,2),Segments!$A$3:$AJ$3,0))+INDEX(Segments!$A:$AJ,MATCH(Annual!$A68,Segments!$A:$A,0),MATCH("2H"&amp;RIGHT(Annual!W$1,2),Segments!$A$3:$AJ$3,0))</f>
        <v>182.02401799431846</v>
      </c>
      <c r="X68" s="235">
        <f>INDEX(Segments!$A:$AJ,MATCH(Annual!$A68,Segments!$A:$A,0),MATCH("1H"&amp;RIGHT(Annual!X$1,2),Segments!$A$3:$AJ$3,0))+INDEX(Segments!$A:$AJ,MATCH(Annual!$A68,Segments!$A:$A,0),MATCH("2H"&amp;RIGHT(Annual!X$1,2),Segments!$A$3:$AJ$3,0))</f>
        <v>204.6081270509444</v>
      </c>
      <c r="Y68" s="2"/>
      <c r="Z68" s="2"/>
      <c r="AA68" s="111">
        <v>-26.4</v>
      </c>
      <c r="AB68" s="115">
        <v>72.099999999999994</v>
      </c>
      <c r="AC68" s="111">
        <v>0.5</v>
      </c>
      <c r="AD68" s="115">
        <v>65.599999999999994</v>
      </c>
      <c r="AE68" s="111">
        <v>13.7</v>
      </c>
      <c r="AF68" s="115">
        <v>66.5</v>
      </c>
      <c r="AG68" s="2"/>
      <c r="AH68" s="2"/>
      <c r="AI68" s="2"/>
    </row>
    <row r="69" spans="1:35" x14ac:dyDescent="0.25">
      <c r="A69" s="20"/>
      <c r="B69" s="33" t="s">
        <v>139</v>
      </c>
      <c r="C69" s="27" t="s">
        <v>77</v>
      </c>
      <c r="D69" s="28"/>
      <c r="E69" s="29"/>
      <c r="F69" s="29"/>
      <c r="G69" s="29"/>
      <c r="H69" s="29"/>
      <c r="I69" s="29"/>
      <c r="J69" s="226">
        <f t="shared" ref="J69" si="53">J68/I68-1</f>
        <v>0.32954545454545459</v>
      </c>
      <c r="K69" s="226">
        <f t="shared" ref="K69" si="54">K68/J68-1</f>
        <v>0.1766381766381766</v>
      </c>
      <c r="L69" s="226">
        <f t="shared" ref="L69" si="55">L68/K68-1</f>
        <v>-0.36561743341404362</v>
      </c>
      <c r="M69" s="226">
        <f t="shared" ref="M69" si="56">M68/L68-1</f>
        <v>-0.23664122137404586</v>
      </c>
      <c r="N69" s="226">
        <f t="shared" ref="N69" si="57">N68/M68-1</f>
        <v>0.14250000000000029</v>
      </c>
      <c r="O69" s="226">
        <f t="shared" ref="O69" si="58">O68/N68-1</f>
        <v>0.44156705543374519</v>
      </c>
      <c r="P69" s="226">
        <f t="shared" ref="P69" si="59">P68/O68-1</f>
        <v>0.16911936604523303</v>
      </c>
      <c r="Q69" s="226">
        <f t="shared" ref="Q69" si="60">Q68/P68-1</f>
        <v>0.147816242496557</v>
      </c>
      <c r="R69" s="226">
        <f t="shared" ref="R69" si="61">R68/Q68-1</f>
        <v>0.1421643501102352</v>
      </c>
      <c r="S69" s="226">
        <f t="shared" ref="S69" si="62">S68/R68-1</f>
        <v>0.12930141294844577</v>
      </c>
      <c r="T69" s="226">
        <f t="shared" ref="T69" si="63">T68/S68-1</f>
        <v>0.12408747666026576</v>
      </c>
      <c r="U69" s="226">
        <f t="shared" ref="U69" si="64">U68/T68-1</f>
        <v>0.12401621588768252</v>
      </c>
      <c r="V69" s="226">
        <f t="shared" ref="V69" si="65">V68/U68-1</f>
        <v>0.12399331091379318</v>
      </c>
      <c r="W69" s="226">
        <f t="shared" ref="W69" si="66">W68/V68-1</f>
        <v>0.12401353914155488</v>
      </c>
      <c r="X69" s="226">
        <f t="shared" ref="X69" si="67">X68/W68-1</f>
        <v>0.1240721378721068</v>
      </c>
      <c r="Y69" s="2"/>
      <c r="Z69" s="29"/>
      <c r="AA69" s="113">
        <v>-0.36</v>
      </c>
      <c r="AB69" s="114">
        <v>0.5</v>
      </c>
      <c r="AC69" s="113">
        <v>-1.02</v>
      </c>
      <c r="AD69" s="114">
        <v>1.47</v>
      </c>
      <c r="AE69" s="113">
        <v>25.73</v>
      </c>
      <c r="AF69" s="114">
        <v>-25.52</v>
      </c>
      <c r="AG69" s="2"/>
      <c r="AH69" s="2"/>
      <c r="AI69" s="2"/>
    </row>
    <row r="70" spans="1:35" x14ac:dyDescent="0.25">
      <c r="A70" s="20"/>
      <c r="B70" s="33" t="s">
        <v>140</v>
      </c>
      <c r="C70" s="27" t="s">
        <v>117</v>
      </c>
      <c r="D70" s="32"/>
      <c r="E70" s="29"/>
      <c r="F70" s="29"/>
      <c r="G70" s="29"/>
      <c r="H70" s="29"/>
      <c r="I70" s="29"/>
      <c r="J70" s="226">
        <f t="shared" ref="J70:N70" si="68">J68/J$10</f>
        <v>9.3975903614457831E-2</v>
      </c>
      <c r="K70" s="226">
        <f t="shared" si="68"/>
        <v>8.8922381311228343E-2</v>
      </c>
      <c r="L70" s="226">
        <f t="shared" si="68"/>
        <v>5.2253689668927003E-2</v>
      </c>
      <c r="M70" s="226">
        <f t="shared" si="68"/>
        <v>3.711263685284838E-2</v>
      </c>
      <c r="N70" s="226">
        <f t="shared" si="68"/>
        <v>3.6989073249696483E-2</v>
      </c>
      <c r="O70" s="226">
        <f t="shared" ref="O70:X70" si="69">O68/O$10</f>
        <v>4.4671681155866727E-2</v>
      </c>
      <c r="P70" s="226">
        <f t="shared" si="69"/>
        <v>4.6292982969004255E-2</v>
      </c>
      <c r="Q70" s="226">
        <f t="shared" si="69"/>
        <v>4.8024797816848701E-2</v>
      </c>
      <c r="R70" s="226">
        <f t="shared" si="69"/>
        <v>4.9650272187995358E-2</v>
      </c>
      <c r="S70" s="226">
        <f t="shared" si="69"/>
        <v>5.0694960262446596E-2</v>
      </c>
      <c r="T70" s="226">
        <f t="shared" si="69"/>
        <v>5.1744776575792642E-2</v>
      </c>
      <c r="U70" s="226">
        <f t="shared" si="69"/>
        <v>5.278991959842097E-2</v>
      </c>
      <c r="V70" s="226">
        <f t="shared" si="69"/>
        <v>5.3830558487019529E-2</v>
      </c>
      <c r="W70" s="226">
        <f t="shared" si="69"/>
        <v>5.4866853953663308E-2</v>
      </c>
      <c r="X70" s="226">
        <f t="shared" si="69"/>
        <v>5.5898959785164432E-2</v>
      </c>
      <c r="Y70" s="2"/>
      <c r="Z70" s="2"/>
      <c r="AA70" s="128">
        <v>-0.22500000000000001</v>
      </c>
      <c r="AB70" s="129">
        <v>0.26200000000000001</v>
      </c>
      <c r="AC70" s="128">
        <v>3.0000000000000001E-3</v>
      </c>
      <c r="AD70" s="129">
        <v>0.04</v>
      </c>
      <c r="AE70" s="128">
        <v>7.0000000000000007E-2</v>
      </c>
      <c r="AF70" s="129">
        <v>-2.4E-2</v>
      </c>
      <c r="AG70" s="2"/>
      <c r="AH70" s="2"/>
      <c r="AI70" s="2"/>
    </row>
    <row r="71" spans="1:35" x14ac:dyDescent="0.25">
      <c r="A71" s="307"/>
      <c r="B71" s="308"/>
      <c r="C71" s="27"/>
      <c r="D71" s="53"/>
      <c r="E71" s="54"/>
      <c r="F71" s="54"/>
      <c r="G71" s="54"/>
      <c r="H71" s="54"/>
      <c r="I71" s="54"/>
      <c r="J71" s="54"/>
      <c r="K71" s="54"/>
      <c r="L71" s="54"/>
      <c r="M71" s="54"/>
      <c r="N71" s="54"/>
      <c r="O71" s="54"/>
      <c r="P71" s="54"/>
      <c r="Q71" s="54"/>
      <c r="R71" s="54"/>
      <c r="S71" s="54"/>
      <c r="T71" s="54"/>
      <c r="U71" s="54"/>
      <c r="V71" s="54"/>
      <c r="W71" s="54"/>
      <c r="X71" s="54"/>
      <c r="Y71" s="2"/>
      <c r="Z71" s="54"/>
      <c r="AA71" s="130"/>
      <c r="AB71" s="131"/>
      <c r="AC71" s="130"/>
      <c r="AD71" s="131"/>
      <c r="AE71" s="130"/>
      <c r="AF71" s="131"/>
      <c r="AG71" s="2"/>
      <c r="AH71" s="2"/>
      <c r="AI71" s="2"/>
    </row>
    <row r="72" spans="1:35" x14ac:dyDescent="0.25">
      <c r="A72" s="20"/>
      <c r="B72" s="30" t="s">
        <v>141</v>
      </c>
      <c r="C72" s="55"/>
      <c r="D72" s="32"/>
      <c r="E72" s="29"/>
      <c r="F72" s="29"/>
      <c r="G72" s="29"/>
      <c r="H72" s="29"/>
      <c r="I72" s="29"/>
      <c r="J72" s="29"/>
      <c r="K72" s="29"/>
      <c r="L72" s="34"/>
      <c r="M72" s="34"/>
      <c r="N72" s="34"/>
      <c r="O72" s="29"/>
      <c r="P72" s="29"/>
      <c r="Q72" s="29"/>
      <c r="R72" s="29"/>
      <c r="S72" s="29"/>
      <c r="T72" s="29"/>
      <c r="U72" s="29"/>
      <c r="V72" s="29"/>
      <c r="W72" s="29"/>
      <c r="X72" s="29"/>
      <c r="Y72" s="2"/>
      <c r="Z72" s="2"/>
      <c r="AA72" s="106"/>
      <c r="AB72" s="107"/>
      <c r="AC72" s="106"/>
      <c r="AD72" s="107"/>
      <c r="AE72" s="106"/>
      <c r="AF72" s="107"/>
      <c r="AG72" s="2"/>
      <c r="AH72" s="2"/>
      <c r="AI72" s="2"/>
    </row>
    <row r="73" spans="1:35" x14ac:dyDescent="0.25">
      <c r="A73" s="20" t="s">
        <v>142</v>
      </c>
      <c r="B73" s="33" t="s">
        <v>142</v>
      </c>
      <c r="C73" s="27" t="s">
        <v>67</v>
      </c>
      <c r="D73" s="32" t="s">
        <v>73</v>
      </c>
      <c r="E73" s="34"/>
      <c r="F73" s="34">
        <v>2.2999999999999998</v>
      </c>
      <c r="G73" s="34">
        <v>2.5</v>
      </c>
      <c r="H73" s="34">
        <v>2</v>
      </c>
      <c r="I73" s="34">
        <v>0.9</v>
      </c>
      <c r="J73" s="34">
        <v>0.8</v>
      </c>
      <c r="K73" s="34">
        <v>0.3</v>
      </c>
      <c r="L73" s="34">
        <v>6.2</v>
      </c>
      <c r="M73" s="34">
        <v>7.6</v>
      </c>
      <c r="N73" s="34">
        <v>7</v>
      </c>
      <c r="O73" s="279">
        <f>O77*N197+6</f>
        <v>7.274</v>
      </c>
      <c r="P73" s="279">
        <f t="shared" ref="P73:X73" si="70">P77*O197+6</f>
        <v>7.3307466368026848</v>
      </c>
      <c r="Q73" s="279">
        <f t="shared" si="70"/>
        <v>7.2606803235533706</v>
      </c>
      <c r="R73" s="279">
        <f t="shared" si="70"/>
        <v>7.2173189464809457</v>
      </c>
      <c r="S73" s="279">
        <f t="shared" si="70"/>
        <v>7.1993093098189034</v>
      </c>
      <c r="T73" s="279">
        <f t="shared" si="70"/>
        <v>7.2024315214888333</v>
      </c>
      <c r="U73" s="279">
        <f t="shared" si="70"/>
        <v>7.2265935785796573</v>
      </c>
      <c r="V73" s="279">
        <f t="shared" si="70"/>
        <v>7.2724553919879762</v>
      </c>
      <c r="W73" s="279">
        <f t="shared" si="70"/>
        <v>7.3416148191093615</v>
      </c>
      <c r="X73" s="279">
        <f t="shared" si="70"/>
        <v>7.4358150097873699</v>
      </c>
      <c r="Y73" s="2"/>
      <c r="Z73" s="2"/>
      <c r="AA73" s="108">
        <v>0</v>
      </c>
      <c r="AB73" s="109">
        <v>7</v>
      </c>
      <c r="AC73" s="108">
        <v>0</v>
      </c>
      <c r="AD73" s="109">
        <v>6.8</v>
      </c>
      <c r="AE73" s="108">
        <v>0</v>
      </c>
      <c r="AF73" s="109" t="e">
        <v>#VALUE!</v>
      </c>
      <c r="AG73" s="2"/>
      <c r="AH73" s="2"/>
      <c r="AI73" s="2"/>
    </row>
    <row r="74" spans="1:35" x14ac:dyDescent="0.25">
      <c r="A74" s="20" t="s">
        <v>143</v>
      </c>
      <c r="B74" s="33" t="s">
        <v>143</v>
      </c>
      <c r="C74" s="27"/>
      <c r="D74" s="32"/>
      <c r="E74" s="34"/>
      <c r="F74" s="34"/>
      <c r="G74" s="34"/>
      <c r="H74" s="34"/>
      <c r="I74" s="34"/>
      <c r="J74" s="34"/>
      <c r="K74" s="34"/>
      <c r="L74" s="34"/>
      <c r="M74" s="34">
        <v>-0.1</v>
      </c>
      <c r="N74" s="34">
        <v>-0.2</v>
      </c>
      <c r="O74" s="228">
        <f>N74*O10/N10</f>
        <v>-0.23872945019346006</v>
      </c>
      <c r="P74" s="228">
        <f t="shared" ref="P74:X74" si="71">O74*P10/O10</f>
        <v>-0.2693282957509644</v>
      </c>
      <c r="Q74" s="228">
        <f t="shared" si="71"/>
        <v>-0.29799156434230317</v>
      </c>
      <c r="R74" s="228">
        <f t="shared" si="71"/>
        <v>-0.32921262537991602</v>
      </c>
      <c r="S74" s="228">
        <f t="shared" si="71"/>
        <v>-0.36411888183002417</v>
      </c>
      <c r="T74" s="228">
        <f t="shared" si="71"/>
        <v>-0.4009974221104744</v>
      </c>
      <c r="U74" s="228">
        <f t="shared" si="71"/>
        <v>-0.4418040298928344</v>
      </c>
      <c r="V74" s="228">
        <f t="shared" si="71"/>
        <v>-0.48698492171930913</v>
      </c>
      <c r="W74" s="228">
        <f t="shared" si="71"/>
        <v>-0.53703907241478155</v>
      </c>
      <c r="X74" s="228">
        <f t="shared" si="71"/>
        <v>-0.59252461887694163</v>
      </c>
      <c r="Y74" s="2"/>
      <c r="Z74" s="2"/>
      <c r="AA74" s="108">
        <v>-0.4</v>
      </c>
      <c r="AB74" s="109">
        <v>0.2</v>
      </c>
      <c r="AC74" s="108">
        <v>-0.5</v>
      </c>
      <c r="AD74" s="109">
        <v>0.3</v>
      </c>
      <c r="AE74" s="108">
        <v>-0.7</v>
      </c>
      <c r="AF74" s="109">
        <v>0.4</v>
      </c>
      <c r="AG74" s="2"/>
      <c r="AH74" s="2"/>
      <c r="AI74" s="2"/>
    </row>
    <row r="75" spans="1:35" x14ac:dyDescent="0.25">
      <c r="A75" s="20" t="s">
        <v>144</v>
      </c>
      <c r="B75" s="33" t="s">
        <v>144</v>
      </c>
      <c r="C75" s="27" t="s">
        <v>67</v>
      </c>
      <c r="D75" s="32"/>
      <c r="E75" s="34"/>
      <c r="F75" s="29">
        <f t="shared" ref="F75:M75" si="72">F76-F73-F74</f>
        <v>0</v>
      </c>
      <c r="G75" s="29">
        <f t="shared" si="72"/>
        <v>-0.10000000000000009</v>
      </c>
      <c r="H75" s="29">
        <f t="shared" si="72"/>
        <v>0</v>
      </c>
      <c r="I75" s="29">
        <f t="shared" si="72"/>
        <v>-9.9999999999999978E-2</v>
      </c>
      <c r="J75" s="29">
        <f t="shared" si="72"/>
        <v>-0.20000000000000007</v>
      </c>
      <c r="K75" s="29">
        <f t="shared" si="72"/>
        <v>-1.1000000000000001</v>
      </c>
      <c r="L75" s="29">
        <f t="shared" si="72"/>
        <v>-3.2</v>
      </c>
      <c r="M75" s="29">
        <f t="shared" si="72"/>
        <v>-3.5999999999999996</v>
      </c>
      <c r="N75" s="29">
        <f>N76-N73-N74</f>
        <v>-3.8999999999999995</v>
      </c>
      <c r="O75" s="279">
        <f>O78*AVERAGE(N217:O217)</f>
        <v>-3.3416363560713087</v>
      </c>
      <c r="P75" s="279">
        <f t="shared" ref="P75:X75" si="73">P78*AVERAGE(O217:P217)</f>
        <v>-3.9662117613727603</v>
      </c>
      <c r="Q75" s="279">
        <f t="shared" si="73"/>
        <v>-4.7835896599381149</v>
      </c>
      <c r="R75" s="279">
        <f t="shared" si="73"/>
        <v>-5.7016250811896949</v>
      </c>
      <c r="S75" s="279">
        <f t="shared" si="73"/>
        <v>-6.7328291295265688</v>
      </c>
      <c r="T75" s="279">
        <f t="shared" si="73"/>
        <v>-7.8906005705629587</v>
      </c>
      <c r="U75" s="279">
        <f t="shared" si="73"/>
        <v>-9.1898492001040708</v>
      </c>
      <c r="V75" s="279">
        <f t="shared" si="73"/>
        <v>-10.648380924521978</v>
      </c>
      <c r="W75" s="279">
        <f t="shared" si="73"/>
        <v>-12.286297251827509</v>
      </c>
      <c r="X75" s="279">
        <f t="shared" si="73"/>
        <v>-14.126295063858047</v>
      </c>
      <c r="Y75" s="2"/>
      <c r="Z75" s="2"/>
      <c r="AA75" s="108">
        <v>-9.4</v>
      </c>
      <c r="AB75" s="109">
        <v>5.5</v>
      </c>
      <c r="AC75" s="108">
        <v>-9.4</v>
      </c>
      <c r="AD75" s="109">
        <v>5.3</v>
      </c>
      <c r="AE75" s="108">
        <v>-9.4</v>
      </c>
      <c r="AF75" s="109">
        <v>5.3</v>
      </c>
      <c r="AG75" s="2"/>
      <c r="AH75" s="2"/>
      <c r="AI75" s="2"/>
    </row>
    <row r="76" spans="1:35" x14ac:dyDescent="0.25">
      <c r="A76" s="20" t="s">
        <v>145</v>
      </c>
      <c r="B76" s="36" t="s">
        <v>145</v>
      </c>
      <c r="C76" s="37" t="s">
        <v>67</v>
      </c>
      <c r="D76" s="32" t="s">
        <v>73</v>
      </c>
      <c r="E76" s="51"/>
      <c r="F76" s="51">
        <v>2.2999999999999998</v>
      </c>
      <c r="G76" s="51">
        <v>2.4</v>
      </c>
      <c r="H76" s="51">
        <v>2</v>
      </c>
      <c r="I76" s="51">
        <v>0.8</v>
      </c>
      <c r="J76" s="51">
        <v>0.6</v>
      </c>
      <c r="K76" s="51">
        <v>-0.8</v>
      </c>
      <c r="L76" s="51">
        <v>3</v>
      </c>
      <c r="M76" s="51">
        <v>3.9</v>
      </c>
      <c r="N76" s="51">
        <v>2.9</v>
      </c>
      <c r="O76" s="238">
        <f>SUM(O73:O75)</f>
        <v>3.6936341937352308</v>
      </c>
      <c r="P76" s="238">
        <f t="shared" ref="P76:X76" si="74">SUM(P73:P75)</f>
        <v>3.0952065796789596</v>
      </c>
      <c r="Q76" s="238">
        <f t="shared" si="74"/>
        <v>2.1790990992729524</v>
      </c>
      <c r="R76" s="238">
        <f t="shared" si="74"/>
        <v>1.1864812399113349</v>
      </c>
      <c r="S76" s="238">
        <f t="shared" si="74"/>
        <v>0.10236129846231012</v>
      </c>
      <c r="T76" s="238">
        <f t="shared" si="74"/>
        <v>-1.0891664711846003</v>
      </c>
      <c r="U76" s="238">
        <f t="shared" si="74"/>
        <v>-2.4050596514172478</v>
      </c>
      <c r="V76" s="238">
        <f t="shared" si="74"/>
        <v>-3.8629104542533117</v>
      </c>
      <c r="W76" s="238">
        <f t="shared" si="74"/>
        <v>-5.4817215051329296</v>
      </c>
      <c r="X76" s="238">
        <f t="shared" si="74"/>
        <v>-7.2830046729476186</v>
      </c>
      <c r="Y76" s="2"/>
      <c r="Z76" s="2"/>
      <c r="AA76" s="111">
        <v>-9.8000000000000007</v>
      </c>
      <c r="AB76" s="115">
        <v>12.7</v>
      </c>
      <c r="AC76" s="111">
        <v>-9.9</v>
      </c>
      <c r="AD76" s="115">
        <v>12.4</v>
      </c>
      <c r="AE76" s="111">
        <v>-10</v>
      </c>
      <c r="AF76" s="115" t="e">
        <v>#VALUE!</v>
      </c>
      <c r="AG76" s="2"/>
      <c r="AH76" s="2"/>
      <c r="AI76" s="2"/>
    </row>
    <row r="77" spans="1:35" x14ac:dyDescent="0.25">
      <c r="A77" s="20"/>
      <c r="B77" s="82" t="s">
        <v>258</v>
      </c>
      <c r="C77" s="43"/>
      <c r="D77" s="32"/>
      <c r="E77" s="116"/>
      <c r="F77" s="116"/>
      <c r="G77" s="116"/>
      <c r="H77" s="116"/>
      <c r="I77" s="116"/>
      <c r="J77" s="116"/>
      <c r="K77" s="116"/>
      <c r="L77" s="225">
        <f t="shared" ref="L77:M77" si="75">L73/AVERAGE(K197:L197)</f>
        <v>0.10333333333333333</v>
      </c>
      <c r="M77" s="225">
        <f t="shared" si="75"/>
        <v>0.11930926216640501</v>
      </c>
      <c r="N77" s="225">
        <f>N73/AVERAGE(M197:N197)</f>
        <v>0.10678871090770402</v>
      </c>
      <c r="O77" s="83">
        <v>0.02</v>
      </c>
      <c r="P77" s="83">
        <f t="shared" ref="P77:X77" si="76">O77</f>
        <v>0.02</v>
      </c>
      <c r="Q77" s="83">
        <f t="shared" si="76"/>
        <v>0.02</v>
      </c>
      <c r="R77" s="83">
        <f t="shared" si="76"/>
        <v>0.02</v>
      </c>
      <c r="S77" s="83">
        <f t="shared" si="76"/>
        <v>0.02</v>
      </c>
      <c r="T77" s="83">
        <f t="shared" si="76"/>
        <v>0.02</v>
      </c>
      <c r="U77" s="83">
        <f t="shared" si="76"/>
        <v>0.02</v>
      </c>
      <c r="V77" s="83">
        <f t="shared" si="76"/>
        <v>0.02</v>
      </c>
      <c r="W77" s="83">
        <f t="shared" si="76"/>
        <v>0.02</v>
      </c>
      <c r="X77" s="83">
        <f t="shared" si="76"/>
        <v>0.02</v>
      </c>
      <c r="Y77" s="2"/>
      <c r="Z77" s="2"/>
      <c r="AA77" s="117">
        <v>0</v>
      </c>
      <c r="AB77" s="118"/>
      <c r="AC77" s="117">
        <v>0</v>
      </c>
      <c r="AD77" s="118"/>
      <c r="AE77" s="117">
        <v>0</v>
      </c>
      <c r="AF77" s="118">
        <v>0.1</v>
      </c>
      <c r="AG77" s="2"/>
      <c r="AH77" s="2"/>
      <c r="AI77" s="2"/>
    </row>
    <row r="78" spans="1:35" x14ac:dyDescent="0.25">
      <c r="A78" s="20"/>
      <c r="B78" s="82" t="s">
        <v>259</v>
      </c>
      <c r="C78" s="43"/>
      <c r="D78" s="32"/>
      <c r="E78" s="116"/>
      <c r="F78" s="116"/>
      <c r="G78" s="116"/>
      <c r="H78" s="116"/>
      <c r="I78" s="44"/>
      <c r="J78" s="44"/>
      <c r="K78" s="44"/>
      <c r="L78" s="225">
        <f t="shared" ref="L78:M78" si="77">L75/AVERAGE(K217:L217)</f>
        <v>-7.2234762979683981E-2</v>
      </c>
      <c r="M78" s="225">
        <f t="shared" si="77"/>
        <v>-7.9120879120879117E-2</v>
      </c>
      <c r="N78" s="225">
        <f>N75/AVERAGE(M217:N217)</f>
        <v>-7.9268292682926816E-2</v>
      </c>
      <c r="O78" s="83">
        <v>-0.06</v>
      </c>
      <c r="P78" s="83">
        <v>-0.06</v>
      </c>
      <c r="Q78" s="83">
        <v>-0.06</v>
      </c>
      <c r="R78" s="83">
        <v>-0.06</v>
      </c>
      <c r="S78" s="83">
        <v>-0.06</v>
      </c>
      <c r="T78" s="83">
        <v>-0.06</v>
      </c>
      <c r="U78" s="83">
        <v>-0.06</v>
      </c>
      <c r="V78" s="83">
        <v>-0.06</v>
      </c>
      <c r="W78" s="83">
        <v>-0.06</v>
      </c>
      <c r="X78" s="83">
        <v>-0.06</v>
      </c>
      <c r="Y78" s="2"/>
      <c r="Z78" s="2"/>
      <c r="AA78" s="132">
        <v>0.13</v>
      </c>
      <c r="AB78" s="133">
        <v>-0.21</v>
      </c>
      <c r="AC78" s="132">
        <v>0.13</v>
      </c>
      <c r="AD78" s="133">
        <v>-0.21</v>
      </c>
      <c r="AE78" s="132">
        <v>0.13</v>
      </c>
      <c r="AF78" s="133">
        <v>-0.21</v>
      </c>
      <c r="AG78" s="2"/>
      <c r="AH78" s="2"/>
      <c r="AI78" s="2"/>
    </row>
    <row r="79" spans="1:35" x14ac:dyDescent="0.25">
      <c r="A79" s="307"/>
      <c r="B79" s="308"/>
      <c r="C79" s="27"/>
      <c r="D79" s="32"/>
      <c r="E79" s="29"/>
      <c r="F79" s="29"/>
      <c r="G79" s="29"/>
      <c r="H79" s="29"/>
      <c r="I79" s="29"/>
      <c r="J79" s="29"/>
      <c r="K79" s="29"/>
      <c r="L79" s="29"/>
      <c r="M79" s="29"/>
      <c r="N79" s="29"/>
      <c r="O79" s="29"/>
      <c r="P79" s="29"/>
      <c r="Q79" s="29"/>
      <c r="R79" s="29"/>
      <c r="S79" s="29"/>
      <c r="T79" s="29"/>
      <c r="U79" s="29"/>
      <c r="V79" s="29"/>
      <c r="W79" s="29"/>
      <c r="X79" s="29"/>
      <c r="Y79" s="2"/>
      <c r="Z79" s="2"/>
      <c r="AA79" s="106"/>
      <c r="AB79" s="107"/>
      <c r="AC79" s="106"/>
      <c r="AD79" s="107"/>
      <c r="AE79" s="106"/>
      <c r="AF79" s="107"/>
      <c r="AG79" s="2"/>
      <c r="AH79" s="2"/>
      <c r="AI79" s="2"/>
    </row>
    <row r="80" spans="1:35" x14ac:dyDescent="0.25">
      <c r="A80" s="20"/>
      <c r="B80" s="30" t="s">
        <v>146</v>
      </c>
      <c r="C80" s="55"/>
      <c r="D80" s="32"/>
      <c r="E80" s="29"/>
      <c r="F80" s="29"/>
      <c r="G80" s="29"/>
      <c r="H80" s="29"/>
      <c r="I80" s="29"/>
      <c r="J80" s="29"/>
      <c r="K80" s="29"/>
      <c r="L80" s="29"/>
      <c r="M80" s="29"/>
      <c r="N80" s="29"/>
      <c r="O80" s="29"/>
      <c r="P80" s="29"/>
      <c r="Q80" s="29"/>
      <c r="R80" s="29"/>
      <c r="S80" s="29"/>
      <c r="T80" s="29"/>
      <c r="U80" s="29"/>
      <c r="V80" s="29"/>
      <c r="W80" s="29"/>
      <c r="X80" s="29"/>
      <c r="Y80" s="2"/>
      <c r="Z80" s="2"/>
      <c r="AA80" s="106"/>
      <c r="AB80" s="107"/>
      <c r="AC80" s="106"/>
      <c r="AD80" s="107"/>
      <c r="AE80" s="106"/>
      <c r="AF80" s="107"/>
      <c r="AG80" s="2"/>
      <c r="AH80" s="2"/>
      <c r="AI80" s="2"/>
    </row>
    <row r="81" spans="1:35" x14ac:dyDescent="0.25">
      <c r="A81" s="20" t="s">
        <v>146</v>
      </c>
      <c r="B81" s="36" t="s">
        <v>146</v>
      </c>
      <c r="C81" s="37" t="s">
        <v>67</v>
      </c>
      <c r="D81" s="38"/>
      <c r="E81" s="39"/>
      <c r="F81" s="39">
        <f>F68+F76</f>
        <v>44.3</v>
      </c>
      <c r="G81" s="39">
        <f t="shared" ref="G81:M81" si="78">G68+G76</f>
        <v>47.699999999999996</v>
      </c>
      <c r="H81" s="39">
        <f t="shared" si="78"/>
        <v>46.5</v>
      </c>
      <c r="I81" s="39">
        <f t="shared" si="78"/>
        <v>53.599999999999994</v>
      </c>
      <c r="J81" s="39">
        <f t="shared" si="78"/>
        <v>70.8</v>
      </c>
      <c r="K81" s="39">
        <f t="shared" si="78"/>
        <v>81.800000000000011</v>
      </c>
      <c r="L81" s="39">
        <f t="shared" si="78"/>
        <v>55.4</v>
      </c>
      <c r="M81" s="39">
        <f t="shared" si="78"/>
        <v>43.899999999999991</v>
      </c>
      <c r="N81" s="238">
        <f>N68+N76</f>
        <v>48.6</v>
      </c>
      <c r="O81" s="235">
        <f t="shared" ref="O81:X81" si="79">O68+O76</f>
        <v>69.573248627057396</v>
      </c>
      <c r="P81" s="235">
        <f t="shared" si="79"/>
        <v>80.116339641268951</v>
      </c>
      <c r="Q81" s="235">
        <f t="shared" si="79"/>
        <v>90.585206642854502</v>
      </c>
      <c r="R81" s="235">
        <f t="shared" si="79"/>
        <v>102.16078560820172</v>
      </c>
      <c r="S81" s="235">
        <f t="shared" si="79"/>
        <v>114.13278589305907</v>
      </c>
      <c r="T81" s="235">
        <f t="shared" si="79"/>
        <v>127.09100577385436</v>
      </c>
      <c r="U81" s="235">
        <f t="shared" si="79"/>
        <v>141.67153250728279</v>
      </c>
      <c r="V81" s="235">
        <f t="shared" si="79"/>
        <v>158.07821539138018</v>
      </c>
      <c r="W81" s="235">
        <f t="shared" si="79"/>
        <v>176.54229648918553</v>
      </c>
      <c r="X81" s="235">
        <f t="shared" si="79"/>
        <v>197.32512237799679</v>
      </c>
      <c r="Y81" s="2"/>
      <c r="Z81" s="2"/>
      <c r="AA81" s="111">
        <v>-26.2</v>
      </c>
      <c r="AB81" s="115">
        <v>74.8</v>
      </c>
      <c r="AC81" s="111">
        <v>-9.4</v>
      </c>
      <c r="AD81" s="115">
        <v>78</v>
      </c>
      <c r="AE81" s="111">
        <v>3.7</v>
      </c>
      <c r="AF81" s="115" t="e">
        <v>#VALUE!</v>
      </c>
      <c r="AG81" s="2"/>
      <c r="AH81" s="2"/>
      <c r="AI81" s="2"/>
    </row>
    <row r="82" spans="1:35" x14ac:dyDescent="0.25">
      <c r="A82" s="307"/>
      <c r="B82" s="308"/>
      <c r="C82" s="27"/>
      <c r="D82" s="32"/>
      <c r="E82" s="35"/>
      <c r="F82" s="35"/>
      <c r="G82" s="35"/>
      <c r="H82" s="35"/>
      <c r="I82" s="35"/>
      <c r="J82" s="35"/>
      <c r="K82" s="35"/>
      <c r="L82" s="35"/>
      <c r="M82" s="35"/>
      <c r="N82" s="35"/>
      <c r="O82" s="35"/>
      <c r="P82" s="35"/>
      <c r="Q82" s="35"/>
      <c r="R82" s="35"/>
      <c r="S82" s="35"/>
      <c r="T82" s="35"/>
      <c r="U82" s="35"/>
      <c r="V82" s="35"/>
      <c r="W82" s="35"/>
      <c r="X82" s="35"/>
      <c r="Y82" s="2"/>
      <c r="Z82" s="2"/>
      <c r="AA82" s="108"/>
      <c r="AB82" s="109"/>
      <c r="AC82" s="108"/>
      <c r="AD82" s="109"/>
      <c r="AE82" s="108"/>
      <c r="AF82" s="109"/>
      <c r="AG82" s="2"/>
      <c r="AH82" s="2"/>
      <c r="AI82" s="2"/>
    </row>
    <row r="83" spans="1:35" x14ac:dyDescent="0.25">
      <c r="A83" s="20"/>
      <c r="B83" s="30" t="s">
        <v>148</v>
      </c>
      <c r="C83" s="55"/>
      <c r="D83" s="32"/>
      <c r="E83" s="29"/>
      <c r="F83" s="29"/>
      <c r="G83" s="29"/>
      <c r="H83" s="29"/>
      <c r="I83" s="29"/>
      <c r="J83" s="29"/>
      <c r="K83" s="29"/>
      <c r="L83" s="29"/>
      <c r="M83" s="29"/>
      <c r="N83" s="29"/>
      <c r="O83" s="29"/>
      <c r="P83" s="29"/>
      <c r="Q83" s="29"/>
      <c r="R83" s="29"/>
      <c r="S83" s="29"/>
      <c r="T83" s="29"/>
      <c r="U83" s="29"/>
      <c r="V83" s="29"/>
      <c r="W83" s="29"/>
      <c r="X83" s="29"/>
      <c r="Y83" s="2"/>
      <c r="Z83" s="2"/>
      <c r="AA83" s="106"/>
      <c r="AB83" s="107"/>
      <c r="AC83" s="106"/>
      <c r="AD83" s="107"/>
      <c r="AE83" s="106"/>
      <c r="AF83" s="107"/>
      <c r="AG83" s="2"/>
      <c r="AH83" s="2"/>
      <c r="AI83" s="2"/>
    </row>
    <row r="84" spans="1:35" x14ac:dyDescent="0.25">
      <c r="A84" s="20" t="s">
        <v>149</v>
      </c>
      <c r="B84" s="36" t="s">
        <v>149</v>
      </c>
      <c r="C84" s="37" t="s">
        <v>67</v>
      </c>
      <c r="D84" s="38" t="s">
        <v>94</v>
      </c>
      <c r="E84" s="51"/>
      <c r="F84" s="39">
        <f t="shared" ref="F84:M84" si="80">F88-F81</f>
        <v>-14.099999999999998</v>
      </c>
      <c r="G84" s="39">
        <f t="shared" si="80"/>
        <v>-14.399999999999999</v>
      </c>
      <c r="H84" s="39">
        <f t="shared" si="80"/>
        <v>-13.5</v>
      </c>
      <c r="I84" s="39">
        <f t="shared" si="80"/>
        <v>-15.499999999999993</v>
      </c>
      <c r="J84" s="39">
        <f t="shared" si="80"/>
        <v>-19.5</v>
      </c>
      <c r="K84" s="39">
        <f t="shared" si="80"/>
        <v>-42.100000000000009</v>
      </c>
      <c r="L84" s="39">
        <f t="shared" si="80"/>
        <v>-16.299999999999997</v>
      </c>
      <c r="M84" s="39">
        <f t="shared" si="80"/>
        <v>-13.399999999999991</v>
      </c>
      <c r="N84" s="39">
        <f>N88-N81</f>
        <v>-13.200000000000003</v>
      </c>
      <c r="O84" s="235">
        <f>INDEX(Segments!$A:$AJ,MATCH(Annual!$A84,Segments!$A:$A,0),MATCH("1H"&amp;RIGHT(Annual!O$1,2),Segments!$A$3:$AJ$3,0))+INDEX(Segments!$A:$AJ,MATCH(Annual!$A84,Segments!$A:$A,0),MATCH("2H"&amp;RIGHT(Annual!O$1,2),Segments!$A$3:$AJ$3,0))</f>
        <v>-20.943593423175251</v>
      </c>
      <c r="P84" s="235">
        <f>INDEX(Segments!$A:$AJ,MATCH(Annual!$A84,Segments!$A:$A,0),MATCH("1H"&amp;RIGHT(Annual!P$1,2),Segments!$A$3:$AJ$3,0))+INDEX(Segments!$A:$AJ,MATCH(Annual!$A84,Segments!$A:$A,0),MATCH("2H"&amp;RIGHT(Annual!P$1,2),Segments!$A$3:$AJ$3,0))</f>
        <v>-24.115700381105974</v>
      </c>
      <c r="Q84" s="235">
        <f>INDEX(Segments!$A:$AJ,MATCH(Annual!$A84,Segments!$A:$A,0),MATCH("1H"&amp;RIGHT(Annual!Q$1,2),Segments!$A$3:$AJ$3,0))+INDEX(Segments!$A:$AJ,MATCH(Annual!$A84,Segments!$A:$A,0),MATCH("2H"&amp;RIGHT(Annual!Q$1,2),Segments!$A$3:$AJ$3,0))</f>
        <v>-27.264959462159045</v>
      </c>
      <c r="R84" s="235">
        <f>INDEX(Segments!$A:$AJ,MATCH(Annual!$A84,Segments!$A:$A,0),MATCH("1H"&amp;RIGHT(Annual!R$1,2),Segments!$A$3:$AJ$3,0))+INDEX(Segments!$A:$AJ,MATCH(Annual!$A84,Segments!$A:$A,0),MATCH("2H"&amp;RIGHT(Annual!R$1,2),Segments!$A$3:$AJ$3,0))</f>
        <v>-30.746999470074492</v>
      </c>
      <c r="S84" s="235">
        <f>INDEX(Segments!$A:$AJ,MATCH(Annual!$A84,Segments!$A:$A,0),MATCH("1H"&amp;RIGHT(Annual!S$1,2),Segments!$A$3:$AJ$3,0))+INDEX(Segments!$A:$AJ,MATCH(Annual!$A84,Segments!$A:$A,0),MATCH("2H"&amp;RIGHT(Annual!S$1,2),Segments!$A$3:$AJ$3,0))</f>
        <v>-34.349071432466722</v>
      </c>
      <c r="T84" s="235">
        <f>INDEX(Segments!$A:$AJ,MATCH(Annual!$A84,Segments!$A:$A,0),MATCH("1H"&amp;RIGHT(Annual!T$1,2),Segments!$A$3:$AJ$3,0))+INDEX(Segments!$A:$AJ,MATCH(Annual!$A84,Segments!$A:$A,0),MATCH("2H"&amp;RIGHT(Annual!T$1,2),Segments!$A$3:$AJ$3,0))</f>
        <v>-38.247600958789448</v>
      </c>
      <c r="U84" s="235">
        <f>INDEX(Segments!$A:$AJ,MATCH(Annual!$A84,Segments!$A:$A,0),MATCH("1H"&amp;RIGHT(Annual!U$1,2),Segments!$A$3:$AJ$3,0))+INDEX(Segments!$A:$AJ,MATCH(Annual!$A84,Segments!$A:$A,0),MATCH("2H"&amp;RIGHT(Annual!U$1,2),Segments!$A$3:$AJ$3,0))</f>
        <v>-42.634000961152687</v>
      </c>
      <c r="V84" s="235">
        <f>INDEX(Segments!$A:$AJ,MATCH(Annual!$A84,Segments!$A:$A,0),MATCH("1H"&amp;RIGHT(Annual!V$1,2),Segments!$A$3:$AJ$3,0))+INDEX(Segments!$A:$AJ,MATCH(Annual!$A84,Segments!$A:$A,0),MATCH("2H"&amp;RIGHT(Annual!V$1,2),Segments!$A$3:$AJ$3,0))</f>
        <v>-47.569560093929844</v>
      </c>
      <c r="W84" s="235">
        <f>INDEX(Segments!$A:$AJ,MATCH(Annual!$A84,Segments!$A:$A,0),MATCH("1H"&amp;RIGHT(Annual!W$1,2),Segments!$A$3:$AJ$3,0))+INDEX(Segments!$A:$AJ,MATCH(Annual!$A84,Segments!$A:$A,0),MATCH("2H"&amp;RIGHT(Annual!W$1,2),Segments!$A$3:$AJ$3,0))</f>
        <v>-53.123800668480094</v>
      </c>
      <c r="X84" s="235">
        <f>INDEX(Segments!$A:$AJ,MATCH(Annual!$A84,Segments!$A:$A,0),MATCH("1H"&amp;RIGHT(Annual!X$1,2),Segments!$A$3:$AJ$3,0))+INDEX(Segments!$A:$AJ,MATCH(Annual!$A84,Segments!$A:$A,0),MATCH("2H"&amp;RIGHT(Annual!X$1,2),Segments!$A$3:$AJ$3,0))</f>
        <v>-59.37529409906211</v>
      </c>
      <c r="Y84" s="2"/>
      <c r="Z84" s="2"/>
      <c r="AA84" s="111">
        <v>5</v>
      </c>
      <c r="AB84" s="115">
        <v>-18.2</v>
      </c>
      <c r="AC84" s="111">
        <v>1.9</v>
      </c>
      <c r="AD84" s="115">
        <v>-22.5</v>
      </c>
      <c r="AE84" s="111">
        <v>-0.7</v>
      </c>
      <c r="AF84" s="115" t="e">
        <v>#VALUE!</v>
      </c>
      <c r="AG84" s="2"/>
      <c r="AH84" s="2"/>
      <c r="AI84" s="2"/>
    </row>
    <row r="85" spans="1:35" x14ac:dyDescent="0.25">
      <c r="A85" s="20" t="s">
        <v>150</v>
      </c>
      <c r="B85" s="33" t="s">
        <v>150</v>
      </c>
      <c r="C85" s="27" t="s">
        <v>117</v>
      </c>
      <c r="D85" s="32"/>
      <c r="E85" s="29"/>
      <c r="F85" s="226">
        <f t="shared" ref="F85" si="81">-F84/F81</f>
        <v>0.31828442437923249</v>
      </c>
      <c r="G85" s="226">
        <f t="shared" ref="G85" si="82">-G84/G81</f>
        <v>0.30188679245283018</v>
      </c>
      <c r="H85" s="226">
        <f t="shared" ref="H85" si="83">-H84/H81</f>
        <v>0.29032258064516131</v>
      </c>
      <c r="I85" s="226">
        <f t="shared" ref="I85:M85" si="84">-I84/I81</f>
        <v>0.28917910447761186</v>
      </c>
      <c r="J85" s="226">
        <f t="shared" si="84"/>
        <v>0.27542372881355931</v>
      </c>
      <c r="K85" s="226">
        <f t="shared" si="84"/>
        <v>0.51466992665036682</v>
      </c>
      <c r="L85" s="226">
        <f t="shared" si="84"/>
        <v>0.29422382671480141</v>
      </c>
      <c r="M85" s="226">
        <f t="shared" si="84"/>
        <v>0.30523917995444177</v>
      </c>
      <c r="N85" s="226">
        <f>-N84/N81</f>
        <v>0.27160493827160498</v>
      </c>
      <c r="O85" s="226">
        <f t="shared" ref="O85:X85" si="85">-O84/O81</f>
        <v>0.30102940191052369</v>
      </c>
      <c r="P85" s="226">
        <f t="shared" si="85"/>
        <v>0.30100851448140387</v>
      </c>
      <c r="Q85" s="226">
        <f t="shared" si="85"/>
        <v>0.3009868881754077</v>
      </c>
      <c r="R85" s="226">
        <f t="shared" si="85"/>
        <v>0.30096674851339483</v>
      </c>
      <c r="S85" s="226">
        <f t="shared" si="85"/>
        <v>0.30095709277307359</v>
      </c>
      <c r="T85" s="226">
        <f t="shared" si="85"/>
        <v>0.30094655971837375</v>
      </c>
      <c r="U85" s="226">
        <f t="shared" si="85"/>
        <v>0.30093555287094137</v>
      </c>
      <c r="V85" s="226">
        <f t="shared" si="85"/>
        <v>0.30092419740540516</v>
      </c>
      <c r="W85" s="226">
        <f t="shared" si="85"/>
        <v>0.30091259559283179</v>
      </c>
      <c r="X85" s="226">
        <f t="shared" si="85"/>
        <v>0.30090083504584153</v>
      </c>
      <c r="Y85" s="2"/>
      <c r="Z85" s="2"/>
      <c r="AA85" s="128">
        <v>0.19</v>
      </c>
      <c r="AB85" s="129">
        <v>8.2000000000000003E-2</v>
      </c>
      <c r="AC85" s="128">
        <v>0.2</v>
      </c>
      <c r="AD85" s="129">
        <v>0.1</v>
      </c>
      <c r="AE85" s="128">
        <v>0.2</v>
      </c>
      <c r="AF85" s="107" t="e">
        <v>#VALUE!</v>
      </c>
      <c r="AG85" s="2"/>
      <c r="AH85" s="2"/>
      <c r="AI85" s="2"/>
    </row>
    <row r="86" spans="1:35" x14ac:dyDescent="0.25">
      <c r="A86" s="307"/>
      <c r="B86" s="308"/>
      <c r="C86" s="27"/>
      <c r="D86" s="32"/>
      <c r="E86" s="34"/>
      <c r="F86" s="34"/>
      <c r="G86" s="34"/>
      <c r="H86" s="34"/>
      <c r="I86" s="34"/>
      <c r="J86" s="34"/>
      <c r="K86" s="34"/>
      <c r="L86" s="34"/>
      <c r="M86" s="34"/>
      <c r="N86" s="34"/>
      <c r="O86" s="34"/>
      <c r="P86" s="34"/>
      <c r="Q86" s="34"/>
      <c r="R86" s="34"/>
      <c r="S86" s="34"/>
      <c r="T86" s="34"/>
      <c r="U86" s="34"/>
      <c r="V86" s="34"/>
      <c r="W86" s="34"/>
      <c r="X86" s="34"/>
      <c r="Y86" s="2"/>
      <c r="Z86" s="2"/>
      <c r="AA86" s="134"/>
      <c r="AB86" s="135"/>
      <c r="AC86" s="134"/>
      <c r="AD86" s="135"/>
      <c r="AE86" s="134"/>
      <c r="AF86" s="135"/>
      <c r="AG86" s="2"/>
      <c r="AH86" s="2"/>
      <c r="AI86" s="2"/>
    </row>
    <row r="87" spans="1:35" x14ac:dyDescent="0.25">
      <c r="A87" s="20"/>
      <c r="B87" s="30" t="s">
        <v>151</v>
      </c>
      <c r="C87" s="27"/>
      <c r="D87" s="32"/>
      <c r="E87" s="34"/>
      <c r="F87" s="34"/>
      <c r="G87" s="34"/>
      <c r="H87" s="34"/>
      <c r="I87" s="34"/>
      <c r="J87" s="34"/>
      <c r="K87" s="34"/>
      <c r="L87" s="34"/>
      <c r="M87" s="34"/>
      <c r="N87" s="287">
        <f>(N88/D88)^0.1-1</f>
        <v>8.7504801533456966E-2</v>
      </c>
      <c r="O87" s="34"/>
      <c r="P87" s="34"/>
      <c r="Q87" s="34"/>
      <c r="R87" s="34"/>
      <c r="S87" s="34"/>
      <c r="T87" s="34"/>
      <c r="U87" s="34"/>
      <c r="V87" s="34"/>
      <c r="W87" s="34"/>
      <c r="X87" s="34"/>
      <c r="Y87" s="2">
        <v>273.7</v>
      </c>
      <c r="Z87" s="2"/>
      <c r="AA87" s="134"/>
      <c r="AB87" s="135"/>
      <c r="AC87" s="134"/>
      <c r="AD87" s="135"/>
      <c r="AE87" s="134"/>
      <c r="AF87" s="135"/>
      <c r="AG87" s="2"/>
      <c r="AH87" s="2"/>
      <c r="AI87" s="2"/>
    </row>
    <row r="88" spans="1:35" x14ac:dyDescent="0.25">
      <c r="A88" s="20" t="s">
        <v>152</v>
      </c>
      <c r="B88" s="36" t="s">
        <v>152</v>
      </c>
      <c r="C88" s="37" t="s">
        <v>67</v>
      </c>
      <c r="D88" s="38">
        <v>15.3</v>
      </c>
      <c r="E88" s="51">
        <v>22.6</v>
      </c>
      <c r="F88" s="51">
        <v>30.2</v>
      </c>
      <c r="G88" s="51">
        <v>33.299999999999997</v>
      </c>
      <c r="H88" s="51">
        <v>33</v>
      </c>
      <c r="I88" s="51">
        <v>38.1</v>
      </c>
      <c r="J88" s="51">
        <v>51.3</v>
      </c>
      <c r="K88" s="51">
        <v>39.700000000000003</v>
      </c>
      <c r="L88" s="51">
        <v>39.1</v>
      </c>
      <c r="M88" s="51">
        <v>30.5</v>
      </c>
      <c r="N88" s="51">
        <v>35.4</v>
      </c>
      <c r="O88" s="238">
        <f>INDEX(Segments!$A:$AJ,MATCH(Annual!$A88,Segments!$A:$A,0),MATCH("1H"&amp;RIGHT(Annual!O$1,2),Segments!$A$3:$AJ$3,0))+INDEX(Segments!$A:$AJ,MATCH(Annual!$A88,Segments!$A:$A,0),MATCH("2H"&amp;RIGHT(Annual!O$1,2),Segments!$A$3:$AJ$3,0))</f>
        <v>48.868384654075598</v>
      </c>
      <c r="P88" s="238">
        <f>INDEX(Segments!$A:$AJ,MATCH(Annual!$A88,Segments!$A:$A,0),MATCH("1H"&amp;RIGHT(Annual!P$1,2),Segments!$A$3:$AJ$3,0))+INDEX(Segments!$A:$AJ,MATCH(Annual!$A88,Segments!$A:$A,0),MATCH("2H"&amp;RIGHT(Annual!P$1,2),Segments!$A$3:$AJ$3,0))</f>
        <v>56.269967555913944</v>
      </c>
      <c r="Q88" s="238">
        <f>INDEX(Segments!$A:$AJ,MATCH(Annual!$A88,Segments!$A:$A,0),MATCH("1H"&amp;RIGHT(Annual!Q$1,2),Segments!$A$3:$AJ$3,0))+INDEX(Segments!$A:$AJ,MATCH(Annual!$A88,Segments!$A:$A,0),MATCH("2H"&amp;RIGHT(Annual!Q$1,2),Segments!$A$3:$AJ$3,0))</f>
        <v>63.618238745037772</v>
      </c>
      <c r="R88" s="238">
        <f>INDEX(Segments!$A:$AJ,MATCH(Annual!$A88,Segments!$A:$A,0),MATCH("1H"&amp;RIGHT(Annual!R$1,2),Segments!$A$3:$AJ$3,0))+INDEX(Segments!$A:$AJ,MATCH(Annual!$A88,Segments!$A:$A,0),MATCH("2H"&amp;RIGHT(Annual!R$1,2),Segments!$A$3:$AJ$3,0))</f>
        <v>71.74299876350716</v>
      </c>
      <c r="S88" s="238">
        <f>INDEX(Segments!$A:$AJ,MATCH(Annual!$A88,Segments!$A:$A,0),MATCH("1H"&amp;RIGHT(Annual!S$1,2),Segments!$A$3:$AJ$3,0))+INDEX(Segments!$A:$AJ,MATCH(Annual!$A88,Segments!$A:$A,0),MATCH("2H"&amp;RIGHT(Annual!S$1,2),Segments!$A$3:$AJ$3,0))</f>
        <v>80.147833342422359</v>
      </c>
      <c r="T88" s="238">
        <f>INDEX(Segments!$A:$AJ,MATCH(Annual!$A88,Segments!$A:$A,0),MATCH("1H"&amp;RIGHT(Annual!T$1,2),Segments!$A$3:$AJ$3,0))+INDEX(Segments!$A:$AJ,MATCH(Annual!$A88,Segments!$A:$A,0),MATCH("2H"&amp;RIGHT(Annual!T$1,2),Segments!$A$3:$AJ$3,0))</f>
        <v>89.244402237175379</v>
      </c>
      <c r="U88" s="238">
        <f>INDEX(Segments!$A:$AJ,MATCH(Annual!$A88,Segments!$A:$A,0),MATCH("1H"&amp;RIGHT(Annual!U$1,2),Segments!$A$3:$AJ$3,0))+INDEX(Segments!$A:$AJ,MATCH(Annual!$A88,Segments!$A:$A,0),MATCH("2H"&amp;RIGHT(Annual!U$1,2),Segments!$A$3:$AJ$3,0))</f>
        <v>99.479335576022947</v>
      </c>
      <c r="V88" s="238">
        <f>INDEX(Segments!$A:$AJ,MATCH(Annual!$A88,Segments!$A:$A,0),MATCH("1H"&amp;RIGHT(Annual!V$1,2),Segments!$A$3:$AJ$3,0))+INDEX(Segments!$A:$AJ,MATCH(Annual!$A88,Segments!$A:$A,0),MATCH("2H"&amp;RIGHT(Annual!V$1,2),Segments!$A$3:$AJ$3,0))</f>
        <v>110.99564021916964</v>
      </c>
      <c r="W88" s="238">
        <f>INDEX(Segments!$A:$AJ,MATCH(Annual!$A88,Segments!$A:$A,0),MATCH("1H"&amp;RIGHT(Annual!W$1,2),Segments!$A$3:$AJ$3,0))+INDEX(Segments!$A:$AJ,MATCH(Annual!$A88,Segments!$A:$A,0),MATCH("2H"&amp;RIGHT(Annual!W$1,2),Segments!$A$3:$AJ$3,0))</f>
        <v>123.95553489312022</v>
      </c>
      <c r="X88" s="238">
        <f>INDEX(Segments!$A:$AJ,MATCH(Annual!$A88,Segments!$A:$A,0),MATCH("1H"&amp;RIGHT(Annual!X$1,2),Segments!$A$3:$AJ$3,0))+INDEX(Segments!$A:$AJ,MATCH(Annual!$A88,Segments!$A:$A,0),MATCH("2H"&amp;RIGHT(Annual!X$1,2),Segments!$A$3:$AJ$3,0))</f>
        <v>138.54235289781161</v>
      </c>
      <c r="Y88" s="2"/>
      <c r="Z88" s="2"/>
      <c r="AA88" s="111">
        <v>-21.7</v>
      </c>
      <c r="AB88" s="115">
        <v>57.1</v>
      </c>
      <c r="AC88" s="111">
        <v>-7.5</v>
      </c>
      <c r="AD88" s="115">
        <v>55.5</v>
      </c>
      <c r="AE88" s="111">
        <v>2.9</v>
      </c>
      <c r="AF88" s="115" t="e">
        <v>#VALUE!</v>
      </c>
      <c r="AG88" s="2"/>
      <c r="AH88" s="2"/>
      <c r="AI88" s="2"/>
    </row>
    <row r="89" spans="1:35" x14ac:dyDescent="0.25">
      <c r="A89" s="20" t="s">
        <v>153</v>
      </c>
      <c r="B89" s="33" t="s">
        <v>153</v>
      </c>
      <c r="C89" s="27"/>
      <c r="D89" s="32"/>
      <c r="E89" s="34"/>
      <c r="F89" s="34">
        <v>-0.1</v>
      </c>
      <c r="G89" s="34">
        <v>0</v>
      </c>
      <c r="H89" s="34">
        <v>0</v>
      </c>
      <c r="I89" s="34">
        <v>0</v>
      </c>
      <c r="J89" s="34">
        <v>0</v>
      </c>
      <c r="K89" s="34">
        <v>-0.9</v>
      </c>
      <c r="L89" s="34">
        <v>-1.8</v>
      </c>
      <c r="M89" s="34">
        <v>-1.5</v>
      </c>
      <c r="N89" s="34">
        <v>-0.4</v>
      </c>
      <c r="O89" s="35"/>
      <c r="P89" s="35"/>
      <c r="Q89" s="35"/>
      <c r="R89" s="35"/>
      <c r="S89" s="35"/>
      <c r="T89" s="35"/>
      <c r="U89" s="35"/>
      <c r="V89" s="35"/>
      <c r="W89" s="35"/>
      <c r="X89" s="35"/>
      <c r="Y89" s="2"/>
      <c r="Z89" s="2"/>
      <c r="AA89" s="108"/>
      <c r="AB89" s="109"/>
      <c r="AC89" s="108"/>
      <c r="AD89" s="109"/>
      <c r="AE89" s="108"/>
      <c r="AF89" s="109"/>
      <c r="AG89" s="2"/>
      <c r="AH89" s="2"/>
      <c r="AI89" s="2"/>
    </row>
    <row r="90" spans="1:35" x14ac:dyDescent="0.25">
      <c r="A90" s="20" t="s">
        <v>154</v>
      </c>
      <c r="B90" s="36" t="s">
        <v>154</v>
      </c>
      <c r="C90" s="37" t="s">
        <v>67</v>
      </c>
      <c r="D90" s="38"/>
      <c r="E90" s="51"/>
      <c r="F90" s="238">
        <f t="shared" ref="F90:M90" si="86">F88+F89</f>
        <v>30.099999999999998</v>
      </c>
      <c r="G90" s="238">
        <f t="shared" si="86"/>
        <v>33.299999999999997</v>
      </c>
      <c r="H90" s="238">
        <f t="shared" si="86"/>
        <v>33</v>
      </c>
      <c r="I90" s="238">
        <f t="shared" si="86"/>
        <v>38.1</v>
      </c>
      <c r="J90" s="238">
        <f t="shared" si="86"/>
        <v>51.3</v>
      </c>
      <c r="K90" s="238">
        <f t="shared" si="86"/>
        <v>38.800000000000004</v>
      </c>
      <c r="L90" s="238">
        <f t="shared" si="86"/>
        <v>37.300000000000004</v>
      </c>
      <c r="M90" s="238">
        <f t="shared" si="86"/>
        <v>29</v>
      </c>
      <c r="N90" s="238">
        <f>N88+N89</f>
        <v>35</v>
      </c>
      <c r="O90" s="238">
        <f>INDEX(Segments!$A:$AJ,MATCH(Annual!$A90,Segments!$A:$A,0),MATCH("1H"&amp;RIGHT(Annual!O$1,2),Segments!$A$3:$AJ$3,0))+INDEX(Segments!$A:$AJ,MATCH(Annual!$A90,Segments!$A:$A,0),MATCH("2H"&amp;RIGHT(Annual!O$1,2),Segments!$A$3:$AJ$3,0))</f>
        <v>48.868384654075598</v>
      </c>
      <c r="P90" s="238">
        <f>INDEX(Segments!$A:$AJ,MATCH(Annual!$A90,Segments!$A:$A,0),MATCH("1H"&amp;RIGHT(Annual!P$1,2),Segments!$A$3:$AJ$3,0))+INDEX(Segments!$A:$AJ,MATCH(Annual!$A90,Segments!$A:$A,0),MATCH("2H"&amp;RIGHT(Annual!P$1,2),Segments!$A$3:$AJ$3,0))</f>
        <v>56.269967555913944</v>
      </c>
      <c r="Q90" s="238">
        <f>INDEX(Segments!$A:$AJ,MATCH(Annual!$A90,Segments!$A:$A,0),MATCH("1H"&amp;RIGHT(Annual!Q$1,2),Segments!$A$3:$AJ$3,0))+INDEX(Segments!$A:$AJ,MATCH(Annual!$A90,Segments!$A:$A,0),MATCH("2H"&amp;RIGHT(Annual!Q$1,2),Segments!$A$3:$AJ$3,0))</f>
        <v>63.618238745037772</v>
      </c>
      <c r="R90" s="238">
        <f>INDEX(Segments!$A:$AJ,MATCH(Annual!$A90,Segments!$A:$A,0),MATCH("1H"&amp;RIGHT(Annual!R$1,2),Segments!$A$3:$AJ$3,0))+INDEX(Segments!$A:$AJ,MATCH(Annual!$A90,Segments!$A:$A,0),MATCH("2H"&amp;RIGHT(Annual!R$1,2),Segments!$A$3:$AJ$3,0))</f>
        <v>71.74299876350716</v>
      </c>
      <c r="S90" s="238">
        <f>INDEX(Segments!$A:$AJ,MATCH(Annual!$A90,Segments!$A:$A,0),MATCH("1H"&amp;RIGHT(Annual!S$1,2),Segments!$A$3:$AJ$3,0))+INDEX(Segments!$A:$AJ,MATCH(Annual!$A90,Segments!$A:$A,0),MATCH("2H"&amp;RIGHT(Annual!S$1,2),Segments!$A$3:$AJ$3,0))</f>
        <v>80.147833342422359</v>
      </c>
      <c r="T90" s="238">
        <f>INDEX(Segments!$A:$AJ,MATCH(Annual!$A90,Segments!$A:$A,0),MATCH("1H"&amp;RIGHT(Annual!T$1,2),Segments!$A$3:$AJ$3,0))+INDEX(Segments!$A:$AJ,MATCH(Annual!$A90,Segments!$A:$A,0),MATCH("2H"&amp;RIGHT(Annual!T$1,2),Segments!$A$3:$AJ$3,0))</f>
        <v>89.244402237175379</v>
      </c>
      <c r="U90" s="238">
        <f>INDEX(Segments!$A:$AJ,MATCH(Annual!$A90,Segments!$A:$A,0),MATCH("1H"&amp;RIGHT(Annual!U$1,2),Segments!$A$3:$AJ$3,0))+INDEX(Segments!$A:$AJ,MATCH(Annual!$A90,Segments!$A:$A,0),MATCH("2H"&amp;RIGHT(Annual!U$1,2),Segments!$A$3:$AJ$3,0))</f>
        <v>99.479335576022947</v>
      </c>
      <c r="V90" s="238">
        <f>INDEX(Segments!$A:$AJ,MATCH(Annual!$A90,Segments!$A:$A,0),MATCH("1H"&amp;RIGHT(Annual!V$1,2),Segments!$A$3:$AJ$3,0))+INDEX(Segments!$A:$AJ,MATCH(Annual!$A90,Segments!$A:$A,0),MATCH("2H"&amp;RIGHT(Annual!V$1,2),Segments!$A$3:$AJ$3,0))</f>
        <v>110.99564021916964</v>
      </c>
      <c r="W90" s="238">
        <f>INDEX(Segments!$A:$AJ,MATCH(Annual!$A90,Segments!$A:$A,0),MATCH("1H"&amp;RIGHT(Annual!W$1,2),Segments!$A$3:$AJ$3,0))+INDEX(Segments!$A:$AJ,MATCH(Annual!$A90,Segments!$A:$A,0),MATCH("2H"&amp;RIGHT(Annual!W$1,2),Segments!$A$3:$AJ$3,0))</f>
        <v>123.95553489312022</v>
      </c>
      <c r="X90" s="238">
        <f>INDEX(Segments!$A:$AJ,MATCH(Annual!$A90,Segments!$A:$A,0),MATCH("1H"&amp;RIGHT(Annual!X$1,2),Segments!$A$3:$AJ$3,0))+INDEX(Segments!$A:$AJ,MATCH(Annual!$A90,Segments!$A:$A,0),MATCH("2H"&amp;RIGHT(Annual!X$1,2),Segments!$A$3:$AJ$3,0))</f>
        <v>138.54235289781161</v>
      </c>
      <c r="Y90" s="2"/>
      <c r="Z90" s="2"/>
      <c r="AA90" s="111">
        <v>-21.7</v>
      </c>
      <c r="AB90" s="115">
        <v>56.7</v>
      </c>
      <c r="AC90" s="111">
        <v>-7.5</v>
      </c>
      <c r="AD90" s="115">
        <v>55.5</v>
      </c>
      <c r="AE90" s="111">
        <v>2.9</v>
      </c>
      <c r="AF90" s="115" t="e">
        <v>#VALUE!</v>
      </c>
      <c r="AG90" s="2"/>
      <c r="AH90" s="2"/>
      <c r="AI90" s="2"/>
    </row>
    <row r="91" spans="1:35" x14ac:dyDescent="0.25">
      <c r="A91" s="20" t="s">
        <v>155</v>
      </c>
      <c r="B91" s="33" t="s">
        <v>155</v>
      </c>
      <c r="C91" s="27"/>
      <c r="D91" s="32"/>
      <c r="E91" s="35"/>
      <c r="F91" s="35"/>
      <c r="G91" s="35"/>
      <c r="H91" s="35"/>
      <c r="I91" s="34"/>
      <c r="J91" s="34"/>
      <c r="K91" s="34"/>
      <c r="L91" s="34"/>
      <c r="M91" s="34">
        <v>2.4</v>
      </c>
      <c r="N91" s="34">
        <v>2.4</v>
      </c>
      <c r="O91" s="228">
        <f>INDEX(Segments!$A:$AJ,MATCH(Annual!$A91,Segments!$A:$A,0),MATCH("1H"&amp;RIGHT(Annual!O$1,2),Segments!$A$3:$AJ$3,0))+INDEX(Segments!$A:$AJ,MATCH(Annual!$A91,Segments!$A:$A,0),MATCH("2H"&amp;RIGHT(Annual!O$1,2),Segments!$A$3:$AJ$3,0))</f>
        <v>3.3246543861830995</v>
      </c>
      <c r="P91" s="228">
        <f>INDEX(Segments!$A:$AJ,MATCH(Annual!$A91,Segments!$A:$A,0),MATCH("1H"&amp;RIGHT(Annual!P$1,2),Segments!$A$3:$AJ$3,0))+INDEX(Segments!$A:$AJ,MATCH(Annual!$A91,Segments!$A:$A,0),MATCH("2H"&amp;RIGHT(Annual!P$1,2),Segments!$A$3:$AJ$3,0))</f>
        <v>3.7489975073045239</v>
      </c>
      <c r="Q91" s="228">
        <f>INDEX(Segments!$A:$AJ,MATCH(Annual!$A91,Segments!$A:$A,0),MATCH("1H"&amp;RIGHT(Annual!Q$1,2),Segments!$A$3:$AJ$3,0))+INDEX(Segments!$A:$AJ,MATCH(Annual!$A91,Segments!$A:$A,0),MATCH("2H"&amp;RIGHT(Annual!Q$1,2),Segments!$A$3:$AJ$3,0))</f>
        <v>4.1484322130777089</v>
      </c>
      <c r="R91" s="228">
        <f>INDEX(Segments!$A:$AJ,MATCH(Annual!$A91,Segments!$A:$A,0),MATCH("1H"&amp;RIGHT(Annual!R$1,2),Segments!$A$3:$AJ$3,0))+INDEX(Segments!$A:$AJ,MATCH(Annual!$A91,Segments!$A:$A,0),MATCH("2H"&amp;RIGHT(Annual!R$1,2),Segments!$A$3:$AJ$3,0))</f>
        <v>4.583504904933954</v>
      </c>
      <c r="S91" s="228">
        <f>INDEX(Segments!$A:$AJ,MATCH(Annual!$A91,Segments!$A:$A,0),MATCH("1H"&amp;RIGHT(Annual!S$1,2),Segments!$A$3:$AJ$3,0))+INDEX(Segments!$A:$AJ,MATCH(Annual!$A91,Segments!$A:$A,0),MATCH("2H"&amp;RIGHT(Annual!S$1,2),Segments!$A$3:$AJ$3,0))</f>
        <v>5.069924483822172</v>
      </c>
      <c r="T91" s="228">
        <f>INDEX(Segments!$A:$AJ,MATCH(Annual!$A91,Segments!$A:$A,0),MATCH("1H"&amp;RIGHT(Annual!T$1,2),Segments!$A$3:$AJ$3,0))+INDEX(Segments!$A:$AJ,MATCH(Annual!$A91,Segments!$A:$A,0),MATCH("2H"&amp;RIGHT(Annual!T$1,2),Segments!$A$3:$AJ$3,0))</f>
        <v>5.5838433730983787</v>
      </c>
      <c r="U91" s="228">
        <f>INDEX(Segments!$A:$AJ,MATCH(Annual!$A91,Segments!$A:$A,0),MATCH("1H"&amp;RIGHT(Annual!U$1,2),Segments!$A$3:$AJ$3,0))+INDEX(Segments!$A:$AJ,MATCH(Annual!$A91,Segments!$A:$A,0),MATCH("2H"&amp;RIGHT(Annual!U$1,2),Segments!$A$3:$AJ$3,0))</f>
        <v>6.1525193444251123</v>
      </c>
      <c r="V91" s="228">
        <f>INDEX(Segments!$A:$AJ,MATCH(Annual!$A91,Segments!$A:$A,0),MATCH("1H"&amp;RIGHT(Annual!V$1,2),Segments!$A$3:$AJ$3,0))+INDEX(Segments!$A:$AJ,MATCH(Annual!$A91,Segments!$A:$A,0),MATCH("2H"&amp;RIGHT(Annual!V$1,2),Segments!$A$3:$AJ$3,0))</f>
        <v>6.7821742671504985</v>
      </c>
      <c r="W91" s="228">
        <f>INDEX(Segments!$A:$AJ,MATCH(Annual!$A91,Segments!$A:$A,0),MATCH("1H"&amp;RIGHT(Annual!W$1,2),Segments!$A$3:$AJ$3,0))+INDEX(Segments!$A:$AJ,MATCH(Annual!$A91,Segments!$A:$A,0),MATCH("2H"&amp;RIGHT(Annual!W$1,2),Segments!$A$3:$AJ$3,0))</f>
        <v>7.4797657298849307</v>
      </c>
      <c r="X91" s="228">
        <f>INDEX(Segments!$A:$AJ,MATCH(Annual!$A91,Segments!$A:$A,0),MATCH("1H"&amp;RIGHT(Annual!X$1,2),Segments!$A$3:$AJ$3,0))+INDEX(Segments!$A:$AJ,MATCH(Annual!$A91,Segments!$A:$A,0),MATCH("2H"&amp;RIGHT(Annual!X$1,2),Segments!$A$3:$AJ$3,0))</f>
        <v>8.253076346852362</v>
      </c>
      <c r="Y91" s="2"/>
      <c r="Z91" s="2"/>
      <c r="AA91" s="108">
        <v>0</v>
      </c>
      <c r="AB91" s="109">
        <v>2.4</v>
      </c>
      <c r="AC91" s="108">
        <v>0</v>
      </c>
      <c r="AD91" s="109">
        <v>3</v>
      </c>
      <c r="AE91" s="108">
        <v>0</v>
      </c>
      <c r="AF91" s="109">
        <v>3.4</v>
      </c>
      <c r="AG91" s="2"/>
      <c r="AH91" s="2"/>
      <c r="AI91" s="2"/>
    </row>
    <row r="92" spans="1:35" x14ac:dyDescent="0.25">
      <c r="A92" s="20" t="s">
        <v>156</v>
      </c>
      <c r="B92" s="33" t="s">
        <v>156</v>
      </c>
      <c r="C92" s="27"/>
      <c r="D92" s="32"/>
      <c r="E92" s="35"/>
      <c r="F92" s="239">
        <f t="shared" ref="F92:M92" si="87">F93-F90-F91</f>
        <v>-4.9999999999999964</v>
      </c>
      <c r="G92" s="239">
        <f t="shared" si="87"/>
        <v>-5.1999999999999957</v>
      </c>
      <c r="H92" s="239">
        <f t="shared" si="87"/>
        <v>-4.3999999999999986</v>
      </c>
      <c r="I92" s="239">
        <f t="shared" si="87"/>
        <v>-1.8000000000000043</v>
      </c>
      <c r="J92" s="239">
        <f t="shared" si="87"/>
        <v>-1.6999999999999957</v>
      </c>
      <c r="K92" s="239">
        <f t="shared" si="87"/>
        <v>16.999999999999993</v>
      </c>
      <c r="L92" s="239">
        <f t="shared" si="87"/>
        <v>10.999999999999993</v>
      </c>
      <c r="M92" s="239">
        <f t="shared" si="87"/>
        <v>4.7000000000000011</v>
      </c>
      <c r="N92" s="239">
        <f>N93-N90-N91</f>
        <v>3.3999999999999972</v>
      </c>
      <c r="O92" s="228">
        <f>INDEX(Segments!$A:$AJ,MATCH(Annual!$A92,Segments!$A:$A,0),MATCH("1H"&amp;RIGHT(Annual!O$1,2),Segments!$A$3:$AJ$3,0))+INDEX(Segments!$A:$AJ,MATCH(Annual!$A92,Segments!$A:$A,0),MATCH("2H"&amp;RIGHT(Annual!O$1,2),Segments!$A$3:$AJ$3,0))</f>
        <v>3.9983208716426879</v>
      </c>
      <c r="P92" s="228">
        <f>INDEX(Segments!$A:$AJ,MATCH(Annual!$A92,Segments!$A:$A,0),MATCH("1H"&amp;RIGHT(Annual!P$1,2),Segments!$A$3:$AJ$3,0))+INDEX(Segments!$A:$AJ,MATCH(Annual!$A92,Segments!$A:$A,0),MATCH("2H"&amp;RIGHT(Annual!P$1,2),Segments!$A$3:$AJ$3,0))</f>
        <v>4.5245788604825581</v>
      </c>
      <c r="Q92" s="228">
        <f>INDEX(Segments!$A:$AJ,MATCH(Annual!$A92,Segments!$A:$A,0),MATCH("1H"&amp;RIGHT(Annual!Q$1,2),Segments!$A$3:$AJ$3,0))+INDEX(Segments!$A:$AJ,MATCH(Annual!$A92,Segments!$A:$A,0),MATCH("2H"&amp;RIGHT(Annual!Q$1,2),Segments!$A$3:$AJ$3,0))</f>
        <v>5.0026625465967021</v>
      </c>
      <c r="R92" s="228">
        <f>INDEX(Segments!$A:$AJ,MATCH(Annual!$A92,Segments!$A:$A,0),MATCH("1H"&amp;RIGHT(Annual!R$1,2),Segments!$A$3:$AJ$3,0))+INDEX(Segments!$A:$AJ,MATCH(Annual!$A92,Segments!$A:$A,0),MATCH("2H"&amp;RIGHT(Annual!R$1,2),Segments!$A$3:$AJ$3,0))</f>
        <v>5.5234540794964886</v>
      </c>
      <c r="S92" s="228">
        <f>INDEX(Segments!$A:$AJ,MATCH(Annual!$A92,Segments!$A:$A,0),MATCH("1H"&amp;RIGHT(Annual!S$1,2),Segments!$A$3:$AJ$3,0))+INDEX(Segments!$A:$AJ,MATCH(Annual!$A92,Segments!$A:$A,0),MATCH("2H"&amp;RIGHT(Annual!S$1,2),Segments!$A$3:$AJ$3,0))</f>
        <v>6.105772650340902</v>
      </c>
      <c r="T92" s="228">
        <f>INDEX(Segments!$A:$AJ,MATCH(Annual!$A92,Segments!$A:$A,0),MATCH("1H"&amp;RIGHT(Annual!T$1,2),Segments!$A$3:$AJ$3,0))+INDEX(Segments!$A:$AJ,MATCH(Annual!$A92,Segments!$A:$A,0),MATCH("2H"&amp;RIGHT(Annual!T$1,2),Segments!$A$3:$AJ$3,0))</f>
        <v>6.7208743868815022</v>
      </c>
      <c r="U92" s="228">
        <f>INDEX(Segments!$A:$AJ,MATCH(Annual!$A92,Segments!$A:$A,0),MATCH("1H"&amp;RIGHT(Annual!U$1,2),Segments!$A$3:$AJ$3,0))+INDEX(Segments!$A:$AJ,MATCH(Annual!$A92,Segments!$A:$A,0),MATCH("2H"&amp;RIGHT(Annual!U$1,2),Segments!$A$3:$AJ$3,0))</f>
        <v>7.4013565361097715</v>
      </c>
      <c r="V92" s="228">
        <f>INDEX(Segments!$A:$AJ,MATCH(Annual!$A92,Segments!$A:$A,0),MATCH("1H"&amp;RIGHT(Annual!V$1,2),Segments!$A$3:$AJ$3,0))+INDEX(Segments!$A:$AJ,MATCH(Annual!$A92,Segments!$A:$A,0),MATCH("2H"&amp;RIGHT(Annual!V$1,2),Segments!$A$3:$AJ$3,0))</f>
        <v>8.1546335612148493</v>
      </c>
      <c r="W92" s="228">
        <f>INDEX(Segments!$A:$AJ,MATCH(Annual!$A92,Segments!$A:$A,0),MATCH("1H"&amp;RIGHT(Annual!W$1,2),Segments!$A$3:$AJ$3,0))+INDEX(Segments!$A:$AJ,MATCH(Annual!$A92,Segments!$A:$A,0),MATCH("2H"&amp;RIGHT(Annual!W$1,2),Segments!$A$3:$AJ$3,0))</f>
        <v>8.9889959692352868</v>
      </c>
      <c r="X92" s="228">
        <f>INDEX(Segments!$A:$AJ,MATCH(Annual!$A92,Segments!$A:$A,0),MATCH("1H"&amp;RIGHT(Annual!X$1,2),Segments!$A$3:$AJ$3,0))+INDEX(Segments!$A:$AJ,MATCH(Annual!$A92,Segments!$A:$A,0),MATCH("2H"&amp;RIGHT(Annual!X$1,2),Segments!$A$3:$AJ$3,0))</f>
        <v>9.9137166074584506</v>
      </c>
      <c r="Y92" s="2"/>
      <c r="Z92" s="2"/>
      <c r="AA92" s="108">
        <v>0</v>
      </c>
      <c r="AB92" s="109">
        <v>3.4</v>
      </c>
      <c r="AC92" s="108">
        <v>0</v>
      </c>
      <c r="AD92" s="109">
        <v>4.2</v>
      </c>
      <c r="AE92" s="108">
        <v>0</v>
      </c>
      <c r="AF92" s="109">
        <v>4.9000000000000004</v>
      </c>
      <c r="AG92" s="2"/>
      <c r="AH92" s="2"/>
      <c r="AI92" s="2"/>
    </row>
    <row r="93" spans="1:35" x14ac:dyDescent="0.25">
      <c r="A93" s="119" t="s">
        <v>157</v>
      </c>
      <c r="B93" s="36" t="s">
        <v>157</v>
      </c>
      <c r="C93" s="37" t="s">
        <v>67</v>
      </c>
      <c r="D93" s="38"/>
      <c r="E93" s="51"/>
      <c r="F93" s="51">
        <v>25.1</v>
      </c>
      <c r="G93" s="51">
        <v>28.1</v>
      </c>
      <c r="H93" s="51">
        <v>28.6</v>
      </c>
      <c r="I93" s="51">
        <v>36.299999999999997</v>
      </c>
      <c r="J93" s="51">
        <v>49.6</v>
      </c>
      <c r="K93" s="51">
        <v>55.8</v>
      </c>
      <c r="L93" s="51">
        <v>48.3</v>
      </c>
      <c r="M93" s="51">
        <v>36.1</v>
      </c>
      <c r="N93" s="51">
        <v>40.799999999999997</v>
      </c>
      <c r="O93" s="238">
        <f>INDEX(Segments!$A:$AJ,MATCH(Annual!$A93,Segments!$A:$A,0),MATCH("1H"&amp;RIGHT(Annual!O$1,2),Segments!$A$3:$AJ$3,0))+INDEX(Segments!$A:$AJ,MATCH(Annual!$A93,Segments!$A:$A,0),MATCH("2H"&amp;RIGHT(Annual!O$1,2),Segments!$A$3:$AJ$3,0))</f>
        <v>56.191359911901387</v>
      </c>
      <c r="P93" s="238">
        <f>INDEX(Segments!$A:$AJ,MATCH(Annual!$A93,Segments!$A:$A,0),MATCH("1H"&amp;RIGHT(Annual!P$1,2),Segments!$A$3:$AJ$3,0))+INDEX(Segments!$A:$AJ,MATCH(Annual!$A93,Segments!$A:$A,0),MATCH("2H"&amp;RIGHT(Annual!P$1,2),Segments!$A$3:$AJ$3,0))</f>
        <v>64.543543923701023</v>
      </c>
      <c r="Q93" s="238">
        <f>INDEX(Segments!$A:$AJ,MATCH(Annual!$A93,Segments!$A:$A,0),MATCH("1H"&amp;RIGHT(Annual!Q$1,2),Segments!$A$3:$AJ$3,0))+INDEX(Segments!$A:$AJ,MATCH(Annual!$A93,Segments!$A:$A,0),MATCH("2H"&amp;RIGHT(Annual!Q$1,2),Segments!$A$3:$AJ$3,0))</f>
        <v>72.769333504712193</v>
      </c>
      <c r="R93" s="238">
        <f>INDEX(Segments!$A:$AJ,MATCH(Annual!$A93,Segments!$A:$A,0),MATCH("1H"&amp;RIGHT(Annual!R$1,2),Segments!$A$3:$AJ$3,0))+INDEX(Segments!$A:$AJ,MATCH(Annual!$A93,Segments!$A:$A,0),MATCH("2H"&amp;RIGHT(Annual!R$1,2),Segments!$A$3:$AJ$3,0))</f>
        <v>81.849957747937594</v>
      </c>
      <c r="S93" s="238">
        <f>INDEX(Segments!$A:$AJ,MATCH(Annual!$A93,Segments!$A:$A,0),MATCH("1H"&amp;RIGHT(Annual!S$1,2),Segments!$A$3:$AJ$3,0))+INDEX(Segments!$A:$AJ,MATCH(Annual!$A93,Segments!$A:$A,0),MATCH("2H"&amp;RIGHT(Annual!S$1,2),Segments!$A$3:$AJ$3,0))</f>
        <v>91.323530476585432</v>
      </c>
      <c r="T93" s="238">
        <f>INDEX(Segments!$A:$AJ,MATCH(Annual!$A93,Segments!$A:$A,0),MATCH("1H"&amp;RIGHT(Annual!T$1,2),Segments!$A$3:$AJ$3,0))+INDEX(Segments!$A:$AJ,MATCH(Annual!$A93,Segments!$A:$A,0),MATCH("2H"&amp;RIGHT(Annual!T$1,2),Segments!$A$3:$AJ$3,0))</f>
        <v>101.54911999715526</v>
      </c>
      <c r="U93" s="238">
        <f>INDEX(Segments!$A:$AJ,MATCH(Annual!$A93,Segments!$A:$A,0),MATCH("1H"&amp;RIGHT(Annual!U$1,2),Segments!$A$3:$AJ$3,0))+INDEX(Segments!$A:$AJ,MATCH(Annual!$A93,Segments!$A:$A,0),MATCH("2H"&amp;RIGHT(Annual!U$1,2),Segments!$A$3:$AJ$3,0))</f>
        <v>113.03321145655784</v>
      </c>
      <c r="V93" s="238">
        <f>INDEX(Segments!$A:$AJ,MATCH(Annual!$A93,Segments!$A:$A,0),MATCH("1H"&amp;RIGHT(Annual!V$1,2),Segments!$A$3:$AJ$3,0))+INDEX(Segments!$A:$AJ,MATCH(Annual!$A93,Segments!$A:$A,0),MATCH("2H"&amp;RIGHT(Annual!V$1,2),Segments!$A$3:$AJ$3,0))</f>
        <v>125.93244804753499</v>
      </c>
      <c r="W93" s="238">
        <f>INDEX(Segments!$A:$AJ,MATCH(Annual!$A93,Segments!$A:$A,0),MATCH("1H"&amp;RIGHT(Annual!W$1,2),Segments!$A$3:$AJ$3,0))+INDEX(Segments!$A:$AJ,MATCH(Annual!$A93,Segments!$A:$A,0),MATCH("2H"&amp;RIGHT(Annual!W$1,2),Segments!$A$3:$AJ$3,0))</f>
        <v>140.42429659224044</v>
      </c>
      <c r="X93" s="238">
        <f>INDEX(Segments!$A:$AJ,MATCH(Annual!$A93,Segments!$A:$A,0),MATCH("1H"&amp;RIGHT(Annual!X$1,2),Segments!$A$3:$AJ$3,0))+INDEX(Segments!$A:$AJ,MATCH(Annual!$A93,Segments!$A:$A,0),MATCH("2H"&amp;RIGHT(Annual!X$1,2),Segments!$A$3:$AJ$3,0))</f>
        <v>156.70914585212239</v>
      </c>
      <c r="Y93" s="22"/>
      <c r="Z93" s="22"/>
      <c r="AA93" s="111">
        <v>-21.7</v>
      </c>
      <c r="AB93" s="115">
        <v>62.5</v>
      </c>
      <c r="AC93" s="111">
        <v>-7.5</v>
      </c>
      <c r="AD93" s="115">
        <v>59.7</v>
      </c>
      <c r="AE93" s="111">
        <v>2.9</v>
      </c>
      <c r="AF93" s="115" t="e">
        <v>#VALUE!</v>
      </c>
      <c r="AG93" s="22"/>
      <c r="AH93" s="22"/>
      <c r="AI93" s="22"/>
    </row>
    <row r="94" spans="1:35" x14ac:dyDescent="0.25">
      <c r="A94" s="20"/>
      <c r="B94" s="33" t="s">
        <v>158</v>
      </c>
      <c r="C94" s="27" t="s">
        <v>77</v>
      </c>
      <c r="D94" s="28"/>
      <c r="E94" s="29"/>
      <c r="F94" s="29"/>
      <c r="G94" s="29"/>
      <c r="H94" s="29"/>
      <c r="I94" s="226">
        <f t="shared" ref="I94:M94" si="88">I93/H93-1</f>
        <v>0.26923076923076916</v>
      </c>
      <c r="J94" s="226">
        <f t="shared" si="88"/>
        <v>0.36639118457300279</v>
      </c>
      <c r="K94" s="226">
        <f t="shared" si="88"/>
        <v>0.125</v>
      </c>
      <c r="L94" s="226">
        <f t="shared" si="88"/>
        <v>-0.13440860215053763</v>
      </c>
      <c r="M94" s="226">
        <f t="shared" si="88"/>
        <v>-0.25258799171842639</v>
      </c>
      <c r="N94" s="226">
        <f>N93/M93-1</f>
        <v>0.13019390581717438</v>
      </c>
      <c r="O94" s="226">
        <f t="shared" ref="O94:X94" si="89">O93/N93-1</f>
        <v>0.37723921352699485</v>
      </c>
      <c r="P94" s="226">
        <f t="shared" si="89"/>
        <v>0.14863822525196868</v>
      </c>
      <c r="Q94" s="226">
        <f t="shared" si="89"/>
        <v>0.12744558294994057</v>
      </c>
      <c r="R94" s="226">
        <f t="shared" si="89"/>
        <v>0.12478641490700726</v>
      </c>
      <c r="S94" s="226">
        <f t="shared" si="89"/>
        <v>0.11574315967055648</v>
      </c>
      <c r="T94" s="226">
        <f t="shared" si="89"/>
        <v>0.11197102726105812</v>
      </c>
      <c r="U94" s="226">
        <f t="shared" si="89"/>
        <v>0.11308902981851832</v>
      </c>
      <c r="V94" s="226">
        <f t="shared" si="89"/>
        <v>0.11411899586640284</v>
      </c>
      <c r="W94" s="226">
        <f t="shared" si="89"/>
        <v>0.11507636649162323</v>
      </c>
      <c r="X94" s="226">
        <f t="shared" si="89"/>
        <v>0.11596888611925449</v>
      </c>
      <c r="Y94" s="2"/>
      <c r="Z94" s="2"/>
      <c r="AA94" s="128">
        <v>-0.60299999999999998</v>
      </c>
      <c r="AB94" s="129">
        <v>0.73299999999999998</v>
      </c>
      <c r="AC94" s="128">
        <v>-0.65400000000000003</v>
      </c>
      <c r="AD94" s="129">
        <v>0.93300000000000005</v>
      </c>
      <c r="AE94" s="128">
        <v>-1.39</v>
      </c>
      <c r="AF94" s="107" t="e">
        <v>#VALUE!</v>
      </c>
      <c r="AG94" s="2"/>
      <c r="AH94" s="2"/>
      <c r="AI94" s="2"/>
    </row>
    <row r="95" spans="1:35" x14ac:dyDescent="0.25">
      <c r="A95" s="20"/>
      <c r="B95" s="33" t="s">
        <v>159</v>
      </c>
      <c r="C95" s="27" t="s">
        <v>117</v>
      </c>
      <c r="D95" s="32"/>
      <c r="E95" s="29"/>
      <c r="F95" s="29"/>
      <c r="G95" s="29"/>
      <c r="H95" s="29"/>
      <c r="I95" s="226">
        <f t="shared" ref="I95:M95" si="90">I93/I$10</f>
        <v>5.3777777777777772E-2</v>
      </c>
      <c r="J95" s="226">
        <f t="shared" si="90"/>
        <v>6.6398929049531458E-2</v>
      </c>
      <c r="K95" s="226">
        <f t="shared" si="90"/>
        <v>6.0071051781677251E-2</v>
      </c>
      <c r="L95" s="226">
        <f t="shared" si="90"/>
        <v>4.8165137614678902E-2</v>
      </c>
      <c r="M95" s="226">
        <f t="shared" si="90"/>
        <v>3.3494154759695673E-2</v>
      </c>
      <c r="N95" s="226">
        <f>N93/N$10</f>
        <v>3.3023067583974094E-2</v>
      </c>
      <c r="O95" s="226">
        <f t="shared" ref="O95:X95" si="91">O93/O$10</f>
        <v>3.8102264794515256E-2</v>
      </c>
      <c r="P95" s="226">
        <f t="shared" si="91"/>
        <v>3.8793420206241096E-2</v>
      </c>
      <c r="Q95" s="226">
        <f t="shared" si="91"/>
        <v>3.9530442250359669E-2</v>
      </c>
      <c r="R95" s="226">
        <f t="shared" si="91"/>
        <v>4.0246602402315979E-2</v>
      </c>
      <c r="S95" s="226">
        <f t="shared" si="91"/>
        <v>4.0600065859582896E-2</v>
      </c>
      <c r="T95" s="226">
        <f t="shared" si="91"/>
        <v>4.0994144676884919E-2</v>
      </c>
      <c r="U95" s="226">
        <f t="shared" si="91"/>
        <v>4.1415569700387914E-2</v>
      </c>
      <c r="V95" s="226">
        <f t="shared" si="91"/>
        <v>4.1860978640461677E-2</v>
      </c>
      <c r="W95" s="226">
        <f t="shared" si="91"/>
        <v>4.2327597520195617E-2</v>
      </c>
      <c r="X95" s="226">
        <f t="shared" si="91"/>
        <v>4.2812953562563899E-2</v>
      </c>
      <c r="Y95" s="2"/>
      <c r="Z95" s="2"/>
      <c r="AA95" s="128">
        <v>-0.185</v>
      </c>
      <c r="AB95" s="129">
        <v>0.218</v>
      </c>
      <c r="AC95" s="128">
        <v>-4.7E-2</v>
      </c>
      <c r="AD95" s="129">
        <v>8.2000000000000003E-2</v>
      </c>
      <c r="AE95" s="128">
        <v>1.4999999999999999E-2</v>
      </c>
      <c r="AF95" s="107" t="e">
        <v>#VALUE!</v>
      </c>
      <c r="AG95" s="2"/>
      <c r="AH95" s="2"/>
      <c r="AI95" s="2"/>
    </row>
    <row r="96" spans="1:35" x14ac:dyDescent="0.25">
      <c r="A96" s="307"/>
      <c r="B96" s="308"/>
      <c r="C96" s="27"/>
      <c r="D96" s="32"/>
      <c r="E96" s="29"/>
      <c r="F96" s="29"/>
      <c r="G96" s="29"/>
      <c r="H96" s="29"/>
      <c r="I96" s="29"/>
      <c r="J96" s="29"/>
      <c r="K96" s="29"/>
      <c r="L96" s="29"/>
      <c r="M96" s="29"/>
      <c r="N96" s="29"/>
      <c r="O96" s="249">
        <v>0.3856648727116041</v>
      </c>
      <c r="P96" s="249">
        <v>0.1478088896497245</v>
      </c>
      <c r="Q96" s="249">
        <v>0.12671245499429196</v>
      </c>
      <c r="R96" s="249">
        <v>0.12406749672037165</v>
      </c>
      <c r="S96" s="249">
        <v>0.11531971970166244</v>
      </c>
      <c r="T96" s="249">
        <v>0.11148044125258494</v>
      </c>
      <c r="U96" s="249">
        <v>0.1126300134236371</v>
      </c>
      <c r="V96" s="249">
        <v>0.11369137152367648</v>
      </c>
      <c r="W96" s="249">
        <v>0.11467963332385844</v>
      </c>
      <c r="X96" s="249">
        <v>0.11560230426618556</v>
      </c>
      <c r="Y96" s="2"/>
      <c r="Z96" s="2"/>
      <c r="AA96" s="106"/>
      <c r="AB96" s="107"/>
      <c r="AC96" s="106"/>
      <c r="AD96" s="107"/>
      <c r="AE96" s="106"/>
      <c r="AF96" s="107"/>
      <c r="AG96" s="2"/>
      <c r="AH96" s="2"/>
      <c r="AI96" s="2"/>
    </row>
    <row r="97" spans="1:35" x14ac:dyDescent="0.25">
      <c r="A97" s="20"/>
      <c r="B97" s="30" t="s">
        <v>260</v>
      </c>
      <c r="C97" s="27"/>
      <c r="D97" s="32"/>
      <c r="E97" s="34"/>
      <c r="F97" s="34"/>
      <c r="G97" s="34"/>
      <c r="H97" s="34"/>
      <c r="I97" s="34"/>
      <c r="J97" s="34"/>
      <c r="K97" s="34"/>
      <c r="L97" s="34"/>
      <c r="M97" s="34"/>
      <c r="N97" s="34"/>
      <c r="O97" s="296">
        <f>O96-O94</f>
        <v>8.4256591846092466E-3</v>
      </c>
      <c r="P97" s="296">
        <f t="shared" ref="P97:X97" si="92">P96-P94</f>
        <v>-8.2933560224418557E-4</v>
      </c>
      <c r="Q97" s="296">
        <f t="shared" si="92"/>
        <v>-7.3312795564861588E-4</v>
      </c>
      <c r="R97" s="296">
        <f t="shared" si="92"/>
        <v>-7.1891818663560869E-4</v>
      </c>
      <c r="S97" s="296">
        <f t="shared" si="92"/>
        <v>-4.23439968894046E-4</v>
      </c>
      <c r="T97" s="296">
        <f t="shared" si="92"/>
        <v>-4.9058600847318168E-4</v>
      </c>
      <c r="U97" s="296">
        <f t="shared" si="92"/>
        <v>-4.5901639488121759E-4</v>
      </c>
      <c r="V97" s="296">
        <f t="shared" si="92"/>
        <v>-4.2762434272636263E-4</v>
      </c>
      <c r="W97" s="296">
        <f t="shared" si="92"/>
        <v>-3.9673316776478451E-4</v>
      </c>
      <c r="X97" s="296">
        <f t="shared" si="92"/>
        <v>-3.6658185306892577E-4</v>
      </c>
      <c r="Y97" s="2"/>
      <c r="Z97" s="2"/>
      <c r="AA97" s="134"/>
      <c r="AB97" s="135"/>
      <c r="AC97" s="134"/>
      <c r="AD97" s="135"/>
      <c r="AE97" s="134"/>
      <c r="AF97" s="135"/>
      <c r="AG97" s="2"/>
      <c r="AH97" s="2"/>
      <c r="AI97" s="2"/>
    </row>
    <row r="98" spans="1:35" x14ac:dyDescent="0.25">
      <c r="A98" s="20" t="s">
        <v>261</v>
      </c>
      <c r="B98" s="36" t="s">
        <v>261</v>
      </c>
      <c r="C98" s="37" t="s">
        <v>262</v>
      </c>
      <c r="D98" s="38"/>
      <c r="E98" s="51"/>
      <c r="F98" s="51">
        <v>215.41</v>
      </c>
      <c r="G98" s="51">
        <v>216.1</v>
      </c>
      <c r="H98" s="51">
        <v>216.77</v>
      </c>
      <c r="I98" s="51">
        <v>267.74</v>
      </c>
      <c r="J98" s="51">
        <v>268.38</v>
      </c>
      <c r="K98" s="51">
        <v>269.13</v>
      </c>
      <c r="L98" s="51">
        <v>270.26</v>
      </c>
      <c r="M98" s="51">
        <v>270.8</v>
      </c>
      <c r="N98" s="51">
        <v>270.8</v>
      </c>
      <c r="O98" s="50">
        <f>N98+O268/Value!$D$4</f>
        <v>270.8</v>
      </c>
      <c r="P98" s="50">
        <f>O98+P268/Value!$D$4</f>
        <v>270.8</v>
      </c>
      <c r="Q98" s="50">
        <f>P98+Q268/Value!$D$4</f>
        <v>270.8</v>
      </c>
      <c r="R98" s="50">
        <f>Q98+R268/Value!$D$4</f>
        <v>270.8</v>
      </c>
      <c r="S98" s="50">
        <f>R98+S268/Value!$D$4</f>
        <v>270.8</v>
      </c>
      <c r="T98" s="50">
        <f>S98+T268/Value!$D$4</f>
        <v>270.8</v>
      </c>
      <c r="U98" s="50">
        <f>T98+U268/Value!$D$4</f>
        <v>270.8</v>
      </c>
      <c r="V98" s="50">
        <f>U98+V268/Value!$D$4</f>
        <v>270.8</v>
      </c>
      <c r="W98" s="50">
        <f>V98+W268/Value!$D$4</f>
        <v>270.8</v>
      </c>
      <c r="X98" s="50">
        <f>W98+X268/Value!$D$4</f>
        <v>270.8</v>
      </c>
      <c r="Y98" s="2"/>
      <c r="Z98" s="2"/>
      <c r="AA98" s="136">
        <v>1268.6099999999999</v>
      </c>
      <c r="AB98" s="137">
        <v>-997.81</v>
      </c>
      <c r="AC98" s="136">
        <v>1268.6099999999999</v>
      </c>
      <c r="AD98" s="137" t="e">
        <v>#VALUE!</v>
      </c>
      <c r="AE98" s="136">
        <v>1268.6099999999999</v>
      </c>
      <c r="AF98" s="137" t="e">
        <v>#VALUE!</v>
      </c>
      <c r="AG98" s="2"/>
      <c r="AH98" s="2"/>
      <c r="AI98" s="2"/>
    </row>
    <row r="99" spans="1:35" x14ac:dyDescent="0.25">
      <c r="A99" s="20"/>
      <c r="B99" s="36" t="s">
        <v>263</v>
      </c>
      <c r="C99" s="37" t="s">
        <v>262</v>
      </c>
      <c r="D99" s="38"/>
      <c r="E99" s="51"/>
      <c r="F99" s="51">
        <v>214.96</v>
      </c>
      <c r="G99" s="51">
        <v>216.1</v>
      </c>
      <c r="H99" s="51">
        <v>214.81</v>
      </c>
      <c r="I99" s="51">
        <v>220.15</v>
      </c>
      <c r="J99" s="51">
        <v>268.29000000000002</v>
      </c>
      <c r="K99" s="51">
        <v>269.02</v>
      </c>
      <c r="L99" s="51">
        <v>270.10000000000002</v>
      </c>
      <c r="M99" s="51">
        <v>270.3</v>
      </c>
      <c r="N99" s="51">
        <v>270.8</v>
      </c>
      <c r="O99" s="50">
        <f>AVERAGE(N98:O98)</f>
        <v>270.8</v>
      </c>
      <c r="P99" s="50">
        <f t="shared" ref="P99:X99" si="93">AVERAGE(O98:P98)</f>
        <v>270.8</v>
      </c>
      <c r="Q99" s="50">
        <f t="shared" si="93"/>
        <v>270.8</v>
      </c>
      <c r="R99" s="50">
        <f t="shared" si="93"/>
        <v>270.8</v>
      </c>
      <c r="S99" s="50">
        <f t="shared" si="93"/>
        <v>270.8</v>
      </c>
      <c r="T99" s="50">
        <f t="shared" si="93"/>
        <v>270.8</v>
      </c>
      <c r="U99" s="50">
        <f t="shared" si="93"/>
        <v>270.8</v>
      </c>
      <c r="V99" s="50">
        <f t="shared" si="93"/>
        <v>270.8</v>
      </c>
      <c r="W99" s="50">
        <f t="shared" si="93"/>
        <v>270.8</v>
      </c>
      <c r="X99" s="50">
        <f t="shared" si="93"/>
        <v>270.8</v>
      </c>
      <c r="Y99" s="2"/>
      <c r="Z99" s="2"/>
      <c r="AA99" s="136">
        <v>1208.1300000000001</v>
      </c>
      <c r="AB99" s="137">
        <v>-937.33</v>
      </c>
      <c r="AC99" s="136">
        <v>1268.6099999999999</v>
      </c>
      <c r="AD99" s="137" t="e">
        <v>#VALUE!</v>
      </c>
      <c r="AE99" s="136">
        <v>1268.6099999999999</v>
      </c>
      <c r="AF99" s="137" t="e">
        <v>#VALUE!</v>
      </c>
      <c r="AG99" s="2"/>
      <c r="AH99" s="2"/>
      <c r="AI99" s="2"/>
    </row>
    <row r="100" spans="1:35" x14ac:dyDescent="0.25">
      <c r="A100" s="20"/>
      <c r="B100" s="33" t="s">
        <v>264</v>
      </c>
      <c r="C100" s="27" t="s">
        <v>262</v>
      </c>
      <c r="D100" s="32"/>
      <c r="E100" s="35"/>
      <c r="F100" s="35">
        <v>0</v>
      </c>
      <c r="G100" s="35">
        <v>0</v>
      </c>
      <c r="H100" s="35">
        <v>1.96</v>
      </c>
      <c r="I100" s="35">
        <v>2.68</v>
      </c>
      <c r="J100" s="35">
        <v>3.43</v>
      </c>
      <c r="K100" s="35">
        <v>3.69</v>
      </c>
      <c r="L100" s="35">
        <v>4.0199999999999996</v>
      </c>
      <c r="M100" s="35">
        <v>3.8</v>
      </c>
      <c r="N100" s="35">
        <v>5</v>
      </c>
      <c r="O100" s="42">
        <v>5</v>
      </c>
      <c r="P100" s="42">
        <v>5</v>
      </c>
      <c r="Q100" s="42">
        <v>5</v>
      </c>
      <c r="R100" s="42">
        <v>5</v>
      </c>
      <c r="S100" s="42">
        <v>5</v>
      </c>
      <c r="T100" s="42">
        <v>5</v>
      </c>
      <c r="U100" s="42">
        <v>5</v>
      </c>
      <c r="V100" s="42">
        <v>5</v>
      </c>
      <c r="W100" s="42">
        <v>5</v>
      </c>
      <c r="X100" s="42">
        <v>5</v>
      </c>
      <c r="Y100" s="2"/>
      <c r="Z100" s="2"/>
      <c r="AA100" s="108">
        <v>0</v>
      </c>
      <c r="AB100" s="109">
        <v>5</v>
      </c>
      <c r="AC100" s="108">
        <v>0</v>
      </c>
      <c r="AD100" s="109">
        <v>5</v>
      </c>
      <c r="AE100" s="108">
        <v>0</v>
      </c>
      <c r="AF100" s="109">
        <v>5</v>
      </c>
      <c r="AG100" s="2"/>
      <c r="AH100" s="2"/>
      <c r="AI100" s="2"/>
    </row>
    <row r="101" spans="1:35" x14ac:dyDescent="0.25">
      <c r="A101" s="20" t="s">
        <v>265</v>
      </c>
      <c r="B101" s="36" t="s">
        <v>265</v>
      </c>
      <c r="C101" s="37" t="s">
        <v>262</v>
      </c>
      <c r="D101" s="38"/>
      <c r="E101" s="51"/>
      <c r="F101" s="51">
        <v>214.96</v>
      </c>
      <c r="G101" s="51">
        <v>216.1</v>
      </c>
      <c r="H101" s="51">
        <v>216.77</v>
      </c>
      <c r="I101" s="51">
        <v>222.83</v>
      </c>
      <c r="J101" s="51">
        <v>271.70999999999998</v>
      </c>
      <c r="K101" s="51">
        <v>272.70999999999998</v>
      </c>
      <c r="L101" s="51">
        <v>274.12</v>
      </c>
      <c r="M101" s="51">
        <v>274.10000000000002</v>
      </c>
      <c r="N101" s="51">
        <v>275.8</v>
      </c>
      <c r="O101" s="50">
        <f>O99+O100</f>
        <v>275.8</v>
      </c>
      <c r="P101" s="50">
        <f t="shared" ref="P101:X101" si="94">P99+P100</f>
        <v>275.8</v>
      </c>
      <c r="Q101" s="50">
        <f t="shared" si="94"/>
        <v>275.8</v>
      </c>
      <c r="R101" s="50">
        <f t="shared" si="94"/>
        <v>275.8</v>
      </c>
      <c r="S101" s="50">
        <f t="shared" si="94"/>
        <v>275.8</v>
      </c>
      <c r="T101" s="50">
        <f t="shared" si="94"/>
        <v>275.8</v>
      </c>
      <c r="U101" s="50">
        <f t="shared" si="94"/>
        <v>275.8</v>
      </c>
      <c r="V101" s="50">
        <f t="shared" si="94"/>
        <v>275.8</v>
      </c>
      <c r="W101" s="50">
        <f t="shared" si="94"/>
        <v>275.8</v>
      </c>
      <c r="X101" s="50">
        <f t="shared" si="94"/>
        <v>275.8</v>
      </c>
      <c r="Y101" s="2"/>
      <c r="Z101" s="2"/>
      <c r="AA101" s="136">
        <v>1208.1300000000001</v>
      </c>
      <c r="AB101" s="137">
        <v>-932.33</v>
      </c>
      <c r="AC101" s="136">
        <v>1268.6099999999999</v>
      </c>
      <c r="AD101" s="137" t="e">
        <v>#VALUE!</v>
      </c>
      <c r="AE101" s="136">
        <v>1268.6099999999999</v>
      </c>
      <c r="AF101" s="137" t="e">
        <v>#VALUE!</v>
      </c>
      <c r="AG101" s="2"/>
      <c r="AH101" s="2"/>
      <c r="AI101" s="2"/>
    </row>
    <row r="102" spans="1:35" x14ac:dyDescent="0.25">
      <c r="A102" s="307"/>
      <c r="B102" s="308"/>
      <c r="C102" s="55"/>
      <c r="D102" s="32"/>
      <c r="E102" s="29"/>
      <c r="F102" s="29"/>
      <c r="G102" s="29"/>
      <c r="H102" s="29"/>
      <c r="I102" s="2"/>
      <c r="J102" s="2"/>
      <c r="K102" s="2"/>
      <c r="L102" s="2"/>
      <c r="M102" s="2"/>
      <c r="N102" s="2"/>
      <c r="O102" s="2"/>
      <c r="P102" s="2"/>
      <c r="Q102" s="2"/>
      <c r="R102" s="2"/>
      <c r="S102" s="2"/>
      <c r="T102" s="2"/>
      <c r="U102" s="2"/>
      <c r="V102" s="2"/>
      <c r="W102" s="2"/>
      <c r="X102" s="2"/>
      <c r="Y102" s="2"/>
      <c r="Z102" s="2"/>
      <c r="AA102" s="99"/>
      <c r="AB102" s="3"/>
      <c r="AC102" s="99"/>
      <c r="AD102" s="3"/>
      <c r="AE102" s="99"/>
      <c r="AF102" s="3"/>
      <c r="AG102" s="2"/>
      <c r="AH102" s="2"/>
      <c r="AI102" s="2"/>
    </row>
    <row r="103" spans="1:35" x14ac:dyDescent="0.25">
      <c r="A103" s="20" t="s">
        <v>508</v>
      </c>
      <c r="B103" s="64" t="s">
        <v>506</v>
      </c>
      <c r="C103" s="92" t="s">
        <v>267</v>
      </c>
      <c r="D103" s="66"/>
      <c r="E103" s="72"/>
      <c r="F103" s="240">
        <f t="shared" ref="F103:M103" si="95">F93/F101</f>
        <v>0.11676590993673241</v>
      </c>
      <c r="G103" s="240">
        <f t="shared" si="95"/>
        <v>0.13003239241092088</v>
      </c>
      <c r="H103" s="240">
        <f t="shared" si="95"/>
        <v>0.13193707616367578</v>
      </c>
      <c r="I103" s="240">
        <f t="shared" si="95"/>
        <v>0.16290445631198669</v>
      </c>
      <c r="J103" s="240">
        <f t="shared" si="95"/>
        <v>0.18254756909940748</v>
      </c>
      <c r="K103" s="240">
        <f t="shared" si="95"/>
        <v>0.2046129588207253</v>
      </c>
      <c r="L103" s="240">
        <f t="shared" si="95"/>
        <v>0.17620020429009192</v>
      </c>
      <c r="M103" s="240">
        <f t="shared" si="95"/>
        <v>0.13170375775264501</v>
      </c>
      <c r="N103" s="240">
        <f>N93/N101</f>
        <v>0.14793328498912253</v>
      </c>
      <c r="O103" s="240">
        <f t="shared" ref="O103:X103" si="96">O93/O101</f>
        <v>0.20373952107288393</v>
      </c>
      <c r="P103" s="240">
        <f t="shared" si="96"/>
        <v>0.23402300189884342</v>
      </c>
      <c r="Q103" s="240">
        <f t="shared" si="96"/>
        <v>0.26384819979953661</v>
      </c>
      <c r="R103" s="240">
        <f t="shared" si="96"/>
        <v>0.2967728707321885</v>
      </c>
      <c r="S103" s="240">
        <f t="shared" si="96"/>
        <v>0.33112230049523361</v>
      </c>
      <c r="T103" s="240">
        <f t="shared" si="96"/>
        <v>0.36819840463072973</v>
      </c>
      <c r="U103" s="240">
        <f t="shared" si="96"/>
        <v>0.40983760499114513</v>
      </c>
      <c r="V103" s="240">
        <f t="shared" si="96"/>
        <v>0.45660786094102607</v>
      </c>
      <c r="W103" s="240">
        <f t="shared" si="96"/>
        <v>0.50915263448963177</v>
      </c>
      <c r="X103" s="240">
        <f t="shared" si="96"/>
        <v>0.56819849837607828</v>
      </c>
      <c r="Y103" s="2"/>
      <c r="Z103" s="2"/>
      <c r="AA103" s="138">
        <v>-1.7999999999999999E-2</v>
      </c>
      <c r="AB103" s="139">
        <v>0.16600000000000001</v>
      </c>
      <c r="AC103" s="138">
        <v>-6.0000000000000001E-3</v>
      </c>
      <c r="AD103" s="139" t="e">
        <v>#VALUE!</v>
      </c>
      <c r="AE103" s="138">
        <v>2E-3</v>
      </c>
      <c r="AF103" s="139" t="e">
        <v>#VALUE!</v>
      </c>
      <c r="AG103" s="2"/>
      <c r="AH103" s="2"/>
      <c r="AI103" s="2"/>
    </row>
    <row r="104" spans="1:35" x14ac:dyDescent="0.25">
      <c r="A104" s="20"/>
      <c r="B104" s="33" t="s">
        <v>507</v>
      </c>
      <c r="C104" s="27" t="s">
        <v>77</v>
      </c>
      <c r="D104" s="32"/>
      <c r="E104" s="29"/>
      <c r="F104" s="41"/>
      <c r="G104" s="41">
        <f t="shared" ref="G104:M104" si="97">G103/F103-1</f>
        <v>0.11361605867137659</v>
      </c>
      <c r="H104" s="41">
        <f t="shared" si="97"/>
        <v>1.4647763664424662E-2</v>
      </c>
      <c r="I104" s="41">
        <f t="shared" si="97"/>
        <v>0.23471325156466283</v>
      </c>
      <c r="J104" s="41">
        <f t="shared" si="97"/>
        <v>0.12058057362041241</v>
      </c>
      <c r="K104" s="41">
        <f t="shared" si="97"/>
        <v>0.120874738733453</v>
      </c>
      <c r="L104" s="41">
        <f t="shared" si="97"/>
        <v>-0.13886097290410448</v>
      </c>
      <c r="M104" s="41">
        <f t="shared" si="97"/>
        <v>-0.25253345600093058</v>
      </c>
      <c r="N104" s="41">
        <f>N103/M103-1</f>
        <v>0.12322751843541524</v>
      </c>
      <c r="O104" s="41">
        <f t="shared" ref="O104:X104" si="98">O103/N103-1</f>
        <v>0.37723921352699508</v>
      </c>
      <c r="P104" s="41">
        <f t="shared" si="98"/>
        <v>0.14863822525196846</v>
      </c>
      <c r="Q104" s="41">
        <f t="shared" si="98"/>
        <v>0.12744558294994079</v>
      </c>
      <c r="R104" s="41">
        <f t="shared" si="98"/>
        <v>0.12478641490700704</v>
      </c>
      <c r="S104" s="41">
        <f t="shared" si="98"/>
        <v>0.11574315967055648</v>
      </c>
      <c r="T104" s="41">
        <f t="shared" si="98"/>
        <v>0.11197102726105812</v>
      </c>
      <c r="U104" s="41">
        <f t="shared" si="98"/>
        <v>0.11308902981851809</v>
      </c>
      <c r="V104" s="41">
        <f t="shared" si="98"/>
        <v>0.11411899586640284</v>
      </c>
      <c r="W104" s="41">
        <f t="shared" si="98"/>
        <v>0.11507636649162345</v>
      </c>
      <c r="X104" s="41">
        <f t="shared" si="98"/>
        <v>0.11596888611925449</v>
      </c>
      <c r="Y104" s="2"/>
      <c r="Z104" s="2"/>
      <c r="AA104" s="113">
        <v>-0.63</v>
      </c>
      <c r="AB104" s="114">
        <v>0.75</v>
      </c>
      <c r="AC104" s="113">
        <v>-0.67</v>
      </c>
      <c r="AD104" s="107" t="e">
        <v>#VALUE!</v>
      </c>
      <c r="AE104" s="113">
        <v>-1.39</v>
      </c>
      <c r="AF104" s="107" t="e">
        <v>#VALUE!</v>
      </c>
      <c r="AG104" s="2"/>
      <c r="AH104" s="2"/>
      <c r="AI104" s="2"/>
    </row>
    <row r="105" spans="1:35" x14ac:dyDescent="0.25">
      <c r="A105" s="20" t="s">
        <v>260</v>
      </c>
      <c r="B105" s="64" t="s">
        <v>266</v>
      </c>
      <c r="C105" s="92" t="s">
        <v>267</v>
      </c>
      <c r="D105" s="66"/>
      <c r="E105" s="72"/>
      <c r="F105" s="240">
        <f t="shared" ref="F105:M105" si="99">F90/F101</f>
        <v>0.14002605135839225</v>
      </c>
      <c r="G105" s="240">
        <f t="shared" si="99"/>
        <v>0.15409532623785283</v>
      </c>
      <c r="H105" s="240">
        <f t="shared" si="99"/>
        <v>0.15223508788116435</v>
      </c>
      <c r="I105" s="240">
        <f t="shared" si="99"/>
        <v>0.17098236323654803</v>
      </c>
      <c r="J105" s="240">
        <f t="shared" si="99"/>
        <v>0.18880423981450811</v>
      </c>
      <c r="K105" s="240">
        <f t="shared" si="99"/>
        <v>0.14227567745957245</v>
      </c>
      <c r="L105" s="240">
        <f t="shared" si="99"/>
        <v>0.13607179337516417</v>
      </c>
      <c r="M105" s="240">
        <f t="shared" si="99"/>
        <v>0.10580080262677855</v>
      </c>
      <c r="N105" s="240">
        <f>N90/N101</f>
        <v>0.12690355329949238</v>
      </c>
      <c r="O105" s="240">
        <f t="shared" ref="O105:X105" si="100">O90/O101</f>
        <v>0.17718776161738795</v>
      </c>
      <c r="P105" s="240">
        <f t="shared" si="100"/>
        <v>0.20402453791121805</v>
      </c>
      <c r="Q105" s="240">
        <f t="shared" si="100"/>
        <v>0.23066801575430662</v>
      </c>
      <c r="R105" s="240">
        <f t="shared" si="100"/>
        <v>0.26012689907000419</v>
      </c>
      <c r="S105" s="240">
        <f t="shared" si="100"/>
        <v>0.29060128115454081</v>
      </c>
      <c r="T105" s="240">
        <f t="shared" si="100"/>
        <v>0.32358376445676351</v>
      </c>
      <c r="U105" s="240">
        <f t="shared" si="100"/>
        <v>0.36069374755628331</v>
      </c>
      <c r="V105" s="240">
        <f t="shared" si="100"/>
        <v>0.40244974698756214</v>
      </c>
      <c r="W105" s="240">
        <f t="shared" si="100"/>
        <v>0.44943993797360482</v>
      </c>
      <c r="X105" s="240">
        <f t="shared" si="100"/>
        <v>0.50232905329155764</v>
      </c>
      <c r="Y105" s="2"/>
      <c r="Z105" s="2"/>
      <c r="AA105" s="138">
        <v>-1.7999999999999999E-2</v>
      </c>
      <c r="AB105" s="139">
        <v>0.16600000000000001</v>
      </c>
      <c r="AC105" s="138">
        <v>-6.0000000000000001E-3</v>
      </c>
      <c r="AD105" s="139" t="e">
        <v>#VALUE!</v>
      </c>
      <c r="AE105" s="138">
        <v>2E-3</v>
      </c>
      <c r="AF105" s="139" t="e">
        <v>#VALUE!</v>
      </c>
      <c r="AG105" s="2"/>
      <c r="AH105" s="2"/>
      <c r="AI105" s="2"/>
    </row>
    <row r="106" spans="1:35" x14ac:dyDescent="0.25">
      <c r="A106" s="20"/>
      <c r="B106" s="33" t="s">
        <v>507</v>
      </c>
      <c r="C106" s="27" t="s">
        <v>77</v>
      </c>
      <c r="D106" s="32"/>
      <c r="E106" s="29"/>
      <c r="F106" s="41"/>
      <c r="G106" s="41">
        <f t="shared" ref="G106" si="101">G105/F105-1</f>
        <v>0.1004761238567724</v>
      </c>
      <c r="H106" s="41">
        <f t="shared" ref="H106" si="102">H105/G105-1</f>
        <v>-1.2071997263675027E-2</v>
      </c>
      <c r="I106" s="41">
        <f t="shared" ref="I106" si="103">I105/H105-1</f>
        <v>0.12314687511474309</v>
      </c>
      <c r="J106" s="41">
        <f t="shared" ref="J106" si="104">J105/I105-1</f>
        <v>0.10423225086264676</v>
      </c>
      <c r="K106" s="41">
        <f t="shared" ref="K106" si="105">K105/J105-1</f>
        <v>-0.24643812236763296</v>
      </c>
      <c r="L106" s="41">
        <f t="shared" ref="L106" si="106">L105/K105-1</f>
        <v>-4.3604670841726367E-2</v>
      </c>
      <c r="M106" s="41">
        <f t="shared" ref="M106" si="107">M105/L105-1</f>
        <v>-0.22246337758572299</v>
      </c>
      <c r="N106" s="41">
        <f>N105/M105-1</f>
        <v>0.19945737791002971</v>
      </c>
      <c r="O106" s="41">
        <f t="shared" ref="O106" si="108">O105/N105-1</f>
        <v>0.39623956154501716</v>
      </c>
      <c r="P106" s="41">
        <f t="shared" ref="P106" si="109">P105/O105-1</f>
        <v>0.15145953675841528</v>
      </c>
      <c r="Q106" s="41">
        <f t="shared" ref="Q106" si="110">Q105/P105-1</f>
        <v>0.13058957572388952</v>
      </c>
      <c r="R106" s="41">
        <f t="shared" ref="R106" si="111">R105/Q105-1</f>
        <v>0.12771117495143036</v>
      </c>
      <c r="S106" s="41">
        <f t="shared" ref="S106" si="112">S105/R105-1</f>
        <v>0.11715198310319885</v>
      </c>
      <c r="T106" s="41">
        <f t="shared" ref="T106" si="113">T105/S105-1</f>
        <v>0.11349737747605704</v>
      </c>
      <c r="U106" s="41">
        <f t="shared" ref="U106" si="114">U105/T105-1</f>
        <v>0.11468431724879791</v>
      </c>
      <c r="V106" s="41">
        <f t="shared" ref="V106" si="115">V105/U105-1</f>
        <v>0.11576579775551332</v>
      </c>
      <c r="W106" s="41">
        <f t="shared" ref="W106" si="116">W105/V105-1</f>
        <v>0.1167603939070061</v>
      </c>
      <c r="X106" s="41">
        <f t="shared" ref="X106" si="117">X105/W105-1</f>
        <v>0.11767782711170405</v>
      </c>
      <c r="Y106" s="2"/>
      <c r="Z106" s="2"/>
      <c r="AA106" s="113">
        <v>-0.63</v>
      </c>
      <c r="AB106" s="114">
        <v>0.75</v>
      </c>
      <c r="AC106" s="113">
        <v>-0.67</v>
      </c>
      <c r="AD106" s="107" t="e">
        <v>#VALUE!</v>
      </c>
      <c r="AE106" s="113">
        <v>-1.39</v>
      </c>
      <c r="AF106" s="107" t="e">
        <v>#VALUE!</v>
      </c>
      <c r="AG106" s="2"/>
      <c r="AH106" s="2"/>
      <c r="AI106" s="2"/>
    </row>
    <row r="107" spans="1:35" x14ac:dyDescent="0.25">
      <c r="A107" s="20"/>
      <c r="B107" s="33" t="s">
        <v>268</v>
      </c>
      <c r="C107" s="27" t="s">
        <v>267</v>
      </c>
      <c r="D107" s="32"/>
      <c r="E107" s="34"/>
      <c r="F107" s="35"/>
      <c r="G107" s="35"/>
      <c r="H107" s="35"/>
      <c r="I107" s="35"/>
      <c r="J107" s="35"/>
      <c r="K107" s="35"/>
      <c r="L107" s="35"/>
      <c r="M107" s="35"/>
      <c r="N107" s="35"/>
      <c r="O107" s="35"/>
      <c r="P107" s="35"/>
      <c r="Q107" s="35"/>
      <c r="R107" s="35"/>
      <c r="S107" s="35"/>
      <c r="T107" s="35"/>
      <c r="U107" s="35"/>
      <c r="V107" s="35"/>
      <c r="W107" s="35"/>
      <c r="X107" s="35"/>
      <c r="Y107" s="2"/>
      <c r="Z107" s="2"/>
      <c r="AA107" s="140">
        <v>0.67</v>
      </c>
      <c r="AB107" s="109" t="e">
        <v>#VALUE!</v>
      </c>
      <c r="AC107" s="140">
        <v>0.67</v>
      </c>
      <c r="AD107" s="109" t="e">
        <v>#VALUE!</v>
      </c>
      <c r="AE107" s="140">
        <v>0.67</v>
      </c>
      <c r="AF107" s="109" t="e">
        <v>#VALUE!</v>
      </c>
      <c r="AG107" s="2"/>
      <c r="AH107" s="2"/>
      <c r="AI107" s="2"/>
    </row>
    <row r="108" spans="1:35" x14ac:dyDescent="0.25">
      <c r="A108" s="20"/>
      <c r="B108" s="33" t="s">
        <v>270</v>
      </c>
      <c r="C108" s="27" t="s">
        <v>271</v>
      </c>
      <c r="D108" s="32"/>
      <c r="E108" s="35"/>
      <c r="F108" s="35"/>
      <c r="G108" s="35"/>
      <c r="H108" s="35"/>
      <c r="I108" s="35"/>
      <c r="J108" s="35"/>
      <c r="K108" s="35"/>
      <c r="L108" s="35"/>
      <c r="M108" s="35"/>
      <c r="N108" s="35"/>
      <c r="O108" s="35"/>
      <c r="P108" s="35"/>
      <c r="Q108" s="35"/>
      <c r="R108" s="35"/>
      <c r="S108" s="35"/>
      <c r="T108" s="35"/>
      <c r="U108" s="35"/>
      <c r="V108" s="35"/>
      <c r="W108" s="35"/>
      <c r="X108" s="35"/>
      <c r="Y108" s="2"/>
      <c r="Z108" s="2"/>
      <c r="AA108" s="108">
        <v>-37.200000000000003</v>
      </c>
      <c r="AB108" s="109" t="e">
        <v>#VALUE!</v>
      </c>
      <c r="AC108" s="108">
        <v>-112.9</v>
      </c>
      <c r="AD108" s="109" t="e">
        <v>#VALUE!</v>
      </c>
      <c r="AE108" s="108">
        <v>289.8</v>
      </c>
      <c r="AF108" s="109" t="e">
        <v>#VALUE!</v>
      </c>
      <c r="AG108" s="2"/>
      <c r="AH108" s="2"/>
      <c r="AI108" s="2"/>
    </row>
    <row r="109" spans="1:35" x14ac:dyDescent="0.25">
      <c r="A109" s="307"/>
      <c r="B109" s="308"/>
      <c r="C109" s="27"/>
      <c r="D109" s="32"/>
      <c r="E109" s="35"/>
      <c r="F109" s="35"/>
      <c r="G109" s="35"/>
      <c r="H109" s="35"/>
      <c r="I109" s="35"/>
      <c r="J109" s="35"/>
      <c r="K109" s="35"/>
      <c r="L109" s="35"/>
      <c r="M109" s="35"/>
      <c r="N109" s="35"/>
      <c r="O109" s="35"/>
      <c r="P109" s="35"/>
      <c r="Q109" s="35"/>
      <c r="R109" s="35"/>
      <c r="S109" s="35"/>
      <c r="T109" s="35"/>
      <c r="U109" s="35"/>
      <c r="V109" s="35"/>
      <c r="W109" s="35"/>
      <c r="X109" s="35"/>
      <c r="Y109" s="2"/>
      <c r="Z109" s="2"/>
      <c r="AA109" s="108"/>
      <c r="AB109" s="109"/>
      <c r="AC109" s="108"/>
      <c r="AD109" s="109"/>
      <c r="AE109" s="108"/>
      <c r="AF109" s="109"/>
      <c r="AG109" s="2"/>
      <c r="AH109" s="2"/>
      <c r="AI109" s="2"/>
    </row>
    <row r="110" spans="1:35" x14ac:dyDescent="0.25">
      <c r="A110" s="20"/>
      <c r="B110" s="30" t="s">
        <v>272</v>
      </c>
      <c r="C110" s="55"/>
      <c r="D110" s="32"/>
      <c r="E110" s="2"/>
      <c r="F110" s="2"/>
      <c r="G110" s="2"/>
      <c r="H110" s="2"/>
      <c r="I110" s="2"/>
      <c r="J110" s="2"/>
      <c r="K110" s="2"/>
      <c r="L110" s="2"/>
      <c r="M110" s="2"/>
      <c r="N110" s="2"/>
      <c r="O110" s="2"/>
      <c r="P110" s="2"/>
      <c r="Q110" s="2"/>
      <c r="R110" s="2"/>
      <c r="S110" s="2"/>
      <c r="T110" s="2"/>
      <c r="U110" s="2"/>
      <c r="V110" s="2"/>
      <c r="W110" s="2"/>
      <c r="X110" s="2"/>
      <c r="Y110" s="2"/>
      <c r="Z110" s="2"/>
      <c r="AA110" s="99"/>
      <c r="AB110" s="3"/>
      <c r="AC110" s="99"/>
      <c r="AD110" s="3"/>
      <c r="AE110" s="99"/>
      <c r="AF110" s="3"/>
      <c r="AG110" s="2"/>
      <c r="AH110" s="2"/>
      <c r="AI110" s="2"/>
    </row>
    <row r="111" spans="1:35" x14ac:dyDescent="0.25">
      <c r="A111" s="20" t="s">
        <v>272</v>
      </c>
      <c r="B111" s="36" t="s">
        <v>272</v>
      </c>
      <c r="C111" s="37" t="s">
        <v>267</v>
      </c>
      <c r="D111" s="38"/>
      <c r="E111" s="51"/>
      <c r="F111" s="51"/>
      <c r="G111" s="51"/>
      <c r="H111" s="51"/>
      <c r="I111" s="51"/>
      <c r="J111" s="51">
        <v>0.13300000000000001</v>
      </c>
      <c r="K111" s="51">
        <v>0.16600000000000001</v>
      </c>
      <c r="L111" s="51">
        <v>0.107</v>
      </c>
      <c r="M111" s="51">
        <v>0.08</v>
      </c>
      <c r="N111" s="51">
        <v>9.0999999999999998E-2</v>
      </c>
      <c r="O111" s="254">
        <f>O113*O103</f>
        <v>0.12532876843095656</v>
      </c>
      <c r="P111" s="254">
        <f t="shared" ref="P111:X111" si="118">P113*P103</f>
        <v>0.14395741414354887</v>
      </c>
      <c r="Q111" s="254">
        <f t="shared" si="118"/>
        <v>0.16230415070903947</v>
      </c>
      <c r="R111" s="254">
        <f t="shared" si="118"/>
        <v>0.18255750380054711</v>
      </c>
      <c r="S111" s="254">
        <f t="shared" si="118"/>
        <v>0.20368728611199205</v>
      </c>
      <c r="T111" s="254">
        <f t="shared" si="118"/>
        <v>0.22649436077796886</v>
      </c>
      <c r="U111" s="254">
        <f t="shared" si="118"/>
        <v>0.25210838829771481</v>
      </c>
      <c r="V111" s="254">
        <f t="shared" si="118"/>
        <v>0.28087874441974719</v>
      </c>
      <c r="W111" s="254">
        <f t="shared" si="118"/>
        <v>0.31320124975230101</v>
      </c>
      <c r="X111" s="254">
        <f t="shared" si="118"/>
        <v>0.39773894886325478</v>
      </c>
      <c r="Y111" s="2"/>
      <c r="Z111" s="2"/>
      <c r="AA111" s="111">
        <v>0</v>
      </c>
      <c r="AB111" s="115">
        <v>9.0999999999999998E-2</v>
      </c>
      <c r="AC111" s="111">
        <v>0</v>
      </c>
      <c r="AD111" s="115" t="e">
        <v>#VALUE!</v>
      </c>
      <c r="AE111" s="111">
        <v>0</v>
      </c>
      <c r="AF111" s="115" t="e">
        <v>#VALUE!</v>
      </c>
      <c r="AG111" s="2"/>
      <c r="AH111" s="2"/>
      <c r="AI111" s="2"/>
    </row>
    <row r="112" spans="1:35" x14ac:dyDescent="0.25">
      <c r="A112" s="20"/>
      <c r="B112" s="36" t="s">
        <v>272</v>
      </c>
      <c r="C112" s="37" t="s">
        <v>67</v>
      </c>
      <c r="D112" s="38"/>
      <c r="E112" s="39"/>
      <c r="F112" s="39"/>
      <c r="G112" s="39"/>
      <c r="H112" s="39"/>
      <c r="I112" s="39"/>
      <c r="J112" s="238">
        <f t="shared" ref="J112:M112" si="119">J111*J99</f>
        <v>35.682570000000005</v>
      </c>
      <c r="K112" s="238">
        <f t="shared" si="119"/>
        <v>44.657319999999999</v>
      </c>
      <c r="L112" s="238">
        <f t="shared" si="119"/>
        <v>28.900700000000001</v>
      </c>
      <c r="M112" s="238">
        <f t="shared" si="119"/>
        <v>21.624000000000002</v>
      </c>
      <c r="N112" s="238">
        <f>N111*N99</f>
        <v>24.642800000000001</v>
      </c>
      <c r="O112" s="238">
        <f t="shared" ref="O112" si="120">O111*O99</f>
        <v>33.93903049110304</v>
      </c>
      <c r="P112" s="238">
        <f t="shared" ref="P112" si="121">P111*P99</f>
        <v>38.983667750073039</v>
      </c>
      <c r="Q112" s="238">
        <f t="shared" ref="Q112" si="122">Q111*Q99</f>
        <v>43.951964012007892</v>
      </c>
      <c r="R112" s="238">
        <f t="shared" ref="R112:S112" si="123">R111*R99</f>
        <v>49.436572029188163</v>
      </c>
      <c r="S112" s="238">
        <f t="shared" si="123"/>
        <v>55.158517079127449</v>
      </c>
      <c r="T112" s="238">
        <f t="shared" ref="T112" si="124">T111*T99</f>
        <v>61.334672898673972</v>
      </c>
      <c r="U112" s="238">
        <f t="shared" ref="U112" si="125">U111*U99</f>
        <v>68.27095155102117</v>
      </c>
      <c r="V112" s="238">
        <f t="shared" ref="V112" si="126">V111*V99</f>
        <v>76.061963988867547</v>
      </c>
      <c r="W112" s="238">
        <f t="shared" ref="W112:X112" si="127">W111*W99</f>
        <v>84.814898432923115</v>
      </c>
      <c r="X112" s="238">
        <f t="shared" si="127"/>
        <v>107.70770735216939</v>
      </c>
      <c r="Y112" s="2"/>
      <c r="Z112" s="2"/>
      <c r="AA112" s="111">
        <v>0</v>
      </c>
      <c r="AB112" s="115">
        <v>24.6</v>
      </c>
      <c r="AC112" s="111">
        <v>0</v>
      </c>
      <c r="AD112" s="115" t="e">
        <v>#VALUE!</v>
      </c>
      <c r="AE112" s="111">
        <v>0</v>
      </c>
      <c r="AF112" s="115" t="e">
        <v>#VALUE!</v>
      </c>
      <c r="AG112" s="2"/>
      <c r="AH112" s="2"/>
      <c r="AI112" s="2"/>
    </row>
    <row r="113" spans="1:35" x14ac:dyDescent="0.25">
      <c r="A113" s="20"/>
      <c r="B113" s="33" t="s">
        <v>273</v>
      </c>
      <c r="C113" s="27" t="s">
        <v>117</v>
      </c>
      <c r="D113" s="32"/>
      <c r="E113" s="29"/>
      <c r="F113" s="29"/>
      <c r="G113" s="29"/>
      <c r="H113" s="29"/>
      <c r="I113" s="29"/>
      <c r="J113" s="41">
        <f t="shared" ref="J113:M113" si="128">J111/J103</f>
        <v>0.7285772177419354</v>
      </c>
      <c r="K113" s="41">
        <f t="shared" si="128"/>
        <v>0.81128781362007174</v>
      </c>
      <c r="L113" s="41">
        <f t="shared" si="128"/>
        <v>0.60726376811594207</v>
      </c>
      <c r="M113" s="41">
        <f t="shared" si="128"/>
        <v>0.60742382271468154</v>
      </c>
      <c r="N113" s="41">
        <f>N111/N103</f>
        <v>0.6151421568627452</v>
      </c>
      <c r="O113" s="141">
        <f>N113</f>
        <v>0.6151421568627452</v>
      </c>
      <c r="P113" s="141">
        <f t="shared" ref="P113:W113" si="129">O113</f>
        <v>0.6151421568627452</v>
      </c>
      <c r="Q113" s="141">
        <f t="shared" si="129"/>
        <v>0.6151421568627452</v>
      </c>
      <c r="R113" s="141">
        <f t="shared" si="129"/>
        <v>0.6151421568627452</v>
      </c>
      <c r="S113" s="141">
        <f t="shared" si="129"/>
        <v>0.6151421568627452</v>
      </c>
      <c r="T113" s="141">
        <f t="shared" si="129"/>
        <v>0.6151421568627452</v>
      </c>
      <c r="U113" s="141">
        <f t="shared" si="129"/>
        <v>0.6151421568627452</v>
      </c>
      <c r="V113" s="141">
        <f t="shared" si="129"/>
        <v>0.6151421568627452</v>
      </c>
      <c r="W113" s="141">
        <f t="shared" si="129"/>
        <v>0.6151421568627452</v>
      </c>
      <c r="X113" s="141">
        <f>Value!$K$9</f>
        <v>0.7</v>
      </c>
      <c r="Y113" s="2"/>
      <c r="Z113" s="2"/>
      <c r="AA113" s="113">
        <v>0</v>
      </c>
      <c r="AB113" s="114">
        <v>0.62</v>
      </c>
      <c r="AC113" s="113">
        <v>0</v>
      </c>
      <c r="AD113" s="114">
        <v>0.61</v>
      </c>
      <c r="AE113" s="113">
        <v>0</v>
      </c>
      <c r="AF113" s="114">
        <v>0.61</v>
      </c>
      <c r="AG113" s="2"/>
      <c r="AH113" s="2"/>
      <c r="AI113" s="2"/>
    </row>
    <row r="114" spans="1:35" x14ac:dyDescent="0.25">
      <c r="A114" s="20"/>
      <c r="B114" s="33" t="s">
        <v>274</v>
      </c>
      <c r="C114" s="27" t="s">
        <v>117</v>
      </c>
      <c r="D114" s="32"/>
      <c r="E114" s="29"/>
      <c r="F114" s="29"/>
      <c r="G114" s="29"/>
      <c r="H114" s="29"/>
      <c r="I114" s="29"/>
      <c r="J114" s="250">
        <f>J111/Value!$D$4</f>
        <v>5.6595744680851066E-2</v>
      </c>
      <c r="K114" s="250">
        <f>K111/Value!$D$4</f>
        <v>7.0638297872340425E-2</v>
      </c>
      <c r="L114" s="250">
        <f>L111/Value!$D$4</f>
        <v>4.553191489361702E-2</v>
      </c>
      <c r="M114" s="250">
        <f>M111/Value!$D$4</f>
        <v>3.4042553191489362E-2</v>
      </c>
      <c r="N114" s="250">
        <f>N111/Value!$D$4</f>
        <v>3.8723404255319144E-2</v>
      </c>
      <c r="O114" s="250">
        <f>O111/Value!$D$4</f>
        <v>5.3331390821683637E-2</v>
      </c>
      <c r="P114" s="250">
        <f>P111/Value!$D$4</f>
        <v>6.1258474103637814E-2</v>
      </c>
      <c r="Q114" s="250">
        <f>Q111/Value!$D$4</f>
        <v>6.906559604639978E-2</v>
      </c>
      <c r="R114" s="250">
        <f>R111/Value!$D$4</f>
        <v>7.7684044170445582E-2</v>
      </c>
      <c r="S114" s="250">
        <f>S111/Value!$D$4</f>
        <v>8.6675440898720021E-2</v>
      </c>
      <c r="T114" s="250">
        <f>T111/Value!$D$4</f>
        <v>9.6380579054454837E-2</v>
      </c>
      <c r="U114" s="250">
        <f>U111/Value!$D$4</f>
        <v>0.10728016523307013</v>
      </c>
      <c r="V114" s="250">
        <f>V111/Value!$D$4</f>
        <v>0.11952286996584986</v>
      </c>
      <c r="W114" s="250">
        <f>W111/Value!$D$4</f>
        <v>0.13327712755417065</v>
      </c>
      <c r="X114" s="250">
        <f>X111/Value!$D$4</f>
        <v>0.16925061653755522</v>
      </c>
      <c r="Y114" s="2"/>
      <c r="Z114" s="2"/>
      <c r="AA114" s="128">
        <v>0</v>
      </c>
      <c r="AB114" s="107" t="e">
        <v>#VALUE!</v>
      </c>
      <c r="AC114" s="128">
        <v>0</v>
      </c>
      <c r="AD114" s="107" t="e">
        <v>#VALUE!</v>
      </c>
      <c r="AE114" s="128">
        <v>0</v>
      </c>
      <c r="AF114" s="107" t="e">
        <v>#VALUE!</v>
      </c>
      <c r="AG114" s="2"/>
      <c r="AH114" s="2"/>
      <c r="AI114" s="2"/>
    </row>
    <row r="115" spans="1:35" x14ac:dyDescent="0.25">
      <c r="A115" s="20"/>
      <c r="B115" s="33" t="s">
        <v>275</v>
      </c>
      <c r="C115" s="27" t="s">
        <v>77</v>
      </c>
      <c r="D115" s="32"/>
      <c r="E115" s="29"/>
      <c r="F115" s="29"/>
      <c r="G115" s="29"/>
      <c r="H115" s="29"/>
      <c r="I115" s="29"/>
      <c r="J115" s="226" t="e">
        <f t="shared" ref="J115:M115" si="130">J111/I111-1</f>
        <v>#DIV/0!</v>
      </c>
      <c r="K115" s="226">
        <f t="shared" si="130"/>
        <v>0.24812030075187974</v>
      </c>
      <c r="L115" s="226">
        <f t="shared" si="130"/>
        <v>-0.35542168674698804</v>
      </c>
      <c r="M115" s="226">
        <f t="shared" si="130"/>
        <v>-0.25233644859813076</v>
      </c>
      <c r="N115" s="226">
        <f>N111/M111-1</f>
        <v>0.13749999999999996</v>
      </c>
      <c r="O115" s="226">
        <f t="shared" ref="O115:X115" si="131">O111/N111-1</f>
        <v>0.37723921352699508</v>
      </c>
      <c r="P115" s="226">
        <f t="shared" si="131"/>
        <v>0.14863822525196846</v>
      </c>
      <c r="Q115" s="226">
        <f t="shared" si="131"/>
        <v>0.12744558294994057</v>
      </c>
      <c r="R115" s="226">
        <f t="shared" si="131"/>
        <v>0.12478641490700726</v>
      </c>
      <c r="S115" s="226">
        <f t="shared" si="131"/>
        <v>0.11574315967055648</v>
      </c>
      <c r="T115" s="226">
        <f t="shared" si="131"/>
        <v>0.11197102726105812</v>
      </c>
      <c r="U115" s="226">
        <f t="shared" si="131"/>
        <v>0.11308902981851832</v>
      </c>
      <c r="V115" s="226">
        <f t="shared" si="131"/>
        <v>0.11411899586640284</v>
      </c>
      <c r="W115" s="226">
        <f t="shared" si="131"/>
        <v>0.11507636649162323</v>
      </c>
      <c r="X115" s="226">
        <f t="shared" si="131"/>
        <v>0.26991494822517925</v>
      </c>
      <c r="Y115" s="2"/>
      <c r="Z115" s="2"/>
      <c r="AA115" s="106" t="e">
        <v>#DIV/0!</v>
      </c>
      <c r="AB115" s="107" t="e">
        <v>#DIV/0!</v>
      </c>
      <c r="AC115" s="106" t="e">
        <v>#DIV/0!</v>
      </c>
      <c r="AD115" s="107" t="e">
        <v>#VALUE!</v>
      </c>
      <c r="AE115" s="106" t="e">
        <v>#DIV/0!</v>
      </c>
      <c r="AF115" s="107" t="e">
        <v>#VALUE!</v>
      </c>
      <c r="AG115" s="2"/>
      <c r="AH115" s="2"/>
      <c r="AI115" s="2"/>
    </row>
    <row r="116" spans="1:35" x14ac:dyDescent="0.25">
      <c r="A116" s="307"/>
      <c r="B116" s="308"/>
      <c r="C116" s="60"/>
      <c r="D116" s="32"/>
      <c r="E116" s="35"/>
      <c r="F116" s="35"/>
      <c r="G116" s="35"/>
      <c r="H116" s="35"/>
      <c r="I116" s="35"/>
      <c r="J116" s="35"/>
      <c r="K116" s="35"/>
      <c r="L116" s="35"/>
      <c r="M116" s="35"/>
      <c r="N116" s="35"/>
      <c r="O116" s="35"/>
      <c r="P116" s="35"/>
      <c r="Q116" s="35"/>
      <c r="R116" s="35"/>
      <c r="S116" s="35"/>
      <c r="T116" s="35"/>
      <c r="U116" s="35"/>
      <c r="V116" s="35"/>
      <c r="W116" s="35"/>
      <c r="X116" s="35"/>
      <c r="Y116" s="2"/>
      <c r="Z116" s="2"/>
      <c r="AA116" s="108"/>
      <c r="AB116" s="109"/>
      <c r="AC116" s="108"/>
      <c r="AD116" s="109"/>
      <c r="AE116" s="108"/>
      <c r="AF116" s="109"/>
      <c r="AG116" s="2"/>
      <c r="AH116" s="2"/>
      <c r="AI116" s="2"/>
    </row>
    <row r="117" spans="1:35" x14ac:dyDescent="0.25">
      <c r="A117" s="20"/>
      <c r="B117" s="56" t="s">
        <v>160</v>
      </c>
      <c r="C117" s="57"/>
      <c r="D117" s="58"/>
      <c r="E117" s="59"/>
      <c r="F117" s="59"/>
      <c r="G117" s="59"/>
      <c r="H117" s="59">
        <v>2019</v>
      </c>
      <c r="I117" s="59">
        <v>2020</v>
      </c>
      <c r="J117" s="59">
        <v>2021</v>
      </c>
      <c r="K117" s="59">
        <v>2022</v>
      </c>
      <c r="L117" s="59">
        <v>2023</v>
      </c>
      <c r="M117" s="59">
        <v>2024</v>
      </c>
      <c r="N117" s="59">
        <v>2025</v>
      </c>
      <c r="O117" s="59">
        <v>2026</v>
      </c>
      <c r="P117" s="59">
        <v>2027</v>
      </c>
      <c r="Q117" s="59">
        <v>2028</v>
      </c>
      <c r="R117" s="59">
        <v>2029</v>
      </c>
      <c r="S117" s="59">
        <v>2030</v>
      </c>
      <c r="T117" s="59">
        <v>2031</v>
      </c>
      <c r="U117" s="59">
        <v>2032</v>
      </c>
      <c r="V117" s="59">
        <v>2033</v>
      </c>
      <c r="W117" s="59">
        <v>2034</v>
      </c>
      <c r="X117" s="59">
        <v>2035</v>
      </c>
      <c r="Y117" s="2"/>
      <c r="Z117" s="2"/>
      <c r="AA117" s="59">
        <v>2025</v>
      </c>
      <c r="AB117" s="142">
        <v>0</v>
      </c>
      <c r="AC117" s="59">
        <v>2026</v>
      </c>
      <c r="AD117" s="142">
        <v>0</v>
      </c>
      <c r="AE117" s="59">
        <v>2027</v>
      </c>
      <c r="AF117" s="142">
        <v>0</v>
      </c>
      <c r="AG117" s="2"/>
      <c r="AH117" s="2"/>
      <c r="AI117" s="2"/>
    </row>
    <row r="118" spans="1:35" x14ac:dyDescent="0.25">
      <c r="A118" s="307"/>
      <c r="B118" s="308"/>
      <c r="C118" s="60"/>
      <c r="D118" s="32"/>
      <c r="E118" s="35"/>
      <c r="F118" s="35"/>
      <c r="G118" s="35"/>
      <c r="H118" s="34"/>
      <c r="I118" s="34"/>
      <c r="J118" s="34"/>
      <c r="K118" s="34"/>
      <c r="L118" s="34"/>
      <c r="M118" s="34"/>
      <c r="N118" s="34"/>
      <c r="O118" s="35"/>
      <c r="P118" s="35"/>
      <c r="Q118" s="35"/>
      <c r="R118" s="35"/>
      <c r="S118" s="35"/>
      <c r="T118" s="35"/>
      <c r="U118" s="35"/>
      <c r="V118" s="35"/>
      <c r="W118" s="35"/>
      <c r="X118" s="35"/>
      <c r="Y118" s="2"/>
      <c r="Z118" s="2"/>
      <c r="AA118" s="108"/>
      <c r="AB118" s="109"/>
      <c r="AC118" s="108"/>
      <c r="AD118" s="109"/>
      <c r="AE118" s="108"/>
      <c r="AF118" s="109"/>
      <c r="AG118" s="2"/>
      <c r="AH118" s="2"/>
      <c r="AI118" s="2"/>
    </row>
    <row r="119" spans="1:35" x14ac:dyDescent="0.25">
      <c r="A119" s="20"/>
      <c r="B119" s="61" t="s">
        <v>97</v>
      </c>
      <c r="C119" s="60"/>
      <c r="D119" s="32"/>
      <c r="E119" s="35"/>
      <c r="F119" s="35"/>
      <c r="G119" s="35"/>
      <c r="H119" s="34"/>
      <c r="I119" s="34"/>
      <c r="J119" s="34"/>
      <c r="K119" s="34"/>
      <c r="L119" s="34"/>
      <c r="M119" s="34"/>
      <c r="N119" s="34"/>
      <c r="O119" s="35"/>
      <c r="P119" s="35"/>
      <c r="Q119" s="35"/>
      <c r="R119" s="35"/>
      <c r="S119" s="35"/>
      <c r="T119" s="35"/>
      <c r="U119" s="35"/>
      <c r="V119" s="35"/>
      <c r="W119" s="35"/>
      <c r="X119" s="35"/>
      <c r="Y119" s="2"/>
      <c r="Z119" s="2"/>
      <c r="AA119" s="108"/>
      <c r="AB119" s="109"/>
      <c r="AC119" s="108"/>
      <c r="AD119" s="109"/>
      <c r="AE119" s="108"/>
      <c r="AF119" s="109"/>
      <c r="AG119" s="2"/>
      <c r="AH119" s="2"/>
      <c r="AI119" s="2"/>
    </row>
    <row r="120" spans="1:35" x14ac:dyDescent="0.25">
      <c r="A120" s="307"/>
      <c r="B120" s="308"/>
      <c r="C120" s="60"/>
      <c r="D120" s="32"/>
      <c r="E120" s="35"/>
      <c r="F120" s="35"/>
      <c r="G120" s="35"/>
      <c r="H120" s="34"/>
      <c r="I120" s="34"/>
      <c r="J120" s="34"/>
      <c r="K120" s="34"/>
      <c r="L120" s="34"/>
      <c r="M120" s="34"/>
      <c r="N120" s="34"/>
      <c r="O120" s="35"/>
      <c r="P120" s="35"/>
      <c r="Q120" s="35"/>
      <c r="R120" s="35"/>
      <c r="S120" s="35"/>
      <c r="T120" s="35"/>
      <c r="U120" s="35"/>
      <c r="V120" s="35"/>
      <c r="W120" s="35"/>
      <c r="X120" s="35"/>
      <c r="Y120" s="2"/>
      <c r="Z120" s="2"/>
      <c r="AA120" s="108"/>
      <c r="AB120" s="109"/>
      <c r="AC120" s="108"/>
      <c r="AD120" s="109"/>
      <c r="AE120" s="108"/>
      <c r="AF120" s="109"/>
      <c r="AG120" s="2"/>
      <c r="AH120" s="2"/>
      <c r="AI120" s="2"/>
    </row>
    <row r="121" spans="1:35" x14ac:dyDescent="0.25">
      <c r="A121" s="20"/>
      <c r="B121" s="30" t="s">
        <v>161</v>
      </c>
      <c r="C121" s="60"/>
      <c r="D121" s="32"/>
      <c r="E121" s="35"/>
      <c r="F121" s="35"/>
      <c r="G121" s="35"/>
      <c r="H121" s="34"/>
      <c r="I121" s="34"/>
      <c r="J121" s="34"/>
      <c r="K121" s="34"/>
      <c r="L121" s="34"/>
      <c r="M121" s="34"/>
      <c r="N121" s="34"/>
      <c r="O121" s="35"/>
      <c r="P121" s="35"/>
      <c r="Q121" s="35"/>
      <c r="R121" s="35"/>
      <c r="S121" s="35"/>
      <c r="T121" s="35"/>
      <c r="U121" s="35"/>
      <c r="V121" s="35"/>
      <c r="W121" s="35"/>
      <c r="X121" s="35"/>
      <c r="Y121" s="2"/>
      <c r="Z121" s="2"/>
      <c r="AA121" s="108"/>
      <c r="AB121" s="109"/>
      <c r="AC121" s="108"/>
      <c r="AD121" s="109"/>
      <c r="AE121" s="108"/>
      <c r="AF121" s="109"/>
      <c r="AG121" s="2"/>
      <c r="AH121" s="2"/>
      <c r="AI121" s="2"/>
    </row>
    <row r="122" spans="1:35" x14ac:dyDescent="0.25">
      <c r="A122" s="20" t="s">
        <v>162</v>
      </c>
      <c r="B122" s="33" t="s">
        <v>163</v>
      </c>
      <c r="C122" s="60" t="s">
        <v>67</v>
      </c>
      <c r="D122" s="32" t="s">
        <v>164</v>
      </c>
      <c r="E122" s="35"/>
      <c r="F122" s="63">
        <v>34337</v>
      </c>
      <c r="G122" s="63">
        <v>35341</v>
      </c>
      <c r="H122" s="63">
        <v>31281</v>
      </c>
      <c r="I122" s="63">
        <v>34065</v>
      </c>
      <c r="J122" s="63">
        <v>43632</v>
      </c>
      <c r="K122" s="63">
        <v>59393</v>
      </c>
      <c r="L122" s="63">
        <v>53630</v>
      </c>
      <c r="M122" s="63">
        <v>55181</v>
      </c>
      <c r="N122" s="63">
        <v>63464</v>
      </c>
      <c r="O122" s="62">
        <f>INDEX(Segments!$A:$AJ,MATCH(Annual!$A122,Segments!$A:$A,0),MATCH("1H"&amp;RIGHT(Annual!O$1,2),Segments!$A$3:$AJ$3,0))+INDEX(Segments!$A:$AJ,MATCH(Annual!$A122,Segments!$A:$A,0),MATCH("2H"&amp;RIGHT(Annual!O$1,2),Segments!$A$3:$AJ$3,0))</f>
        <v>74575.600000000006</v>
      </c>
      <c r="P122" s="62">
        <f>INDEX(Segments!$A:$AJ,MATCH(Annual!$A122,Segments!$A:$A,0),MATCH("1H"&amp;RIGHT(Annual!P$1,2),Segments!$A$3:$AJ$3,0))+INDEX(Segments!$A:$AJ,MATCH(Annual!$A122,Segments!$A:$A,0),MATCH("2H"&amp;RIGHT(Annual!P$1,2),Segments!$A$3:$AJ$3,0))</f>
        <v>82033.16</v>
      </c>
      <c r="Q122" s="62">
        <f>INDEX(Segments!$A:$AJ,MATCH(Annual!$A122,Segments!$A:$A,0),MATCH("1H"&amp;RIGHT(Annual!Q$1,2),Segments!$A$3:$AJ$3,0))+INDEX(Segments!$A:$AJ,MATCH(Annual!$A122,Segments!$A:$A,0),MATCH("2H"&amp;RIGHT(Annual!Q$1,2),Segments!$A$3:$AJ$3,0))</f>
        <v>86955.149600000004</v>
      </c>
      <c r="R122" s="62">
        <f>INDEX(Segments!$A:$AJ,MATCH(Annual!$A122,Segments!$A:$A,0),MATCH("1H"&amp;RIGHT(Annual!R$1,2),Segments!$A$3:$AJ$3,0))+INDEX(Segments!$A:$AJ,MATCH(Annual!$A122,Segments!$A:$A,0),MATCH("2H"&amp;RIGHT(Annual!R$1,2),Segments!$A$3:$AJ$3,0))</f>
        <v>92172.458576000005</v>
      </c>
      <c r="S122" s="62">
        <f>INDEX(Segments!$A:$AJ,MATCH(Annual!$A122,Segments!$A:$A,0),MATCH("1H"&amp;RIGHT(Annual!S$1,2),Segments!$A$3:$AJ$3,0))+INDEX(Segments!$A:$AJ,MATCH(Annual!$A122,Segments!$A:$A,0),MATCH("2H"&amp;RIGHT(Annual!S$1,2),Segments!$A$3:$AJ$3,0))</f>
        <v>97702.806090560014</v>
      </c>
      <c r="T122" s="62">
        <f>INDEX(Segments!$A:$AJ,MATCH(Annual!$A122,Segments!$A:$A,0),MATCH("1H"&amp;RIGHT(Annual!T$1,2),Segments!$A$3:$AJ$3,0))+INDEX(Segments!$A:$AJ,MATCH(Annual!$A122,Segments!$A:$A,0),MATCH("2H"&amp;RIGHT(Annual!T$1,2),Segments!$A$3:$AJ$3,0))</f>
        <v>103564.97445599362</v>
      </c>
      <c r="U122" s="62">
        <f>INDEX(Segments!$A:$AJ,MATCH(Annual!$A122,Segments!$A:$A,0),MATCH("1H"&amp;RIGHT(Annual!U$1,2),Segments!$A$3:$AJ$3,0))+INDEX(Segments!$A:$AJ,MATCH(Annual!$A122,Segments!$A:$A,0),MATCH("2H"&amp;RIGHT(Annual!U$1,2),Segments!$A$3:$AJ$3,0))</f>
        <v>109778.87292335325</v>
      </c>
      <c r="V122" s="62">
        <f>INDEX(Segments!$A:$AJ,MATCH(Annual!$A122,Segments!$A:$A,0),MATCH("1H"&amp;RIGHT(Annual!V$1,2),Segments!$A$3:$AJ$3,0))+INDEX(Segments!$A:$AJ,MATCH(Annual!$A122,Segments!$A:$A,0),MATCH("2H"&amp;RIGHT(Annual!V$1,2),Segments!$A$3:$AJ$3,0))</f>
        <v>116365.60529875447</v>
      </c>
      <c r="W122" s="62">
        <f>INDEX(Segments!$A:$AJ,MATCH(Annual!$A122,Segments!$A:$A,0),MATCH("1H"&amp;RIGHT(Annual!W$1,2),Segments!$A$3:$AJ$3,0))+INDEX(Segments!$A:$AJ,MATCH(Annual!$A122,Segments!$A:$A,0),MATCH("2H"&amp;RIGHT(Annual!W$1,2),Segments!$A$3:$AJ$3,0))</f>
        <v>123347.54161667972</v>
      </c>
      <c r="X122" s="62">
        <f>INDEX(Segments!$A:$AJ,MATCH(Annual!$A122,Segments!$A:$A,0),MATCH("1H"&amp;RIGHT(Annual!X$1,2),Segments!$A$3:$AJ$3,0))+INDEX(Segments!$A:$AJ,MATCH(Annual!$A122,Segments!$A:$A,0),MATCH("2H"&amp;RIGHT(Annual!X$1,2),Segments!$A$3:$AJ$3,0))</f>
        <v>130748.39411368052</v>
      </c>
      <c r="Y122" s="2"/>
      <c r="Z122" s="2"/>
      <c r="AA122" s="108"/>
      <c r="AB122" s="109"/>
      <c r="AC122" s="108"/>
      <c r="AD122" s="109"/>
      <c r="AE122" s="108"/>
      <c r="AF122" s="109"/>
      <c r="AG122" s="2"/>
      <c r="AH122" s="2"/>
      <c r="AI122" s="2"/>
    </row>
    <row r="123" spans="1:35" x14ac:dyDescent="0.25">
      <c r="A123" s="20" t="s">
        <v>165</v>
      </c>
      <c r="B123" s="33" t="s">
        <v>166</v>
      </c>
      <c r="C123" s="60" t="s">
        <v>67</v>
      </c>
      <c r="D123" s="32"/>
      <c r="E123" s="35"/>
      <c r="F123" s="63">
        <v>2680</v>
      </c>
      <c r="G123" s="63">
        <v>3223</v>
      </c>
      <c r="H123" s="63">
        <v>3153</v>
      </c>
      <c r="I123" s="63">
        <v>3141</v>
      </c>
      <c r="J123" s="63">
        <v>3450</v>
      </c>
      <c r="K123" s="63">
        <v>5586</v>
      </c>
      <c r="L123" s="63">
        <v>3604</v>
      </c>
      <c r="M123" s="63">
        <v>3564</v>
      </c>
      <c r="N123" s="63">
        <v>4394</v>
      </c>
      <c r="O123" s="35">
        <f>INDEX(Segments!$A:$AJ,MATCH(Annual!$A123,Segments!$A:$A,0),MATCH("1H"&amp;RIGHT(Annual!O$1,2),Segments!$A$3:$AJ$3,0))+INDEX(Segments!$A:$AJ,MATCH(Annual!$A123,Segments!$A:$A,0),MATCH("2H"&amp;RIGHT(Annual!O$1,2),Segments!$A$3:$AJ$3,0))</f>
        <v>0</v>
      </c>
      <c r="P123" s="35">
        <f>INDEX(Segments!$A:$AJ,MATCH(Annual!$A123,Segments!$A:$A,0),MATCH("1H"&amp;RIGHT(Annual!P$1,2),Segments!$A$3:$AJ$3,0))+INDEX(Segments!$A:$AJ,MATCH(Annual!$A123,Segments!$A:$A,0),MATCH("2H"&amp;RIGHT(Annual!P$1,2),Segments!$A$3:$AJ$3,0))</f>
        <v>0</v>
      </c>
      <c r="Q123" s="35">
        <f>INDEX(Segments!$A:$AJ,MATCH(Annual!$A123,Segments!$A:$A,0),MATCH("1H"&amp;RIGHT(Annual!Q$1,2),Segments!$A$3:$AJ$3,0))+INDEX(Segments!$A:$AJ,MATCH(Annual!$A123,Segments!$A:$A,0),MATCH("2H"&amp;RIGHT(Annual!Q$1,2),Segments!$A$3:$AJ$3,0))</f>
        <v>0</v>
      </c>
      <c r="R123" s="35">
        <f>INDEX(Segments!$A:$AJ,MATCH(Annual!$A123,Segments!$A:$A,0),MATCH("1H"&amp;RIGHT(Annual!R$1,2),Segments!$A$3:$AJ$3,0))+INDEX(Segments!$A:$AJ,MATCH(Annual!$A123,Segments!$A:$A,0),MATCH("2H"&amp;RIGHT(Annual!R$1,2),Segments!$A$3:$AJ$3,0))</f>
        <v>0</v>
      </c>
      <c r="S123" s="35">
        <f>INDEX(Segments!$A:$AJ,MATCH(Annual!$A123,Segments!$A:$A,0),MATCH("1H"&amp;RIGHT(Annual!S$1,2),Segments!$A$3:$AJ$3,0))+INDEX(Segments!$A:$AJ,MATCH(Annual!$A123,Segments!$A:$A,0),MATCH("2H"&amp;RIGHT(Annual!S$1,2),Segments!$A$3:$AJ$3,0))</f>
        <v>0</v>
      </c>
      <c r="T123" s="35">
        <f>INDEX(Segments!$A:$AJ,MATCH(Annual!$A123,Segments!$A:$A,0),MATCH("1H"&amp;RIGHT(Annual!T$1,2),Segments!$A$3:$AJ$3,0))+INDEX(Segments!$A:$AJ,MATCH(Annual!$A123,Segments!$A:$A,0),MATCH("2H"&amp;RIGHT(Annual!T$1,2),Segments!$A$3:$AJ$3,0))</f>
        <v>0</v>
      </c>
      <c r="U123" s="35">
        <f>INDEX(Segments!$A:$AJ,MATCH(Annual!$A123,Segments!$A:$A,0),MATCH("1H"&amp;RIGHT(Annual!U$1,2),Segments!$A$3:$AJ$3,0))+INDEX(Segments!$A:$AJ,MATCH(Annual!$A123,Segments!$A:$A,0),MATCH("2H"&amp;RIGHT(Annual!U$1,2),Segments!$A$3:$AJ$3,0))</f>
        <v>0</v>
      </c>
      <c r="V123" s="35">
        <f>INDEX(Segments!$A:$AJ,MATCH(Annual!$A123,Segments!$A:$A,0),MATCH("1H"&amp;RIGHT(Annual!V$1,2),Segments!$A$3:$AJ$3,0))+INDEX(Segments!$A:$AJ,MATCH(Annual!$A123,Segments!$A:$A,0),MATCH("2H"&amp;RIGHT(Annual!V$1,2),Segments!$A$3:$AJ$3,0))</f>
        <v>0</v>
      </c>
      <c r="W123" s="35">
        <f>INDEX(Segments!$A:$AJ,MATCH(Annual!$A123,Segments!$A:$A,0),MATCH("1H"&amp;RIGHT(Annual!W$1,2),Segments!$A$3:$AJ$3,0))+INDEX(Segments!$A:$AJ,MATCH(Annual!$A123,Segments!$A:$A,0),MATCH("2H"&amp;RIGHT(Annual!W$1,2),Segments!$A$3:$AJ$3,0))</f>
        <v>0</v>
      </c>
      <c r="X123" s="35">
        <f>INDEX(Segments!$A:$AJ,MATCH(Annual!$A123,Segments!$A:$A,0),MATCH("1H"&amp;RIGHT(Annual!X$1,2),Segments!$A$3:$AJ$3,0))+INDEX(Segments!$A:$AJ,MATCH(Annual!$A123,Segments!$A:$A,0),MATCH("2H"&amp;RIGHT(Annual!X$1,2),Segments!$A$3:$AJ$3,0))</f>
        <v>0</v>
      </c>
      <c r="Y123" s="2"/>
      <c r="Z123" s="2"/>
      <c r="AA123" s="108"/>
      <c r="AB123" s="109"/>
      <c r="AC123" s="108"/>
      <c r="AD123" s="109"/>
      <c r="AE123" s="108"/>
      <c r="AF123" s="109"/>
      <c r="AG123" s="2"/>
      <c r="AH123" s="2"/>
      <c r="AI123" s="2"/>
    </row>
    <row r="124" spans="1:35" x14ac:dyDescent="0.25">
      <c r="A124" s="20" t="s">
        <v>167</v>
      </c>
      <c r="B124" s="33" t="s">
        <v>168</v>
      </c>
      <c r="C124" s="60" t="s">
        <v>67</v>
      </c>
      <c r="D124" s="32"/>
      <c r="E124" s="35"/>
      <c r="F124" s="63">
        <v>2842</v>
      </c>
      <c r="G124" s="63">
        <v>2623</v>
      </c>
      <c r="H124" s="63">
        <v>2335</v>
      </c>
      <c r="I124" s="63">
        <v>2290</v>
      </c>
      <c r="J124" s="63">
        <v>2322</v>
      </c>
      <c r="K124" s="63">
        <v>3887</v>
      </c>
      <c r="L124" s="63">
        <v>3783</v>
      </c>
      <c r="M124" s="63">
        <v>4453</v>
      </c>
      <c r="N124" s="63">
        <v>5059</v>
      </c>
      <c r="O124" s="62">
        <f>INDEX(Segments!$A:$AJ,MATCH(Annual!$A124,Segments!$A:$A,0),MATCH("1H"&amp;RIGHT(Annual!O$1,2),Segments!$A$3:$AJ$3,0))+INDEX(Segments!$A:$AJ,MATCH(Annual!$A124,Segments!$A:$A,0),MATCH("2H"&amp;RIGHT(Annual!O$1,2),Segments!$A$3:$AJ$3,0))</f>
        <v>5817.8499999999995</v>
      </c>
      <c r="P124" s="62">
        <f>INDEX(Segments!$A:$AJ,MATCH(Annual!$A124,Segments!$A:$A,0),MATCH("1H"&amp;RIGHT(Annual!P$1,2),Segments!$A$3:$AJ$3,0))+INDEX(Segments!$A:$AJ,MATCH(Annual!$A124,Segments!$A:$A,0),MATCH("2H"&amp;RIGHT(Annual!P$1,2),Segments!$A$3:$AJ$3,0))</f>
        <v>6690.5274999999983</v>
      </c>
      <c r="Q124" s="62">
        <f>INDEX(Segments!$A:$AJ,MATCH(Annual!$A124,Segments!$A:$A,0),MATCH("1H"&amp;RIGHT(Annual!Q$1,2),Segments!$A$3:$AJ$3,0))+INDEX(Segments!$A:$AJ,MATCH(Annual!$A124,Segments!$A:$A,0),MATCH("2H"&amp;RIGHT(Annual!Q$1,2),Segments!$A$3:$AJ$3,0))</f>
        <v>7694.1066249999985</v>
      </c>
      <c r="R124" s="62">
        <f>INDEX(Segments!$A:$AJ,MATCH(Annual!$A124,Segments!$A:$A,0),MATCH("1H"&amp;RIGHT(Annual!R$1,2),Segments!$A$3:$AJ$3,0))+INDEX(Segments!$A:$AJ,MATCH(Annual!$A124,Segments!$A:$A,0),MATCH("2H"&amp;RIGHT(Annual!R$1,2),Segments!$A$3:$AJ$3,0))</f>
        <v>8848.2226187499964</v>
      </c>
      <c r="S124" s="62">
        <f>INDEX(Segments!$A:$AJ,MATCH(Annual!$A124,Segments!$A:$A,0),MATCH("1H"&amp;RIGHT(Annual!S$1,2),Segments!$A$3:$AJ$3,0))+INDEX(Segments!$A:$AJ,MATCH(Annual!$A124,Segments!$A:$A,0),MATCH("2H"&amp;RIGHT(Annual!S$1,2),Segments!$A$3:$AJ$3,0))</f>
        <v>10175.456011562495</v>
      </c>
      <c r="T124" s="62">
        <f>INDEX(Segments!$A:$AJ,MATCH(Annual!$A124,Segments!$A:$A,0),MATCH("1H"&amp;RIGHT(Annual!T$1,2),Segments!$A$3:$AJ$3,0))+INDEX(Segments!$A:$AJ,MATCH(Annual!$A124,Segments!$A:$A,0),MATCH("2H"&amp;RIGHT(Annual!T$1,2),Segments!$A$3:$AJ$3,0))</f>
        <v>10785.983372256243</v>
      </c>
      <c r="U124" s="62">
        <f>INDEX(Segments!$A:$AJ,MATCH(Annual!$A124,Segments!$A:$A,0),MATCH("1H"&amp;RIGHT(Annual!U$1,2),Segments!$A$3:$AJ$3,0))+INDEX(Segments!$A:$AJ,MATCH(Annual!$A124,Segments!$A:$A,0),MATCH("2H"&amp;RIGHT(Annual!U$1,2),Segments!$A$3:$AJ$3,0))</f>
        <v>11433.142374591618</v>
      </c>
      <c r="V124" s="62">
        <f>INDEX(Segments!$A:$AJ,MATCH(Annual!$A124,Segments!$A:$A,0),MATCH("1H"&amp;RIGHT(Annual!V$1,2),Segments!$A$3:$AJ$3,0))+INDEX(Segments!$A:$AJ,MATCH(Annual!$A124,Segments!$A:$A,0),MATCH("2H"&amp;RIGHT(Annual!V$1,2),Segments!$A$3:$AJ$3,0))</f>
        <v>12119.130917067117</v>
      </c>
      <c r="W124" s="62">
        <f>INDEX(Segments!$A:$AJ,MATCH(Annual!$A124,Segments!$A:$A,0),MATCH("1H"&amp;RIGHT(Annual!W$1,2),Segments!$A$3:$AJ$3,0))+INDEX(Segments!$A:$AJ,MATCH(Annual!$A124,Segments!$A:$A,0),MATCH("2H"&amp;RIGHT(Annual!W$1,2),Segments!$A$3:$AJ$3,0))</f>
        <v>12846.278772091144</v>
      </c>
      <c r="X124" s="62">
        <f>INDEX(Segments!$A:$AJ,MATCH(Annual!$A124,Segments!$A:$A,0),MATCH("1H"&amp;RIGHT(Annual!X$1,2),Segments!$A$3:$AJ$3,0))+INDEX(Segments!$A:$AJ,MATCH(Annual!$A124,Segments!$A:$A,0),MATCH("2H"&amp;RIGHT(Annual!X$1,2),Segments!$A$3:$AJ$3,0))</f>
        <v>13617.055498416616</v>
      </c>
      <c r="Y124" s="2"/>
      <c r="Z124" s="2"/>
      <c r="AA124" s="108"/>
      <c r="AB124" s="109"/>
      <c r="AC124" s="108"/>
      <c r="AD124" s="109"/>
      <c r="AE124" s="108"/>
      <c r="AF124" s="109"/>
      <c r="AG124" s="2"/>
      <c r="AH124" s="2"/>
      <c r="AI124" s="2"/>
    </row>
    <row r="125" spans="1:35" x14ac:dyDescent="0.25">
      <c r="A125" s="20" t="s">
        <v>169</v>
      </c>
      <c r="B125" s="64" t="s">
        <v>170</v>
      </c>
      <c r="C125" s="65" t="s">
        <v>67</v>
      </c>
      <c r="D125" s="66"/>
      <c r="E125" s="67"/>
      <c r="F125" s="68">
        <v>0</v>
      </c>
      <c r="G125" s="68">
        <v>0</v>
      </c>
      <c r="H125" s="68">
        <v>0</v>
      </c>
      <c r="I125" s="68">
        <v>0</v>
      </c>
      <c r="J125" s="68">
        <v>647</v>
      </c>
      <c r="K125" s="70">
        <v>1505</v>
      </c>
      <c r="L125" s="70">
        <v>2611</v>
      </c>
      <c r="M125" s="70">
        <v>3171</v>
      </c>
      <c r="N125" s="70">
        <v>3464</v>
      </c>
      <c r="O125" s="69">
        <f>INDEX(Segments!$A:$AJ,MATCH(Annual!$A125,Segments!$A:$A,0),MATCH("1H"&amp;RIGHT(Annual!O$1,2),Segments!$A$3:$AJ$3,0))+INDEX(Segments!$A:$AJ,MATCH(Annual!$A125,Segments!$A:$A,0),MATCH("2H"&amp;RIGHT(Annual!O$1,2),Segments!$A$3:$AJ$3,0))</f>
        <v>3810.4000000000005</v>
      </c>
      <c r="P125" s="69">
        <f>INDEX(Segments!$A:$AJ,MATCH(Annual!$A125,Segments!$A:$A,0),MATCH("1H"&amp;RIGHT(Annual!P$1,2),Segments!$A$3:$AJ$3,0))+INDEX(Segments!$A:$AJ,MATCH(Annual!$A125,Segments!$A:$A,0),MATCH("2H"&amp;RIGHT(Annual!P$1,2),Segments!$A$3:$AJ$3,0))</f>
        <v>4191.4400000000005</v>
      </c>
      <c r="Q125" s="69">
        <f>INDEX(Segments!$A:$AJ,MATCH(Annual!$A125,Segments!$A:$A,0),MATCH("1H"&amp;RIGHT(Annual!Q$1,2),Segments!$A$3:$AJ$3,0))+INDEX(Segments!$A:$AJ,MATCH(Annual!$A125,Segments!$A:$A,0),MATCH("2H"&amp;RIGHT(Annual!Q$1,2),Segments!$A$3:$AJ$3,0))</f>
        <v>4610.5840000000007</v>
      </c>
      <c r="R125" s="69">
        <f>INDEX(Segments!$A:$AJ,MATCH(Annual!$A125,Segments!$A:$A,0),MATCH("1H"&amp;RIGHT(Annual!R$1,2),Segments!$A$3:$AJ$3,0))+INDEX(Segments!$A:$AJ,MATCH(Annual!$A125,Segments!$A:$A,0),MATCH("2H"&amp;RIGHT(Annual!R$1,2),Segments!$A$3:$AJ$3,0))</f>
        <v>4887.2190400000018</v>
      </c>
      <c r="S125" s="69">
        <f>INDEX(Segments!$A:$AJ,MATCH(Annual!$A125,Segments!$A:$A,0),MATCH("1H"&amp;RIGHT(Annual!S$1,2),Segments!$A$3:$AJ$3,0))+INDEX(Segments!$A:$AJ,MATCH(Annual!$A125,Segments!$A:$A,0),MATCH("2H"&amp;RIGHT(Annual!S$1,2),Segments!$A$3:$AJ$3,0))</f>
        <v>5180.4521824000021</v>
      </c>
      <c r="T125" s="69">
        <f>INDEX(Segments!$A:$AJ,MATCH(Annual!$A125,Segments!$A:$A,0),MATCH("1H"&amp;RIGHT(Annual!T$1,2),Segments!$A$3:$AJ$3,0))+INDEX(Segments!$A:$AJ,MATCH(Annual!$A125,Segments!$A:$A,0),MATCH("2H"&amp;RIGHT(Annual!T$1,2),Segments!$A$3:$AJ$3,0))</f>
        <v>5491.2793133440018</v>
      </c>
      <c r="U125" s="69">
        <f>INDEX(Segments!$A:$AJ,MATCH(Annual!$A125,Segments!$A:$A,0),MATCH("1H"&amp;RIGHT(Annual!U$1,2),Segments!$A$3:$AJ$3,0))+INDEX(Segments!$A:$AJ,MATCH(Annual!$A125,Segments!$A:$A,0),MATCH("2H"&amp;RIGHT(Annual!U$1,2),Segments!$A$3:$AJ$3,0))</f>
        <v>5820.7560721446425</v>
      </c>
      <c r="V125" s="69">
        <f>INDEX(Segments!$A:$AJ,MATCH(Annual!$A125,Segments!$A:$A,0),MATCH("1H"&amp;RIGHT(Annual!V$1,2),Segments!$A$3:$AJ$3,0))+INDEX(Segments!$A:$AJ,MATCH(Annual!$A125,Segments!$A:$A,0),MATCH("2H"&amp;RIGHT(Annual!V$1,2),Segments!$A$3:$AJ$3,0))</f>
        <v>6170.0014364733215</v>
      </c>
      <c r="W125" s="69">
        <f>INDEX(Segments!$A:$AJ,MATCH(Annual!$A125,Segments!$A:$A,0),MATCH("1H"&amp;RIGHT(Annual!W$1,2),Segments!$A$3:$AJ$3,0))+INDEX(Segments!$A:$AJ,MATCH(Annual!$A125,Segments!$A:$A,0),MATCH("2H"&amp;RIGHT(Annual!W$1,2),Segments!$A$3:$AJ$3,0))</f>
        <v>6540.2015226617204</v>
      </c>
      <c r="X125" s="69">
        <f>INDEX(Segments!$A:$AJ,MATCH(Annual!$A125,Segments!$A:$A,0),MATCH("1H"&amp;RIGHT(Annual!X$1,2),Segments!$A$3:$AJ$3,0))+INDEX(Segments!$A:$AJ,MATCH(Annual!$A125,Segments!$A:$A,0),MATCH("2H"&amp;RIGHT(Annual!X$1,2),Segments!$A$3:$AJ$3,0))</f>
        <v>6932.6136140214239</v>
      </c>
      <c r="Y125" s="2"/>
      <c r="Z125" s="2"/>
      <c r="AA125" s="108"/>
      <c r="AB125" s="109"/>
      <c r="AC125" s="108"/>
      <c r="AD125" s="109"/>
      <c r="AE125" s="108"/>
      <c r="AF125" s="109"/>
      <c r="AG125" s="2"/>
      <c r="AH125" s="2"/>
      <c r="AI125" s="2"/>
    </row>
    <row r="126" spans="1:35" x14ac:dyDescent="0.25">
      <c r="A126" s="20" t="s">
        <v>171</v>
      </c>
      <c r="B126" s="33" t="s">
        <v>220</v>
      </c>
      <c r="C126" s="60" t="s">
        <v>67</v>
      </c>
      <c r="D126" s="32"/>
      <c r="E126" s="35"/>
      <c r="F126" s="71">
        <f t="shared" ref="F126:M126" si="132">SUM(F122,F124:F125)</f>
        <v>37179</v>
      </c>
      <c r="G126" s="71">
        <f t="shared" si="132"/>
        <v>37964</v>
      </c>
      <c r="H126" s="71">
        <f t="shared" si="132"/>
        <v>33616</v>
      </c>
      <c r="I126" s="71">
        <f t="shared" si="132"/>
        <v>36355</v>
      </c>
      <c r="J126" s="71">
        <f t="shared" si="132"/>
        <v>46601</v>
      </c>
      <c r="K126" s="71">
        <f t="shared" si="132"/>
        <v>64785</v>
      </c>
      <c r="L126" s="71">
        <f t="shared" si="132"/>
        <v>60024</v>
      </c>
      <c r="M126" s="71">
        <f t="shared" si="132"/>
        <v>62805</v>
      </c>
      <c r="N126" s="71">
        <f>SUM(N122,N124:N125)</f>
        <v>71987</v>
      </c>
      <c r="O126" s="71">
        <f>INDEX(Segments!$A:$AJ,MATCH(Annual!$A126,Segments!$A:$A,0),MATCH("1H"&amp;RIGHT(Annual!O$1,2),Segments!$A$3:$AJ$3,0))+INDEX(Segments!$A:$AJ,MATCH(Annual!$A126,Segments!$A:$A,0),MATCH("2H"&amp;RIGHT(Annual!O$1,2),Segments!$A$3:$AJ$3,0))</f>
        <v>84203.85</v>
      </c>
      <c r="P126" s="71">
        <f>INDEX(Segments!$A:$AJ,MATCH(Annual!$A126,Segments!$A:$A,0),MATCH("1H"&amp;RIGHT(Annual!P$1,2),Segments!$A$3:$AJ$3,0))+INDEX(Segments!$A:$AJ,MATCH(Annual!$A126,Segments!$A:$A,0),MATCH("2H"&amp;RIGHT(Annual!P$1,2),Segments!$A$3:$AJ$3,0))</f>
        <v>92915.127500000002</v>
      </c>
      <c r="Q126" s="71">
        <f>INDEX(Segments!$A:$AJ,MATCH(Annual!$A126,Segments!$A:$A,0),MATCH("1H"&amp;RIGHT(Annual!Q$1,2),Segments!$A$3:$AJ$3,0))+INDEX(Segments!$A:$AJ,MATCH(Annual!$A126,Segments!$A:$A,0),MATCH("2H"&amp;RIGHT(Annual!Q$1,2),Segments!$A$3:$AJ$3,0))</f>
        <v>99259.840225000007</v>
      </c>
      <c r="R126" s="71">
        <f>INDEX(Segments!$A:$AJ,MATCH(Annual!$A126,Segments!$A:$A,0),MATCH("1H"&amp;RIGHT(Annual!R$1,2),Segments!$A$3:$AJ$3,0))+INDEX(Segments!$A:$AJ,MATCH(Annual!$A126,Segments!$A:$A,0),MATCH("2H"&amp;RIGHT(Annual!R$1,2),Segments!$A$3:$AJ$3,0))</f>
        <v>105907.90023475001</v>
      </c>
      <c r="S126" s="71">
        <f>INDEX(Segments!$A:$AJ,MATCH(Annual!$A126,Segments!$A:$A,0),MATCH("1H"&amp;RIGHT(Annual!S$1,2),Segments!$A$3:$AJ$3,0))+INDEX(Segments!$A:$AJ,MATCH(Annual!$A126,Segments!$A:$A,0),MATCH("2H"&amp;RIGHT(Annual!S$1,2),Segments!$A$3:$AJ$3,0))</f>
        <v>113058.71428452252</v>
      </c>
      <c r="T126" s="71">
        <f>INDEX(Segments!$A:$AJ,MATCH(Annual!$A126,Segments!$A:$A,0),MATCH("1H"&amp;RIGHT(Annual!T$1,2),Segments!$A$3:$AJ$3,0))+INDEX(Segments!$A:$AJ,MATCH(Annual!$A126,Segments!$A:$A,0),MATCH("2H"&amp;RIGHT(Annual!T$1,2),Segments!$A$3:$AJ$3,0))</f>
        <v>119842.23714159388</v>
      </c>
      <c r="U126" s="71">
        <f>INDEX(Segments!$A:$AJ,MATCH(Annual!$A126,Segments!$A:$A,0),MATCH("1H"&amp;RIGHT(Annual!U$1,2),Segments!$A$3:$AJ$3,0))+INDEX(Segments!$A:$AJ,MATCH(Annual!$A126,Segments!$A:$A,0),MATCH("2H"&amp;RIGHT(Annual!U$1,2),Segments!$A$3:$AJ$3,0))</f>
        <v>127032.77137008953</v>
      </c>
      <c r="V126" s="71">
        <f>INDEX(Segments!$A:$AJ,MATCH(Annual!$A126,Segments!$A:$A,0),MATCH("1H"&amp;RIGHT(Annual!V$1,2),Segments!$A$3:$AJ$3,0))+INDEX(Segments!$A:$AJ,MATCH(Annual!$A126,Segments!$A:$A,0),MATCH("2H"&amp;RIGHT(Annual!V$1,2),Segments!$A$3:$AJ$3,0))</f>
        <v>134654.73765229492</v>
      </c>
      <c r="W126" s="71">
        <f>INDEX(Segments!$A:$AJ,MATCH(Annual!$A126,Segments!$A:$A,0),MATCH("1H"&amp;RIGHT(Annual!W$1,2),Segments!$A$3:$AJ$3,0))+INDEX(Segments!$A:$AJ,MATCH(Annual!$A126,Segments!$A:$A,0),MATCH("2H"&amp;RIGHT(Annual!W$1,2),Segments!$A$3:$AJ$3,0))</f>
        <v>142734.02191143259</v>
      </c>
      <c r="X126" s="71">
        <f>INDEX(Segments!$A:$AJ,MATCH(Annual!$A126,Segments!$A:$A,0),MATCH("1H"&amp;RIGHT(Annual!X$1,2),Segments!$A$3:$AJ$3,0))+INDEX(Segments!$A:$AJ,MATCH(Annual!$A126,Segments!$A:$A,0),MATCH("2H"&amp;RIGHT(Annual!X$1,2),Segments!$A$3:$AJ$3,0))</f>
        <v>151298.06322611857</v>
      </c>
      <c r="Y126" s="2"/>
      <c r="Z126" s="2"/>
      <c r="AA126" s="108"/>
      <c r="AB126" s="109"/>
      <c r="AC126" s="108"/>
      <c r="AD126" s="109"/>
      <c r="AE126" s="108"/>
      <c r="AF126" s="109"/>
      <c r="AG126" s="2"/>
      <c r="AH126" s="2"/>
      <c r="AI126" s="2"/>
    </row>
    <row r="127" spans="1:35" x14ac:dyDescent="0.25">
      <c r="A127" s="20"/>
      <c r="B127" s="33" t="s">
        <v>76</v>
      </c>
      <c r="C127" s="27" t="s">
        <v>77</v>
      </c>
      <c r="D127" s="29"/>
      <c r="E127" s="29"/>
      <c r="F127" s="40"/>
      <c r="G127" s="40">
        <f t="shared" ref="G127:M127" si="133">G126/F126-1</f>
        <v>2.1114069770569399E-2</v>
      </c>
      <c r="H127" s="40">
        <f t="shared" si="133"/>
        <v>-0.11452955431461387</v>
      </c>
      <c r="I127" s="40">
        <f t="shared" si="133"/>
        <v>8.1479057591623105E-2</v>
      </c>
      <c r="J127" s="40">
        <f t="shared" si="133"/>
        <v>0.2818319350845826</v>
      </c>
      <c r="K127" s="40">
        <f t="shared" si="133"/>
        <v>0.39020621875067052</v>
      </c>
      <c r="L127" s="40">
        <f t="shared" si="133"/>
        <v>-7.3489233618893257E-2</v>
      </c>
      <c r="M127" s="40">
        <f t="shared" si="133"/>
        <v>4.6331467413034844E-2</v>
      </c>
      <c r="N127" s="40">
        <f>N126/M126-1</f>
        <v>0.14619855107077462</v>
      </c>
      <c r="O127" s="40">
        <f t="shared" ref="O127:X127" si="134">O126/N126-1</f>
        <v>0.16970911414560974</v>
      </c>
      <c r="P127" s="40">
        <f t="shared" si="134"/>
        <v>0.10345462232427605</v>
      </c>
      <c r="Q127" s="40">
        <f t="shared" si="134"/>
        <v>6.8285034909950637E-2</v>
      </c>
      <c r="R127" s="143">
        <f>(R126/M126)^0.2-1</f>
        <v>0.1101632010793161</v>
      </c>
      <c r="S127" s="40">
        <f t="shared" si="134"/>
        <v>6.7519174999432385E-2</v>
      </c>
      <c r="T127" s="40">
        <f t="shared" si="134"/>
        <v>6.0000000000000053E-2</v>
      </c>
      <c r="U127" s="40">
        <f t="shared" si="134"/>
        <v>6.0000000000000053E-2</v>
      </c>
      <c r="V127" s="40">
        <f t="shared" si="134"/>
        <v>6.0000000000000275E-2</v>
      </c>
      <c r="W127" s="40">
        <f t="shared" si="134"/>
        <v>5.9999999999999831E-2</v>
      </c>
      <c r="X127" s="40">
        <f t="shared" si="134"/>
        <v>6.0000000000000275E-2</v>
      </c>
      <c r="Y127" s="2"/>
      <c r="Z127" s="2"/>
      <c r="AA127" s="113">
        <v>0.15</v>
      </c>
      <c r="AB127" s="114">
        <v>-0.01</v>
      </c>
      <c r="AC127" s="113">
        <v>0.36</v>
      </c>
      <c r="AD127" s="114">
        <v>-0.17</v>
      </c>
      <c r="AE127" s="113">
        <v>0.22</v>
      </c>
      <c r="AF127" s="114">
        <v>-0.12</v>
      </c>
      <c r="AG127" s="2"/>
      <c r="AH127" s="2"/>
      <c r="AI127" s="2"/>
    </row>
    <row r="128" spans="1:35" x14ac:dyDescent="0.25">
      <c r="A128" s="120"/>
      <c r="B128" s="121" t="s">
        <v>276</v>
      </c>
      <c r="C128" s="122"/>
      <c r="D128" s="123"/>
      <c r="E128" s="123"/>
      <c r="F128" s="124"/>
      <c r="G128" s="124"/>
      <c r="H128" s="124"/>
      <c r="I128" s="124"/>
      <c r="J128" s="124"/>
      <c r="K128" s="124"/>
      <c r="L128" s="124"/>
      <c r="M128" s="124"/>
      <c r="N128" s="124"/>
      <c r="O128" s="124"/>
      <c r="P128" s="124"/>
      <c r="Q128" s="124"/>
      <c r="R128" s="144">
        <v>0.08</v>
      </c>
      <c r="S128" s="124"/>
      <c r="T128" s="124"/>
      <c r="U128" s="124"/>
      <c r="V128" s="124"/>
      <c r="W128" s="124"/>
      <c r="X128" s="124"/>
      <c r="Y128" s="126"/>
      <c r="Z128" s="126"/>
      <c r="AA128" s="124"/>
      <c r="AB128" s="124"/>
      <c r="AC128" s="124"/>
      <c r="AD128" s="124"/>
      <c r="AE128" s="124"/>
      <c r="AF128" s="124"/>
      <c r="AG128" s="126"/>
      <c r="AH128" s="126"/>
      <c r="AI128" s="126"/>
    </row>
    <row r="129" spans="1:35" x14ac:dyDescent="0.25">
      <c r="A129" s="307"/>
      <c r="B129" s="308"/>
      <c r="C129" s="27"/>
      <c r="D129" s="29"/>
      <c r="E129" s="29"/>
      <c r="F129" s="29"/>
      <c r="G129" s="29"/>
      <c r="H129" s="29"/>
      <c r="I129" s="29"/>
      <c r="J129" s="29"/>
      <c r="K129" s="29"/>
      <c r="L129" s="29"/>
      <c r="M129" s="29"/>
      <c r="N129" s="29"/>
      <c r="O129" s="29"/>
      <c r="P129" s="29"/>
      <c r="Q129" s="29"/>
      <c r="R129" s="29"/>
      <c r="S129" s="29"/>
      <c r="T129" s="29"/>
      <c r="U129" s="29"/>
      <c r="V129" s="29"/>
      <c r="W129" s="29"/>
      <c r="X129" s="29"/>
      <c r="Y129" s="2"/>
      <c r="Z129" s="2"/>
      <c r="AA129" s="106"/>
      <c r="AB129" s="107"/>
      <c r="AC129" s="106"/>
      <c r="AD129" s="107"/>
      <c r="AE129" s="106"/>
      <c r="AF129" s="107"/>
      <c r="AG129" s="2"/>
      <c r="AH129" s="2"/>
      <c r="AI129" s="2"/>
    </row>
    <row r="130" spans="1:35" x14ac:dyDescent="0.25">
      <c r="A130" s="20" t="s">
        <v>173</v>
      </c>
      <c r="B130" s="33" t="s">
        <v>174</v>
      </c>
      <c r="C130" s="60" t="s">
        <v>67</v>
      </c>
      <c r="D130" s="32" t="s">
        <v>94</v>
      </c>
      <c r="E130" s="35"/>
      <c r="F130" s="35"/>
      <c r="G130" s="35"/>
      <c r="H130" s="34"/>
      <c r="I130" s="34"/>
      <c r="J130" s="34"/>
      <c r="K130" s="34"/>
      <c r="L130" s="63">
        <v>83000</v>
      </c>
      <c r="M130" s="63">
        <v>86000</v>
      </c>
      <c r="N130" s="63">
        <v>101000</v>
      </c>
      <c r="O130" s="35"/>
      <c r="P130" s="35"/>
      <c r="Q130" s="35"/>
      <c r="R130" s="35"/>
      <c r="S130" s="35"/>
      <c r="T130" s="35"/>
      <c r="U130" s="35"/>
      <c r="V130" s="35"/>
      <c r="W130" s="35"/>
      <c r="X130" s="35"/>
      <c r="Y130" s="2"/>
      <c r="Z130" s="2"/>
      <c r="AA130" s="108"/>
      <c r="AB130" s="109"/>
      <c r="AC130" s="108"/>
      <c r="AD130" s="109"/>
      <c r="AE130" s="108"/>
      <c r="AF130" s="109"/>
      <c r="AG130" s="2"/>
      <c r="AH130" s="2"/>
      <c r="AI130" s="2"/>
    </row>
    <row r="131" spans="1:35" x14ac:dyDescent="0.25">
      <c r="A131" s="20"/>
      <c r="B131" s="33" t="s">
        <v>175</v>
      </c>
      <c r="C131" s="60" t="s">
        <v>117</v>
      </c>
      <c r="D131" s="32"/>
      <c r="E131" s="35"/>
      <c r="F131" s="35"/>
      <c r="G131" s="35"/>
      <c r="H131" s="34"/>
      <c r="I131" s="34"/>
      <c r="J131" s="34"/>
      <c r="K131" s="34"/>
      <c r="L131" s="145">
        <f t="shared" ref="L131:M131" si="135">L122/L130</f>
        <v>0.646144578313253</v>
      </c>
      <c r="M131" s="145">
        <f t="shared" si="135"/>
        <v>0.64163953488372094</v>
      </c>
      <c r="N131" s="145">
        <f>N122/N130</f>
        <v>0.62835643564356436</v>
      </c>
      <c r="O131" s="35"/>
      <c r="P131" s="35"/>
      <c r="Q131" s="35"/>
      <c r="R131" s="35"/>
      <c r="S131" s="35"/>
      <c r="T131" s="35"/>
      <c r="U131" s="35"/>
      <c r="V131" s="35"/>
      <c r="W131" s="35"/>
      <c r="X131" s="35"/>
      <c r="Y131" s="2"/>
      <c r="Z131" s="2"/>
      <c r="AA131" s="108"/>
      <c r="AB131" s="109"/>
      <c r="AC131" s="108"/>
      <c r="AD131" s="109"/>
      <c r="AE131" s="108"/>
      <c r="AF131" s="109"/>
      <c r="AG131" s="2"/>
      <c r="AH131" s="2"/>
      <c r="AI131" s="2"/>
    </row>
    <row r="132" spans="1:35" x14ac:dyDescent="0.25">
      <c r="A132" s="307"/>
      <c r="B132" s="308"/>
      <c r="C132" s="60"/>
      <c r="D132" s="32"/>
      <c r="E132" s="35"/>
      <c r="F132" s="35"/>
      <c r="G132" s="35"/>
      <c r="H132" s="29"/>
      <c r="I132" s="29"/>
      <c r="J132" s="29"/>
      <c r="K132" s="29"/>
      <c r="L132" s="29"/>
      <c r="M132" s="29"/>
      <c r="N132" s="29"/>
      <c r="O132" s="35"/>
      <c r="P132" s="35"/>
      <c r="Q132" s="35"/>
      <c r="R132" s="35"/>
      <c r="S132" s="35"/>
      <c r="T132" s="35"/>
      <c r="U132" s="35"/>
      <c r="V132" s="35"/>
      <c r="W132" s="35"/>
      <c r="X132" s="35"/>
      <c r="Y132" s="2"/>
      <c r="Z132" s="2"/>
      <c r="AA132" s="108"/>
      <c r="AB132" s="109"/>
      <c r="AC132" s="108"/>
      <c r="AD132" s="109"/>
      <c r="AE132" s="108"/>
      <c r="AF132" s="109"/>
      <c r="AG132" s="2"/>
      <c r="AH132" s="2"/>
      <c r="AI132" s="2"/>
    </row>
    <row r="133" spans="1:35" x14ac:dyDescent="0.25">
      <c r="A133" s="20"/>
      <c r="B133" s="46" t="s">
        <v>176</v>
      </c>
      <c r="C133" s="60"/>
      <c r="D133" s="32"/>
      <c r="E133" s="35"/>
      <c r="F133" s="35"/>
      <c r="G133" s="35"/>
      <c r="H133" s="29"/>
      <c r="I133" s="29"/>
      <c r="J133" s="29"/>
      <c r="K133" s="29"/>
      <c r="L133" s="29"/>
      <c r="M133" s="29"/>
      <c r="N133" s="29"/>
      <c r="O133" s="35"/>
      <c r="P133" s="35"/>
      <c r="Q133" s="35"/>
      <c r="R133" s="35"/>
      <c r="S133" s="35"/>
      <c r="T133" s="35"/>
      <c r="U133" s="35"/>
      <c r="V133" s="35"/>
      <c r="W133" s="35"/>
      <c r="X133" s="35"/>
      <c r="Y133" s="2"/>
      <c r="Z133" s="2"/>
      <c r="AA133" s="108"/>
      <c r="AB133" s="109"/>
      <c r="AC133" s="108"/>
      <c r="AD133" s="109"/>
      <c r="AE133" s="108"/>
      <c r="AF133" s="109"/>
      <c r="AG133" s="2"/>
      <c r="AH133" s="2"/>
      <c r="AI133" s="2"/>
    </row>
    <row r="134" spans="1:35" x14ac:dyDescent="0.25">
      <c r="A134" s="20" t="s">
        <v>177</v>
      </c>
      <c r="B134" s="33" t="s">
        <v>178</v>
      </c>
      <c r="C134" s="60" t="s">
        <v>67</v>
      </c>
      <c r="D134" s="32" t="s">
        <v>73</v>
      </c>
      <c r="E134" s="35"/>
      <c r="F134" s="35"/>
      <c r="G134" s="35"/>
      <c r="H134" s="34"/>
      <c r="I134" s="34"/>
      <c r="J134" s="34"/>
      <c r="K134" s="34">
        <v>823.8</v>
      </c>
      <c r="L134" s="34">
        <v>760.3</v>
      </c>
      <c r="M134" s="34">
        <v>814.3</v>
      </c>
      <c r="N134" s="34">
        <v>934.5</v>
      </c>
      <c r="O134" s="35"/>
      <c r="P134" s="35"/>
      <c r="Q134" s="35"/>
      <c r="R134" s="35"/>
      <c r="S134" s="35"/>
      <c r="T134" s="35"/>
      <c r="U134" s="35"/>
      <c r="V134" s="35"/>
      <c r="W134" s="35"/>
      <c r="X134" s="35"/>
      <c r="Y134" s="2"/>
      <c r="Z134" s="2"/>
      <c r="AA134" s="108"/>
      <c r="AB134" s="109"/>
      <c r="AC134" s="108"/>
      <c r="AD134" s="109"/>
      <c r="AE134" s="108"/>
      <c r="AF134" s="109"/>
      <c r="AG134" s="2"/>
      <c r="AH134" s="2"/>
      <c r="AI134" s="2"/>
    </row>
    <row r="135" spans="1:35" x14ac:dyDescent="0.25">
      <c r="A135" s="20" t="s">
        <v>179</v>
      </c>
      <c r="B135" s="33" t="s">
        <v>80</v>
      </c>
      <c r="C135" s="60" t="s">
        <v>67</v>
      </c>
      <c r="D135" s="32" t="s">
        <v>73</v>
      </c>
      <c r="E135" s="35"/>
      <c r="F135" s="35"/>
      <c r="G135" s="35"/>
      <c r="H135" s="34"/>
      <c r="I135" s="34"/>
      <c r="J135" s="29"/>
      <c r="K135" s="242">
        <f>K136-K134</f>
        <v>-734.4</v>
      </c>
      <c r="L135" s="242">
        <f>L136-L134</f>
        <v>-685.6</v>
      </c>
      <c r="M135" s="34">
        <v>-732.7</v>
      </c>
      <c r="N135" s="34">
        <v>-844</v>
      </c>
      <c r="O135" s="35"/>
      <c r="P135" s="35"/>
      <c r="Q135" s="35"/>
      <c r="R135" s="35"/>
      <c r="S135" s="35"/>
      <c r="T135" s="35"/>
      <c r="U135" s="35"/>
      <c r="V135" s="35"/>
      <c r="W135" s="35"/>
      <c r="X135" s="35"/>
      <c r="Y135" s="2"/>
      <c r="Z135" s="2"/>
      <c r="AA135" s="108"/>
      <c r="AB135" s="109"/>
      <c r="AC135" s="108"/>
      <c r="AD135" s="109"/>
      <c r="AE135" s="108"/>
      <c r="AF135" s="109"/>
      <c r="AG135" s="2"/>
      <c r="AH135" s="2"/>
      <c r="AI135" s="2"/>
    </row>
    <row r="136" spans="1:35" x14ac:dyDescent="0.25">
      <c r="A136" s="20" t="s">
        <v>180</v>
      </c>
      <c r="B136" s="64" t="s">
        <v>87</v>
      </c>
      <c r="C136" s="65" t="s">
        <v>67</v>
      </c>
      <c r="D136" s="66" t="s">
        <v>94</v>
      </c>
      <c r="E136" s="67"/>
      <c r="F136" s="67"/>
      <c r="G136" s="67"/>
      <c r="H136" s="72"/>
      <c r="I136" s="72"/>
      <c r="J136" s="72"/>
      <c r="K136" s="241">
        <f>K139-K138-K137</f>
        <v>89.399999999999949</v>
      </c>
      <c r="L136" s="241">
        <f t="shared" ref="L136:M136" si="136">L139-L138-L137</f>
        <v>74.699999999999932</v>
      </c>
      <c r="M136" s="241">
        <f t="shared" si="136"/>
        <v>82.100000000000165</v>
      </c>
      <c r="N136" s="241">
        <f>N139-N138-N137</f>
        <v>90.499999999999972</v>
      </c>
      <c r="O136" s="67"/>
      <c r="P136" s="67"/>
      <c r="Q136" s="67"/>
      <c r="R136" s="67"/>
      <c r="S136" s="67"/>
      <c r="T136" s="67"/>
      <c r="U136" s="67"/>
      <c r="V136" s="67"/>
      <c r="W136" s="67"/>
      <c r="X136" s="67"/>
      <c r="Y136" s="2"/>
      <c r="Z136" s="2"/>
      <c r="AA136" s="108"/>
      <c r="AB136" s="109"/>
      <c r="AC136" s="108"/>
      <c r="AD136" s="109"/>
      <c r="AE136" s="108"/>
      <c r="AF136" s="109"/>
      <c r="AG136" s="2"/>
      <c r="AH136" s="2"/>
      <c r="AI136" s="2"/>
    </row>
    <row r="137" spans="1:35" x14ac:dyDescent="0.25">
      <c r="A137" s="20" t="s">
        <v>181</v>
      </c>
      <c r="B137" s="33" t="s">
        <v>89</v>
      </c>
      <c r="C137" s="60" t="s">
        <v>67</v>
      </c>
      <c r="D137" s="32" t="s">
        <v>94</v>
      </c>
      <c r="E137" s="35"/>
      <c r="F137" s="35"/>
      <c r="G137" s="35"/>
      <c r="H137" s="29"/>
      <c r="I137" s="29"/>
      <c r="J137" s="29"/>
      <c r="K137" s="29">
        <f t="shared" ref="K137:M137" si="137">K20</f>
        <v>20.399999999999999</v>
      </c>
      <c r="L137" s="29">
        <f t="shared" si="137"/>
        <v>21.9</v>
      </c>
      <c r="M137" s="29">
        <f t="shared" si="137"/>
        <v>17.3</v>
      </c>
      <c r="N137" s="29">
        <f>N20</f>
        <v>19.2</v>
      </c>
      <c r="O137" s="35"/>
      <c r="P137" s="35"/>
      <c r="Q137" s="35"/>
      <c r="R137" s="35"/>
      <c r="S137" s="35"/>
      <c r="T137" s="35"/>
      <c r="U137" s="35"/>
      <c r="V137" s="35"/>
      <c r="W137" s="35"/>
      <c r="X137" s="35"/>
      <c r="Y137" s="2"/>
      <c r="Z137" s="2"/>
      <c r="AA137" s="108"/>
      <c r="AB137" s="109"/>
      <c r="AC137" s="108"/>
      <c r="AD137" s="109"/>
      <c r="AE137" s="108"/>
      <c r="AF137" s="109"/>
      <c r="AG137" s="2"/>
      <c r="AH137" s="2"/>
      <c r="AI137" s="2"/>
    </row>
    <row r="138" spans="1:35" x14ac:dyDescent="0.25">
      <c r="A138" s="20" t="s">
        <v>182</v>
      </c>
      <c r="B138" s="64" t="s">
        <v>183</v>
      </c>
      <c r="C138" s="65" t="s">
        <v>67</v>
      </c>
      <c r="D138" s="66" t="s">
        <v>94</v>
      </c>
      <c r="E138" s="67"/>
      <c r="F138" s="67"/>
      <c r="G138" s="67"/>
      <c r="H138" s="72"/>
      <c r="I138" s="72"/>
      <c r="J138" s="72"/>
      <c r="K138" s="241">
        <f t="shared" ref="K138:M138" si="138">K22</f>
        <v>-7.9999999999999432</v>
      </c>
      <c r="L138" s="241">
        <f t="shared" si="138"/>
        <v>9.2000000000000739</v>
      </c>
      <c r="M138" s="241">
        <f t="shared" si="138"/>
        <v>4.9999999999998437</v>
      </c>
      <c r="N138" s="241">
        <f>N22</f>
        <v>3.6000000000000227</v>
      </c>
      <c r="O138" s="67"/>
      <c r="P138" s="67"/>
      <c r="Q138" s="67"/>
      <c r="R138" s="67"/>
      <c r="S138" s="67"/>
      <c r="T138" s="67"/>
      <c r="U138" s="67"/>
      <c r="V138" s="67"/>
      <c r="W138" s="67"/>
      <c r="X138" s="67"/>
      <c r="Y138" s="2"/>
      <c r="Z138" s="2"/>
      <c r="AA138" s="108"/>
      <c r="AB138" s="109"/>
      <c r="AC138" s="108"/>
      <c r="AD138" s="109"/>
      <c r="AE138" s="108"/>
      <c r="AF138" s="109"/>
      <c r="AG138" s="2"/>
      <c r="AH138" s="2"/>
      <c r="AI138" s="2"/>
    </row>
    <row r="139" spans="1:35" x14ac:dyDescent="0.25">
      <c r="A139" s="20" t="s">
        <v>184</v>
      </c>
      <c r="B139" s="33" t="s">
        <v>185</v>
      </c>
      <c r="C139" s="60" t="s">
        <v>67</v>
      </c>
      <c r="D139" s="32" t="s">
        <v>94</v>
      </c>
      <c r="E139" s="35"/>
      <c r="F139" s="35"/>
      <c r="G139" s="35"/>
      <c r="H139" s="29"/>
      <c r="I139" s="29"/>
      <c r="J139" s="29"/>
      <c r="K139" s="29">
        <f t="shared" ref="K139:M139" si="139">K25</f>
        <v>101.8</v>
      </c>
      <c r="L139" s="29">
        <f t="shared" si="139"/>
        <v>105.8</v>
      </c>
      <c r="M139" s="29">
        <f t="shared" si="139"/>
        <v>104.4</v>
      </c>
      <c r="N139" s="29">
        <f>N25</f>
        <v>113.3</v>
      </c>
      <c r="O139" s="35"/>
      <c r="P139" s="35"/>
      <c r="Q139" s="35"/>
      <c r="R139" s="35"/>
      <c r="S139" s="35"/>
      <c r="T139" s="35"/>
      <c r="U139" s="35"/>
      <c r="V139" s="35"/>
      <c r="W139" s="35"/>
      <c r="X139" s="35"/>
      <c r="Y139" s="2"/>
      <c r="Z139" s="2"/>
      <c r="AA139" s="108"/>
      <c r="AB139" s="109"/>
      <c r="AC139" s="108"/>
      <c r="AD139" s="109"/>
      <c r="AE139" s="108"/>
      <c r="AF139" s="109"/>
      <c r="AG139" s="2"/>
      <c r="AH139" s="2"/>
      <c r="AI139" s="2"/>
    </row>
    <row r="140" spans="1:35" x14ac:dyDescent="0.25">
      <c r="A140" s="20"/>
      <c r="B140" s="33" t="s">
        <v>76</v>
      </c>
      <c r="C140" s="27" t="s">
        <v>77</v>
      </c>
      <c r="D140" s="29"/>
      <c r="E140" s="29"/>
      <c r="F140" s="40"/>
      <c r="G140" s="40" t="e">
        <f t="shared" ref="G140" si="140">G139/F139-1</f>
        <v>#DIV/0!</v>
      </c>
      <c r="H140" s="40" t="e">
        <f t="shared" ref="H140" si="141">H139/G139-1</f>
        <v>#DIV/0!</v>
      </c>
      <c r="I140" s="40" t="e">
        <f t="shared" ref="I140" si="142">I139/H139-1</f>
        <v>#DIV/0!</v>
      </c>
      <c r="J140" s="40" t="e">
        <f t="shared" ref="J140" si="143">J139/I139-1</f>
        <v>#DIV/0!</v>
      </c>
      <c r="K140" s="40" t="e">
        <f t="shared" ref="K140" si="144">K139/J139-1</f>
        <v>#DIV/0!</v>
      </c>
      <c r="L140" s="40">
        <f t="shared" ref="L140" si="145">L139/K139-1</f>
        <v>3.9292730844793677E-2</v>
      </c>
      <c r="M140" s="40">
        <f t="shared" ref="M140" si="146">M139/L139-1</f>
        <v>-1.3232514177693666E-2</v>
      </c>
      <c r="N140" s="40">
        <f>N139/M139-1</f>
        <v>8.5249042145593812E-2</v>
      </c>
      <c r="O140" s="40">
        <f t="shared" ref="O140" si="147">O139/N139-1</f>
        <v>-1</v>
      </c>
      <c r="P140" s="40" t="e">
        <f t="shared" ref="P140" si="148">P139/O139-1</f>
        <v>#DIV/0!</v>
      </c>
      <c r="Q140" s="40" t="e">
        <f t="shared" ref="Q140" si="149">Q139/P139-1</f>
        <v>#DIV/0!</v>
      </c>
      <c r="R140" s="143">
        <f>(R139/M139)^0.2-1</f>
        <v>-1</v>
      </c>
      <c r="S140" s="40" t="e">
        <f t="shared" ref="S140" si="150">S139/R139-1</f>
        <v>#DIV/0!</v>
      </c>
      <c r="T140" s="40" t="e">
        <f t="shared" ref="T140" si="151">T139/S139-1</f>
        <v>#DIV/0!</v>
      </c>
      <c r="U140" s="40" t="e">
        <f t="shared" ref="U140" si="152">U139/T139-1</f>
        <v>#DIV/0!</v>
      </c>
      <c r="V140" s="40" t="e">
        <f t="shared" ref="V140" si="153">V139/U139-1</f>
        <v>#DIV/0!</v>
      </c>
      <c r="W140" s="40" t="e">
        <f t="shared" ref="W140" si="154">W139/V139-1</f>
        <v>#DIV/0!</v>
      </c>
      <c r="X140" s="40" t="e">
        <f t="shared" ref="X140" si="155">X139/W139-1</f>
        <v>#DIV/0!</v>
      </c>
      <c r="Y140" s="2"/>
      <c r="Z140" s="2"/>
      <c r="AA140" s="113">
        <v>0.15</v>
      </c>
      <c r="AB140" s="114">
        <v>-0.01</v>
      </c>
      <c r="AC140" s="113">
        <v>0.36</v>
      </c>
      <c r="AD140" s="114">
        <v>-0.17</v>
      </c>
      <c r="AE140" s="113">
        <v>0.22</v>
      </c>
      <c r="AF140" s="114">
        <v>-0.12</v>
      </c>
      <c r="AG140" s="2"/>
      <c r="AH140" s="2"/>
      <c r="AI140" s="2"/>
    </row>
    <row r="141" spans="1:35" x14ac:dyDescent="0.25">
      <c r="A141" s="307" t="s">
        <v>186</v>
      </c>
      <c r="B141" s="308"/>
      <c r="C141" s="60"/>
      <c r="D141" s="32"/>
      <c r="E141" s="35"/>
      <c r="F141" s="35"/>
      <c r="G141" s="35"/>
      <c r="H141" s="34"/>
      <c r="I141" s="34"/>
      <c r="J141" s="34"/>
      <c r="K141" s="34"/>
      <c r="L141" s="34"/>
      <c r="M141" s="34"/>
      <c r="N141" s="34"/>
      <c r="O141" s="35"/>
      <c r="P141" s="35"/>
      <c r="Q141" s="35"/>
      <c r="R141" s="35"/>
      <c r="S141" s="35"/>
      <c r="T141" s="35"/>
      <c r="U141" s="35"/>
      <c r="V141" s="35"/>
      <c r="W141" s="35"/>
      <c r="X141" s="35"/>
      <c r="Y141" s="2"/>
      <c r="Z141" s="2"/>
      <c r="AA141" s="108"/>
      <c r="AB141" s="109"/>
      <c r="AC141" s="108"/>
      <c r="AD141" s="109"/>
      <c r="AE141" s="108"/>
      <c r="AF141" s="109"/>
      <c r="AG141" s="2"/>
      <c r="AH141" s="2"/>
      <c r="AI141" s="2"/>
    </row>
    <row r="142" spans="1:35" x14ac:dyDescent="0.25">
      <c r="A142" s="20" t="s">
        <v>187</v>
      </c>
      <c r="B142" s="33" t="s">
        <v>188</v>
      </c>
      <c r="C142" s="60" t="s">
        <v>117</v>
      </c>
      <c r="D142" s="32"/>
      <c r="E142" s="35"/>
      <c r="F142" s="45">
        <f t="shared" ref="F142:I142" si="156">F7/F$126</f>
        <v>1.4174668495656149E-2</v>
      </c>
      <c r="G142" s="45">
        <f t="shared" si="156"/>
        <v>1.4516383942682542E-2</v>
      </c>
      <c r="H142" s="45">
        <f t="shared" si="156"/>
        <v>1.6947287006187532E-2</v>
      </c>
      <c r="I142" s="45">
        <f t="shared" si="156"/>
        <v>1.6209599779947736E-2</v>
      </c>
      <c r="J142" s="48">
        <f>J7/J$126</f>
        <v>1.4094118151970987E-2</v>
      </c>
      <c r="K142" s="45">
        <f t="shared" ref="K142:N144" si="157">K134/K$126</f>
        <v>1.2715906459828664E-2</v>
      </c>
      <c r="L142" s="45">
        <f t="shared" si="157"/>
        <v>1.2666600026656004E-2</v>
      </c>
      <c r="M142" s="45">
        <f t="shared" si="157"/>
        <v>1.2965528222275296E-2</v>
      </c>
      <c r="N142" s="45">
        <f t="shared" si="157"/>
        <v>1.2981510550516065E-2</v>
      </c>
      <c r="O142" s="35"/>
      <c r="P142" s="35"/>
      <c r="Q142" s="35"/>
      <c r="R142" s="35"/>
      <c r="S142" s="35"/>
      <c r="T142" s="35"/>
      <c r="U142" s="35"/>
      <c r="V142" s="35"/>
      <c r="W142" s="35"/>
      <c r="X142" s="35"/>
      <c r="Y142" s="2"/>
      <c r="Z142" s="2"/>
      <c r="AA142" s="108"/>
      <c r="AB142" s="109"/>
      <c r="AC142" s="108"/>
      <c r="AD142" s="109"/>
      <c r="AE142" s="108"/>
      <c r="AF142" s="109"/>
      <c r="AG142" s="2"/>
      <c r="AH142" s="2"/>
      <c r="AI142" s="2"/>
    </row>
    <row r="143" spans="1:35" x14ac:dyDescent="0.25">
      <c r="A143" s="20" t="s">
        <v>189</v>
      </c>
      <c r="B143" s="33" t="s">
        <v>190</v>
      </c>
      <c r="C143" s="60" t="s">
        <v>117</v>
      </c>
      <c r="D143" s="32"/>
      <c r="E143" s="35"/>
      <c r="F143" s="45">
        <f t="shared" ref="F143:I143" si="158">F14/F$126</f>
        <v>-1.2765270717340434E-2</v>
      </c>
      <c r="G143" s="45">
        <f t="shared" si="158"/>
        <v>-1.3009693393741438E-2</v>
      </c>
      <c r="H143" s="45">
        <f t="shared" si="158"/>
        <v>-1.5293312708234174E-2</v>
      </c>
      <c r="I143" s="45">
        <f t="shared" si="158"/>
        <v>-1.4608719570898088E-2</v>
      </c>
      <c r="J143" s="48">
        <f>J14/J$126</f>
        <v>-1.283448853028905E-2</v>
      </c>
      <c r="K143" s="45">
        <f t="shared" si="157"/>
        <v>-1.1335957397545728E-2</v>
      </c>
      <c r="L143" s="45">
        <f t="shared" si="157"/>
        <v>-1.1422097827535652E-2</v>
      </c>
      <c r="M143" s="45">
        <f t="shared" si="157"/>
        <v>-1.1666268609187168E-2</v>
      </c>
      <c r="N143" s="45">
        <f t="shared" si="157"/>
        <v>-1.1724339116784974E-2</v>
      </c>
      <c r="O143" s="35"/>
      <c r="P143" s="35"/>
      <c r="Q143" s="35"/>
      <c r="R143" s="35"/>
      <c r="S143" s="35"/>
      <c r="T143" s="35"/>
      <c r="U143" s="35"/>
      <c r="V143" s="35"/>
      <c r="W143" s="35"/>
      <c r="X143" s="35"/>
      <c r="Y143" s="2"/>
      <c r="Z143" s="2"/>
      <c r="AA143" s="108"/>
      <c r="AB143" s="109"/>
      <c r="AC143" s="108"/>
      <c r="AD143" s="109"/>
      <c r="AE143" s="108"/>
      <c r="AF143" s="109"/>
      <c r="AG143" s="2"/>
      <c r="AH143" s="2"/>
      <c r="AI143" s="2"/>
    </row>
    <row r="144" spans="1:35" x14ac:dyDescent="0.25">
      <c r="A144" s="20" t="s">
        <v>191</v>
      </c>
      <c r="B144" s="33" t="s">
        <v>192</v>
      </c>
      <c r="C144" s="60" t="s">
        <v>117</v>
      </c>
      <c r="D144" s="32"/>
      <c r="E144" s="35"/>
      <c r="F144" s="45">
        <f t="shared" ref="F144:I144" si="159">F142+F143</f>
        <v>1.4093977783157154E-3</v>
      </c>
      <c r="G144" s="45">
        <f t="shared" si="159"/>
        <v>1.5066905489411041E-3</v>
      </c>
      <c r="H144" s="45">
        <f>H142+H143</f>
        <v>1.6539742979533572E-3</v>
      </c>
      <c r="I144" s="45">
        <f t="shared" si="159"/>
        <v>1.6008802090496481E-3</v>
      </c>
      <c r="J144" s="45">
        <f>J142+J143</f>
        <v>1.2596296216819368E-3</v>
      </c>
      <c r="K144" s="45">
        <f t="shared" si="157"/>
        <v>1.379949062282935E-3</v>
      </c>
      <c r="L144" s="45">
        <f t="shared" si="157"/>
        <v>1.2445021991203508E-3</v>
      </c>
      <c r="M144" s="45">
        <f t="shared" si="157"/>
        <v>1.3072207626781333E-3</v>
      </c>
      <c r="N144" s="45">
        <f t="shared" si="157"/>
        <v>1.25717143373109E-3</v>
      </c>
      <c r="O144" s="35"/>
      <c r="P144" s="35"/>
      <c r="Q144" s="35"/>
      <c r="R144" s="35"/>
      <c r="S144" s="35"/>
      <c r="T144" s="35"/>
      <c r="U144" s="35"/>
      <c r="V144" s="35"/>
      <c r="W144" s="35"/>
      <c r="X144" s="35"/>
      <c r="Y144" s="2"/>
      <c r="Z144" s="2"/>
      <c r="AA144" s="108"/>
      <c r="AB144" s="109"/>
      <c r="AC144" s="108"/>
      <c r="AD144" s="109"/>
      <c r="AE144" s="108"/>
      <c r="AF144" s="109"/>
      <c r="AG144" s="2"/>
      <c r="AH144" s="2"/>
      <c r="AI144" s="2"/>
    </row>
    <row r="145" spans="1:35" x14ac:dyDescent="0.25">
      <c r="A145" s="20" t="s">
        <v>193</v>
      </c>
      <c r="B145" s="33" t="s">
        <v>194</v>
      </c>
      <c r="C145" s="60" t="s">
        <v>117</v>
      </c>
      <c r="D145" s="32"/>
      <c r="E145" s="35"/>
      <c r="F145" s="45">
        <f t="shared" ref="F145" si="160">F144/F142</f>
        <v>9.9430740037950632E-2</v>
      </c>
      <c r="G145" s="45">
        <f t="shared" ref="G145" si="161">G144/G142</f>
        <v>0.10379241516966081</v>
      </c>
      <c r="H145" s="45">
        <f t="shared" ref="H145" si="162">H144/H142</f>
        <v>9.7595225557310955E-2</v>
      </c>
      <c r="I145" s="45">
        <f t="shared" ref="I145" si="163">I144/I142</f>
        <v>9.8761242151705342E-2</v>
      </c>
      <c r="J145" s="45">
        <f t="shared" ref="J145:M145" si="164">J144/J142</f>
        <v>8.93727161997563E-2</v>
      </c>
      <c r="K145" s="45">
        <f t="shared" si="164"/>
        <v>0.1085214857975236</v>
      </c>
      <c r="L145" s="45">
        <f t="shared" si="164"/>
        <v>9.8250690516901149E-2</v>
      </c>
      <c r="M145" s="45">
        <f t="shared" si="164"/>
        <v>0.10082279258258647</v>
      </c>
      <c r="N145" s="45">
        <f>N144/N142</f>
        <v>9.6843231674692318E-2</v>
      </c>
      <c r="O145" s="35"/>
      <c r="P145" s="35"/>
      <c r="Q145" s="35"/>
      <c r="R145" s="35"/>
      <c r="S145" s="35"/>
      <c r="T145" s="35"/>
      <c r="U145" s="35"/>
      <c r="V145" s="35"/>
      <c r="W145" s="35"/>
      <c r="X145" s="35"/>
      <c r="Y145" s="2"/>
      <c r="Z145" s="2"/>
      <c r="AA145" s="108"/>
      <c r="AB145" s="109"/>
      <c r="AC145" s="108"/>
      <c r="AD145" s="109"/>
      <c r="AE145" s="108"/>
      <c r="AF145" s="109"/>
      <c r="AG145" s="2"/>
      <c r="AH145" s="2"/>
      <c r="AI145" s="2"/>
    </row>
    <row r="146" spans="1:35" x14ac:dyDescent="0.25">
      <c r="A146" s="307"/>
      <c r="B146" s="308"/>
      <c r="C146" s="60"/>
      <c r="D146" s="32"/>
      <c r="E146" s="35"/>
      <c r="F146" s="35"/>
      <c r="G146" s="35"/>
      <c r="H146" s="34"/>
      <c r="I146" s="34"/>
      <c r="J146" s="34"/>
      <c r="K146" s="35"/>
      <c r="L146" s="35"/>
      <c r="M146" s="35"/>
      <c r="N146" s="35"/>
      <c r="O146" s="35"/>
      <c r="P146" s="35"/>
      <c r="Q146" s="35"/>
      <c r="R146" s="35"/>
      <c r="S146" s="35"/>
      <c r="T146" s="35"/>
      <c r="U146" s="35"/>
      <c r="V146" s="35"/>
      <c r="W146" s="35"/>
      <c r="X146" s="35"/>
      <c r="Y146" s="2"/>
      <c r="Z146" s="2"/>
      <c r="AA146" s="108"/>
      <c r="AB146" s="109"/>
      <c r="AC146" s="108"/>
      <c r="AD146" s="109"/>
      <c r="AE146" s="108"/>
      <c r="AF146" s="109"/>
      <c r="AG146" s="2"/>
      <c r="AH146" s="2"/>
      <c r="AI146" s="2"/>
    </row>
    <row r="147" spans="1:35" x14ac:dyDescent="0.25">
      <c r="A147" s="20"/>
      <c r="B147" s="33" t="s">
        <v>195</v>
      </c>
      <c r="C147" s="60" t="s">
        <v>117</v>
      </c>
      <c r="D147" s="32"/>
      <c r="E147" s="35"/>
      <c r="F147" s="35"/>
      <c r="G147" s="35"/>
      <c r="H147" s="34"/>
      <c r="I147" s="34"/>
      <c r="J147" s="34"/>
      <c r="K147" s="34"/>
      <c r="L147" s="34"/>
      <c r="M147" s="34"/>
      <c r="N147" s="73">
        <v>0.39</v>
      </c>
      <c r="O147" s="35"/>
      <c r="P147" s="35"/>
      <c r="Q147" s="35"/>
      <c r="R147" s="35"/>
      <c r="S147" s="35"/>
      <c r="T147" s="35"/>
      <c r="U147" s="35"/>
      <c r="V147" s="35"/>
      <c r="W147" s="35"/>
      <c r="X147" s="35"/>
      <c r="Y147" s="2"/>
      <c r="Z147" s="2"/>
      <c r="AA147" s="108"/>
      <c r="AB147" s="109"/>
      <c r="AC147" s="108"/>
      <c r="AD147" s="109"/>
      <c r="AE147" s="108"/>
      <c r="AF147" s="109"/>
      <c r="AG147" s="2"/>
      <c r="AH147" s="2"/>
      <c r="AI147" s="2"/>
    </row>
    <row r="148" spans="1:35" x14ac:dyDescent="0.25">
      <c r="A148" s="20" t="s">
        <v>215</v>
      </c>
      <c r="B148" s="33" t="s">
        <v>216</v>
      </c>
      <c r="C148" s="60" t="s">
        <v>109</v>
      </c>
      <c r="D148" s="32"/>
      <c r="E148" s="35"/>
      <c r="F148" s="35"/>
      <c r="G148" s="35"/>
      <c r="H148" s="34"/>
      <c r="I148" s="34"/>
      <c r="J148" s="34"/>
      <c r="K148" s="63">
        <v>3711</v>
      </c>
      <c r="L148" s="74">
        <v>3802</v>
      </c>
      <c r="M148" s="74">
        <v>4039</v>
      </c>
      <c r="N148" s="74">
        <v>4249</v>
      </c>
      <c r="O148" s="35"/>
      <c r="P148" s="35"/>
      <c r="Q148" s="35"/>
      <c r="R148" s="35"/>
      <c r="S148" s="35"/>
      <c r="T148" s="35"/>
      <c r="U148" s="35"/>
      <c r="V148" s="35"/>
      <c r="W148" s="35"/>
      <c r="X148" s="35"/>
      <c r="Y148" s="2"/>
      <c r="Z148" s="2"/>
      <c r="AA148" s="108"/>
      <c r="AB148" s="109"/>
      <c r="AC148" s="108"/>
      <c r="AD148" s="109"/>
      <c r="AE148" s="108"/>
      <c r="AF148" s="109"/>
      <c r="AG148" s="2"/>
      <c r="AH148" s="2"/>
      <c r="AI148" s="2"/>
    </row>
    <row r="149" spans="1:35" x14ac:dyDescent="0.25">
      <c r="A149" s="20" t="s">
        <v>217</v>
      </c>
      <c r="B149" s="33" t="s">
        <v>218</v>
      </c>
      <c r="C149" s="60" t="s">
        <v>219</v>
      </c>
      <c r="D149" s="32"/>
      <c r="E149" s="35"/>
      <c r="F149" s="35"/>
      <c r="G149" s="35"/>
      <c r="H149" s="34"/>
      <c r="I149" s="34"/>
      <c r="J149" s="34"/>
      <c r="K149" s="34"/>
      <c r="L149" s="34"/>
      <c r="M149" s="34"/>
      <c r="N149" s="34">
        <v>948</v>
      </c>
      <c r="O149" s="35"/>
      <c r="P149" s="35"/>
      <c r="Q149" s="35"/>
      <c r="R149" s="35"/>
      <c r="S149" s="35"/>
      <c r="T149" s="35"/>
      <c r="U149" s="35"/>
      <c r="V149" s="35"/>
      <c r="W149" s="35"/>
      <c r="X149" s="35"/>
      <c r="Y149" s="2"/>
      <c r="Z149" s="2"/>
      <c r="AA149" s="108"/>
      <c r="AB149" s="109"/>
      <c r="AC149" s="108"/>
      <c r="AD149" s="109"/>
      <c r="AE149" s="108"/>
      <c r="AF149" s="109"/>
      <c r="AG149" s="2"/>
      <c r="AH149" s="2"/>
      <c r="AI149" s="2"/>
    </row>
    <row r="150" spans="1:35" x14ac:dyDescent="0.25">
      <c r="A150" s="307"/>
      <c r="B150" s="307"/>
      <c r="C150" s="35"/>
      <c r="D150" s="32"/>
      <c r="E150" s="35"/>
      <c r="F150" s="35"/>
      <c r="G150" s="35"/>
      <c r="H150" s="34"/>
      <c r="I150" s="34"/>
      <c r="J150" s="34"/>
      <c r="K150" s="34"/>
      <c r="L150" s="34"/>
      <c r="M150" s="34"/>
      <c r="N150" s="34"/>
      <c r="O150" s="35"/>
      <c r="P150" s="35"/>
      <c r="Q150" s="35"/>
      <c r="R150" s="35"/>
      <c r="S150" s="35"/>
      <c r="T150" s="35"/>
      <c r="U150" s="35"/>
      <c r="V150" s="35"/>
      <c r="W150" s="35"/>
      <c r="X150" s="35"/>
      <c r="Y150" s="2"/>
      <c r="Z150" s="2"/>
      <c r="AA150" s="108"/>
      <c r="AB150" s="109"/>
      <c r="AC150" s="108"/>
      <c r="AD150" s="109"/>
      <c r="AE150" s="108"/>
      <c r="AF150" s="109"/>
      <c r="AG150" s="2"/>
      <c r="AH150" s="2"/>
      <c r="AI150" s="2"/>
    </row>
    <row r="151" spans="1:35" x14ac:dyDescent="0.25">
      <c r="A151" s="20"/>
      <c r="B151" s="30" t="s">
        <v>221</v>
      </c>
      <c r="C151" s="35"/>
      <c r="D151" s="32"/>
      <c r="E151" s="35"/>
      <c r="F151" s="35"/>
      <c r="G151" s="35"/>
      <c r="H151" s="34"/>
      <c r="I151" s="34"/>
      <c r="J151" s="34"/>
      <c r="K151" s="34"/>
      <c r="L151" s="34"/>
      <c r="M151" s="34"/>
      <c r="N151" s="34"/>
      <c r="O151" s="35"/>
      <c r="P151" s="35"/>
      <c r="Q151" s="35"/>
      <c r="R151" s="35"/>
      <c r="S151" s="35"/>
      <c r="T151" s="35"/>
      <c r="U151" s="35"/>
      <c r="V151" s="35"/>
      <c r="W151" s="35"/>
      <c r="X151" s="35"/>
      <c r="Y151" s="2"/>
      <c r="Z151" s="2"/>
      <c r="AA151" s="108"/>
      <c r="AB151" s="109"/>
      <c r="AC151" s="108"/>
      <c r="AD151" s="109"/>
      <c r="AE151" s="108"/>
      <c r="AF151" s="109"/>
      <c r="AG151" s="2"/>
      <c r="AH151" s="2"/>
      <c r="AI151" s="2"/>
    </row>
    <row r="152" spans="1:35" x14ac:dyDescent="0.25">
      <c r="A152" s="20" t="s">
        <v>277</v>
      </c>
      <c r="B152" s="33" t="s">
        <v>222</v>
      </c>
      <c r="C152" s="60" t="s">
        <v>219</v>
      </c>
      <c r="D152" s="35"/>
      <c r="E152" s="228">
        <f>SUMIFS('ABS Resi New Loans'!$B:$B,'ABS Resi New Loans'!$A:$A,"&gt;"&amp;Annual!D$4,'ABS Resi New Loans'!$A:$A,"&lt;="&amp;Annual!E$4)</f>
        <v>224.899</v>
      </c>
      <c r="F152" s="228">
        <f>SUMIFS('ABS Resi New Loans'!$B:$B,'ABS Resi New Loans'!$A:$A,"&gt;"&amp;Annual!E$4,'ABS Resi New Loans'!$A:$A,"&lt;="&amp;Annual!F$4)</f>
        <v>240.28799999999998</v>
      </c>
      <c r="G152" s="228">
        <f>SUMIFS('ABS Resi New Loans'!$B:$B,'ABS Resi New Loans'!$A:$A,"&gt;"&amp;Annual!F$4,'ABS Resi New Loans'!$A:$A,"&lt;="&amp;Annual!G$4)</f>
        <v>235.31900000000002</v>
      </c>
      <c r="H152" s="228">
        <f>SUMIFS('ABS Resi New Loans'!$B:$B,'ABS Resi New Loans'!$A:$A,"&gt;"&amp;Annual!G$4,'ABS Resi New Loans'!$A:$A,"&lt;="&amp;Annual!H$4)</f>
        <v>195.815</v>
      </c>
      <c r="I152" s="228">
        <f>SUMIFS('ABS Resi New Loans'!$B:$B,'ABS Resi New Loans'!$A:$A,"&gt;"&amp;Annual!H$4,'ABS Resi New Loans'!$A:$A,"&lt;="&amp;Annual!I$4)</f>
        <v>206.09299999999999</v>
      </c>
      <c r="J152" s="228">
        <f>SUMIFS('ABS Resi New Loans'!$B:$B,'ABS Resi New Loans'!$A:$A,"&gt;"&amp;Annual!I$4,'ABS Resi New Loans'!$A:$A,"&lt;="&amp;Annual!J$4)</f>
        <v>292.44499999999999</v>
      </c>
      <c r="K152" s="228">
        <f>SUMIFS('ABS Resi New Loans'!$B:$B,'ABS Resi New Loans'!$A:$A,"&gt;"&amp;Annual!J$4,'ABS Resi New Loans'!$A:$A,"&lt;="&amp;Annual!K$4)</f>
        <v>359.68000000000006</v>
      </c>
      <c r="L152" s="228">
        <f>SUMIFS('ABS Resi New Loans'!$B:$B,'ABS Resi New Loans'!$A:$A,"&gt;"&amp;Annual!K$4,'ABS Resi New Loans'!$A:$A,"&lt;="&amp;Annual!L$4)</f>
        <v>278.95699999999999</v>
      </c>
      <c r="M152" s="228">
        <f>SUMIFS('ABS Resi New Loans'!$B:$B,'ABS Resi New Loans'!$A:$A,"&gt;"&amp;Annual!L$4,'ABS Resi New Loans'!$A:$A,"&lt;="&amp;Annual!M$4)</f>
        <v>300.83600000000001</v>
      </c>
      <c r="N152" s="228">
        <f>SUMIFS('ABS Resi New Loans'!$B:$B,'ABS Resi New Loans'!$A:$A,"&gt;"&amp;Annual!M$4,'ABS Resi New Loans'!$A:$A,"&lt;="&amp;Annual!N$4)</f>
        <v>346.21699999999998</v>
      </c>
      <c r="O152" s="35"/>
      <c r="P152" s="35"/>
      <c r="Q152" s="35"/>
      <c r="R152" s="35"/>
      <c r="S152" s="35"/>
      <c r="T152" s="35"/>
      <c r="U152" s="35"/>
      <c r="V152" s="35"/>
      <c r="W152" s="35"/>
      <c r="X152" s="35"/>
      <c r="Y152" s="2"/>
      <c r="Z152" s="2"/>
      <c r="AA152" s="108"/>
      <c r="AB152" s="109"/>
      <c r="AC152" s="108"/>
      <c r="AD152" s="109"/>
      <c r="AE152" s="108"/>
      <c r="AF152" s="109"/>
      <c r="AG152" s="2"/>
      <c r="AH152" s="2"/>
      <c r="AI152" s="2"/>
    </row>
    <row r="153" spans="1:35" x14ac:dyDescent="0.25">
      <c r="A153" s="20" t="s">
        <v>278</v>
      </c>
      <c r="B153" s="64" t="s">
        <v>223</v>
      </c>
      <c r="C153" s="65" t="s">
        <v>219</v>
      </c>
      <c r="D153" s="67"/>
      <c r="E153" s="229">
        <f>SUMIFS('ABS Resi Refi'!$J:$J,'ABS Resi Refi'!$A:$A,"&gt;"&amp;Annual!D$4,'ABS Resi Refi'!$A:$A,"&lt;="&amp;Annual!E$4)</f>
        <v>111.45200000000001</v>
      </c>
      <c r="F153" s="229">
        <f>SUMIFS('ABS Resi Refi'!$J:$J,'ABS Resi Refi'!$A:$A,"&gt;"&amp;Annual!E$4,'ABS Resi Refi'!$A:$A,"&lt;="&amp;Annual!F$4)</f>
        <v>108.42200000000001</v>
      </c>
      <c r="G153" s="229">
        <f>SUMIFS('ABS Resi Refi'!$J:$J,'ABS Resi Refi'!$A:$A,"&gt;"&amp;Annual!F$4,'ABS Resi Refi'!$A:$A,"&lt;="&amp;Annual!G$4)</f>
        <v>108.70099999999999</v>
      </c>
      <c r="H153" s="229">
        <f>SUMIFS('ABS Resi Refi'!$J:$J,'ABS Resi Refi'!$A:$A,"&gt;"&amp;Annual!G$4,'ABS Resi Refi'!$A:$A,"&lt;="&amp;Annual!H$4)</f>
        <v>103.56399999999999</v>
      </c>
      <c r="I153" s="229">
        <f>SUMIFS('ABS Resi Refi'!$J:$J,'ABS Resi Refi'!$A:$A,"&gt;"&amp;Annual!H$4,'ABS Resi Refi'!$A:$A,"&lt;="&amp;Annual!I$4)</f>
        <v>129.90600000000001</v>
      </c>
      <c r="J153" s="229">
        <f>SUMIFS('ABS Resi Refi'!$J:$J,'ABS Resi Refi'!$A:$A,"&gt;"&amp;Annual!I$4,'ABS Resi Refi'!$A:$A,"&lt;="&amp;Annual!J$4)</f>
        <v>151.51600000000002</v>
      </c>
      <c r="K153" s="229">
        <f>SUMIFS('ABS Resi Refi'!$J:$J,'ABS Resi Refi'!$A:$A,"&gt;"&amp;Annual!J$4,'ABS Resi Refi'!$A:$A,"&lt;="&amp;Annual!K$4)</f>
        <v>199.108</v>
      </c>
      <c r="L153" s="229">
        <f>SUMIFS('ABS Resi Refi'!$J:$J,'ABS Resi Refi'!$A:$A,"&gt;"&amp;Annual!K$4,'ABS Resi Refi'!$A:$A,"&lt;="&amp;Annual!L$4)</f>
        <v>232.98999999999998</v>
      </c>
      <c r="M153" s="229">
        <f>SUMIFS('ABS Resi Refi'!$J:$J,'ABS Resi Refi'!$A:$A,"&gt;"&amp;Annual!L$4,'ABS Resi Refi'!$A:$A,"&lt;="&amp;Annual!M$4)</f>
        <v>207.71399999999997</v>
      </c>
      <c r="N153" s="229">
        <f>SUMIFS('ABS Resi Refi'!$J:$J,'ABS Resi Refi'!$A:$A,"&gt;"&amp;Annual!M$4,'ABS Resi Refi'!$A:$A,"&lt;="&amp;Annual!N$4)</f>
        <v>232.63299999999998</v>
      </c>
      <c r="O153" s="67"/>
      <c r="P153" s="67"/>
      <c r="Q153" s="67"/>
      <c r="R153" s="67"/>
      <c r="S153" s="67"/>
      <c r="T153" s="67"/>
      <c r="U153" s="67"/>
      <c r="V153" s="67"/>
      <c r="W153" s="67"/>
      <c r="X153" s="67"/>
      <c r="Y153" s="2"/>
      <c r="Z153" s="2"/>
      <c r="AA153" s="108"/>
      <c r="AB153" s="109"/>
      <c r="AC153" s="108"/>
      <c r="AD153" s="109"/>
      <c r="AE153" s="108"/>
      <c r="AF153" s="109"/>
      <c r="AG153" s="2"/>
      <c r="AH153" s="2"/>
      <c r="AI153" s="2"/>
    </row>
    <row r="154" spans="1:35" x14ac:dyDescent="0.25">
      <c r="A154" s="20"/>
      <c r="B154" s="33" t="s">
        <v>224</v>
      </c>
      <c r="C154" s="60" t="s">
        <v>219</v>
      </c>
      <c r="D154" s="35"/>
      <c r="E154" s="228">
        <f t="shared" ref="E154:M154" si="165">SUM(E152:E153)</f>
        <v>336.351</v>
      </c>
      <c r="F154" s="228">
        <f t="shared" si="165"/>
        <v>348.71</v>
      </c>
      <c r="G154" s="228">
        <f t="shared" si="165"/>
        <v>344.02</v>
      </c>
      <c r="H154" s="228">
        <f t="shared" si="165"/>
        <v>299.37900000000002</v>
      </c>
      <c r="I154" s="228">
        <f t="shared" si="165"/>
        <v>335.99900000000002</v>
      </c>
      <c r="J154" s="228">
        <f t="shared" si="165"/>
        <v>443.96100000000001</v>
      </c>
      <c r="K154" s="228">
        <f t="shared" si="165"/>
        <v>558.78800000000001</v>
      </c>
      <c r="L154" s="228">
        <f t="shared" si="165"/>
        <v>511.947</v>
      </c>
      <c r="M154" s="228">
        <f t="shared" si="165"/>
        <v>508.54999999999995</v>
      </c>
      <c r="N154" s="228">
        <f>SUM(N152:N153)</f>
        <v>578.84999999999991</v>
      </c>
      <c r="O154" s="35"/>
      <c r="P154" s="35"/>
      <c r="Q154" s="35"/>
      <c r="R154" s="35"/>
      <c r="S154" s="35"/>
      <c r="T154" s="35"/>
      <c r="U154" s="35"/>
      <c r="V154" s="35"/>
      <c r="W154" s="35"/>
      <c r="X154" s="35"/>
      <c r="Y154" s="2"/>
      <c r="Z154" s="2"/>
      <c r="AA154" s="108"/>
      <c r="AB154" s="109"/>
      <c r="AC154" s="108"/>
      <c r="AD154" s="109"/>
      <c r="AE154" s="108"/>
      <c r="AF154" s="109"/>
      <c r="AG154" s="2"/>
      <c r="AH154" s="2"/>
      <c r="AI154" s="2"/>
    </row>
    <row r="155" spans="1:35" x14ac:dyDescent="0.25">
      <c r="A155" s="20"/>
      <c r="B155" s="33" t="s">
        <v>76</v>
      </c>
      <c r="C155" s="27" t="s">
        <v>77</v>
      </c>
      <c r="D155" s="29"/>
      <c r="E155" s="29"/>
      <c r="F155" s="40">
        <f t="shared" ref="F155:M155" si="166">F154/E154-1</f>
        <v>3.6744353368950877E-2</v>
      </c>
      <c r="G155" s="40">
        <f t="shared" si="166"/>
        <v>-1.3449571276992311E-2</v>
      </c>
      <c r="H155" s="40">
        <f t="shared" si="166"/>
        <v>-0.12976280448811106</v>
      </c>
      <c r="I155" s="40">
        <f t="shared" si="166"/>
        <v>0.1223198687950724</v>
      </c>
      <c r="J155" s="40">
        <f t="shared" si="166"/>
        <v>0.32131643248938246</v>
      </c>
      <c r="K155" s="40">
        <f t="shared" si="166"/>
        <v>0.25864208793114707</v>
      </c>
      <c r="L155" s="40">
        <f t="shared" si="166"/>
        <v>-8.3826066415169986E-2</v>
      </c>
      <c r="M155" s="40">
        <f t="shared" si="166"/>
        <v>-6.6354524980125618E-3</v>
      </c>
      <c r="N155" s="40">
        <f>N154/M154-1</f>
        <v>0.13823616163602392</v>
      </c>
      <c r="O155" s="40"/>
      <c r="P155" s="29"/>
      <c r="Q155" s="29"/>
      <c r="R155" s="29"/>
      <c r="S155" s="29"/>
      <c r="T155" s="29"/>
      <c r="U155" s="29"/>
      <c r="V155" s="29"/>
      <c r="W155" s="29"/>
      <c r="X155" s="29"/>
      <c r="Y155" s="2"/>
      <c r="Z155" s="2"/>
      <c r="AA155" s="113">
        <v>0.15</v>
      </c>
      <c r="AB155" s="114">
        <v>-0.01</v>
      </c>
      <c r="AC155" s="113">
        <v>0.36</v>
      </c>
      <c r="AD155" s="114">
        <v>-1.36</v>
      </c>
      <c r="AE155" s="113">
        <v>0.22</v>
      </c>
      <c r="AF155" s="107" t="e">
        <v>#DIV/0!</v>
      </c>
      <c r="AG155" s="2"/>
      <c r="AH155" s="2"/>
      <c r="AI155" s="2"/>
    </row>
    <row r="156" spans="1:35" x14ac:dyDescent="0.25">
      <c r="A156" s="20"/>
      <c r="B156" s="33" t="s">
        <v>225</v>
      </c>
      <c r="C156" s="27"/>
      <c r="D156" s="29"/>
      <c r="E156" s="29"/>
      <c r="F156" s="226">
        <f t="shared" ref="F156:M156" si="167">F122/1000/F154</f>
        <v>9.8468641564623913E-2</v>
      </c>
      <c r="G156" s="226">
        <f t="shared" si="167"/>
        <v>0.10272949247136795</v>
      </c>
      <c r="H156" s="226">
        <f t="shared" si="167"/>
        <v>0.1044862866132895</v>
      </c>
      <c r="I156" s="226">
        <f t="shared" si="167"/>
        <v>0.10138423031020924</v>
      </c>
      <c r="J156" s="226">
        <f t="shared" si="167"/>
        <v>9.8278902876604013E-2</v>
      </c>
      <c r="K156" s="226">
        <f t="shared" si="167"/>
        <v>0.10628896826703509</v>
      </c>
      <c r="L156" s="226">
        <f t="shared" si="167"/>
        <v>0.1047569377298822</v>
      </c>
      <c r="M156" s="226">
        <f t="shared" si="167"/>
        <v>0.10850653819683415</v>
      </c>
      <c r="N156" s="226">
        <f>N122/1000/N154</f>
        <v>0.109638075494515</v>
      </c>
      <c r="O156" s="29"/>
      <c r="P156" s="29"/>
      <c r="Q156" s="29"/>
      <c r="R156" s="29"/>
      <c r="S156" s="29"/>
      <c r="T156" s="29"/>
      <c r="U156" s="29"/>
      <c r="V156" s="29"/>
      <c r="W156" s="29"/>
      <c r="X156" s="29"/>
      <c r="Y156" s="2"/>
      <c r="Z156" s="2"/>
      <c r="AA156" s="106"/>
      <c r="AB156" s="107"/>
      <c r="AC156" s="106"/>
      <c r="AD156" s="107"/>
      <c r="AE156" s="106"/>
      <c r="AF156" s="107"/>
      <c r="AG156" s="2"/>
      <c r="AH156" s="2"/>
      <c r="AI156" s="2"/>
    </row>
    <row r="157" spans="1:35" x14ac:dyDescent="0.25">
      <c r="A157" s="307" t="s">
        <v>196</v>
      </c>
      <c r="B157" s="308"/>
      <c r="C157" s="60"/>
      <c r="D157" s="32"/>
      <c r="E157" s="35"/>
      <c r="F157" s="35"/>
      <c r="G157" s="35"/>
      <c r="H157" s="34"/>
      <c r="I157" s="34"/>
      <c r="J157" s="34"/>
      <c r="K157" s="34"/>
      <c r="L157" s="34"/>
      <c r="M157" s="34"/>
      <c r="N157" s="146">
        <v>0.06</v>
      </c>
      <c r="O157" s="35"/>
      <c r="P157" s="35"/>
      <c r="Q157" s="35"/>
      <c r="R157" s="35"/>
      <c r="S157" s="35"/>
      <c r="T157" s="35"/>
      <c r="U157" s="35"/>
      <c r="V157" s="35"/>
      <c r="W157" s="35"/>
      <c r="X157" s="35"/>
      <c r="Y157" s="2"/>
      <c r="Z157" s="2"/>
      <c r="AA157" s="108"/>
      <c r="AB157" s="109"/>
      <c r="AC157" s="108"/>
      <c r="AD157" s="109"/>
      <c r="AE157" s="108"/>
      <c r="AF157" s="109"/>
      <c r="AG157" s="2"/>
      <c r="AH157" s="2"/>
      <c r="AI157" s="2"/>
    </row>
    <row r="158" spans="1:35" x14ac:dyDescent="0.25">
      <c r="A158" s="20" t="s">
        <v>197</v>
      </c>
      <c r="B158" s="61" t="s">
        <v>100</v>
      </c>
      <c r="C158" s="60"/>
      <c r="D158" s="32"/>
      <c r="E158" s="35"/>
      <c r="F158" s="35"/>
      <c r="G158" s="35"/>
      <c r="H158" s="34"/>
      <c r="I158" s="34"/>
      <c r="J158" s="34"/>
      <c r="K158" s="34"/>
      <c r="L158" s="34"/>
      <c r="M158" s="34"/>
      <c r="N158" s="34"/>
      <c r="O158" s="35"/>
      <c r="P158" s="35"/>
      <c r="Q158" s="35"/>
      <c r="R158" s="35"/>
      <c r="S158" s="35"/>
      <c r="T158" s="35"/>
      <c r="U158" s="35"/>
      <c r="V158" s="35"/>
      <c r="W158" s="35"/>
      <c r="X158" s="35"/>
      <c r="Y158" s="2"/>
      <c r="Z158" s="2"/>
      <c r="AA158" s="108"/>
      <c r="AB158" s="109"/>
      <c r="AC158" s="108"/>
      <c r="AD158" s="109"/>
      <c r="AE158" s="108"/>
      <c r="AF158" s="109"/>
      <c r="AG158" s="2"/>
      <c r="AH158" s="2"/>
      <c r="AI158" s="2"/>
    </row>
    <row r="159" spans="1:35" x14ac:dyDescent="0.25">
      <c r="A159" s="307" t="s">
        <v>196</v>
      </c>
      <c r="B159" s="308"/>
      <c r="C159" s="60"/>
      <c r="D159" s="32"/>
      <c r="E159" s="35"/>
      <c r="F159" s="35"/>
      <c r="G159" s="35"/>
      <c r="H159" s="34"/>
      <c r="I159" s="34"/>
      <c r="J159" s="34"/>
      <c r="K159" s="34"/>
      <c r="L159" s="34"/>
      <c r="M159" s="34"/>
      <c r="N159" s="34"/>
      <c r="O159" s="35"/>
      <c r="P159" s="35"/>
      <c r="Q159" s="35"/>
      <c r="R159" s="35"/>
      <c r="S159" s="35"/>
      <c r="T159" s="35"/>
      <c r="U159" s="35"/>
      <c r="V159" s="35"/>
      <c r="W159" s="35"/>
      <c r="X159" s="35"/>
      <c r="Y159" s="2"/>
      <c r="Z159" s="2"/>
      <c r="AA159" s="108"/>
      <c r="AB159" s="109"/>
      <c r="AC159" s="108"/>
      <c r="AD159" s="109"/>
      <c r="AE159" s="108"/>
      <c r="AF159" s="109"/>
      <c r="AG159" s="2"/>
      <c r="AH159" s="2"/>
      <c r="AI159" s="2"/>
    </row>
    <row r="160" spans="1:35" x14ac:dyDescent="0.25">
      <c r="A160" s="20" t="s">
        <v>198</v>
      </c>
      <c r="B160" s="33" t="s">
        <v>199</v>
      </c>
      <c r="C160" s="60" t="s">
        <v>67</v>
      </c>
      <c r="D160" s="32"/>
      <c r="E160" s="35"/>
      <c r="F160" s="35"/>
      <c r="G160" s="35"/>
      <c r="H160" s="34"/>
      <c r="I160" s="34"/>
      <c r="J160" s="34"/>
      <c r="K160" s="34">
        <v>65</v>
      </c>
      <c r="L160" s="34">
        <v>65.7</v>
      </c>
      <c r="M160" s="34">
        <v>47.7</v>
      </c>
      <c r="N160" s="34">
        <v>58.1</v>
      </c>
      <c r="O160" s="35"/>
      <c r="P160" s="35"/>
      <c r="Q160" s="35"/>
      <c r="R160" s="35"/>
      <c r="S160" s="35"/>
      <c r="T160" s="35"/>
      <c r="U160" s="35"/>
      <c r="V160" s="35"/>
      <c r="W160" s="35"/>
      <c r="X160" s="35"/>
      <c r="Y160" s="2"/>
      <c r="Z160" s="2"/>
      <c r="AA160" s="108"/>
      <c r="AB160" s="109"/>
      <c r="AC160" s="108"/>
      <c r="AD160" s="109"/>
      <c r="AE160" s="108"/>
      <c r="AF160" s="109"/>
      <c r="AG160" s="2"/>
      <c r="AH160" s="2"/>
      <c r="AI160" s="2"/>
    </row>
    <row r="161" spans="1:35" x14ac:dyDescent="0.25">
      <c r="A161" s="20" t="s">
        <v>200</v>
      </c>
      <c r="B161" s="33" t="s">
        <v>201</v>
      </c>
      <c r="C161" s="60" t="s">
        <v>67</v>
      </c>
      <c r="D161" s="32"/>
      <c r="E161" s="35"/>
      <c r="F161" s="35"/>
      <c r="G161" s="35"/>
      <c r="H161" s="34"/>
      <c r="I161" s="34"/>
      <c r="J161" s="34"/>
      <c r="K161" s="34">
        <v>-21</v>
      </c>
      <c r="L161" s="34">
        <v>-25.5</v>
      </c>
      <c r="M161" s="34">
        <v>-23.1</v>
      </c>
      <c r="N161" s="34">
        <v>-25</v>
      </c>
      <c r="O161" s="35"/>
      <c r="P161" s="35"/>
      <c r="Q161" s="35"/>
      <c r="R161" s="35"/>
      <c r="S161" s="35"/>
      <c r="T161" s="35"/>
      <c r="U161" s="35"/>
      <c r="V161" s="35"/>
      <c r="W161" s="35"/>
      <c r="X161" s="35"/>
      <c r="Y161" s="2"/>
      <c r="Z161" s="2"/>
      <c r="AA161" s="108"/>
      <c r="AB161" s="109"/>
      <c r="AC161" s="108"/>
      <c r="AD161" s="109"/>
      <c r="AE161" s="108"/>
      <c r="AF161" s="109"/>
      <c r="AG161" s="2"/>
      <c r="AH161" s="2"/>
      <c r="AI161" s="2"/>
    </row>
    <row r="162" spans="1:35" x14ac:dyDescent="0.25">
      <c r="A162" s="20" t="s">
        <v>202</v>
      </c>
      <c r="B162" s="64" t="s">
        <v>203</v>
      </c>
      <c r="C162" s="65" t="s">
        <v>67</v>
      </c>
      <c r="D162" s="66"/>
      <c r="E162" s="67"/>
      <c r="F162" s="67"/>
      <c r="G162" s="67"/>
      <c r="H162" s="68"/>
      <c r="I162" s="68"/>
      <c r="J162" s="67"/>
      <c r="K162" s="229">
        <f t="shared" ref="K162:M162" si="168">K163-K161-K160</f>
        <v>-3</v>
      </c>
      <c r="L162" s="229">
        <f t="shared" si="168"/>
        <v>-1.8000000000000043</v>
      </c>
      <c r="M162" s="229">
        <f t="shared" si="168"/>
        <v>-2</v>
      </c>
      <c r="N162" s="229">
        <f>N163-N161-N160</f>
        <v>-3.6000000000000014</v>
      </c>
      <c r="O162" s="67"/>
      <c r="P162" s="67"/>
      <c r="Q162" s="67"/>
      <c r="R162" s="67"/>
      <c r="S162" s="67"/>
      <c r="T162" s="67"/>
      <c r="U162" s="67"/>
      <c r="V162" s="67"/>
      <c r="W162" s="67"/>
      <c r="X162" s="67"/>
      <c r="Y162" s="2"/>
      <c r="Z162" s="2"/>
      <c r="AA162" s="108"/>
      <c r="AB162" s="109"/>
      <c r="AC162" s="108"/>
      <c r="AD162" s="109"/>
      <c r="AE162" s="108"/>
      <c r="AF162" s="109"/>
      <c r="AG162" s="2"/>
      <c r="AH162" s="2"/>
      <c r="AI162" s="2"/>
    </row>
    <row r="163" spans="1:35" x14ac:dyDescent="0.25">
      <c r="A163" s="20" t="s">
        <v>204</v>
      </c>
      <c r="B163" s="33" t="s">
        <v>87</v>
      </c>
      <c r="C163" s="60" t="s">
        <v>67</v>
      </c>
      <c r="D163" s="32"/>
      <c r="E163" s="35"/>
      <c r="F163" s="35"/>
      <c r="G163" s="35"/>
      <c r="H163" s="34"/>
      <c r="I163" s="34"/>
      <c r="J163" s="34"/>
      <c r="K163" s="34">
        <v>41</v>
      </c>
      <c r="L163" s="34">
        <v>38.4</v>
      </c>
      <c r="M163" s="34">
        <v>22.6</v>
      </c>
      <c r="N163" s="34">
        <v>29.5</v>
      </c>
      <c r="O163" s="35"/>
      <c r="P163" s="35"/>
      <c r="Q163" s="35"/>
      <c r="R163" s="35"/>
      <c r="S163" s="35"/>
      <c r="T163" s="35"/>
      <c r="U163" s="35"/>
      <c r="V163" s="35"/>
      <c r="W163" s="35"/>
      <c r="X163" s="35"/>
      <c r="Y163" s="2"/>
      <c r="Z163" s="2"/>
      <c r="AA163" s="108"/>
      <c r="AB163" s="109"/>
      <c r="AC163" s="108"/>
      <c r="AD163" s="109"/>
      <c r="AE163" s="108"/>
      <c r="AF163" s="109"/>
      <c r="AG163" s="2"/>
      <c r="AH163" s="2"/>
      <c r="AI163" s="2"/>
    </row>
    <row r="164" spans="1:35" x14ac:dyDescent="0.25">
      <c r="A164" s="307" t="s">
        <v>196</v>
      </c>
      <c r="B164" s="308"/>
      <c r="C164" s="60"/>
      <c r="D164" s="32"/>
      <c r="E164" s="35"/>
      <c r="F164" s="35"/>
      <c r="G164" s="35"/>
      <c r="H164" s="34"/>
      <c r="I164" s="34"/>
      <c r="J164" s="34"/>
      <c r="K164" s="34"/>
      <c r="L164" s="34"/>
      <c r="M164" s="34"/>
      <c r="N164" s="34"/>
      <c r="O164" s="35"/>
      <c r="P164" s="35"/>
      <c r="Q164" s="35"/>
      <c r="R164" s="35"/>
      <c r="S164" s="35"/>
      <c r="T164" s="35"/>
      <c r="U164" s="35"/>
      <c r="V164" s="35"/>
      <c r="W164" s="35"/>
      <c r="X164" s="35"/>
      <c r="Y164" s="2"/>
      <c r="Z164" s="2"/>
      <c r="AA164" s="108"/>
      <c r="AB164" s="109"/>
      <c r="AC164" s="108"/>
      <c r="AD164" s="109"/>
      <c r="AE164" s="108"/>
      <c r="AF164" s="109"/>
      <c r="AG164" s="2"/>
      <c r="AH164" s="2"/>
      <c r="AI164" s="2"/>
    </row>
    <row r="165" spans="1:35" x14ac:dyDescent="0.25">
      <c r="A165" s="20" t="s">
        <v>205</v>
      </c>
      <c r="B165" s="33" t="s">
        <v>206</v>
      </c>
      <c r="C165" s="60" t="s">
        <v>67</v>
      </c>
      <c r="D165" s="32"/>
      <c r="E165" s="35"/>
      <c r="F165" s="35"/>
      <c r="G165" s="35"/>
      <c r="H165" s="34"/>
      <c r="I165" s="34"/>
      <c r="J165" s="34"/>
      <c r="K165" s="63">
        <v>4000</v>
      </c>
      <c r="L165" s="74">
        <v>4800</v>
      </c>
      <c r="M165" s="63">
        <v>4200</v>
      </c>
      <c r="N165" s="63">
        <v>5000</v>
      </c>
      <c r="O165" s="35"/>
      <c r="P165" s="35"/>
      <c r="Q165" s="35"/>
      <c r="R165" s="35"/>
      <c r="S165" s="35"/>
      <c r="T165" s="35"/>
      <c r="U165" s="35"/>
      <c r="V165" s="35"/>
      <c r="W165" s="35"/>
      <c r="X165" s="35"/>
      <c r="Y165" s="2"/>
      <c r="Z165" s="2"/>
      <c r="AA165" s="108"/>
      <c r="AB165" s="109"/>
      <c r="AC165" s="108"/>
      <c r="AD165" s="109"/>
      <c r="AE165" s="108"/>
      <c r="AF165" s="109"/>
      <c r="AG165" s="2"/>
      <c r="AH165" s="2"/>
      <c r="AI165" s="2"/>
    </row>
    <row r="166" spans="1:35" x14ac:dyDescent="0.25">
      <c r="A166" s="20" t="s">
        <v>207</v>
      </c>
      <c r="B166" s="33" t="s">
        <v>208</v>
      </c>
      <c r="C166" s="60" t="s">
        <v>67</v>
      </c>
      <c r="D166" s="32"/>
      <c r="E166" s="35"/>
      <c r="F166" s="35"/>
      <c r="G166" s="35"/>
      <c r="H166" s="34"/>
      <c r="I166" s="34"/>
      <c r="J166" s="34"/>
      <c r="K166" s="63">
        <v>4786</v>
      </c>
      <c r="L166" s="74">
        <v>4475</v>
      </c>
      <c r="M166" s="63">
        <v>4442</v>
      </c>
      <c r="N166" s="63">
        <v>5480</v>
      </c>
      <c r="O166" s="35"/>
      <c r="P166" s="35"/>
      <c r="Q166" s="35"/>
      <c r="R166" s="35"/>
      <c r="S166" s="35"/>
      <c r="T166" s="35"/>
      <c r="U166" s="35"/>
      <c r="V166" s="35"/>
      <c r="W166" s="35"/>
      <c r="X166" s="35"/>
      <c r="Y166" s="2"/>
      <c r="Z166" s="2"/>
      <c r="AA166" s="108"/>
      <c r="AB166" s="109"/>
      <c r="AC166" s="108"/>
      <c r="AD166" s="109"/>
      <c r="AE166" s="108"/>
      <c r="AF166" s="109"/>
      <c r="AG166" s="2"/>
      <c r="AH166" s="2"/>
      <c r="AI166" s="2"/>
    </row>
    <row r="167" spans="1:35" x14ac:dyDescent="0.25">
      <c r="A167" s="20" t="s">
        <v>209</v>
      </c>
      <c r="B167" s="33" t="s">
        <v>210</v>
      </c>
      <c r="C167" s="60" t="s">
        <v>67</v>
      </c>
      <c r="D167" s="32"/>
      <c r="E167" s="35"/>
      <c r="F167" s="35"/>
      <c r="G167" s="35"/>
      <c r="H167" s="34"/>
      <c r="I167" s="34"/>
      <c r="J167" s="34"/>
      <c r="K167" s="63">
        <v>2720</v>
      </c>
      <c r="L167" s="74">
        <v>1581</v>
      </c>
      <c r="M167" s="63">
        <v>1637</v>
      </c>
      <c r="N167" s="63">
        <v>2707</v>
      </c>
      <c r="O167" s="35"/>
      <c r="P167" s="35"/>
      <c r="Q167" s="35"/>
      <c r="R167" s="35"/>
      <c r="S167" s="35"/>
      <c r="T167" s="35"/>
      <c r="U167" s="35"/>
      <c r="V167" s="35"/>
      <c r="W167" s="35"/>
      <c r="X167" s="35"/>
      <c r="Y167" s="2"/>
      <c r="Z167" s="2"/>
      <c r="AA167" s="108"/>
      <c r="AB167" s="109"/>
      <c r="AC167" s="108"/>
      <c r="AD167" s="109"/>
      <c r="AE167" s="108"/>
      <c r="AF167" s="109"/>
      <c r="AG167" s="2"/>
      <c r="AH167" s="2"/>
      <c r="AI167" s="2"/>
    </row>
    <row r="168" spans="1:35" x14ac:dyDescent="0.25">
      <c r="A168" s="20" t="s">
        <v>211</v>
      </c>
      <c r="B168" s="33" t="s">
        <v>212</v>
      </c>
      <c r="C168" s="60" t="s">
        <v>213</v>
      </c>
      <c r="D168" s="32"/>
      <c r="E168" s="35"/>
      <c r="F168" s="73">
        <v>1.35E-2</v>
      </c>
      <c r="G168" s="73">
        <v>1.29E-2</v>
      </c>
      <c r="H168" s="73">
        <v>1.17E-2</v>
      </c>
      <c r="I168" s="73">
        <v>1.5699999999999999E-2</v>
      </c>
      <c r="J168" s="73">
        <v>1.78E-2</v>
      </c>
      <c r="K168" s="45">
        <f t="shared" ref="K168:M168" si="169">K160/K165</f>
        <v>1.6250000000000001E-2</v>
      </c>
      <c r="L168" s="45">
        <f t="shared" si="169"/>
        <v>1.36875E-2</v>
      </c>
      <c r="M168" s="45">
        <f t="shared" si="169"/>
        <v>1.1357142857142857E-2</v>
      </c>
      <c r="N168" s="45">
        <f>N160/N165</f>
        <v>1.162E-2</v>
      </c>
      <c r="O168" s="35"/>
      <c r="P168" s="35"/>
      <c r="Q168" s="35"/>
      <c r="R168" s="35"/>
      <c r="S168" s="35"/>
      <c r="T168" s="35"/>
      <c r="U168" s="35"/>
      <c r="V168" s="35"/>
      <c r="W168" s="35"/>
      <c r="X168" s="35"/>
      <c r="Y168" s="2"/>
      <c r="Z168" s="2"/>
      <c r="AA168" s="108"/>
      <c r="AB168" s="109"/>
      <c r="AC168" s="108"/>
      <c r="AD168" s="109"/>
      <c r="AE168" s="108"/>
      <c r="AF168" s="109"/>
      <c r="AG168" s="2"/>
      <c r="AH168" s="2"/>
      <c r="AI168" s="2"/>
    </row>
    <row r="169" spans="1:35" x14ac:dyDescent="0.25">
      <c r="A169" s="307"/>
      <c r="B169" s="308"/>
      <c r="C169" s="60"/>
      <c r="D169" s="32"/>
      <c r="E169" s="35"/>
      <c r="F169" s="35"/>
      <c r="G169" s="35"/>
      <c r="H169" s="34"/>
      <c r="I169" s="34"/>
      <c r="J169" s="34"/>
      <c r="K169" s="35"/>
      <c r="L169" s="35"/>
      <c r="M169" s="34"/>
      <c r="N169" s="34"/>
      <c r="O169" s="35"/>
      <c r="P169" s="35"/>
      <c r="Q169" s="35"/>
      <c r="R169" s="35"/>
      <c r="S169" s="35"/>
      <c r="T169" s="35"/>
      <c r="U169" s="35"/>
      <c r="V169" s="35"/>
      <c r="W169" s="35"/>
      <c r="X169" s="35"/>
      <c r="Y169" s="2"/>
      <c r="Z169" s="2"/>
      <c r="AA169" s="108"/>
      <c r="AB169" s="109"/>
      <c r="AC169" s="108"/>
      <c r="AD169" s="109"/>
      <c r="AE169" s="108"/>
      <c r="AF169" s="109"/>
      <c r="AG169" s="2"/>
      <c r="AH169" s="2"/>
      <c r="AI169" s="2"/>
    </row>
    <row r="170" spans="1:35" x14ac:dyDescent="0.25">
      <c r="A170" s="20"/>
      <c r="B170" s="33" t="s">
        <v>195</v>
      </c>
      <c r="C170" s="60" t="s">
        <v>117</v>
      </c>
      <c r="D170" s="32"/>
      <c r="E170" s="35"/>
      <c r="F170" s="35"/>
      <c r="G170" s="35"/>
      <c r="H170" s="34"/>
      <c r="I170" s="34"/>
      <c r="J170" s="34"/>
      <c r="K170" s="34"/>
      <c r="L170" s="34"/>
      <c r="M170" s="34"/>
      <c r="N170" s="73">
        <v>0.15</v>
      </c>
      <c r="O170" s="35"/>
      <c r="P170" s="35"/>
      <c r="Q170" s="35"/>
      <c r="R170" s="35"/>
      <c r="S170" s="35"/>
      <c r="T170" s="35"/>
      <c r="U170" s="35"/>
      <c r="V170" s="35"/>
      <c r="W170" s="35"/>
      <c r="X170" s="35"/>
      <c r="Y170" s="2"/>
      <c r="Z170" s="2"/>
      <c r="AA170" s="108"/>
      <c r="AB170" s="109"/>
      <c r="AC170" s="108"/>
      <c r="AD170" s="109"/>
      <c r="AE170" s="108"/>
      <c r="AF170" s="109"/>
      <c r="AG170" s="2"/>
      <c r="AH170" s="2"/>
      <c r="AI170" s="2"/>
    </row>
    <row r="171" spans="1:35" x14ac:dyDescent="0.25">
      <c r="A171" s="307" t="s">
        <v>196</v>
      </c>
      <c r="B171" s="308"/>
      <c r="C171" s="60"/>
      <c r="D171" s="32"/>
      <c r="E171" s="35"/>
      <c r="F171" s="35"/>
      <c r="G171" s="35"/>
      <c r="H171" s="34"/>
      <c r="I171" s="34"/>
      <c r="J171" s="34"/>
      <c r="K171" s="34"/>
      <c r="L171" s="34"/>
      <c r="M171" s="34"/>
      <c r="N171" s="34"/>
      <c r="O171" s="35"/>
      <c r="P171" s="35"/>
      <c r="Q171" s="35"/>
      <c r="R171" s="35"/>
      <c r="S171" s="35"/>
      <c r="T171" s="35"/>
      <c r="U171" s="35"/>
      <c r="V171" s="35"/>
      <c r="W171" s="35"/>
      <c r="X171" s="35"/>
      <c r="Y171" s="2"/>
      <c r="Z171" s="2"/>
      <c r="AA171" s="108"/>
      <c r="AB171" s="109"/>
      <c r="AC171" s="108"/>
      <c r="AD171" s="109"/>
      <c r="AE171" s="108"/>
      <c r="AF171" s="109"/>
      <c r="AG171" s="2"/>
      <c r="AH171" s="2"/>
      <c r="AI171" s="2"/>
    </row>
    <row r="172" spans="1:35" x14ac:dyDescent="0.25">
      <c r="A172" s="20" t="s">
        <v>214</v>
      </c>
      <c r="B172" s="61" t="s">
        <v>72</v>
      </c>
      <c r="C172" s="60"/>
      <c r="D172" s="32"/>
      <c r="E172" s="35"/>
      <c r="F172" s="35"/>
      <c r="G172" s="35"/>
      <c r="H172" s="34"/>
      <c r="I172" s="34"/>
      <c r="J172" s="34"/>
      <c r="K172" s="34"/>
      <c r="L172" s="34"/>
      <c r="M172" s="34"/>
      <c r="N172" s="34"/>
      <c r="O172" s="35"/>
      <c r="P172" s="35"/>
      <c r="Q172" s="35"/>
      <c r="R172" s="35"/>
      <c r="S172" s="35"/>
      <c r="T172" s="35"/>
      <c r="U172" s="35"/>
      <c r="V172" s="35"/>
      <c r="W172" s="35"/>
      <c r="X172" s="35"/>
      <c r="Y172" s="2"/>
      <c r="Z172" s="2"/>
      <c r="AA172" s="108"/>
      <c r="AB172" s="109"/>
      <c r="AC172" s="108"/>
      <c r="AD172" s="109"/>
      <c r="AE172" s="108"/>
      <c r="AF172" s="109"/>
      <c r="AG172" s="2"/>
      <c r="AH172" s="2"/>
      <c r="AI172" s="2"/>
    </row>
    <row r="173" spans="1:35" x14ac:dyDescent="0.25">
      <c r="A173" s="309"/>
      <c r="B173" s="309"/>
      <c r="C173" s="2"/>
      <c r="D173" s="32"/>
      <c r="E173" s="2"/>
      <c r="F173" s="2"/>
      <c r="G173" s="2"/>
      <c r="H173" s="2"/>
      <c r="I173" s="2"/>
      <c r="J173" s="2"/>
      <c r="K173" s="2"/>
      <c r="L173" s="2"/>
      <c r="M173" s="2"/>
      <c r="N173" s="2"/>
      <c r="O173" s="2"/>
      <c r="P173" s="2"/>
      <c r="Q173" s="2"/>
      <c r="R173" s="2"/>
      <c r="S173" s="2"/>
      <c r="T173" s="2"/>
      <c r="U173" s="2"/>
      <c r="V173" s="2"/>
      <c r="W173" s="2"/>
      <c r="X173" s="2"/>
      <c r="Y173" s="2"/>
      <c r="Z173" s="2"/>
      <c r="AA173" s="99"/>
      <c r="AB173" s="3"/>
      <c r="AC173" s="99"/>
      <c r="AD173" s="3"/>
      <c r="AE173" s="99"/>
      <c r="AF173" s="3"/>
      <c r="AG173" s="2"/>
      <c r="AH173" s="2"/>
      <c r="AI173" s="2"/>
    </row>
    <row r="174" spans="1:35" x14ac:dyDescent="0.25">
      <c r="A174" s="309"/>
      <c r="B174" s="309"/>
      <c r="C174" s="2"/>
      <c r="D174" s="32"/>
      <c r="E174" s="2"/>
      <c r="F174" s="2"/>
      <c r="G174" s="2"/>
      <c r="H174" s="2"/>
      <c r="I174" s="2"/>
      <c r="J174" s="2"/>
      <c r="K174" s="2"/>
      <c r="L174" s="2"/>
      <c r="M174" s="2"/>
      <c r="N174" s="2"/>
      <c r="O174" s="2"/>
      <c r="P174" s="2"/>
      <c r="Q174" s="2"/>
      <c r="R174" s="2"/>
      <c r="S174" s="2"/>
      <c r="T174" s="2"/>
      <c r="U174" s="2"/>
      <c r="V174" s="2"/>
      <c r="W174" s="2"/>
      <c r="X174" s="2"/>
      <c r="Y174" s="2"/>
      <c r="Z174" s="2"/>
      <c r="AA174" s="99"/>
      <c r="AB174" s="3"/>
      <c r="AC174" s="99"/>
      <c r="AD174" s="3"/>
      <c r="AE174" s="99"/>
      <c r="AF174" s="3"/>
      <c r="AG174" s="2"/>
      <c r="AH174" s="2"/>
      <c r="AI174" s="2"/>
    </row>
    <row r="175" spans="1:35" x14ac:dyDescent="0.25">
      <c r="A175" s="307" t="s">
        <v>196</v>
      </c>
      <c r="B175" s="308"/>
      <c r="C175" s="60"/>
      <c r="D175" s="32"/>
      <c r="E175" s="35"/>
      <c r="F175" s="35"/>
      <c r="G175" s="35"/>
      <c r="H175" s="34"/>
      <c r="I175" s="34"/>
      <c r="J175" s="34"/>
      <c r="K175" s="34"/>
      <c r="L175" s="34"/>
      <c r="M175" s="34"/>
      <c r="N175" s="34"/>
      <c r="O175" s="35"/>
      <c r="P175" s="35"/>
      <c r="Q175" s="35"/>
      <c r="R175" s="35"/>
      <c r="S175" s="35"/>
      <c r="T175" s="35"/>
      <c r="U175" s="35"/>
      <c r="V175" s="35"/>
      <c r="W175" s="35"/>
      <c r="X175" s="35"/>
      <c r="Y175" s="2"/>
      <c r="Z175" s="2"/>
      <c r="AA175" s="108"/>
      <c r="AB175" s="109"/>
      <c r="AC175" s="108"/>
      <c r="AD175" s="109"/>
      <c r="AE175" s="108"/>
      <c r="AF175" s="109"/>
      <c r="AG175" s="2"/>
      <c r="AH175" s="2"/>
      <c r="AI175" s="2"/>
    </row>
    <row r="176" spans="1:35" x14ac:dyDescent="0.25">
      <c r="A176" s="307" t="s">
        <v>196</v>
      </c>
      <c r="B176" s="308"/>
      <c r="C176" s="60"/>
      <c r="D176" s="32"/>
      <c r="E176" s="35"/>
      <c r="F176" s="35"/>
      <c r="G176" s="35"/>
      <c r="H176" s="34"/>
      <c r="I176" s="34"/>
      <c r="J176" s="34"/>
      <c r="K176" s="34"/>
      <c r="L176" s="34"/>
      <c r="M176" s="34"/>
      <c r="N176" s="34"/>
      <c r="O176" s="35"/>
      <c r="P176" s="35"/>
      <c r="Q176" s="35"/>
      <c r="R176" s="35"/>
      <c r="S176" s="35"/>
      <c r="T176" s="35"/>
      <c r="U176" s="35"/>
      <c r="V176" s="35"/>
      <c r="W176" s="35"/>
      <c r="X176" s="35"/>
      <c r="Y176" s="2"/>
      <c r="Z176" s="2"/>
      <c r="AA176" s="108"/>
      <c r="AB176" s="109"/>
      <c r="AC176" s="108"/>
      <c r="AD176" s="109"/>
      <c r="AE176" s="108"/>
      <c r="AF176" s="109"/>
      <c r="AG176" s="2"/>
      <c r="AH176" s="2"/>
      <c r="AI176" s="2"/>
    </row>
    <row r="177" spans="1:35" x14ac:dyDescent="0.25">
      <c r="A177" s="309"/>
      <c r="B177" s="309"/>
      <c r="C177" s="2"/>
      <c r="D177" s="32"/>
      <c r="E177" s="2"/>
      <c r="F177" s="2"/>
      <c r="G177" s="2"/>
      <c r="H177" s="2"/>
      <c r="I177" s="2"/>
      <c r="J177" s="2"/>
      <c r="K177" s="2"/>
      <c r="L177" s="2"/>
      <c r="M177" s="2"/>
      <c r="N177" s="2"/>
      <c r="O177" s="2"/>
      <c r="P177" s="2"/>
      <c r="Q177" s="2"/>
      <c r="R177" s="2"/>
      <c r="S177" s="2"/>
      <c r="T177" s="2"/>
      <c r="U177" s="2"/>
      <c r="V177" s="2"/>
      <c r="W177" s="2"/>
      <c r="X177" s="2"/>
      <c r="Y177" s="2"/>
      <c r="Z177" s="2"/>
      <c r="AA177" s="99"/>
      <c r="AB177" s="3"/>
      <c r="AC177" s="99"/>
      <c r="AD177" s="3"/>
      <c r="AE177" s="99"/>
      <c r="AF177" s="3"/>
      <c r="AG177" s="2"/>
      <c r="AH177" s="2"/>
      <c r="AI177" s="2"/>
    </row>
    <row r="178" spans="1:35" x14ac:dyDescent="0.25">
      <c r="A178" s="309"/>
      <c r="B178" s="309"/>
      <c r="C178" s="2"/>
      <c r="D178" s="32"/>
      <c r="E178" s="2"/>
      <c r="F178" s="2"/>
      <c r="G178" s="2"/>
      <c r="H178" s="2"/>
      <c r="I178" s="2"/>
      <c r="J178" s="2"/>
      <c r="K178" s="2"/>
      <c r="L178" s="2"/>
      <c r="M178" s="2"/>
      <c r="N178" s="2"/>
      <c r="O178" s="2"/>
      <c r="P178" s="2"/>
      <c r="Q178" s="2"/>
      <c r="R178" s="2"/>
      <c r="S178" s="2"/>
      <c r="T178" s="2"/>
      <c r="U178" s="2"/>
      <c r="V178" s="2"/>
      <c r="W178" s="2"/>
      <c r="X178" s="2"/>
      <c r="Y178" s="2"/>
      <c r="Z178" s="2"/>
      <c r="AA178" s="99"/>
      <c r="AB178" s="3"/>
      <c r="AC178" s="99"/>
      <c r="AD178" s="3"/>
      <c r="AE178" s="99"/>
      <c r="AF178" s="3"/>
      <c r="AG178" s="2"/>
      <c r="AH178" s="2"/>
      <c r="AI178" s="2"/>
    </row>
    <row r="179" spans="1:35" x14ac:dyDescent="0.25">
      <c r="A179" s="20" t="s">
        <v>279</v>
      </c>
      <c r="B179" s="33" t="s">
        <v>280</v>
      </c>
      <c r="C179" s="60"/>
      <c r="D179" s="32"/>
      <c r="E179" s="35"/>
      <c r="F179" s="35"/>
      <c r="G179" s="35"/>
      <c r="H179" s="34"/>
      <c r="I179" s="34"/>
      <c r="J179" s="34"/>
      <c r="K179" s="34"/>
      <c r="L179" s="34"/>
      <c r="M179" s="34"/>
      <c r="N179" s="34">
        <v>34.4</v>
      </c>
      <c r="O179" s="35"/>
      <c r="P179" s="35"/>
      <c r="Q179" s="35"/>
      <c r="R179" s="35"/>
      <c r="S179" s="35"/>
      <c r="T179" s="35"/>
      <c r="U179" s="35"/>
      <c r="V179" s="35"/>
      <c r="W179" s="35"/>
      <c r="X179" s="35"/>
      <c r="Y179" s="2"/>
      <c r="Z179" s="2"/>
      <c r="AA179" s="108"/>
      <c r="AB179" s="109"/>
      <c r="AC179" s="108"/>
      <c r="AD179" s="109"/>
      <c r="AE179" s="108"/>
      <c r="AF179" s="109"/>
      <c r="AG179" s="2"/>
      <c r="AH179" s="2"/>
      <c r="AI179" s="2"/>
    </row>
    <row r="180" spans="1:35" x14ac:dyDescent="0.25">
      <c r="A180" s="20" t="s">
        <v>167</v>
      </c>
      <c r="B180" s="64" t="s">
        <v>168</v>
      </c>
      <c r="C180" s="60"/>
      <c r="D180" s="32"/>
      <c r="E180" s="35"/>
      <c r="F180" s="35"/>
      <c r="G180" s="35"/>
      <c r="H180" s="34"/>
      <c r="I180" s="34"/>
      <c r="J180" s="34"/>
      <c r="K180" s="34"/>
      <c r="L180" s="34"/>
      <c r="M180" s="34"/>
      <c r="N180" s="34">
        <v>125.5</v>
      </c>
      <c r="O180" s="35"/>
      <c r="P180" s="35"/>
      <c r="Q180" s="35"/>
      <c r="R180" s="35"/>
      <c r="S180" s="35"/>
      <c r="T180" s="35"/>
      <c r="U180" s="35"/>
      <c r="V180" s="35"/>
      <c r="W180" s="35"/>
      <c r="X180" s="35"/>
      <c r="Y180" s="2"/>
      <c r="Z180" s="2"/>
      <c r="AA180" s="108"/>
      <c r="AB180" s="109"/>
      <c r="AC180" s="108"/>
      <c r="AD180" s="109"/>
      <c r="AE180" s="108"/>
      <c r="AF180" s="109"/>
      <c r="AG180" s="2"/>
      <c r="AH180" s="2"/>
      <c r="AI180" s="2"/>
    </row>
    <row r="181" spans="1:35" x14ac:dyDescent="0.25">
      <c r="A181" s="307" t="s">
        <v>196</v>
      </c>
      <c r="B181" s="308"/>
      <c r="C181" s="60"/>
      <c r="D181" s="32"/>
      <c r="E181" s="35"/>
      <c r="F181" s="35"/>
      <c r="G181" s="35"/>
      <c r="H181" s="34"/>
      <c r="I181" s="34"/>
      <c r="J181" s="34"/>
      <c r="K181" s="34"/>
      <c r="L181" s="34"/>
      <c r="M181" s="34"/>
      <c r="N181" s="34"/>
      <c r="O181" s="35"/>
      <c r="P181" s="35"/>
      <c r="Q181" s="35"/>
      <c r="R181" s="35"/>
      <c r="S181" s="35"/>
      <c r="T181" s="35"/>
      <c r="U181" s="35"/>
      <c r="V181" s="35"/>
      <c r="W181" s="35"/>
      <c r="X181" s="35"/>
      <c r="Y181" s="2"/>
      <c r="Z181" s="2"/>
      <c r="AA181" s="108"/>
      <c r="AB181" s="109"/>
      <c r="AC181" s="108"/>
      <c r="AD181" s="109"/>
      <c r="AE181" s="108"/>
      <c r="AF181" s="109"/>
      <c r="AG181" s="2"/>
      <c r="AH181" s="2"/>
      <c r="AI181" s="2"/>
    </row>
    <row r="182" spans="1:35" x14ac:dyDescent="0.25">
      <c r="A182" s="307" t="s">
        <v>196</v>
      </c>
      <c r="B182" s="308"/>
      <c r="C182" s="60"/>
      <c r="D182" s="32"/>
      <c r="E182" s="35"/>
      <c r="F182" s="35"/>
      <c r="G182" s="35"/>
      <c r="H182" s="34"/>
      <c r="I182" s="34"/>
      <c r="J182" s="34"/>
      <c r="K182" s="34"/>
      <c r="L182" s="34"/>
      <c r="M182" s="34"/>
      <c r="N182" s="34"/>
      <c r="O182" s="35"/>
      <c r="P182" s="35"/>
      <c r="Q182" s="35"/>
      <c r="R182" s="35"/>
      <c r="S182" s="35"/>
      <c r="T182" s="35"/>
      <c r="U182" s="35"/>
      <c r="V182" s="35"/>
      <c r="W182" s="35"/>
      <c r="X182" s="35"/>
      <c r="Y182" s="2"/>
      <c r="Z182" s="2"/>
      <c r="AA182" s="108"/>
      <c r="AB182" s="109"/>
      <c r="AC182" s="108"/>
      <c r="AD182" s="109"/>
      <c r="AE182" s="108"/>
      <c r="AF182" s="109"/>
      <c r="AG182" s="2"/>
      <c r="AH182" s="2"/>
      <c r="AI182" s="2"/>
    </row>
    <row r="183" spans="1:35" x14ac:dyDescent="0.25">
      <c r="A183" s="307" t="s">
        <v>196</v>
      </c>
      <c r="B183" s="308"/>
      <c r="C183" s="60"/>
      <c r="D183" s="32"/>
      <c r="E183" s="35"/>
      <c r="F183" s="35"/>
      <c r="G183" s="35"/>
      <c r="H183" s="34"/>
      <c r="I183" s="34"/>
      <c r="J183" s="34"/>
      <c r="K183" s="34"/>
      <c r="L183" s="34"/>
      <c r="M183" s="34"/>
      <c r="N183" s="34"/>
      <c r="O183" s="35"/>
      <c r="P183" s="35"/>
      <c r="Q183" s="35"/>
      <c r="R183" s="35"/>
      <c r="S183" s="35"/>
      <c r="T183" s="35"/>
      <c r="U183" s="35"/>
      <c r="V183" s="35"/>
      <c r="W183" s="35"/>
      <c r="X183" s="35"/>
      <c r="Y183" s="2"/>
      <c r="Z183" s="2"/>
      <c r="AA183" s="108"/>
      <c r="AB183" s="109"/>
      <c r="AC183" s="108"/>
      <c r="AD183" s="109"/>
      <c r="AE183" s="108"/>
      <c r="AF183" s="109"/>
      <c r="AG183" s="2"/>
      <c r="AH183" s="2"/>
      <c r="AI183" s="2"/>
    </row>
    <row r="184" spans="1:35" x14ac:dyDescent="0.25">
      <c r="A184" s="307" t="s">
        <v>196</v>
      </c>
      <c r="B184" s="308"/>
      <c r="C184" s="60"/>
      <c r="D184" s="32"/>
      <c r="E184" s="35"/>
      <c r="F184" s="35"/>
      <c r="G184" s="35"/>
      <c r="H184" s="34"/>
      <c r="I184" s="34"/>
      <c r="J184" s="34"/>
      <c r="K184" s="34"/>
      <c r="L184" s="34"/>
      <c r="M184" s="34"/>
      <c r="N184" s="34"/>
      <c r="O184" s="35"/>
      <c r="P184" s="35"/>
      <c r="Q184" s="35"/>
      <c r="R184" s="35"/>
      <c r="S184" s="35"/>
      <c r="T184" s="35"/>
      <c r="U184" s="35"/>
      <c r="V184" s="35"/>
      <c r="W184" s="35"/>
      <c r="X184" s="35"/>
      <c r="Y184" s="2"/>
      <c r="Z184" s="2"/>
      <c r="AA184" s="108"/>
      <c r="AB184" s="109"/>
      <c r="AC184" s="108"/>
      <c r="AD184" s="109"/>
      <c r="AE184" s="108"/>
      <c r="AF184" s="109"/>
      <c r="AG184" s="2"/>
      <c r="AH184" s="2"/>
      <c r="AI184" s="2"/>
    </row>
    <row r="185" spans="1:35" x14ac:dyDescent="0.25">
      <c r="A185" s="307" t="s">
        <v>196</v>
      </c>
      <c r="B185" s="308"/>
      <c r="C185" s="60"/>
      <c r="D185" s="32"/>
      <c r="E185" s="35"/>
      <c r="F185" s="35"/>
      <c r="G185" s="35"/>
      <c r="H185" s="34"/>
      <c r="I185" s="34"/>
      <c r="J185" s="34"/>
      <c r="K185" s="34"/>
      <c r="L185" s="34"/>
      <c r="M185" s="34"/>
      <c r="N185" s="34"/>
      <c r="O185" s="35"/>
      <c r="P185" s="35"/>
      <c r="Q185" s="35"/>
      <c r="R185" s="35"/>
      <c r="S185" s="35"/>
      <c r="T185" s="35"/>
      <c r="U185" s="35"/>
      <c r="V185" s="35"/>
      <c r="W185" s="35"/>
      <c r="X185" s="35"/>
      <c r="Y185" s="2"/>
      <c r="Z185" s="2"/>
      <c r="AA185" s="108"/>
      <c r="AB185" s="109"/>
      <c r="AC185" s="108"/>
      <c r="AD185" s="109"/>
      <c r="AE185" s="108"/>
      <c r="AF185" s="109"/>
      <c r="AG185" s="2"/>
      <c r="AH185" s="2"/>
      <c r="AI185" s="2"/>
    </row>
    <row r="186" spans="1:35" x14ac:dyDescent="0.25">
      <c r="A186" s="307" t="s">
        <v>196</v>
      </c>
      <c r="B186" s="308"/>
      <c r="C186" s="60"/>
      <c r="D186" s="32"/>
      <c r="E186" s="35"/>
      <c r="F186" s="35"/>
      <c r="G186" s="35"/>
      <c r="H186" s="34"/>
      <c r="I186" s="34"/>
      <c r="J186" s="34"/>
      <c r="K186" s="34"/>
      <c r="L186" s="34"/>
      <c r="M186" s="34"/>
      <c r="N186" s="34"/>
      <c r="O186" s="35"/>
      <c r="P186" s="35"/>
      <c r="Q186" s="35"/>
      <c r="R186" s="35"/>
      <c r="S186" s="35"/>
      <c r="T186" s="35"/>
      <c r="U186" s="35"/>
      <c r="V186" s="35"/>
      <c r="W186" s="35"/>
      <c r="X186" s="35"/>
      <c r="Y186" s="2"/>
      <c r="Z186" s="2"/>
      <c r="AA186" s="108"/>
      <c r="AB186" s="109"/>
      <c r="AC186" s="108"/>
      <c r="AD186" s="109"/>
      <c r="AE186" s="108"/>
      <c r="AF186" s="109"/>
      <c r="AG186" s="2"/>
      <c r="AH186" s="2"/>
      <c r="AI186" s="2"/>
    </row>
    <row r="187" spans="1:35" x14ac:dyDescent="0.25">
      <c r="A187" s="307" t="s">
        <v>196</v>
      </c>
      <c r="B187" s="308"/>
      <c r="C187" s="60"/>
      <c r="D187" s="32"/>
      <c r="E187" s="35"/>
      <c r="F187" s="35"/>
      <c r="G187" s="35"/>
      <c r="H187" s="34"/>
      <c r="I187" s="34"/>
      <c r="J187" s="34"/>
      <c r="K187" s="34"/>
      <c r="L187" s="34"/>
      <c r="M187" s="34"/>
      <c r="N187" s="34"/>
      <c r="O187" s="35"/>
      <c r="P187" s="35"/>
      <c r="Q187" s="35"/>
      <c r="R187" s="35"/>
      <c r="S187" s="35"/>
      <c r="T187" s="35"/>
      <c r="U187" s="35"/>
      <c r="V187" s="35"/>
      <c r="W187" s="35"/>
      <c r="X187" s="35"/>
      <c r="Y187" s="2"/>
      <c r="Z187" s="2"/>
      <c r="AA187" s="108"/>
      <c r="AB187" s="109"/>
      <c r="AC187" s="108"/>
      <c r="AD187" s="109"/>
      <c r="AE187" s="108"/>
      <c r="AF187" s="109"/>
      <c r="AG187" s="2"/>
      <c r="AH187" s="2"/>
      <c r="AI187" s="2"/>
    </row>
    <row r="188" spans="1:35" x14ac:dyDescent="0.25">
      <c r="A188" s="307" t="s">
        <v>196</v>
      </c>
      <c r="B188" s="308"/>
      <c r="C188" s="60"/>
      <c r="D188" s="32"/>
      <c r="E188" s="35"/>
      <c r="F188" s="35"/>
      <c r="G188" s="35"/>
      <c r="H188" s="34"/>
      <c r="I188" s="34"/>
      <c r="J188" s="34"/>
      <c r="K188" s="34"/>
      <c r="L188" s="34"/>
      <c r="M188" s="34"/>
      <c r="N188" s="34"/>
      <c r="O188" s="35"/>
      <c r="P188" s="35"/>
      <c r="Q188" s="35"/>
      <c r="R188" s="35"/>
      <c r="S188" s="35"/>
      <c r="T188" s="35"/>
      <c r="U188" s="35"/>
      <c r="V188" s="35"/>
      <c r="W188" s="35"/>
      <c r="X188" s="35"/>
      <c r="Y188" s="2"/>
      <c r="Z188" s="2"/>
      <c r="AA188" s="108"/>
      <c r="AB188" s="109"/>
      <c r="AC188" s="108"/>
      <c r="AD188" s="109"/>
      <c r="AE188" s="108"/>
      <c r="AF188" s="109"/>
      <c r="AG188" s="2"/>
      <c r="AH188" s="2"/>
      <c r="AI188" s="2"/>
    </row>
    <row r="189" spans="1:35" x14ac:dyDescent="0.25">
      <c r="A189" s="307" t="s">
        <v>196</v>
      </c>
      <c r="B189" s="308"/>
      <c r="C189" s="60"/>
      <c r="D189" s="32"/>
      <c r="E189" s="35"/>
      <c r="F189" s="35"/>
      <c r="G189" s="35"/>
      <c r="H189" s="34"/>
      <c r="I189" s="34"/>
      <c r="J189" s="34"/>
      <c r="K189" s="34"/>
      <c r="L189" s="34"/>
      <c r="M189" s="34"/>
      <c r="N189" s="34"/>
      <c r="O189" s="35"/>
      <c r="P189" s="35"/>
      <c r="Q189" s="35"/>
      <c r="R189" s="35"/>
      <c r="S189" s="35"/>
      <c r="T189" s="35"/>
      <c r="U189" s="35"/>
      <c r="V189" s="35"/>
      <c r="W189" s="35"/>
      <c r="X189" s="35"/>
      <c r="Y189" s="2"/>
      <c r="Z189" s="2"/>
      <c r="AA189" s="108"/>
      <c r="AB189" s="109"/>
      <c r="AC189" s="108"/>
      <c r="AD189" s="109"/>
      <c r="AE189" s="108"/>
      <c r="AF189" s="109"/>
      <c r="AG189" s="2"/>
      <c r="AH189" s="2"/>
      <c r="AI189" s="2"/>
    </row>
    <row r="190" spans="1:35" x14ac:dyDescent="0.25">
      <c r="A190" s="307" t="s">
        <v>196</v>
      </c>
      <c r="B190" s="308"/>
      <c r="C190" s="60"/>
      <c r="D190" s="32"/>
      <c r="E190" s="35"/>
      <c r="F190" s="35"/>
      <c r="G190" s="35"/>
      <c r="H190" s="34"/>
      <c r="I190" s="34"/>
      <c r="J190" s="34"/>
      <c r="K190" s="34"/>
      <c r="L190" s="34"/>
      <c r="M190" s="34"/>
      <c r="N190" s="34"/>
      <c r="O190" s="35"/>
      <c r="P190" s="35"/>
      <c r="Q190" s="35"/>
      <c r="R190" s="35"/>
      <c r="S190" s="35"/>
      <c r="T190" s="35"/>
      <c r="U190" s="35"/>
      <c r="V190" s="35"/>
      <c r="W190" s="35"/>
      <c r="X190" s="35"/>
      <c r="Y190" s="2"/>
      <c r="Z190" s="2"/>
      <c r="AA190" s="108"/>
      <c r="AB190" s="109"/>
      <c r="AC190" s="108"/>
      <c r="AD190" s="109"/>
      <c r="AE190" s="108"/>
      <c r="AF190" s="109"/>
      <c r="AG190" s="2"/>
      <c r="AH190" s="2"/>
      <c r="AI190" s="2"/>
    </row>
    <row r="191" spans="1:35" x14ac:dyDescent="0.25">
      <c r="A191" s="307" t="s">
        <v>196</v>
      </c>
      <c r="B191" s="308"/>
      <c r="C191" s="60"/>
      <c r="D191" s="32"/>
      <c r="E191" s="35"/>
      <c r="F191" s="35"/>
      <c r="G191" s="35"/>
      <c r="H191" s="34"/>
      <c r="I191" s="34"/>
      <c r="J191" s="34"/>
      <c r="K191" s="34"/>
      <c r="L191" s="34"/>
      <c r="M191" s="34"/>
      <c r="N191" s="34"/>
      <c r="O191" s="35"/>
      <c r="P191" s="35"/>
      <c r="Q191" s="35"/>
      <c r="R191" s="35"/>
      <c r="S191" s="35"/>
      <c r="T191" s="35"/>
      <c r="U191" s="35"/>
      <c r="V191" s="35"/>
      <c r="W191" s="35"/>
      <c r="X191" s="35"/>
      <c r="Y191" s="2"/>
      <c r="Z191" s="2"/>
      <c r="AA191" s="108"/>
      <c r="AB191" s="109"/>
      <c r="AC191" s="108"/>
      <c r="AD191" s="109"/>
      <c r="AE191" s="108"/>
      <c r="AF191" s="109"/>
      <c r="AG191" s="2"/>
      <c r="AH191" s="2"/>
      <c r="AI191" s="2"/>
    </row>
    <row r="192" spans="1:35" x14ac:dyDescent="0.25">
      <c r="A192" s="307" t="s">
        <v>196</v>
      </c>
      <c r="B192" s="308"/>
      <c r="C192" s="60"/>
      <c r="D192" s="32"/>
      <c r="E192" s="35"/>
      <c r="F192" s="35"/>
      <c r="G192" s="35"/>
      <c r="H192" s="34"/>
      <c r="I192" s="34"/>
      <c r="J192" s="34"/>
      <c r="K192" s="34"/>
      <c r="L192" s="34"/>
      <c r="M192" s="34"/>
      <c r="N192" s="34"/>
      <c r="O192" s="35"/>
      <c r="P192" s="35"/>
      <c r="Q192" s="35"/>
      <c r="R192" s="35"/>
      <c r="S192" s="35"/>
      <c r="T192" s="35"/>
      <c r="U192" s="35"/>
      <c r="V192" s="35"/>
      <c r="W192" s="35"/>
      <c r="X192" s="35"/>
      <c r="Y192" s="2"/>
      <c r="Z192" s="2"/>
      <c r="AA192" s="108"/>
      <c r="AB192" s="109"/>
      <c r="AC192" s="108"/>
      <c r="AD192" s="109"/>
      <c r="AE192" s="108"/>
      <c r="AF192" s="109"/>
      <c r="AG192" s="2"/>
      <c r="AH192" s="2"/>
      <c r="AI192" s="2"/>
    </row>
    <row r="193" spans="1:35" x14ac:dyDescent="0.25">
      <c r="A193" s="307" t="s">
        <v>196</v>
      </c>
      <c r="B193" s="308"/>
      <c r="C193" s="60"/>
      <c r="D193" s="32"/>
      <c r="E193" s="35"/>
      <c r="F193" s="35"/>
      <c r="G193" s="35"/>
      <c r="H193" s="34"/>
      <c r="I193" s="34"/>
      <c r="J193" s="34"/>
      <c r="K193" s="34"/>
      <c r="L193" s="34"/>
      <c r="M193" s="34"/>
      <c r="N193" s="34"/>
      <c r="O193" s="35"/>
      <c r="P193" s="35"/>
      <c r="Q193" s="35"/>
      <c r="R193" s="35"/>
      <c r="S193" s="35"/>
      <c r="T193" s="35"/>
      <c r="U193" s="35"/>
      <c r="V193" s="35"/>
      <c r="W193" s="35"/>
      <c r="X193" s="35"/>
      <c r="Y193" s="2"/>
      <c r="Z193" s="2"/>
      <c r="AA193" s="108"/>
      <c r="AB193" s="109"/>
      <c r="AC193" s="108"/>
      <c r="AD193" s="109"/>
      <c r="AE193" s="108"/>
      <c r="AF193" s="109"/>
      <c r="AG193" s="2"/>
      <c r="AH193" s="2"/>
      <c r="AI193" s="2"/>
    </row>
    <row r="194" spans="1:35" x14ac:dyDescent="0.25">
      <c r="A194" s="307" t="s">
        <v>196</v>
      </c>
      <c r="B194" s="308"/>
      <c r="C194" s="60"/>
      <c r="D194" s="32"/>
      <c r="E194" s="35"/>
      <c r="F194" s="35"/>
      <c r="G194" s="35"/>
      <c r="H194" s="34"/>
      <c r="I194" s="34"/>
      <c r="J194" s="34"/>
      <c r="K194" s="34"/>
      <c r="L194" s="34"/>
      <c r="M194" s="34"/>
      <c r="N194" s="34"/>
      <c r="O194" s="35"/>
      <c r="P194" s="35"/>
      <c r="Q194" s="35"/>
      <c r="R194" s="35"/>
      <c r="S194" s="35"/>
      <c r="T194" s="35"/>
      <c r="U194" s="35"/>
      <c r="V194" s="35"/>
      <c r="W194" s="35"/>
      <c r="X194" s="35"/>
      <c r="Y194" s="2"/>
      <c r="Z194" s="2"/>
      <c r="AA194" s="108"/>
      <c r="AB194" s="109"/>
      <c r="AC194" s="108"/>
      <c r="AD194" s="109"/>
      <c r="AE194" s="108"/>
      <c r="AF194" s="109"/>
      <c r="AG194" s="2"/>
      <c r="AH194" s="2"/>
      <c r="AI194" s="2"/>
    </row>
    <row r="195" spans="1:35" x14ac:dyDescent="0.25">
      <c r="A195" s="20"/>
      <c r="B195" s="21" t="s">
        <v>281</v>
      </c>
      <c r="C195" s="147"/>
      <c r="D195" s="148"/>
      <c r="E195" s="149"/>
      <c r="F195" s="149"/>
      <c r="G195" s="149"/>
      <c r="H195" s="149"/>
      <c r="I195" s="149">
        <v>2020</v>
      </c>
      <c r="J195" s="149">
        <v>2021</v>
      </c>
      <c r="K195" s="149">
        <v>2022</v>
      </c>
      <c r="L195" s="149">
        <v>2023</v>
      </c>
      <c r="M195" s="149">
        <v>2024</v>
      </c>
      <c r="N195" s="149">
        <v>2025</v>
      </c>
      <c r="O195" s="149">
        <v>2026</v>
      </c>
      <c r="P195" s="149">
        <v>2027</v>
      </c>
      <c r="Q195" s="149">
        <v>2028</v>
      </c>
      <c r="R195" s="149">
        <v>2029</v>
      </c>
      <c r="S195" s="149">
        <v>2030</v>
      </c>
      <c r="T195" s="149">
        <v>2031</v>
      </c>
      <c r="U195" s="149">
        <v>2032</v>
      </c>
      <c r="V195" s="149">
        <v>2033</v>
      </c>
      <c r="W195" s="149">
        <v>2034</v>
      </c>
      <c r="X195" s="149">
        <v>2035</v>
      </c>
      <c r="Y195" s="2"/>
      <c r="Z195" s="2"/>
      <c r="AA195" s="59">
        <v>2025</v>
      </c>
      <c r="AB195" s="142">
        <v>0</v>
      </c>
      <c r="AC195" s="59">
        <v>2026</v>
      </c>
      <c r="AD195" s="142">
        <v>0</v>
      </c>
      <c r="AE195" s="59">
        <v>2027</v>
      </c>
      <c r="AF195" s="142">
        <v>0</v>
      </c>
      <c r="AG195" s="2"/>
      <c r="AH195" s="2"/>
      <c r="AI195" s="2"/>
    </row>
    <row r="196" spans="1:35" x14ac:dyDescent="0.25">
      <c r="A196" s="20"/>
      <c r="B196" s="30" t="s">
        <v>282</v>
      </c>
      <c r="C196" s="27"/>
      <c r="D196" s="32"/>
      <c r="E196" s="29"/>
      <c r="F196" s="29"/>
      <c r="G196" s="29"/>
      <c r="H196" s="29"/>
      <c r="I196" s="2"/>
      <c r="J196" s="2"/>
      <c r="K196" s="2"/>
      <c r="L196" s="2"/>
      <c r="M196" s="2"/>
      <c r="N196" s="2"/>
      <c r="O196" s="2"/>
      <c r="P196" s="2"/>
      <c r="Q196" s="2"/>
      <c r="R196" s="2"/>
      <c r="S196" s="2"/>
      <c r="T196" s="2"/>
      <c r="U196" s="2"/>
      <c r="V196" s="2"/>
      <c r="W196" s="2"/>
      <c r="X196" s="2"/>
      <c r="Y196" s="2"/>
      <c r="Z196" s="2"/>
      <c r="AA196" s="99"/>
      <c r="AB196" s="3"/>
      <c r="AC196" s="99"/>
      <c r="AD196" s="3"/>
      <c r="AE196" s="99"/>
      <c r="AF196" s="3"/>
      <c r="AG196" s="2"/>
      <c r="AH196" s="2"/>
      <c r="AI196" s="2"/>
    </row>
    <row r="197" spans="1:35" x14ac:dyDescent="0.25">
      <c r="A197" s="20"/>
      <c r="B197" s="33" t="s">
        <v>283</v>
      </c>
      <c r="C197" s="27" t="s">
        <v>67</v>
      </c>
      <c r="D197" s="32"/>
      <c r="E197" s="34"/>
      <c r="F197" s="34"/>
      <c r="G197" s="34"/>
      <c r="H197" s="34"/>
      <c r="I197" s="34"/>
      <c r="J197" s="34"/>
      <c r="K197" s="34"/>
      <c r="L197" s="233">
        <v>60</v>
      </c>
      <c r="M197" s="233">
        <v>67.400000000000006</v>
      </c>
      <c r="N197" s="233">
        <v>63.7</v>
      </c>
      <c r="O197" s="228">
        <f>N197+O275</f>
        <v>66.537331840134243</v>
      </c>
      <c r="P197" s="228">
        <f t="shared" ref="P197:X197" si="170">O197+P275</f>
        <v>63.034016177668533</v>
      </c>
      <c r="Q197" s="228">
        <f t="shared" si="170"/>
        <v>60.865947324047291</v>
      </c>
      <c r="R197" s="228">
        <f t="shared" si="170"/>
        <v>59.965465490945157</v>
      </c>
      <c r="S197" s="228">
        <f t="shared" si="170"/>
        <v>60.121576074441649</v>
      </c>
      <c r="T197" s="228">
        <f t="shared" si="170"/>
        <v>61.329678928982872</v>
      </c>
      <c r="U197" s="228">
        <f t="shared" si="170"/>
        <v>63.622769599398815</v>
      </c>
      <c r="V197" s="228">
        <f t="shared" si="170"/>
        <v>67.080740955468059</v>
      </c>
      <c r="W197" s="228">
        <f t="shared" si="170"/>
        <v>71.790750489368492</v>
      </c>
      <c r="X197" s="228">
        <f t="shared" si="170"/>
        <v>64.791015760745239</v>
      </c>
      <c r="Y197" s="2"/>
      <c r="Z197" s="2"/>
      <c r="AA197" s="108">
        <v>29</v>
      </c>
      <c r="AB197" s="109">
        <v>35</v>
      </c>
      <c r="AC197" s="108">
        <v>32</v>
      </c>
      <c r="AD197" s="109" t="e">
        <v>#VALUE!</v>
      </c>
      <c r="AE197" s="108">
        <v>49</v>
      </c>
      <c r="AF197" s="109" t="e">
        <v>#VALUE!</v>
      </c>
      <c r="AG197" s="2"/>
      <c r="AH197" s="2"/>
      <c r="AI197" s="2"/>
    </row>
    <row r="198" spans="1:35" x14ac:dyDescent="0.25">
      <c r="A198" s="20"/>
      <c r="B198" s="33" t="s">
        <v>284</v>
      </c>
      <c r="C198" s="27" t="s">
        <v>67</v>
      </c>
      <c r="D198" s="32"/>
      <c r="E198" s="34"/>
      <c r="F198" s="34"/>
      <c r="G198" s="34"/>
      <c r="H198" s="34"/>
      <c r="I198" s="34"/>
      <c r="J198" s="34"/>
      <c r="K198" s="34"/>
      <c r="L198" s="233">
        <v>15.1</v>
      </c>
      <c r="M198" s="233">
        <v>13</v>
      </c>
      <c r="N198" s="233">
        <v>15.2</v>
      </c>
      <c r="O198" s="236">
        <f>O$10*O205</f>
        <v>18.143438214702964</v>
      </c>
      <c r="P198" s="236">
        <f t="shared" ref="P198:X199" si="171">P$10*P205</f>
        <v>20.468950477073292</v>
      </c>
      <c r="Q198" s="236">
        <f t="shared" si="171"/>
        <v>22.647358890015042</v>
      </c>
      <c r="R198" s="236">
        <f t="shared" si="171"/>
        <v>25.020159528873616</v>
      </c>
      <c r="S198" s="236">
        <f t="shared" si="171"/>
        <v>27.673035019081837</v>
      </c>
      <c r="T198" s="236">
        <f t="shared" si="171"/>
        <v>30.475804080396053</v>
      </c>
      <c r="U198" s="236">
        <f t="shared" si="171"/>
        <v>33.577106271855413</v>
      </c>
      <c r="V198" s="236">
        <f t="shared" si="171"/>
        <v>37.01085405066749</v>
      </c>
      <c r="W198" s="236">
        <f t="shared" si="171"/>
        <v>40.814969503523393</v>
      </c>
      <c r="X198" s="236">
        <f t="shared" si="171"/>
        <v>45.031871034647565</v>
      </c>
      <c r="Y198" s="2"/>
      <c r="Z198" s="2"/>
      <c r="AA198" s="108">
        <v>30</v>
      </c>
      <c r="AB198" s="109">
        <v>-15</v>
      </c>
      <c r="AC198" s="108">
        <v>41</v>
      </c>
      <c r="AD198" s="109">
        <v>-23</v>
      </c>
      <c r="AE198" s="108">
        <v>51</v>
      </c>
      <c r="AF198" s="109">
        <v>-29</v>
      </c>
      <c r="AG198" s="2"/>
      <c r="AH198" s="2"/>
      <c r="AI198" s="2"/>
    </row>
    <row r="199" spans="1:35" x14ac:dyDescent="0.25">
      <c r="A199" s="20"/>
      <c r="B199" s="33" t="s">
        <v>285</v>
      </c>
      <c r="C199" s="27" t="s">
        <v>67</v>
      </c>
      <c r="D199" s="32"/>
      <c r="E199" s="34"/>
      <c r="F199" s="34"/>
      <c r="G199" s="34"/>
      <c r="H199" s="34"/>
      <c r="I199" s="34"/>
      <c r="J199" s="34"/>
      <c r="K199" s="34"/>
      <c r="L199" s="233">
        <v>1139.5</v>
      </c>
      <c r="M199" s="233">
        <v>1137.3</v>
      </c>
      <c r="N199" s="233">
        <v>1176.2</v>
      </c>
      <c r="O199" s="236">
        <f>O$10*O206</f>
        <v>1403.9678965877386</v>
      </c>
      <c r="P199" s="236">
        <f t="shared" si="171"/>
        <v>1583.9197073114217</v>
      </c>
      <c r="Q199" s="236">
        <f t="shared" si="171"/>
        <v>1752.488389897085</v>
      </c>
      <c r="R199" s="236">
        <f t="shared" si="171"/>
        <v>1936.0994498592859</v>
      </c>
      <c r="S199" s="236">
        <f t="shared" si="171"/>
        <v>2141.3831440423719</v>
      </c>
      <c r="T199" s="236">
        <f t="shared" si="171"/>
        <v>2358.2658394316995</v>
      </c>
      <c r="U199" s="236">
        <f t="shared" si="171"/>
        <v>2598.2494997997587</v>
      </c>
      <c r="V199" s="236">
        <f t="shared" si="171"/>
        <v>2863.9583246312568</v>
      </c>
      <c r="W199" s="236">
        <f t="shared" si="171"/>
        <v>3158.3267848713299</v>
      </c>
      <c r="X199" s="236">
        <f t="shared" si="171"/>
        <v>3484.6372836152937</v>
      </c>
      <c r="Y199" s="2"/>
      <c r="Z199" s="2"/>
      <c r="AA199" s="108">
        <v>3</v>
      </c>
      <c r="AB199" s="150">
        <v>1173</v>
      </c>
      <c r="AC199" s="108">
        <v>4</v>
      </c>
      <c r="AD199" s="150">
        <v>1442</v>
      </c>
      <c r="AE199" s="108">
        <v>5</v>
      </c>
      <c r="AF199" s="150">
        <v>1666</v>
      </c>
      <c r="AG199" s="2"/>
      <c r="AH199" s="2"/>
      <c r="AI199" s="2"/>
    </row>
    <row r="200" spans="1:35" x14ac:dyDescent="0.25">
      <c r="A200" s="20"/>
      <c r="B200" s="33" t="s">
        <v>286</v>
      </c>
      <c r="C200" s="27" t="s">
        <v>67</v>
      </c>
      <c r="D200" s="32"/>
      <c r="E200" s="34"/>
      <c r="F200" s="34"/>
      <c r="G200" s="34"/>
      <c r="H200" s="34"/>
      <c r="I200" s="34"/>
      <c r="J200" s="34"/>
      <c r="K200" s="34"/>
      <c r="L200" s="233">
        <v>0.7</v>
      </c>
      <c r="M200" s="233">
        <v>0.6</v>
      </c>
      <c r="N200" s="233">
        <v>0.8</v>
      </c>
      <c r="O200" s="228">
        <f>N200-O256+O61</f>
        <v>1.0519232741974502</v>
      </c>
      <c r="P200" s="228">
        <f t="shared" ref="P200:X200" si="172">O200-P256+P61</f>
        <v>1.3361364956689461</v>
      </c>
      <c r="Q200" s="228">
        <f t="shared" si="172"/>
        <v>1.6505971142122291</v>
      </c>
      <c r="R200" s="228">
        <f t="shared" si="172"/>
        <v>1.9980042833974208</v>
      </c>
      <c r="S200" s="228">
        <f t="shared" si="172"/>
        <v>2.3822468677681332</v>
      </c>
      <c r="T200" s="228">
        <f t="shared" si="172"/>
        <v>2.8054061530634478</v>
      </c>
      <c r="U200" s="228">
        <f t="shared" si="172"/>
        <v>3.2716272986910027</v>
      </c>
      <c r="V200" s="228">
        <f t="shared" si="172"/>
        <v>3.7855263415820191</v>
      </c>
      <c r="W200" s="228">
        <f t="shared" si="172"/>
        <v>4.3522458702579145</v>
      </c>
      <c r="X200" s="228">
        <f t="shared" si="172"/>
        <v>4.9775174566043443</v>
      </c>
      <c r="Y200" s="2"/>
      <c r="Z200" s="2"/>
      <c r="AA200" s="108">
        <v>9</v>
      </c>
      <c r="AB200" s="109">
        <v>-8</v>
      </c>
      <c r="AC200" s="108">
        <v>11</v>
      </c>
      <c r="AD200" s="109">
        <v>-10</v>
      </c>
      <c r="AE200" s="108">
        <v>13</v>
      </c>
      <c r="AF200" s="109">
        <v>-11</v>
      </c>
      <c r="AG200" s="2"/>
      <c r="AH200" s="2"/>
      <c r="AI200" s="2"/>
    </row>
    <row r="201" spans="1:35" x14ac:dyDescent="0.25">
      <c r="A201" s="20"/>
      <c r="B201" s="33" t="s">
        <v>287</v>
      </c>
      <c r="C201" s="27" t="s">
        <v>67</v>
      </c>
      <c r="D201" s="32"/>
      <c r="E201" s="34"/>
      <c r="F201" s="34"/>
      <c r="G201" s="34"/>
      <c r="H201" s="34"/>
      <c r="I201" s="34"/>
      <c r="J201" s="34"/>
      <c r="K201" s="34"/>
      <c r="L201" s="233">
        <v>95.2</v>
      </c>
      <c r="M201" s="233">
        <v>107.9</v>
      </c>
      <c r="N201" s="233">
        <v>105.5</v>
      </c>
      <c r="O201" s="228">
        <f>N201-O257+O63</f>
        <v>108.03904900208208</v>
      </c>
      <c r="P201" s="228">
        <f t="shared" ref="P201:X201" si="173">O201-P257+P63</f>
        <v>110.90353740099889</v>
      </c>
      <c r="Q201" s="228">
        <f t="shared" si="173"/>
        <v>114.07287902792871</v>
      </c>
      <c r="R201" s="228">
        <f t="shared" si="173"/>
        <v>117.57427773372859</v>
      </c>
      <c r="S201" s="228">
        <f t="shared" si="173"/>
        <v>121.44692806153927</v>
      </c>
      <c r="T201" s="228">
        <f t="shared" si="173"/>
        <v>125.71180658248424</v>
      </c>
      <c r="U201" s="228">
        <f t="shared" si="173"/>
        <v>130.41069094847342</v>
      </c>
      <c r="V201" s="228">
        <f t="shared" si="173"/>
        <v>135.59010462583254</v>
      </c>
      <c r="W201" s="228">
        <f t="shared" si="173"/>
        <v>141.30187801528589</v>
      </c>
      <c r="X201" s="228">
        <f t="shared" si="173"/>
        <v>147.60377768057396</v>
      </c>
      <c r="Y201" s="2"/>
      <c r="Z201" s="2"/>
      <c r="AA201" s="108">
        <v>236</v>
      </c>
      <c r="AB201" s="109">
        <v>-131</v>
      </c>
      <c r="AC201" s="108">
        <v>231</v>
      </c>
      <c r="AD201" s="109">
        <v>-123</v>
      </c>
      <c r="AE201" s="108">
        <v>226</v>
      </c>
      <c r="AF201" s="109">
        <v>-115</v>
      </c>
      <c r="AG201" s="2"/>
      <c r="AH201" s="2"/>
      <c r="AI201" s="2"/>
    </row>
    <row r="202" spans="1:35" x14ac:dyDescent="0.25">
      <c r="A202" s="20"/>
      <c r="B202" s="33" t="s">
        <v>288</v>
      </c>
      <c r="C202" s="27" t="s">
        <v>67</v>
      </c>
      <c r="D202" s="32"/>
      <c r="E202" s="34"/>
      <c r="F202" s="34"/>
      <c r="G202" s="34"/>
      <c r="H202" s="34"/>
      <c r="I202" s="34"/>
      <c r="J202" s="34"/>
      <c r="K202" s="34"/>
      <c r="L202" s="233">
        <v>6.5</v>
      </c>
      <c r="M202" s="233">
        <v>4.7</v>
      </c>
      <c r="N202" s="233">
        <v>3.7</v>
      </c>
      <c r="O202" s="252">
        <f>N202</f>
        <v>3.7</v>
      </c>
      <c r="P202" s="252">
        <f t="shared" ref="P202:X203" si="174">O202</f>
        <v>3.7</v>
      </c>
      <c r="Q202" s="252">
        <f t="shared" si="174"/>
        <v>3.7</v>
      </c>
      <c r="R202" s="252">
        <f t="shared" si="174"/>
        <v>3.7</v>
      </c>
      <c r="S202" s="252">
        <f t="shared" si="174"/>
        <v>3.7</v>
      </c>
      <c r="T202" s="252">
        <f t="shared" si="174"/>
        <v>3.7</v>
      </c>
      <c r="U202" s="252">
        <f t="shared" si="174"/>
        <v>3.7</v>
      </c>
      <c r="V202" s="252">
        <f t="shared" si="174"/>
        <v>3.7</v>
      </c>
      <c r="W202" s="252">
        <f t="shared" si="174"/>
        <v>3.7</v>
      </c>
      <c r="X202" s="252">
        <f t="shared" si="174"/>
        <v>3.7</v>
      </c>
      <c r="Y202" s="2"/>
      <c r="Z202" s="2"/>
      <c r="AA202" s="108">
        <v>4</v>
      </c>
      <c r="AB202" s="109">
        <v>0</v>
      </c>
      <c r="AC202" s="108">
        <v>4</v>
      </c>
      <c r="AD202" s="109">
        <v>0</v>
      </c>
      <c r="AE202" s="108">
        <v>4</v>
      </c>
      <c r="AF202" s="109">
        <v>0</v>
      </c>
      <c r="AG202" s="2"/>
      <c r="AH202" s="2"/>
      <c r="AI202" s="2"/>
    </row>
    <row r="203" spans="1:35" x14ac:dyDescent="0.25">
      <c r="A203" s="20"/>
      <c r="B203" s="33" t="s">
        <v>289</v>
      </c>
      <c r="C203" s="27" t="s">
        <v>67</v>
      </c>
      <c r="D203" s="32"/>
      <c r="E203" s="35"/>
      <c r="F203" s="35"/>
      <c r="G203" s="35"/>
      <c r="H203" s="35"/>
      <c r="I203" s="35"/>
      <c r="J203" s="35"/>
      <c r="K203" s="35"/>
      <c r="L203" s="228">
        <f t="shared" ref="L203:M203" si="175">L204-SUM(L197:L202)</f>
        <v>4687.8999999999996</v>
      </c>
      <c r="M203" s="228">
        <f t="shared" si="175"/>
        <v>4646.3999999999996</v>
      </c>
      <c r="N203" s="228">
        <f>N204-SUM(N197:N202)</f>
        <v>5702.4</v>
      </c>
      <c r="O203" s="252">
        <f>N203</f>
        <v>5702.4</v>
      </c>
      <c r="P203" s="252">
        <f t="shared" si="174"/>
        <v>5702.4</v>
      </c>
      <c r="Q203" s="252">
        <f t="shared" si="174"/>
        <v>5702.4</v>
      </c>
      <c r="R203" s="252">
        <f t="shared" si="174"/>
        <v>5702.4</v>
      </c>
      <c r="S203" s="252">
        <f t="shared" si="174"/>
        <v>5702.4</v>
      </c>
      <c r="T203" s="252">
        <f t="shared" si="174"/>
        <v>5702.4</v>
      </c>
      <c r="U203" s="252">
        <f t="shared" si="174"/>
        <v>5702.4</v>
      </c>
      <c r="V203" s="252">
        <f t="shared" si="174"/>
        <v>5702.4</v>
      </c>
      <c r="W203" s="252">
        <f t="shared" si="174"/>
        <v>5702.4</v>
      </c>
      <c r="X203" s="252">
        <f t="shared" si="174"/>
        <v>5702.4</v>
      </c>
      <c r="Y203" s="2"/>
      <c r="Z203" s="2"/>
      <c r="AA203" s="108">
        <v>8</v>
      </c>
      <c r="AB203" s="150">
        <v>5695</v>
      </c>
      <c r="AC203" s="108">
        <v>8</v>
      </c>
      <c r="AD203" s="150">
        <v>5695</v>
      </c>
      <c r="AE203" s="108">
        <v>8</v>
      </c>
      <c r="AF203" s="150">
        <v>5695</v>
      </c>
      <c r="AG203" s="2"/>
      <c r="AH203" s="2"/>
      <c r="AI203" s="2"/>
    </row>
    <row r="204" spans="1:35" x14ac:dyDescent="0.25">
      <c r="A204" s="20"/>
      <c r="B204" s="36" t="s">
        <v>290</v>
      </c>
      <c r="C204" s="37" t="s">
        <v>67</v>
      </c>
      <c r="D204" s="38"/>
      <c r="E204" s="51"/>
      <c r="F204" s="51"/>
      <c r="G204" s="51"/>
      <c r="H204" s="51"/>
      <c r="I204" s="51"/>
      <c r="J204" s="51"/>
      <c r="K204" s="51"/>
      <c r="L204" s="245">
        <v>6004.9</v>
      </c>
      <c r="M204" s="245">
        <v>5977.3</v>
      </c>
      <c r="N204" s="245">
        <v>7067.5</v>
      </c>
      <c r="O204" s="248">
        <f>SUM(O197:O203)</f>
        <v>7303.8396389188547</v>
      </c>
      <c r="P204" s="248">
        <f t="shared" ref="P204:X204" si="176">SUM(P197:P203)</f>
        <v>7485.7623478628311</v>
      </c>
      <c r="Q204" s="248">
        <f t="shared" si="176"/>
        <v>7657.8251722532877</v>
      </c>
      <c r="R204" s="248">
        <f t="shared" si="176"/>
        <v>7846.7573568962307</v>
      </c>
      <c r="S204" s="248">
        <f t="shared" si="176"/>
        <v>8059.1069300652025</v>
      </c>
      <c r="T204" s="248">
        <f t="shared" si="176"/>
        <v>8284.688535176625</v>
      </c>
      <c r="U204" s="248">
        <f t="shared" si="176"/>
        <v>8535.2316939181765</v>
      </c>
      <c r="V204" s="248">
        <f t="shared" si="176"/>
        <v>8813.525550604807</v>
      </c>
      <c r="W204" s="248">
        <f t="shared" si="176"/>
        <v>9122.6866287497651</v>
      </c>
      <c r="X204" s="248">
        <f t="shared" si="176"/>
        <v>9453.1414655478638</v>
      </c>
      <c r="Y204" s="2"/>
      <c r="Z204" s="2"/>
      <c r="AA204" s="151">
        <v>320</v>
      </c>
      <c r="AB204" s="152">
        <v>6748</v>
      </c>
      <c r="AC204" s="151">
        <v>331</v>
      </c>
      <c r="AD204" s="137" t="e">
        <v>#VALUE!</v>
      </c>
      <c r="AE204" s="151">
        <v>355</v>
      </c>
      <c r="AF204" s="137" t="e">
        <v>#VALUE!</v>
      </c>
      <c r="AG204" s="2"/>
      <c r="AH204" s="2"/>
      <c r="AI204" s="2"/>
    </row>
    <row r="205" spans="1:35" x14ac:dyDescent="0.25">
      <c r="A205" s="20"/>
      <c r="B205" s="33" t="s">
        <v>291</v>
      </c>
      <c r="C205" s="27" t="s">
        <v>117</v>
      </c>
      <c r="D205" s="32"/>
      <c r="E205" s="29"/>
      <c r="F205" s="29"/>
      <c r="G205" s="29"/>
      <c r="H205" s="29"/>
      <c r="I205" s="29"/>
      <c r="J205" s="29"/>
      <c r="K205" s="40"/>
      <c r="L205" s="250">
        <f t="shared" ref="L205:M206" si="177">L198/L$10</f>
        <v>1.505783805345034E-2</v>
      </c>
      <c r="M205" s="250">
        <f t="shared" si="177"/>
        <v>1.2061606977175727E-2</v>
      </c>
      <c r="N205" s="250">
        <f>N198/N$10</f>
        <v>1.2302711452853096E-2</v>
      </c>
      <c r="O205" s="251">
        <f>N205</f>
        <v>1.2302711452853096E-2</v>
      </c>
      <c r="P205" s="251">
        <f t="shared" ref="P205:X205" si="178">O205</f>
        <v>1.2302711452853096E-2</v>
      </c>
      <c r="Q205" s="251">
        <f t="shared" si="178"/>
        <v>1.2302711452853096E-2</v>
      </c>
      <c r="R205" s="251">
        <f t="shared" si="178"/>
        <v>1.2302711452853096E-2</v>
      </c>
      <c r="S205" s="251">
        <f t="shared" si="178"/>
        <v>1.2302711452853096E-2</v>
      </c>
      <c r="T205" s="251">
        <f t="shared" si="178"/>
        <v>1.2302711452853096E-2</v>
      </c>
      <c r="U205" s="251">
        <f t="shared" si="178"/>
        <v>1.2302711452853096E-2</v>
      </c>
      <c r="V205" s="251">
        <f t="shared" si="178"/>
        <v>1.2302711452853096E-2</v>
      </c>
      <c r="W205" s="251">
        <f t="shared" si="178"/>
        <v>1.2302711452853096E-2</v>
      </c>
      <c r="X205" s="251">
        <f t="shared" si="178"/>
        <v>1.2302711452853096E-2</v>
      </c>
      <c r="Y205" s="2"/>
      <c r="Z205" s="2"/>
      <c r="AA205" s="128">
        <v>0.25900000000000001</v>
      </c>
      <c r="AB205" s="129">
        <v>-0.246</v>
      </c>
      <c r="AC205" s="128">
        <v>0.25900000000000001</v>
      </c>
      <c r="AD205" s="129">
        <v>-0.246</v>
      </c>
      <c r="AE205" s="128">
        <v>0.25900000000000001</v>
      </c>
      <c r="AF205" s="129">
        <v>-0.246</v>
      </c>
      <c r="AG205" s="2"/>
      <c r="AH205" s="2"/>
      <c r="AI205" s="2"/>
    </row>
    <row r="206" spans="1:35" x14ac:dyDescent="0.25">
      <c r="A206" s="20"/>
      <c r="B206" s="33" t="s">
        <v>292</v>
      </c>
      <c r="C206" s="27" t="s">
        <v>117</v>
      </c>
      <c r="D206" s="32"/>
      <c r="E206" s="29"/>
      <c r="F206" s="29"/>
      <c r="G206" s="29"/>
      <c r="H206" s="29"/>
      <c r="I206" s="29"/>
      <c r="J206" s="29"/>
      <c r="K206" s="40"/>
      <c r="L206" s="250">
        <f t="shared" si="177"/>
        <v>1.1363183087355406</v>
      </c>
      <c r="M206" s="250">
        <f t="shared" si="177"/>
        <v>1.0552050473186119</v>
      </c>
      <c r="N206" s="250">
        <f>N199/N$10</f>
        <v>0.95200323755564553</v>
      </c>
      <c r="O206" s="251">
        <f>N206</f>
        <v>0.95200323755564553</v>
      </c>
      <c r="P206" s="251">
        <f t="shared" ref="P206:X206" si="179">O206</f>
        <v>0.95200323755564553</v>
      </c>
      <c r="Q206" s="251">
        <f t="shared" si="179"/>
        <v>0.95200323755564553</v>
      </c>
      <c r="R206" s="251">
        <f t="shared" si="179"/>
        <v>0.95200323755564553</v>
      </c>
      <c r="S206" s="251">
        <f t="shared" si="179"/>
        <v>0.95200323755564553</v>
      </c>
      <c r="T206" s="251">
        <f t="shared" si="179"/>
        <v>0.95200323755564553</v>
      </c>
      <c r="U206" s="251">
        <f t="shared" si="179"/>
        <v>0.95200323755564553</v>
      </c>
      <c r="V206" s="251">
        <f t="shared" si="179"/>
        <v>0.95200323755564553</v>
      </c>
      <c r="W206" s="251">
        <f t="shared" si="179"/>
        <v>0.95200323755564553</v>
      </c>
      <c r="X206" s="251">
        <f t="shared" si="179"/>
        <v>0.95200323755564553</v>
      </c>
      <c r="Y206" s="2"/>
      <c r="Z206" s="2"/>
      <c r="AA206" s="128">
        <v>2.5999999999999999E-2</v>
      </c>
      <c r="AB206" s="129">
        <v>0.92600000000000005</v>
      </c>
      <c r="AC206" s="128">
        <v>2.5999999999999999E-2</v>
      </c>
      <c r="AD206" s="129">
        <v>0.92600000000000005</v>
      </c>
      <c r="AE206" s="128">
        <v>2.5999999999999999E-2</v>
      </c>
      <c r="AF206" s="129">
        <v>0.92600000000000005</v>
      </c>
      <c r="AG206" s="2"/>
      <c r="AH206" s="2"/>
      <c r="AI206" s="2"/>
    </row>
    <row r="207" spans="1:35" x14ac:dyDescent="0.25">
      <c r="A207" s="20"/>
      <c r="B207" s="33" t="s">
        <v>293</v>
      </c>
      <c r="C207" s="27" t="s">
        <v>67</v>
      </c>
      <c r="D207" s="32"/>
      <c r="E207" s="35"/>
      <c r="F207" s="35"/>
      <c r="G207" s="35"/>
      <c r="H207" s="35"/>
      <c r="I207" s="35"/>
      <c r="J207" s="35"/>
      <c r="K207" s="35"/>
      <c r="L207" s="228">
        <f t="shared" ref="L207:X207" si="180">L198+L199-L212</f>
        <v>9.3999999999998636</v>
      </c>
      <c r="M207" s="228">
        <f t="shared" si="180"/>
        <v>1.5999999999999091</v>
      </c>
      <c r="N207" s="228">
        <f>N198+N199-N212</f>
        <v>5.1000000000001364</v>
      </c>
      <c r="O207" s="228">
        <f t="shared" si="180"/>
        <v>6.0876009799333133</v>
      </c>
      <c r="P207" s="228">
        <f t="shared" si="180"/>
        <v>6.8678715416499472</v>
      </c>
      <c r="Q207" s="228">
        <f t="shared" si="180"/>
        <v>7.5987848907288935</v>
      </c>
      <c r="R207" s="228">
        <f t="shared" si="180"/>
        <v>8.3949219471878678</v>
      </c>
      <c r="S207" s="228">
        <f t="shared" si="180"/>
        <v>9.2850314866655026</v>
      </c>
      <c r="T207" s="228">
        <f t="shared" si="180"/>
        <v>10.225434263817078</v>
      </c>
      <c r="U207" s="228">
        <f t="shared" si="180"/>
        <v>11.266002762267362</v>
      </c>
      <c r="V207" s="228">
        <f t="shared" si="180"/>
        <v>12.418115503842728</v>
      </c>
      <c r="W207" s="228">
        <f t="shared" si="180"/>
        <v>13.694496346577125</v>
      </c>
      <c r="X207" s="228">
        <f t="shared" si="180"/>
        <v>15.109377781362127</v>
      </c>
      <c r="Y207" s="2"/>
      <c r="Z207" s="2"/>
      <c r="AA207" s="108">
        <v>4</v>
      </c>
      <c r="AB207" s="109">
        <v>2</v>
      </c>
      <c r="AC207" s="108">
        <v>5</v>
      </c>
      <c r="AD207" s="109">
        <v>2</v>
      </c>
      <c r="AE207" s="108">
        <v>6</v>
      </c>
      <c r="AF207" s="109">
        <v>1</v>
      </c>
      <c r="AG207" s="2"/>
      <c r="AH207" s="2"/>
      <c r="AI207" s="2"/>
    </row>
    <row r="208" spans="1:35" x14ac:dyDescent="0.25">
      <c r="A208" s="20"/>
      <c r="B208" s="33" t="s">
        <v>294</v>
      </c>
      <c r="C208" s="27" t="s">
        <v>117</v>
      </c>
      <c r="D208" s="32"/>
      <c r="E208" s="29"/>
      <c r="F208" s="29"/>
      <c r="G208" s="29"/>
      <c r="H208" s="29"/>
      <c r="I208" s="29"/>
      <c r="J208" s="29"/>
      <c r="K208" s="29"/>
      <c r="L208" s="250">
        <f t="shared" ref="L208:M208" si="181">L$93/L204</f>
        <v>8.0434311978550849E-3</v>
      </c>
      <c r="M208" s="250">
        <f t="shared" si="181"/>
        <v>6.0395161695079719E-3</v>
      </c>
      <c r="N208" s="250">
        <f>N$93/N204</f>
        <v>5.7729041386628934E-3</v>
      </c>
      <c r="O208" s="250">
        <f t="shared" ref="O208:X208" si="182">O$93/O204</f>
        <v>7.6934000046335995E-3</v>
      </c>
      <c r="P208" s="250">
        <f t="shared" si="182"/>
        <v>8.6221737913077176E-3</v>
      </c>
      <c r="Q208" s="250">
        <f t="shared" si="182"/>
        <v>9.5026109721567439E-3</v>
      </c>
      <c r="R208" s="250">
        <f t="shared" si="182"/>
        <v>1.0431055023767573E-2</v>
      </c>
      <c r="S208" s="250">
        <f t="shared" si="182"/>
        <v>1.1331718423525939E-2</v>
      </c>
      <c r="T208" s="250">
        <f t="shared" si="182"/>
        <v>1.2257445716393523E-2</v>
      </c>
      <c r="U208" s="250">
        <f t="shared" si="182"/>
        <v>1.3243133345413487E-2</v>
      </c>
      <c r="V208" s="250">
        <f t="shared" si="182"/>
        <v>1.4288544047948347E-2</v>
      </c>
      <c r="W208" s="250">
        <f t="shared" si="182"/>
        <v>1.5392866411710246E-2</v>
      </c>
      <c r="X208" s="250">
        <f t="shared" si="182"/>
        <v>1.6577467545921275E-2</v>
      </c>
      <c r="Y208" s="2"/>
      <c r="Z208" s="2"/>
      <c r="AA208" s="128">
        <v>-6.8000000000000005E-2</v>
      </c>
      <c r="AB208" s="129">
        <v>7.3999999999999996E-2</v>
      </c>
      <c r="AC208" s="128">
        <v>-2.3E-2</v>
      </c>
      <c r="AD208" s="107" t="e">
        <v>#VALUE!</v>
      </c>
      <c r="AE208" s="128">
        <v>8.0000000000000002E-3</v>
      </c>
      <c r="AF208" s="107" t="e">
        <v>#VALUE!</v>
      </c>
      <c r="AG208" s="2"/>
      <c r="AH208" s="2"/>
      <c r="AI208" s="2"/>
    </row>
    <row r="209" spans="1:35" x14ac:dyDescent="0.25">
      <c r="A209" s="20"/>
      <c r="B209" s="33" t="s">
        <v>295</v>
      </c>
      <c r="C209" s="27" t="s">
        <v>117</v>
      </c>
      <c r="D209" s="32"/>
      <c r="E209" s="29"/>
      <c r="F209" s="29"/>
      <c r="G209" s="29"/>
      <c r="H209" s="29"/>
      <c r="I209" s="29"/>
      <c r="J209" s="29"/>
      <c r="K209" s="29"/>
      <c r="L209" s="250">
        <f t="shared" ref="L209:M209" si="183">L$93/(L204-L201)</f>
        <v>8.1730037057718662E-3</v>
      </c>
      <c r="M209" s="250">
        <f t="shared" si="183"/>
        <v>6.1505434967799094E-3</v>
      </c>
      <c r="N209" s="250">
        <f>N$93/(N204-N201)</f>
        <v>5.8603849468543516E-3</v>
      </c>
      <c r="O209" s="250">
        <f t="shared" ref="O209:X209" si="184">O$93/(O204-O201)</f>
        <v>7.8089101010720618E-3</v>
      </c>
      <c r="P209" s="250">
        <f t="shared" si="184"/>
        <v>8.7518345208373073E-3</v>
      </c>
      <c r="Q209" s="250">
        <f t="shared" si="184"/>
        <v>9.6463047401572893E-3</v>
      </c>
      <c r="R209" s="250">
        <f t="shared" si="184"/>
        <v>1.0589729459068069E-2</v>
      </c>
      <c r="S209" s="250">
        <f t="shared" si="184"/>
        <v>1.1505094757590159E-2</v>
      </c>
      <c r="T209" s="250">
        <f t="shared" si="184"/>
        <v>1.2446305875743443E-2</v>
      </c>
      <c r="U209" s="250">
        <f t="shared" si="184"/>
        <v>1.3448616147401525E-2</v>
      </c>
      <c r="V209" s="250">
        <f t="shared" si="184"/>
        <v>1.4511798207243787E-2</v>
      </c>
      <c r="W209" s="250">
        <f t="shared" si="184"/>
        <v>1.5635038525741458E-2</v>
      </c>
      <c r="X209" s="250">
        <f t="shared" si="184"/>
        <v>1.6840418158366312E-2</v>
      </c>
      <c r="Y209" s="2"/>
      <c r="Z209" s="2"/>
      <c r="AA209" s="128">
        <v>-0.26100000000000001</v>
      </c>
      <c r="AB209" s="129">
        <v>0.26600000000000001</v>
      </c>
      <c r="AC209" s="128">
        <v>-7.4999999999999997E-2</v>
      </c>
      <c r="AD209" s="107" t="e">
        <v>#VALUE!</v>
      </c>
      <c r="AE209" s="128">
        <v>2.3E-2</v>
      </c>
      <c r="AF209" s="107" t="e">
        <v>#VALUE!</v>
      </c>
      <c r="AG209" s="2"/>
      <c r="AH209" s="2"/>
      <c r="AI209" s="2"/>
    </row>
    <row r="210" spans="1:35" x14ac:dyDescent="0.25">
      <c r="A210" s="307"/>
      <c r="B210" s="308"/>
      <c r="C210" s="27"/>
      <c r="D210" s="32"/>
      <c r="E210" s="29"/>
      <c r="F210" s="29"/>
      <c r="G210" s="29"/>
      <c r="H210" s="29"/>
      <c r="I210" s="29"/>
      <c r="J210" s="29"/>
      <c r="K210" s="29"/>
      <c r="L210" s="239"/>
      <c r="M210" s="239"/>
      <c r="N210" s="239"/>
      <c r="O210" s="29"/>
      <c r="P210" s="29"/>
      <c r="Q210" s="29"/>
      <c r="R210" s="29"/>
      <c r="S210" s="29"/>
      <c r="T210" s="29"/>
      <c r="U210" s="29"/>
      <c r="V210" s="29"/>
      <c r="W210" s="29"/>
      <c r="X210" s="29"/>
      <c r="Y210" s="2"/>
      <c r="Z210" s="2"/>
      <c r="AA210" s="106"/>
      <c r="AB210" s="107"/>
      <c r="AC210" s="106"/>
      <c r="AD210" s="107"/>
      <c r="AE210" s="106"/>
      <c r="AF210" s="107"/>
      <c r="AG210" s="2"/>
      <c r="AH210" s="2"/>
      <c r="AI210" s="2"/>
    </row>
    <row r="211" spans="1:35" x14ac:dyDescent="0.25">
      <c r="A211" s="20"/>
      <c r="B211" s="30" t="s">
        <v>296</v>
      </c>
      <c r="C211" s="27"/>
      <c r="D211" s="32"/>
      <c r="E211" s="29"/>
      <c r="F211" s="29"/>
      <c r="G211" s="29"/>
      <c r="H211" s="29"/>
      <c r="I211" s="29"/>
      <c r="J211" s="29"/>
      <c r="K211" s="29"/>
      <c r="L211" s="239"/>
      <c r="M211" s="239"/>
      <c r="N211" s="239"/>
      <c r="O211" s="29"/>
      <c r="P211" s="29"/>
      <c r="Q211" s="29"/>
      <c r="R211" s="29"/>
      <c r="S211" s="29"/>
      <c r="T211" s="29"/>
      <c r="U211" s="29"/>
      <c r="V211" s="29"/>
      <c r="W211" s="29"/>
      <c r="X211" s="29"/>
      <c r="Y211" s="2"/>
      <c r="Z211" s="2"/>
      <c r="AA211" s="106"/>
      <c r="AB211" s="107"/>
      <c r="AC211" s="106"/>
      <c r="AD211" s="107"/>
      <c r="AE211" s="106"/>
      <c r="AF211" s="107"/>
      <c r="AG211" s="2"/>
      <c r="AH211" s="2"/>
      <c r="AI211" s="2"/>
    </row>
    <row r="212" spans="1:35" x14ac:dyDescent="0.25">
      <c r="A212" s="20"/>
      <c r="B212" s="33" t="s">
        <v>297</v>
      </c>
      <c r="C212" s="27" t="s">
        <v>67</v>
      </c>
      <c r="D212" s="32"/>
      <c r="E212" s="34"/>
      <c r="F212" s="34"/>
      <c r="G212" s="34"/>
      <c r="H212" s="34"/>
      <c r="I212" s="34"/>
      <c r="J212" s="34"/>
      <c r="K212" s="34"/>
      <c r="L212" s="233">
        <v>1145.2</v>
      </c>
      <c r="M212" s="233">
        <v>1148.7</v>
      </c>
      <c r="N212" s="233">
        <v>1186.3</v>
      </c>
      <c r="O212" s="236">
        <f>O$10*O219</f>
        <v>1416.0237338225081</v>
      </c>
      <c r="P212" s="236">
        <f t="shared" ref="P212:X212" si="185">P$10*P219</f>
        <v>1597.5207862468451</v>
      </c>
      <c r="Q212" s="236">
        <f t="shared" si="185"/>
        <v>1767.5369638963712</v>
      </c>
      <c r="R212" s="236">
        <f t="shared" si="185"/>
        <v>1952.7246874409716</v>
      </c>
      <c r="S212" s="236">
        <f t="shared" si="185"/>
        <v>2159.7711475747883</v>
      </c>
      <c r="T212" s="236">
        <f t="shared" si="185"/>
        <v>2378.5162092482783</v>
      </c>
      <c r="U212" s="236">
        <f t="shared" si="185"/>
        <v>2620.5606033093468</v>
      </c>
      <c r="V212" s="236">
        <f t="shared" si="185"/>
        <v>2888.5510631780817</v>
      </c>
      <c r="W212" s="236">
        <f t="shared" si="185"/>
        <v>3185.4472580282763</v>
      </c>
      <c r="X212" s="236">
        <f t="shared" si="185"/>
        <v>3514.5597768685793</v>
      </c>
      <c r="Y212" s="2"/>
      <c r="Z212" s="2"/>
      <c r="AA212" s="108">
        <v>30</v>
      </c>
      <c r="AB212" s="150">
        <v>1156</v>
      </c>
      <c r="AC212" s="108">
        <v>41</v>
      </c>
      <c r="AD212" s="150">
        <v>1418</v>
      </c>
      <c r="AE212" s="108">
        <v>50</v>
      </c>
      <c r="AF212" s="150">
        <v>1635</v>
      </c>
      <c r="AG212" s="2"/>
      <c r="AH212" s="2"/>
      <c r="AI212" s="2"/>
    </row>
    <row r="213" spans="1:35" x14ac:dyDescent="0.25">
      <c r="A213" s="20"/>
      <c r="B213" s="33" t="s">
        <v>298</v>
      </c>
      <c r="C213" s="27" t="s">
        <v>67</v>
      </c>
      <c r="D213" s="32"/>
      <c r="E213" s="34"/>
      <c r="F213" s="34"/>
      <c r="G213" s="34"/>
      <c r="H213" s="34"/>
      <c r="I213" s="34"/>
      <c r="J213" s="34"/>
      <c r="K213" s="34"/>
      <c r="L213" s="233">
        <v>8.1999999999999993</v>
      </c>
      <c r="M213" s="233">
        <v>8.4</v>
      </c>
      <c r="N213" s="233">
        <v>9.8000000000000007</v>
      </c>
      <c r="O213" s="252">
        <f>N213</f>
        <v>9.8000000000000007</v>
      </c>
      <c r="P213" s="252">
        <f t="shared" ref="P213:X213" si="186">O213</f>
        <v>9.8000000000000007</v>
      </c>
      <c r="Q213" s="252">
        <f t="shared" si="186"/>
        <v>9.8000000000000007</v>
      </c>
      <c r="R213" s="252">
        <f t="shared" si="186"/>
        <v>9.8000000000000007</v>
      </c>
      <c r="S213" s="252">
        <f t="shared" si="186"/>
        <v>9.8000000000000007</v>
      </c>
      <c r="T213" s="252">
        <f t="shared" si="186"/>
        <v>9.8000000000000007</v>
      </c>
      <c r="U213" s="252">
        <f t="shared" si="186"/>
        <v>9.8000000000000007</v>
      </c>
      <c r="V213" s="252">
        <f t="shared" si="186"/>
        <v>9.8000000000000007</v>
      </c>
      <c r="W213" s="252">
        <f t="shared" si="186"/>
        <v>9.8000000000000007</v>
      </c>
      <c r="X213" s="252">
        <f t="shared" si="186"/>
        <v>9.8000000000000007</v>
      </c>
      <c r="Y213" s="2"/>
      <c r="Z213" s="2"/>
      <c r="AA213" s="108">
        <v>5</v>
      </c>
      <c r="AB213" s="109">
        <v>4</v>
      </c>
      <c r="AC213" s="108">
        <v>5</v>
      </c>
      <c r="AD213" s="109">
        <v>4</v>
      </c>
      <c r="AE213" s="108">
        <v>5</v>
      </c>
      <c r="AF213" s="109">
        <v>4</v>
      </c>
      <c r="AG213" s="2"/>
      <c r="AH213" s="2"/>
      <c r="AI213" s="2"/>
    </row>
    <row r="214" spans="1:35" x14ac:dyDescent="0.25">
      <c r="A214" s="20"/>
      <c r="B214" s="33" t="s">
        <v>299</v>
      </c>
      <c r="C214" s="27" t="s">
        <v>67</v>
      </c>
      <c r="D214" s="32"/>
      <c r="E214" s="34"/>
      <c r="F214" s="34"/>
      <c r="G214" s="34"/>
      <c r="H214" s="34"/>
      <c r="I214" s="34"/>
      <c r="J214" s="34"/>
      <c r="K214" s="34"/>
      <c r="L214" s="233">
        <v>5.7</v>
      </c>
      <c r="M214" s="233">
        <v>6.5</v>
      </c>
      <c r="N214" s="233">
        <v>6.6</v>
      </c>
      <c r="O214" s="252">
        <f t="shared" ref="O214:X216" si="187">N214</f>
        <v>6.6</v>
      </c>
      <c r="P214" s="252">
        <f t="shared" si="187"/>
        <v>6.6</v>
      </c>
      <c r="Q214" s="252">
        <f t="shared" si="187"/>
        <v>6.6</v>
      </c>
      <c r="R214" s="252">
        <f t="shared" si="187"/>
        <v>6.6</v>
      </c>
      <c r="S214" s="252">
        <f t="shared" si="187"/>
        <v>6.6</v>
      </c>
      <c r="T214" s="252">
        <f t="shared" si="187"/>
        <v>6.6</v>
      </c>
      <c r="U214" s="252">
        <f t="shared" si="187"/>
        <v>6.6</v>
      </c>
      <c r="V214" s="252">
        <f t="shared" si="187"/>
        <v>6.6</v>
      </c>
      <c r="W214" s="252">
        <f t="shared" si="187"/>
        <v>6.6</v>
      </c>
      <c r="X214" s="252">
        <f t="shared" si="187"/>
        <v>6.6</v>
      </c>
      <c r="Y214" s="2"/>
      <c r="Z214" s="2"/>
      <c r="AA214" s="108">
        <v>55</v>
      </c>
      <c r="AB214" s="109">
        <v>-49</v>
      </c>
      <c r="AC214" s="108">
        <v>55</v>
      </c>
      <c r="AD214" s="109">
        <v>-49</v>
      </c>
      <c r="AE214" s="108">
        <v>55</v>
      </c>
      <c r="AF214" s="109">
        <v>-49</v>
      </c>
      <c r="AG214" s="2"/>
      <c r="AH214" s="2"/>
      <c r="AI214" s="2"/>
    </row>
    <row r="215" spans="1:35" x14ac:dyDescent="0.25">
      <c r="A215" s="20"/>
      <c r="B215" s="33" t="s">
        <v>300</v>
      </c>
      <c r="C215" s="27" t="s">
        <v>67</v>
      </c>
      <c r="D215" s="32"/>
      <c r="E215" s="34"/>
      <c r="F215" s="34"/>
      <c r="G215" s="34"/>
      <c r="H215" s="34"/>
      <c r="I215" s="34"/>
      <c r="J215" s="34"/>
      <c r="K215" s="34"/>
      <c r="L215" s="233">
        <v>7</v>
      </c>
      <c r="M215" s="233">
        <v>5.0999999999999996</v>
      </c>
      <c r="N215" s="233">
        <v>4.2</v>
      </c>
      <c r="O215" s="252">
        <f t="shared" si="187"/>
        <v>4.2</v>
      </c>
      <c r="P215" s="252">
        <f t="shared" si="187"/>
        <v>4.2</v>
      </c>
      <c r="Q215" s="252">
        <f t="shared" si="187"/>
        <v>4.2</v>
      </c>
      <c r="R215" s="252">
        <f t="shared" si="187"/>
        <v>4.2</v>
      </c>
      <c r="S215" s="252">
        <f t="shared" si="187"/>
        <v>4.2</v>
      </c>
      <c r="T215" s="252">
        <f t="shared" si="187"/>
        <v>4.2</v>
      </c>
      <c r="U215" s="252">
        <f t="shared" si="187"/>
        <v>4.2</v>
      </c>
      <c r="V215" s="252">
        <f t="shared" si="187"/>
        <v>4.2</v>
      </c>
      <c r="W215" s="252">
        <f t="shared" si="187"/>
        <v>4.2</v>
      </c>
      <c r="X215" s="252">
        <f t="shared" si="187"/>
        <v>4.2</v>
      </c>
      <c r="Y215" s="2"/>
      <c r="Z215" s="2"/>
      <c r="AA215" s="108">
        <v>5</v>
      </c>
      <c r="AB215" s="109">
        <v>0</v>
      </c>
      <c r="AC215" s="108">
        <v>5</v>
      </c>
      <c r="AD215" s="109">
        <v>0</v>
      </c>
      <c r="AE215" s="108">
        <v>5</v>
      </c>
      <c r="AF215" s="109">
        <v>0</v>
      </c>
      <c r="AG215" s="2"/>
      <c r="AH215" s="2"/>
      <c r="AI215" s="2"/>
    </row>
    <row r="216" spans="1:35" x14ac:dyDescent="0.25">
      <c r="A216" s="20"/>
      <c r="B216" s="33" t="s">
        <v>72</v>
      </c>
      <c r="C216" s="27" t="s">
        <v>67</v>
      </c>
      <c r="D216" s="32"/>
      <c r="E216" s="35"/>
      <c r="F216" s="35"/>
      <c r="G216" s="35"/>
      <c r="H216" s="35"/>
      <c r="I216" s="35"/>
      <c r="J216" s="35"/>
      <c r="K216" s="35"/>
      <c r="L216" s="228">
        <v>4594.6000000000004</v>
      </c>
      <c r="M216" s="228">
        <v>4554.8</v>
      </c>
      <c r="N216" s="228">
        <v>5586.8</v>
      </c>
      <c r="O216" s="252">
        <f t="shared" si="187"/>
        <v>5586.8</v>
      </c>
      <c r="P216" s="252">
        <f t="shared" si="187"/>
        <v>5586.8</v>
      </c>
      <c r="Q216" s="252">
        <f t="shared" si="187"/>
        <v>5586.8</v>
      </c>
      <c r="R216" s="252">
        <f t="shared" si="187"/>
        <v>5586.8</v>
      </c>
      <c r="S216" s="252">
        <f t="shared" si="187"/>
        <v>5586.8</v>
      </c>
      <c r="T216" s="252">
        <f t="shared" si="187"/>
        <v>5586.8</v>
      </c>
      <c r="U216" s="252">
        <f t="shared" si="187"/>
        <v>5586.8</v>
      </c>
      <c r="V216" s="252">
        <f t="shared" si="187"/>
        <v>5586.8</v>
      </c>
      <c r="W216" s="252">
        <f t="shared" si="187"/>
        <v>5586.8</v>
      </c>
      <c r="X216" s="252">
        <f t="shared" si="187"/>
        <v>5586.8</v>
      </c>
      <c r="Y216" s="2"/>
      <c r="Z216" s="2"/>
      <c r="AA216" s="108">
        <v>29</v>
      </c>
      <c r="AB216" s="150">
        <v>5558</v>
      </c>
      <c r="AC216" s="108">
        <v>29</v>
      </c>
      <c r="AD216" s="150">
        <v>5558</v>
      </c>
      <c r="AE216" s="108">
        <v>29</v>
      </c>
      <c r="AF216" s="150">
        <v>5558</v>
      </c>
      <c r="AG216" s="2"/>
      <c r="AH216" s="2"/>
      <c r="AI216" s="2"/>
    </row>
    <row r="217" spans="1:35" x14ac:dyDescent="0.25">
      <c r="A217" s="20" t="s">
        <v>226</v>
      </c>
      <c r="B217" s="33" t="s">
        <v>226</v>
      </c>
      <c r="C217" s="27" t="s">
        <v>67</v>
      </c>
      <c r="D217" s="32" t="s">
        <v>94</v>
      </c>
      <c r="E217" s="34"/>
      <c r="F217" s="34"/>
      <c r="G217" s="34"/>
      <c r="H217" s="34"/>
      <c r="I217" s="34"/>
      <c r="J217" s="34"/>
      <c r="K217" s="34"/>
      <c r="L217" s="233">
        <v>44.3</v>
      </c>
      <c r="M217" s="233">
        <v>46.7</v>
      </c>
      <c r="N217" s="233">
        <v>51.7</v>
      </c>
      <c r="O217" s="228">
        <f>N217+O270</f>
        <v>59.687878535710297</v>
      </c>
      <c r="P217" s="228">
        <f t="shared" ref="P217:X217" si="188">O217+P270</f>
        <v>72.519180176715039</v>
      </c>
      <c r="Q217" s="228">
        <f t="shared" si="188"/>
        <v>86.933808487888768</v>
      </c>
      <c r="R217" s="228">
        <f t="shared" si="188"/>
        <v>103.12036088510106</v>
      </c>
      <c r="S217" s="228">
        <f t="shared" si="188"/>
        <v>121.30727676578456</v>
      </c>
      <c r="T217" s="228">
        <f t="shared" si="188"/>
        <v>141.71274225298072</v>
      </c>
      <c r="U217" s="228">
        <f t="shared" si="188"/>
        <v>164.61556441715499</v>
      </c>
      <c r="V217" s="228">
        <f t="shared" si="188"/>
        <v>190.33046640024429</v>
      </c>
      <c r="W217" s="228">
        <f t="shared" si="188"/>
        <v>219.21277532733941</v>
      </c>
      <c r="X217" s="228">
        <f t="shared" si="188"/>
        <v>251.66372680126216</v>
      </c>
      <c r="Y217" s="2"/>
      <c r="Z217" s="2"/>
      <c r="AA217" s="108">
        <v>49</v>
      </c>
      <c r="AB217" s="109">
        <v>3</v>
      </c>
      <c r="AC217" s="108">
        <v>49</v>
      </c>
      <c r="AD217" s="109">
        <v>3</v>
      </c>
      <c r="AE217" s="108">
        <v>49</v>
      </c>
      <c r="AF217" s="109">
        <v>3</v>
      </c>
      <c r="AG217" s="2"/>
      <c r="AH217" s="2"/>
      <c r="AI217" s="2"/>
    </row>
    <row r="218" spans="1:35" x14ac:dyDescent="0.25">
      <c r="A218" s="20"/>
      <c r="B218" s="36" t="s">
        <v>301</v>
      </c>
      <c r="C218" s="37" t="s">
        <v>67</v>
      </c>
      <c r="D218" s="38"/>
      <c r="E218" s="51"/>
      <c r="F218" s="51"/>
      <c r="G218" s="51"/>
      <c r="H218" s="51"/>
      <c r="I218" s="51"/>
      <c r="J218" s="51"/>
      <c r="K218" s="51"/>
      <c r="L218" s="245">
        <v>5805.1</v>
      </c>
      <c r="M218" s="245">
        <v>5770.2</v>
      </c>
      <c r="N218" s="245">
        <v>6845.4</v>
      </c>
      <c r="O218" s="153">
        <f>SUM(O212:O217)</f>
        <v>7083.1116123582187</v>
      </c>
      <c r="P218" s="153">
        <f t="shared" ref="P218:X218" si="189">SUM(P212:P217)</f>
        <v>7277.4399664235598</v>
      </c>
      <c r="Q218" s="153">
        <f t="shared" si="189"/>
        <v>7461.8707723842599</v>
      </c>
      <c r="R218" s="153">
        <f t="shared" si="189"/>
        <v>7663.2450483260727</v>
      </c>
      <c r="S218" s="153">
        <f t="shared" si="189"/>
        <v>7888.4784243405738</v>
      </c>
      <c r="T218" s="153">
        <f t="shared" si="189"/>
        <v>8127.6289515012595</v>
      </c>
      <c r="U218" s="153">
        <f t="shared" si="189"/>
        <v>8392.5761677265036</v>
      </c>
      <c r="V218" s="153">
        <f t="shared" si="189"/>
        <v>8686.2815295783257</v>
      </c>
      <c r="W218" s="153">
        <f t="shared" si="189"/>
        <v>9012.0600333556158</v>
      </c>
      <c r="X218" s="153">
        <f t="shared" si="189"/>
        <v>9373.6235036698417</v>
      </c>
      <c r="Y218" s="2"/>
      <c r="Z218" s="2"/>
      <c r="AA218" s="151">
        <v>173</v>
      </c>
      <c r="AB218" s="152">
        <v>6672</v>
      </c>
      <c r="AC218" s="151">
        <v>184</v>
      </c>
      <c r="AD218" s="152">
        <v>6933</v>
      </c>
      <c r="AE218" s="151">
        <v>193</v>
      </c>
      <c r="AF218" s="152">
        <v>7151</v>
      </c>
      <c r="AG218" s="2"/>
      <c r="AH218" s="2"/>
      <c r="AI218" s="2"/>
    </row>
    <row r="219" spans="1:35" x14ac:dyDescent="0.25">
      <c r="A219" s="20"/>
      <c r="B219" s="33" t="s">
        <v>302</v>
      </c>
      <c r="C219" s="27" t="s">
        <v>117</v>
      </c>
      <c r="D219" s="32"/>
      <c r="E219" s="29"/>
      <c r="F219" s="29"/>
      <c r="G219" s="29"/>
      <c r="H219" s="29"/>
      <c r="I219" s="29"/>
      <c r="J219" s="29"/>
      <c r="K219" s="40"/>
      <c r="L219" s="250">
        <f t="shared" ref="L219:M219" si="190">L212/L$10</f>
        <v>1.1420023932987635</v>
      </c>
      <c r="M219" s="250">
        <f t="shared" si="190"/>
        <v>1.0657821488216737</v>
      </c>
      <c r="N219" s="250">
        <f>N212/N$10</f>
        <v>0.96017806556050178</v>
      </c>
      <c r="O219" s="251">
        <f>N219</f>
        <v>0.96017806556050178</v>
      </c>
      <c r="P219" s="251">
        <f t="shared" ref="P219:X219" si="191">O219</f>
        <v>0.96017806556050178</v>
      </c>
      <c r="Q219" s="251">
        <f t="shared" si="191"/>
        <v>0.96017806556050178</v>
      </c>
      <c r="R219" s="251">
        <f t="shared" si="191"/>
        <v>0.96017806556050178</v>
      </c>
      <c r="S219" s="251">
        <f t="shared" si="191"/>
        <v>0.96017806556050178</v>
      </c>
      <c r="T219" s="251">
        <f t="shared" si="191"/>
        <v>0.96017806556050178</v>
      </c>
      <c r="U219" s="251">
        <f t="shared" si="191"/>
        <v>0.96017806556050178</v>
      </c>
      <c r="V219" s="251">
        <f t="shared" si="191"/>
        <v>0.96017806556050178</v>
      </c>
      <c r="W219" s="251">
        <f t="shared" si="191"/>
        <v>0.96017806556050178</v>
      </c>
      <c r="X219" s="251">
        <f t="shared" si="191"/>
        <v>0.96017806556050178</v>
      </c>
      <c r="Y219" s="2"/>
      <c r="Z219" s="2"/>
      <c r="AA219" s="128">
        <v>0.255</v>
      </c>
      <c r="AB219" s="129">
        <v>0.70499999999999996</v>
      </c>
      <c r="AC219" s="128">
        <v>0.255</v>
      </c>
      <c r="AD219" s="129">
        <v>0.70499999999999996</v>
      </c>
      <c r="AE219" s="128">
        <v>0.255</v>
      </c>
      <c r="AF219" s="129">
        <v>0.70499999999999996</v>
      </c>
      <c r="AG219" s="2"/>
      <c r="AH219" s="2"/>
      <c r="AI219" s="2"/>
    </row>
    <row r="220" spans="1:35" x14ac:dyDescent="0.25">
      <c r="A220" s="20" t="s">
        <v>227</v>
      </c>
      <c r="B220" s="33" t="s">
        <v>227</v>
      </c>
      <c r="C220" s="27" t="s">
        <v>67</v>
      </c>
      <c r="D220" s="32"/>
      <c r="E220" s="29"/>
      <c r="F220" s="29"/>
      <c r="G220" s="29"/>
      <c r="H220" s="29"/>
      <c r="I220" s="29"/>
      <c r="J220" s="29"/>
      <c r="K220" s="29"/>
      <c r="L220" s="239">
        <f t="shared" ref="L220:X220" si="192">L217-L197</f>
        <v>-15.700000000000003</v>
      </c>
      <c r="M220" s="239">
        <f t="shared" si="192"/>
        <v>-20.700000000000003</v>
      </c>
      <c r="N220" s="239">
        <f>N217-N197</f>
        <v>-12</v>
      </c>
      <c r="O220" s="239">
        <f t="shared" si="192"/>
        <v>-6.8494533044239461</v>
      </c>
      <c r="P220" s="239">
        <f t="shared" si="192"/>
        <v>9.485163999046506</v>
      </c>
      <c r="Q220" s="239">
        <f t="shared" si="192"/>
        <v>26.067861163841478</v>
      </c>
      <c r="R220" s="239">
        <f t="shared" si="192"/>
        <v>43.154895394155908</v>
      </c>
      <c r="S220" s="239">
        <f t="shared" si="192"/>
        <v>61.185700691342916</v>
      </c>
      <c r="T220" s="239">
        <f t="shared" si="192"/>
        <v>80.383063323997845</v>
      </c>
      <c r="U220" s="239">
        <f t="shared" si="192"/>
        <v>100.99279481775616</v>
      </c>
      <c r="V220" s="239">
        <f t="shared" si="192"/>
        <v>123.24972544477623</v>
      </c>
      <c r="W220" s="239">
        <f t="shared" si="192"/>
        <v>147.42202483797092</v>
      </c>
      <c r="X220" s="239">
        <f t="shared" si="192"/>
        <v>186.87271104051692</v>
      </c>
      <c r="Y220" s="2"/>
      <c r="Z220" s="2"/>
      <c r="AA220" s="106">
        <v>20</v>
      </c>
      <c r="AB220" s="107">
        <v>-32</v>
      </c>
      <c r="AC220" s="106">
        <v>17</v>
      </c>
      <c r="AD220" s="107" t="e">
        <v>#VALUE!</v>
      </c>
      <c r="AE220" s="106">
        <v>0</v>
      </c>
      <c r="AF220" s="107" t="e">
        <v>#VALUE!</v>
      </c>
      <c r="AG220" s="2"/>
      <c r="AH220" s="2"/>
      <c r="AI220" s="2"/>
    </row>
    <row r="221" spans="1:35" x14ac:dyDescent="0.25">
      <c r="A221" s="20" t="s">
        <v>228</v>
      </c>
      <c r="B221" s="33" t="s">
        <v>228</v>
      </c>
      <c r="C221" s="27"/>
      <c r="D221" s="32"/>
      <c r="E221" s="29"/>
      <c r="F221" s="29"/>
      <c r="G221" s="29"/>
      <c r="H221" s="29"/>
      <c r="I221" s="35"/>
      <c r="J221" s="35"/>
      <c r="K221" s="35"/>
      <c r="L221" s="228">
        <f t="shared" ref="L221:M221" si="193">L220</f>
        <v>-15.700000000000003</v>
      </c>
      <c r="M221" s="228">
        <f t="shared" si="193"/>
        <v>-20.700000000000003</v>
      </c>
      <c r="N221" s="228">
        <f>N220</f>
        <v>-12</v>
      </c>
      <c r="O221" s="228">
        <f t="shared" ref="O221" si="194">O220</f>
        <v>-6.8494533044239461</v>
      </c>
      <c r="P221" s="228">
        <f t="shared" ref="P221:Q221" si="195">P220</f>
        <v>9.485163999046506</v>
      </c>
      <c r="Q221" s="228">
        <f t="shared" si="195"/>
        <v>26.067861163841478</v>
      </c>
      <c r="R221" s="228">
        <f t="shared" ref="R221" si="196">R220</f>
        <v>43.154895394155908</v>
      </c>
      <c r="S221" s="228">
        <f t="shared" ref="S221:T221" si="197">S220</f>
        <v>61.185700691342916</v>
      </c>
      <c r="T221" s="228">
        <f t="shared" si="197"/>
        <v>80.383063323997845</v>
      </c>
      <c r="U221" s="228">
        <f t="shared" ref="U221" si="198">U220</f>
        <v>100.99279481775616</v>
      </c>
      <c r="V221" s="228">
        <f t="shared" ref="V221:W221" si="199">V220</f>
        <v>123.24972544477623</v>
      </c>
      <c r="W221" s="228">
        <f t="shared" si="199"/>
        <v>147.42202483797092</v>
      </c>
      <c r="X221" s="228">
        <f t="shared" ref="X221" si="200">X220</f>
        <v>186.87271104051692</v>
      </c>
      <c r="Y221" s="2"/>
      <c r="Z221" s="2"/>
      <c r="AA221" s="108">
        <v>20</v>
      </c>
      <c r="AB221" s="109">
        <v>-32</v>
      </c>
      <c r="AC221" s="108">
        <v>17</v>
      </c>
      <c r="AD221" s="109" t="e">
        <v>#VALUE!</v>
      </c>
      <c r="AE221" s="108">
        <v>0</v>
      </c>
      <c r="AF221" s="109" t="e">
        <v>#VALUE!</v>
      </c>
      <c r="AG221" s="2"/>
      <c r="AH221" s="2"/>
      <c r="AI221" s="2"/>
    </row>
    <row r="222" spans="1:35" x14ac:dyDescent="0.25">
      <c r="A222" s="20"/>
      <c r="B222" s="46" t="s">
        <v>303</v>
      </c>
      <c r="C222" s="43" t="s">
        <v>271</v>
      </c>
      <c r="D222" s="32"/>
      <c r="E222" s="47"/>
      <c r="F222" s="47"/>
      <c r="G222" s="47"/>
      <c r="H222" s="47"/>
      <c r="I222" s="47"/>
      <c r="J222" s="47"/>
      <c r="K222" s="47"/>
      <c r="L222" s="246">
        <f t="shared" ref="L222:M222" si="201">L221/L51</f>
        <v>-0.26430976430976438</v>
      </c>
      <c r="M222" s="246">
        <f t="shared" si="201"/>
        <v>-0.43670886075949383</v>
      </c>
      <c r="N222" s="246">
        <f>N221/N51</f>
        <v>-0.21352313167259784</v>
      </c>
      <c r="O222" s="246">
        <f t="shared" ref="O222" si="202">O221/O51</f>
        <v>-8.5462261790960253E-2</v>
      </c>
      <c r="P222" s="246">
        <f t="shared" ref="P222:Q222" si="203">P221/P51</f>
        <v>0.10186392524419451</v>
      </c>
      <c r="Q222" s="246">
        <f t="shared" si="203"/>
        <v>0.24542796181194795</v>
      </c>
      <c r="R222" s="246">
        <f t="shared" ref="R222" si="204">R221/R51</f>
        <v>0.35769303603841984</v>
      </c>
      <c r="S222" s="246">
        <f t="shared" ref="S222:T222" si="205">S221/S51</f>
        <v>0.45059080317516986</v>
      </c>
      <c r="T222" s="246">
        <f t="shared" si="205"/>
        <v>0.52833703879964522</v>
      </c>
      <c r="U222" s="246">
        <f t="shared" ref="U222" si="206">U221/U51</f>
        <v>0.59240770541472232</v>
      </c>
      <c r="V222" s="246">
        <f t="shared" ref="V222:W222" si="207">V221/V51</f>
        <v>0.64514112360740872</v>
      </c>
      <c r="W222" s="246">
        <f t="shared" si="207"/>
        <v>0.68851107543713264</v>
      </c>
      <c r="X222" s="246">
        <f t="shared" ref="X222" si="208">X221/X51</f>
        <v>0.77858103319671157</v>
      </c>
      <c r="Y222" s="2"/>
      <c r="Z222" s="2"/>
      <c r="AA222" s="59">
        <v>1.1000000000000001</v>
      </c>
      <c r="AB222" s="142">
        <v>-1.32</v>
      </c>
      <c r="AC222" s="59">
        <v>0.37</v>
      </c>
      <c r="AD222" s="142" t="e">
        <v>#VALUE!</v>
      </c>
      <c r="AE222" s="59">
        <v>0</v>
      </c>
      <c r="AF222" s="142" t="e">
        <v>#VALUE!</v>
      </c>
      <c r="AG222" s="2"/>
      <c r="AH222" s="2"/>
      <c r="AI222" s="2"/>
    </row>
    <row r="223" spans="1:35" x14ac:dyDescent="0.25">
      <c r="A223" s="307"/>
      <c r="B223" s="308"/>
      <c r="C223" s="43"/>
      <c r="D223" s="32"/>
      <c r="E223" s="47"/>
      <c r="F223" s="47"/>
      <c r="G223" s="47"/>
      <c r="H223" s="47"/>
      <c r="I223" s="47"/>
      <c r="J223" s="47"/>
      <c r="K223" s="47"/>
      <c r="L223" s="246"/>
      <c r="M223" s="246"/>
      <c r="N223" s="246"/>
      <c r="O223" s="47"/>
      <c r="P223" s="47"/>
      <c r="Q223" s="47"/>
      <c r="R223" s="47"/>
      <c r="S223" s="47"/>
      <c r="T223" s="47"/>
      <c r="U223" s="47"/>
      <c r="V223" s="47"/>
      <c r="W223" s="47"/>
      <c r="X223" s="47"/>
      <c r="Y223" s="2"/>
      <c r="Z223" s="2"/>
      <c r="AA223" s="59"/>
      <c r="AB223" s="142"/>
      <c r="AC223" s="59"/>
      <c r="AD223" s="142"/>
      <c r="AE223" s="59"/>
      <c r="AF223" s="142"/>
      <c r="AG223" s="2"/>
      <c r="AH223" s="2"/>
      <c r="AI223" s="2"/>
    </row>
    <row r="224" spans="1:35" x14ac:dyDescent="0.25">
      <c r="A224" s="20"/>
      <c r="B224" s="33" t="s">
        <v>304</v>
      </c>
      <c r="C224" s="27" t="s">
        <v>271</v>
      </c>
      <c r="D224" s="32"/>
      <c r="E224" s="34"/>
      <c r="F224" s="34"/>
      <c r="G224" s="34"/>
      <c r="H224" s="34"/>
      <c r="I224" s="34"/>
      <c r="J224" s="34"/>
      <c r="K224" s="34"/>
      <c r="L224" s="233"/>
      <c r="M224" s="233"/>
      <c r="N224" s="233"/>
      <c r="O224" s="280">
        <f>O221/O51</f>
        <v>-8.5462261790960253E-2</v>
      </c>
      <c r="P224" s="280">
        <f t="shared" ref="P224:X224" si="209">P221/P51</f>
        <v>0.10186392524419451</v>
      </c>
      <c r="Q224" s="280">
        <f t="shared" si="209"/>
        <v>0.24542796181194795</v>
      </c>
      <c r="R224" s="280">
        <f>R221/R51</f>
        <v>0.35769303603841984</v>
      </c>
      <c r="S224" s="280">
        <f t="shared" si="209"/>
        <v>0.45059080317516986</v>
      </c>
      <c r="T224" s="280">
        <f t="shared" si="209"/>
        <v>0.52833703879964522</v>
      </c>
      <c r="U224" s="280">
        <f t="shared" si="209"/>
        <v>0.59240770541472232</v>
      </c>
      <c r="V224" s="280">
        <f t="shared" si="209"/>
        <v>0.64514112360740872</v>
      </c>
      <c r="W224" s="280">
        <f t="shared" si="209"/>
        <v>0.68851107543713264</v>
      </c>
      <c r="X224" s="280">
        <f t="shared" si="209"/>
        <v>0.77858103319671157</v>
      </c>
      <c r="Y224" s="2"/>
      <c r="Z224" s="2"/>
      <c r="AA224" s="134"/>
      <c r="AB224" s="135"/>
      <c r="AC224" s="134"/>
      <c r="AD224" s="135"/>
      <c r="AE224" s="134"/>
      <c r="AF224" s="135"/>
      <c r="AG224" s="2"/>
      <c r="AH224" s="2"/>
      <c r="AI224" s="2"/>
    </row>
    <row r="225" spans="1:35" x14ac:dyDescent="0.25">
      <c r="A225" s="20"/>
      <c r="B225" s="46" t="s">
        <v>305</v>
      </c>
      <c r="C225" s="43" t="s">
        <v>117</v>
      </c>
      <c r="D225" s="81"/>
      <c r="E225" s="47" t="s">
        <v>476</v>
      </c>
      <c r="F225" s="47"/>
      <c r="G225" s="47"/>
      <c r="H225" s="47"/>
      <c r="I225" s="47"/>
      <c r="J225" s="47"/>
      <c r="K225" s="47"/>
      <c r="L225" s="271">
        <f t="shared" ref="L225:M225" si="210">L221/(L221+L232)</f>
        <v>-8.5279739272134739E-2</v>
      </c>
      <c r="M225" s="271">
        <f t="shared" si="210"/>
        <v>-0.11105150214592277</v>
      </c>
      <c r="N225" s="271">
        <f>N221/(N221+N232)</f>
        <v>-5.7115659209900048E-2</v>
      </c>
      <c r="O225" s="271">
        <f t="shared" ref="O225:X225" si="211">O221/(O221+O232)</f>
        <v>-2.8839454142305931E-2</v>
      </c>
      <c r="P225" s="271">
        <f t="shared" si="211"/>
        <v>3.3948651745889936E-2</v>
      </c>
      <c r="Q225" s="271">
        <f t="shared" si="211"/>
        <v>8.0258826746707312E-2</v>
      </c>
      <c r="R225" s="271">
        <f t="shared" si="211"/>
        <v>0.11529559862371384</v>
      </c>
      <c r="S225" s="271">
        <f t="shared" si="211"/>
        <v>0.14279254111832967</v>
      </c>
      <c r="T225" s="271">
        <f t="shared" si="211"/>
        <v>0.16475130093207491</v>
      </c>
      <c r="U225" s="271">
        <f>U221/(U221+U232)</f>
        <v>0.1825355254714405</v>
      </c>
      <c r="V225" s="271">
        <f t="shared" si="211"/>
        <v>0.19707189258577365</v>
      </c>
      <c r="W225" s="271">
        <f t="shared" si="211"/>
        <v>0.20905392599855371</v>
      </c>
      <c r="X225" s="271">
        <f t="shared" si="211"/>
        <v>0.23546320005254989</v>
      </c>
      <c r="Y225" s="2"/>
      <c r="Z225" s="2"/>
      <c r="AA225" s="113">
        <v>0.12</v>
      </c>
      <c r="AB225" s="114">
        <v>-0.12</v>
      </c>
      <c r="AC225" s="113">
        <v>0.11</v>
      </c>
      <c r="AD225" s="107" t="e">
        <v>#VALUE!</v>
      </c>
      <c r="AE225" s="113">
        <v>0</v>
      </c>
      <c r="AF225" s="107" t="e">
        <v>#VALUE!</v>
      </c>
      <c r="AG225" s="2"/>
      <c r="AH225" s="2"/>
      <c r="AI225" s="2"/>
    </row>
    <row r="226" spans="1:35" x14ac:dyDescent="0.25">
      <c r="A226" s="307"/>
      <c r="B226" s="308"/>
      <c r="C226" s="27"/>
      <c r="D226" s="32"/>
      <c r="E226" s="2"/>
      <c r="F226" s="2"/>
      <c r="G226" s="2"/>
      <c r="H226" s="2"/>
      <c r="I226" s="2"/>
      <c r="J226" s="2"/>
      <c r="K226" s="2"/>
      <c r="L226" s="247"/>
      <c r="M226" s="247"/>
      <c r="N226" s="247"/>
      <c r="O226" s="2"/>
      <c r="P226" s="2"/>
      <c r="Q226" s="2"/>
      <c r="R226" s="2"/>
      <c r="S226" s="2"/>
      <c r="T226" s="2"/>
      <c r="U226" s="2"/>
      <c r="V226" s="2"/>
      <c r="W226" s="2"/>
      <c r="X226" s="2"/>
      <c r="Y226" s="2"/>
      <c r="Z226" s="2"/>
      <c r="AA226" s="99"/>
      <c r="AB226" s="3"/>
      <c r="AC226" s="99"/>
      <c r="AD226" s="3"/>
      <c r="AE226" s="99"/>
      <c r="AF226" s="3"/>
      <c r="AG226" s="2"/>
      <c r="AH226" s="2"/>
      <c r="AI226" s="2"/>
    </row>
    <row r="227" spans="1:35" x14ac:dyDescent="0.25">
      <c r="A227" s="20"/>
      <c r="B227" s="30" t="s">
        <v>306</v>
      </c>
      <c r="C227" s="55"/>
      <c r="D227" s="32"/>
      <c r="E227" s="2"/>
      <c r="F227" s="2"/>
      <c r="G227" s="2"/>
      <c r="H227" s="2"/>
      <c r="I227" s="2"/>
      <c r="J227" s="2"/>
      <c r="K227" s="34"/>
      <c r="L227" s="233"/>
      <c r="M227" s="233"/>
      <c r="N227" s="233"/>
      <c r="O227" s="2"/>
      <c r="P227" s="2"/>
      <c r="Q227" s="2"/>
      <c r="R227" s="2"/>
      <c r="S227" s="2"/>
      <c r="T227" s="2"/>
      <c r="U227" s="2"/>
      <c r="V227" s="2"/>
      <c r="W227" s="2"/>
      <c r="X227" s="2"/>
      <c r="Y227" s="2"/>
      <c r="Z227" s="2"/>
      <c r="AA227" s="99"/>
      <c r="AB227" s="3"/>
      <c r="AC227" s="99"/>
      <c r="AD227" s="3"/>
      <c r="AE227" s="99"/>
      <c r="AF227" s="3"/>
      <c r="AG227" s="2"/>
      <c r="AH227" s="2"/>
      <c r="AI227" s="2"/>
    </row>
    <row r="228" spans="1:35" x14ac:dyDescent="0.25">
      <c r="A228" s="20"/>
      <c r="B228" s="33" t="s">
        <v>307</v>
      </c>
      <c r="C228" s="27" t="s">
        <v>67</v>
      </c>
      <c r="D228" s="32"/>
      <c r="E228" s="34"/>
      <c r="F228" s="34"/>
      <c r="G228" s="34"/>
      <c r="H228" s="34"/>
      <c r="I228" s="34"/>
      <c r="J228" s="34"/>
      <c r="K228" s="34"/>
      <c r="L228" s="233">
        <v>102.1</v>
      </c>
      <c r="M228" s="233">
        <v>102.1</v>
      </c>
      <c r="N228" s="233">
        <v>102.1</v>
      </c>
      <c r="O228" s="228">
        <f>N228+O268</f>
        <v>102.1</v>
      </c>
      <c r="P228" s="228">
        <f t="shared" ref="P228:X228" si="212">O228+P268</f>
        <v>102.1</v>
      </c>
      <c r="Q228" s="228">
        <f t="shared" si="212"/>
        <v>102.1</v>
      </c>
      <c r="R228" s="228">
        <f t="shared" si="212"/>
        <v>102.1</v>
      </c>
      <c r="S228" s="228">
        <f t="shared" si="212"/>
        <v>102.1</v>
      </c>
      <c r="T228" s="228">
        <f t="shared" si="212"/>
        <v>102.1</v>
      </c>
      <c r="U228" s="228">
        <f t="shared" si="212"/>
        <v>102.1</v>
      </c>
      <c r="V228" s="228">
        <f t="shared" si="212"/>
        <v>102.1</v>
      </c>
      <c r="W228" s="228">
        <f t="shared" si="212"/>
        <v>102.1</v>
      </c>
      <c r="X228" s="228">
        <f t="shared" si="212"/>
        <v>102.1</v>
      </c>
      <c r="Y228" s="2"/>
      <c r="Z228" s="2"/>
      <c r="AA228" s="108">
        <v>370</v>
      </c>
      <c r="AB228" s="109">
        <v>-268</v>
      </c>
      <c r="AC228" s="108">
        <v>370</v>
      </c>
      <c r="AD228" s="109">
        <v>-268</v>
      </c>
      <c r="AE228" s="108">
        <v>370</v>
      </c>
      <c r="AF228" s="109">
        <v>-268</v>
      </c>
      <c r="AG228" s="2"/>
      <c r="AH228" s="2"/>
      <c r="AI228" s="2"/>
    </row>
    <row r="229" spans="1:35" x14ac:dyDescent="0.25">
      <c r="A229" s="20"/>
      <c r="B229" s="33" t="s">
        <v>308</v>
      </c>
      <c r="C229" s="27" t="s">
        <v>67</v>
      </c>
      <c r="D229" s="32"/>
      <c r="E229" s="34"/>
      <c r="F229" s="34"/>
      <c r="G229" s="34"/>
      <c r="H229" s="34"/>
      <c r="I229" s="34"/>
      <c r="J229" s="34"/>
      <c r="K229" s="34"/>
      <c r="L229" s="233">
        <v>89.9</v>
      </c>
      <c r="M229" s="233">
        <v>96.9</v>
      </c>
      <c r="N229" s="233">
        <v>111.1</v>
      </c>
      <c r="O229" s="228">
        <f>N229+O93-O112</f>
        <v>133.35232942079836</v>
      </c>
      <c r="P229" s="228">
        <f t="shared" ref="P229:X229" si="213">O229+P93-P112</f>
        <v>158.91220559442633</v>
      </c>
      <c r="Q229" s="228">
        <f t="shared" si="213"/>
        <v>187.72957508713063</v>
      </c>
      <c r="R229" s="228">
        <f t="shared" si="213"/>
        <v>220.14296080588005</v>
      </c>
      <c r="S229" s="228">
        <f t="shared" si="213"/>
        <v>256.30797420333806</v>
      </c>
      <c r="T229" s="228">
        <f t="shared" si="213"/>
        <v>296.52242130181935</v>
      </c>
      <c r="U229" s="228">
        <f t="shared" si="213"/>
        <v>341.28468120735602</v>
      </c>
      <c r="V229" s="228">
        <f t="shared" si="213"/>
        <v>391.15516526602346</v>
      </c>
      <c r="W229" s="228">
        <f t="shared" si="213"/>
        <v>446.76456342534084</v>
      </c>
      <c r="X229" s="228">
        <f t="shared" si="213"/>
        <v>495.76600192529389</v>
      </c>
      <c r="Y229" s="2"/>
      <c r="Z229" s="2"/>
      <c r="AA229" s="108">
        <v>-285</v>
      </c>
      <c r="AB229" s="109">
        <v>396</v>
      </c>
      <c r="AC229" s="108">
        <v>-292</v>
      </c>
      <c r="AD229" s="109" t="e">
        <v>#VALUE!</v>
      </c>
      <c r="AE229" s="108">
        <v>-289</v>
      </c>
      <c r="AF229" s="109" t="e">
        <v>#VALUE!</v>
      </c>
      <c r="AG229" s="2"/>
      <c r="AH229" s="2"/>
      <c r="AI229" s="2"/>
    </row>
    <row r="230" spans="1:35" x14ac:dyDescent="0.25">
      <c r="A230" s="20"/>
      <c r="B230" s="33" t="s">
        <v>309</v>
      </c>
      <c r="C230" s="27" t="s">
        <v>67</v>
      </c>
      <c r="D230" s="32"/>
      <c r="E230" s="34"/>
      <c r="F230" s="34"/>
      <c r="G230" s="34"/>
      <c r="H230" s="34"/>
      <c r="I230" s="34"/>
      <c r="J230" s="34"/>
      <c r="K230" s="34"/>
      <c r="L230" s="233">
        <v>-12.9</v>
      </c>
      <c r="M230" s="233">
        <v>-4.5999999999999996</v>
      </c>
      <c r="N230" s="233">
        <v>8.9</v>
      </c>
      <c r="O230" s="228">
        <f>N230</f>
        <v>8.9</v>
      </c>
      <c r="P230" s="228">
        <f t="shared" ref="P230:X230" si="214">O230</f>
        <v>8.9</v>
      </c>
      <c r="Q230" s="228">
        <f t="shared" si="214"/>
        <v>8.9</v>
      </c>
      <c r="R230" s="228">
        <f t="shared" si="214"/>
        <v>8.9</v>
      </c>
      <c r="S230" s="228">
        <f t="shared" si="214"/>
        <v>8.9</v>
      </c>
      <c r="T230" s="228">
        <f t="shared" si="214"/>
        <v>8.9</v>
      </c>
      <c r="U230" s="228">
        <f t="shared" si="214"/>
        <v>8.9</v>
      </c>
      <c r="V230" s="228">
        <f t="shared" si="214"/>
        <v>8.9</v>
      </c>
      <c r="W230" s="228">
        <f t="shared" si="214"/>
        <v>8.9</v>
      </c>
      <c r="X230" s="228">
        <f t="shared" si="214"/>
        <v>8.9</v>
      </c>
      <c r="Y230" s="2"/>
      <c r="Z230" s="2"/>
      <c r="AA230" s="108">
        <v>61</v>
      </c>
      <c r="AB230" s="109">
        <v>-52</v>
      </c>
      <c r="AC230" s="108">
        <v>69</v>
      </c>
      <c r="AD230" s="109" t="e">
        <v>#VALUE!</v>
      </c>
      <c r="AE230" s="108">
        <v>81</v>
      </c>
      <c r="AF230" s="109" t="e">
        <v>#VALUE!</v>
      </c>
      <c r="AG230" s="2"/>
      <c r="AH230" s="2"/>
      <c r="AI230" s="2"/>
    </row>
    <row r="231" spans="1:35" x14ac:dyDescent="0.25">
      <c r="A231" s="20"/>
      <c r="B231" s="33" t="s">
        <v>310</v>
      </c>
      <c r="C231" s="27" t="s">
        <v>67</v>
      </c>
      <c r="D231" s="32"/>
      <c r="E231" s="34"/>
      <c r="F231" s="34"/>
      <c r="G231" s="34"/>
      <c r="H231" s="34"/>
      <c r="I231" s="34"/>
      <c r="J231" s="34"/>
      <c r="K231" s="34"/>
      <c r="L231" s="233">
        <v>20.7</v>
      </c>
      <c r="M231" s="233">
        <v>12.7</v>
      </c>
      <c r="N231" s="233">
        <v>0</v>
      </c>
      <c r="O231" s="42">
        <v>0</v>
      </c>
      <c r="P231" s="42">
        <v>0</v>
      </c>
      <c r="Q231" s="42">
        <v>0</v>
      </c>
      <c r="R231" s="42">
        <v>0</v>
      </c>
      <c r="S231" s="42">
        <v>0</v>
      </c>
      <c r="T231" s="42">
        <v>0</v>
      </c>
      <c r="U231" s="42">
        <v>0</v>
      </c>
      <c r="V231" s="42">
        <v>0</v>
      </c>
      <c r="W231" s="42">
        <v>0</v>
      </c>
      <c r="X231" s="42">
        <v>0</v>
      </c>
      <c r="Y231" s="2"/>
      <c r="Z231" s="2"/>
      <c r="AA231" s="108">
        <v>0</v>
      </c>
      <c r="AB231" s="109">
        <v>0</v>
      </c>
      <c r="AC231" s="108">
        <v>0</v>
      </c>
      <c r="AD231" s="109">
        <v>0</v>
      </c>
      <c r="AE231" s="108">
        <v>0</v>
      </c>
      <c r="AF231" s="109">
        <v>0</v>
      </c>
      <c r="AG231" s="2"/>
      <c r="AH231" s="2"/>
      <c r="AI231" s="2"/>
    </row>
    <row r="232" spans="1:35" x14ac:dyDescent="0.25">
      <c r="A232" s="20"/>
      <c r="B232" s="36" t="s">
        <v>311</v>
      </c>
      <c r="C232" s="37" t="s">
        <v>67</v>
      </c>
      <c r="D232" s="38"/>
      <c r="E232" s="50"/>
      <c r="F232" s="50"/>
      <c r="G232" s="50"/>
      <c r="H232" s="50"/>
      <c r="I232" s="50"/>
      <c r="J232" s="50"/>
      <c r="K232" s="50"/>
      <c r="L232" s="248">
        <f t="shared" ref="L232:N232" si="215">SUM(L228:L231)</f>
        <v>199.79999999999998</v>
      </c>
      <c r="M232" s="248">
        <f t="shared" si="215"/>
        <v>207.1</v>
      </c>
      <c r="N232" s="248">
        <f t="shared" si="215"/>
        <v>222.1</v>
      </c>
      <c r="O232" s="248">
        <f>SUM(O228:O231)</f>
        <v>244.35232942079836</v>
      </c>
      <c r="P232" s="248">
        <f t="shared" ref="P232:X232" si="216">SUM(P228:P231)</f>
        <v>269.91220559442627</v>
      </c>
      <c r="Q232" s="248">
        <f t="shared" si="216"/>
        <v>298.72957508713057</v>
      </c>
      <c r="R232" s="248">
        <f t="shared" si="216"/>
        <v>331.14296080588002</v>
      </c>
      <c r="S232" s="248">
        <f t="shared" si="216"/>
        <v>367.30797420333806</v>
      </c>
      <c r="T232" s="248">
        <f t="shared" si="216"/>
        <v>407.52242130181935</v>
      </c>
      <c r="U232" s="248">
        <f t="shared" si="216"/>
        <v>452.28468120735602</v>
      </c>
      <c r="V232" s="248">
        <f t="shared" si="216"/>
        <v>502.15516526602346</v>
      </c>
      <c r="W232" s="248">
        <f t="shared" si="216"/>
        <v>557.76456342534084</v>
      </c>
      <c r="X232" s="248">
        <f t="shared" si="216"/>
        <v>606.76600192529384</v>
      </c>
      <c r="Y232" s="2"/>
      <c r="Z232" s="2"/>
      <c r="AA232" s="151">
        <v>146</v>
      </c>
      <c r="AB232" s="137">
        <v>76</v>
      </c>
      <c r="AC232" s="151">
        <v>147</v>
      </c>
      <c r="AD232" s="137" t="e">
        <v>#VALUE!</v>
      </c>
      <c r="AE232" s="151">
        <v>162</v>
      </c>
      <c r="AF232" s="137" t="e">
        <v>#VALUE!</v>
      </c>
      <c r="AG232" s="2"/>
      <c r="AH232" s="2"/>
      <c r="AI232" s="2"/>
    </row>
    <row r="233" spans="1:35" x14ac:dyDescent="0.25">
      <c r="A233" s="20"/>
      <c r="B233" s="33" t="s">
        <v>195</v>
      </c>
      <c r="C233" s="27" t="s">
        <v>117</v>
      </c>
      <c r="D233" s="32"/>
      <c r="E233" s="29"/>
      <c r="F233" s="29"/>
      <c r="G233" s="29"/>
      <c r="H233" s="29"/>
      <c r="I233" s="29"/>
      <c r="J233" s="29"/>
      <c r="K233" s="29"/>
      <c r="L233" s="249">
        <f t="shared" ref="L233:M233" si="217">L90/L232</f>
        <v>0.18668668668668673</v>
      </c>
      <c r="M233" s="249">
        <f t="shared" si="217"/>
        <v>0.14002897151134719</v>
      </c>
      <c r="N233" s="249">
        <f>N90/N232</f>
        <v>0.15758667266996848</v>
      </c>
      <c r="O233" s="249">
        <f t="shared" ref="O233:X233" si="218">O90/O232</f>
        <v>0.19999148266730665</v>
      </c>
      <c r="P233" s="249">
        <f t="shared" si="218"/>
        <v>0.20847507593067488</v>
      </c>
      <c r="Q233" s="249">
        <f t="shared" si="218"/>
        <v>0.21296263929168116</v>
      </c>
      <c r="R233" s="249">
        <f t="shared" si="218"/>
        <v>0.21665264630391393</v>
      </c>
      <c r="S233" s="249">
        <f t="shared" si="218"/>
        <v>0.21820335786680556</v>
      </c>
      <c r="T233" s="249">
        <f t="shared" si="218"/>
        <v>0.21899261874251372</v>
      </c>
      <c r="U233" s="249">
        <f t="shared" si="218"/>
        <v>0.21994849639936248</v>
      </c>
      <c r="V233" s="249">
        <f t="shared" si="218"/>
        <v>0.22103853130808324</v>
      </c>
      <c r="W233" s="249">
        <f t="shared" si="218"/>
        <v>0.22223630366885469</v>
      </c>
      <c r="X233" s="249">
        <f t="shared" si="218"/>
        <v>0.22832912928247617</v>
      </c>
      <c r="Y233" s="2"/>
      <c r="Z233" s="2"/>
      <c r="AA233" s="128">
        <v>-0.14899999999999999</v>
      </c>
      <c r="AB233" s="129">
        <v>0.33200000000000002</v>
      </c>
      <c r="AC233" s="128">
        <v>-5.0999999999999997E-2</v>
      </c>
      <c r="AD233" s="107" t="e">
        <v>#VALUE!</v>
      </c>
      <c r="AE233" s="128">
        <v>1.7999999999999999E-2</v>
      </c>
      <c r="AF233" s="107" t="e">
        <v>#VALUE!</v>
      </c>
      <c r="AG233" s="2"/>
      <c r="AH233" s="2"/>
      <c r="AI233" s="2"/>
    </row>
    <row r="234" spans="1:35" x14ac:dyDescent="0.25">
      <c r="A234" s="20"/>
      <c r="B234" s="33" t="s">
        <v>312</v>
      </c>
      <c r="C234" s="43" t="s">
        <v>271</v>
      </c>
      <c r="D234" s="32"/>
      <c r="E234" s="29"/>
      <c r="F234" s="29"/>
      <c r="G234" s="29"/>
      <c r="H234" s="29"/>
      <c r="I234" s="29"/>
      <c r="J234" s="29"/>
      <c r="K234" s="29"/>
      <c r="L234" s="239">
        <f>Value!$D$4*Annual!L98/L232</f>
        <v>3.178733733733734</v>
      </c>
      <c r="M234" s="239">
        <f>Value!$D$4*Annual!M98/M232</f>
        <v>3.0728150651859005</v>
      </c>
      <c r="N234" s="239">
        <f>Value!$D$4*Annual!N98/N232</f>
        <v>2.8652859072489871</v>
      </c>
      <c r="O234" s="239">
        <f>Value!$D$4*Annual!O98/O232</f>
        <v>2.6043541369482592</v>
      </c>
      <c r="P234" s="239">
        <f>Value!$D$4*Annual!P98/P232</f>
        <v>2.3577296128513479</v>
      </c>
      <c r="Q234" s="239">
        <f>Value!$D$4*Annual!Q98/Q232</f>
        <v>2.1302879027441017</v>
      </c>
      <c r="R234" s="239">
        <f>Value!$D$4*Annual!R98/R232</f>
        <v>1.9217681645754614</v>
      </c>
      <c r="S234" s="239">
        <f>Value!$D$4*Annual!S98/S232</f>
        <v>1.732551549909195</v>
      </c>
      <c r="T234" s="239">
        <f>Value!$D$4*Annual!T98/T232</f>
        <v>1.5615827908734476</v>
      </c>
      <c r="U234" s="239">
        <f>Value!$D$4*Annual!U98/U232</f>
        <v>1.4070341677308389</v>
      </c>
      <c r="V234" s="239">
        <f>Value!$D$4*Annual!V98/V232</f>
        <v>1.2672975287685613</v>
      </c>
      <c r="W234" s="239">
        <f>Value!$D$4*Annual!W98/W232</f>
        <v>1.1409473489887318</v>
      </c>
      <c r="X234" s="239">
        <f>Value!$D$4*Annual!X98/X232</f>
        <v>1.0488062910260953</v>
      </c>
      <c r="Y234" s="2"/>
      <c r="Z234" s="2"/>
      <c r="AA234" s="106">
        <v>5.54</v>
      </c>
      <c r="AB234" s="107" t="e">
        <v>#VALUE!</v>
      </c>
      <c r="AC234" s="106">
        <v>5.79</v>
      </c>
      <c r="AD234" s="107" t="e">
        <v>#VALUE!</v>
      </c>
      <c r="AE234" s="106">
        <v>5.24</v>
      </c>
      <c r="AF234" s="107" t="e">
        <v>#VALUE!</v>
      </c>
      <c r="AG234" s="2"/>
      <c r="AH234" s="2"/>
      <c r="AI234" s="2"/>
    </row>
    <row r="235" spans="1:35" x14ac:dyDescent="0.25">
      <c r="A235" s="307"/>
      <c r="B235" s="308"/>
      <c r="C235" s="27"/>
      <c r="D235" s="32"/>
      <c r="E235" s="2"/>
      <c r="F235" s="2"/>
      <c r="G235" s="2"/>
      <c r="H235" s="2"/>
      <c r="I235" s="2"/>
      <c r="J235" s="2"/>
      <c r="K235" s="2"/>
      <c r="L235" s="2"/>
      <c r="M235" s="2"/>
      <c r="N235" s="2"/>
      <c r="O235" s="2"/>
      <c r="P235" s="2"/>
      <c r="Q235" s="2"/>
      <c r="R235" s="2"/>
      <c r="S235" s="2"/>
      <c r="T235" s="2"/>
      <c r="U235" s="2"/>
      <c r="V235" s="2"/>
      <c r="W235" s="2"/>
      <c r="X235" s="2"/>
      <c r="Y235" s="2"/>
      <c r="Z235" s="2"/>
      <c r="AA235" s="99"/>
      <c r="AB235" s="3"/>
      <c r="AC235" s="99"/>
      <c r="AD235" s="3"/>
      <c r="AE235" s="99"/>
      <c r="AF235" s="3"/>
      <c r="AG235" s="2"/>
      <c r="AH235" s="2"/>
      <c r="AI235" s="2"/>
    </row>
    <row r="236" spans="1:35" x14ac:dyDescent="0.25">
      <c r="A236" s="20"/>
      <c r="B236" s="21" t="s">
        <v>313</v>
      </c>
      <c r="C236" s="147"/>
      <c r="D236" s="148"/>
      <c r="E236" s="154">
        <v>2016</v>
      </c>
      <c r="F236" s="154"/>
      <c r="G236" s="154"/>
      <c r="H236" s="154">
        <v>2019</v>
      </c>
      <c r="I236" s="154">
        <v>2020</v>
      </c>
      <c r="J236" s="154">
        <v>2021</v>
      </c>
      <c r="K236" s="154">
        <v>2022</v>
      </c>
      <c r="L236" s="154">
        <v>2023</v>
      </c>
      <c r="M236" s="154">
        <v>2024</v>
      </c>
      <c r="N236" s="154">
        <v>2025</v>
      </c>
      <c r="O236" s="154">
        <v>2026</v>
      </c>
      <c r="P236" s="154">
        <v>2027</v>
      </c>
      <c r="Q236" s="154">
        <v>2028</v>
      </c>
      <c r="R236" s="154">
        <v>2029</v>
      </c>
      <c r="S236" s="154">
        <v>2030</v>
      </c>
      <c r="T236" s="154">
        <v>2031</v>
      </c>
      <c r="U236" s="154">
        <v>2032</v>
      </c>
      <c r="V236" s="154">
        <v>2033</v>
      </c>
      <c r="W236" s="154">
        <v>2034</v>
      </c>
      <c r="X236" s="154">
        <v>2035</v>
      </c>
      <c r="Y236" s="2"/>
      <c r="Z236" s="2"/>
      <c r="AA236" s="134">
        <v>2025</v>
      </c>
      <c r="AB236" s="135">
        <v>0</v>
      </c>
      <c r="AC236" s="134">
        <v>2026</v>
      </c>
      <c r="AD236" s="135">
        <v>0</v>
      </c>
      <c r="AE236" s="134">
        <v>2027</v>
      </c>
      <c r="AF236" s="135">
        <v>0</v>
      </c>
      <c r="AG236" s="2"/>
      <c r="AH236" s="2"/>
      <c r="AI236" s="2"/>
    </row>
    <row r="237" spans="1:35" x14ac:dyDescent="0.25">
      <c r="A237" s="20"/>
      <c r="B237" s="30" t="s">
        <v>314</v>
      </c>
      <c r="C237" s="55"/>
      <c r="D237" s="32"/>
      <c r="E237" s="2"/>
      <c r="F237" s="2"/>
      <c r="G237" s="2"/>
      <c r="H237" s="2"/>
      <c r="I237" s="2"/>
      <c r="J237" s="2"/>
      <c r="K237" s="2"/>
      <c r="L237" s="2"/>
      <c r="M237" s="2"/>
      <c r="N237" s="2"/>
      <c r="O237" s="2"/>
      <c r="P237" s="2"/>
      <c r="Q237" s="2"/>
      <c r="R237" s="2"/>
      <c r="S237" s="2"/>
      <c r="T237" s="2"/>
      <c r="U237" s="2"/>
      <c r="V237" s="2"/>
      <c r="W237" s="2"/>
      <c r="X237" s="2"/>
      <c r="Y237" s="2"/>
      <c r="Z237" s="2"/>
      <c r="AA237" s="99"/>
      <c r="AB237" s="3"/>
      <c r="AC237" s="99"/>
      <c r="AD237" s="3"/>
      <c r="AE237" s="99"/>
      <c r="AF237" s="3"/>
      <c r="AG237" s="2"/>
      <c r="AH237" s="2"/>
      <c r="AI237" s="2"/>
    </row>
    <row r="238" spans="1:35" x14ac:dyDescent="0.25">
      <c r="A238" s="20"/>
      <c r="B238" s="33" t="s">
        <v>315</v>
      </c>
      <c r="C238" s="55"/>
      <c r="D238" s="32"/>
      <c r="E238" s="34"/>
      <c r="F238" s="34"/>
      <c r="G238" s="34"/>
      <c r="H238" s="34"/>
      <c r="I238" s="34"/>
      <c r="J238" s="34"/>
      <c r="K238" s="34"/>
      <c r="L238" s="34">
        <v>767.7</v>
      </c>
      <c r="M238" s="34">
        <v>820.7</v>
      </c>
      <c r="N238" s="34">
        <v>881.8</v>
      </c>
      <c r="O238" s="2"/>
      <c r="P238" s="2"/>
      <c r="Q238" s="2"/>
      <c r="R238" s="2"/>
      <c r="S238" s="2"/>
      <c r="T238" s="2"/>
      <c r="U238" s="2"/>
      <c r="V238" s="2"/>
      <c r="W238" s="2"/>
      <c r="X238" s="2"/>
      <c r="Y238" s="2"/>
      <c r="Z238" s="2"/>
      <c r="AA238" s="99"/>
      <c r="AB238" s="3"/>
      <c r="AC238" s="99"/>
      <c r="AD238" s="3"/>
      <c r="AE238" s="99"/>
      <c r="AF238" s="3"/>
      <c r="AG238" s="2"/>
      <c r="AH238" s="2"/>
      <c r="AI238" s="2"/>
    </row>
    <row r="239" spans="1:35" x14ac:dyDescent="0.25">
      <c r="A239" s="20"/>
      <c r="B239" s="33" t="s">
        <v>316</v>
      </c>
      <c r="C239" s="55"/>
      <c r="D239" s="32"/>
      <c r="E239" s="34"/>
      <c r="F239" s="34"/>
      <c r="G239" s="34"/>
      <c r="H239" s="34"/>
      <c r="I239" s="34"/>
      <c r="J239" s="34"/>
      <c r="K239" s="34"/>
      <c r="L239" s="34">
        <v>-749.5</v>
      </c>
      <c r="M239" s="34">
        <v>-794.6</v>
      </c>
      <c r="N239" s="34">
        <v>-871.6</v>
      </c>
      <c r="O239" s="2"/>
      <c r="P239" s="2"/>
      <c r="Q239" s="2"/>
      <c r="R239" s="2"/>
      <c r="S239" s="2"/>
      <c r="T239" s="2"/>
      <c r="U239" s="2"/>
      <c r="V239" s="2"/>
      <c r="W239" s="2"/>
      <c r="X239" s="2"/>
      <c r="Y239" s="2"/>
      <c r="Z239" s="2"/>
      <c r="AA239" s="99"/>
      <c r="AB239" s="3"/>
      <c r="AC239" s="99"/>
      <c r="AD239" s="3"/>
      <c r="AE239" s="99"/>
      <c r="AF239" s="3"/>
      <c r="AG239" s="2"/>
      <c r="AH239" s="2"/>
      <c r="AI239" s="2"/>
    </row>
    <row r="240" spans="1:35" x14ac:dyDescent="0.25">
      <c r="A240" s="20"/>
      <c r="B240" s="33" t="s">
        <v>317</v>
      </c>
      <c r="C240" s="55"/>
      <c r="D240" s="32"/>
      <c r="E240" s="34"/>
      <c r="F240" s="34"/>
      <c r="G240" s="34"/>
      <c r="H240" s="34"/>
      <c r="I240" s="34"/>
      <c r="J240" s="34"/>
      <c r="K240" s="34"/>
      <c r="L240" s="34">
        <v>260</v>
      </c>
      <c r="M240" s="34">
        <v>278.5</v>
      </c>
      <c r="N240" s="34">
        <v>324.3</v>
      </c>
      <c r="O240" s="2"/>
      <c r="P240" s="2"/>
      <c r="Q240" s="2"/>
      <c r="R240" s="2"/>
      <c r="S240" s="2"/>
      <c r="T240" s="2"/>
      <c r="U240" s="2"/>
      <c r="V240" s="2"/>
      <c r="W240" s="2"/>
      <c r="X240" s="2"/>
      <c r="Y240" s="2"/>
      <c r="Z240" s="2"/>
      <c r="AA240" s="99"/>
      <c r="AB240" s="3"/>
      <c r="AC240" s="99"/>
      <c r="AD240" s="3"/>
      <c r="AE240" s="99"/>
      <c r="AF240" s="3"/>
      <c r="AG240" s="2"/>
      <c r="AH240" s="2"/>
      <c r="AI240" s="2"/>
    </row>
    <row r="241" spans="1:35" x14ac:dyDescent="0.25">
      <c r="A241" s="20"/>
      <c r="B241" s="33" t="s">
        <v>318</v>
      </c>
      <c r="C241" s="55"/>
      <c r="D241" s="32"/>
      <c r="E241" s="34"/>
      <c r="F241" s="34"/>
      <c r="G241" s="34"/>
      <c r="H241" s="34"/>
      <c r="I241" s="34"/>
      <c r="J241" s="34"/>
      <c r="K241" s="34"/>
      <c r="L241" s="34">
        <v>-213.5</v>
      </c>
      <c r="M241" s="34">
        <v>-250.2</v>
      </c>
      <c r="N241" s="34">
        <v>-286.60000000000002</v>
      </c>
      <c r="O241" s="2"/>
      <c r="P241" s="2"/>
      <c r="Q241" s="2"/>
      <c r="R241" s="2"/>
      <c r="S241" s="2"/>
      <c r="T241" s="2"/>
      <c r="U241" s="2"/>
      <c r="V241" s="2"/>
      <c r="W241" s="2"/>
      <c r="X241" s="2"/>
      <c r="Y241" s="2"/>
      <c r="Z241" s="2"/>
      <c r="AA241" s="99"/>
      <c r="AB241" s="3"/>
      <c r="AC241" s="99"/>
      <c r="AD241" s="3"/>
      <c r="AE241" s="99"/>
      <c r="AF241" s="3"/>
      <c r="AG241" s="2"/>
      <c r="AH241" s="2"/>
      <c r="AI241" s="2"/>
    </row>
    <row r="242" spans="1:35" x14ac:dyDescent="0.25">
      <c r="A242" s="20"/>
      <c r="B242" s="33" t="s">
        <v>319</v>
      </c>
      <c r="C242" s="27" t="s">
        <v>67</v>
      </c>
      <c r="D242" s="32"/>
      <c r="E242" s="29"/>
      <c r="F242" s="29"/>
      <c r="G242" s="29"/>
      <c r="H242" s="29"/>
      <c r="I242" s="29"/>
      <c r="J242" s="29"/>
      <c r="K242" s="29"/>
      <c r="L242" s="29">
        <f t="shared" ref="L242:M242" si="219">L51</f>
        <v>59.4</v>
      </c>
      <c r="M242" s="29">
        <f t="shared" si="219"/>
        <v>47.399999999999991</v>
      </c>
      <c r="N242" s="29">
        <f>N51</f>
        <v>56.2</v>
      </c>
      <c r="O242" s="242">
        <f t="shared" ref="O242:X242" si="220">O51</f>
        <v>80.145939984336394</v>
      </c>
      <c r="P242" s="242">
        <f t="shared" si="220"/>
        <v>93.116026859441007</v>
      </c>
      <c r="Q242" s="242">
        <f t="shared" si="220"/>
        <v>106.21390069569668</v>
      </c>
      <c r="R242" s="242">
        <f t="shared" si="220"/>
        <v>120.64784898278153</v>
      </c>
      <c r="S242" s="242">
        <f t="shared" si="220"/>
        <v>135.78994568949648</v>
      </c>
      <c r="T242" s="242">
        <f t="shared" si="220"/>
        <v>152.14353229261394</v>
      </c>
      <c r="U242" s="242">
        <f t="shared" si="220"/>
        <v>170.47853006411339</v>
      </c>
      <c r="V242" s="242">
        <f t="shared" si="220"/>
        <v>191.04304614098368</v>
      </c>
      <c r="W242" s="242">
        <f t="shared" si="220"/>
        <v>214.11714364125999</v>
      </c>
      <c r="X242" s="242">
        <f t="shared" si="220"/>
        <v>240.01703492987966</v>
      </c>
      <c r="Y242" s="2"/>
      <c r="Z242" s="2"/>
      <c r="AA242" s="106">
        <v>18</v>
      </c>
      <c r="AB242" s="107">
        <v>38.200000000000003</v>
      </c>
      <c r="AC242" s="106">
        <v>46.3</v>
      </c>
      <c r="AD242" s="107">
        <v>34.6</v>
      </c>
      <c r="AE242" s="106">
        <v>61.9</v>
      </c>
      <c r="AF242" s="107">
        <v>35.299999999999997</v>
      </c>
      <c r="AG242" s="2"/>
      <c r="AH242" s="2"/>
      <c r="AI242" s="2"/>
    </row>
    <row r="243" spans="1:35" x14ac:dyDescent="0.25">
      <c r="A243" s="20"/>
      <c r="B243" s="33" t="s">
        <v>293</v>
      </c>
      <c r="C243" s="27" t="s">
        <v>67</v>
      </c>
      <c r="D243" s="28"/>
      <c r="E243" s="29"/>
      <c r="F243" s="29"/>
      <c r="G243" s="29"/>
      <c r="H243" s="29"/>
      <c r="I243" s="29"/>
      <c r="J243" s="29"/>
      <c r="K243" s="239"/>
      <c r="L243" s="239">
        <f t="shared" ref="L243:M243" si="221">-(L207-K207)</f>
        <v>-9.3999999999998636</v>
      </c>
      <c r="M243" s="239">
        <f t="shared" si="221"/>
        <v>7.7999999999999545</v>
      </c>
      <c r="N243" s="239">
        <f>-(N207-M207)</f>
        <v>-3.5000000000002274</v>
      </c>
      <c r="O243" s="242">
        <f t="shared" ref="O243:X243" si="222">-(O207-N207)</f>
        <v>-0.98760097993317686</v>
      </c>
      <c r="P243" s="242">
        <f t="shared" si="222"/>
        <v>-0.78027056171663389</v>
      </c>
      <c r="Q243" s="242">
        <f t="shared" si="222"/>
        <v>-0.73091334907894634</v>
      </c>
      <c r="R243" s="242">
        <f t="shared" si="222"/>
        <v>-0.79613705645897426</v>
      </c>
      <c r="S243" s="242">
        <f t="shared" si="222"/>
        <v>-0.89010953947763483</v>
      </c>
      <c r="T243" s="242">
        <f t="shared" si="222"/>
        <v>-0.94040277715157572</v>
      </c>
      <c r="U243" s="242">
        <f t="shared" si="222"/>
        <v>-1.0405684984502841</v>
      </c>
      <c r="V243" s="242">
        <f t="shared" si="222"/>
        <v>-1.1521127415753654</v>
      </c>
      <c r="W243" s="242">
        <f t="shared" si="222"/>
        <v>-1.2763808427343974</v>
      </c>
      <c r="X243" s="242">
        <f t="shared" si="222"/>
        <v>-1.4148814347850021</v>
      </c>
      <c r="Y243" s="2"/>
      <c r="Z243" s="2"/>
      <c r="AA243" s="106">
        <v>-0.5</v>
      </c>
      <c r="AB243" s="107">
        <v>-3</v>
      </c>
      <c r="AC243" s="106">
        <v>-1.3</v>
      </c>
      <c r="AD243" s="107">
        <v>0.1</v>
      </c>
      <c r="AE243" s="106">
        <v>-1.1000000000000001</v>
      </c>
      <c r="AF243" s="107">
        <v>0.1</v>
      </c>
      <c r="AG243" s="2"/>
      <c r="AH243" s="2"/>
      <c r="AI243" s="2"/>
    </row>
    <row r="244" spans="1:35" x14ac:dyDescent="0.25">
      <c r="A244" s="20"/>
      <c r="B244" s="33" t="s">
        <v>320</v>
      </c>
      <c r="C244" s="27" t="s">
        <v>67</v>
      </c>
      <c r="D244" s="32"/>
      <c r="E244" s="29"/>
      <c r="F244" s="29"/>
      <c r="G244" s="29"/>
      <c r="H244" s="29"/>
      <c r="I244" s="29"/>
      <c r="J244" s="29"/>
      <c r="K244" s="239"/>
      <c r="L244" s="239">
        <f t="shared" ref="L244:M244" si="223">L245-L243-L242</f>
        <v>14.69999999999991</v>
      </c>
      <c r="M244" s="239">
        <f t="shared" si="223"/>
        <v>-0.79999999999991189</v>
      </c>
      <c r="N244" s="239">
        <f>N245-N243-N242</f>
        <v>-4.799999999999855</v>
      </c>
      <c r="O244" s="263">
        <v>0</v>
      </c>
      <c r="P244" s="263">
        <v>0</v>
      </c>
      <c r="Q244" s="263">
        <v>0</v>
      </c>
      <c r="R244" s="263">
        <v>0</v>
      </c>
      <c r="S244" s="263">
        <v>0</v>
      </c>
      <c r="T244" s="263">
        <v>0</v>
      </c>
      <c r="U244" s="263">
        <v>0</v>
      </c>
      <c r="V244" s="263">
        <v>0</v>
      </c>
      <c r="W244" s="263">
        <v>0</v>
      </c>
      <c r="X244" s="263">
        <v>0</v>
      </c>
      <c r="Y244" s="2"/>
      <c r="Z244" s="2"/>
      <c r="AA244" s="106">
        <v>0</v>
      </c>
      <c r="AB244" s="107">
        <v>-4.8</v>
      </c>
      <c r="AC244" s="106">
        <v>0</v>
      </c>
      <c r="AD244" s="107">
        <v>0</v>
      </c>
      <c r="AE244" s="106">
        <v>0</v>
      </c>
      <c r="AF244" s="107">
        <v>0</v>
      </c>
      <c r="AG244" s="2"/>
      <c r="AH244" s="2"/>
      <c r="AI244" s="2"/>
    </row>
    <row r="245" spans="1:35" x14ac:dyDescent="0.25">
      <c r="A245" s="20"/>
      <c r="B245" s="36" t="s">
        <v>321</v>
      </c>
      <c r="C245" s="37" t="s">
        <v>67</v>
      </c>
      <c r="D245" s="38"/>
      <c r="E245" s="50"/>
      <c r="F245" s="50"/>
      <c r="G245" s="50"/>
      <c r="H245" s="50"/>
      <c r="I245" s="50"/>
      <c r="J245" s="50"/>
      <c r="K245" s="39"/>
      <c r="L245" s="39">
        <f t="shared" ref="L245:M245" si="224">SUM(L238:L241)</f>
        <v>64.700000000000045</v>
      </c>
      <c r="M245" s="39">
        <f t="shared" si="224"/>
        <v>54.400000000000034</v>
      </c>
      <c r="N245" s="39">
        <f>SUM(N238:N241)</f>
        <v>47.89999999999992</v>
      </c>
      <c r="O245" s="244">
        <f>SUM(O242:O244)</f>
        <v>79.158339004403217</v>
      </c>
      <c r="P245" s="244">
        <f t="shared" ref="P245:X245" si="225">SUM(P242:P244)</f>
        <v>92.335756297724373</v>
      </c>
      <c r="Q245" s="244">
        <f t="shared" si="225"/>
        <v>105.48298734661773</v>
      </c>
      <c r="R245" s="244">
        <f t="shared" si="225"/>
        <v>119.85171192632255</v>
      </c>
      <c r="S245" s="244">
        <f t="shared" si="225"/>
        <v>134.89983615001884</v>
      </c>
      <c r="T245" s="244">
        <f t="shared" si="225"/>
        <v>151.20312951546236</v>
      </c>
      <c r="U245" s="244">
        <f t="shared" si="225"/>
        <v>169.4379615656631</v>
      </c>
      <c r="V245" s="244">
        <f t="shared" si="225"/>
        <v>189.89093339940831</v>
      </c>
      <c r="W245" s="244">
        <f t="shared" si="225"/>
        <v>212.84076279852559</v>
      </c>
      <c r="X245" s="244">
        <f t="shared" si="225"/>
        <v>238.60215349509465</v>
      </c>
      <c r="Y245" s="2"/>
      <c r="Z245" s="2"/>
      <c r="AA245" s="151">
        <v>17.5</v>
      </c>
      <c r="AB245" s="137">
        <v>30.4</v>
      </c>
      <c r="AC245" s="151">
        <v>45</v>
      </c>
      <c r="AD245" s="137">
        <v>34.700000000000003</v>
      </c>
      <c r="AE245" s="151">
        <v>60.8</v>
      </c>
      <c r="AF245" s="137">
        <v>35.4</v>
      </c>
      <c r="AG245" s="2"/>
      <c r="AH245" s="2"/>
      <c r="AI245" s="2"/>
    </row>
    <row r="246" spans="1:35" x14ac:dyDescent="0.25">
      <c r="A246" s="20"/>
      <c r="B246" s="33" t="s">
        <v>322</v>
      </c>
      <c r="C246" s="27" t="s">
        <v>67</v>
      </c>
      <c r="D246" s="32"/>
      <c r="E246" s="34"/>
      <c r="F246" s="34"/>
      <c r="G246" s="34"/>
      <c r="H246" s="34"/>
      <c r="I246" s="34"/>
      <c r="J246" s="34"/>
      <c r="K246" s="34"/>
      <c r="L246" s="34"/>
      <c r="M246" s="34"/>
      <c r="N246" s="34"/>
      <c r="O246" s="242">
        <f>O76*O252</f>
        <v>0</v>
      </c>
      <c r="P246" s="242">
        <f t="shared" ref="P246:X246" si="226">P76*P252</f>
        <v>0</v>
      </c>
      <c r="Q246" s="242">
        <f t="shared" si="226"/>
        <v>0</v>
      </c>
      <c r="R246" s="242">
        <f t="shared" si="226"/>
        <v>0</v>
      </c>
      <c r="S246" s="242">
        <f t="shared" si="226"/>
        <v>0</v>
      </c>
      <c r="T246" s="242">
        <f t="shared" si="226"/>
        <v>0</v>
      </c>
      <c r="U246" s="242">
        <f t="shared" si="226"/>
        <v>0</v>
      </c>
      <c r="V246" s="242">
        <f t="shared" si="226"/>
        <v>0</v>
      </c>
      <c r="W246" s="242">
        <f t="shared" si="226"/>
        <v>0</v>
      </c>
      <c r="X246" s="242">
        <f t="shared" si="226"/>
        <v>0</v>
      </c>
      <c r="Y246" s="2"/>
      <c r="Z246" s="2"/>
      <c r="AA246" s="106">
        <v>-4.9000000000000004</v>
      </c>
      <c r="AB246" s="107">
        <v>4.9000000000000004</v>
      </c>
      <c r="AC246" s="106">
        <v>-9.9</v>
      </c>
      <c r="AD246" s="107">
        <v>9.9</v>
      </c>
      <c r="AE246" s="106">
        <v>-10</v>
      </c>
      <c r="AF246" s="107" t="e">
        <v>#VALUE!</v>
      </c>
      <c r="AG246" s="2"/>
      <c r="AH246" s="2"/>
      <c r="AI246" s="2"/>
    </row>
    <row r="247" spans="1:35" x14ac:dyDescent="0.25">
      <c r="A247" s="20"/>
      <c r="B247" s="33" t="s">
        <v>323</v>
      </c>
      <c r="C247" s="27" t="s">
        <v>67</v>
      </c>
      <c r="D247" s="32"/>
      <c r="E247" s="34"/>
      <c r="F247" s="34"/>
      <c r="G247" s="34"/>
      <c r="H247" s="34"/>
      <c r="I247" s="34"/>
      <c r="J247" s="34"/>
      <c r="K247" s="34"/>
      <c r="L247" s="34">
        <v>-12.6</v>
      </c>
      <c r="M247" s="34">
        <v>-15.6</v>
      </c>
      <c r="N247" s="34">
        <v>-12</v>
      </c>
      <c r="O247" s="242">
        <f>O253*O84</f>
        <v>-20.943593423175251</v>
      </c>
      <c r="P247" s="242">
        <f>P253*P84</f>
        <v>-24.115700381105974</v>
      </c>
      <c r="Q247" s="242">
        <f t="shared" ref="Q247:X247" si="227">Q253*Q84</f>
        <v>-27.264959462159045</v>
      </c>
      <c r="R247" s="242">
        <f t="shared" si="227"/>
        <v>-30.746999470074492</v>
      </c>
      <c r="S247" s="242">
        <f t="shared" si="227"/>
        <v>-34.349071432466722</v>
      </c>
      <c r="T247" s="242">
        <f t="shared" si="227"/>
        <v>-38.247600958789448</v>
      </c>
      <c r="U247" s="242">
        <f t="shared" si="227"/>
        <v>-42.634000961152687</v>
      </c>
      <c r="V247" s="242">
        <f t="shared" si="227"/>
        <v>-47.569560093929844</v>
      </c>
      <c r="W247" s="242">
        <f t="shared" si="227"/>
        <v>-53.123800668480094</v>
      </c>
      <c r="X247" s="242">
        <f t="shared" si="227"/>
        <v>-59.37529409906211</v>
      </c>
      <c r="Y247" s="2"/>
      <c r="Z247" s="2"/>
      <c r="AA247" s="106">
        <v>0</v>
      </c>
      <c r="AB247" s="107">
        <v>-12</v>
      </c>
      <c r="AC247" s="106">
        <v>0</v>
      </c>
      <c r="AD247" s="107">
        <v>-20.6</v>
      </c>
      <c r="AE247" s="106">
        <v>0</v>
      </c>
      <c r="AF247" s="107" t="e">
        <v>#VALUE!</v>
      </c>
      <c r="AG247" s="2"/>
      <c r="AH247" s="2"/>
      <c r="AI247" s="2"/>
    </row>
    <row r="248" spans="1:35" x14ac:dyDescent="0.25">
      <c r="A248" s="20"/>
      <c r="B248" s="33" t="s">
        <v>72</v>
      </c>
      <c r="C248" s="27" t="s">
        <v>67</v>
      </c>
      <c r="D248" s="32"/>
      <c r="E248" s="35"/>
      <c r="F248" s="35"/>
      <c r="G248" s="35"/>
      <c r="H248" s="35"/>
      <c r="I248" s="35"/>
      <c r="J248" s="35"/>
      <c r="K248" s="34"/>
      <c r="L248" s="34"/>
      <c r="M248" s="34"/>
      <c r="N248" s="34"/>
      <c r="O248" s="263">
        <v>0</v>
      </c>
      <c r="P248" s="263">
        <v>0</v>
      </c>
      <c r="Q248" s="263">
        <v>0</v>
      </c>
      <c r="R248" s="263">
        <v>0</v>
      </c>
      <c r="S248" s="263">
        <v>0</v>
      </c>
      <c r="T248" s="263">
        <v>0</v>
      </c>
      <c r="U248" s="263">
        <v>0</v>
      </c>
      <c r="V248" s="263">
        <v>0</v>
      </c>
      <c r="W248" s="263">
        <v>0</v>
      </c>
      <c r="X248" s="263">
        <v>0</v>
      </c>
      <c r="Y248" s="2"/>
      <c r="Z248" s="2"/>
      <c r="AA248" s="106">
        <v>0</v>
      </c>
      <c r="AB248" s="107">
        <v>0</v>
      </c>
      <c r="AC248" s="106">
        <v>0</v>
      </c>
      <c r="AD248" s="107">
        <v>0</v>
      </c>
      <c r="AE248" s="106">
        <v>0</v>
      </c>
      <c r="AF248" s="107">
        <v>0</v>
      </c>
      <c r="AG248" s="2"/>
      <c r="AH248" s="2"/>
      <c r="AI248" s="2"/>
    </row>
    <row r="249" spans="1:35" x14ac:dyDescent="0.25">
      <c r="A249" s="20"/>
      <c r="B249" s="36" t="s">
        <v>324</v>
      </c>
      <c r="C249" s="37" t="s">
        <v>67</v>
      </c>
      <c r="D249" s="38"/>
      <c r="E249" s="51"/>
      <c r="F249" s="51"/>
      <c r="G249" s="51"/>
      <c r="H249" s="51"/>
      <c r="I249" s="50"/>
      <c r="J249" s="50"/>
      <c r="K249" s="50"/>
      <c r="L249" s="50">
        <f t="shared" ref="L249:M249" si="228">SUM(L245:L248)</f>
        <v>52.100000000000044</v>
      </c>
      <c r="M249" s="50">
        <f t="shared" si="228"/>
        <v>38.800000000000033</v>
      </c>
      <c r="N249" s="50">
        <f>SUM(N245:N248)</f>
        <v>35.89999999999992</v>
      </c>
      <c r="O249" s="244">
        <f t="shared" ref="O249:X249" si="229">SUM(O245:O248)</f>
        <v>58.214745581227966</v>
      </c>
      <c r="P249" s="244">
        <f t="shared" si="229"/>
        <v>68.220055916618406</v>
      </c>
      <c r="Q249" s="244">
        <f t="shared" si="229"/>
        <v>78.218027884458692</v>
      </c>
      <c r="R249" s="244">
        <f t="shared" si="229"/>
        <v>89.104712456248052</v>
      </c>
      <c r="S249" s="244">
        <f t="shared" si="229"/>
        <v>100.55076471755211</v>
      </c>
      <c r="T249" s="244">
        <f t="shared" si="229"/>
        <v>112.95552855667292</v>
      </c>
      <c r="U249" s="244">
        <f t="shared" si="229"/>
        <v>126.80396060451042</v>
      </c>
      <c r="V249" s="244">
        <f t="shared" si="229"/>
        <v>142.32137330547846</v>
      </c>
      <c r="W249" s="244">
        <f t="shared" si="229"/>
        <v>159.71696213004549</v>
      </c>
      <c r="X249" s="244">
        <f t="shared" si="229"/>
        <v>179.22685939603255</v>
      </c>
      <c r="Y249" s="2"/>
      <c r="Z249" s="2"/>
      <c r="AA249" s="151">
        <v>12.7</v>
      </c>
      <c r="AB249" s="137">
        <v>23.2</v>
      </c>
      <c r="AC249" s="151">
        <v>35.1</v>
      </c>
      <c r="AD249" s="137">
        <v>24</v>
      </c>
      <c r="AE249" s="151">
        <v>50.8</v>
      </c>
      <c r="AF249" s="137" t="e">
        <v>#VALUE!</v>
      </c>
      <c r="AG249" s="2"/>
      <c r="AH249" s="2"/>
      <c r="AI249" s="2"/>
    </row>
    <row r="250" spans="1:35" x14ac:dyDescent="0.25">
      <c r="A250" s="20"/>
      <c r="B250" s="33" t="s">
        <v>325</v>
      </c>
      <c r="C250" s="27" t="s">
        <v>77</v>
      </c>
      <c r="D250" s="28"/>
      <c r="E250" s="107"/>
      <c r="F250" s="107"/>
      <c r="G250" s="107"/>
      <c r="H250" s="107"/>
      <c r="I250" s="29"/>
      <c r="J250" s="29"/>
      <c r="K250" s="226"/>
      <c r="L250" s="226" t="e">
        <f t="shared" ref="L250:M250" si="230">L249/K249-1</f>
        <v>#DIV/0!</v>
      </c>
      <c r="M250" s="226">
        <f t="shared" si="230"/>
        <v>-0.25527831094049902</v>
      </c>
      <c r="N250" s="226">
        <f>N249/M249-1</f>
        <v>-7.4742268041239956E-2</v>
      </c>
      <c r="O250" s="226">
        <f t="shared" ref="O250:X250" si="231">O249/N249-1</f>
        <v>0.62158065685872121</v>
      </c>
      <c r="P250" s="226">
        <f t="shared" si="231"/>
        <v>0.17186900390090809</v>
      </c>
      <c r="Q250" s="226">
        <f t="shared" si="231"/>
        <v>0.14655473135437247</v>
      </c>
      <c r="R250" s="226">
        <f t="shared" si="231"/>
        <v>0.13918382841192112</v>
      </c>
      <c r="S250" s="226">
        <f t="shared" si="231"/>
        <v>0.12845619435587396</v>
      </c>
      <c r="T250" s="226">
        <f t="shared" si="231"/>
        <v>0.12336817003794942</v>
      </c>
      <c r="U250" s="226">
        <f t="shared" si="231"/>
        <v>0.1226007458403362</v>
      </c>
      <c r="V250" s="226">
        <f t="shared" si="231"/>
        <v>0.12237324943946648</v>
      </c>
      <c r="W250" s="226">
        <f t="shared" si="231"/>
        <v>0.12222752226560618</v>
      </c>
      <c r="X250" s="226">
        <f t="shared" si="231"/>
        <v>0.12215294484565531</v>
      </c>
      <c r="Y250" s="2"/>
      <c r="Z250" s="2"/>
      <c r="AA250" s="128">
        <v>0.87</v>
      </c>
      <c r="AB250" s="129">
        <v>-0.94599999999999995</v>
      </c>
      <c r="AC250" s="128">
        <v>1.77</v>
      </c>
      <c r="AD250" s="129">
        <v>-1.1240000000000001</v>
      </c>
      <c r="AE250" s="128">
        <v>0.44800000000000001</v>
      </c>
      <c r="AF250" s="107" t="e">
        <v>#VALUE!</v>
      </c>
      <c r="AG250" s="2"/>
      <c r="AH250" s="2"/>
      <c r="AI250" s="2"/>
    </row>
    <row r="251" spans="1:35" x14ac:dyDescent="0.25">
      <c r="A251" s="20"/>
      <c r="B251" s="46" t="s">
        <v>326</v>
      </c>
      <c r="C251" s="43" t="s">
        <v>117</v>
      </c>
      <c r="D251" s="32"/>
      <c r="E251" s="47"/>
      <c r="F251" s="47"/>
      <c r="G251" s="47"/>
      <c r="H251" s="47"/>
      <c r="I251" s="47"/>
      <c r="J251" s="47"/>
      <c r="K251" s="156"/>
      <c r="L251" s="156">
        <f t="shared" ref="L251:M251" si="232">L245/L242</f>
        <v>1.08922558922559</v>
      </c>
      <c r="M251" s="156">
        <f t="shared" si="232"/>
        <v>1.1476793248945156</v>
      </c>
      <c r="N251" s="156">
        <f>N245/N242</f>
        <v>0.85231316725978501</v>
      </c>
      <c r="O251" s="156">
        <f t="shared" ref="O251:X251" si="233">O245/O242</f>
        <v>0.9876774671290125</v>
      </c>
      <c r="P251" s="156">
        <f t="shared" si="233"/>
        <v>0.99162044829410023</v>
      </c>
      <c r="Q251" s="156">
        <f t="shared" si="233"/>
        <v>0.99311847748466542</v>
      </c>
      <c r="R251" s="156">
        <f t="shared" si="233"/>
        <v>0.99340115001492824</v>
      </c>
      <c r="S251" s="156">
        <f t="shared" si="233"/>
        <v>0.99344495253342979</v>
      </c>
      <c r="T251" s="156">
        <f t="shared" si="233"/>
        <v>0.99381897631150751</v>
      </c>
      <c r="U251" s="156">
        <f t="shared" si="233"/>
        <v>0.99389619034104204</v>
      </c>
      <c r="V251" s="156">
        <f t="shared" si="233"/>
        <v>0.99396935525868269</v>
      </c>
      <c r="W251" s="156">
        <f t="shared" si="233"/>
        <v>0.99403886666416164</v>
      </c>
      <c r="X251" s="156">
        <f t="shared" si="233"/>
        <v>0.9941050791032463</v>
      </c>
      <c r="Y251" s="2"/>
      <c r="Z251" s="2"/>
      <c r="AA251" s="156">
        <v>0.97</v>
      </c>
      <c r="AB251" s="156">
        <v>-0.12</v>
      </c>
      <c r="AC251" s="156">
        <v>0.97</v>
      </c>
      <c r="AD251" s="156">
        <v>0.01</v>
      </c>
      <c r="AE251" s="156">
        <v>0.98</v>
      </c>
      <c r="AF251" s="156">
        <v>0.01</v>
      </c>
      <c r="AG251" s="2"/>
      <c r="AH251" s="2"/>
      <c r="AI251" s="2"/>
    </row>
    <row r="252" spans="1:35" x14ac:dyDescent="0.25">
      <c r="A252" s="20"/>
      <c r="B252" s="33" t="s">
        <v>327</v>
      </c>
      <c r="C252" s="27" t="s">
        <v>117</v>
      </c>
      <c r="D252" s="32"/>
      <c r="E252" s="29"/>
      <c r="F252" s="29"/>
      <c r="G252" s="29"/>
      <c r="H252" s="29"/>
      <c r="I252" s="29"/>
      <c r="J252" s="29"/>
      <c r="K252" s="41"/>
      <c r="L252" s="41">
        <f t="shared" ref="L252:M252" si="234">L246/L76</f>
        <v>0</v>
      </c>
      <c r="M252" s="41">
        <f t="shared" si="234"/>
        <v>0</v>
      </c>
      <c r="N252" s="41">
        <f>N246/N76</f>
        <v>0</v>
      </c>
      <c r="O252" s="141">
        <v>0</v>
      </c>
      <c r="P252" s="141">
        <v>0</v>
      </c>
      <c r="Q252" s="141">
        <v>0</v>
      </c>
      <c r="R252" s="141">
        <v>0</v>
      </c>
      <c r="S252" s="141">
        <v>0</v>
      </c>
      <c r="T252" s="141">
        <v>0</v>
      </c>
      <c r="U252" s="141">
        <v>0</v>
      </c>
      <c r="V252" s="141">
        <v>0</v>
      </c>
      <c r="W252" s="141">
        <v>0</v>
      </c>
      <c r="X252" s="141">
        <v>0</v>
      </c>
      <c r="Y252" s="2"/>
      <c r="Z252" s="2"/>
      <c r="AA252" s="113">
        <v>0.5</v>
      </c>
      <c r="AB252" s="114">
        <v>-0.5</v>
      </c>
      <c r="AC252" s="113">
        <v>1</v>
      </c>
      <c r="AD252" s="114">
        <v>-1</v>
      </c>
      <c r="AE252" s="113">
        <v>1</v>
      </c>
      <c r="AF252" s="114">
        <v>-1</v>
      </c>
      <c r="AG252" s="2"/>
      <c r="AH252" s="2"/>
      <c r="AI252" s="2"/>
    </row>
    <row r="253" spans="1:35" x14ac:dyDescent="0.25">
      <c r="A253" s="20"/>
      <c r="B253" s="33" t="s">
        <v>328</v>
      </c>
      <c r="C253" s="27" t="s">
        <v>117</v>
      </c>
      <c r="D253" s="32"/>
      <c r="E253" s="29"/>
      <c r="F253" s="29"/>
      <c r="G253" s="29"/>
      <c r="H253" s="29"/>
      <c r="I253" s="29"/>
      <c r="J253" s="29"/>
      <c r="K253" s="41"/>
      <c r="L253" s="41">
        <f t="shared" ref="L253:M253" si="235">L247/L84</f>
        <v>0.77300613496932524</v>
      </c>
      <c r="M253" s="41">
        <f t="shared" si="235"/>
        <v>1.1641791044776126</v>
      </c>
      <c r="N253" s="41">
        <f>N247/N84</f>
        <v>0.90909090909090895</v>
      </c>
      <c r="O253" s="141">
        <v>1</v>
      </c>
      <c r="P253" s="141">
        <v>1</v>
      </c>
      <c r="Q253" s="141">
        <v>1</v>
      </c>
      <c r="R253" s="141">
        <v>1</v>
      </c>
      <c r="S253" s="141">
        <v>1</v>
      </c>
      <c r="T253" s="141">
        <v>1</v>
      </c>
      <c r="U253" s="141">
        <v>1</v>
      </c>
      <c r="V253" s="141">
        <v>1</v>
      </c>
      <c r="W253" s="141">
        <v>1</v>
      </c>
      <c r="X253" s="141">
        <v>1</v>
      </c>
      <c r="Y253" s="2"/>
      <c r="Z253" s="2"/>
      <c r="AA253" s="113">
        <v>0</v>
      </c>
      <c r="AB253" s="114">
        <v>0.91</v>
      </c>
      <c r="AC253" s="113">
        <v>0</v>
      </c>
      <c r="AD253" s="114">
        <v>1</v>
      </c>
      <c r="AE253" s="113">
        <v>0</v>
      </c>
      <c r="AF253" s="114">
        <v>1</v>
      </c>
      <c r="AG253" s="2"/>
      <c r="AH253" s="2"/>
      <c r="AI253" s="2"/>
    </row>
    <row r="254" spans="1:35" x14ac:dyDescent="0.25">
      <c r="A254" s="307"/>
      <c r="B254" s="308"/>
      <c r="C254" s="55"/>
      <c r="D254" s="32"/>
      <c r="E254" s="2"/>
      <c r="F254" s="2"/>
      <c r="G254" s="2"/>
      <c r="H254" s="2"/>
      <c r="I254" s="2"/>
      <c r="J254" s="2"/>
      <c r="K254" s="2"/>
      <c r="L254" s="2"/>
      <c r="M254" s="2"/>
      <c r="N254" s="2"/>
      <c r="O254" s="2"/>
      <c r="P254" s="2"/>
      <c r="Q254" s="2"/>
      <c r="R254" s="2"/>
      <c r="S254" s="2"/>
      <c r="T254" s="2"/>
      <c r="U254" s="2"/>
      <c r="V254" s="2"/>
      <c r="W254" s="2"/>
      <c r="X254" s="2"/>
      <c r="Y254" s="2"/>
      <c r="Z254" s="2"/>
      <c r="AA254" s="99"/>
      <c r="AB254" s="3"/>
      <c r="AC254" s="99"/>
      <c r="AD254" s="3"/>
      <c r="AE254" s="99"/>
      <c r="AF254" s="3"/>
      <c r="AG254" s="2"/>
      <c r="AH254" s="2"/>
      <c r="AI254" s="2"/>
    </row>
    <row r="255" spans="1:35" x14ac:dyDescent="0.25">
      <c r="A255" s="20"/>
      <c r="B255" s="30" t="s">
        <v>329</v>
      </c>
      <c r="C255" s="55"/>
      <c r="D255" s="32"/>
      <c r="E255" s="2"/>
      <c r="F255" s="2"/>
      <c r="G255" s="2"/>
      <c r="H255" s="2"/>
      <c r="I255" s="2"/>
      <c r="J255" s="2"/>
      <c r="K255" s="2"/>
      <c r="L255" s="2"/>
      <c r="M255" s="2"/>
      <c r="N255" s="2"/>
      <c r="O255" s="2"/>
      <c r="P255" s="2"/>
      <c r="Q255" s="2"/>
      <c r="R255" s="2"/>
      <c r="S255" s="2"/>
      <c r="T255" s="2"/>
      <c r="U255" s="2"/>
      <c r="V255" s="2"/>
      <c r="W255" s="2"/>
      <c r="X255" s="2"/>
      <c r="Y255" s="2"/>
      <c r="Z255" s="2"/>
      <c r="AA255" s="99"/>
      <c r="AB255" s="3"/>
      <c r="AC255" s="99"/>
      <c r="AD255" s="3"/>
      <c r="AE255" s="99"/>
      <c r="AF255" s="3"/>
      <c r="AG255" s="2"/>
      <c r="AH255" s="2"/>
      <c r="AI255" s="2"/>
    </row>
    <row r="256" spans="1:35" x14ac:dyDescent="0.25">
      <c r="A256" s="20"/>
      <c r="B256" s="33" t="s">
        <v>330</v>
      </c>
      <c r="C256" s="27" t="s">
        <v>67</v>
      </c>
      <c r="D256" s="32"/>
      <c r="E256" s="34"/>
      <c r="F256" s="34"/>
      <c r="G256" s="34"/>
      <c r="H256" s="34"/>
      <c r="I256" s="34"/>
      <c r="J256" s="34"/>
      <c r="K256" s="34"/>
      <c r="L256" s="34">
        <v>-0.3</v>
      </c>
      <c r="M256" s="34">
        <v>-0.4</v>
      </c>
      <c r="N256" s="34">
        <v>-1.1000000000000001</v>
      </c>
      <c r="O256" s="242">
        <f>-O$10*O263</f>
        <v>-1.4747511785700995</v>
      </c>
      <c r="P256" s="242">
        <f t="shared" ref="P256:X256" si="236">-P$10*P263</f>
        <v>-1.6637755470015825</v>
      </c>
      <c r="Q256" s="242">
        <f t="shared" si="236"/>
        <v>-1.8408428887245778</v>
      </c>
      <c r="R256" s="242">
        <f t="shared" si="236"/>
        <v>-2.0337109932844308</v>
      </c>
      <c r="S256" s="242">
        <f t="shared" si="236"/>
        <v>-2.2493443925049741</v>
      </c>
      <c r="T256" s="242">
        <f t="shared" si="236"/>
        <v>-2.4771615750874552</v>
      </c>
      <c r="U256" s="242">
        <f t="shared" si="236"/>
        <v>-2.7292443946629841</v>
      </c>
      <c r="V256" s="242">
        <f t="shared" si="236"/>
        <v>-3.008349353921032</v>
      </c>
      <c r="W256" s="242">
        <f t="shared" si="236"/>
        <v>-3.3175588698423124</v>
      </c>
      <c r="X256" s="242">
        <f t="shared" si="236"/>
        <v>-3.6603208331123072</v>
      </c>
      <c r="Y256" s="2"/>
      <c r="Z256" s="2"/>
      <c r="AA256" s="106">
        <v>-5.7</v>
      </c>
      <c r="AB256" s="107">
        <v>4.5999999999999996</v>
      </c>
      <c r="AC256" s="106">
        <v>-6.2</v>
      </c>
      <c r="AD256" s="107">
        <v>4.5999999999999996</v>
      </c>
      <c r="AE256" s="106">
        <v>-5.6</v>
      </c>
      <c r="AF256" s="107">
        <v>3.8</v>
      </c>
      <c r="AG256" s="2"/>
      <c r="AH256" s="2"/>
      <c r="AI256" s="2"/>
    </row>
    <row r="257" spans="1:35" x14ac:dyDescent="0.25">
      <c r="A257" s="20"/>
      <c r="B257" s="33" t="s">
        <v>331</v>
      </c>
      <c r="C257" s="27" t="s">
        <v>67</v>
      </c>
      <c r="D257" s="32"/>
      <c r="E257" s="34"/>
      <c r="F257" s="34"/>
      <c r="G257" s="34"/>
      <c r="H257" s="34"/>
      <c r="I257" s="34"/>
      <c r="J257" s="34"/>
      <c r="K257" s="34"/>
      <c r="L257" s="34">
        <v>-6.7</v>
      </c>
      <c r="M257" s="34">
        <v>-17.399999999999999</v>
      </c>
      <c r="N257" s="34">
        <v>-4.7</v>
      </c>
      <c r="O257" s="242">
        <f>-O$10*O264</f>
        <v>-13.272760607130895</v>
      </c>
      <c r="P257" s="242">
        <f t="shared" ref="P257:X257" si="237">-P$10*P264</f>
        <v>-14.973979923014241</v>
      </c>
      <c r="Q257" s="242">
        <f t="shared" si="237"/>
        <v>-16.567585998521199</v>
      </c>
      <c r="R257" s="242">
        <f t="shared" si="237"/>
        <v>-18.303398939559877</v>
      </c>
      <c r="S257" s="242">
        <f t="shared" si="237"/>
        <v>-20.244099532544766</v>
      </c>
      <c r="T257" s="242">
        <f t="shared" si="237"/>
        <v>-22.294454175787095</v>
      </c>
      <c r="U257" s="242">
        <f t="shared" si="237"/>
        <v>-24.563199551966857</v>
      </c>
      <c r="V257" s="242">
        <f t="shared" si="237"/>
        <v>-27.075144185289282</v>
      </c>
      <c r="W257" s="242">
        <f t="shared" si="237"/>
        <v>-29.858029828580811</v>
      </c>
      <c r="X257" s="242">
        <f t="shared" si="237"/>
        <v>-32.942887498010762</v>
      </c>
      <c r="Y257" s="2"/>
      <c r="Z257" s="2"/>
      <c r="AA257" s="106">
        <v>-20.2</v>
      </c>
      <c r="AB257" s="107">
        <v>15.5</v>
      </c>
      <c r="AC257" s="106">
        <v>-24.3</v>
      </c>
      <c r="AD257" s="107">
        <v>10.6</v>
      </c>
      <c r="AE257" s="106">
        <v>-25.8</v>
      </c>
      <c r="AF257" s="107">
        <v>10</v>
      </c>
      <c r="AG257" s="2"/>
      <c r="AH257" s="2"/>
      <c r="AI257" s="2"/>
    </row>
    <row r="258" spans="1:35" x14ac:dyDescent="0.25">
      <c r="A258" s="20" t="s">
        <v>332</v>
      </c>
      <c r="B258" s="33" t="s">
        <v>333</v>
      </c>
      <c r="C258" s="27" t="s">
        <v>67</v>
      </c>
      <c r="D258" s="32"/>
      <c r="E258" s="34"/>
      <c r="F258" s="34"/>
      <c r="G258" s="34"/>
      <c r="H258" s="34"/>
      <c r="I258" s="34"/>
      <c r="J258" s="34"/>
      <c r="K258" s="34"/>
      <c r="L258" s="34">
        <v>-0.9</v>
      </c>
      <c r="M258" s="34"/>
      <c r="N258" s="34"/>
      <c r="O258" s="264">
        <f>-O277</f>
        <v>-11.87875</v>
      </c>
      <c r="P258" s="264">
        <f t="shared" ref="P258:X258" si="238">-P277</f>
        <v>-26.133250000000004</v>
      </c>
      <c r="Q258" s="264">
        <f t="shared" si="238"/>
        <v>-29.640332150000006</v>
      </c>
      <c r="R258" s="264">
        <f t="shared" si="238"/>
        <v>-33.618064724530008</v>
      </c>
      <c r="S258" s="264">
        <f t="shared" si="238"/>
        <v>-38.129609010561936</v>
      </c>
      <c r="T258" s="264">
        <f t="shared" si="238"/>
        <v>-43.246602539779346</v>
      </c>
      <c r="U258" s="264">
        <f t="shared" si="238"/>
        <v>-49.050296600617742</v>
      </c>
      <c r="V258" s="264">
        <f t="shared" si="238"/>
        <v>-55.632846404420661</v>
      </c>
      <c r="W258" s="264">
        <f t="shared" si="238"/>
        <v>-63.098774391893919</v>
      </c>
      <c r="X258" s="264">
        <f t="shared" si="238"/>
        <v>-71.5666299152861</v>
      </c>
      <c r="Y258" s="2"/>
      <c r="Z258" s="2"/>
      <c r="AA258" s="108">
        <v>-5</v>
      </c>
      <c r="AB258" s="109">
        <v>5</v>
      </c>
      <c r="AC258" s="108">
        <v>0</v>
      </c>
      <c r="AD258" s="109">
        <v>0</v>
      </c>
      <c r="AE258" s="108">
        <v>0</v>
      </c>
      <c r="AF258" s="109">
        <v>0</v>
      </c>
      <c r="AG258" s="2"/>
      <c r="AH258" s="2"/>
      <c r="AI258" s="2"/>
    </row>
    <row r="259" spans="1:35" x14ac:dyDescent="0.25">
      <c r="A259" s="20"/>
      <c r="B259" s="33" t="s">
        <v>334</v>
      </c>
      <c r="C259" s="27"/>
      <c r="D259" s="32"/>
      <c r="E259" s="34"/>
      <c r="F259" s="34"/>
      <c r="G259" s="34"/>
      <c r="H259" s="34"/>
      <c r="I259" s="34"/>
      <c r="J259" s="34"/>
      <c r="K259" s="34"/>
      <c r="L259" s="34"/>
      <c r="M259" s="34">
        <v>-10.199999999999999</v>
      </c>
      <c r="N259" s="34">
        <v>-17.600000000000001</v>
      </c>
      <c r="O259" s="264">
        <v>0</v>
      </c>
      <c r="P259" s="264">
        <v>0</v>
      </c>
      <c r="Q259" s="264">
        <v>0</v>
      </c>
      <c r="R259" s="264">
        <v>0</v>
      </c>
      <c r="S259" s="264">
        <v>0</v>
      </c>
      <c r="T259" s="264">
        <v>0</v>
      </c>
      <c r="U259" s="264">
        <v>0</v>
      </c>
      <c r="V259" s="264">
        <v>0</v>
      </c>
      <c r="W259" s="264">
        <v>0</v>
      </c>
      <c r="X259" s="264">
        <v>0</v>
      </c>
      <c r="Y259" s="2"/>
      <c r="Z259" s="2"/>
      <c r="AA259" s="108">
        <v>0</v>
      </c>
      <c r="AB259" s="109">
        <v>-17.600000000000001</v>
      </c>
      <c r="AC259" s="108">
        <v>0</v>
      </c>
      <c r="AD259" s="109">
        <v>0</v>
      </c>
      <c r="AE259" s="108">
        <v>0</v>
      </c>
      <c r="AF259" s="109">
        <v>0</v>
      </c>
      <c r="AG259" s="2"/>
      <c r="AH259" s="2"/>
      <c r="AI259" s="2"/>
    </row>
    <row r="260" spans="1:35" x14ac:dyDescent="0.25">
      <c r="A260" s="20"/>
      <c r="B260" s="33" t="s">
        <v>335</v>
      </c>
      <c r="C260" s="27" t="s">
        <v>67</v>
      </c>
      <c r="D260" s="32"/>
      <c r="E260" s="34"/>
      <c r="F260" s="34"/>
      <c r="G260" s="34"/>
      <c r="H260" s="34"/>
      <c r="I260" s="34"/>
      <c r="J260" s="34"/>
      <c r="K260" s="34"/>
      <c r="L260" s="34"/>
      <c r="M260" s="34"/>
      <c r="N260" s="34"/>
      <c r="O260" s="264">
        <v>0</v>
      </c>
      <c r="P260" s="264">
        <v>0</v>
      </c>
      <c r="Q260" s="264">
        <v>0</v>
      </c>
      <c r="R260" s="264">
        <v>0</v>
      </c>
      <c r="S260" s="264">
        <v>0</v>
      </c>
      <c r="T260" s="264">
        <v>0</v>
      </c>
      <c r="U260" s="264">
        <v>0</v>
      </c>
      <c r="V260" s="264">
        <v>0</v>
      </c>
      <c r="W260" s="264">
        <v>0</v>
      </c>
      <c r="X260" s="264">
        <v>0</v>
      </c>
      <c r="Y260" s="2"/>
      <c r="Z260" s="2"/>
      <c r="AA260" s="108">
        <v>0</v>
      </c>
      <c r="AB260" s="109">
        <v>0</v>
      </c>
      <c r="AC260" s="108">
        <v>0</v>
      </c>
      <c r="AD260" s="109">
        <v>0</v>
      </c>
      <c r="AE260" s="108">
        <v>0</v>
      </c>
      <c r="AF260" s="109">
        <v>0</v>
      </c>
      <c r="AG260" s="2"/>
      <c r="AH260" s="2"/>
      <c r="AI260" s="2"/>
    </row>
    <row r="261" spans="1:35" x14ac:dyDescent="0.25">
      <c r="A261" s="20"/>
      <c r="B261" s="33" t="s">
        <v>72</v>
      </c>
      <c r="C261" s="27" t="s">
        <v>67</v>
      </c>
      <c r="D261" s="32"/>
      <c r="E261" s="35"/>
      <c r="F261" s="35"/>
      <c r="G261" s="35"/>
      <c r="H261" s="35"/>
      <c r="I261" s="35"/>
      <c r="J261" s="35"/>
      <c r="K261" s="35"/>
      <c r="L261" s="35">
        <f t="shared" ref="L261:M261" si="239">L262-SUM(L256:L260)</f>
        <v>317.5</v>
      </c>
      <c r="M261" s="35">
        <f t="shared" si="239"/>
        <v>41.199999999999996</v>
      </c>
      <c r="N261" s="35">
        <f>N262-SUM(N256:N260)</f>
        <v>-1030.3</v>
      </c>
      <c r="O261" s="264">
        <v>0</v>
      </c>
      <c r="P261" s="264">
        <v>0</v>
      </c>
      <c r="Q261" s="264">
        <v>0</v>
      </c>
      <c r="R261" s="264">
        <v>0</v>
      </c>
      <c r="S261" s="264">
        <v>0</v>
      </c>
      <c r="T261" s="264">
        <v>0</v>
      </c>
      <c r="U261" s="264">
        <v>0</v>
      </c>
      <c r="V261" s="264">
        <v>0</v>
      </c>
      <c r="W261" s="264">
        <v>0</v>
      </c>
      <c r="X261" s="264">
        <v>0</v>
      </c>
      <c r="Y261" s="2"/>
      <c r="Z261" s="2"/>
      <c r="AA261" s="108">
        <v>0</v>
      </c>
      <c r="AB261" s="109">
        <v>-1030.3</v>
      </c>
      <c r="AC261" s="108">
        <v>0</v>
      </c>
      <c r="AD261" s="109">
        <v>0</v>
      </c>
      <c r="AE261" s="108">
        <v>0</v>
      </c>
      <c r="AF261" s="109">
        <v>0</v>
      </c>
      <c r="AG261" s="2"/>
      <c r="AH261" s="2"/>
      <c r="AI261" s="2"/>
    </row>
    <row r="262" spans="1:35" x14ac:dyDescent="0.25">
      <c r="A262" s="20"/>
      <c r="B262" s="36" t="s">
        <v>336</v>
      </c>
      <c r="C262" s="37" t="s">
        <v>67</v>
      </c>
      <c r="D262" s="38"/>
      <c r="E262" s="51"/>
      <c r="F262" s="51"/>
      <c r="G262" s="51"/>
      <c r="H262" s="51"/>
      <c r="I262" s="51"/>
      <c r="J262" s="51"/>
      <c r="K262" s="51"/>
      <c r="L262" s="51">
        <v>309.60000000000002</v>
      </c>
      <c r="M262" s="51">
        <v>13.2</v>
      </c>
      <c r="N262" s="51">
        <v>-1053.7</v>
      </c>
      <c r="O262" s="244">
        <f>SUM(O256:O261)</f>
        <v>-26.626261785700994</v>
      </c>
      <c r="P262" s="244">
        <f t="shared" ref="P262:X262" si="240">SUM(P256:P261)</f>
        <v>-42.771005470015822</v>
      </c>
      <c r="Q262" s="244">
        <f t="shared" si="240"/>
        <v>-48.048761037245782</v>
      </c>
      <c r="R262" s="244">
        <f t="shared" si="240"/>
        <v>-53.955174657374315</v>
      </c>
      <c r="S262" s="244">
        <f t="shared" si="240"/>
        <v>-60.623052935611675</v>
      </c>
      <c r="T262" s="244">
        <f t="shared" si="240"/>
        <v>-68.018218290653891</v>
      </c>
      <c r="U262" s="244">
        <f t="shared" si="240"/>
        <v>-76.342740547247587</v>
      </c>
      <c r="V262" s="244">
        <f t="shared" si="240"/>
        <v>-85.71633994363097</v>
      </c>
      <c r="W262" s="244">
        <f t="shared" si="240"/>
        <v>-96.274363090317053</v>
      </c>
      <c r="X262" s="244">
        <f t="shared" si="240"/>
        <v>-108.16983824640917</v>
      </c>
      <c r="Y262" s="2"/>
      <c r="Z262" s="2"/>
      <c r="AA262" s="151">
        <v>-30.9</v>
      </c>
      <c r="AB262" s="137">
        <v>-1022.8</v>
      </c>
      <c r="AC262" s="151">
        <v>-30.4</v>
      </c>
      <c r="AD262" s="137">
        <v>15.2</v>
      </c>
      <c r="AE262" s="151">
        <v>-31.3</v>
      </c>
      <c r="AF262" s="137">
        <v>13.8</v>
      </c>
      <c r="AG262" s="2"/>
      <c r="AH262" s="2"/>
      <c r="AI262" s="2"/>
    </row>
    <row r="263" spans="1:35" x14ac:dyDescent="0.25">
      <c r="A263" s="20"/>
      <c r="B263" s="33" t="s">
        <v>337</v>
      </c>
      <c r="C263" s="27" t="s">
        <v>117</v>
      </c>
      <c r="D263" s="32"/>
      <c r="E263" s="29"/>
      <c r="F263" s="29"/>
      <c r="G263" s="29"/>
      <c r="H263" s="29"/>
      <c r="I263" s="29"/>
      <c r="J263" s="29"/>
      <c r="K263" s="40"/>
      <c r="L263" s="226">
        <f t="shared" ref="L263:M263" si="241">-L256/L$10</f>
        <v>2.9916234543278817E-4</v>
      </c>
      <c r="M263" s="226">
        <f t="shared" si="241"/>
        <v>3.7112636852848393E-4</v>
      </c>
      <c r="N263" s="226">
        <f>-N256/N$10</f>
        <v>8.9032780250910572E-4</v>
      </c>
      <c r="O263" s="52">
        <v>1E-3</v>
      </c>
      <c r="P263" s="52">
        <v>1E-3</v>
      </c>
      <c r="Q263" s="52">
        <v>1E-3</v>
      </c>
      <c r="R263" s="52">
        <v>1E-3</v>
      </c>
      <c r="S263" s="52">
        <v>1E-3</v>
      </c>
      <c r="T263" s="52">
        <v>1E-3</v>
      </c>
      <c r="U263" s="52">
        <v>1E-3</v>
      </c>
      <c r="V263" s="52">
        <v>1E-3</v>
      </c>
      <c r="W263" s="52">
        <v>1E-3</v>
      </c>
      <c r="X263" s="52">
        <v>1E-3</v>
      </c>
      <c r="Y263" s="2"/>
      <c r="Z263" s="2"/>
      <c r="AA263" s="128">
        <v>4.9000000000000002E-2</v>
      </c>
      <c r="AB263" s="129">
        <v>-4.8000000000000001E-2</v>
      </c>
      <c r="AC263" s="128">
        <v>3.9E-2</v>
      </c>
      <c r="AD263" s="129">
        <v>-3.7999999999999999E-2</v>
      </c>
      <c r="AE263" s="128">
        <v>2.9000000000000001E-2</v>
      </c>
      <c r="AF263" s="129">
        <v>-2.8000000000000001E-2</v>
      </c>
      <c r="AG263" s="2"/>
      <c r="AH263" s="2"/>
      <c r="AI263" s="2"/>
    </row>
    <row r="264" spans="1:35" x14ac:dyDescent="0.25">
      <c r="A264" s="20"/>
      <c r="B264" s="33" t="s">
        <v>338</v>
      </c>
      <c r="C264" s="27" t="s">
        <v>117</v>
      </c>
      <c r="D264" s="32"/>
      <c r="E264" s="29"/>
      <c r="F264" s="29"/>
      <c r="G264" s="29"/>
      <c r="H264" s="29"/>
      <c r="I264" s="29"/>
      <c r="J264" s="29"/>
      <c r="K264" s="40"/>
      <c r="L264" s="226">
        <f t="shared" ref="L264:M264" si="242">-L257/L$10</f>
        <v>6.6812923813322697E-3</v>
      </c>
      <c r="M264" s="226">
        <f t="shared" si="242"/>
        <v>1.6143997030989048E-2</v>
      </c>
      <c r="N264" s="226">
        <f>-N257/N$10</f>
        <v>3.8041278834479971E-3</v>
      </c>
      <c r="O264" s="52">
        <v>8.9999999999999993E-3</v>
      </c>
      <c r="P264" s="52">
        <v>8.9999999999999993E-3</v>
      </c>
      <c r="Q264" s="52">
        <v>8.9999999999999993E-3</v>
      </c>
      <c r="R264" s="52">
        <v>8.9999999999999993E-3</v>
      </c>
      <c r="S264" s="52">
        <v>8.9999999999999993E-3</v>
      </c>
      <c r="T264" s="52">
        <v>8.9999999999999993E-3</v>
      </c>
      <c r="U264" s="52">
        <v>8.9999999999999993E-3</v>
      </c>
      <c r="V264" s="52">
        <v>8.9999999999999993E-3</v>
      </c>
      <c r="W264" s="52">
        <v>8.9999999999999993E-3</v>
      </c>
      <c r="X264" s="52">
        <v>8.9999999999999993E-3</v>
      </c>
      <c r="Y264" s="2"/>
      <c r="Z264" s="2"/>
      <c r="AA264" s="128">
        <v>0.17199999999999999</v>
      </c>
      <c r="AB264" s="129">
        <v>-0.16800000000000001</v>
      </c>
      <c r="AC264" s="128">
        <v>0.152</v>
      </c>
      <c r="AD264" s="129">
        <v>-0.14299999999999999</v>
      </c>
      <c r="AE264" s="128">
        <v>0.13200000000000001</v>
      </c>
      <c r="AF264" s="129">
        <v>-0.123</v>
      </c>
      <c r="AG264" s="2"/>
      <c r="AH264" s="2"/>
      <c r="AI264" s="2"/>
    </row>
    <row r="265" spans="1:35" x14ac:dyDescent="0.25">
      <c r="A265" s="307"/>
      <c r="B265" s="308"/>
      <c r="C265" s="55"/>
      <c r="D265" s="32"/>
      <c r="E265" s="2"/>
      <c r="F265" s="2"/>
      <c r="G265" s="2"/>
      <c r="H265" s="2"/>
      <c r="I265" s="2"/>
      <c r="J265" s="2"/>
      <c r="K265" s="2"/>
      <c r="L265" s="2"/>
      <c r="M265" s="2"/>
      <c r="N265" s="2"/>
      <c r="O265" s="2"/>
      <c r="P265" s="2"/>
      <c r="Q265" s="2"/>
      <c r="R265" s="2"/>
      <c r="S265" s="2"/>
      <c r="T265" s="2"/>
      <c r="U265" s="2"/>
      <c r="V265" s="2"/>
      <c r="W265" s="2"/>
      <c r="X265" s="2"/>
      <c r="Y265" s="2"/>
      <c r="Z265" s="2"/>
      <c r="AA265" s="99"/>
      <c r="AB265" s="3"/>
      <c r="AC265" s="99"/>
      <c r="AD265" s="3"/>
      <c r="AE265" s="99"/>
      <c r="AF265" s="3"/>
      <c r="AG265" s="2"/>
      <c r="AH265" s="2"/>
      <c r="AI265" s="2"/>
    </row>
    <row r="266" spans="1:35" x14ac:dyDescent="0.25">
      <c r="A266" s="20"/>
      <c r="B266" s="30" t="s">
        <v>339</v>
      </c>
      <c r="C266" s="55"/>
      <c r="D266" s="32"/>
      <c r="E266" s="2"/>
      <c r="F266" s="2"/>
      <c r="G266" s="2"/>
      <c r="H266" s="2"/>
      <c r="I266" s="2"/>
      <c r="J266" s="2"/>
      <c r="K266" s="2"/>
      <c r="L266" s="2"/>
      <c r="M266" s="2"/>
      <c r="N266" s="2"/>
      <c r="O266" s="2"/>
      <c r="P266" s="2"/>
      <c r="Q266" s="2"/>
      <c r="R266" s="2"/>
      <c r="S266" s="2"/>
      <c r="T266" s="2"/>
      <c r="U266" s="2"/>
      <c r="V266" s="2"/>
      <c r="W266" s="2"/>
      <c r="X266" s="2"/>
      <c r="Y266" s="2"/>
      <c r="Z266" s="2"/>
      <c r="AA266" s="99"/>
      <c r="AB266" s="3"/>
      <c r="AC266" s="99"/>
      <c r="AD266" s="3"/>
      <c r="AE266" s="99"/>
      <c r="AF266" s="3"/>
      <c r="AG266" s="2"/>
      <c r="AH266" s="2"/>
      <c r="AI266" s="2"/>
    </row>
    <row r="267" spans="1:35" x14ac:dyDescent="0.25">
      <c r="A267" s="20"/>
      <c r="B267" s="33" t="s">
        <v>340</v>
      </c>
      <c r="C267" s="27" t="s">
        <v>67</v>
      </c>
      <c r="D267" s="32"/>
      <c r="E267" s="34"/>
      <c r="F267" s="34"/>
      <c r="G267" s="34"/>
      <c r="H267" s="34"/>
      <c r="I267" s="34"/>
      <c r="J267" s="34"/>
      <c r="K267" s="34"/>
      <c r="L267" s="34">
        <v>-46</v>
      </c>
      <c r="M267" s="34">
        <v>-23.7</v>
      </c>
      <c r="N267" s="34">
        <v>-21.5</v>
      </c>
      <c r="O267" s="242">
        <f>O112*O272</f>
        <v>-33.93903049110304</v>
      </c>
      <c r="P267" s="242">
        <f t="shared" ref="P267:X267" si="243">P112*P272</f>
        <v>-38.983667750073039</v>
      </c>
      <c r="Q267" s="242">
        <f t="shared" si="243"/>
        <v>-43.951964012007892</v>
      </c>
      <c r="R267" s="242">
        <f t="shared" si="243"/>
        <v>-49.436572029188163</v>
      </c>
      <c r="S267" s="242">
        <f t="shared" si="243"/>
        <v>-55.158517079127449</v>
      </c>
      <c r="T267" s="242">
        <f t="shared" si="243"/>
        <v>-61.334672898673972</v>
      </c>
      <c r="U267" s="242">
        <f t="shared" si="243"/>
        <v>-68.27095155102117</v>
      </c>
      <c r="V267" s="242">
        <f t="shared" si="243"/>
        <v>-76.061963988867547</v>
      </c>
      <c r="W267" s="242">
        <f t="shared" si="243"/>
        <v>-84.814898432923115</v>
      </c>
      <c r="X267" s="242">
        <f t="shared" si="243"/>
        <v>-107.70770735216939</v>
      </c>
      <c r="Y267" s="2"/>
      <c r="Z267" s="2"/>
      <c r="AA267" s="106">
        <v>0</v>
      </c>
      <c r="AB267" s="107">
        <v>-22</v>
      </c>
      <c r="AC267" s="106">
        <v>0</v>
      </c>
      <c r="AD267" s="107" t="e">
        <v>#VALUE!</v>
      </c>
      <c r="AE267" s="106">
        <v>0</v>
      </c>
      <c r="AF267" s="107" t="e">
        <v>#VALUE!</v>
      </c>
      <c r="AG267" s="2"/>
      <c r="AH267" s="2"/>
      <c r="AI267" s="2"/>
    </row>
    <row r="268" spans="1:35" x14ac:dyDescent="0.25">
      <c r="A268" s="20"/>
      <c r="B268" s="33" t="s">
        <v>341</v>
      </c>
      <c r="C268" s="27" t="s">
        <v>67</v>
      </c>
      <c r="D268" s="32"/>
      <c r="E268" s="34"/>
      <c r="F268" s="34"/>
      <c r="G268" s="34"/>
      <c r="H268" s="34"/>
      <c r="I268" s="34"/>
      <c r="J268" s="34"/>
      <c r="K268" s="34"/>
      <c r="L268" s="34"/>
      <c r="M268" s="34"/>
      <c r="N268" s="34"/>
      <c r="O268" s="264">
        <v>0</v>
      </c>
      <c r="P268" s="264">
        <v>0</v>
      </c>
      <c r="Q268" s="264">
        <v>0</v>
      </c>
      <c r="R268" s="264">
        <v>0</v>
      </c>
      <c r="S268" s="264">
        <v>0</v>
      </c>
      <c r="T268" s="264">
        <v>0</v>
      </c>
      <c r="U268" s="264">
        <v>0</v>
      </c>
      <c r="V268" s="264">
        <v>0</v>
      </c>
      <c r="W268" s="264">
        <v>0</v>
      </c>
      <c r="X268" s="264">
        <v>0</v>
      </c>
      <c r="Y268" s="2"/>
      <c r="Z268" s="2"/>
      <c r="AA268" s="108">
        <v>30</v>
      </c>
      <c r="AB268" s="109">
        <v>-30</v>
      </c>
      <c r="AC268" s="108">
        <v>0</v>
      </c>
      <c r="AD268" s="109">
        <v>0</v>
      </c>
      <c r="AE268" s="108">
        <v>0</v>
      </c>
      <c r="AF268" s="109">
        <v>0</v>
      </c>
      <c r="AG268" s="2"/>
      <c r="AH268" s="2"/>
      <c r="AI268" s="2"/>
    </row>
    <row r="269" spans="1:35" x14ac:dyDescent="0.25">
      <c r="A269" s="20"/>
      <c r="B269" s="33" t="s">
        <v>342</v>
      </c>
      <c r="C269" s="27" t="s">
        <v>67</v>
      </c>
      <c r="D269" s="32"/>
      <c r="E269" s="34"/>
      <c r="F269" s="34"/>
      <c r="G269" s="34"/>
      <c r="H269" s="34"/>
      <c r="I269" s="34"/>
      <c r="J269" s="34"/>
      <c r="K269" s="34"/>
      <c r="L269" s="34">
        <v>-2.4</v>
      </c>
      <c r="M269" s="34">
        <v>-2.6</v>
      </c>
      <c r="N269" s="34">
        <v>-2.8</v>
      </c>
      <c r="O269" s="264">
        <f>N269</f>
        <v>-2.8</v>
      </c>
      <c r="P269" s="264">
        <f t="shared" ref="P269:X269" si="244">O269</f>
        <v>-2.8</v>
      </c>
      <c r="Q269" s="264">
        <f t="shared" si="244"/>
        <v>-2.8</v>
      </c>
      <c r="R269" s="264">
        <f t="shared" si="244"/>
        <v>-2.8</v>
      </c>
      <c r="S269" s="264">
        <f t="shared" si="244"/>
        <v>-2.8</v>
      </c>
      <c r="T269" s="264">
        <f t="shared" si="244"/>
        <v>-2.8</v>
      </c>
      <c r="U269" s="264">
        <f t="shared" si="244"/>
        <v>-2.8</v>
      </c>
      <c r="V269" s="264">
        <f t="shared" si="244"/>
        <v>-2.8</v>
      </c>
      <c r="W269" s="264">
        <f t="shared" si="244"/>
        <v>-2.8</v>
      </c>
      <c r="X269" s="264">
        <f t="shared" si="244"/>
        <v>-2.8</v>
      </c>
      <c r="Y269" s="2"/>
      <c r="Z269" s="2"/>
      <c r="AA269" s="108">
        <v>-2</v>
      </c>
      <c r="AB269" s="109">
        <v>-1</v>
      </c>
      <c r="AC269" s="108">
        <v>-2</v>
      </c>
      <c r="AD269" s="109">
        <v>-1</v>
      </c>
      <c r="AE269" s="108">
        <v>-2</v>
      </c>
      <c r="AF269" s="109">
        <v>-1</v>
      </c>
      <c r="AG269" s="2"/>
      <c r="AH269" s="2"/>
      <c r="AI269" s="2"/>
    </row>
    <row r="270" spans="1:35" x14ac:dyDescent="0.25">
      <c r="A270" s="20"/>
      <c r="B270" s="33" t="s">
        <v>343</v>
      </c>
      <c r="C270" s="27" t="s">
        <v>67</v>
      </c>
      <c r="D270" s="32"/>
      <c r="E270" s="29"/>
      <c r="F270" s="29"/>
      <c r="G270" s="29"/>
      <c r="H270" s="29"/>
      <c r="I270" s="29"/>
      <c r="J270" s="29"/>
      <c r="K270" s="29"/>
      <c r="L270" s="29">
        <f t="shared" ref="L270:M270" si="245">L271-SUM(L267:L269)</f>
        <v>-359.70000000000005</v>
      </c>
      <c r="M270" s="29">
        <f t="shared" si="245"/>
        <v>-26.3</v>
      </c>
      <c r="N270" s="29">
        <f>N271-SUM(N267:N269)</f>
        <v>1044.3</v>
      </c>
      <c r="O270" s="264">
        <f>-O273*O262</f>
        <v>7.9878785357102977</v>
      </c>
      <c r="P270" s="264">
        <f>-P273*P262</f>
        <v>12.831301641004746</v>
      </c>
      <c r="Q270" s="264">
        <f t="shared" ref="Q270:X270" si="246">-Q273*Q262</f>
        <v>14.414628311173734</v>
      </c>
      <c r="R270" s="264">
        <f t="shared" si="246"/>
        <v>16.186552397212292</v>
      </c>
      <c r="S270" s="264">
        <f t="shared" si="246"/>
        <v>18.1869158806835</v>
      </c>
      <c r="T270" s="264">
        <f t="shared" si="246"/>
        <v>20.405465487196167</v>
      </c>
      <c r="U270" s="264">
        <f t="shared" si="246"/>
        <v>22.902822164174275</v>
      </c>
      <c r="V270" s="264">
        <f t="shared" si="246"/>
        <v>25.714901983089291</v>
      </c>
      <c r="W270" s="264">
        <f t="shared" si="246"/>
        <v>28.882308927095114</v>
      </c>
      <c r="X270" s="264">
        <f t="shared" si="246"/>
        <v>32.45095147392275</v>
      </c>
      <c r="Y270" s="2"/>
      <c r="Z270" s="2"/>
      <c r="AA270" s="108">
        <v>10</v>
      </c>
      <c r="AB270" s="150">
        <v>1034</v>
      </c>
      <c r="AC270" s="108">
        <v>0</v>
      </c>
      <c r="AD270" s="109">
        <v>0</v>
      </c>
      <c r="AE270" s="108">
        <v>0</v>
      </c>
      <c r="AF270" s="109">
        <v>0</v>
      </c>
      <c r="AG270" s="2"/>
      <c r="AH270" s="2"/>
      <c r="AI270" s="2"/>
    </row>
    <row r="271" spans="1:35" x14ac:dyDescent="0.25">
      <c r="A271" s="20"/>
      <c r="B271" s="36" t="s">
        <v>344</v>
      </c>
      <c r="C271" s="37" t="s">
        <v>67</v>
      </c>
      <c r="D271" s="38"/>
      <c r="E271" s="51"/>
      <c r="F271" s="51"/>
      <c r="G271" s="51"/>
      <c r="H271" s="51"/>
      <c r="I271" s="51"/>
      <c r="J271" s="51"/>
      <c r="K271" s="51"/>
      <c r="L271" s="51">
        <v>-408.1</v>
      </c>
      <c r="M271" s="51">
        <v>-52.6</v>
      </c>
      <c r="N271" s="51">
        <v>1020</v>
      </c>
      <c r="O271" s="244">
        <f>SUM(O267:O270)</f>
        <v>-28.751151955392739</v>
      </c>
      <c r="P271" s="244">
        <f t="shared" ref="P271:X271" si="247">SUM(P267:P270)</f>
        <v>-28.95236610906829</v>
      </c>
      <c r="Q271" s="244">
        <f t="shared" si="247"/>
        <v>-32.337335700834153</v>
      </c>
      <c r="R271" s="244">
        <f t="shared" si="247"/>
        <v>-36.050019631975871</v>
      </c>
      <c r="S271" s="244">
        <f t="shared" si="247"/>
        <v>-39.771601198443946</v>
      </c>
      <c r="T271" s="244">
        <f t="shared" si="247"/>
        <v>-43.729207411477802</v>
      </c>
      <c r="U271" s="244">
        <f t="shared" si="247"/>
        <v>-48.168129386846893</v>
      </c>
      <c r="V271" s="244">
        <f t="shared" si="247"/>
        <v>-53.147062005778253</v>
      </c>
      <c r="W271" s="244">
        <f t="shared" si="247"/>
        <v>-58.732589505828003</v>
      </c>
      <c r="X271" s="244">
        <f t="shared" si="247"/>
        <v>-78.056755878246634</v>
      </c>
      <c r="Y271" s="2"/>
      <c r="Z271" s="2"/>
      <c r="AA271" s="151">
        <v>38</v>
      </c>
      <c r="AB271" s="137">
        <v>982</v>
      </c>
      <c r="AC271" s="151">
        <v>-2</v>
      </c>
      <c r="AD271" s="137" t="e">
        <v>#VALUE!</v>
      </c>
      <c r="AE271" s="151">
        <v>-2</v>
      </c>
      <c r="AF271" s="137" t="e">
        <v>#VALUE!</v>
      </c>
      <c r="AG271" s="2"/>
      <c r="AH271" s="2"/>
      <c r="AI271" s="2"/>
    </row>
    <row r="272" spans="1:35" x14ac:dyDescent="0.25">
      <c r="A272" s="20"/>
      <c r="B272" s="33" t="s">
        <v>345</v>
      </c>
      <c r="C272" s="27" t="s">
        <v>117</v>
      </c>
      <c r="D272" s="32"/>
      <c r="E272" s="29"/>
      <c r="F272" s="29"/>
      <c r="G272" s="29"/>
      <c r="H272" s="29"/>
      <c r="I272" s="29"/>
      <c r="J272" s="29"/>
      <c r="K272" s="41"/>
      <c r="L272" s="41">
        <f t="shared" ref="L272:M272" si="248">L267/L112</f>
        <v>-1.5916569494856525</v>
      </c>
      <c r="M272" s="41">
        <f t="shared" si="248"/>
        <v>-1.0960044395116535</v>
      </c>
      <c r="N272" s="41">
        <f>N267/N112</f>
        <v>-0.8724657912250231</v>
      </c>
      <c r="O272" s="141">
        <v>-1</v>
      </c>
      <c r="P272" s="141">
        <v>-1</v>
      </c>
      <c r="Q272" s="141">
        <v>-1</v>
      </c>
      <c r="R272" s="141">
        <v>-1</v>
      </c>
      <c r="S272" s="141">
        <v>-1</v>
      </c>
      <c r="T272" s="141">
        <v>-1</v>
      </c>
      <c r="U272" s="141">
        <v>-1</v>
      </c>
      <c r="V272" s="141">
        <v>-1</v>
      </c>
      <c r="W272" s="141">
        <v>-1</v>
      </c>
      <c r="X272" s="141">
        <v>-1</v>
      </c>
      <c r="Y272" s="2"/>
      <c r="Z272" s="2"/>
      <c r="AA272" s="113">
        <v>-1</v>
      </c>
      <c r="AB272" s="114">
        <v>7.0000000000000007E-2</v>
      </c>
      <c r="AC272" s="113">
        <v>-1</v>
      </c>
      <c r="AD272" s="114">
        <v>0</v>
      </c>
      <c r="AE272" s="113">
        <v>-1</v>
      </c>
      <c r="AF272" s="114">
        <v>0</v>
      </c>
      <c r="AG272" s="2"/>
      <c r="AH272" s="2"/>
      <c r="AI272" s="2"/>
    </row>
    <row r="273" spans="1:35" x14ac:dyDescent="0.25">
      <c r="A273" s="20"/>
      <c r="B273" s="33" t="s">
        <v>346</v>
      </c>
      <c r="C273" s="27" t="s">
        <v>117</v>
      </c>
      <c r="D273" s="32"/>
      <c r="E273" s="29"/>
      <c r="F273" s="29"/>
      <c r="G273" s="29"/>
      <c r="H273" s="29"/>
      <c r="I273" s="29"/>
      <c r="J273" s="29"/>
      <c r="K273" s="29"/>
      <c r="L273" s="29"/>
      <c r="M273" s="29"/>
      <c r="N273" s="29"/>
      <c r="O273" s="141">
        <v>0.3</v>
      </c>
      <c r="P273" s="141">
        <v>0.3</v>
      </c>
      <c r="Q273" s="141">
        <v>0.3</v>
      </c>
      <c r="R273" s="141">
        <v>0.3</v>
      </c>
      <c r="S273" s="141">
        <v>0.3</v>
      </c>
      <c r="T273" s="141">
        <v>0.3</v>
      </c>
      <c r="U273" s="141">
        <v>0.3</v>
      </c>
      <c r="V273" s="141">
        <v>0.3</v>
      </c>
      <c r="W273" s="141">
        <v>0.3</v>
      </c>
      <c r="X273" s="141">
        <v>0.3</v>
      </c>
      <c r="Y273" s="2"/>
      <c r="Z273" s="2"/>
      <c r="AA273" s="113">
        <v>0</v>
      </c>
      <c r="AB273" s="114">
        <v>0</v>
      </c>
      <c r="AC273" s="113">
        <v>0</v>
      </c>
      <c r="AD273" s="114">
        <v>0</v>
      </c>
      <c r="AE273" s="113">
        <v>0</v>
      </c>
      <c r="AF273" s="114">
        <v>0</v>
      </c>
      <c r="AG273" s="2"/>
      <c r="AH273" s="2"/>
      <c r="AI273" s="2"/>
    </row>
    <row r="274" spans="1:35" x14ac:dyDescent="0.25">
      <c r="A274" s="307"/>
      <c r="B274" s="308"/>
      <c r="C274" s="55"/>
      <c r="D274" s="32"/>
      <c r="E274" s="2"/>
      <c r="F274" s="2"/>
      <c r="G274" s="2"/>
      <c r="H274" s="2"/>
      <c r="I274" s="2"/>
      <c r="J274" s="2"/>
      <c r="K274" s="2"/>
      <c r="L274" s="2"/>
      <c r="M274" s="2"/>
      <c r="N274" s="2"/>
      <c r="O274" s="2"/>
      <c r="P274" s="2"/>
      <c r="Q274" s="2"/>
      <c r="R274" s="2"/>
      <c r="S274" s="2"/>
      <c r="T274" s="2"/>
      <c r="U274" s="2"/>
      <c r="V274" s="2"/>
      <c r="W274" s="2"/>
      <c r="X274" s="2"/>
      <c r="Y274" s="2"/>
      <c r="Z274" s="2"/>
      <c r="AA274" s="99"/>
      <c r="AB274" s="3"/>
      <c r="AC274" s="99"/>
      <c r="AD274" s="3"/>
      <c r="AE274" s="99"/>
      <c r="AF274" s="3"/>
      <c r="AG274" s="2"/>
      <c r="AH274" s="2"/>
      <c r="AI274" s="2"/>
    </row>
    <row r="275" spans="1:35" x14ac:dyDescent="0.25">
      <c r="A275" s="20"/>
      <c r="B275" s="157" t="s">
        <v>347</v>
      </c>
      <c r="C275" s="37" t="s">
        <v>67</v>
      </c>
      <c r="D275" s="38"/>
      <c r="E275" s="50"/>
      <c r="F275" s="50"/>
      <c r="G275" s="50"/>
      <c r="H275" s="50"/>
      <c r="I275" s="50"/>
      <c r="J275" s="50"/>
      <c r="K275" s="50"/>
      <c r="L275" s="50">
        <f t="shared" ref="L275:M275" si="249">L249+L262+L271</f>
        <v>-46.399999999999977</v>
      </c>
      <c r="M275" s="50">
        <f t="shared" si="249"/>
        <v>-0.599999999999973</v>
      </c>
      <c r="N275" s="50">
        <f>N249+N262+N271</f>
        <v>2.1999999999998181</v>
      </c>
      <c r="O275" s="244">
        <f t="shared" ref="O275:X275" si="250">O249+O262+O271</f>
        <v>2.8373318401342331</v>
      </c>
      <c r="P275" s="244">
        <f t="shared" si="250"/>
        <v>-3.503315662465706</v>
      </c>
      <c r="Q275" s="244">
        <f t="shared" si="250"/>
        <v>-2.1680688536212429</v>
      </c>
      <c r="R275" s="244">
        <f t="shared" si="250"/>
        <v>-0.90048183310213403</v>
      </c>
      <c r="S275" s="244">
        <f t="shared" si="250"/>
        <v>0.15611058349649198</v>
      </c>
      <c r="T275" s="244">
        <f t="shared" si="250"/>
        <v>1.2081028545412238</v>
      </c>
      <c r="U275" s="244">
        <f t="shared" si="250"/>
        <v>2.2930906704159426</v>
      </c>
      <c r="V275" s="244">
        <f t="shared" si="250"/>
        <v>3.4579713560692369</v>
      </c>
      <c r="W275" s="244">
        <f t="shared" si="250"/>
        <v>4.7100095339004326</v>
      </c>
      <c r="X275" s="244">
        <f t="shared" si="250"/>
        <v>-6.9997347286232525</v>
      </c>
      <c r="Y275" s="2"/>
      <c r="Z275" s="2"/>
      <c r="AA275" s="151">
        <v>20</v>
      </c>
      <c r="AB275" s="137">
        <v>-18</v>
      </c>
      <c r="AC275" s="151">
        <v>3</v>
      </c>
      <c r="AD275" s="137" t="e">
        <v>#VALUE!</v>
      </c>
      <c r="AE275" s="151">
        <v>17</v>
      </c>
      <c r="AF275" s="137" t="e">
        <v>#VALUE!</v>
      </c>
      <c r="AG275" s="2"/>
      <c r="AH275" s="2"/>
      <c r="AI275" s="2"/>
    </row>
    <row r="276" spans="1:35" x14ac:dyDescent="0.25">
      <c r="A276" s="20"/>
      <c r="B276" s="22"/>
      <c r="C276" s="43"/>
      <c r="D276" s="32"/>
      <c r="E276" s="47"/>
      <c r="F276" s="47"/>
      <c r="G276" s="47"/>
      <c r="H276" s="47"/>
      <c r="I276" s="47"/>
      <c r="J276" s="47"/>
      <c r="K276" s="47"/>
      <c r="L276" s="47"/>
      <c r="M276" s="47"/>
      <c r="N276" s="47"/>
      <c r="O276" s="246"/>
      <c r="P276" s="246"/>
      <c r="Q276" s="246"/>
      <c r="R276" s="246"/>
      <c r="S276" s="246"/>
      <c r="T276" s="246"/>
      <c r="U276" s="246"/>
      <c r="V276" s="246"/>
      <c r="W276" s="246"/>
      <c r="X276" s="246"/>
      <c r="Y276" s="2"/>
      <c r="Z276" s="2"/>
      <c r="AA276" s="59"/>
      <c r="AB276" s="142"/>
      <c r="AC276" s="59"/>
      <c r="AD276" s="142"/>
      <c r="AE276" s="59"/>
      <c r="AF276" s="142"/>
      <c r="AG276" s="2"/>
      <c r="AH276" s="2"/>
      <c r="AI276" s="2"/>
    </row>
    <row r="277" spans="1:35" x14ac:dyDescent="0.25">
      <c r="A277" s="20" t="str">
        <f>B277</f>
        <v>Cash for acquisitions- broker equity</v>
      </c>
      <c r="B277" s="33" t="s">
        <v>475</v>
      </c>
      <c r="C277" s="43"/>
      <c r="D277" s="32"/>
      <c r="E277" s="47"/>
      <c r="F277" s="47"/>
      <c r="G277" s="47"/>
      <c r="H277" s="47"/>
      <c r="I277" s="47"/>
      <c r="J277" s="47"/>
      <c r="K277" s="47"/>
      <c r="L277" s="47"/>
      <c r="M277" s="47"/>
      <c r="N277" s="47"/>
      <c r="O277" s="239">
        <f>INDEX(Segments!$A:$AJ,MATCH(Annual!$A277,Segments!$A:$A,0),MATCH("1H"&amp;RIGHT(Annual!O$1,2),Segments!$A$3:$AJ$3,0))+INDEX(Segments!$A:$AJ,MATCH(Annual!$A277,Segments!$A:$A,0),MATCH("2H"&amp;RIGHT(Annual!O$1,2),Segments!$A$3:$AJ$3,0))</f>
        <v>11.87875</v>
      </c>
      <c r="P277" s="239">
        <f>INDEX(Segments!$A:$AJ,MATCH(Annual!$A277,Segments!$A:$A,0),MATCH("1H"&amp;RIGHT(Annual!P$1,2),Segments!$A$3:$AJ$3,0))+INDEX(Segments!$A:$AJ,MATCH(Annual!$A277,Segments!$A:$A,0),MATCH("2H"&amp;RIGHT(Annual!P$1,2),Segments!$A$3:$AJ$3,0))</f>
        <v>26.133250000000004</v>
      </c>
      <c r="Q277" s="239">
        <f>INDEX(Segments!$A:$AJ,MATCH(Annual!$A277,Segments!$A:$A,0),MATCH("1H"&amp;RIGHT(Annual!Q$1,2),Segments!$A$3:$AJ$3,0))+INDEX(Segments!$A:$AJ,MATCH(Annual!$A277,Segments!$A:$A,0),MATCH("2H"&amp;RIGHT(Annual!Q$1,2),Segments!$A$3:$AJ$3,0))</f>
        <v>29.640332150000006</v>
      </c>
      <c r="R277" s="239">
        <f>INDEX(Segments!$A:$AJ,MATCH(Annual!$A277,Segments!$A:$A,0),MATCH("1H"&amp;RIGHT(Annual!R$1,2),Segments!$A$3:$AJ$3,0))+INDEX(Segments!$A:$AJ,MATCH(Annual!$A277,Segments!$A:$A,0),MATCH("2H"&amp;RIGHT(Annual!R$1,2),Segments!$A$3:$AJ$3,0))</f>
        <v>33.618064724530008</v>
      </c>
      <c r="S277" s="239">
        <f>INDEX(Segments!$A:$AJ,MATCH(Annual!$A277,Segments!$A:$A,0),MATCH("1H"&amp;RIGHT(Annual!S$1,2),Segments!$A$3:$AJ$3,0))+INDEX(Segments!$A:$AJ,MATCH(Annual!$A277,Segments!$A:$A,0),MATCH("2H"&amp;RIGHT(Annual!S$1,2),Segments!$A$3:$AJ$3,0))</f>
        <v>38.129609010561936</v>
      </c>
      <c r="T277" s="239">
        <f>INDEX(Segments!$A:$AJ,MATCH(Annual!$A277,Segments!$A:$A,0),MATCH("1H"&amp;RIGHT(Annual!T$1,2),Segments!$A$3:$AJ$3,0))+INDEX(Segments!$A:$AJ,MATCH(Annual!$A277,Segments!$A:$A,0),MATCH("2H"&amp;RIGHT(Annual!T$1,2),Segments!$A$3:$AJ$3,0))</f>
        <v>43.246602539779346</v>
      </c>
      <c r="U277" s="239">
        <f>INDEX(Segments!$A:$AJ,MATCH(Annual!$A277,Segments!$A:$A,0),MATCH("1H"&amp;RIGHT(Annual!U$1,2),Segments!$A$3:$AJ$3,0))+INDEX(Segments!$A:$AJ,MATCH(Annual!$A277,Segments!$A:$A,0),MATCH("2H"&amp;RIGHT(Annual!U$1,2),Segments!$A$3:$AJ$3,0))</f>
        <v>49.050296600617742</v>
      </c>
      <c r="V277" s="239">
        <f>INDEX(Segments!$A:$AJ,MATCH(Annual!$A277,Segments!$A:$A,0),MATCH("1H"&amp;RIGHT(Annual!V$1,2),Segments!$A$3:$AJ$3,0))+INDEX(Segments!$A:$AJ,MATCH(Annual!$A277,Segments!$A:$A,0),MATCH("2H"&amp;RIGHT(Annual!V$1,2),Segments!$A$3:$AJ$3,0))</f>
        <v>55.632846404420661</v>
      </c>
      <c r="W277" s="239">
        <f>INDEX(Segments!$A:$AJ,MATCH(Annual!$A277,Segments!$A:$A,0),MATCH("1H"&amp;RIGHT(Annual!W$1,2),Segments!$A$3:$AJ$3,0))+INDEX(Segments!$A:$AJ,MATCH(Annual!$A277,Segments!$A:$A,0),MATCH("2H"&amp;RIGHT(Annual!W$1,2),Segments!$A$3:$AJ$3,0))</f>
        <v>63.098774391893919</v>
      </c>
      <c r="X277" s="239">
        <f>INDEX(Segments!$A:$AJ,MATCH(Annual!$A277,Segments!$A:$A,0),MATCH("1H"&amp;RIGHT(Annual!X$1,2),Segments!$A$3:$AJ$3,0))+INDEX(Segments!$A:$AJ,MATCH(Annual!$A277,Segments!$A:$A,0),MATCH("2H"&amp;RIGHT(Annual!X$1,2),Segments!$A$3:$AJ$3,0))</f>
        <v>71.5666299152861</v>
      </c>
      <c r="Y277" s="2"/>
      <c r="Z277" s="2"/>
      <c r="AA277" s="59"/>
      <c r="AB277" s="142"/>
      <c r="AC277" s="59"/>
      <c r="AD277" s="142"/>
      <c r="AE277" s="59"/>
      <c r="AF277" s="142"/>
      <c r="AG277" s="2"/>
      <c r="AH277" s="2"/>
      <c r="AI277" s="2"/>
    </row>
    <row r="278" spans="1:35" x14ac:dyDescent="0.25">
      <c r="A278" s="307"/>
      <c r="B278" s="308"/>
      <c r="C278" s="55"/>
      <c r="D278" s="32"/>
      <c r="E278" s="47"/>
      <c r="F278" s="47"/>
      <c r="G278" s="47"/>
      <c r="H278" s="47"/>
      <c r="I278" s="47"/>
      <c r="J278" s="47"/>
      <c r="K278" s="47"/>
      <c r="L278" s="47"/>
      <c r="M278" s="47"/>
      <c r="N278" s="47"/>
      <c r="O278" s="47"/>
      <c r="P278" s="47"/>
      <c r="Q278" s="47"/>
      <c r="R278" s="47"/>
      <c r="S278" s="47"/>
      <c r="T278" s="47"/>
      <c r="U278" s="47"/>
      <c r="V278" s="47"/>
      <c r="W278" s="47"/>
      <c r="X278" s="47"/>
      <c r="Y278" s="2"/>
      <c r="Z278" s="2"/>
      <c r="AA278" s="59"/>
      <c r="AB278" s="142"/>
      <c r="AC278" s="59"/>
      <c r="AD278" s="142"/>
      <c r="AE278" s="59"/>
      <c r="AF278" s="142"/>
      <c r="AG278" s="2"/>
      <c r="AH278" s="2"/>
      <c r="AI278" s="2"/>
    </row>
    <row r="279" spans="1:35" x14ac:dyDescent="0.25">
      <c r="A279" s="20"/>
      <c r="B279" s="21" t="s">
        <v>348</v>
      </c>
      <c r="C279" s="147"/>
      <c r="D279" s="148"/>
      <c r="E279" s="154"/>
      <c r="F279" s="154"/>
      <c r="G279" s="154"/>
      <c r="H279" s="154"/>
      <c r="I279" s="154"/>
      <c r="J279" s="154"/>
      <c r="K279" s="154"/>
      <c r="L279" s="154"/>
      <c r="M279" s="154"/>
      <c r="N279" s="154"/>
      <c r="O279" s="154"/>
      <c r="P279" s="154"/>
      <c r="Q279" s="154"/>
      <c r="R279" s="154"/>
      <c r="S279" s="154"/>
      <c r="T279" s="154"/>
      <c r="U279" s="154"/>
      <c r="V279" s="154"/>
      <c r="W279" s="154"/>
      <c r="X279" s="154"/>
      <c r="Y279" s="2"/>
      <c r="Z279" s="2"/>
      <c r="AA279" s="134"/>
      <c r="AB279" s="135"/>
      <c r="AC279" s="134"/>
      <c r="AD279" s="135"/>
      <c r="AE279" s="134"/>
      <c r="AF279" s="135"/>
      <c r="AG279" s="2"/>
      <c r="AH279" s="2"/>
      <c r="AI279" s="2"/>
    </row>
    <row r="280" spans="1:35" x14ac:dyDescent="0.25">
      <c r="A280" s="20"/>
      <c r="B280" s="30" t="s">
        <v>349</v>
      </c>
      <c r="C280" s="55"/>
      <c r="D280" s="32"/>
      <c r="E280" s="2"/>
      <c r="F280" s="2"/>
      <c r="G280" s="2"/>
      <c r="H280" s="2"/>
      <c r="I280" s="2"/>
      <c r="J280" s="2"/>
      <c r="K280" s="2"/>
      <c r="L280" s="2"/>
      <c r="M280" s="2"/>
      <c r="N280" s="2"/>
      <c r="O280" s="2"/>
      <c r="P280" s="2"/>
      <c r="Q280" s="2"/>
      <c r="R280" s="2"/>
      <c r="S280" s="2"/>
      <c r="T280" s="2"/>
      <c r="U280" s="2"/>
      <c r="V280" s="2"/>
      <c r="W280" s="2"/>
      <c r="X280" s="2"/>
      <c r="Y280" s="2"/>
      <c r="Z280" s="2"/>
      <c r="AA280" s="99"/>
      <c r="AB280" s="3"/>
      <c r="AC280" s="99"/>
      <c r="AD280" s="3"/>
      <c r="AE280" s="99"/>
      <c r="AF280" s="3"/>
      <c r="AG280" s="2"/>
      <c r="AH280" s="2"/>
      <c r="AI280" s="2"/>
    </row>
    <row r="281" spans="1:35" x14ac:dyDescent="0.25">
      <c r="A281" s="20"/>
      <c r="B281" s="33" t="s">
        <v>350</v>
      </c>
      <c r="C281" s="27" t="s">
        <v>67</v>
      </c>
      <c r="D281" s="32"/>
      <c r="E281" s="29"/>
      <c r="F281" s="29"/>
      <c r="G281" s="29"/>
      <c r="H281" s="29"/>
      <c r="I281" s="29"/>
      <c r="J281" s="29"/>
      <c r="K281" s="29"/>
      <c r="L281" s="242">
        <f>L249</f>
        <v>52.100000000000044</v>
      </c>
      <c r="M281" s="242">
        <f t="shared" ref="M281:X281" si="251">M249</f>
        <v>38.800000000000033</v>
      </c>
      <c r="N281" s="242">
        <f t="shared" si="251"/>
        <v>35.89999999999992</v>
      </c>
      <c r="O281" s="242">
        <f t="shared" si="251"/>
        <v>58.214745581227966</v>
      </c>
      <c r="P281" s="242">
        <f t="shared" si="251"/>
        <v>68.220055916618406</v>
      </c>
      <c r="Q281" s="242">
        <f t="shared" si="251"/>
        <v>78.218027884458692</v>
      </c>
      <c r="R281" s="242">
        <f t="shared" si="251"/>
        <v>89.104712456248052</v>
      </c>
      <c r="S281" s="242">
        <f t="shared" si="251"/>
        <v>100.55076471755211</v>
      </c>
      <c r="T281" s="242">
        <f t="shared" si="251"/>
        <v>112.95552855667292</v>
      </c>
      <c r="U281" s="242">
        <f t="shared" si="251"/>
        <v>126.80396060451042</v>
      </c>
      <c r="V281" s="242">
        <f t="shared" si="251"/>
        <v>142.32137330547846</v>
      </c>
      <c r="W281" s="242">
        <f t="shared" si="251"/>
        <v>159.71696213004549</v>
      </c>
      <c r="X281" s="242">
        <f t="shared" si="251"/>
        <v>179.22685939603255</v>
      </c>
      <c r="Y281" s="2"/>
      <c r="Z281" s="2"/>
      <c r="AA281" s="106">
        <v>12.7</v>
      </c>
      <c r="AB281" s="107">
        <v>23.2</v>
      </c>
      <c r="AC281" s="106">
        <v>35.1</v>
      </c>
      <c r="AD281" s="107">
        <v>24</v>
      </c>
      <c r="AE281" s="106">
        <v>50.8</v>
      </c>
      <c r="AF281" s="107" t="e">
        <v>#VALUE!</v>
      </c>
      <c r="AG281" s="2"/>
      <c r="AH281" s="2"/>
      <c r="AI281" s="2"/>
    </row>
    <row r="282" spans="1:35" x14ac:dyDescent="0.25">
      <c r="A282" s="20"/>
      <c r="B282" s="33" t="s">
        <v>351</v>
      </c>
      <c r="C282" s="27" t="s">
        <v>67</v>
      </c>
      <c r="D282" s="32"/>
      <c r="E282" s="29"/>
      <c r="F282" s="29"/>
      <c r="G282" s="29"/>
      <c r="H282" s="29"/>
      <c r="I282" s="29"/>
      <c r="J282" s="29"/>
      <c r="K282" s="29"/>
      <c r="L282" s="242">
        <f>L256+L257+L269</f>
        <v>-9.4</v>
      </c>
      <c r="M282" s="242">
        <f t="shared" ref="M282:X282" si="252">M256+M257+M269</f>
        <v>-20.399999999999999</v>
      </c>
      <c r="N282" s="242">
        <f t="shared" si="252"/>
        <v>-8.6000000000000014</v>
      </c>
      <c r="O282" s="242">
        <f t="shared" si="252"/>
        <v>-17.547511785700994</v>
      </c>
      <c r="P282" s="242">
        <f t="shared" si="252"/>
        <v>-19.437755470015823</v>
      </c>
      <c r="Q282" s="242">
        <f t="shared" si="252"/>
        <v>-21.208428887245777</v>
      </c>
      <c r="R282" s="242">
        <f t="shared" si="252"/>
        <v>-23.137109932844307</v>
      </c>
      <c r="S282" s="242">
        <f t="shared" si="252"/>
        <v>-25.29344392504974</v>
      </c>
      <c r="T282" s="242">
        <f t="shared" si="252"/>
        <v>-27.57161575087455</v>
      </c>
      <c r="U282" s="242">
        <f t="shared" si="252"/>
        <v>-30.092443946629842</v>
      </c>
      <c r="V282" s="242">
        <f t="shared" si="252"/>
        <v>-32.883493539210313</v>
      </c>
      <c r="W282" s="242">
        <f t="shared" si="252"/>
        <v>-35.975588698423124</v>
      </c>
      <c r="X282" s="242">
        <f t="shared" si="252"/>
        <v>-39.403208331123068</v>
      </c>
      <c r="Y282" s="2"/>
      <c r="Z282" s="2"/>
      <c r="AA282" s="106">
        <v>27.9</v>
      </c>
      <c r="AB282" s="107">
        <v>-19.3</v>
      </c>
      <c r="AC282" s="106">
        <v>32.4</v>
      </c>
      <c r="AD282" s="107">
        <v>-14.4</v>
      </c>
      <c r="AE282" s="106">
        <v>33.299999999999997</v>
      </c>
      <c r="AF282" s="107">
        <v>-13</v>
      </c>
      <c r="AG282" s="2"/>
      <c r="AH282" s="2"/>
      <c r="AI282" s="2"/>
    </row>
    <row r="283" spans="1:35" x14ac:dyDescent="0.25">
      <c r="A283" s="20"/>
      <c r="B283" s="36" t="s">
        <v>349</v>
      </c>
      <c r="C283" s="37" t="s">
        <v>67</v>
      </c>
      <c r="D283" s="38"/>
      <c r="E283" s="50"/>
      <c r="F283" s="50"/>
      <c r="G283" s="50"/>
      <c r="H283" s="50"/>
      <c r="I283" s="50"/>
      <c r="J283" s="50"/>
      <c r="K283" s="50"/>
      <c r="L283" s="244">
        <f>L281+L282</f>
        <v>42.700000000000045</v>
      </c>
      <c r="M283" s="244">
        <f t="shared" ref="M283:X283" si="253">M281+M282</f>
        <v>18.400000000000034</v>
      </c>
      <c r="N283" s="244">
        <f t="shared" si="253"/>
        <v>27.299999999999919</v>
      </c>
      <c r="O283" s="244">
        <f t="shared" si="253"/>
        <v>40.667233795526968</v>
      </c>
      <c r="P283" s="244">
        <f t="shared" si="253"/>
        <v>48.782300446602584</v>
      </c>
      <c r="Q283" s="244">
        <f t="shared" si="253"/>
        <v>57.009598997212919</v>
      </c>
      <c r="R283" s="244">
        <f t="shared" si="253"/>
        <v>65.967602523403741</v>
      </c>
      <c r="S283" s="244">
        <f t="shared" si="253"/>
        <v>75.257320792502369</v>
      </c>
      <c r="T283" s="244">
        <f t="shared" si="253"/>
        <v>85.38391280579836</v>
      </c>
      <c r="U283" s="244">
        <f t="shared" si="253"/>
        <v>96.71151665788058</v>
      </c>
      <c r="V283" s="244">
        <f t="shared" si="253"/>
        <v>109.43787976626814</v>
      </c>
      <c r="W283" s="244">
        <f t="shared" si="253"/>
        <v>123.74137343162236</v>
      </c>
      <c r="X283" s="244">
        <f t="shared" si="253"/>
        <v>139.82365106490948</v>
      </c>
      <c r="Y283" s="2"/>
      <c r="Z283" s="2"/>
      <c r="AA283" s="151">
        <v>-15.2</v>
      </c>
      <c r="AB283" s="137">
        <v>42.5</v>
      </c>
      <c r="AC283" s="151">
        <v>2.6</v>
      </c>
      <c r="AD283" s="137">
        <v>38.4</v>
      </c>
      <c r="AE283" s="151">
        <v>17.399999999999999</v>
      </c>
      <c r="AF283" s="137" t="e">
        <v>#VALUE!</v>
      </c>
      <c r="AG283" s="2"/>
      <c r="AH283" s="2"/>
      <c r="AI283" s="2"/>
    </row>
    <row r="284" spans="1:35" x14ac:dyDescent="0.25">
      <c r="A284" s="20"/>
      <c r="B284" s="36" t="s">
        <v>352</v>
      </c>
      <c r="C284" s="37" t="s">
        <v>67</v>
      </c>
      <c r="D284" s="38"/>
      <c r="E284" s="50"/>
      <c r="F284" s="50"/>
      <c r="G284" s="50"/>
      <c r="H284" s="50"/>
      <c r="I284" s="50"/>
      <c r="J284" s="50"/>
      <c r="K284" s="50"/>
      <c r="L284" s="244">
        <f>L283/L101</f>
        <v>0.15577119509703796</v>
      </c>
      <c r="M284" s="244">
        <f t="shared" ref="M284:X284" si="254">M283/M101</f>
        <v>6.712878511492168E-2</v>
      </c>
      <c r="N284" s="244">
        <f t="shared" si="254"/>
        <v>9.8984771573603761E-2</v>
      </c>
      <c r="O284" s="244">
        <f t="shared" si="254"/>
        <v>0.14745189918610213</v>
      </c>
      <c r="P284" s="244">
        <f t="shared" si="254"/>
        <v>0.1768756361370652</v>
      </c>
      <c r="Q284" s="244">
        <f t="shared" si="254"/>
        <v>0.20670630528358563</v>
      </c>
      <c r="R284" s="244">
        <f t="shared" si="254"/>
        <v>0.239186376081957</v>
      </c>
      <c r="S284" s="244">
        <f t="shared" si="254"/>
        <v>0.27286918343909489</v>
      </c>
      <c r="T284" s="244">
        <f t="shared" si="254"/>
        <v>0.30958634084770975</v>
      </c>
      <c r="U284" s="244">
        <f t="shared" si="254"/>
        <v>0.35065814596765982</v>
      </c>
      <c r="V284" s="244">
        <f t="shared" si="254"/>
        <v>0.39680159451148705</v>
      </c>
      <c r="W284" s="244">
        <f t="shared" si="254"/>
        <v>0.44866342796092223</v>
      </c>
      <c r="X284" s="244">
        <f t="shared" si="254"/>
        <v>0.50697480444129617</v>
      </c>
      <c r="Y284" s="2"/>
      <c r="Z284" s="2"/>
      <c r="AA284" s="151">
        <v>-0.01</v>
      </c>
      <c r="AB284" s="137">
        <v>0.11</v>
      </c>
      <c r="AC284" s="151">
        <v>0</v>
      </c>
      <c r="AD284" s="137" t="e">
        <v>#VALUE!</v>
      </c>
      <c r="AE284" s="151">
        <v>0.01</v>
      </c>
      <c r="AF284" s="137" t="e">
        <v>#VALUE!</v>
      </c>
      <c r="AG284" s="2"/>
      <c r="AH284" s="2"/>
      <c r="AI284" s="2"/>
    </row>
    <row r="285" spans="1:35" x14ac:dyDescent="0.25">
      <c r="A285" s="20"/>
      <c r="B285" s="33" t="s">
        <v>353</v>
      </c>
      <c r="C285" s="27" t="s">
        <v>117</v>
      </c>
      <c r="D285" s="32"/>
      <c r="E285" s="29"/>
      <c r="F285" s="29"/>
      <c r="G285" s="29"/>
      <c r="H285" s="29"/>
      <c r="I285" s="29"/>
      <c r="J285" s="29"/>
      <c r="K285" s="29"/>
      <c r="L285" s="249">
        <f>L284/Value!$D$4</f>
        <v>6.6285614934909767E-2</v>
      </c>
      <c r="M285" s="249">
        <f>M284/Value!$D$4</f>
        <v>2.8565440474434756E-2</v>
      </c>
      <c r="N285" s="249">
        <f>N284/Value!$D$4</f>
        <v>4.2121179393022873E-2</v>
      </c>
      <c r="O285" s="249">
        <f>O284/Value!$D$4</f>
        <v>6.2745489015362602E-2</v>
      </c>
      <c r="P285" s="249">
        <f>P284/Value!$D$4</f>
        <v>7.5266228143431993E-2</v>
      </c>
      <c r="Q285" s="249">
        <f>Q284/Value!$D$4</f>
        <v>8.7960129907908774E-2</v>
      </c>
      <c r="R285" s="249">
        <f>R284/Value!$D$4</f>
        <v>0.10178143663062</v>
      </c>
      <c r="S285" s="249">
        <f>S284/Value!$D$4</f>
        <v>0.11611454614429569</v>
      </c>
      <c r="T285" s="249">
        <f>T284/Value!$D$4</f>
        <v>0.13173886844583393</v>
      </c>
      <c r="U285" s="249">
        <f>U284/Value!$D$4</f>
        <v>0.14921623232666376</v>
      </c>
      <c r="V285" s="249">
        <f>V284/Value!$D$4</f>
        <v>0.16885174234531364</v>
      </c>
      <c r="W285" s="249">
        <f>W284/Value!$D$4</f>
        <v>0.19092060764294563</v>
      </c>
      <c r="X285" s="249">
        <f>X284/Value!$D$4</f>
        <v>0.21573395933672176</v>
      </c>
      <c r="Y285" s="2"/>
      <c r="Z285" s="2"/>
      <c r="AA285" s="128">
        <v>-1.9E-2</v>
      </c>
      <c r="AB285" s="107" t="e">
        <v>#VALUE!</v>
      </c>
      <c r="AC285" s="128">
        <v>3.0000000000000001E-3</v>
      </c>
      <c r="AD285" s="107" t="e">
        <v>#VALUE!</v>
      </c>
      <c r="AE285" s="128">
        <v>2.1000000000000001E-2</v>
      </c>
      <c r="AF285" s="107" t="e">
        <v>#VALUE!</v>
      </c>
      <c r="AG285" s="2"/>
      <c r="AH285" s="2"/>
      <c r="AI285" s="2"/>
    </row>
    <row r="286" spans="1:35" x14ac:dyDescent="0.25">
      <c r="A286" s="20"/>
      <c r="B286" s="33" t="s">
        <v>354</v>
      </c>
      <c r="C286" s="27" t="s">
        <v>117</v>
      </c>
      <c r="D286" s="32"/>
      <c r="E286" s="29"/>
      <c r="F286" s="29"/>
      <c r="G286" s="29"/>
      <c r="H286" s="29"/>
      <c r="I286" s="29"/>
      <c r="J286" s="29"/>
      <c r="K286" s="40"/>
      <c r="L286" s="226">
        <f>L281/L$10</f>
        <v>5.195452732349426E-2</v>
      </c>
      <c r="M286" s="226">
        <f t="shared" ref="M286:X286" si="255">M281/M$10</f>
        <v>3.5999257747262967E-2</v>
      </c>
      <c r="N286" s="226">
        <f t="shared" si="255"/>
        <v>2.9057061918251654E-2</v>
      </c>
      <c r="O286" s="226">
        <f t="shared" si="255"/>
        <v>3.9474283138171327E-2</v>
      </c>
      <c r="P286" s="226">
        <f t="shared" si="255"/>
        <v>4.1003160576294682E-2</v>
      </c>
      <c r="Q286" s="226">
        <f t="shared" si="255"/>
        <v>4.2490333294359417E-2</v>
      </c>
      <c r="R286" s="226">
        <f t="shared" si="255"/>
        <v>4.3813851992973926E-2</v>
      </c>
      <c r="S286" s="226">
        <f t="shared" si="255"/>
        <v>4.4702254155742742E-2</v>
      </c>
      <c r="T286" s="226">
        <f t="shared" si="255"/>
        <v>4.5598773084749251E-2</v>
      </c>
      <c r="U286" s="226">
        <f t="shared" si="255"/>
        <v>4.6461196678639176E-2</v>
      </c>
      <c r="V286" s="226">
        <f t="shared" si="255"/>
        <v>4.7308791819666553E-2</v>
      </c>
      <c r="W286" s="226">
        <f t="shared" si="255"/>
        <v>4.8142917246148831E-2</v>
      </c>
      <c r="X286" s="226">
        <f t="shared" si="255"/>
        <v>4.896479504602308E-2</v>
      </c>
      <c r="Y286" s="2"/>
      <c r="Z286" s="2"/>
      <c r="AA286" s="128">
        <v>0.108</v>
      </c>
      <c r="AB286" s="129">
        <v>-7.9000000000000001E-2</v>
      </c>
      <c r="AC286" s="128">
        <v>0.22</v>
      </c>
      <c r="AD286" s="129">
        <v>-0.18099999999999999</v>
      </c>
      <c r="AE286" s="128">
        <v>0.26</v>
      </c>
      <c r="AF286" s="107" t="e">
        <v>#VALUE!</v>
      </c>
      <c r="AG286" s="2"/>
      <c r="AH286" s="2"/>
      <c r="AI286" s="2"/>
    </row>
    <row r="287" spans="1:35" x14ac:dyDescent="0.25">
      <c r="A287" s="20"/>
      <c r="B287" s="33" t="s">
        <v>337</v>
      </c>
      <c r="C287" s="27" t="s">
        <v>117</v>
      </c>
      <c r="D287" s="32"/>
      <c r="E287" s="29"/>
      <c r="F287" s="29"/>
      <c r="G287" s="29"/>
      <c r="H287" s="29"/>
      <c r="I287" s="29"/>
      <c r="J287" s="29"/>
      <c r="K287" s="40"/>
      <c r="L287" s="226">
        <f t="shared" ref="L287:X288" si="256">L282/L$10</f>
        <v>-9.3737534902273642E-3</v>
      </c>
      <c r="M287" s="226">
        <f t="shared" si="256"/>
        <v>-1.8927444794952678E-2</v>
      </c>
      <c r="N287" s="226">
        <f t="shared" si="256"/>
        <v>-6.960744637798463E-3</v>
      </c>
      <c r="O287" s="226">
        <f t="shared" si="256"/>
        <v>-1.1898625368595973E-2</v>
      </c>
      <c r="P287" s="226">
        <f t="shared" si="256"/>
        <v>-1.1682919312671769E-2</v>
      </c>
      <c r="Q287" s="226">
        <f t="shared" si="256"/>
        <v>-1.1521042353560097E-2</v>
      </c>
      <c r="R287" s="226">
        <f t="shared" si="256"/>
        <v>-1.1376793462417201E-2</v>
      </c>
      <c r="S287" s="226">
        <f t="shared" si="256"/>
        <v>-1.1244807157734432E-2</v>
      </c>
      <c r="T287" s="226">
        <f t="shared" si="256"/>
        <v>-1.1130325945694981E-2</v>
      </c>
      <c r="U287" s="226">
        <f t="shared" si="256"/>
        <v>-1.1025924979630031E-2</v>
      </c>
      <c r="V287" s="226">
        <f t="shared" si="256"/>
        <v>-1.0930742965856183E-2</v>
      </c>
      <c r="W287" s="226">
        <f t="shared" si="256"/>
        <v>-1.0843994066074579E-2</v>
      </c>
      <c r="X287" s="226">
        <f t="shared" si="256"/>
        <v>-1.0764960266507351E-2</v>
      </c>
      <c r="Y287" s="2"/>
      <c r="Z287" s="2"/>
      <c r="AA287" s="128">
        <v>0.23799999999999999</v>
      </c>
      <c r="AB287" s="129">
        <v>-0.23100000000000001</v>
      </c>
      <c r="AC287" s="128">
        <v>0.20300000000000001</v>
      </c>
      <c r="AD287" s="129">
        <v>-0.191</v>
      </c>
      <c r="AE287" s="128">
        <v>0.17100000000000001</v>
      </c>
      <c r="AF287" s="129">
        <v>-0.159</v>
      </c>
      <c r="AG287" s="2"/>
      <c r="AH287" s="2"/>
      <c r="AI287" s="2"/>
    </row>
    <row r="288" spans="1:35" x14ac:dyDescent="0.25">
      <c r="A288" s="20"/>
      <c r="B288" s="33" t="s">
        <v>355</v>
      </c>
      <c r="C288" s="27" t="s">
        <v>117</v>
      </c>
      <c r="D288" s="32"/>
      <c r="E288" s="29"/>
      <c r="F288" s="29"/>
      <c r="G288" s="29"/>
      <c r="H288" s="29"/>
      <c r="I288" s="29"/>
      <c r="J288" s="29"/>
      <c r="K288" s="40"/>
      <c r="L288" s="226">
        <f t="shared" si="256"/>
        <v>4.2580773833266902E-2</v>
      </c>
      <c r="M288" s="226">
        <f t="shared" si="256"/>
        <v>1.7071812952310292E-2</v>
      </c>
      <c r="N288" s="226">
        <f t="shared" si="256"/>
        <v>2.2096317280453193E-2</v>
      </c>
      <c r="O288" s="226">
        <f t="shared" si="256"/>
        <v>2.7575657769575351E-2</v>
      </c>
      <c r="P288" s="226">
        <f t="shared" si="256"/>
        <v>2.9320241263622916E-2</v>
      </c>
      <c r="Q288" s="226">
        <f t="shared" si="256"/>
        <v>3.096929094079932E-2</v>
      </c>
      <c r="R288" s="226">
        <f t="shared" si="256"/>
        <v>3.2437058530556721E-2</v>
      </c>
      <c r="S288" s="226">
        <f t="shared" si="256"/>
        <v>3.345744699800831E-2</v>
      </c>
      <c r="T288" s="226">
        <f t="shared" si="256"/>
        <v>3.4468447139054267E-2</v>
      </c>
      <c r="U288" s="226">
        <f t="shared" si="256"/>
        <v>3.543527169900914E-2</v>
      </c>
      <c r="V288" s="226">
        <f t="shared" si="256"/>
        <v>3.6378048853810366E-2</v>
      </c>
      <c r="W288" s="226">
        <f t="shared" si="256"/>
        <v>3.7298923180074252E-2</v>
      </c>
      <c r="X288" s="226">
        <f t="shared" si="256"/>
        <v>3.8199834779515725E-2</v>
      </c>
      <c r="Y288" s="2"/>
      <c r="Z288" s="2"/>
      <c r="AA288" s="128">
        <v>-0.13</v>
      </c>
      <c r="AB288" s="129">
        <v>0.152</v>
      </c>
      <c r="AC288" s="128">
        <v>1.7000000000000001E-2</v>
      </c>
      <c r="AD288" s="129">
        <v>0.01</v>
      </c>
      <c r="AE288" s="128">
        <v>8.8999999999999996E-2</v>
      </c>
      <c r="AF288" s="107" t="e">
        <v>#VALUE!</v>
      </c>
      <c r="AG288" s="2"/>
      <c r="AH288" s="2"/>
      <c r="AI288" s="2"/>
    </row>
    <row r="289" spans="1:35" x14ac:dyDescent="0.25">
      <c r="A289" s="307"/>
      <c r="B289" s="308"/>
      <c r="C289" s="158"/>
      <c r="D289" s="159"/>
      <c r="E289" s="160"/>
      <c r="F289" s="160"/>
      <c r="G289" s="160"/>
      <c r="H289" s="160"/>
      <c r="I289" s="160"/>
      <c r="J289" s="160"/>
      <c r="K289" s="160"/>
      <c r="L289" s="10"/>
      <c r="M289" s="10"/>
      <c r="N289" s="10"/>
      <c r="O289" s="10"/>
      <c r="P289" s="10"/>
      <c r="Q289" s="10"/>
      <c r="R289" s="10"/>
      <c r="S289" s="10"/>
      <c r="T289" s="10"/>
      <c r="U289" s="10"/>
      <c r="V289" s="10"/>
      <c r="W289" s="10"/>
      <c r="X289" s="10"/>
      <c r="Y289" s="10"/>
      <c r="Z289" s="10"/>
      <c r="AA289" s="161"/>
      <c r="AB289" s="162"/>
      <c r="AC289" s="161"/>
      <c r="AD289" s="162"/>
      <c r="AE289" s="161"/>
      <c r="AF289" s="162"/>
      <c r="AG289" s="10"/>
      <c r="AH289" s="10"/>
      <c r="AI289" s="10"/>
    </row>
    <row r="290" spans="1:35" x14ac:dyDescent="0.25">
      <c r="A290" s="20"/>
      <c r="B290" s="30" t="s">
        <v>356</v>
      </c>
      <c r="C290" s="55"/>
      <c r="D290" s="32"/>
      <c r="E290" s="2"/>
      <c r="F290" s="2"/>
      <c r="G290" s="2"/>
      <c r="H290" s="2"/>
      <c r="I290" s="2"/>
      <c r="J290" s="2"/>
      <c r="K290" s="2"/>
      <c r="L290" s="2"/>
      <c r="M290" s="2"/>
      <c r="N290" s="2"/>
      <c r="O290" s="2"/>
      <c r="P290" s="2"/>
      <c r="Q290" s="2"/>
      <c r="R290" s="2"/>
      <c r="S290" s="2"/>
      <c r="T290" s="2"/>
      <c r="U290" s="2"/>
      <c r="V290" s="2"/>
      <c r="W290" s="2"/>
      <c r="X290" s="2"/>
      <c r="Y290" s="2"/>
      <c r="Z290" s="2"/>
      <c r="AA290" s="99"/>
      <c r="AB290" s="3"/>
      <c r="AC290" s="99"/>
      <c r="AD290" s="3"/>
      <c r="AE290" s="99"/>
      <c r="AF290" s="3"/>
      <c r="AG290" s="2"/>
      <c r="AH290" s="2"/>
      <c r="AI290" s="2"/>
    </row>
    <row r="291" spans="1:35" x14ac:dyDescent="0.25">
      <c r="A291" s="20"/>
      <c r="B291" s="33" t="s">
        <v>349</v>
      </c>
      <c r="C291" s="27" t="s">
        <v>67</v>
      </c>
      <c r="D291" s="32"/>
      <c r="E291" s="29"/>
      <c r="F291" s="29"/>
      <c r="G291" s="29"/>
      <c r="H291" s="29"/>
      <c r="I291" s="29"/>
      <c r="J291" s="29"/>
      <c r="K291" s="29"/>
      <c r="L291" s="29"/>
      <c r="M291" s="29"/>
      <c r="N291" s="29"/>
      <c r="O291" s="29"/>
      <c r="P291" s="29"/>
      <c r="Q291" s="29"/>
      <c r="R291" s="29"/>
      <c r="S291" s="29"/>
      <c r="T291" s="29"/>
      <c r="U291" s="29"/>
      <c r="V291" s="29"/>
      <c r="W291" s="29"/>
      <c r="X291" s="29"/>
      <c r="Y291" s="2"/>
      <c r="Z291" s="2"/>
      <c r="AA291" s="106">
        <v>-15</v>
      </c>
      <c r="AB291" s="107">
        <v>43</v>
      </c>
      <c r="AC291" s="106">
        <v>3</v>
      </c>
      <c r="AD291" s="107">
        <v>38</v>
      </c>
      <c r="AE291" s="106">
        <v>17</v>
      </c>
      <c r="AF291" s="107" t="e">
        <v>#VALUE!</v>
      </c>
      <c r="AG291" s="2"/>
      <c r="AH291" s="2"/>
      <c r="AI291" s="2"/>
    </row>
    <row r="292" spans="1:35" x14ac:dyDescent="0.25">
      <c r="A292" s="20"/>
      <c r="B292" s="33" t="s">
        <v>272</v>
      </c>
      <c r="C292" s="27" t="s">
        <v>67</v>
      </c>
      <c r="D292" s="32"/>
      <c r="E292" s="29"/>
      <c r="F292" s="29"/>
      <c r="G292" s="29"/>
      <c r="H292" s="29"/>
      <c r="I292" s="29"/>
      <c r="J292" s="29"/>
      <c r="K292" s="29"/>
      <c r="L292" s="29"/>
      <c r="M292" s="29"/>
      <c r="N292" s="29"/>
      <c r="O292" s="29"/>
      <c r="P292" s="29"/>
      <c r="Q292" s="29"/>
      <c r="R292" s="29"/>
      <c r="S292" s="29"/>
      <c r="T292" s="29"/>
      <c r="U292" s="29"/>
      <c r="V292" s="29"/>
      <c r="W292" s="29"/>
      <c r="X292" s="29"/>
      <c r="Y292" s="2"/>
      <c r="Z292" s="2"/>
      <c r="AA292" s="106">
        <v>0</v>
      </c>
      <c r="AB292" s="107">
        <v>25</v>
      </c>
      <c r="AC292" s="106">
        <v>0</v>
      </c>
      <c r="AD292" s="107" t="e">
        <v>#VALUE!</v>
      </c>
      <c r="AE292" s="106">
        <v>0</v>
      </c>
      <c r="AF292" s="107" t="e">
        <v>#VALUE!</v>
      </c>
      <c r="AG292" s="2"/>
      <c r="AH292" s="2"/>
      <c r="AI292" s="2"/>
    </row>
    <row r="293" spans="1:35" x14ac:dyDescent="0.25">
      <c r="A293" s="20"/>
      <c r="B293" s="33" t="s">
        <v>357</v>
      </c>
      <c r="C293" s="27" t="s">
        <v>67</v>
      </c>
      <c r="D293" s="32"/>
      <c r="E293" s="29"/>
      <c r="F293" s="29"/>
      <c r="G293" s="29"/>
      <c r="H293" s="29"/>
      <c r="I293" s="29"/>
      <c r="J293" s="29"/>
      <c r="K293" s="29"/>
      <c r="L293" s="29"/>
      <c r="M293" s="29"/>
      <c r="N293" s="29"/>
      <c r="O293" s="29"/>
      <c r="P293" s="29"/>
      <c r="Q293" s="29"/>
      <c r="R293" s="29"/>
      <c r="S293" s="29"/>
      <c r="T293" s="29"/>
      <c r="U293" s="29"/>
      <c r="V293" s="29"/>
      <c r="W293" s="29"/>
      <c r="X293" s="29"/>
      <c r="Y293" s="2"/>
      <c r="Z293" s="2"/>
      <c r="AA293" s="106">
        <v>5</v>
      </c>
      <c r="AB293" s="107">
        <v>-5</v>
      </c>
      <c r="AC293" s="106">
        <v>0</v>
      </c>
      <c r="AD293" s="107">
        <v>0</v>
      </c>
      <c r="AE293" s="106">
        <v>0</v>
      </c>
      <c r="AF293" s="107">
        <v>0</v>
      </c>
      <c r="AG293" s="2"/>
      <c r="AH293" s="2"/>
      <c r="AI293" s="2"/>
    </row>
    <row r="294" spans="1:35" x14ac:dyDescent="0.25">
      <c r="A294" s="20"/>
      <c r="B294" s="33" t="s">
        <v>358</v>
      </c>
      <c r="C294" s="27" t="s">
        <v>67</v>
      </c>
      <c r="D294" s="32"/>
      <c r="E294" s="29"/>
      <c r="F294" s="29"/>
      <c r="G294" s="29"/>
      <c r="H294" s="29"/>
      <c r="I294" s="29"/>
      <c r="J294" s="29"/>
      <c r="K294" s="29"/>
      <c r="L294" s="29"/>
      <c r="M294" s="29"/>
      <c r="N294" s="29"/>
      <c r="O294" s="29"/>
      <c r="P294" s="29"/>
      <c r="Q294" s="29"/>
      <c r="R294" s="29"/>
      <c r="S294" s="29"/>
      <c r="T294" s="29"/>
      <c r="U294" s="29"/>
      <c r="V294" s="29"/>
      <c r="W294" s="29"/>
      <c r="X294" s="29"/>
      <c r="Y294" s="2"/>
      <c r="Z294" s="2"/>
      <c r="AA294" s="106">
        <v>-20</v>
      </c>
      <c r="AB294" s="107">
        <v>23</v>
      </c>
      <c r="AC294" s="106">
        <v>3</v>
      </c>
      <c r="AD294" s="107" t="e">
        <v>#VALUE!</v>
      </c>
      <c r="AE294" s="106">
        <v>17</v>
      </c>
      <c r="AF294" s="107" t="e">
        <v>#VALUE!</v>
      </c>
      <c r="AG294" s="2"/>
      <c r="AH294" s="2"/>
      <c r="AI294" s="2"/>
    </row>
    <row r="295" spans="1:35" x14ac:dyDescent="0.25">
      <c r="A295" s="20"/>
      <c r="B295" s="33" t="s">
        <v>359</v>
      </c>
      <c r="C295" s="27" t="s">
        <v>271</v>
      </c>
      <c r="D295" s="32"/>
      <c r="E295" s="29"/>
      <c r="F295" s="29"/>
      <c r="G295" s="29"/>
      <c r="H295" s="29"/>
      <c r="I295" s="29"/>
      <c r="J295" s="29"/>
      <c r="K295" s="29"/>
      <c r="L295" s="29"/>
      <c r="M295" s="29"/>
      <c r="N295" s="29"/>
      <c r="O295" s="29"/>
      <c r="P295" s="29"/>
      <c r="Q295" s="29"/>
      <c r="R295" s="29"/>
      <c r="S295" s="29"/>
      <c r="T295" s="29"/>
      <c r="U295" s="29"/>
      <c r="V295" s="29"/>
      <c r="W295" s="29"/>
      <c r="X295" s="29"/>
      <c r="Y295" s="2"/>
      <c r="Z295" s="2"/>
      <c r="AA295" s="106">
        <v>1.1000000000000001</v>
      </c>
      <c r="AB295" s="107">
        <v>-1.32</v>
      </c>
      <c r="AC295" s="106">
        <v>0.37</v>
      </c>
      <c r="AD295" s="107" t="e">
        <v>#VALUE!</v>
      </c>
      <c r="AE295" s="106">
        <v>0</v>
      </c>
      <c r="AF295" s="107" t="e">
        <v>#VALUE!</v>
      </c>
      <c r="AG295" s="2"/>
      <c r="AH295" s="2"/>
      <c r="AI295" s="2"/>
    </row>
    <row r="296" spans="1:35" x14ac:dyDescent="0.25">
      <c r="A296" s="307"/>
      <c r="B296" s="308"/>
      <c r="C296" s="158"/>
      <c r="D296" s="159"/>
      <c r="E296" s="160"/>
      <c r="F296" s="160"/>
      <c r="G296" s="160"/>
      <c r="H296" s="160"/>
      <c r="I296" s="160"/>
      <c r="J296" s="160"/>
      <c r="K296" s="160"/>
      <c r="L296" s="10"/>
      <c r="M296" s="10"/>
      <c r="N296" s="10"/>
      <c r="O296" s="10"/>
      <c r="P296" s="10"/>
      <c r="Q296" s="10"/>
      <c r="R296" s="10"/>
      <c r="S296" s="10"/>
      <c r="T296" s="10"/>
      <c r="U296" s="10"/>
      <c r="V296" s="10"/>
      <c r="W296" s="10"/>
      <c r="X296" s="10"/>
      <c r="Y296" s="10"/>
      <c r="Z296" s="10"/>
      <c r="AA296" s="161"/>
      <c r="AB296" s="162"/>
      <c r="AC296" s="161"/>
      <c r="AD296" s="162"/>
      <c r="AE296" s="161"/>
      <c r="AF296" s="162"/>
      <c r="AG296" s="10"/>
      <c r="AH296" s="10"/>
      <c r="AI296" s="10"/>
    </row>
    <row r="297" spans="1:35" x14ac:dyDescent="0.25">
      <c r="A297" s="20"/>
      <c r="B297" s="30" t="s">
        <v>356</v>
      </c>
      <c r="C297" s="55"/>
      <c r="D297" s="32"/>
      <c r="E297" s="2"/>
      <c r="F297" s="2"/>
      <c r="G297" s="2"/>
      <c r="H297" s="2"/>
      <c r="I297" s="2"/>
      <c r="J297" s="2"/>
      <c r="K297" s="2"/>
      <c r="L297" s="2"/>
      <c r="M297" s="2"/>
      <c r="N297" s="2"/>
      <c r="O297" s="2"/>
      <c r="P297" s="2"/>
      <c r="Q297" s="2"/>
      <c r="R297" s="2"/>
      <c r="S297" s="2"/>
      <c r="T297" s="2"/>
      <c r="U297" s="2"/>
      <c r="V297" s="2"/>
      <c r="W297" s="2"/>
      <c r="X297" s="2"/>
      <c r="Y297" s="2"/>
      <c r="Z297" s="2"/>
      <c r="AA297" s="99"/>
      <c r="AB297" s="3"/>
      <c r="AC297" s="99"/>
      <c r="AD297" s="3"/>
      <c r="AE297" s="99"/>
      <c r="AF297" s="3"/>
      <c r="AG297" s="2"/>
      <c r="AH297" s="2"/>
      <c r="AI297" s="2"/>
    </row>
    <row r="298" spans="1:35" x14ac:dyDescent="0.25">
      <c r="A298" s="20"/>
      <c r="B298" s="33" t="s">
        <v>151</v>
      </c>
      <c r="C298" s="27" t="s">
        <v>67</v>
      </c>
      <c r="D298" s="32"/>
      <c r="E298" s="29"/>
      <c r="F298" s="29"/>
      <c r="G298" s="29"/>
      <c r="H298" s="29"/>
      <c r="I298" s="29"/>
      <c r="J298" s="29"/>
      <c r="K298" s="29"/>
      <c r="L298" s="29"/>
      <c r="M298" s="29"/>
      <c r="N298" s="29"/>
      <c r="O298" s="29"/>
      <c r="P298" s="29"/>
      <c r="Q298" s="29"/>
      <c r="R298" s="29"/>
      <c r="S298" s="29"/>
      <c r="T298" s="29"/>
      <c r="U298" s="29"/>
      <c r="V298" s="29"/>
      <c r="W298" s="29"/>
      <c r="X298" s="29"/>
      <c r="Y298" s="2"/>
      <c r="Z298" s="2"/>
      <c r="AA298" s="106">
        <v>-22</v>
      </c>
      <c r="AB298" s="107">
        <v>63</v>
      </c>
      <c r="AC298" s="106">
        <v>-8</v>
      </c>
      <c r="AD298" s="107">
        <v>60</v>
      </c>
      <c r="AE298" s="106">
        <v>3</v>
      </c>
      <c r="AF298" s="107" t="e">
        <v>#VALUE!</v>
      </c>
      <c r="AG298" s="2"/>
      <c r="AH298" s="2"/>
      <c r="AI298" s="2"/>
    </row>
    <row r="299" spans="1:35" x14ac:dyDescent="0.25">
      <c r="A299" s="20"/>
      <c r="B299" s="33" t="s">
        <v>349</v>
      </c>
      <c r="C299" s="27" t="s">
        <v>67</v>
      </c>
      <c r="D299" s="32"/>
      <c r="E299" s="29"/>
      <c r="F299" s="29"/>
      <c r="G299" s="29"/>
      <c r="H299" s="29"/>
      <c r="I299" s="29"/>
      <c r="J299" s="29"/>
      <c r="K299" s="29"/>
      <c r="L299" s="29"/>
      <c r="M299" s="29"/>
      <c r="N299" s="29"/>
      <c r="O299" s="29"/>
      <c r="P299" s="29"/>
      <c r="Q299" s="29"/>
      <c r="R299" s="29"/>
      <c r="S299" s="29"/>
      <c r="T299" s="29"/>
      <c r="U299" s="29"/>
      <c r="V299" s="29"/>
      <c r="W299" s="29"/>
      <c r="X299" s="29"/>
      <c r="Y299" s="2"/>
      <c r="Z299" s="2"/>
      <c r="AA299" s="106">
        <v>-15</v>
      </c>
      <c r="AB299" s="107">
        <v>43</v>
      </c>
      <c r="AC299" s="106">
        <v>3</v>
      </c>
      <c r="AD299" s="107">
        <v>38</v>
      </c>
      <c r="AE299" s="106">
        <v>17</v>
      </c>
      <c r="AF299" s="107" t="e">
        <v>#VALUE!</v>
      </c>
      <c r="AG299" s="2"/>
      <c r="AH299" s="2"/>
      <c r="AI299" s="2"/>
    </row>
    <row r="300" spans="1:35" x14ac:dyDescent="0.25">
      <c r="A300" s="20"/>
      <c r="B300" s="33" t="s">
        <v>360</v>
      </c>
      <c r="C300" s="27" t="s">
        <v>67</v>
      </c>
      <c r="D300" s="32"/>
      <c r="E300" s="29"/>
      <c r="F300" s="29"/>
      <c r="G300" s="29"/>
      <c r="H300" s="29"/>
      <c r="I300" s="29"/>
      <c r="J300" s="29"/>
      <c r="K300" s="29"/>
      <c r="L300" s="29"/>
      <c r="M300" s="29"/>
      <c r="N300" s="29"/>
      <c r="O300" s="29"/>
      <c r="P300" s="29"/>
      <c r="Q300" s="29"/>
      <c r="R300" s="29"/>
      <c r="S300" s="29"/>
      <c r="T300" s="29"/>
      <c r="U300" s="29"/>
      <c r="V300" s="29"/>
      <c r="W300" s="29"/>
      <c r="X300" s="29"/>
      <c r="Y300" s="2"/>
      <c r="Z300" s="2"/>
      <c r="AA300" s="106">
        <v>0</v>
      </c>
      <c r="AB300" s="107">
        <v>25</v>
      </c>
      <c r="AC300" s="106">
        <v>0</v>
      </c>
      <c r="AD300" s="107" t="e">
        <v>#VALUE!</v>
      </c>
      <c r="AE300" s="106">
        <v>0</v>
      </c>
      <c r="AF300" s="107" t="e">
        <v>#VALUE!</v>
      </c>
      <c r="AG300" s="2"/>
      <c r="AH300" s="2"/>
      <c r="AI300" s="2"/>
    </row>
    <row r="301" spans="1:35" x14ac:dyDescent="0.25">
      <c r="A301" s="20"/>
      <c r="B301" s="33" t="s">
        <v>361</v>
      </c>
      <c r="C301" s="27" t="s">
        <v>117</v>
      </c>
      <c r="D301" s="32"/>
      <c r="E301" s="29"/>
      <c r="F301" s="29"/>
      <c r="G301" s="29"/>
      <c r="H301" s="29"/>
      <c r="I301" s="41"/>
      <c r="J301" s="41"/>
      <c r="K301" s="41"/>
      <c r="L301" s="41"/>
      <c r="M301" s="41"/>
      <c r="N301" s="41"/>
      <c r="O301" s="41"/>
      <c r="P301" s="29"/>
      <c r="Q301" s="29"/>
      <c r="R301" s="29"/>
      <c r="S301" s="29"/>
      <c r="T301" s="29"/>
      <c r="U301" s="29"/>
      <c r="V301" s="29"/>
      <c r="W301" s="29"/>
      <c r="X301" s="29"/>
      <c r="Y301" s="2"/>
      <c r="Z301" s="2"/>
      <c r="AA301" s="113">
        <v>-2.2599999999999998</v>
      </c>
      <c r="AB301" s="114">
        <v>3.52</v>
      </c>
      <c r="AC301" s="113">
        <v>-6.52</v>
      </c>
      <c r="AD301" s="114">
        <v>7.51</v>
      </c>
      <c r="AE301" s="113">
        <v>16.73</v>
      </c>
      <c r="AF301" s="107" t="e">
        <v>#VALUE!</v>
      </c>
      <c r="AG301" s="2"/>
      <c r="AH301" s="2"/>
      <c r="AI301" s="2"/>
    </row>
    <row r="302" spans="1:35" x14ac:dyDescent="0.25">
      <c r="A302" s="20"/>
      <c r="B302" s="33" t="s">
        <v>362</v>
      </c>
      <c r="C302" s="27" t="s">
        <v>117</v>
      </c>
      <c r="D302" s="32"/>
      <c r="E302" s="29"/>
      <c r="F302" s="29"/>
      <c r="G302" s="29"/>
      <c r="H302" s="29"/>
      <c r="I302" s="29"/>
      <c r="J302" s="29"/>
      <c r="K302" s="29"/>
      <c r="L302" s="41"/>
      <c r="M302" s="41"/>
      <c r="N302" s="41"/>
      <c r="O302" s="41"/>
      <c r="P302" s="29"/>
      <c r="Q302" s="29"/>
      <c r="R302" s="29"/>
      <c r="S302" s="29"/>
      <c r="T302" s="29"/>
      <c r="U302" s="29"/>
      <c r="V302" s="29"/>
      <c r="W302" s="29"/>
      <c r="X302" s="29"/>
      <c r="Y302" s="2"/>
      <c r="Z302" s="2"/>
      <c r="AA302" s="113">
        <v>-3.23</v>
      </c>
      <c r="AB302" s="114">
        <v>5.12</v>
      </c>
      <c r="AC302" s="113">
        <v>18.54</v>
      </c>
      <c r="AD302" s="114">
        <v>-17.29</v>
      </c>
      <c r="AE302" s="113">
        <v>2.81</v>
      </c>
      <c r="AF302" s="107" t="e">
        <v>#VALUE!</v>
      </c>
      <c r="AG302" s="2"/>
      <c r="AH302" s="2"/>
      <c r="AI302" s="2"/>
    </row>
    <row r="303" spans="1:35" x14ac:dyDescent="0.25">
      <c r="A303" s="307"/>
      <c r="B303" s="308"/>
      <c r="C303" s="55"/>
      <c r="D303" s="32"/>
      <c r="E303" s="47"/>
      <c r="F303" s="47"/>
      <c r="G303" s="47"/>
      <c r="H303" s="47"/>
      <c r="I303" s="47"/>
      <c r="J303" s="47"/>
      <c r="K303" s="47"/>
      <c r="L303" s="47"/>
      <c r="M303" s="47"/>
      <c r="N303" s="47"/>
      <c r="O303" s="47"/>
      <c r="P303" s="47"/>
      <c r="Q303" s="47"/>
      <c r="R303" s="47"/>
      <c r="S303" s="47"/>
      <c r="T303" s="47"/>
      <c r="U303" s="47"/>
      <c r="V303" s="47"/>
      <c r="W303" s="47"/>
      <c r="X303" s="47"/>
      <c r="Y303" s="2"/>
      <c r="Z303" s="2"/>
      <c r="AA303" s="59"/>
      <c r="AB303" s="142"/>
      <c r="AC303" s="59"/>
      <c r="AD303" s="142"/>
      <c r="AE303" s="59"/>
      <c r="AF303" s="142"/>
      <c r="AG303" s="2"/>
      <c r="AH303" s="2"/>
      <c r="AI303" s="2"/>
    </row>
    <row r="304" spans="1:35" x14ac:dyDescent="0.25">
      <c r="A304" s="20"/>
      <c r="B304" s="21" t="s">
        <v>363</v>
      </c>
      <c r="C304" s="147"/>
      <c r="D304" s="148"/>
      <c r="E304" s="154"/>
      <c r="F304" s="154"/>
      <c r="G304" s="154"/>
      <c r="H304" s="154"/>
      <c r="I304" s="154"/>
      <c r="J304" s="154"/>
      <c r="K304" s="154"/>
      <c r="L304" s="154"/>
      <c r="M304" s="154"/>
      <c r="N304" s="154"/>
      <c r="O304" s="154">
        <f>N304+1</f>
        <v>1</v>
      </c>
      <c r="P304" s="154">
        <f t="shared" ref="P304:X304" si="257">O304+1</f>
        <v>2</v>
      </c>
      <c r="Q304" s="154">
        <f t="shared" si="257"/>
        <v>3</v>
      </c>
      <c r="R304" s="154">
        <f t="shared" si="257"/>
        <v>4</v>
      </c>
      <c r="S304" s="154">
        <f t="shared" si="257"/>
        <v>5</v>
      </c>
      <c r="T304" s="154">
        <f t="shared" si="257"/>
        <v>6</v>
      </c>
      <c r="U304" s="154">
        <f t="shared" si="257"/>
        <v>7</v>
      </c>
      <c r="V304" s="154">
        <f t="shared" si="257"/>
        <v>8</v>
      </c>
      <c r="W304" s="154">
        <f t="shared" si="257"/>
        <v>9</v>
      </c>
      <c r="X304" s="154">
        <f t="shared" si="257"/>
        <v>10</v>
      </c>
      <c r="Y304" s="2"/>
      <c r="Z304" s="2"/>
      <c r="AA304" s="134">
        <v>1</v>
      </c>
      <c r="AB304" s="135">
        <v>-1</v>
      </c>
      <c r="AC304" s="134">
        <v>2</v>
      </c>
      <c r="AD304" s="135">
        <v>-1</v>
      </c>
      <c r="AE304" s="134">
        <v>3</v>
      </c>
      <c r="AF304" s="135">
        <v>-1</v>
      </c>
      <c r="AG304" s="2"/>
      <c r="AH304" s="2"/>
      <c r="AI304" s="2"/>
    </row>
    <row r="305" spans="1:35" x14ac:dyDescent="0.25">
      <c r="A305" s="20"/>
      <c r="B305" s="33" t="s">
        <v>364</v>
      </c>
      <c r="C305" s="27" t="s">
        <v>117</v>
      </c>
      <c r="D305" s="32"/>
      <c r="E305" s="29"/>
      <c r="F305" s="29"/>
      <c r="G305" s="29"/>
      <c r="H305" s="29"/>
      <c r="I305" s="29"/>
      <c r="J305" s="29"/>
      <c r="K305" s="29"/>
      <c r="L305" s="29"/>
      <c r="M305" s="29"/>
      <c r="N305" s="29"/>
      <c r="O305" s="41">
        <f>(1+Value!$K$7)^O304</f>
        <v>1.1120000000000001</v>
      </c>
      <c r="P305" s="41">
        <f>(1+Value!$K$7)^P304</f>
        <v>1.2365440000000003</v>
      </c>
      <c r="Q305" s="41">
        <f>(1+Value!$K$7)^Q304</f>
        <v>1.3750369280000005</v>
      </c>
      <c r="R305" s="41">
        <f>(1+Value!$K$7)^R304</f>
        <v>1.5290410639360008</v>
      </c>
      <c r="S305" s="41">
        <f>(1+Value!$K$7)^S304</f>
        <v>1.7002936630968331</v>
      </c>
      <c r="T305" s="41">
        <f>(1+Value!$K$7)^T304</f>
        <v>1.8907265533636786</v>
      </c>
      <c r="U305" s="41">
        <f>(1+Value!$K$7)^U304</f>
        <v>2.1024879273404111</v>
      </c>
      <c r="V305" s="41">
        <f>(1+Value!$K$7)^V304</f>
        <v>2.3379665752025374</v>
      </c>
      <c r="W305" s="41">
        <f>(1+Value!$K$7)^W304</f>
        <v>2.599818831625222</v>
      </c>
      <c r="X305" s="41">
        <f>(1+Value!$K$7)^X304</f>
        <v>2.8909985407672472</v>
      </c>
      <c r="Y305" s="2"/>
      <c r="Z305" s="2"/>
      <c r="AA305" s="113">
        <v>1.1200000000000001</v>
      </c>
      <c r="AB305" s="114">
        <v>-1.1200000000000001</v>
      </c>
      <c r="AC305" s="113">
        <v>1.26</v>
      </c>
      <c r="AD305" s="114">
        <v>-0.15</v>
      </c>
      <c r="AE305" s="113">
        <v>1.42</v>
      </c>
      <c r="AF305" s="114">
        <v>-0.18</v>
      </c>
      <c r="AG305" s="2"/>
      <c r="AH305" s="2"/>
      <c r="AI305" s="2"/>
    </row>
    <row r="306" spans="1:35" x14ac:dyDescent="0.25">
      <c r="A306" s="20"/>
      <c r="B306" s="33" t="s">
        <v>365</v>
      </c>
      <c r="C306" s="27" t="s">
        <v>267</v>
      </c>
      <c r="D306" s="32"/>
      <c r="E306" s="29"/>
      <c r="F306" s="29"/>
      <c r="G306" s="29"/>
      <c r="H306" s="29"/>
      <c r="I306" s="29"/>
      <c r="J306" s="29"/>
      <c r="K306" s="29"/>
      <c r="L306" s="29"/>
      <c r="M306" s="29"/>
      <c r="N306" s="29"/>
      <c r="O306" s="257">
        <f>O111</f>
        <v>0.12532876843095656</v>
      </c>
      <c r="P306" s="257">
        <f t="shared" ref="P306:W306" si="258">P111</f>
        <v>0.14395741414354887</v>
      </c>
      <c r="Q306" s="257">
        <f t="shared" si="258"/>
        <v>0.16230415070903947</v>
      </c>
      <c r="R306" s="257">
        <f t="shared" si="258"/>
        <v>0.18255750380054711</v>
      </c>
      <c r="S306" s="257">
        <f t="shared" si="258"/>
        <v>0.20368728611199205</v>
      </c>
      <c r="T306" s="257">
        <f t="shared" si="258"/>
        <v>0.22649436077796886</v>
      </c>
      <c r="U306" s="257">
        <f t="shared" si="258"/>
        <v>0.25210838829771481</v>
      </c>
      <c r="V306" s="257">
        <f t="shared" si="258"/>
        <v>0.28087874441974719</v>
      </c>
      <c r="W306" s="257">
        <f t="shared" si="258"/>
        <v>0.31320124975230101</v>
      </c>
      <c r="X306" s="257">
        <f>X111</f>
        <v>0.39773894886325478</v>
      </c>
      <c r="Y306" s="2"/>
      <c r="Z306" s="2"/>
      <c r="AA306" s="106">
        <v>0</v>
      </c>
      <c r="AB306" s="107">
        <v>0</v>
      </c>
      <c r="AC306" s="106">
        <v>0</v>
      </c>
      <c r="AD306" s="107" t="e">
        <v>#VALUE!</v>
      </c>
      <c r="AE306" s="106">
        <v>0</v>
      </c>
      <c r="AF306" s="107" t="e">
        <v>#VALUE!</v>
      </c>
      <c r="AG306" s="2"/>
      <c r="AH306" s="2"/>
      <c r="AI306" s="2"/>
    </row>
    <row r="307" spans="1:35" x14ac:dyDescent="0.25">
      <c r="A307" s="20"/>
      <c r="B307" s="33" t="s">
        <v>366</v>
      </c>
      <c r="C307" s="27" t="s">
        <v>267</v>
      </c>
      <c r="D307" s="32"/>
      <c r="E307" s="29"/>
      <c r="F307" s="29"/>
      <c r="G307" s="29"/>
      <c r="H307" s="29"/>
      <c r="I307" s="29"/>
      <c r="J307" s="29"/>
      <c r="K307" s="29"/>
      <c r="L307" s="29"/>
      <c r="M307" s="29"/>
      <c r="N307" s="29"/>
      <c r="O307" s="29"/>
      <c r="P307" s="29"/>
      <c r="Q307" s="29"/>
      <c r="R307" s="29"/>
      <c r="S307" s="29"/>
      <c r="T307" s="29"/>
      <c r="U307" s="29"/>
      <c r="V307" s="29"/>
      <c r="W307" s="258">
        <f>X306/(Value!K7-Value!K10)</f>
        <v>7.6488259396779803</v>
      </c>
      <c r="X307" s="29"/>
      <c r="Y307" s="2"/>
      <c r="Z307" s="2"/>
      <c r="AA307" s="106"/>
      <c r="AB307" s="107"/>
      <c r="AC307" s="106"/>
      <c r="AD307" s="107"/>
      <c r="AE307" s="106"/>
      <c r="AF307" s="107"/>
      <c r="AG307" s="2"/>
      <c r="AH307" s="2"/>
      <c r="AI307" s="2"/>
    </row>
    <row r="308" spans="1:35" x14ac:dyDescent="0.25">
      <c r="A308" s="20"/>
      <c r="B308" s="163" t="s">
        <v>367</v>
      </c>
      <c r="C308" s="37" t="s">
        <v>267</v>
      </c>
      <c r="D308" s="272">
        <f>SUM(O308:X308)</f>
        <v>4.1462997012274965</v>
      </c>
      <c r="E308" s="50"/>
      <c r="F308" s="50"/>
      <c r="G308" s="50"/>
      <c r="H308" s="50"/>
      <c r="I308" s="50"/>
      <c r="J308" s="50"/>
      <c r="K308" s="50"/>
      <c r="L308" s="50"/>
      <c r="M308" s="50"/>
      <c r="N308" s="50"/>
      <c r="O308" s="255">
        <f>SUM(O306:O307)/O305</f>
        <v>0.11270572700625589</v>
      </c>
      <c r="P308" s="255">
        <f t="shared" ref="P308:X308" si="259">SUM(P306:P307)/P305</f>
        <v>0.1164191602915455</v>
      </c>
      <c r="Q308" s="255">
        <f t="shared" si="259"/>
        <v>0.11803621226748567</v>
      </c>
      <c r="R308" s="255">
        <f t="shared" si="259"/>
        <v>0.11939346045462923</v>
      </c>
      <c r="S308" s="255">
        <f t="shared" si="259"/>
        <v>0.11979535684500867</v>
      </c>
      <c r="T308" s="255">
        <f t="shared" si="259"/>
        <v>0.11979223562234649</v>
      </c>
      <c r="U308" s="255">
        <f t="shared" si="259"/>
        <v>0.11990955335311958</v>
      </c>
      <c r="V308" s="255">
        <f t="shared" si="259"/>
        <v>0.1201380496192144</v>
      </c>
      <c r="W308" s="255">
        <f t="shared" si="259"/>
        <v>3.0625315474205514</v>
      </c>
      <c r="X308" s="255">
        <f t="shared" si="259"/>
        <v>0.13757839834733993</v>
      </c>
      <c r="Y308" s="2"/>
      <c r="Z308" s="2"/>
      <c r="AA308" s="151">
        <v>0</v>
      </c>
      <c r="AB308" s="137">
        <v>0</v>
      </c>
      <c r="AC308" s="151">
        <v>0</v>
      </c>
      <c r="AD308" s="137" t="e">
        <v>#VALUE!</v>
      </c>
      <c r="AE308" s="151">
        <v>0</v>
      </c>
      <c r="AF308" s="137" t="e">
        <v>#VALUE!</v>
      </c>
      <c r="AG308" s="2"/>
      <c r="AH308" s="2"/>
      <c r="AI308" s="2"/>
    </row>
    <row r="309" spans="1:35" x14ac:dyDescent="0.25">
      <c r="A309" s="20"/>
      <c r="B309" s="46" t="s">
        <v>368</v>
      </c>
      <c r="C309" s="43" t="s">
        <v>271</v>
      </c>
      <c r="D309" s="32"/>
      <c r="E309" s="47"/>
      <c r="F309" s="47"/>
      <c r="G309" s="47"/>
      <c r="H309" s="47"/>
      <c r="I309" s="47"/>
      <c r="J309" s="47"/>
      <c r="K309" s="47"/>
      <c r="L309" s="47"/>
      <c r="M309" s="47"/>
      <c r="N309" s="47"/>
      <c r="O309" s="246">
        <f>$D$308/O103</f>
        <v>20.35098384149159</v>
      </c>
      <c r="P309" s="246">
        <f t="shared" ref="P309:X309" si="260">$D$308/P103</f>
        <v>17.717487886168286</v>
      </c>
      <c r="Q309" s="246">
        <f t="shared" si="260"/>
        <v>15.714716660480237</v>
      </c>
      <c r="R309" s="246">
        <f t="shared" si="260"/>
        <v>13.971289528580826</v>
      </c>
      <c r="S309" s="246">
        <f t="shared" si="260"/>
        <v>12.521958487924859</v>
      </c>
      <c r="T309" s="246">
        <f t="shared" si="260"/>
        <v>11.261047438230664</v>
      </c>
      <c r="U309" s="246">
        <f t="shared" si="260"/>
        <v>10.116933269988929</v>
      </c>
      <c r="V309" s="246">
        <f t="shared" si="260"/>
        <v>9.0806577282361296</v>
      </c>
      <c r="W309" s="246">
        <f t="shared" si="260"/>
        <v>8.1435298972452443</v>
      </c>
      <c r="X309" s="246">
        <f t="shared" si="260"/>
        <v>7.2972732470742123</v>
      </c>
      <c r="Y309" s="2"/>
      <c r="Z309" s="2"/>
      <c r="AA309" s="59">
        <v>-48.9</v>
      </c>
      <c r="AB309" s="142">
        <v>48.9</v>
      </c>
      <c r="AC309" s="59">
        <v>-148.4</v>
      </c>
      <c r="AD309" s="142" t="e">
        <v>#VALUE!</v>
      </c>
      <c r="AE309" s="59">
        <v>380.6</v>
      </c>
      <c r="AF309" s="142" t="e">
        <v>#VALUE!</v>
      </c>
      <c r="AG309" s="2"/>
      <c r="AH309" s="2"/>
      <c r="AI309" s="2"/>
    </row>
    <row r="310" spans="1:35" x14ac:dyDescent="0.25">
      <c r="A310" s="20"/>
      <c r="B310" s="46" t="s">
        <v>369</v>
      </c>
      <c r="C310" s="43" t="s">
        <v>271</v>
      </c>
      <c r="D310" s="32"/>
      <c r="E310" s="47"/>
      <c r="F310" s="47"/>
      <c r="G310" s="47"/>
      <c r="H310" s="47"/>
      <c r="I310" s="47"/>
      <c r="J310" s="47"/>
      <c r="K310" s="47"/>
      <c r="L310" s="47"/>
      <c r="M310" s="47"/>
      <c r="N310" s="47"/>
      <c r="O310" s="246">
        <f>($D$308*O98+O221)/O51</f>
        <v>13.924205093933457</v>
      </c>
      <c r="P310" s="246">
        <f t="shared" ref="P310:X310" si="261">($D$308*P98+P221)/P51</f>
        <v>12.160131411112165</v>
      </c>
      <c r="Q310" s="246">
        <f t="shared" si="261"/>
        <v>10.816718082389334</v>
      </c>
      <c r="R310" s="246">
        <f t="shared" si="261"/>
        <v>9.6642655821652124</v>
      </c>
      <c r="S310" s="246">
        <f t="shared" si="261"/>
        <v>8.7193764882353371</v>
      </c>
      <c r="T310" s="246">
        <f t="shared" si="261"/>
        <v>7.9083284335893866</v>
      </c>
      <c r="U310" s="246">
        <f t="shared" si="261"/>
        <v>7.1786796463455707</v>
      </c>
      <c r="V310" s="246">
        <f t="shared" si="261"/>
        <v>6.5224445993057714</v>
      </c>
      <c r="W310" s="246">
        <f t="shared" si="261"/>
        <v>5.932453433334536</v>
      </c>
      <c r="X310" s="246">
        <f t="shared" si="261"/>
        <v>5.4566571515040403</v>
      </c>
      <c r="Y310" s="2"/>
      <c r="Z310" s="2"/>
      <c r="AA310" s="59">
        <v>59.7</v>
      </c>
      <c r="AB310" s="142">
        <v>-59.7</v>
      </c>
      <c r="AC310" s="59">
        <v>24.6</v>
      </c>
      <c r="AD310" s="142" t="e">
        <v>#VALUE!</v>
      </c>
      <c r="AE310" s="59">
        <v>18.3</v>
      </c>
      <c r="AF310" s="142" t="e">
        <v>#VALUE!</v>
      </c>
      <c r="AG310" s="2"/>
      <c r="AH310" s="2"/>
      <c r="AI310" s="2"/>
    </row>
    <row r="311" spans="1:35" x14ac:dyDescent="0.25">
      <c r="A311" s="20"/>
      <c r="B311" s="46" t="s">
        <v>370</v>
      </c>
      <c r="C311" s="43" t="s">
        <v>117</v>
      </c>
      <c r="D311" s="32"/>
      <c r="E311" s="47"/>
      <c r="F311" s="47"/>
      <c r="G311" s="47"/>
      <c r="H311" s="47"/>
      <c r="I311" s="47"/>
      <c r="J311" s="47"/>
      <c r="K311" s="47"/>
      <c r="L311" s="47"/>
      <c r="M311" s="47"/>
      <c r="N311" s="47"/>
      <c r="O311" s="273">
        <f>O111/$D$308</f>
        <v>3.0226654477932081E-2</v>
      </c>
      <c r="P311" s="273">
        <f t="shared" ref="P311:X311" si="262">P111/$D$308</f>
        <v>3.4719490754836373E-2</v>
      </c>
      <c r="Q311" s="273">
        <f t="shared" si="262"/>
        <v>3.9144336493811563E-2</v>
      </c>
      <c r="R311" s="273">
        <f t="shared" si="262"/>
        <v>4.402901790878784E-2</v>
      </c>
      <c r="S311" s="273">
        <f t="shared" si="262"/>
        <v>4.9125075558742459E-2</v>
      </c>
      <c r="T311" s="273">
        <f t="shared" si="262"/>
        <v>5.462566073333195E-2</v>
      </c>
      <c r="U311" s="273">
        <f t="shared" si="262"/>
        <v>6.0803223708859995E-2</v>
      </c>
      <c r="V311" s="273">
        <f t="shared" si="262"/>
        <v>6.774202654395535E-2</v>
      </c>
      <c r="W311" s="273">
        <f t="shared" si="262"/>
        <v>7.5537532817412822E-2</v>
      </c>
      <c r="X311" s="273">
        <f t="shared" si="262"/>
        <v>9.5926242076882592E-2</v>
      </c>
      <c r="Y311" s="2"/>
      <c r="Z311" s="2"/>
      <c r="AA311" s="59" t="e">
        <v>#DIV/0!</v>
      </c>
      <c r="AB311" s="142" t="e">
        <v>#DIV/0!</v>
      </c>
      <c r="AC311" s="59" t="e">
        <v>#DIV/0!</v>
      </c>
      <c r="AD311" s="142" t="e">
        <v>#VALUE!</v>
      </c>
      <c r="AE311" s="59" t="e">
        <v>#DIV/0!</v>
      </c>
      <c r="AF311" s="142" t="e">
        <v>#VALUE!</v>
      </c>
      <c r="AG311" s="2"/>
      <c r="AH311" s="2"/>
      <c r="AI311" s="2"/>
    </row>
    <row r="312" spans="1:35" x14ac:dyDescent="0.25">
      <c r="A312" s="20"/>
      <c r="B312" s="46" t="s">
        <v>371</v>
      </c>
      <c r="C312" s="43" t="s">
        <v>117</v>
      </c>
      <c r="D312" s="32"/>
      <c r="E312" s="47"/>
      <c r="F312" s="47"/>
      <c r="G312" s="47"/>
      <c r="H312" s="47"/>
      <c r="I312" s="47"/>
      <c r="J312" s="47"/>
      <c r="K312" s="47"/>
      <c r="L312" s="47"/>
      <c r="M312" s="47"/>
      <c r="N312" s="47"/>
      <c r="O312" s="273">
        <f>O284/$D$308</f>
        <v>3.5562286812612594E-2</v>
      </c>
      <c r="P312" s="273">
        <f t="shared" ref="P312:X312" si="263">P284/$D$308</f>
        <v>4.2658671317151009E-2</v>
      </c>
      <c r="Q312" s="273">
        <f t="shared" si="263"/>
        <v>4.9853199280889174E-2</v>
      </c>
      <c r="R312" s="273">
        <f t="shared" si="263"/>
        <v>5.7686707020032049E-2</v>
      </c>
      <c r="S312" s="273">
        <f t="shared" si="263"/>
        <v>6.581028943911435E-2</v>
      </c>
      <c r="T312" s="273">
        <f t="shared" si="263"/>
        <v>7.4665693065085928E-2</v>
      </c>
      <c r="U312" s="273">
        <f t="shared" si="263"/>
        <v>8.4571345834901612E-2</v>
      </c>
      <c r="V312" s="273">
        <f t="shared" si="263"/>
        <v>9.5700171985641902E-2</v>
      </c>
      <c r="W312" s="273">
        <f t="shared" si="263"/>
        <v>0.10820815191629711</v>
      </c>
      <c r="X312" s="273">
        <f t="shared" si="263"/>
        <v>0.12227162553908204</v>
      </c>
      <c r="Y312" s="2"/>
      <c r="Z312" s="2"/>
      <c r="AA312" s="59" t="e">
        <v>#DIV/0!</v>
      </c>
      <c r="AB312" s="142" t="e">
        <v>#DIV/0!</v>
      </c>
      <c r="AC312" s="59" t="e">
        <v>#DIV/0!</v>
      </c>
      <c r="AD312" s="142" t="e">
        <v>#VALUE!</v>
      </c>
      <c r="AE312" s="59" t="e">
        <v>#DIV/0!</v>
      </c>
      <c r="AF312" s="142" t="e">
        <v>#VALUE!</v>
      </c>
      <c r="AG312" s="2"/>
      <c r="AH312" s="2"/>
      <c r="AI312" s="2"/>
    </row>
    <row r="313" spans="1:35" x14ac:dyDescent="0.25">
      <c r="A313" s="307"/>
      <c r="B313" s="308"/>
      <c r="C313" s="43"/>
      <c r="D313" s="32"/>
      <c r="E313" s="47"/>
      <c r="F313" s="47"/>
      <c r="G313" s="47"/>
      <c r="H313" s="47"/>
      <c r="I313" s="47"/>
      <c r="J313" s="47"/>
      <c r="K313" s="47"/>
      <c r="L313" s="47"/>
      <c r="M313" s="47"/>
      <c r="N313" s="47"/>
      <c r="O313" s="47"/>
      <c r="P313" s="47"/>
      <c r="Q313" s="47"/>
      <c r="R313" s="47"/>
      <c r="S313" s="47"/>
      <c r="T313" s="47"/>
      <c r="U313" s="47"/>
      <c r="V313" s="47"/>
      <c r="W313" s="47"/>
      <c r="X313" s="47"/>
      <c r="Y313" s="2"/>
      <c r="Z313" s="2"/>
      <c r="AA313" s="59"/>
      <c r="AB313" s="142"/>
      <c r="AC313" s="59"/>
      <c r="AD313" s="142"/>
      <c r="AE313" s="59"/>
      <c r="AF313" s="142"/>
      <c r="AG313" s="2"/>
      <c r="AH313" s="2"/>
      <c r="AI313" s="2"/>
    </row>
    <row r="314" spans="1:35" x14ac:dyDescent="0.25">
      <c r="A314" s="20"/>
      <c r="B314" s="21" t="s">
        <v>372</v>
      </c>
      <c r="C314" s="147"/>
      <c r="D314" s="148"/>
      <c r="E314" s="154"/>
      <c r="F314" s="154"/>
      <c r="G314" s="154"/>
      <c r="H314" s="154"/>
      <c r="I314" s="154"/>
      <c r="J314" s="154"/>
      <c r="K314" s="154"/>
      <c r="L314" s="154"/>
      <c r="M314" s="154"/>
      <c r="N314" s="154"/>
      <c r="O314" s="154"/>
      <c r="P314" s="154"/>
      <c r="Q314" s="154"/>
      <c r="R314" s="154"/>
      <c r="S314" s="154"/>
      <c r="T314" s="154"/>
      <c r="U314" s="154"/>
      <c r="V314" s="154"/>
      <c r="W314" s="154"/>
      <c r="X314" s="154"/>
      <c r="Y314" s="2"/>
      <c r="Z314" s="2"/>
      <c r="AA314" s="134"/>
      <c r="AB314" s="135"/>
      <c r="AC314" s="134"/>
      <c r="AD314" s="135"/>
      <c r="AE314" s="134"/>
      <c r="AF314" s="135"/>
      <c r="AG314" s="2"/>
      <c r="AH314" s="2"/>
      <c r="AI314" s="2"/>
    </row>
    <row r="315" spans="1:35" x14ac:dyDescent="0.25">
      <c r="A315" s="20"/>
      <c r="B315" s="30" t="s">
        <v>372</v>
      </c>
      <c r="C315" s="55"/>
      <c r="D315" s="32"/>
      <c r="E315" s="2"/>
      <c r="F315" s="2"/>
      <c r="G315" s="2"/>
      <c r="H315" s="2"/>
      <c r="I315" s="2"/>
      <c r="J315" s="2"/>
      <c r="K315" s="2"/>
      <c r="L315" s="2"/>
      <c r="M315" s="2"/>
      <c r="N315" s="2"/>
      <c r="O315" s="2"/>
      <c r="P315" s="2"/>
      <c r="Q315" s="2"/>
      <c r="R315" s="2"/>
      <c r="S315" s="2"/>
      <c r="T315" s="2"/>
      <c r="U315" s="2"/>
      <c r="V315" s="2"/>
      <c r="W315" s="2"/>
      <c r="X315" s="2"/>
      <c r="Y315" s="2"/>
      <c r="Z315" s="2"/>
      <c r="AA315" s="99"/>
      <c r="AB315" s="3"/>
      <c r="AC315" s="99"/>
      <c r="AD315" s="3"/>
      <c r="AE315" s="99"/>
      <c r="AF315" s="3"/>
      <c r="AG315" s="2"/>
      <c r="AH315" s="2"/>
      <c r="AI315" s="2"/>
    </row>
    <row r="316" spans="1:35" x14ac:dyDescent="0.25">
      <c r="A316" s="20"/>
      <c r="B316" s="33" t="s">
        <v>373</v>
      </c>
      <c r="C316" s="27" t="s">
        <v>67</v>
      </c>
      <c r="D316" s="32"/>
      <c r="E316" s="35"/>
      <c r="F316" s="35"/>
      <c r="G316" s="35"/>
      <c r="H316" s="35"/>
      <c r="I316" s="35"/>
      <c r="J316" s="35"/>
      <c r="K316" s="228">
        <f t="shared" ref="K316:X316" si="264">K232+K220</f>
        <v>0</v>
      </c>
      <c r="L316" s="228">
        <f t="shared" si="264"/>
        <v>184.09999999999997</v>
      </c>
      <c r="M316" s="228">
        <f t="shared" si="264"/>
        <v>186.39999999999998</v>
      </c>
      <c r="N316" s="228">
        <f>N232+N220</f>
        <v>210.1</v>
      </c>
      <c r="O316" s="228">
        <f t="shared" si="264"/>
        <v>237.50287611637441</v>
      </c>
      <c r="P316" s="228">
        <f t="shared" si="264"/>
        <v>279.39736959347277</v>
      </c>
      <c r="Q316" s="228">
        <f t="shared" si="264"/>
        <v>324.79743625097205</v>
      </c>
      <c r="R316" s="228">
        <f t="shared" si="264"/>
        <v>374.29785620003594</v>
      </c>
      <c r="S316" s="228">
        <f t="shared" si="264"/>
        <v>428.49367489468096</v>
      </c>
      <c r="T316" s="228">
        <f t="shared" si="264"/>
        <v>487.90548462581717</v>
      </c>
      <c r="U316" s="228">
        <f t="shared" si="264"/>
        <v>553.27747602511215</v>
      </c>
      <c r="V316" s="228">
        <f t="shared" si="264"/>
        <v>625.40489071079969</v>
      </c>
      <c r="W316" s="228">
        <f t="shared" si="264"/>
        <v>705.18658826331171</v>
      </c>
      <c r="X316" s="228">
        <f t="shared" si="264"/>
        <v>793.63871296581078</v>
      </c>
      <c r="Y316" s="2"/>
      <c r="Z316" s="2"/>
      <c r="AA316" s="108">
        <v>166</v>
      </c>
      <c r="AB316" s="109">
        <v>44</v>
      </c>
      <c r="AC316" s="108">
        <v>164</v>
      </c>
      <c r="AD316" s="109" t="e">
        <v>#VALUE!</v>
      </c>
      <c r="AE316" s="108">
        <v>162</v>
      </c>
      <c r="AF316" s="109" t="e">
        <v>#VALUE!</v>
      </c>
      <c r="AG316" s="2"/>
      <c r="AH316" s="2"/>
      <c r="AI316" s="2"/>
    </row>
    <row r="317" spans="1:35" x14ac:dyDescent="0.25">
      <c r="A317" s="20"/>
      <c r="B317" s="33" t="s">
        <v>374</v>
      </c>
      <c r="C317" s="27" t="s">
        <v>67</v>
      </c>
      <c r="D317" s="32"/>
      <c r="E317" s="29"/>
      <c r="F317" s="29"/>
      <c r="G317" s="29"/>
      <c r="H317" s="29"/>
      <c r="I317" s="29"/>
      <c r="J317" s="29"/>
      <c r="K317" s="29">
        <f>K68</f>
        <v>82.600000000000009</v>
      </c>
      <c r="L317" s="29">
        <f t="shared" ref="L317:X317" si="265">L68</f>
        <v>52.4</v>
      </c>
      <c r="M317" s="29">
        <f t="shared" si="265"/>
        <v>39.999999999999993</v>
      </c>
      <c r="N317" s="29">
        <f t="shared" si="265"/>
        <v>45.7</v>
      </c>
      <c r="O317" s="29">
        <f t="shared" si="265"/>
        <v>65.87961443332216</v>
      </c>
      <c r="P317" s="29">
        <f t="shared" si="265"/>
        <v>77.021133061589993</v>
      </c>
      <c r="Q317" s="29">
        <f t="shared" si="265"/>
        <v>88.406107543581555</v>
      </c>
      <c r="R317" s="29">
        <f t="shared" si="265"/>
        <v>100.97430436829039</v>
      </c>
      <c r="S317" s="29">
        <f t="shared" si="265"/>
        <v>114.03042459459675</v>
      </c>
      <c r="T317" s="29">
        <f t="shared" si="265"/>
        <v>128.18017224503896</v>
      </c>
      <c r="U317" s="29">
        <f t="shared" si="265"/>
        <v>144.07659215870004</v>
      </c>
      <c r="V317" s="29">
        <f t="shared" si="265"/>
        <v>161.94112584563351</v>
      </c>
      <c r="W317" s="29">
        <f t="shared" si="265"/>
        <v>182.02401799431846</v>
      </c>
      <c r="X317" s="29">
        <f t="shared" si="265"/>
        <v>204.6081270509444</v>
      </c>
      <c r="Y317" s="2"/>
      <c r="Z317" s="2"/>
      <c r="AA317" s="106">
        <v>-26</v>
      </c>
      <c r="AB317" s="107">
        <v>72</v>
      </c>
      <c r="AC317" s="106">
        <v>1</v>
      </c>
      <c r="AD317" s="107">
        <v>66</v>
      </c>
      <c r="AE317" s="106">
        <v>14</v>
      </c>
      <c r="AF317" s="107">
        <v>67</v>
      </c>
      <c r="AG317" s="2"/>
      <c r="AH317" s="2"/>
      <c r="AI317" s="2"/>
    </row>
    <row r="318" spans="1:35" x14ac:dyDescent="0.25">
      <c r="A318" s="20"/>
      <c r="B318" s="36" t="s">
        <v>375</v>
      </c>
      <c r="C318" s="37" t="s">
        <v>117</v>
      </c>
      <c r="D318" s="38"/>
      <c r="E318" s="50"/>
      <c r="F318" s="50"/>
      <c r="G318" s="50"/>
      <c r="H318" s="50"/>
      <c r="I318" s="50"/>
      <c r="J318" s="50"/>
      <c r="K318" s="276" t="e">
        <f t="shared" ref="K318:M318" si="266">K317/K316</f>
        <v>#DIV/0!</v>
      </c>
      <c r="L318" s="276">
        <f t="shared" si="266"/>
        <v>0.28462791960890826</v>
      </c>
      <c r="M318" s="276">
        <f t="shared" si="266"/>
        <v>0.21459227467811157</v>
      </c>
      <c r="N318" s="276">
        <f>N317/N316</f>
        <v>0.21751546882436937</v>
      </c>
      <c r="O318" s="276">
        <f t="shared" ref="O318:X318" si="267">O317/O316</f>
        <v>0.27738449112945351</v>
      </c>
      <c r="P318" s="276">
        <f t="shared" si="267"/>
        <v>0.27566878376005066</v>
      </c>
      <c r="Q318" s="276">
        <f t="shared" si="267"/>
        <v>0.27218844016758142</v>
      </c>
      <c r="R318" s="276">
        <f t="shared" si="267"/>
        <v>0.26976992439498959</v>
      </c>
      <c r="S318" s="276">
        <f t="shared" si="267"/>
        <v>0.2661192714749504</v>
      </c>
      <c r="T318" s="276">
        <f t="shared" si="267"/>
        <v>0.26271516981069082</v>
      </c>
      <c r="U318" s="276">
        <f t="shared" si="267"/>
        <v>0.26040567057560948</v>
      </c>
      <c r="V318" s="276">
        <f t="shared" si="267"/>
        <v>0.25893805477213394</v>
      </c>
      <c r="W318" s="276">
        <f t="shared" si="267"/>
        <v>0.25812178085036408</v>
      </c>
      <c r="X318" s="276">
        <f t="shared" si="267"/>
        <v>0.2578101643836504</v>
      </c>
      <c r="Y318" s="2"/>
      <c r="Z318" s="2"/>
      <c r="AA318" s="165">
        <v>-0.159</v>
      </c>
      <c r="AB318" s="166">
        <v>0.376</v>
      </c>
      <c r="AC318" s="165">
        <v>3.0000000000000001E-3</v>
      </c>
      <c r="AD318" s="137" t="e">
        <v>#VALUE!</v>
      </c>
      <c r="AE318" s="165">
        <v>8.5000000000000006E-2</v>
      </c>
      <c r="AF318" s="137" t="e">
        <v>#VALUE!</v>
      </c>
      <c r="AG318" s="2"/>
      <c r="AH318" s="2"/>
      <c r="AI318" s="2"/>
    </row>
    <row r="319" spans="1:35" x14ac:dyDescent="0.25">
      <c r="A319" s="307"/>
      <c r="B319" s="308"/>
      <c r="C319" s="55"/>
      <c r="D319" s="32"/>
      <c r="E319" s="47"/>
      <c r="F319" s="47"/>
      <c r="G319" s="47"/>
      <c r="H319" s="47"/>
      <c r="I319" s="47"/>
      <c r="J319" s="47"/>
      <c r="K319" s="47"/>
      <c r="L319" s="47"/>
      <c r="M319" s="47"/>
      <c r="N319" s="47"/>
      <c r="O319" s="47"/>
      <c r="P319" s="47"/>
      <c r="Q319" s="47"/>
      <c r="R319" s="47"/>
      <c r="S319" s="47"/>
      <c r="T319" s="47"/>
      <c r="U319" s="47"/>
      <c r="V319" s="47"/>
      <c r="W319" s="47"/>
      <c r="X319" s="47"/>
      <c r="Y319" s="2"/>
      <c r="Z319" s="2"/>
      <c r="AA319" s="59"/>
      <c r="AB319" s="142"/>
      <c r="AC319" s="59"/>
      <c r="AD319" s="142"/>
      <c r="AE319" s="59"/>
      <c r="AF319" s="142"/>
      <c r="AG319" s="2"/>
      <c r="AH319" s="2"/>
      <c r="AI319" s="2"/>
    </row>
    <row r="320" spans="1:35" x14ac:dyDescent="0.25">
      <c r="A320" s="20"/>
      <c r="B320" s="33" t="s">
        <v>376</v>
      </c>
      <c r="C320" s="27" t="s">
        <v>67</v>
      </c>
      <c r="D320" s="32"/>
      <c r="E320" s="29"/>
      <c r="F320" s="29"/>
      <c r="G320" s="29"/>
      <c r="H320" s="29"/>
      <c r="I320" s="29"/>
      <c r="J320" s="29"/>
      <c r="K320" s="239">
        <f t="shared" ref="K320:L320" si="268">K317*(1-K85)</f>
        <v>40.088264058679705</v>
      </c>
      <c r="L320" s="239">
        <f t="shared" si="268"/>
        <v>36.982671480144404</v>
      </c>
      <c r="M320" s="239">
        <f>M317*(1-M85)</f>
        <v>27.790432801822323</v>
      </c>
      <c r="N320" s="239">
        <f>N317*(1-N85)</f>
        <v>33.287654320987649</v>
      </c>
      <c r="O320" s="239">
        <f t="shared" ref="O320:X320" si="269">O317*(1-O85)</f>
        <v>46.047913502363286</v>
      </c>
      <c r="P320" s="239">
        <f t="shared" si="269"/>
        <v>53.837116215046244</v>
      </c>
      <c r="Q320" s="239">
        <f t="shared" si="269"/>
        <v>61.797028338338514</v>
      </c>
      <c r="R320" s="239">
        <f t="shared" si="269"/>
        <v>70.58439629916414</v>
      </c>
      <c r="S320" s="239">
        <f t="shared" si="269"/>
        <v>79.712159520927727</v>
      </c>
      <c r="T320" s="239">
        <f t="shared" si="269"/>
        <v>89.604790383785897</v>
      </c>
      <c r="U320" s="239">
        <f t="shared" si="269"/>
        <v>100.7188232416605</v>
      </c>
      <c r="V320" s="239">
        <f t="shared" si="269"/>
        <v>113.20912252360854</v>
      </c>
      <c r="W320" s="239">
        <f t="shared" si="269"/>
        <v>127.25069827941176</v>
      </c>
      <c r="X320" s="239">
        <f t="shared" si="269"/>
        <v>143.0413707641496</v>
      </c>
      <c r="Y320" s="2"/>
      <c r="Z320" s="2"/>
      <c r="AA320" s="106">
        <v>-21</v>
      </c>
      <c r="AB320" s="107">
        <v>55</v>
      </c>
      <c r="AC320" s="106">
        <v>0</v>
      </c>
      <c r="AD320" s="107">
        <v>46</v>
      </c>
      <c r="AE320" s="106">
        <v>11</v>
      </c>
      <c r="AF320" s="107" t="e">
        <v>#VALUE!</v>
      </c>
      <c r="AG320" s="2"/>
      <c r="AH320" s="2"/>
      <c r="AI320" s="2"/>
    </row>
    <row r="321" spans="1:35" x14ac:dyDescent="0.25">
      <c r="A321" s="20"/>
      <c r="B321" s="36" t="s">
        <v>372</v>
      </c>
      <c r="C321" s="37" t="s">
        <v>117</v>
      </c>
      <c r="D321" s="38"/>
      <c r="E321" s="50"/>
      <c r="F321" s="50"/>
      <c r="G321" s="50"/>
      <c r="H321" s="50"/>
      <c r="I321" s="50"/>
      <c r="J321" s="50"/>
      <c r="K321" s="276" t="e">
        <f t="shared" ref="K321:M321" si="270">K320/K316</f>
        <v>#DIV/0!</v>
      </c>
      <c r="L321" s="276">
        <f t="shared" si="270"/>
        <v>0.2008836039117024</v>
      </c>
      <c r="M321" s="276">
        <f t="shared" si="270"/>
        <v>0.14909030473080648</v>
      </c>
      <c r="N321" s="276">
        <f>N320/N316</f>
        <v>0.15843719334120729</v>
      </c>
      <c r="O321" s="276">
        <f t="shared" ref="O321" si="271">O320/O316</f>
        <v>0.19388360366549917</v>
      </c>
      <c r="P321" s="276">
        <f t="shared" ref="P321" si="272">P320/P316</f>
        <v>0.19269013267154242</v>
      </c>
      <c r="Q321" s="276">
        <f t="shared" ref="Q321:R321" si="273">Q320/Q316</f>
        <v>0.19026328856422298</v>
      </c>
      <c r="R321" s="276">
        <f t="shared" si="273"/>
        <v>0.1885781474031252</v>
      </c>
      <c r="S321" s="276">
        <f t="shared" ref="S321" si="274">S320/S316</f>
        <v>0.18602878920096103</v>
      </c>
      <c r="T321" s="276">
        <f t="shared" ref="T321" si="275">T320/T316</f>
        <v>0.18365194327033504</v>
      </c>
      <c r="U321" s="276">
        <f t="shared" ref="U321:V321" si="276">U320/U316</f>
        <v>0.18204034613021022</v>
      </c>
      <c r="V321" s="276">
        <f t="shared" si="276"/>
        <v>0.18101732846211274</v>
      </c>
      <c r="W321" s="276">
        <f t="shared" ref="W321" si="277">W320/W316</f>
        <v>0.18044968579563689</v>
      </c>
      <c r="X321" s="276">
        <f t="shared" ref="X321" si="278">X320/X316</f>
        <v>0.18023487063730431</v>
      </c>
      <c r="Y321" s="2"/>
      <c r="Z321" s="2"/>
      <c r="AA321" s="165">
        <v>-0.129</v>
      </c>
      <c r="AB321" s="166">
        <v>0.28699999999999998</v>
      </c>
      <c r="AC321" s="165">
        <v>2E-3</v>
      </c>
      <c r="AD321" s="137" t="e">
        <v>#VALUE!</v>
      </c>
      <c r="AE321" s="165">
        <v>6.8000000000000005E-2</v>
      </c>
      <c r="AF321" s="137" t="e">
        <v>#VALUE!</v>
      </c>
      <c r="AG321" s="2"/>
      <c r="AH321" s="2"/>
      <c r="AI321" s="2"/>
    </row>
    <row r="322" spans="1:35" x14ac:dyDescent="0.25">
      <c r="A322" s="20"/>
      <c r="B322" s="33" t="s">
        <v>150</v>
      </c>
      <c r="C322" s="27" t="s">
        <v>117</v>
      </c>
      <c r="D322" s="32"/>
      <c r="E322" s="29"/>
      <c r="F322" s="29"/>
      <c r="G322" s="29"/>
      <c r="H322" s="29"/>
      <c r="I322" s="29"/>
      <c r="J322" s="29"/>
      <c r="K322" s="226">
        <f t="shared" ref="K322:M322" si="279">1-K320/K317</f>
        <v>0.51466992665036682</v>
      </c>
      <c r="L322" s="226">
        <f t="shared" si="279"/>
        <v>0.29422382671480141</v>
      </c>
      <c r="M322" s="226">
        <f t="shared" si="279"/>
        <v>0.30523917995444183</v>
      </c>
      <c r="N322" s="226">
        <f>1-N320/N317</f>
        <v>0.27160493827160515</v>
      </c>
      <c r="O322" s="226">
        <f t="shared" ref="O322:X322" si="280">1-O320/O317</f>
        <v>0.30102940191052374</v>
      </c>
      <c r="P322" s="226">
        <f t="shared" si="280"/>
        <v>0.30100851448140387</v>
      </c>
      <c r="Q322" s="226">
        <f t="shared" si="280"/>
        <v>0.30098688817540764</v>
      </c>
      <c r="R322" s="226">
        <f t="shared" si="280"/>
        <v>0.30096674851339489</v>
      </c>
      <c r="S322" s="226">
        <f t="shared" si="280"/>
        <v>0.30095709277307359</v>
      </c>
      <c r="T322" s="226">
        <f t="shared" si="280"/>
        <v>0.30094655971837381</v>
      </c>
      <c r="U322" s="226">
        <f t="shared" si="280"/>
        <v>0.30093555287094143</v>
      </c>
      <c r="V322" s="226">
        <f t="shared" si="280"/>
        <v>0.3009241974054051</v>
      </c>
      <c r="W322" s="226">
        <f t="shared" si="280"/>
        <v>0.30091259559283179</v>
      </c>
      <c r="X322" s="226">
        <f t="shared" si="280"/>
        <v>0.30090083504584153</v>
      </c>
      <c r="Y322" s="2"/>
      <c r="Z322" s="2"/>
      <c r="AA322" s="128">
        <v>0.19</v>
      </c>
      <c r="AB322" s="129">
        <v>8.2000000000000003E-2</v>
      </c>
      <c r="AC322" s="128">
        <v>0.2</v>
      </c>
      <c r="AD322" s="129">
        <v>0.1</v>
      </c>
      <c r="AE322" s="128">
        <v>0.2</v>
      </c>
      <c r="AF322" s="107" t="e">
        <v>#VALUE!</v>
      </c>
      <c r="AG322" s="2"/>
      <c r="AH322" s="2"/>
      <c r="AI322" s="2"/>
    </row>
    <row r="323" spans="1:35" x14ac:dyDescent="0.25">
      <c r="A323" s="307"/>
      <c r="B323" s="308"/>
      <c r="C323" s="55"/>
      <c r="D323" s="32"/>
      <c r="E323" s="47"/>
      <c r="F323" s="47"/>
      <c r="G323" s="47"/>
      <c r="H323" s="47"/>
      <c r="I323" s="47"/>
      <c r="J323" s="47"/>
      <c r="K323" s="47"/>
      <c r="L323" s="47"/>
      <c r="M323" s="47"/>
      <c r="N323" s="47"/>
      <c r="O323" s="47"/>
      <c r="P323" s="47"/>
      <c r="Q323" s="47"/>
      <c r="R323" s="47"/>
      <c r="S323" s="47"/>
      <c r="T323" s="47"/>
      <c r="U323" s="47"/>
      <c r="V323" s="47"/>
      <c r="W323" s="47"/>
      <c r="X323" s="47"/>
      <c r="Y323" s="2"/>
      <c r="Z323" s="2"/>
      <c r="AA323" s="59"/>
      <c r="AB323" s="142"/>
      <c r="AC323" s="59"/>
      <c r="AD323" s="142"/>
      <c r="AE323" s="59"/>
      <c r="AF323" s="142"/>
      <c r="AG323" s="2"/>
      <c r="AH323" s="2"/>
      <c r="AI323" s="2"/>
    </row>
    <row r="324" spans="1:35" x14ac:dyDescent="0.25">
      <c r="A324" s="20"/>
      <c r="B324" s="36" t="s">
        <v>377</v>
      </c>
      <c r="C324" s="37" t="s">
        <v>117</v>
      </c>
      <c r="D324" s="38"/>
      <c r="E324" s="50"/>
      <c r="F324" s="50"/>
      <c r="G324" s="50"/>
      <c r="H324" s="50"/>
      <c r="I324" s="50"/>
      <c r="J324" s="50"/>
      <c r="K324" s="50"/>
      <c r="L324" s="164"/>
      <c r="M324" s="164"/>
      <c r="N324" s="164"/>
      <c r="O324" s="50"/>
      <c r="P324" s="50"/>
      <c r="Q324" s="50"/>
      <c r="R324" s="50"/>
      <c r="S324" s="50"/>
      <c r="T324" s="50"/>
      <c r="U324" s="50"/>
      <c r="V324" s="50"/>
      <c r="W324" s="50"/>
      <c r="X324" s="50"/>
      <c r="Y324" s="2"/>
      <c r="Z324" s="2"/>
      <c r="AA324" s="165">
        <v>-10.188000000000001</v>
      </c>
      <c r="AB324" s="166">
        <v>10.42</v>
      </c>
      <c r="AC324" s="165">
        <v>-10.946</v>
      </c>
      <c r="AD324" s="137" t="e">
        <v>#VALUE!</v>
      </c>
      <c r="AE324" s="165">
        <v>-4.9859999999999998</v>
      </c>
      <c r="AF324" s="137" t="e">
        <v>#VALUE!</v>
      </c>
      <c r="AG324" s="2"/>
      <c r="AH324" s="2"/>
      <c r="AI324" s="2"/>
    </row>
    <row r="325" spans="1:35" x14ac:dyDescent="0.25">
      <c r="A325" s="307"/>
      <c r="B325" s="308"/>
      <c r="C325" s="55"/>
      <c r="D325" s="32"/>
      <c r="E325" s="47"/>
      <c r="F325" s="47"/>
      <c r="G325" s="47"/>
      <c r="H325" s="47"/>
      <c r="I325" s="47"/>
      <c r="J325" s="47"/>
      <c r="K325" s="47"/>
      <c r="L325" s="47"/>
      <c r="M325" s="47"/>
      <c r="N325" s="47"/>
      <c r="O325" s="47"/>
      <c r="P325" s="47"/>
      <c r="Q325" s="47"/>
      <c r="R325" s="47"/>
      <c r="S325" s="47"/>
      <c r="T325" s="47"/>
      <c r="U325" s="47"/>
      <c r="V325" s="47"/>
      <c r="W325" s="47"/>
      <c r="X325" s="47"/>
      <c r="Y325" s="2"/>
      <c r="Z325" s="2"/>
      <c r="AA325" s="59"/>
      <c r="AB325" s="142"/>
      <c r="AC325" s="59"/>
      <c r="AD325" s="142"/>
      <c r="AE325" s="59"/>
      <c r="AF325" s="142"/>
      <c r="AG325" s="2"/>
      <c r="AH325" s="2"/>
      <c r="AI325" s="2"/>
    </row>
    <row r="326" spans="1:35" x14ac:dyDescent="0.25">
      <c r="A326" s="20"/>
      <c r="B326" s="36" t="s">
        <v>378</v>
      </c>
      <c r="C326" s="37" t="s">
        <v>109</v>
      </c>
      <c r="D326" s="167"/>
      <c r="E326" s="115"/>
      <c r="F326" s="115"/>
      <c r="G326" s="115"/>
      <c r="H326" s="115"/>
      <c r="I326" s="168"/>
      <c r="J326" s="168"/>
      <c r="K326" s="168"/>
      <c r="L326" s="168"/>
      <c r="M326" s="168"/>
      <c r="N326" s="168"/>
      <c r="O326" s="50"/>
      <c r="P326" s="50"/>
      <c r="Q326" s="50"/>
      <c r="R326" s="115"/>
      <c r="S326" s="115"/>
      <c r="T326" s="115"/>
      <c r="U326" s="115"/>
      <c r="V326" s="115"/>
      <c r="W326" s="115"/>
      <c r="X326" s="115"/>
      <c r="Y326" s="2"/>
      <c r="Z326" s="2"/>
      <c r="AA326" s="151">
        <v>10</v>
      </c>
      <c r="AB326" s="137">
        <v>-10</v>
      </c>
      <c r="AC326" s="151">
        <v>11</v>
      </c>
      <c r="AD326" s="137" t="e">
        <v>#VALUE!</v>
      </c>
      <c r="AE326" s="151">
        <v>13</v>
      </c>
      <c r="AF326" s="137" t="e">
        <v>#VALUE!</v>
      </c>
      <c r="AG326" s="2"/>
      <c r="AH326" s="2"/>
      <c r="AI326" s="2"/>
    </row>
    <row r="327" spans="1:35" x14ac:dyDescent="0.25">
      <c r="A327" s="309"/>
      <c r="B327" s="310"/>
      <c r="C327" s="27"/>
      <c r="D327" s="32"/>
      <c r="E327" s="2"/>
      <c r="F327" s="2"/>
      <c r="G327" s="2"/>
      <c r="H327" s="2"/>
      <c r="I327" s="2"/>
      <c r="J327" s="2"/>
      <c r="K327" s="2"/>
      <c r="L327" s="2"/>
      <c r="M327" s="2"/>
      <c r="N327" s="2"/>
      <c r="O327" s="2"/>
      <c r="P327" s="2"/>
      <c r="Q327" s="2"/>
      <c r="R327" s="2"/>
      <c r="S327" s="2"/>
      <c r="T327" s="2"/>
      <c r="U327" s="2"/>
      <c r="V327" s="2"/>
      <c r="W327" s="2"/>
      <c r="X327" s="2"/>
      <c r="Y327" s="2"/>
      <c r="Z327" s="2"/>
      <c r="AA327" s="99"/>
      <c r="AB327" s="3"/>
      <c r="AC327" s="99"/>
      <c r="AD327" s="3"/>
      <c r="AE327" s="99"/>
      <c r="AF327" s="3"/>
      <c r="AG327" s="2"/>
      <c r="AH327" s="2"/>
      <c r="AI327" s="2"/>
    </row>
    <row r="328" spans="1:35" x14ac:dyDescent="0.25">
      <c r="A328" s="307"/>
      <c r="B328" s="308"/>
      <c r="C328" s="55"/>
      <c r="D328" s="32"/>
      <c r="E328" s="47"/>
      <c r="F328" s="47"/>
      <c r="G328" s="47"/>
      <c r="H328" s="47"/>
      <c r="I328" s="47"/>
      <c r="J328" s="47"/>
      <c r="K328" s="47"/>
      <c r="L328" s="47"/>
      <c r="M328" s="47"/>
      <c r="N328" s="47"/>
      <c r="O328" s="47"/>
      <c r="P328" s="47"/>
      <c r="Q328" s="47"/>
      <c r="R328" s="47"/>
      <c r="S328" s="47"/>
      <c r="T328" s="47"/>
      <c r="U328" s="47"/>
      <c r="V328" s="47"/>
      <c r="W328" s="47"/>
      <c r="X328" s="47"/>
      <c r="Y328" s="2"/>
      <c r="Z328" s="2"/>
      <c r="AA328" s="59"/>
      <c r="AB328" s="142"/>
      <c r="AC328" s="59"/>
      <c r="AD328" s="142"/>
      <c r="AE328" s="59"/>
      <c r="AF328" s="142"/>
      <c r="AG328" s="2"/>
      <c r="AH328" s="2"/>
      <c r="AI328" s="2"/>
    </row>
    <row r="329" spans="1:35" x14ac:dyDescent="0.25">
      <c r="A329" s="20"/>
      <c r="B329" s="21" t="s">
        <v>379</v>
      </c>
      <c r="C329" s="147"/>
      <c r="D329" s="148"/>
      <c r="E329" s="154"/>
      <c r="F329" s="154"/>
      <c r="G329" s="154"/>
      <c r="H329" s="154"/>
      <c r="I329" s="154"/>
      <c r="J329" s="154"/>
      <c r="K329" s="154"/>
      <c r="L329" s="154"/>
      <c r="M329" s="154"/>
      <c r="N329" s="154"/>
      <c r="O329" s="154"/>
      <c r="P329" s="154"/>
      <c r="Q329" s="154"/>
      <c r="R329" s="154"/>
      <c r="S329" s="154"/>
      <c r="T329" s="154"/>
      <c r="U329" s="154"/>
      <c r="V329" s="154"/>
      <c r="W329" s="154"/>
      <c r="X329" s="154"/>
      <c r="Y329" s="2"/>
      <c r="Z329" s="2"/>
      <c r="AA329" s="134"/>
      <c r="AB329" s="135"/>
      <c r="AC329" s="134"/>
      <c r="AD329" s="135"/>
      <c r="AE329" s="134"/>
      <c r="AF329" s="135"/>
      <c r="AG329" s="2"/>
      <c r="AH329" s="2"/>
      <c r="AI329" s="2"/>
    </row>
    <row r="330" spans="1:35" x14ac:dyDescent="0.25">
      <c r="A330" s="20"/>
      <c r="B330" s="30" t="s">
        <v>380</v>
      </c>
      <c r="C330" s="55"/>
      <c r="D330" s="32"/>
      <c r="E330" s="2"/>
      <c r="F330" s="2"/>
      <c r="G330" s="2"/>
      <c r="H330" s="2"/>
      <c r="I330" s="2"/>
      <c r="J330" s="2"/>
      <c r="K330" s="2"/>
      <c r="L330" s="2"/>
      <c r="M330" s="2"/>
      <c r="N330" s="2"/>
      <c r="O330" s="2"/>
      <c r="P330" s="2"/>
      <c r="Q330" s="2"/>
      <c r="R330" s="2"/>
      <c r="S330" s="2"/>
      <c r="T330" s="2"/>
      <c r="U330" s="2"/>
      <c r="V330" s="2"/>
      <c r="W330" s="2"/>
      <c r="X330" s="2"/>
      <c r="Y330" s="2"/>
      <c r="Z330" s="2"/>
      <c r="AA330" s="99"/>
      <c r="AB330" s="3"/>
      <c r="AC330" s="99"/>
      <c r="AD330" s="3"/>
      <c r="AE330" s="99"/>
      <c r="AF330" s="3"/>
      <c r="AG330" s="2"/>
      <c r="AH330" s="2"/>
      <c r="AI330" s="2"/>
    </row>
    <row r="331" spans="1:35" x14ac:dyDescent="0.25">
      <c r="A331" s="20"/>
      <c r="B331" s="33" t="s">
        <v>381</v>
      </c>
      <c r="C331" s="27" t="s">
        <v>117</v>
      </c>
      <c r="D331" s="28"/>
      <c r="E331" s="135"/>
      <c r="F331" s="135"/>
      <c r="G331" s="135"/>
      <c r="H331" s="135"/>
      <c r="I331" s="34"/>
      <c r="J331" s="34"/>
      <c r="K331" s="34"/>
      <c r="L331" s="34"/>
      <c r="M331" s="34"/>
      <c r="N331" s="34"/>
      <c r="O331" s="34"/>
      <c r="P331" s="135"/>
      <c r="Q331" s="135"/>
      <c r="R331" s="135"/>
      <c r="S331" s="135"/>
      <c r="T331" s="135"/>
      <c r="U331" s="135"/>
      <c r="V331" s="135"/>
      <c r="W331" s="135"/>
      <c r="X331" s="135"/>
      <c r="Y331" s="2"/>
      <c r="Z331" s="2"/>
      <c r="AA331" s="134"/>
      <c r="AB331" s="135"/>
      <c r="AC331" s="134"/>
      <c r="AD331" s="135"/>
      <c r="AE331" s="134"/>
      <c r="AF331" s="135"/>
      <c r="AG331" s="2"/>
      <c r="AH331" s="2"/>
      <c r="AI331" s="2"/>
    </row>
    <row r="332" spans="1:35" x14ac:dyDescent="0.25">
      <c r="A332" s="20"/>
      <c r="B332" s="33" t="s">
        <v>382</v>
      </c>
      <c r="C332" s="27" t="s">
        <v>117</v>
      </c>
      <c r="D332" s="28"/>
      <c r="E332" s="135"/>
      <c r="F332" s="135"/>
      <c r="G332" s="135"/>
      <c r="H332" s="135"/>
      <c r="I332" s="135"/>
      <c r="J332" s="135"/>
      <c r="K332" s="135"/>
      <c r="L332" s="135"/>
      <c r="M332" s="135"/>
      <c r="N332" s="135"/>
      <c r="O332" s="135"/>
      <c r="P332" s="135"/>
      <c r="Q332" s="135"/>
      <c r="R332" s="135"/>
      <c r="S332" s="135"/>
      <c r="T332" s="135"/>
      <c r="U332" s="135"/>
      <c r="V332" s="135"/>
      <c r="W332" s="135"/>
      <c r="X332" s="135"/>
      <c r="Y332" s="2"/>
      <c r="Z332" s="2"/>
      <c r="AA332" s="134"/>
      <c r="AB332" s="135"/>
      <c r="AC332" s="134"/>
      <c r="AD332" s="135"/>
      <c r="AE332" s="134"/>
      <c r="AF332" s="135"/>
      <c r="AG332" s="2"/>
      <c r="AH332" s="2"/>
      <c r="AI332" s="2"/>
    </row>
    <row r="333" spans="1:35" x14ac:dyDescent="0.25">
      <c r="A333" s="20"/>
      <c r="B333" s="33" t="s">
        <v>383</v>
      </c>
      <c r="C333" s="27" t="s">
        <v>117</v>
      </c>
      <c r="D333" s="28"/>
      <c r="E333" s="135"/>
      <c r="F333" s="135"/>
      <c r="G333" s="135"/>
      <c r="H333" s="135"/>
      <c r="I333" s="34"/>
      <c r="J333" s="34"/>
      <c r="K333" s="34"/>
      <c r="L333" s="34"/>
      <c r="M333" s="34"/>
      <c r="N333" s="34"/>
      <c r="O333" s="34"/>
      <c r="P333" s="135"/>
      <c r="Q333" s="135"/>
      <c r="R333" s="135"/>
      <c r="S333" s="135"/>
      <c r="T333" s="135"/>
      <c r="U333" s="135"/>
      <c r="V333" s="135"/>
      <c r="W333" s="135"/>
      <c r="X333" s="135"/>
      <c r="Y333" s="2"/>
      <c r="Z333" s="2"/>
      <c r="AA333" s="134"/>
      <c r="AB333" s="135"/>
      <c r="AC333" s="134"/>
      <c r="AD333" s="135"/>
      <c r="AE333" s="134"/>
      <c r="AF333" s="135"/>
      <c r="AG333" s="2"/>
      <c r="AH333" s="2"/>
      <c r="AI333" s="2"/>
    </row>
    <row r="334" spans="1:35" x14ac:dyDescent="0.25">
      <c r="A334" s="20"/>
      <c r="B334" s="36" t="s">
        <v>384</v>
      </c>
      <c r="C334" s="37" t="s">
        <v>117</v>
      </c>
      <c r="D334" s="167"/>
      <c r="E334" s="137"/>
      <c r="F334" s="137"/>
      <c r="G334" s="137"/>
      <c r="H334" s="137"/>
      <c r="I334" s="50" t="e">
        <v>#REF!</v>
      </c>
      <c r="J334" s="50" t="e">
        <v>#REF!</v>
      </c>
      <c r="K334" s="50" t="e">
        <v>#REF!</v>
      </c>
      <c r="L334" s="164">
        <v>2.7E-2</v>
      </c>
      <c r="M334" s="164">
        <v>-0.10299999999999999</v>
      </c>
      <c r="N334" s="164">
        <v>-0.10199999999999999</v>
      </c>
      <c r="O334" s="50" t="e">
        <v>#VALUE!</v>
      </c>
      <c r="P334" s="137"/>
      <c r="Q334" s="137"/>
      <c r="R334" s="137"/>
      <c r="S334" s="137"/>
      <c r="T334" s="137"/>
      <c r="U334" s="137"/>
      <c r="V334" s="137"/>
      <c r="W334" s="137"/>
      <c r="X334" s="137"/>
      <c r="Y334" s="2"/>
      <c r="Z334" s="2"/>
      <c r="AA334" s="165">
        <v>-0.42199999999999999</v>
      </c>
      <c r="AB334" s="166">
        <v>0.31900000000000001</v>
      </c>
      <c r="AC334" s="165">
        <v>-0.61399999999999999</v>
      </c>
      <c r="AD334" s="137" t="e">
        <v>#VALUE!</v>
      </c>
      <c r="AE334" s="151"/>
      <c r="AF334" s="137"/>
      <c r="AG334" s="2"/>
      <c r="AH334" s="2"/>
      <c r="AI334" s="2"/>
    </row>
    <row r="335" spans="1:35" x14ac:dyDescent="0.25">
      <c r="A335" s="20"/>
      <c r="B335" s="33" t="s">
        <v>385</v>
      </c>
      <c r="C335" s="27" t="s">
        <v>117</v>
      </c>
      <c r="D335" s="28"/>
      <c r="E335" s="107"/>
      <c r="F335" s="107"/>
      <c r="G335" s="107"/>
      <c r="H335" s="107"/>
      <c r="I335" s="40">
        <v>0</v>
      </c>
      <c r="J335" s="40">
        <v>0</v>
      </c>
      <c r="K335" s="40">
        <v>0</v>
      </c>
      <c r="L335" s="40">
        <v>0</v>
      </c>
      <c r="M335" s="40">
        <v>0</v>
      </c>
      <c r="N335" s="40">
        <v>0</v>
      </c>
      <c r="O335" s="40">
        <v>0</v>
      </c>
      <c r="P335" s="107"/>
      <c r="Q335" s="107"/>
      <c r="R335" s="107"/>
      <c r="S335" s="107"/>
      <c r="T335" s="107"/>
      <c r="U335" s="107"/>
      <c r="V335" s="107"/>
      <c r="W335" s="107"/>
      <c r="X335" s="107"/>
      <c r="Y335" s="2"/>
      <c r="Z335" s="2"/>
      <c r="AA335" s="128">
        <v>0</v>
      </c>
      <c r="AB335" s="129">
        <v>0</v>
      </c>
      <c r="AC335" s="128">
        <v>0</v>
      </c>
      <c r="AD335" s="129">
        <v>0</v>
      </c>
      <c r="AE335" s="106"/>
      <c r="AF335" s="107"/>
      <c r="AG335" s="2"/>
      <c r="AH335" s="2"/>
      <c r="AI335" s="2"/>
    </row>
    <row r="336" spans="1:35" x14ac:dyDescent="0.25">
      <c r="A336" s="307"/>
      <c r="B336" s="308"/>
      <c r="C336" s="55"/>
      <c r="D336" s="32"/>
      <c r="E336" s="47"/>
      <c r="F336" s="47"/>
      <c r="G336" s="47"/>
      <c r="H336" s="47"/>
      <c r="I336" s="47"/>
      <c r="J336" s="47"/>
      <c r="K336" s="47"/>
      <c r="L336" s="47"/>
      <c r="M336" s="47"/>
      <c r="N336" s="47"/>
      <c r="O336" s="47"/>
      <c r="P336" s="47"/>
      <c r="Q336" s="47"/>
      <c r="R336" s="47"/>
      <c r="S336" s="47"/>
      <c r="T336" s="47"/>
      <c r="U336" s="47"/>
      <c r="V336" s="47"/>
      <c r="W336" s="47"/>
      <c r="X336" s="47"/>
      <c r="Y336" s="2"/>
      <c r="Z336" s="2"/>
      <c r="AA336" s="59"/>
      <c r="AB336" s="142"/>
      <c r="AC336" s="59"/>
      <c r="AD336" s="142"/>
      <c r="AE336" s="59"/>
      <c r="AF336" s="142"/>
      <c r="AG336" s="2"/>
      <c r="AH336" s="2"/>
      <c r="AI336" s="2"/>
    </row>
    <row r="337" spans="1:35" x14ac:dyDescent="0.25">
      <c r="A337" s="98"/>
      <c r="B337" s="21" t="s">
        <v>386</v>
      </c>
      <c r="C337" s="147"/>
      <c r="D337" s="148"/>
      <c r="E337" s="25"/>
      <c r="F337" s="25"/>
      <c r="G337" s="25"/>
      <c r="H337" s="25"/>
      <c r="I337" s="25"/>
      <c r="J337" s="25"/>
      <c r="K337" s="25"/>
      <c r="L337" s="25"/>
      <c r="M337" s="25"/>
      <c r="N337" s="25"/>
      <c r="O337" s="25"/>
      <c r="P337" s="25"/>
      <c r="Q337" s="25"/>
      <c r="R337" s="25"/>
      <c r="S337" s="25"/>
      <c r="T337" s="25"/>
      <c r="U337" s="25"/>
      <c r="V337" s="25"/>
      <c r="W337" s="25"/>
      <c r="X337" s="25"/>
      <c r="Y337" s="2"/>
      <c r="Z337" s="2"/>
      <c r="AA337" s="106"/>
      <c r="AB337" s="107"/>
      <c r="AC337" s="106"/>
      <c r="AD337" s="107"/>
      <c r="AE337" s="106"/>
      <c r="AF337" s="107"/>
      <c r="AG337" s="2"/>
      <c r="AH337" s="2"/>
      <c r="AI337" s="2"/>
    </row>
    <row r="338" spans="1:35" x14ac:dyDescent="0.25">
      <c r="A338" s="98"/>
      <c r="B338" s="33" t="s">
        <v>387</v>
      </c>
      <c r="C338" s="27" t="s">
        <v>117</v>
      </c>
      <c r="D338" s="32"/>
      <c r="E338" s="29"/>
      <c r="F338" s="29"/>
      <c r="G338" s="29"/>
      <c r="H338" s="29"/>
      <c r="I338" s="29" t="e">
        <v>#REF!</v>
      </c>
      <c r="J338" s="29" t="e">
        <v>#REF!</v>
      </c>
      <c r="K338" s="29" t="e">
        <v>#REF!</v>
      </c>
      <c r="L338" s="29" t="e">
        <v>#REF!</v>
      </c>
      <c r="M338" s="29" t="e">
        <v>#REF!</v>
      </c>
      <c r="N338" s="29" t="e">
        <v>#REF!</v>
      </c>
      <c r="O338" s="29" t="e">
        <v>#REF!</v>
      </c>
      <c r="P338" s="29" t="e">
        <v>#REF!</v>
      </c>
      <c r="Q338" s="29" t="e">
        <v>#REF!</v>
      </c>
      <c r="R338" s="29" t="e">
        <v>#REF!</v>
      </c>
      <c r="S338" s="29" t="e">
        <v>#REF!</v>
      </c>
      <c r="T338" s="29" t="e">
        <v>#REF!</v>
      </c>
      <c r="U338" s="29" t="e">
        <v>#REF!</v>
      </c>
      <c r="V338" s="29" t="e">
        <v>#REF!</v>
      </c>
      <c r="W338" s="29" t="e">
        <v>#REF!</v>
      </c>
      <c r="X338" s="29" t="e">
        <v>#REF!</v>
      </c>
      <c r="Y338" s="2"/>
      <c r="Z338" s="2"/>
      <c r="AA338" s="106" t="e">
        <v>#REF!</v>
      </c>
      <c r="AB338" s="107" t="e">
        <v>#REF!</v>
      </c>
      <c r="AC338" s="106" t="e">
        <v>#REF!</v>
      </c>
      <c r="AD338" s="107" t="e">
        <v>#REF!</v>
      </c>
      <c r="AE338" s="106" t="e">
        <v>#REF!</v>
      </c>
      <c r="AF338" s="107" t="e">
        <v>#REF!</v>
      </c>
      <c r="AG338" s="2"/>
      <c r="AH338" s="2"/>
      <c r="AI338" s="2"/>
    </row>
    <row r="339" spans="1:35" x14ac:dyDescent="0.25">
      <c r="A339" s="98"/>
      <c r="B339" s="33" t="s">
        <v>388</v>
      </c>
      <c r="C339" s="27" t="s">
        <v>117</v>
      </c>
      <c r="D339" s="32"/>
      <c r="E339" s="29"/>
      <c r="F339" s="29"/>
      <c r="G339" s="29"/>
      <c r="H339" s="29"/>
      <c r="I339" s="29" t="e">
        <v>#REF!</v>
      </c>
      <c r="J339" s="29" t="e">
        <v>#REF!</v>
      </c>
      <c r="K339" s="29" t="e">
        <v>#REF!</v>
      </c>
      <c r="L339" s="29" t="e">
        <v>#REF!</v>
      </c>
      <c r="M339" s="29" t="e">
        <v>#REF!</v>
      </c>
      <c r="N339" s="29" t="e">
        <v>#REF!</v>
      </c>
      <c r="O339" s="29" t="e">
        <v>#REF!</v>
      </c>
      <c r="P339" s="29" t="e">
        <v>#REF!</v>
      </c>
      <c r="Q339" s="29" t="e">
        <v>#REF!</v>
      </c>
      <c r="R339" s="29" t="e">
        <v>#REF!</v>
      </c>
      <c r="S339" s="29" t="e">
        <v>#REF!</v>
      </c>
      <c r="T339" s="29" t="e">
        <v>#REF!</v>
      </c>
      <c r="U339" s="29" t="e">
        <v>#REF!</v>
      </c>
      <c r="V339" s="29" t="e">
        <v>#REF!</v>
      </c>
      <c r="W339" s="29" t="e">
        <v>#REF!</v>
      </c>
      <c r="X339" s="29" t="e">
        <v>#REF!</v>
      </c>
      <c r="Y339" s="2"/>
      <c r="Z339" s="2"/>
      <c r="AA339" s="106" t="e">
        <v>#REF!</v>
      </c>
      <c r="AB339" s="107" t="e">
        <v>#REF!</v>
      </c>
      <c r="AC339" s="106" t="e">
        <v>#REF!</v>
      </c>
      <c r="AD339" s="107" t="e">
        <v>#REF!</v>
      </c>
      <c r="AE339" s="106" t="e">
        <v>#REF!</v>
      </c>
      <c r="AF339" s="107" t="e">
        <v>#REF!</v>
      </c>
      <c r="AG339" s="2"/>
      <c r="AH339" s="2"/>
      <c r="AI339" s="2"/>
    </row>
    <row r="340" spans="1:35" x14ac:dyDescent="0.25">
      <c r="A340" s="98"/>
      <c r="B340" s="33" t="s">
        <v>389</v>
      </c>
      <c r="C340" s="27" t="s">
        <v>117</v>
      </c>
      <c r="D340" s="32"/>
      <c r="E340" s="29"/>
      <c r="F340" s="29"/>
      <c r="G340" s="29"/>
      <c r="H340" s="29"/>
      <c r="I340" s="29" t="e">
        <v>#REF!</v>
      </c>
      <c r="J340" s="29" t="e">
        <v>#REF!</v>
      </c>
      <c r="K340" s="29" t="e">
        <v>#REF!</v>
      </c>
      <c r="L340" s="29" t="e">
        <v>#REF!</v>
      </c>
      <c r="M340" s="29" t="e">
        <v>#REF!</v>
      </c>
      <c r="N340" s="29" t="e">
        <v>#REF!</v>
      </c>
      <c r="O340" s="29" t="e">
        <v>#REF!</v>
      </c>
      <c r="P340" s="29" t="e">
        <v>#REF!</v>
      </c>
      <c r="Q340" s="29" t="e">
        <v>#REF!</v>
      </c>
      <c r="R340" s="29" t="e">
        <v>#REF!</v>
      </c>
      <c r="S340" s="29" t="e">
        <v>#REF!</v>
      </c>
      <c r="T340" s="29" t="e">
        <v>#REF!</v>
      </c>
      <c r="U340" s="29" t="e">
        <v>#REF!</v>
      </c>
      <c r="V340" s="29" t="e">
        <v>#REF!</v>
      </c>
      <c r="W340" s="29" t="e">
        <v>#REF!</v>
      </c>
      <c r="X340" s="29" t="e">
        <v>#REF!</v>
      </c>
      <c r="Y340" s="2"/>
      <c r="Z340" s="2"/>
      <c r="AA340" s="106" t="e">
        <v>#REF!</v>
      </c>
      <c r="AB340" s="107" t="e">
        <v>#REF!</v>
      </c>
      <c r="AC340" s="106" t="e">
        <v>#REF!</v>
      </c>
      <c r="AD340" s="107" t="e">
        <v>#REF!</v>
      </c>
      <c r="AE340" s="106" t="e">
        <v>#REF!</v>
      </c>
      <c r="AF340" s="107" t="e">
        <v>#REF!</v>
      </c>
      <c r="AG340" s="2"/>
      <c r="AH340" s="2"/>
      <c r="AI340" s="2"/>
    </row>
    <row r="341" spans="1:35" x14ac:dyDescent="0.25">
      <c r="A341" s="98"/>
      <c r="B341" s="33" t="s">
        <v>390</v>
      </c>
      <c r="C341" s="27" t="s">
        <v>117</v>
      </c>
      <c r="D341" s="169"/>
      <c r="E341" s="155"/>
      <c r="F341" s="155"/>
      <c r="G341" s="155"/>
      <c r="H341" s="155"/>
      <c r="I341" s="29" t="e">
        <v>#REF!</v>
      </c>
      <c r="J341" s="29" t="e">
        <v>#REF!</v>
      </c>
      <c r="K341" s="29" t="e">
        <v>#REF!</v>
      </c>
      <c r="L341" s="29" t="e">
        <v>#REF!</v>
      </c>
      <c r="M341" s="29" t="e">
        <v>#REF!</v>
      </c>
      <c r="N341" s="29" t="e">
        <v>#REF!</v>
      </c>
      <c r="O341" s="29" t="e">
        <v>#REF!</v>
      </c>
      <c r="P341" s="29" t="e">
        <v>#REF!</v>
      </c>
      <c r="Q341" s="29" t="e">
        <v>#REF!</v>
      </c>
      <c r="R341" s="29" t="e">
        <v>#REF!</v>
      </c>
      <c r="S341" s="29" t="e">
        <v>#REF!</v>
      </c>
      <c r="T341" s="29" t="e">
        <v>#REF!</v>
      </c>
      <c r="U341" s="29" t="e">
        <v>#REF!</v>
      </c>
      <c r="V341" s="29" t="e">
        <v>#REF!</v>
      </c>
      <c r="W341" s="29" t="e">
        <v>#REF!</v>
      </c>
      <c r="X341" s="29" t="e">
        <v>#REF!</v>
      </c>
      <c r="Y341" s="2"/>
      <c r="Z341" s="2"/>
      <c r="AA341" s="106" t="e">
        <v>#REF!</v>
      </c>
      <c r="AB341" s="107" t="e">
        <v>#REF!</v>
      </c>
      <c r="AC341" s="106" t="e">
        <v>#REF!</v>
      </c>
      <c r="AD341" s="107" t="e">
        <v>#REF!</v>
      </c>
      <c r="AE341" s="106" t="e">
        <v>#REF!</v>
      </c>
      <c r="AF341" s="107" t="e">
        <v>#REF!</v>
      </c>
      <c r="AG341" s="2"/>
      <c r="AH341" s="2"/>
      <c r="AI341" s="2"/>
    </row>
    <row r="342" spans="1:35" x14ac:dyDescent="0.25">
      <c r="A342" s="98"/>
      <c r="B342" s="36" t="s">
        <v>391</v>
      </c>
      <c r="C342" s="37" t="s">
        <v>117</v>
      </c>
      <c r="D342" s="38"/>
      <c r="E342" s="50"/>
      <c r="F342" s="50"/>
      <c r="G342" s="50"/>
      <c r="H342" s="50"/>
      <c r="I342" s="50" t="e">
        <v>#REF!</v>
      </c>
      <c r="J342" s="50" t="e">
        <v>#REF!</v>
      </c>
      <c r="K342" s="50" t="e">
        <v>#REF!</v>
      </c>
      <c r="L342" s="50" t="e">
        <v>#REF!</v>
      </c>
      <c r="M342" s="50" t="e">
        <v>#REF!</v>
      </c>
      <c r="N342" s="50" t="e">
        <v>#REF!</v>
      </c>
      <c r="O342" s="50" t="e">
        <v>#REF!</v>
      </c>
      <c r="P342" s="50" t="e">
        <v>#REF!</v>
      </c>
      <c r="Q342" s="50" t="e">
        <v>#REF!</v>
      </c>
      <c r="R342" s="50" t="e">
        <v>#REF!</v>
      </c>
      <c r="S342" s="50" t="e">
        <v>#REF!</v>
      </c>
      <c r="T342" s="50" t="e">
        <v>#REF!</v>
      </c>
      <c r="U342" s="50" t="e">
        <v>#REF!</v>
      </c>
      <c r="V342" s="50" t="e">
        <v>#REF!</v>
      </c>
      <c r="W342" s="50" t="e">
        <v>#REF!</v>
      </c>
      <c r="X342" s="50" t="e">
        <v>#REF!</v>
      </c>
      <c r="Y342" s="2"/>
      <c r="Z342" s="2"/>
      <c r="AA342" s="151" t="e">
        <v>#REF!</v>
      </c>
      <c r="AB342" s="137" t="e">
        <v>#REF!</v>
      </c>
      <c r="AC342" s="151" t="e">
        <v>#REF!</v>
      </c>
      <c r="AD342" s="137" t="e">
        <v>#REF!</v>
      </c>
      <c r="AE342" s="151" t="e">
        <v>#REF!</v>
      </c>
      <c r="AF342" s="137" t="e">
        <v>#REF!</v>
      </c>
      <c r="AG342" s="2"/>
      <c r="AH342" s="2"/>
      <c r="AI342" s="2"/>
    </row>
  </sheetData>
  <mergeCells count="70">
    <mergeCell ref="A325:B325"/>
    <mergeCell ref="A327:B327"/>
    <mergeCell ref="A328:B328"/>
    <mergeCell ref="A336:B336"/>
    <mergeCell ref="A289:B289"/>
    <mergeCell ref="A296:B296"/>
    <mergeCell ref="A303:B303"/>
    <mergeCell ref="A313:B313"/>
    <mergeCell ref="A319:B319"/>
    <mergeCell ref="A323:B323"/>
    <mergeCell ref="A278:B278"/>
    <mergeCell ref="A191:B191"/>
    <mergeCell ref="A192:B192"/>
    <mergeCell ref="A193:B193"/>
    <mergeCell ref="A194:B194"/>
    <mergeCell ref="A210:B210"/>
    <mergeCell ref="A223:B223"/>
    <mergeCell ref="A226:B226"/>
    <mergeCell ref="A235:B235"/>
    <mergeCell ref="A254:B254"/>
    <mergeCell ref="A265:B265"/>
    <mergeCell ref="A274:B274"/>
    <mergeCell ref="A190:B190"/>
    <mergeCell ref="A177:B177"/>
    <mergeCell ref="A178:B178"/>
    <mergeCell ref="A181:B181"/>
    <mergeCell ref="A182:B182"/>
    <mergeCell ref="A183:B183"/>
    <mergeCell ref="A184:B184"/>
    <mergeCell ref="A185:B185"/>
    <mergeCell ref="A186:B186"/>
    <mergeCell ref="A187:B187"/>
    <mergeCell ref="A188:B188"/>
    <mergeCell ref="A189:B189"/>
    <mergeCell ref="A176:B176"/>
    <mergeCell ref="A141:B141"/>
    <mergeCell ref="A146:B146"/>
    <mergeCell ref="A150:B150"/>
    <mergeCell ref="A157:B157"/>
    <mergeCell ref="A159:B159"/>
    <mergeCell ref="A164:B164"/>
    <mergeCell ref="A169:B169"/>
    <mergeCell ref="A171:B171"/>
    <mergeCell ref="A173:B173"/>
    <mergeCell ref="A174:B174"/>
    <mergeCell ref="A175:B175"/>
    <mergeCell ref="A132:B132"/>
    <mergeCell ref="A71:B71"/>
    <mergeCell ref="A79:B79"/>
    <mergeCell ref="A82:B82"/>
    <mergeCell ref="A86:B86"/>
    <mergeCell ref="A96:B96"/>
    <mergeCell ref="A102:B102"/>
    <mergeCell ref="A109:B109"/>
    <mergeCell ref="A116:B116"/>
    <mergeCell ref="A118:B118"/>
    <mergeCell ref="A120:B120"/>
    <mergeCell ref="A129:B129"/>
    <mergeCell ref="A66:B66"/>
    <mergeCell ref="A2:B2"/>
    <mergeCell ref="A3:B3"/>
    <mergeCell ref="A5:B5"/>
    <mergeCell ref="A12:B12"/>
    <mergeCell ref="A18:B18"/>
    <mergeCell ref="A23:B23"/>
    <mergeCell ref="A31:B31"/>
    <mergeCell ref="A36:B36"/>
    <mergeCell ref="A45:B45"/>
    <mergeCell ref="A54:B54"/>
    <mergeCell ref="A59:B59"/>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B001-E6E4-4DA4-A613-BD0B48EEA971}">
  <dimension ref="E29:AC109"/>
  <sheetViews>
    <sheetView topLeftCell="G82" workbookViewId="0">
      <selection activeCell="V104" sqref="V104:V109"/>
    </sheetView>
  </sheetViews>
  <sheetFormatPr defaultColWidth="9.140625" defaultRowHeight="15" x14ac:dyDescent="0.25"/>
  <cols>
    <col min="1" max="28" width="9.140625" style="288"/>
    <col min="29" max="29" width="20.42578125" style="288" bestFit="1" customWidth="1"/>
    <col min="30" max="16384" width="9.140625" style="288"/>
  </cols>
  <sheetData>
    <row r="29" spans="5:6" x14ac:dyDescent="0.25">
      <c r="E29" s="288">
        <v>14.5</v>
      </c>
      <c r="F29" s="289">
        <v>3.7999999999999999E-2</v>
      </c>
    </row>
    <row r="30" spans="5:6" x14ac:dyDescent="0.25">
      <c r="E30" s="288">
        <v>17.7</v>
      </c>
      <c r="F30" s="289">
        <v>5.2999999999999999E-2</v>
      </c>
    </row>
    <row r="32" spans="5:6" x14ac:dyDescent="0.25">
      <c r="E32" s="288" t="s">
        <v>499</v>
      </c>
      <c r="F32" s="288" t="s">
        <v>500</v>
      </c>
    </row>
    <row r="33" spans="5:6" x14ac:dyDescent="0.25">
      <c r="E33" s="290">
        <f>SUMPRODUCT(E29:E30,F29:F30)/SUM(E29:E30)</f>
        <v>4.6245341614906822E-2</v>
      </c>
      <c r="F33" s="291">
        <f>1-E33</f>
        <v>0.95375465838509321</v>
      </c>
    </row>
    <row r="71" spans="19:19" x14ac:dyDescent="0.25">
      <c r="S71" s="288" t="s">
        <v>501</v>
      </c>
    </row>
    <row r="91" spans="20:29" x14ac:dyDescent="0.25">
      <c r="U91" s="288">
        <v>1.31</v>
      </c>
      <c r="V91" s="288">
        <f>U91^(1/8)-1</f>
        <v>3.432950150106695E-2</v>
      </c>
    </row>
    <row r="93" spans="20:29" x14ac:dyDescent="0.25">
      <c r="U93" s="288" t="s">
        <v>502</v>
      </c>
      <c r="V93" s="288" t="s">
        <v>505</v>
      </c>
      <c r="W93" s="288" t="str">
        <f>U93</f>
        <v>FY15</v>
      </c>
      <c r="X93" s="288" t="str">
        <f>V93</f>
        <v>FY23</v>
      </c>
    </row>
    <row r="94" spans="20:29" x14ac:dyDescent="0.25">
      <c r="T94" s="288" t="s">
        <v>504</v>
      </c>
      <c r="U94" s="288">
        <v>4.42</v>
      </c>
      <c r="V94" s="288">
        <v>5.74</v>
      </c>
      <c r="W94" s="288">
        <v>100</v>
      </c>
      <c r="X94" s="288">
        <v>131</v>
      </c>
      <c r="Y94" s="292">
        <f>W94-W95</f>
        <v>11.312217194570138</v>
      </c>
      <c r="Z94" s="292">
        <f>X94-X95</f>
        <v>23.506968641114995</v>
      </c>
      <c r="AA94" s="290">
        <f>(Z94-Y94)/100</f>
        <v>0.12194751446544856</v>
      </c>
      <c r="AB94" s="293">
        <f>(1+AA94)^(1/8)-1</f>
        <v>1.448719013967259E-2</v>
      </c>
      <c r="AC94" s="291">
        <f t="shared" ref="AC94:AC95" si="0">(1+AA94)</f>
        <v>1.1219475144654485</v>
      </c>
    </row>
    <row r="95" spans="20:29" x14ac:dyDescent="0.25">
      <c r="T95" s="288" t="s">
        <v>72</v>
      </c>
      <c r="U95" s="288">
        <v>3.92</v>
      </c>
      <c r="V95" s="288">
        <v>4.71</v>
      </c>
      <c r="W95" s="292">
        <f>U95/U$94*100</f>
        <v>88.687782805429862</v>
      </c>
      <c r="X95" s="292">
        <f>V95/V$94*X$94</f>
        <v>107.49303135888501</v>
      </c>
      <c r="Y95" s="292">
        <f t="shared" ref="Y95:Z96" si="1">W95-W96</f>
        <v>29.411764705882348</v>
      </c>
      <c r="Z95" s="292">
        <f t="shared" si="1"/>
        <v>64.587108013937268</v>
      </c>
      <c r="AA95" s="290">
        <f t="shared" ref="AA95:AA96" si="2">(Z95-Y95)/100</f>
        <v>0.35175343308054918</v>
      </c>
      <c r="AB95" s="293">
        <f t="shared" ref="AB95:AB96" si="3">(1+AA95)^(1/8)-1</f>
        <v>3.8394036131005116E-2</v>
      </c>
      <c r="AC95" s="291">
        <f t="shared" si="0"/>
        <v>1.3517534330805492</v>
      </c>
    </row>
    <row r="96" spans="20:29" x14ac:dyDescent="0.25">
      <c r="T96" s="288" t="s">
        <v>503</v>
      </c>
      <c r="U96" s="288">
        <v>2.62</v>
      </c>
      <c r="V96" s="288">
        <v>1.88</v>
      </c>
      <c r="W96" s="292">
        <f>U96/U$94*100</f>
        <v>59.276018099547514</v>
      </c>
      <c r="X96" s="292">
        <f>V96/V$94*X$94</f>
        <v>42.90592334494773</v>
      </c>
      <c r="Y96" s="292">
        <f t="shared" si="1"/>
        <v>59.276018099547514</v>
      </c>
      <c r="Z96" s="292">
        <f t="shared" si="1"/>
        <v>42.90592334494773</v>
      </c>
      <c r="AA96" s="290">
        <f t="shared" si="2"/>
        <v>-0.16370094754599784</v>
      </c>
      <c r="AB96" s="293">
        <f t="shared" si="3"/>
        <v>-2.209830117911471E-2</v>
      </c>
      <c r="AC96" s="291">
        <f>(1+AA96)</f>
        <v>0.83629905245400216</v>
      </c>
    </row>
    <row r="97" spans="22:29" x14ac:dyDescent="0.25">
      <c r="AC97" s="294">
        <f>AC94*AC95*AC96</f>
        <v>1.2683281359672933</v>
      </c>
    </row>
    <row r="100" spans="22:29" x14ac:dyDescent="0.25">
      <c r="AA100" s="288">
        <f>1.31^(1/8)-1</f>
        <v>3.432950150106695E-2</v>
      </c>
    </row>
    <row r="104" spans="22:29" x14ac:dyDescent="0.25">
      <c r="V104" s="288">
        <v>3</v>
      </c>
    </row>
    <row r="105" spans="22:29" x14ac:dyDescent="0.25">
      <c r="V105" s="288">
        <v>-2</v>
      </c>
    </row>
    <row r="106" spans="22:29" x14ac:dyDescent="0.25">
      <c r="V106" s="288">
        <v>1</v>
      </c>
    </row>
    <row r="107" spans="22:29" x14ac:dyDescent="0.25">
      <c r="V107" s="288">
        <v>4</v>
      </c>
    </row>
    <row r="108" spans="22:29" x14ac:dyDescent="0.25">
      <c r="V108" s="288">
        <v>5</v>
      </c>
    </row>
    <row r="109" spans="22:29" x14ac:dyDescent="0.25">
      <c r="V109" s="288">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E96B6-A24C-4C76-9A19-294DDECC308C}">
  <dimension ref="A1:AM195"/>
  <sheetViews>
    <sheetView zoomScale="85" zoomScaleNormal="85" workbookViewId="0">
      <pane xSplit="4" ySplit="4" topLeftCell="I35" activePane="bottomRight" state="frozen"/>
      <selection pane="topRight" activeCell="E1" sqref="E1"/>
      <selection pane="bottomLeft" activeCell="A5" sqref="A5"/>
      <selection pane="bottomRight" activeCell="P47" sqref="P47"/>
    </sheetView>
  </sheetViews>
  <sheetFormatPr defaultRowHeight="15" x14ac:dyDescent="0.25"/>
  <cols>
    <col min="2" max="2" width="60.140625" bestFit="1" customWidth="1"/>
  </cols>
  <sheetData>
    <row r="1" spans="1:39" x14ac:dyDescent="0.25">
      <c r="A1" s="8"/>
      <c r="B1" s="9" t="s">
        <v>24</v>
      </c>
      <c r="C1" s="2"/>
      <c r="D1" s="2">
        <v>2020</v>
      </c>
      <c r="E1" s="2">
        <v>2020</v>
      </c>
      <c r="F1" s="2">
        <v>2021</v>
      </c>
      <c r="G1" s="2">
        <v>2021</v>
      </c>
      <c r="H1" s="2">
        <v>2022</v>
      </c>
      <c r="I1" s="2">
        <v>2022</v>
      </c>
      <c r="J1" s="2">
        <v>2023</v>
      </c>
      <c r="K1" s="2">
        <v>2023</v>
      </c>
      <c r="L1" s="2">
        <v>2024</v>
      </c>
      <c r="M1" s="2">
        <v>2024</v>
      </c>
      <c r="N1" s="2">
        <v>2025</v>
      </c>
      <c r="O1" s="2">
        <v>2025</v>
      </c>
      <c r="P1" s="2">
        <v>2026</v>
      </c>
      <c r="Q1" s="2">
        <v>2026</v>
      </c>
      <c r="R1" s="2">
        <v>2027</v>
      </c>
      <c r="S1" s="2">
        <v>2027</v>
      </c>
      <c r="T1" s="2">
        <v>2028</v>
      </c>
      <c r="U1" s="2">
        <v>2028</v>
      </c>
      <c r="V1" s="2">
        <v>2029</v>
      </c>
      <c r="W1" s="2">
        <v>2029</v>
      </c>
      <c r="X1" s="2">
        <v>2030</v>
      </c>
      <c r="Y1" s="2">
        <v>2030</v>
      </c>
      <c r="Z1" s="2">
        <v>2031</v>
      </c>
      <c r="AA1" s="2">
        <v>2031</v>
      </c>
      <c r="AB1" s="2">
        <v>2032</v>
      </c>
      <c r="AC1" s="2">
        <v>2032</v>
      </c>
      <c r="AD1" s="2">
        <v>2033</v>
      </c>
      <c r="AE1" s="2">
        <v>2033</v>
      </c>
      <c r="AF1" s="2">
        <v>2034</v>
      </c>
      <c r="AG1" s="2">
        <v>2034</v>
      </c>
      <c r="AH1" s="2">
        <v>2035</v>
      </c>
      <c r="AI1" s="2">
        <v>2035</v>
      </c>
      <c r="AJ1" s="10"/>
      <c r="AK1" s="11"/>
      <c r="AL1" s="11"/>
      <c r="AM1" s="10"/>
    </row>
    <row r="2" spans="1:39" x14ac:dyDescent="0.25">
      <c r="A2" s="311"/>
      <c r="B2" s="311"/>
      <c r="C2" s="2"/>
      <c r="D2" s="12" t="s">
        <v>25</v>
      </c>
      <c r="E2" s="12"/>
      <c r="F2" s="12"/>
      <c r="G2" s="13"/>
      <c r="H2" s="13"/>
      <c r="I2" s="13"/>
      <c r="J2" s="13"/>
      <c r="K2" s="13"/>
      <c r="L2" s="13"/>
      <c r="M2" s="13"/>
      <c r="N2" s="13"/>
      <c r="O2" s="13"/>
      <c r="P2" s="14" t="s">
        <v>26</v>
      </c>
      <c r="Q2" s="14"/>
      <c r="R2" s="14"/>
      <c r="S2" s="14"/>
      <c r="T2" s="14"/>
      <c r="U2" s="14"/>
      <c r="V2" s="14"/>
      <c r="W2" s="14"/>
      <c r="X2" s="14"/>
      <c r="Y2" s="14"/>
      <c r="Z2" s="14"/>
      <c r="AA2" s="14"/>
      <c r="AB2" s="14"/>
      <c r="AC2" s="14"/>
      <c r="AD2" s="14"/>
      <c r="AE2" s="14"/>
      <c r="AF2" s="14"/>
      <c r="AG2" s="14"/>
      <c r="AH2" s="14"/>
      <c r="AI2" s="14"/>
      <c r="AJ2" s="10"/>
      <c r="AK2" s="15" t="s">
        <v>27</v>
      </c>
      <c r="AL2" s="15"/>
      <c r="AM2" s="10"/>
    </row>
    <row r="3" spans="1:39" x14ac:dyDescent="0.25">
      <c r="A3" s="311"/>
      <c r="B3" s="312"/>
      <c r="C3" s="16" t="s">
        <v>28</v>
      </c>
      <c r="D3" s="17" t="s">
        <v>29</v>
      </c>
      <c r="E3" s="17" t="s">
        <v>30</v>
      </c>
      <c r="F3" s="17" t="s">
        <v>31</v>
      </c>
      <c r="G3" s="17" t="s">
        <v>32</v>
      </c>
      <c r="H3" s="17" t="s">
        <v>33</v>
      </c>
      <c r="I3" s="17" t="s">
        <v>34</v>
      </c>
      <c r="J3" s="17" t="s">
        <v>35</v>
      </c>
      <c r="K3" s="17" t="s">
        <v>36</v>
      </c>
      <c r="L3" s="17" t="s">
        <v>37</v>
      </c>
      <c r="M3" s="17" t="s">
        <v>38</v>
      </c>
      <c r="N3" s="17" t="s">
        <v>39</v>
      </c>
      <c r="O3" s="17" t="s">
        <v>40</v>
      </c>
      <c r="P3" s="18" t="s">
        <v>41</v>
      </c>
      <c r="Q3" s="18" t="s">
        <v>42</v>
      </c>
      <c r="R3" s="18" t="s">
        <v>43</v>
      </c>
      <c r="S3" s="18" t="s">
        <v>44</v>
      </c>
      <c r="T3" s="18" t="s">
        <v>45</v>
      </c>
      <c r="U3" s="18" t="s">
        <v>46</v>
      </c>
      <c r="V3" s="18" t="s">
        <v>47</v>
      </c>
      <c r="W3" s="18" t="s">
        <v>48</v>
      </c>
      <c r="X3" s="18" t="s">
        <v>49</v>
      </c>
      <c r="Y3" s="18" t="s">
        <v>50</v>
      </c>
      <c r="Z3" s="18" t="s">
        <v>51</v>
      </c>
      <c r="AA3" s="18" t="s">
        <v>52</v>
      </c>
      <c r="AB3" s="18" t="s">
        <v>53</v>
      </c>
      <c r="AC3" s="18" t="s">
        <v>54</v>
      </c>
      <c r="AD3" s="18" t="s">
        <v>55</v>
      </c>
      <c r="AE3" s="18" t="s">
        <v>56</v>
      </c>
      <c r="AF3" s="18" t="s">
        <v>57</v>
      </c>
      <c r="AG3" s="18" t="s">
        <v>58</v>
      </c>
      <c r="AH3" s="18" t="s">
        <v>59</v>
      </c>
      <c r="AI3" s="18" t="s">
        <v>60</v>
      </c>
      <c r="AJ3" s="10"/>
      <c r="AK3" s="19" t="s">
        <v>61</v>
      </c>
      <c r="AL3" s="19" t="s">
        <v>62</v>
      </c>
      <c r="AM3" s="10"/>
    </row>
    <row r="4" spans="1:39" x14ac:dyDescent="0.25">
      <c r="A4" s="20"/>
      <c r="B4" s="21" t="s">
        <v>63</v>
      </c>
      <c r="C4" s="23"/>
      <c r="D4" s="24">
        <v>43800</v>
      </c>
      <c r="E4" s="24">
        <v>43983</v>
      </c>
      <c r="F4" s="24">
        <v>44166</v>
      </c>
      <c r="G4" s="24">
        <v>44348</v>
      </c>
      <c r="H4" s="24">
        <v>44531</v>
      </c>
      <c r="I4" s="24">
        <v>44713</v>
      </c>
      <c r="J4" s="24">
        <v>44896</v>
      </c>
      <c r="K4" s="24">
        <v>45078</v>
      </c>
      <c r="L4" s="24">
        <v>45261</v>
      </c>
      <c r="M4" s="24">
        <v>45444</v>
      </c>
      <c r="N4" s="24">
        <v>45627</v>
      </c>
      <c r="O4" s="24">
        <v>45809</v>
      </c>
      <c r="P4" s="25"/>
      <c r="Q4" s="25"/>
      <c r="R4" s="25"/>
      <c r="S4" s="25"/>
      <c r="T4" s="25"/>
      <c r="U4" s="25"/>
      <c r="V4" s="25"/>
      <c r="W4" s="25"/>
      <c r="X4" s="25"/>
      <c r="Y4" s="25"/>
      <c r="Z4" s="25"/>
      <c r="AA4" s="25"/>
      <c r="AB4" s="25"/>
      <c r="AC4" s="25"/>
      <c r="AD4" s="25"/>
      <c r="AE4" s="25"/>
      <c r="AF4" s="25"/>
      <c r="AG4" s="25"/>
      <c r="AH4" s="25"/>
      <c r="AI4" s="25"/>
      <c r="AJ4" s="2"/>
      <c r="AK4" s="26"/>
      <c r="AL4" s="26"/>
      <c r="AM4" s="2"/>
    </row>
    <row r="5" spans="1:39" x14ac:dyDescent="0.25">
      <c r="A5" s="307"/>
      <c r="B5" s="308"/>
      <c r="C5" s="27"/>
      <c r="D5" s="28"/>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
      <c r="AG5" s="2"/>
      <c r="AH5" s="2"/>
      <c r="AI5" s="2"/>
      <c r="AJ5" s="2"/>
      <c r="AK5" s="2"/>
      <c r="AL5" s="2"/>
      <c r="AM5" s="2"/>
    </row>
    <row r="6" spans="1:39" x14ac:dyDescent="0.25">
      <c r="A6" s="20"/>
      <c r="B6" s="30" t="s">
        <v>64</v>
      </c>
      <c r="C6" s="31"/>
      <c r="D6" s="32"/>
      <c r="E6" s="2"/>
      <c r="F6" s="29"/>
      <c r="G6" s="29"/>
      <c r="H6" s="29"/>
      <c r="I6" s="29"/>
      <c r="J6" s="29"/>
      <c r="K6" s="29"/>
      <c r="L6" s="29"/>
      <c r="M6" s="29"/>
      <c r="N6" s="29"/>
      <c r="O6" s="29"/>
      <c r="P6" s="29"/>
      <c r="Q6" s="29"/>
      <c r="R6" s="29"/>
      <c r="S6" s="29"/>
      <c r="T6" s="29"/>
      <c r="U6" s="29"/>
      <c r="V6" s="29"/>
      <c r="W6" s="29"/>
      <c r="X6" s="29"/>
      <c r="Y6" s="2"/>
      <c r="Z6" s="2"/>
      <c r="AA6" s="2"/>
      <c r="AB6" s="2"/>
      <c r="AC6" s="2"/>
      <c r="AD6" s="2"/>
      <c r="AE6" s="2"/>
      <c r="AF6" s="2"/>
      <c r="AG6" s="2"/>
      <c r="AH6" s="2"/>
      <c r="AI6" s="2"/>
      <c r="AJ6" s="2"/>
      <c r="AK6" s="2"/>
      <c r="AL6" s="2"/>
      <c r="AM6" s="2"/>
    </row>
    <row r="7" spans="1:39" x14ac:dyDescent="0.25">
      <c r="A7" s="20" t="s">
        <v>65</v>
      </c>
      <c r="B7" s="33" t="s">
        <v>66</v>
      </c>
      <c r="C7" s="27" t="s">
        <v>67</v>
      </c>
      <c r="D7" s="32"/>
      <c r="E7" s="34"/>
      <c r="F7" s="34"/>
      <c r="G7" s="35">
        <f>INDEX(Annual!$A:$Y,MATCH(Segments!$A7,Annual!$A:$A,0),MATCH(Segments!G$1,Annual!$A$1:$Y$1,0))-F7</f>
        <v>656.8</v>
      </c>
      <c r="H7" s="34">
        <v>419</v>
      </c>
      <c r="I7" s="35">
        <f>INDEX(Annual!$A:$Y,MATCH(Segments!$A7,Annual!$A:$A,0),MATCH(Segments!I$1,Annual!$A$1:$Y$1,0))-H7</f>
        <v>401.1</v>
      </c>
      <c r="J7" s="34">
        <v>405.4</v>
      </c>
      <c r="K7" s="35">
        <f>INDEX(Annual!$A:$Y,MATCH(Segments!$A7,Annual!$A:$A,0),MATCH(Segments!K$1,Annual!$A$1:$Y$1,0))-J7</f>
        <v>337.4</v>
      </c>
      <c r="L7" s="34">
        <v>423.2</v>
      </c>
      <c r="M7" s="35">
        <f>INDEX(Annual!$A:$Y,MATCH(Segments!$A7,Annual!$A:$A,0),MATCH(Segments!M$1,Annual!$A$1:$Y$1,0))-L7</f>
        <v>376.00000000000006</v>
      </c>
      <c r="N7" s="34">
        <v>467.4</v>
      </c>
      <c r="O7" s="35">
        <f>INDEX(Annual!$A:$Y,MATCH(Segments!$A7,Annual!$A:$A,0),MATCH(Segments!O$1,Annual!$A$1:$Y$1,0))-N7</f>
        <v>443.9</v>
      </c>
      <c r="P7" s="228">
        <f t="shared" ref="P7:AI7" si="0">N7*P114/N114</f>
        <v>556.94859813084111</v>
      </c>
      <c r="Q7" s="228">
        <f t="shared" si="0"/>
        <v>509.42794771223578</v>
      </c>
      <c r="R7" s="228">
        <f t="shared" si="0"/>
        <v>614.55177747055245</v>
      </c>
      <c r="S7" s="228">
        <f t="shared" si="0"/>
        <v>562.14570428659158</v>
      </c>
      <c r="T7" s="228">
        <f t="shared" si="0"/>
        <v>656.47475043410941</v>
      </c>
      <c r="U7" s="228">
        <f t="shared" si="0"/>
        <v>600.57184409082652</v>
      </c>
      <c r="V7" s="228">
        <f t="shared" si="0"/>
        <v>700.40599009329208</v>
      </c>
      <c r="W7" s="228">
        <f t="shared" si="0"/>
        <v>640.83145130863238</v>
      </c>
      <c r="X7" s="228">
        <f t="shared" si="0"/>
        <v>747.65451732699614</v>
      </c>
      <c r="Y7" s="228">
        <f t="shared" si="0"/>
        <v>684.14042944536004</v>
      </c>
      <c r="Z7" s="228">
        <f t="shared" si="0"/>
        <v>792.51378836661581</v>
      </c>
      <c r="AA7" s="228">
        <f t="shared" si="0"/>
        <v>725.18885521208188</v>
      </c>
      <c r="AB7" s="228">
        <f t="shared" si="0"/>
        <v>840.06461566861276</v>
      </c>
      <c r="AC7" s="228">
        <f t="shared" si="0"/>
        <v>768.7001865248069</v>
      </c>
      <c r="AD7" s="228">
        <f t="shared" si="0"/>
        <v>890.46849260872955</v>
      </c>
      <c r="AE7" s="228">
        <f t="shared" si="0"/>
        <v>814.82219771629536</v>
      </c>
      <c r="AF7" s="228">
        <f t="shared" si="0"/>
        <v>943.89660216525328</v>
      </c>
      <c r="AG7" s="228">
        <f t="shared" si="0"/>
        <v>863.71152957927313</v>
      </c>
      <c r="AH7" s="228">
        <f t="shared" si="0"/>
        <v>1000.5303982951685</v>
      </c>
      <c r="AI7" s="228">
        <f t="shared" si="0"/>
        <v>915.53422135402957</v>
      </c>
      <c r="AJ7" s="2"/>
      <c r="AK7" s="2"/>
      <c r="AL7" s="2"/>
      <c r="AM7" s="2" t="s">
        <v>68</v>
      </c>
    </row>
    <row r="8" spans="1:39" x14ac:dyDescent="0.25">
      <c r="A8" s="20" t="s">
        <v>69</v>
      </c>
      <c r="B8" s="33" t="s">
        <v>70</v>
      </c>
      <c r="C8" s="27" t="s">
        <v>67</v>
      </c>
      <c r="D8" s="32"/>
      <c r="E8" s="34"/>
      <c r="F8" s="34"/>
      <c r="G8" s="35">
        <f>INDEX(Annual!$A:$Y,MATCH(Segments!$A8,Annual!$A:$A,0),MATCH(Segments!G$1,Annual!$A$1:$Y$1,0))-F8</f>
        <v>90.2</v>
      </c>
      <c r="H8" s="34">
        <v>50.7</v>
      </c>
      <c r="I8" s="35">
        <f>INDEX(Annual!$A:$Y,MATCH(Segments!$A8,Annual!$A:$A,0),MATCH(Segments!I$1,Annual!$A$1:$Y$1,0))-H8</f>
        <v>58.099999999999994</v>
      </c>
      <c r="J8" s="34">
        <v>119.8</v>
      </c>
      <c r="K8" s="35">
        <f>INDEX(Annual!$A:$Y,MATCH(Segments!$A8,Annual!$A:$A,0),MATCH(Segments!K$1,Annual!$A$1:$Y$1,0))-J8</f>
        <v>140.19999999999999</v>
      </c>
      <c r="L8" s="34">
        <v>139.19999999999999</v>
      </c>
      <c r="M8" s="35">
        <f>INDEX(Annual!$A:$Y,MATCH(Segments!$A8,Annual!$A:$A,0),MATCH(Segments!M$1,Annual!$A$1:$Y$1,0))-L8</f>
        <v>139.40000000000003</v>
      </c>
      <c r="N8" s="34">
        <v>158.19999999999999</v>
      </c>
      <c r="O8" s="35">
        <f>INDEX(Annual!$A:$Y,MATCH(Segments!$A8,Annual!$A:$A,0),MATCH(Segments!O$1,Annual!$A$1:$Y$1,0))-N8</f>
        <v>166</v>
      </c>
      <c r="P8" s="228">
        <f t="shared" ref="P8:AI8" si="1">N8*(1+P192)</f>
        <v>195.85159999999999</v>
      </c>
      <c r="Q8" s="228">
        <f t="shared" si="1"/>
        <v>190.89999999999998</v>
      </c>
      <c r="R8" s="228">
        <f t="shared" si="1"/>
        <v>215.43676000000002</v>
      </c>
      <c r="S8" s="228">
        <f t="shared" si="1"/>
        <v>209.98999999999998</v>
      </c>
      <c r="T8" s="228">
        <f t="shared" si="1"/>
        <v>228.36296560000002</v>
      </c>
      <c r="U8" s="228">
        <f t="shared" si="1"/>
        <v>222.58939999999998</v>
      </c>
      <c r="V8" s="228">
        <f t="shared" si="1"/>
        <v>242.06474353600004</v>
      </c>
      <c r="W8" s="228">
        <f t="shared" si="1"/>
        <v>235.94476399999999</v>
      </c>
      <c r="X8" s="228">
        <f t="shared" si="1"/>
        <v>256.58862814816007</v>
      </c>
      <c r="Y8" s="228">
        <f t="shared" si="1"/>
        <v>250.10144984000002</v>
      </c>
      <c r="Z8" s="228">
        <f t="shared" si="1"/>
        <v>271.9839458370497</v>
      </c>
      <c r="AA8" s="228">
        <f t="shared" si="1"/>
        <v>265.10753683040002</v>
      </c>
      <c r="AB8" s="228">
        <f t="shared" si="1"/>
        <v>288.30298258727271</v>
      </c>
      <c r="AC8" s="228">
        <f t="shared" si="1"/>
        <v>281.01398904022403</v>
      </c>
      <c r="AD8" s="228">
        <f t="shared" si="1"/>
        <v>305.60116154250909</v>
      </c>
      <c r="AE8" s="228">
        <f t="shared" si="1"/>
        <v>297.87482838263747</v>
      </c>
      <c r="AF8" s="228">
        <f t="shared" si="1"/>
        <v>323.93723123505964</v>
      </c>
      <c r="AG8" s="228">
        <f t="shared" si="1"/>
        <v>315.74731808559574</v>
      </c>
      <c r="AH8" s="228">
        <f t="shared" si="1"/>
        <v>343.37346510916325</v>
      </c>
      <c r="AI8" s="228">
        <f t="shared" si="1"/>
        <v>334.69215717073149</v>
      </c>
      <c r="AJ8" s="2"/>
      <c r="AK8" s="2"/>
      <c r="AL8" s="2"/>
      <c r="AM8" s="2"/>
    </row>
    <row r="9" spans="1:39" x14ac:dyDescent="0.25">
      <c r="A9" s="20" t="s">
        <v>71</v>
      </c>
      <c r="B9" s="33" t="s">
        <v>72</v>
      </c>
      <c r="C9" s="27" t="s">
        <v>67</v>
      </c>
      <c r="D9" s="32" t="s">
        <v>73</v>
      </c>
      <c r="E9" s="34"/>
      <c r="F9" s="34"/>
      <c r="G9" s="35"/>
      <c r="H9" s="34"/>
      <c r="I9" s="35"/>
      <c r="J9" s="34"/>
      <c r="K9" s="35"/>
      <c r="L9" s="34"/>
      <c r="M9" s="35"/>
      <c r="N9" s="34"/>
      <c r="O9" s="35"/>
      <c r="P9" s="228">
        <f>P28*P7/P25</f>
        <v>7.984648603251296</v>
      </c>
      <c r="Q9" s="228">
        <f>Q28*Q7/Q25</f>
        <v>13.63838412377139</v>
      </c>
      <c r="R9" s="228">
        <f t="shared" ref="R9:AI9" si="2">R28*R7/R25</f>
        <v>25.089313295087937</v>
      </c>
      <c r="S9" s="228">
        <f t="shared" si="2"/>
        <v>36.561991949350478</v>
      </c>
      <c r="T9" s="228">
        <f t="shared" si="2"/>
        <v>62.046748913560613</v>
      </c>
      <c r="U9" s="228">
        <f>U28*U7/U25</f>
        <v>70.79717968608108</v>
      </c>
      <c r="V9" s="228">
        <f t="shared" si="2"/>
        <v>104.40213051067214</v>
      </c>
      <c r="W9" s="228">
        <f t="shared" si="2"/>
        <v>110.06191383583442</v>
      </c>
      <c r="X9" s="228">
        <f t="shared" si="2"/>
        <v>154.40742485497103</v>
      </c>
      <c r="Y9" s="228">
        <f t="shared" si="2"/>
        <v>156.45194288948693</v>
      </c>
      <c r="Z9" s="228">
        <f t="shared" si="2"/>
        <v>212.27408789868684</v>
      </c>
      <c r="AA9" s="228">
        <f t="shared" si="2"/>
        <v>210.09336094262079</v>
      </c>
      <c r="AB9" s="228">
        <f t="shared" si="2"/>
        <v>279.13885239715984</v>
      </c>
      <c r="AC9" s="228">
        <f t="shared" si="2"/>
        <v>272.023768444908</v>
      </c>
      <c r="AD9" s="228">
        <f t="shared" si="2"/>
        <v>356.22057650088465</v>
      </c>
      <c r="AE9" s="228">
        <f t="shared" si="2"/>
        <v>343.36209716997558</v>
      </c>
      <c r="AF9" s="228">
        <f t="shared" si="2"/>
        <v>444.89500268417208</v>
      </c>
      <c r="AG9" s="228">
        <f t="shared" si="2"/>
        <v>425.37118609295874</v>
      </c>
      <c r="AH9" s="228">
        <f t="shared" si="2"/>
        <v>546.71460798556097</v>
      </c>
      <c r="AI9" s="228">
        <f t="shared" si="2"/>
        <v>519.47598319765325</v>
      </c>
      <c r="AJ9" s="2"/>
      <c r="AK9" s="2"/>
      <c r="AL9" s="2"/>
      <c r="AM9" s="2"/>
    </row>
    <row r="10" spans="1:39" x14ac:dyDescent="0.25">
      <c r="A10" s="20" t="s">
        <v>74</v>
      </c>
      <c r="B10" s="36" t="s">
        <v>75</v>
      </c>
      <c r="C10" s="37" t="s">
        <v>67</v>
      </c>
      <c r="D10" s="38"/>
      <c r="E10" s="38"/>
      <c r="F10" s="39"/>
      <c r="G10" s="39">
        <f>INDEX(Annual!$A:$Y,MATCH(Segments!$A10,Annual!$A:$A,0),MATCH(Segments!G$1,Annual!$A$1:$Y$1,0))-F10</f>
        <v>747</v>
      </c>
      <c r="H10" s="39">
        <f t="shared" ref="H10" si="3">SUM(H7:H9)</f>
        <v>469.7</v>
      </c>
      <c r="I10" s="39">
        <f>INDEX(Annual!$A:$Y,MATCH(Segments!$A10,Annual!$A:$A,0),MATCH(Segments!I$1,Annual!$A$1:$Y$1,0))-H10</f>
        <v>459.2</v>
      </c>
      <c r="J10" s="39">
        <f t="shared" ref="J10" si="4">SUM(J7:J9)</f>
        <v>525.19999999999993</v>
      </c>
      <c r="K10" s="39">
        <f>INDEX(Annual!$A:$Y,MATCH(Segments!$A10,Annual!$A:$A,0),MATCH(Segments!K$1,Annual!$A$1:$Y$1,0))-J10</f>
        <v>477.6</v>
      </c>
      <c r="L10" s="39">
        <f t="shared" ref="L10" si="5">SUM(L7:L9)</f>
        <v>562.4</v>
      </c>
      <c r="M10" s="39">
        <f>INDEX(Annual!$A:$Y,MATCH(Segments!$A10,Annual!$A:$A,0),MATCH(Segments!M$1,Annual!$A$1:$Y$1,0))-L10</f>
        <v>515.4000000000002</v>
      </c>
      <c r="N10" s="39">
        <f>SUM(N7:N9)</f>
        <v>625.59999999999991</v>
      </c>
      <c r="O10" s="39">
        <f>INDEX(Annual!$A:$Y,MATCH(Segments!$A10,Annual!$A:$A,0),MATCH(Segments!O$1,Annual!$A$1:$Y$1,0))-N10</f>
        <v>609.90000000000009</v>
      </c>
      <c r="P10" s="238">
        <f>SUM(P7:P9)</f>
        <v>760.78484673409241</v>
      </c>
      <c r="Q10" s="238">
        <f t="shared" ref="Q10:AI10" si="6">SUM(Q7:Q9)</f>
        <v>713.96633183600716</v>
      </c>
      <c r="R10" s="238">
        <f t="shared" si="6"/>
        <v>855.07785076564039</v>
      </c>
      <c r="S10" s="238">
        <f t="shared" si="6"/>
        <v>808.69769623594209</v>
      </c>
      <c r="T10" s="238">
        <f t="shared" si="6"/>
        <v>946.88446494767004</v>
      </c>
      <c r="U10" s="238">
        <f t="shared" si="6"/>
        <v>893.95842377690758</v>
      </c>
      <c r="V10" s="238">
        <f t="shared" si="6"/>
        <v>1046.8728641399643</v>
      </c>
      <c r="W10" s="238">
        <f t="shared" si="6"/>
        <v>986.83812914446673</v>
      </c>
      <c r="X10" s="238">
        <f t="shared" si="6"/>
        <v>1158.6505703301273</v>
      </c>
      <c r="Y10" s="238">
        <f t="shared" si="6"/>
        <v>1090.6938221748469</v>
      </c>
      <c r="Z10" s="238">
        <f t="shared" si="6"/>
        <v>1276.7718221023524</v>
      </c>
      <c r="AA10" s="238">
        <f t="shared" si="6"/>
        <v>1200.3897529851026</v>
      </c>
      <c r="AB10" s="238">
        <f t="shared" si="6"/>
        <v>1407.5064506530452</v>
      </c>
      <c r="AC10" s="238">
        <f t="shared" si="6"/>
        <v>1321.7379440099389</v>
      </c>
      <c r="AD10" s="238">
        <f t="shared" si="6"/>
        <v>1552.2902306521232</v>
      </c>
      <c r="AE10" s="238">
        <f t="shared" si="6"/>
        <v>1456.0591232689085</v>
      </c>
      <c r="AF10" s="238">
        <f t="shared" si="6"/>
        <v>1712.728836084485</v>
      </c>
      <c r="AG10" s="238">
        <f t="shared" si="6"/>
        <v>1604.8300337578276</v>
      </c>
      <c r="AH10" s="238">
        <f t="shared" si="6"/>
        <v>1890.6184713898929</v>
      </c>
      <c r="AI10" s="238">
        <f t="shared" si="6"/>
        <v>1769.7023617224143</v>
      </c>
      <c r="AJ10" s="2"/>
      <c r="AK10" s="2"/>
      <c r="AL10" s="2"/>
      <c r="AM10" s="2"/>
    </row>
    <row r="11" spans="1:39" x14ac:dyDescent="0.25">
      <c r="A11" s="20">
        <v>0</v>
      </c>
      <c r="B11" s="33" t="s">
        <v>76</v>
      </c>
      <c r="C11" s="27" t="s">
        <v>77</v>
      </c>
      <c r="D11" s="29"/>
      <c r="E11" s="29"/>
      <c r="F11" s="40"/>
      <c r="G11" s="40" t="e">
        <f>G10/E10-1</f>
        <v>#DIV/0!</v>
      </c>
      <c r="H11" s="40" t="e">
        <f t="shared" ref="H11:L11" si="7">H10/F10-1</f>
        <v>#DIV/0!</v>
      </c>
      <c r="I11" s="40">
        <f>I10/G10-1</f>
        <v>-0.38527443105756365</v>
      </c>
      <c r="J11" s="40">
        <f t="shared" si="7"/>
        <v>0.11816052799659338</v>
      </c>
      <c r="K11" s="40">
        <f>K10/I10-1</f>
        <v>4.006968641114983E-2</v>
      </c>
      <c r="L11" s="40">
        <f t="shared" si="7"/>
        <v>7.0830159939070825E-2</v>
      </c>
      <c r="M11" s="40">
        <f>M10/K10-1</f>
        <v>7.9145728643216451E-2</v>
      </c>
      <c r="N11" s="40">
        <f>N10/L10-1</f>
        <v>0.11237553342816486</v>
      </c>
      <c r="O11" s="40">
        <f>O10/M10-1</f>
        <v>0.18335273573923128</v>
      </c>
      <c r="P11" s="40">
        <f t="shared" ref="P11:AI11" si="8">P10/N10-1</f>
        <v>0.21608830999695106</v>
      </c>
      <c r="Q11" s="40">
        <f t="shared" si="8"/>
        <v>0.17062851588130368</v>
      </c>
      <c r="R11" s="40">
        <f t="shared" si="8"/>
        <v>0.12394174836201088</v>
      </c>
      <c r="S11" s="40">
        <f t="shared" si="8"/>
        <v>0.13268323753632405</v>
      </c>
      <c r="T11" s="40">
        <f t="shared" si="8"/>
        <v>0.10736638085038175</v>
      </c>
      <c r="U11" s="40">
        <f t="shared" si="8"/>
        <v>0.10542966542109466</v>
      </c>
      <c r="V11" s="40">
        <f t="shared" si="8"/>
        <v>0.10559725382950513</v>
      </c>
      <c r="W11" s="40">
        <f t="shared" si="8"/>
        <v>0.10389711970624904</v>
      </c>
      <c r="X11" s="40">
        <f t="shared" si="8"/>
        <v>0.10677295211199445</v>
      </c>
      <c r="Y11" s="40">
        <f t="shared" si="8"/>
        <v>0.10524085963360297</v>
      </c>
      <c r="Z11" s="40">
        <f t="shared" si="8"/>
        <v>0.10194726071603233</v>
      </c>
      <c r="AA11" s="40">
        <f t="shared" si="8"/>
        <v>0.10057444956598527</v>
      </c>
      <c r="AB11" s="40">
        <f t="shared" si="8"/>
        <v>0.1023946693430493</v>
      </c>
      <c r="AC11" s="40">
        <f t="shared" si="8"/>
        <v>0.10109065886564794</v>
      </c>
      <c r="AD11" s="40">
        <f t="shared" si="8"/>
        <v>0.10286544685596444</v>
      </c>
      <c r="AE11" s="40">
        <f t="shared" si="8"/>
        <v>0.10162466763378286</v>
      </c>
      <c r="AF11" s="40">
        <f t="shared" si="8"/>
        <v>0.103356062071563</v>
      </c>
      <c r="AG11" s="40">
        <f t="shared" si="8"/>
        <v>0.1021736742083128</v>
      </c>
      <c r="AH11" s="40">
        <f t="shared" si="8"/>
        <v>0.10386328037314185</v>
      </c>
      <c r="AI11" s="40">
        <f t="shared" si="8"/>
        <v>0.1027350713137678</v>
      </c>
      <c r="AJ11" s="2"/>
      <c r="AK11" s="2"/>
      <c r="AL11" s="2"/>
      <c r="AM11" s="2"/>
    </row>
    <row r="12" spans="1:39" x14ac:dyDescent="0.25">
      <c r="A12" s="307">
        <v>0</v>
      </c>
      <c r="B12" s="308"/>
      <c r="C12" s="27"/>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
      <c r="AK12" s="2"/>
      <c r="AL12" s="2"/>
      <c r="AM12" s="2"/>
    </row>
    <row r="13" spans="1:39" x14ac:dyDescent="0.25">
      <c r="A13" s="20">
        <v>0</v>
      </c>
      <c r="B13" s="30" t="s">
        <v>78</v>
      </c>
      <c r="C13" s="31"/>
      <c r="D13" s="2"/>
      <c r="E13" s="2"/>
      <c r="F13" s="29"/>
      <c r="G13" s="29"/>
      <c r="H13" s="29"/>
      <c r="I13" s="29"/>
      <c r="J13" s="29"/>
      <c r="K13" s="29"/>
      <c r="L13" s="29"/>
      <c r="M13" s="29"/>
      <c r="N13" s="41"/>
      <c r="O13" s="29"/>
      <c r="P13" s="29"/>
      <c r="Q13" s="29"/>
      <c r="R13" s="29"/>
      <c r="S13" s="29"/>
      <c r="T13" s="29"/>
      <c r="U13" s="29"/>
      <c r="V13" s="29"/>
      <c r="W13" s="29"/>
      <c r="X13" s="29"/>
      <c r="Y13" s="29"/>
      <c r="Z13" s="29"/>
      <c r="AA13" s="29"/>
      <c r="AB13" s="29"/>
      <c r="AC13" s="29"/>
      <c r="AD13" s="29"/>
      <c r="AE13" s="29"/>
      <c r="AF13" s="29"/>
      <c r="AG13" s="29"/>
      <c r="AH13" s="29"/>
      <c r="AI13" s="29"/>
      <c r="AJ13" s="2"/>
      <c r="AK13" s="2"/>
      <c r="AL13" s="2"/>
      <c r="AM13" s="2"/>
    </row>
    <row r="14" spans="1:39" x14ac:dyDescent="0.25">
      <c r="A14" s="20" t="s">
        <v>79</v>
      </c>
      <c r="B14" s="33" t="s">
        <v>80</v>
      </c>
      <c r="C14" s="27" t="s">
        <v>67</v>
      </c>
      <c r="D14" s="34" t="s">
        <v>73</v>
      </c>
      <c r="E14" s="34"/>
      <c r="F14" s="34"/>
      <c r="G14" s="35">
        <f>INDEX(Annual!$A:$Y,MATCH(Segments!$A14,Annual!$A:$A,0),MATCH(Segments!G$1,Annual!$A$1:$Y$1,0))-F14</f>
        <v>-598.1</v>
      </c>
      <c r="H14" s="34">
        <v>-382.9</v>
      </c>
      <c r="I14" s="35">
        <f>INDEX(Annual!$A:$Y,MATCH(Segments!$A14,Annual!$A:$A,0),MATCH(Segments!I$1,Annual!$A$1:$Y$1,0))-H14</f>
        <v>-358.1</v>
      </c>
      <c r="J14" s="34">
        <v>-370.6</v>
      </c>
      <c r="K14" s="35">
        <f>INDEX(Annual!$A:$Y,MATCH(Segments!$A14,Annual!$A:$A,0),MATCH(Segments!K$1,Annual!$A$1:$Y$1,0))-J14</f>
        <v>-308.5</v>
      </c>
      <c r="L14" s="34">
        <v>-385.4</v>
      </c>
      <c r="M14" s="35">
        <f>INDEX(Annual!$A:$Y,MATCH(Segments!$A14,Annual!$A:$A,0),MATCH(Segments!M$1,Annual!$A$1:$Y$1,0))-L14</f>
        <v>-341.1</v>
      </c>
      <c r="N14" s="34">
        <v>-428.8</v>
      </c>
      <c r="O14" s="35">
        <f>INDEX(Annual!$A:$Y,MATCH(Segments!$A14,Annual!$A:$A,0),MATCH(Segments!O$1,Annual!$A$1:$Y$1,0))-N14</f>
        <v>-403.8</v>
      </c>
      <c r="P14" s="236">
        <f>P25-P7-P22-P20</f>
        <v>-504.28037383177576</v>
      </c>
      <c r="Q14" s="236">
        <f t="shared" ref="Q14:AI14" si="9">Q25-Q7-Q22-Q20</f>
        <v>-456.29320119482969</v>
      </c>
      <c r="R14" s="236">
        <f t="shared" si="9"/>
        <v>-556.43626920311897</v>
      </c>
      <c r="S14" s="236">
        <f t="shared" si="9"/>
        <v>-503.51234968314651</v>
      </c>
      <c r="T14" s="236">
        <f t="shared" si="9"/>
        <v>-594.39476761599303</v>
      </c>
      <c r="U14" s="236">
        <f t="shared" si="9"/>
        <v>-537.93053663102614</v>
      </c>
      <c r="V14" s="236">
        <f t="shared" si="9"/>
        <v>-634.17161961378088</v>
      </c>
      <c r="W14" s="236">
        <f t="shared" si="9"/>
        <v>-573.99095526089695</v>
      </c>
      <c r="X14" s="236">
        <f t="shared" si="9"/>
        <v>-676.95205762256057</v>
      </c>
      <c r="Y14" s="236">
        <f t="shared" si="9"/>
        <v>-612.78268697336136</v>
      </c>
      <c r="Z14" s="236">
        <f t="shared" si="9"/>
        <v>-717.56918107991396</v>
      </c>
      <c r="AA14" s="236">
        <f t="shared" si="9"/>
        <v>-649.54964819176325</v>
      </c>
      <c r="AB14" s="236">
        <f t="shared" si="9"/>
        <v>-760.62333194470898</v>
      </c>
      <c r="AC14" s="236">
        <f t="shared" si="9"/>
        <v>-688.52262708326896</v>
      </c>
      <c r="AD14" s="236">
        <f t="shared" si="9"/>
        <v>-806.26073186139149</v>
      </c>
      <c r="AE14" s="236">
        <f t="shared" si="9"/>
        <v>-729.83398470826535</v>
      </c>
      <c r="AF14" s="236">
        <f t="shared" si="9"/>
        <v>-854.63637577307509</v>
      </c>
      <c r="AG14" s="236">
        <f t="shared" si="9"/>
        <v>-773.62402379076127</v>
      </c>
      <c r="AH14" s="236">
        <f t="shared" si="9"/>
        <v>-905.91455831945939</v>
      </c>
      <c r="AI14" s="236">
        <f t="shared" si="9"/>
        <v>-820.04146521820701</v>
      </c>
      <c r="AJ14" s="2"/>
      <c r="AK14" s="2"/>
      <c r="AL14" s="2"/>
      <c r="AM14" s="2"/>
    </row>
    <row r="15" spans="1:39" x14ac:dyDescent="0.25">
      <c r="A15" s="20" t="s">
        <v>81</v>
      </c>
      <c r="B15" s="33" t="s">
        <v>82</v>
      </c>
      <c r="C15" s="27" t="s">
        <v>67</v>
      </c>
      <c r="D15" s="34"/>
      <c r="E15" s="34"/>
      <c r="F15" s="34"/>
      <c r="G15" s="35">
        <f>INDEX(Annual!$A:$Y,MATCH(Segments!$A15,Annual!$A:$A,0),MATCH(Segments!G$1,Annual!$A$1:$Y$1,0))-F15</f>
        <v>-46.5</v>
      </c>
      <c r="H15" s="34">
        <v>-25.6</v>
      </c>
      <c r="I15" s="35">
        <f>INDEX(Annual!$A:$Y,MATCH(Segments!$A15,Annual!$A:$A,0),MATCH(Segments!I$1,Annual!$A$1:$Y$1,0))-H15</f>
        <v>-32.1</v>
      </c>
      <c r="J15" s="34">
        <v>-92.6</v>
      </c>
      <c r="K15" s="35">
        <f>INDEX(Annual!$A:$Y,MATCH(Segments!$A15,Annual!$A:$A,0),MATCH(Segments!K$1,Annual!$A$1:$Y$1,0))-J15</f>
        <v>-118</v>
      </c>
      <c r="L15" s="34">
        <v>-122.8</v>
      </c>
      <c r="M15" s="35">
        <f>INDEX(Annual!$A:$Y,MATCH(Segments!$A15,Annual!$A:$A,0),MATCH(Segments!M$1,Annual!$A$1:$Y$1,0))-L15</f>
        <v>-123.8</v>
      </c>
      <c r="N15" s="34">
        <v>-139.6</v>
      </c>
      <c r="O15" s="35">
        <f>INDEX(Annual!$A:$Y,MATCH(Segments!$A15,Annual!$A:$A,0),MATCH(Segments!O$1,Annual!$A$1:$Y$1,0))-N15</f>
        <v>-143.29999999999998</v>
      </c>
      <c r="P15" s="236">
        <f>P26-P8</f>
        <v>-178.76284485074626</v>
      </c>
      <c r="Q15" s="236">
        <f t="shared" ref="Q15:AI15" si="10">Q26-Q8</f>
        <v>-171.02876744408942</v>
      </c>
      <c r="R15" s="236">
        <f t="shared" si="10"/>
        <v>-196.24039799253734</v>
      </c>
      <c r="S15" s="236">
        <f t="shared" si="10"/>
        <v>-188.13164418849837</v>
      </c>
      <c r="T15" s="236">
        <f t="shared" si="10"/>
        <v>-207.64798903626868</v>
      </c>
      <c r="U15" s="236">
        <f t="shared" si="10"/>
        <v>-199.41954283980829</v>
      </c>
      <c r="V15" s="236">
        <f t="shared" si="10"/>
        <v>-220.1068683784448</v>
      </c>
      <c r="W15" s="236">
        <f t="shared" si="10"/>
        <v>-211.3847154101968</v>
      </c>
      <c r="X15" s="236">
        <f t="shared" si="10"/>
        <v>-233.31328048115154</v>
      </c>
      <c r="Y15" s="236">
        <f t="shared" si="10"/>
        <v>-224.06779833480863</v>
      </c>
      <c r="Z15" s="236">
        <f t="shared" si="10"/>
        <v>-247.31207731002064</v>
      </c>
      <c r="AA15" s="236">
        <f t="shared" si="10"/>
        <v>-237.51186623489713</v>
      </c>
      <c r="AB15" s="236">
        <f t="shared" si="10"/>
        <v>-262.1508019486219</v>
      </c>
      <c r="AC15" s="236">
        <f t="shared" si="10"/>
        <v>-251.76257820899099</v>
      </c>
      <c r="AD15" s="236">
        <f t="shared" si="10"/>
        <v>-277.87985006553924</v>
      </c>
      <c r="AE15" s="236">
        <f t="shared" si="10"/>
        <v>-266.86833290153044</v>
      </c>
      <c r="AF15" s="236">
        <f t="shared" si="10"/>
        <v>-294.55264106947163</v>
      </c>
      <c r="AG15" s="236">
        <f t="shared" si="10"/>
        <v>-282.88043287562226</v>
      </c>
      <c r="AH15" s="236">
        <f t="shared" si="10"/>
        <v>-312.22579953363993</v>
      </c>
      <c r="AI15" s="236">
        <f t="shared" si="10"/>
        <v>-299.85325884815961</v>
      </c>
      <c r="AJ15" s="2"/>
      <c r="AK15" s="2"/>
      <c r="AL15" s="2"/>
      <c r="AM15" s="2"/>
    </row>
    <row r="16" spans="1:39" x14ac:dyDescent="0.25">
      <c r="A16" s="20" t="s">
        <v>83</v>
      </c>
      <c r="B16" s="33" t="s">
        <v>72</v>
      </c>
      <c r="C16" s="27" t="s">
        <v>67</v>
      </c>
      <c r="D16" s="34"/>
      <c r="E16" s="34"/>
      <c r="F16" s="34"/>
      <c r="G16" s="35"/>
      <c r="H16" s="34"/>
      <c r="I16" s="35"/>
      <c r="J16" s="34"/>
      <c r="K16" s="35"/>
      <c r="L16" s="34"/>
      <c r="M16" s="35"/>
      <c r="N16" s="34"/>
      <c r="O16" s="35"/>
      <c r="P16" s="236">
        <f>P28-P9</f>
        <v>-7.0402041588068514</v>
      </c>
      <c r="Q16" s="236">
        <f t="shared" ref="Q16:AI16" si="11">Q28-Q9</f>
        <v>-11.912495798898293</v>
      </c>
      <c r="R16" s="236">
        <f t="shared" si="11"/>
        <v>-22.146302542399766</v>
      </c>
      <c r="S16" s="236">
        <f t="shared" si="11"/>
        <v>-31.964455003537672</v>
      </c>
      <c r="T16" s="236">
        <f t="shared" si="11"/>
        <v>-54.808113496893945</v>
      </c>
      <c r="U16" s="236">
        <f t="shared" si="11"/>
        <v>-61.931525140626533</v>
      </c>
      <c r="V16" s="236">
        <f t="shared" si="11"/>
        <v>-92.285385662187281</v>
      </c>
      <c r="W16" s="236">
        <f t="shared" si="11"/>
        <v>-96.333714062066974</v>
      </c>
      <c r="X16" s="236">
        <f t="shared" si="11"/>
        <v>-136.57843695831755</v>
      </c>
      <c r="Y16" s="236">
        <f t="shared" si="11"/>
        <v>-137.01294618428824</v>
      </c>
      <c r="Z16" s="236">
        <f t="shared" si="11"/>
        <v>-187.87226176873926</v>
      </c>
      <c r="AA16" s="236">
        <f t="shared" si="11"/>
        <v>-184.07726447023791</v>
      </c>
      <c r="AB16" s="236">
        <f t="shared" si="11"/>
        <v>-247.18973235385167</v>
      </c>
      <c r="AC16" s="236">
        <f t="shared" si="11"/>
        <v>-238.44921467294429</v>
      </c>
      <c r="AD16" s="236">
        <f t="shared" si="11"/>
        <v>-315.62147757969319</v>
      </c>
      <c r="AE16" s="236">
        <f t="shared" si="11"/>
        <v>-301.11808024603249</v>
      </c>
      <c r="AF16" s="236">
        <f t="shared" si="11"/>
        <v>-394.39884873765277</v>
      </c>
      <c r="AG16" s="236">
        <f t="shared" si="11"/>
        <v>-373.20063092435447</v>
      </c>
      <c r="AH16" s="236">
        <f t="shared" si="11"/>
        <v>-484.91175384103434</v>
      </c>
      <c r="AI16" s="236">
        <f t="shared" si="11"/>
        <v>-455.95726932551105</v>
      </c>
      <c r="AJ16" s="2"/>
      <c r="AK16" s="2"/>
      <c r="AL16" s="2"/>
      <c r="AM16" s="2"/>
    </row>
    <row r="17" spans="1:39" x14ac:dyDescent="0.25">
      <c r="A17" s="20" t="s">
        <v>84</v>
      </c>
      <c r="B17" s="36" t="s">
        <v>85</v>
      </c>
      <c r="C17" s="37" t="s">
        <v>67</v>
      </c>
      <c r="D17" s="39"/>
      <c r="E17" s="39"/>
      <c r="F17" s="39"/>
      <c r="G17" s="39">
        <f>INDEX(Annual!$A:$Y,MATCH(Segments!$A17,Annual!$A:$A,0),MATCH(Segments!G$1,Annual!$A$1:$Y$1,0))-F17</f>
        <v>-644.6</v>
      </c>
      <c r="H17" s="39">
        <f t="shared" ref="H17" si="12">SUM(H14:H16)</f>
        <v>-408.5</v>
      </c>
      <c r="I17" s="39">
        <f>INDEX(Annual!$A:$Y,MATCH(Segments!$A17,Annual!$A:$A,0),MATCH(Segments!I$1,Annual!$A$1:$Y$1,0))-H17</f>
        <v>-390.20000000000005</v>
      </c>
      <c r="J17" s="39">
        <f t="shared" ref="J17" si="13">SUM(J14:J16)</f>
        <v>-463.20000000000005</v>
      </c>
      <c r="K17" s="39">
        <f>INDEX(Annual!$A:$Y,MATCH(Segments!$A17,Annual!$A:$A,0),MATCH(Segments!K$1,Annual!$A$1:$Y$1,0))-J17</f>
        <v>-426.5</v>
      </c>
      <c r="L17" s="39">
        <f t="shared" ref="L17" si="14">SUM(L14:L16)</f>
        <v>-508.2</v>
      </c>
      <c r="M17" s="39">
        <f>INDEX(Annual!$A:$Y,MATCH(Segments!$A17,Annual!$A:$A,0),MATCH(Segments!M$1,Annual!$A$1:$Y$1,0))-L17</f>
        <v>-464.90000000000003</v>
      </c>
      <c r="N17" s="39">
        <f>SUM(N14:N16)</f>
        <v>-568.4</v>
      </c>
      <c r="O17" s="39">
        <f>INDEX(Annual!$A:$Y,MATCH(Segments!$A17,Annual!$A:$A,0),MATCH(Segments!O$1,Annual!$A$1:$Y$1,0))-N17</f>
        <v>-547.1</v>
      </c>
      <c r="P17" s="235">
        <f>SUM(P14:P16)</f>
        <v>-690.08342284132891</v>
      </c>
      <c r="Q17" s="235">
        <f t="shared" ref="Q17:AI17" si="15">SUM(Q14:Q16)</f>
        <v>-639.23446443781734</v>
      </c>
      <c r="R17" s="235">
        <f t="shared" si="15"/>
        <v>-774.82296973805614</v>
      </c>
      <c r="S17" s="235">
        <f t="shared" si="15"/>
        <v>-723.60844887518249</v>
      </c>
      <c r="T17" s="235">
        <f t="shared" si="15"/>
        <v>-856.85087014915564</v>
      </c>
      <c r="U17" s="235">
        <f t="shared" si="15"/>
        <v>-799.28160461146092</v>
      </c>
      <c r="V17" s="235">
        <f t="shared" si="15"/>
        <v>-946.56387365441299</v>
      </c>
      <c r="W17" s="235">
        <f t="shared" si="15"/>
        <v>-881.70938473316073</v>
      </c>
      <c r="X17" s="235">
        <f t="shared" si="15"/>
        <v>-1046.8437750620296</v>
      </c>
      <c r="Y17" s="235">
        <f t="shared" si="15"/>
        <v>-973.86343149245818</v>
      </c>
      <c r="Z17" s="235">
        <f t="shared" si="15"/>
        <v>-1152.7535201586738</v>
      </c>
      <c r="AA17" s="235">
        <f t="shared" si="15"/>
        <v>-1071.1387788968982</v>
      </c>
      <c r="AB17" s="235">
        <f t="shared" si="15"/>
        <v>-1269.9638662471825</v>
      </c>
      <c r="AC17" s="235">
        <f t="shared" si="15"/>
        <v>-1178.7344199652041</v>
      </c>
      <c r="AD17" s="235">
        <f t="shared" si="15"/>
        <v>-1399.7620595066239</v>
      </c>
      <c r="AE17" s="235">
        <f t="shared" si="15"/>
        <v>-1297.8203978558281</v>
      </c>
      <c r="AF17" s="235">
        <f t="shared" si="15"/>
        <v>-1543.5878655801994</v>
      </c>
      <c r="AG17" s="235">
        <f t="shared" si="15"/>
        <v>-1429.705087590738</v>
      </c>
      <c r="AH17" s="235">
        <f t="shared" si="15"/>
        <v>-1703.0521116941338</v>
      </c>
      <c r="AI17" s="235">
        <f t="shared" si="15"/>
        <v>-1575.8519933918776</v>
      </c>
      <c r="AJ17" s="2"/>
      <c r="AK17" s="2"/>
      <c r="AL17" s="2"/>
      <c r="AM17" s="2"/>
    </row>
    <row r="18" spans="1:39" x14ac:dyDescent="0.25">
      <c r="A18" s="307">
        <v>0</v>
      </c>
      <c r="B18" s="308"/>
      <c r="C18" s="27"/>
      <c r="D18" s="29"/>
      <c r="E18" s="29"/>
      <c r="F18" s="29"/>
      <c r="G18" s="29"/>
      <c r="H18" s="29"/>
      <c r="I18" s="29"/>
      <c r="J18" s="29"/>
      <c r="K18" s="29"/>
      <c r="L18" s="29"/>
      <c r="M18" s="29"/>
      <c r="N18" s="29"/>
      <c r="O18" s="29"/>
      <c r="P18" s="242"/>
      <c r="Q18" s="242"/>
      <c r="R18" s="242"/>
      <c r="S18" s="242"/>
      <c r="T18" s="242"/>
      <c r="U18" s="242"/>
      <c r="V18" s="242"/>
      <c r="W18" s="242"/>
      <c r="X18" s="242"/>
      <c r="Y18" s="242"/>
      <c r="Z18" s="242"/>
      <c r="AA18" s="242"/>
      <c r="AB18" s="242"/>
      <c r="AC18" s="242"/>
      <c r="AD18" s="242"/>
      <c r="AE18" s="242"/>
      <c r="AF18" s="242"/>
      <c r="AG18" s="242"/>
      <c r="AH18" s="242"/>
      <c r="AI18" s="242"/>
      <c r="AJ18" s="2"/>
      <c r="AK18" s="2"/>
      <c r="AL18" s="2"/>
      <c r="AM18" s="2"/>
    </row>
    <row r="19" spans="1:39" x14ac:dyDescent="0.25">
      <c r="A19" s="20" t="s">
        <v>86</v>
      </c>
      <c r="B19" s="36" t="s">
        <v>87</v>
      </c>
      <c r="C19" s="37" t="s">
        <v>67</v>
      </c>
      <c r="D19" s="39"/>
      <c r="E19" s="39"/>
      <c r="F19" s="39"/>
      <c r="G19" s="39">
        <f>INDEX(Annual!$A:$Y,MATCH(Segments!$A19,Annual!$A:$A,0),MATCH(Segments!G$1,Annual!$A$1:$Y$1,0))-F19</f>
        <v>102.39999999999998</v>
      </c>
      <c r="H19" s="39">
        <f t="shared" ref="H19" si="16">H10+H17</f>
        <v>61.199999999999989</v>
      </c>
      <c r="I19" s="39">
        <f>INDEX(Annual!$A:$Y,MATCH(Segments!$A19,Annual!$A:$A,0),MATCH(Segments!I$1,Annual!$A$1:$Y$1,0))-H19</f>
        <v>68.999999999999943</v>
      </c>
      <c r="J19" s="39">
        <f t="shared" ref="J19" si="17">J10+J17</f>
        <v>61.999999999999886</v>
      </c>
      <c r="K19" s="39">
        <f>INDEX(Annual!$A:$Y,MATCH(Segments!$A19,Annual!$A:$A,0),MATCH(Segments!K$1,Annual!$A$1:$Y$1,0))-J19</f>
        <v>51.100000000000023</v>
      </c>
      <c r="L19" s="39">
        <f t="shared" ref="L19" si="18">L10+L17</f>
        <v>54.199999999999989</v>
      </c>
      <c r="M19" s="39">
        <f>INDEX(Annual!$A:$Y,MATCH(Segments!$A19,Annual!$A:$A,0),MATCH(Segments!M$1,Annual!$A$1:$Y$1,0))-L19</f>
        <v>50.500000000000171</v>
      </c>
      <c r="N19" s="39">
        <f>N10+N17</f>
        <v>57.199999999999932</v>
      </c>
      <c r="O19" s="39">
        <f>INDEX(Annual!$A:$Y,MATCH(Segments!$A19,Annual!$A:$A,0),MATCH(Segments!O$1,Annual!$A$1:$Y$1,0))-N19</f>
        <v>62.800000000000068</v>
      </c>
      <c r="P19" s="235">
        <f>P10+P17</f>
        <v>70.701423892763501</v>
      </c>
      <c r="Q19" s="235">
        <f t="shared" ref="Q19:AI19" si="19">Q10+Q17</f>
        <v>74.73186739818982</v>
      </c>
      <c r="R19" s="235">
        <f t="shared" si="19"/>
        <v>80.254881027584247</v>
      </c>
      <c r="S19" s="235">
        <f t="shared" si="19"/>
        <v>85.0892473607596</v>
      </c>
      <c r="T19" s="235">
        <f t="shared" si="19"/>
        <v>90.0335947985144</v>
      </c>
      <c r="U19" s="235">
        <f t="shared" si="19"/>
        <v>94.676819165446659</v>
      </c>
      <c r="V19" s="235">
        <f t="shared" si="19"/>
        <v>100.30899048555136</v>
      </c>
      <c r="W19" s="235">
        <f t="shared" si="19"/>
        <v>105.128744411306</v>
      </c>
      <c r="X19" s="235">
        <f t="shared" si="19"/>
        <v>111.80679526809763</v>
      </c>
      <c r="Y19" s="235">
        <f t="shared" si="19"/>
        <v>116.83039068238872</v>
      </c>
      <c r="Z19" s="235">
        <f t="shared" si="19"/>
        <v>124.01830194367858</v>
      </c>
      <c r="AA19" s="235">
        <f t="shared" si="19"/>
        <v>129.25097408820443</v>
      </c>
      <c r="AB19" s="235">
        <f t="shared" si="19"/>
        <v>137.54258440586273</v>
      </c>
      <c r="AC19" s="235">
        <f t="shared" si="19"/>
        <v>143.00352404473483</v>
      </c>
      <c r="AD19" s="235">
        <f t="shared" si="19"/>
        <v>152.5281711454993</v>
      </c>
      <c r="AE19" s="235">
        <f t="shared" si="19"/>
        <v>158.23872541308037</v>
      </c>
      <c r="AF19" s="235">
        <f t="shared" si="19"/>
        <v>169.14097050428563</v>
      </c>
      <c r="AG19" s="235">
        <f t="shared" si="19"/>
        <v>175.12494616708955</v>
      </c>
      <c r="AH19" s="235">
        <f t="shared" si="19"/>
        <v>187.56635969575905</v>
      </c>
      <c r="AI19" s="235">
        <f t="shared" si="19"/>
        <v>193.85036833053664</v>
      </c>
      <c r="AJ19" s="2"/>
      <c r="AK19" s="2"/>
      <c r="AL19" s="2"/>
      <c r="AM19" s="2"/>
    </row>
    <row r="20" spans="1:39" x14ac:dyDescent="0.25">
      <c r="A20" s="20" t="s">
        <v>88</v>
      </c>
      <c r="B20" s="33" t="s">
        <v>89</v>
      </c>
      <c r="C20" s="27" t="s">
        <v>67</v>
      </c>
      <c r="D20" s="34" t="s">
        <v>73</v>
      </c>
      <c r="E20" s="34"/>
      <c r="F20" s="34"/>
      <c r="G20" s="35">
        <v>14.4</v>
      </c>
      <c r="H20" s="34">
        <v>8.8000000000000007</v>
      </c>
      <c r="I20" s="35">
        <v>11.6</v>
      </c>
      <c r="J20" s="34">
        <v>11.5</v>
      </c>
      <c r="K20" s="35">
        <v>10.3</v>
      </c>
      <c r="L20" s="34">
        <v>10.1</v>
      </c>
      <c r="M20" s="35">
        <v>7.2</v>
      </c>
      <c r="N20" s="34">
        <v>11</v>
      </c>
      <c r="O20" s="35">
        <f>INDEX(Annual!$A:$Y,MATCH(Segments!$A20,Annual!$A:$A,0),MATCH(Segments!O$1,Annual!$A$1:$Y$1,0))-N20</f>
        <v>8.1999999999999993</v>
      </c>
      <c r="P20" s="236">
        <f>P117</f>
        <v>11.66</v>
      </c>
      <c r="Q20" s="236">
        <f t="shared" ref="Q20:AI20" si="20">Q117</f>
        <v>8.6920000000000002</v>
      </c>
      <c r="R20" s="236">
        <f t="shared" si="20"/>
        <v>12.26297581621998</v>
      </c>
      <c r="S20" s="236">
        <f t="shared" si="20"/>
        <v>9.1417424436587247</v>
      </c>
      <c r="T20" s="236">
        <f t="shared" si="20"/>
        <v>12.681248468291813</v>
      </c>
      <c r="U20" s="236">
        <f t="shared" si="20"/>
        <v>9.454189795400163</v>
      </c>
      <c r="V20" s="236">
        <f t="shared" si="20"/>
        <v>13.105562552930847</v>
      </c>
      <c r="W20" s="236">
        <f t="shared" si="20"/>
        <v>9.7710727557573822</v>
      </c>
      <c r="X20" s="236">
        <f t="shared" si="20"/>
        <v>13.54760512392077</v>
      </c>
      <c r="Y20" s="236">
        <f t="shared" si="20"/>
        <v>10.101249415694495</v>
      </c>
      <c r="Z20" s="236">
        <f t="shared" si="20"/>
        <v>13.954033277638397</v>
      </c>
      <c r="AA20" s="236">
        <f t="shared" si="20"/>
        <v>10.404286898165333</v>
      </c>
      <c r="AB20" s="236">
        <f t="shared" si="20"/>
        <v>14.372654275967543</v>
      </c>
      <c r="AC20" s="236">
        <f t="shared" si="20"/>
        <v>10.7164155051103</v>
      </c>
      <c r="AD20" s="236">
        <f t="shared" si="20"/>
        <v>14.803833904246572</v>
      </c>
      <c r="AE20" s="236">
        <f t="shared" si="20"/>
        <v>11.037907970263602</v>
      </c>
      <c r="AF20" s="236">
        <f t="shared" si="20"/>
        <v>15.247948921373967</v>
      </c>
      <c r="AG20" s="236">
        <f t="shared" si="20"/>
        <v>11.369045209371512</v>
      </c>
      <c r="AH20" s="236">
        <f t="shared" si="20"/>
        <v>15.705387389015197</v>
      </c>
      <c r="AI20" s="236">
        <f t="shared" si="20"/>
        <v>11.710116565652655</v>
      </c>
      <c r="AJ20" s="2"/>
      <c r="AK20" s="2"/>
      <c r="AL20" s="2"/>
      <c r="AM20" s="2"/>
    </row>
    <row r="21" spans="1:39" x14ac:dyDescent="0.25">
      <c r="A21" s="20" t="s">
        <v>90</v>
      </c>
      <c r="B21" s="36" t="s">
        <v>91</v>
      </c>
      <c r="C21" s="37" t="s">
        <v>67</v>
      </c>
      <c r="D21" s="39"/>
      <c r="E21" s="39"/>
      <c r="F21" s="39"/>
      <c r="G21" s="39">
        <f>INDEX(Annual!$A:$Y,MATCH(Segments!$A21,Annual!$A:$A,0),MATCH(Segments!G$1,Annual!$A$1:$Y$1,0))-F21</f>
        <v>116.79999999999998</v>
      </c>
      <c r="H21" s="39">
        <f t="shared" ref="H21" si="21">H19+H20</f>
        <v>69.999999999999986</v>
      </c>
      <c r="I21" s="39">
        <f>INDEX(Annual!$A:$Y,MATCH(Segments!$A21,Annual!$A:$A,0),MATCH(Segments!I$1,Annual!$A$1:$Y$1,0))-H21</f>
        <v>80.599999999999952</v>
      </c>
      <c r="J21" s="39">
        <f t="shared" ref="J21" si="22">J19+J20</f>
        <v>73.499999999999886</v>
      </c>
      <c r="K21" s="39">
        <f>INDEX(Annual!$A:$Y,MATCH(Segments!$A21,Annual!$A:$A,0),MATCH(Segments!K$1,Annual!$A$1:$Y$1,0))-J21</f>
        <v>61.500000000000028</v>
      </c>
      <c r="L21" s="39">
        <f t="shared" ref="L21" si="23">L19+L20</f>
        <v>64.299999999999983</v>
      </c>
      <c r="M21" s="39">
        <f>INDEX(Annual!$A:$Y,MATCH(Segments!$A21,Annual!$A:$A,0),MATCH(Segments!M$1,Annual!$A$1:$Y$1,0))-L21</f>
        <v>57.700000000000173</v>
      </c>
      <c r="N21" s="39">
        <f>N19+N20</f>
        <v>68.199999999999932</v>
      </c>
      <c r="O21" s="39">
        <f>INDEX(Annual!$A:$Y,MATCH(Segments!$A21,Annual!$A:$A,0),MATCH(Segments!O$1,Annual!$A$1:$Y$1,0))-N21</f>
        <v>71.000000000000057</v>
      </c>
      <c r="P21" s="235">
        <f>P19+P20</f>
        <v>82.361423892763497</v>
      </c>
      <c r="Q21" s="235">
        <f t="shared" ref="Q21:AI21" si="24">Q19+Q20</f>
        <v>83.423867398189827</v>
      </c>
      <c r="R21" s="235">
        <f t="shared" si="24"/>
        <v>92.517856843804225</v>
      </c>
      <c r="S21" s="235">
        <f t="shared" si="24"/>
        <v>94.230989804418329</v>
      </c>
      <c r="T21" s="235">
        <f t="shared" si="24"/>
        <v>102.71484326680621</v>
      </c>
      <c r="U21" s="235">
        <f t="shared" si="24"/>
        <v>104.13100896084683</v>
      </c>
      <c r="V21" s="235">
        <f t="shared" si="24"/>
        <v>113.41455303848221</v>
      </c>
      <c r="W21" s="235">
        <f t="shared" si="24"/>
        <v>114.89981716706339</v>
      </c>
      <c r="X21" s="235">
        <f t="shared" si="24"/>
        <v>125.35440039201841</v>
      </c>
      <c r="Y21" s="235">
        <f t="shared" si="24"/>
        <v>126.93164009808322</v>
      </c>
      <c r="Z21" s="235">
        <f t="shared" si="24"/>
        <v>137.97233522131697</v>
      </c>
      <c r="AA21" s="235">
        <f t="shared" si="24"/>
        <v>139.65526098636977</v>
      </c>
      <c r="AB21" s="235">
        <f t="shared" si="24"/>
        <v>151.91523868183026</v>
      </c>
      <c r="AC21" s="235">
        <f t="shared" si="24"/>
        <v>153.71993954984512</v>
      </c>
      <c r="AD21" s="235">
        <f t="shared" si="24"/>
        <v>167.33200504974587</v>
      </c>
      <c r="AE21" s="235">
        <f t="shared" si="24"/>
        <v>169.27663338334398</v>
      </c>
      <c r="AF21" s="235">
        <f t="shared" si="24"/>
        <v>184.38891942565959</v>
      </c>
      <c r="AG21" s="235">
        <f t="shared" si="24"/>
        <v>186.49399137646105</v>
      </c>
      <c r="AH21" s="235">
        <f t="shared" si="24"/>
        <v>203.27174708477423</v>
      </c>
      <c r="AI21" s="235">
        <f t="shared" si="24"/>
        <v>205.56048489618928</v>
      </c>
      <c r="AJ21" s="2"/>
      <c r="AK21" s="2"/>
      <c r="AL21" s="2"/>
      <c r="AM21" s="2"/>
    </row>
    <row r="22" spans="1:39" x14ac:dyDescent="0.25">
      <c r="A22" s="20" t="s">
        <v>92</v>
      </c>
      <c r="B22" s="33" t="s">
        <v>93</v>
      </c>
      <c r="C22" s="27" t="s">
        <v>67</v>
      </c>
      <c r="D22" s="34" t="s">
        <v>94</v>
      </c>
      <c r="E22" s="34"/>
      <c r="F22" s="35"/>
      <c r="G22" s="35">
        <f>INDEX(Annual!$A:$Y,MATCH(Segments!$A22,Annual!$A:$A,0),MATCH(Segments!G$1,Annual!$A$1:$Y$1,0))-F22</f>
        <v>-2.3999999999999773</v>
      </c>
      <c r="H22" s="34">
        <v>-4.0999999999999996</v>
      </c>
      <c r="I22" s="35">
        <f>INDEX(Annual!$A:$Y,MATCH(Segments!$A22,Annual!$A:$A,0),MATCH(Segments!I$1,Annual!$A$1:$Y$1,0))-H22</f>
        <v>-3.8999999999999435</v>
      </c>
      <c r="J22" s="35">
        <f t="shared" ref="J22" si="25">J29-J21</f>
        <v>2.600000000000108</v>
      </c>
      <c r="K22" s="35">
        <f>INDEX(Annual!$A:$Y,MATCH(Segments!$A22,Annual!$A:$A,0),MATCH(Segments!K$1,Annual!$A$1:$Y$1,0))-J22</f>
        <v>6.5999999999999659</v>
      </c>
      <c r="L22" s="35">
        <f t="shared" ref="L22" si="26">L29-L21</f>
        <v>1.5000000000000142</v>
      </c>
      <c r="M22" s="35">
        <f>INDEX(Annual!$A:$Y,MATCH(Segments!$A22,Annual!$A:$A,0),MATCH(Segments!M$1,Annual!$A$1:$Y$1,0))-L22</f>
        <v>3.4999999999998295</v>
      </c>
      <c r="N22" s="35">
        <f>N29-N21</f>
        <v>1.3000000000000682</v>
      </c>
      <c r="O22" s="35">
        <f>INDEX(Annual!$A:$Y,MATCH(Segments!$A22,Annual!$A:$A,0),MATCH(Segments!O$1,Annual!$A$1:$Y$1,0))-N22</f>
        <v>2.2999999999999545</v>
      </c>
      <c r="P22" s="236">
        <f>P118</f>
        <v>1.549065420560829</v>
      </c>
      <c r="Q22" s="236">
        <f t="shared" ref="Q22:AI22" si="27">Q118</f>
        <v>2.6395230451410661</v>
      </c>
      <c r="R22" s="236">
        <f t="shared" si="27"/>
        <v>1.7092796549246045</v>
      </c>
      <c r="S22" s="236">
        <f t="shared" si="27"/>
        <v>2.9126720429356503</v>
      </c>
      <c r="T22" s="236">
        <f t="shared" si="27"/>
        <v>1.8258818475917566</v>
      </c>
      <c r="U22" s="236">
        <f t="shared" si="27"/>
        <v>3.1117712129057757</v>
      </c>
      <c r="V22" s="236">
        <f t="shared" si="27"/>
        <v>1.9480697199857242</v>
      </c>
      <c r="W22" s="236">
        <f t="shared" si="27"/>
        <v>3.3203702140342992</v>
      </c>
      <c r="X22" s="236">
        <f t="shared" si="27"/>
        <v>2.0794841089540994</v>
      </c>
      <c r="Y22" s="236">
        <f t="shared" si="27"/>
        <v>3.5447690644836607</v>
      </c>
      <c r="Z22" s="236">
        <f t="shared" si="27"/>
        <v>2.2042531554913452</v>
      </c>
      <c r="AA22" s="236">
        <f t="shared" si="27"/>
        <v>3.7574552083526815</v>
      </c>
      <c r="AB22" s="236">
        <f t="shared" si="27"/>
        <v>2.3365083448208259</v>
      </c>
      <c r="AC22" s="236">
        <f t="shared" si="27"/>
        <v>3.9829025208538424</v>
      </c>
      <c r="AD22" s="236">
        <f t="shared" si="27"/>
        <v>2.476698845510076</v>
      </c>
      <c r="AE22" s="236">
        <f t="shared" si="27"/>
        <v>4.2218766721050738</v>
      </c>
      <c r="AF22" s="236">
        <f t="shared" si="27"/>
        <v>2.6253007762406808</v>
      </c>
      <c r="AG22" s="236">
        <f t="shared" si="27"/>
        <v>4.4751892724313782</v>
      </c>
      <c r="AH22" s="236">
        <f t="shared" si="27"/>
        <v>2.7828188228151221</v>
      </c>
      <c r="AI22" s="236">
        <f t="shared" si="27"/>
        <v>4.743700628777261</v>
      </c>
      <c r="AJ22" s="2"/>
      <c r="AK22" s="2"/>
      <c r="AL22" s="2"/>
      <c r="AM22" s="2"/>
    </row>
    <row r="23" spans="1:39" x14ac:dyDescent="0.25">
      <c r="A23" s="307">
        <v>0</v>
      </c>
      <c r="B23" s="308"/>
      <c r="C23" s="27"/>
      <c r="D23" s="29"/>
      <c r="E23" s="29"/>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2"/>
      <c r="AK23" s="2"/>
      <c r="AL23" s="2"/>
      <c r="AM23" s="2"/>
    </row>
    <row r="24" spans="1:39" x14ac:dyDescent="0.25">
      <c r="A24" s="20">
        <v>0</v>
      </c>
      <c r="B24" s="30" t="s">
        <v>95</v>
      </c>
      <c r="C24" s="27"/>
      <c r="D24" s="34"/>
      <c r="E24" s="34"/>
      <c r="F24" s="35"/>
      <c r="G24" s="35"/>
      <c r="H24" s="35"/>
      <c r="I24" s="35"/>
      <c r="J24" s="35"/>
      <c r="K24" s="35"/>
      <c r="L24" s="35"/>
      <c r="M24" s="35"/>
      <c r="N24" s="35">
        <f>N19/L19-1</f>
        <v>5.5350553505534084E-2</v>
      </c>
      <c r="O24" s="35">
        <f>O19/M19-1</f>
        <v>0.24356435643564067</v>
      </c>
      <c r="P24" s="35">
        <f t="shared" ref="P24:Q24" si="28">P19/N19-1</f>
        <v>0.23603887924411859</v>
      </c>
      <c r="Q24" s="35">
        <f t="shared" si="28"/>
        <v>0.18999788850620614</v>
      </c>
      <c r="R24" s="35"/>
      <c r="S24" s="35"/>
      <c r="T24" s="35"/>
      <c r="U24" s="35"/>
      <c r="V24" s="35"/>
      <c r="W24" s="35"/>
      <c r="X24" s="35"/>
      <c r="Y24" s="35"/>
      <c r="Z24" s="35"/>
      <c r="AA24" s="35"/>
      <c r="AB24" s="35"/>
      <c r="AC24" s="35"/>
      <c r="AD24" s="35"/>
      <c r="AE24" s="35"/>
      <c r="AF24" s="35"/>
      <c r="AG24" s="35"/>
      <c r="AH24" s="35"/>
      <c r="AI24" s="35"/>
      <c r="AJ24" s="2"/>
      <c r="AK24" s="2"/>
      <c r="AL24" s="2"/>
      <c r="AM24" s="2"/>
    </row>
    <row r="25" spans="1:39" x14ac:dyDescent="0.25">
      <c r="A25" s="20" t="s">
        <v>96</v>
      </c>
      <c r="B25" s="33" t="s">
        <v>97</v>
      </c>
      <c r="C25" s="27" t="s">
        <v>67</v>
      </c>
      <c r="D25" s="34" t="s">
        <v>94</v>
      </c>
      <c r="E25" s="34"/>
      <c r="F25" s="34"/>
      <c r="G25" s="35"/>
      <c r="H25" s="34" t="s">
        <v>98</v>
      </c>
      <c r="I25" s="35"/>
      <c r="J25" s="34">
        <v>54.5</v>
      </c>
      <c r="K25" s="35">
        <v>51.3</v>
      </c>
      <c r="L25" s="34">
        <v>53.9</v>
      </c>
      <c r="M25" s="35">
        <v>50.5</v>
      </c>
      <c r="N25" s="34">
        <v>56.5</v>
      </c>
      <c r="O25" s="35">
        <f>INDEX(Annual!$A:$Y,MATCH(Segments!$A25,Annual!$A:$A,0),MATCH(Segments!O$1,Annual!$A$1:$Y$1,0))-N25</f>
        <v>56.8</v>
      </c>
      <c r="P25" s="236">
        <f>P119</f>
        <v>65.877289719626219</v>
      </c>
      <c r="Q25" s="236">
        <f t="shared" ref="Q25:AI25" si="29">Q119</f>
        <v>64.466269562547154</v>
      </c>
      <c r="R25" s="236">
        <f t="shared" si="29"/>
        <v>72.087763738578062</v>
      </c>
      <c r="S25" s="236">
        <f t="shared" si="29"/>
        <v>70.687769090039396</v>
      </c>
      <c r="T25" s="236">
        <f t="shared" si="29"/>
        <v>76.587113133999949</v>
      </c>
      <c r="U25" s="236">
        <f t="shared" si="29"/>
        <v>75.207268468106207</v>
      </c>
      <c r="V25" s="236">
        <f t="shared" si="29"/>
        <v>81.288002752427658</v>
      </c>
      <c r="W25" s="236">
        <f t="shared" si="29"/>
        <v>79.931939017527</v>
      </c>
      <c r="X25" s="236">
        <f t="shared" si="29"/>
        <v>86.329548937310449</v>
      </c>
      <c r="Y25" s="236">
        <f t="shared" si="29"/>
        <v>85.003760952176833</v>
      </c>
      <c r="Z25" s="236">
        <f t="shared" si="29"/>
        <v>91.102893719831485</v>
      </c>
      <c r="AA25" s="236">
        <f t="shared" si="29"/>
        <v>89.800949126836642</v>
      </c>
      <c r="AB25" s="236">
        <f t="shared" si="29"/>
        <v>96.150446344692156</v>
      </c>
      <c r="AC25" s="236">
        <f t="shared" si="29"/>
        <v>94.87687746750197</v>
      </c>
      <c r="AD25" s="236">
        <f t="shared" si="29"/>
        <v>101.4882934970947</v>
      </c>
      <c r="AE25" s="236">
        <f t="shared" si="29"/>
        <v>100.24799765039869</v>
      </c>
      <c r="AF25" s="236">
        <f t="shared" si="29"/>
        <v>107.13347608979295</v>
      </c>
      <c r="AG25" s="236">
        <f t="shared" si="29"/>
        <v>105.93174027031475</v>
      </c>
      <c r="AH25" s="236">
        <f t="shared" si="29"/>
        <v>113.10404618753947</v>
      </c>
      <c r="AI25" s="236">
        <f t="shared" si="29"/>
        <v>111.94657333025248</v>
      </c>
      <c r="AJ25" s="2"/>
      <c r="AK25" s="2"/>
      <c r="AL25" s="2"/>
      <c r="AM25" s="2"/>
    </row>
    <row r="26" spans="1:39" x14ac:dyDescent="0.25">
      <c r="A26" s="20" t="s">
        <v>99</v>
      </c>
      <c r="B26" s="33" t="s">
        <v>100</v>
      </c>
      <c r="C26" s="27" t="s">
        <v>67</v>
      </c>
      <c r="D26" s="34"/>
      <c r="E26" s="34"/>
      <c r="F26" s="34"/>
      <c r="G26" s="35"/>
      <c r="H26" s="34"/>
      <c r="I26" s="35"/>
      <c r="J26" s="34">
        <v>21.6</v>
      </c>
      <c r="K26" s="35">
        <v>16.8</v>
      </c>
      <c r="L26" s="34">
        <v>11.9</v>
      </c>
      <c r="M26" s="35">
        <v>10.7</v>
      </c>
      <c r="N26" s="34">
        <v>13</v>
      </c>
      <c r="O26" s="35">
        <f>INDEX(Annual!$A:$Y,MATCH(Segments!$A26,Annual!$A:$A,0),MATCH(Segments!O$1,Annual!$A$1:$Y$1,0))-N26</f>
        <v>16.5</v>
      </c>
      <c r="P26" s="236">
        <f>P134</f>
        <v>17.088755149253736</v>
      </c>
      <c r="Q26" s="236">
        <f t="shared" ref="Q26:AI26" si="30">Q134</f>
        <v>19.871232555910545</v>
      </c>
      <c r="R26" s="236">
        <f t="shared" si="30"/>
        <v>19.196362007462689</v>
      </c>
      <c r="S26" s="236">
        <f t="shared" si="30"/>
        <v>21.8583558115016</v>
      </c>
      <c r="T26" s="236">
        <f t="shared" si="30"/>
        <v>20.714976563731344</v>
      </c>
      <c r="U26" s="236">
        <f t="shared" si="30"/>
        <v>23.169857160191697</v>
      </c>
      <c r="V26" s="236">
        <f t="shared" si="30"/>
        <v>21.957875157555229</v>
      </c>
      <c r="W26" s="236">
        <f t="shared" si="30"/>
        <v>24.560048589803202</v>
      </c>
      <c r="X26" s="236">
        <f t="shared" si="30"/>
        <v>23.275347667008539</v>
      </c>
      <c r="Y26" s="236">
        <f t="shared" si="30"/>
        <v>26.033651505191393</v>
      </c>
      <c r="Z26" s="236">
        <f t="shared" si="30"/>
        <v>24.671868527029048</v>
      </c>
      <c r="AA26" s="236">
        <f t="shared" si="30"/>
        <v>27.595670595502881</v>
      </c>
      <c r="AB26" s="236">
        <f t="shared" si="30"/>
        <v>26.15218063865079</v>
      </c>
      <c r="AC26" s="236">
        <f t="shared" si="30"/>
        <v>29.251410831233056</v>
      </c>
      <c r="AD26" s="236">
        <f t="shared" si="30"/>
        <v>27.721311476969845</v>
      </c>
      <c r="AE26" s="236">
        <f t="shared" si="30"/>
        <v>31.006495481107038</v>
      </c>
      <c r="AF26" s="236">
        <f t="shared" si="30"/>
        <v>29.384590165588037</v>
      </c>
      <c r="AG26" s="236">
        <f t="shared" si="30"/>
        <v>32.866885209973461</v>
      </c>
      <c r="AH26" s="236">
        <f t="shared" si="30"/>
        <v>31.14766557552332</v>
      </c>
      <c r="AI26" s="236">
        <f t="shared" si="30"/>
        <v>34.838898322571879</v>
      </c>
      <c r="AJ26" s="2"/>
      <c r="AK26" s="2"/>
      <c r="AL26" s="2"/>
      <c r="AM26" s="2"/>
    </row>
    <row r="27" spans="1:39" x14ac:dyDescent="0.25">
      <c r="A27" s="20" t="s">
        <v>101</v>
      </c>
      <c r="B27" s="33" t="s">
        <v>102</v>
      </c>
      <c r="C27" s="27" t="s">
        <v>67</v>
      </c>
      <c r="D27" s="34"/>
      <c r="E27" s="34"/>
      <c r="F27" s="34"/>
      <c r="G27" s="35"/>
      <c r="H27" s="34"/>
      <c r="I27" s="35"/>
      <c r="J27" s="34"/>
      <c r="K27" s="35"/>
      <c r="L27" s="34"/>
      <c r="M27" s="35"/>
      <c r="N27" s="34"/>
      <c r="O27" s="35"/>
      <c r="P27" s="236"/>
      <c r="Q27" s="236"/>
      <c r="R27" s="236"/>
      <c r="S27" s="236"/>
      <c r="T27" s="236"/>
      <c r="U27" s="236"/>
      <c r="V27" s="236"/>
      <c r="W27" s="236"/>
      <c r="X27" s="236"/>
      <c r="Y27" s="236"/>
      <c r="Z27" s="236"/>
      <c r="AA27" s="236"/>
      <c r="AB27" s="236"/>
      <c r="AC27" s="236"/>
      <c r="AD27" s="236"/>
      <c r="AE27" s="236"/>
      <c r="AF27" s="236"/>
      <c r="AG27" s="236"/>
      <c r="AH27" s="236"/>
      <c r="AI27" s="236"/>
      <c r="AJ27" s="2"/>
      <c r="AK27" s="2"/>
      <c r="AL27" s="2"/>
      <c r="AM27" s="2"/>
    </row>
    <row r="28" spans="1:39" x14ac:dyDescent="0.25">
      <c r="A28" s="20" t="s">
        <v>103</v>
      </c>
      <c r="B28" s="33" t="s">
        <v>104</v>
      </c>
      <c r="C28" s="27" t="s">
        <v>67</v>
      </c>
      <c r="D28" s="34"/>
      <c r="E28" s="34"/>
      <c r="F28" s="34"/>
      <c r="G28" s="35"/>
      <c r="H28" s="34"/>
      <c r="I28" s="35"/>
      <c r="J28" s="34"/>
      <c r="K28" s="35"/>
      <c r="L28" s="34"/>
      <c r="M28" s="35"/>
      <c r="N28" s="34"/>
      <c r="O28" s="35"/>
      <c r="P28" s="236">
        <f t="shared" ref="P28:AI28" si="31">P50/(1-P44)</f>
        <v>0.94444444444444453</v>
      </c>
      <c r="Q28" s="236">
        <f t="shared" si="31"/>
        <v>1.7258883248730963</v>
      </c>
      <c r="R28" s="236">
        <f t="shared" si="31"/>
        <v>2.9430107526881724</v>
      </c>
      <c r="S28" s="236">
        <f t="shared" si="31"/>
        <v>4.5975369458128075</v>
      </c>
      <c r="T28" s="236">
        <f t="shared" si="31"/>
        <v>7.2386354166666669</v>
      </c>
      <c r="U28" s="236">
        <f t="shared" si="31"/>
        <v>8.8656545454545448</v>
      </c>
      <c r="V28" s="236">
        <f t="shared" si="31"/>
        <v>12.116744848484851</v>
      </c>
      <c r="W28" s="236">
        <f t="shared" si="31"/>
        <v>13.728199773767441</v>
      </c>
      <c r="X28" s="236">
        <f t="shared" si="31"/>
        <v>17.828987896653469</v>
      </c>
      <c r="Y28" s="236">
        <f t="shared" si="31"/>
        <v>19.438996705198686</v>
      </c>
      <c r="Z28" s="236">
        <f t="shared" si="31"/>
        <v>24.401826129947583</v>
      </c>
      <c r="AA28" s="236">
        <f t="shared" si="31"/>
        <v>26.016096472382873</v>
      </c>
      <c r="AB28" s="236">
        <f t="shared" si="31"/>
        <v>31.949120043308181</v>
      </c>
      <c r="AC28" s="236">
        <f t="shared" si="31"/>
        <v>33.574553771963714</v>
      </c>
      <c r="AD28" s="236">
        <f t="shared" si="31"/>
        <v>40.599098921191455</v>
      </c>
      <c r="AE28" s="236">
        <f t="shared" si="31"/>
        <v>42.244016923943079</v>
      </c>
      <c r="AF28" s="236">
        <f t="shared" si="31"/>
        <v>50.496153946519307</v>
      </c>
      <c r="AG28" s="236">
        <f t="shared" si="31"/>
        <v>52.170555168604245</v>
      </c>
      <c r="AH28" s="236">
        <f t="shared" si="31"/>
        <v>61.802854144526613</v>
      </c>
      <c r="AI28" s="236">
        <f t="shared" si="31"/>
        <v>63.518713872142179</v>
      </c>
      <c r="AJ28" s="2"/>
      <c r="AK28" s="2"/>
      <c r="AL28" s="2"/>
      <c r="AM28" s="2"/>
    </row>
    <row r="29" spans="1:39" x14ac:dyDescent="0.25">
      <c r="A29" s="20" t="s">
        <v>105</v>
      </c>
      <c r="B29" s="36" t="s">
        <v>106</v>
      </c>
      <c r="C29" s="37" t="s">
        <v>67</v>
      </c>
      <c r="D29" s="38" t="s">
        <v>94</v>
      </c>
      <c r="E29" s="38"/>
      <c r="F29" s="39"/>
      <c r="G29" s="39">
        <f>INDEX(Annual!$A:$Y,MATCH(Segments!$A29,Annual!$A:$A,0),MATCH(Segments!G$1,Annual!$A$1:$Y$1,0))-F29</f>
        <v>114.4</v>
      </c>
      <c r="H29" s="39">
        <f t="shared" ref="H29" si="32">SUM(H25:H28)</f>
        <v>0</v>
      </c>
      <c r="I29" s="39">
        <f>INDEX(Annual!$A:$Y,MATCH(Segments!$A29,Annual!$A:$A,0),MATCH(Segments!I$1,Annual!$A$1:$Y$1,0))-H29</f>
        <v>142.6</v>
      </c>
      <c r="J29" s="39">
        <f t="shared" ref="J29" si="33">SUM(J25:J28)</f>
        <v>76.099999999999994</v>
      </c>
      <c r="K29" s="39">
        <f>INDEX(Annual!$A:$Y,MATCH(Segments!$A29,Annual!$A:$A,0),MATCH(Segments!K$1,Annual!$A$1:$Y$1,0))-J29</f>
        <v>68.099999999999994</v>
      </c>
      <c r="L29" s="39">
        <f t="shared" ref="L29" si="34">SUM(L25:L28)</f>
        <v>65.8</v>
      </c>
      <c r="M29" s="39">
        <f>INDEX(Annual!$A:$Y,MATCH(Segments!$A29,Annual!$A:$A,0),MATCH(Segments!M$1,Annual!$A$1:$Y$1,0))-L29</f>
        <v>61.2</v>
      </c>
      <c r="N29" s="39">
        <f>SUM(N25:N28)</f>
        <v>69.5</v>
      </c>
      <c r="O29" s="39">
        <f>INDEX(Annual!$A:$Y,MATCH(Segments!$A29,Annual!$A:$A,0),MATCH(Segments!O$1,Annual!$A$1:$Y$1,0))-N29</f>
        <v>73.300000000000011</v>
      </c>
      <c r="P29" s="235">
        <f>SUM(P25:P28)</f>
        <v>83.910489313324391</v>
      </c>
      <c r="Q29" s="235">
        <f t="shared" ref="Q29:AI29" si="35">SUM(Q25:Q28)</f>
        <v>86.063390443330803</v>
      </c>
      <c r="R29" s="235">
        <f t="shared" si="35"/>
        <v>94.227136498728925</v>
      </c>
      <c r="S29" s="235">
        <f t="shared" si="35"/>
        <v>97.143661847353798</v>
      </c>
      <c r="T29" s="235">
        <f t="shared" si="35"/>
        <v>104.54072511439796</v>
      </c>
      <c r="U29" s="235">
        <f t="shared" si="35"/>
        <v>107.24278017375245</v>
      </c>
      <c r="V29" s="235">
        <f t="shared" si="35"/>
        <v>115.36262275846774</v>
      </c>
      <c r="W29" s="235">
        <f t="shared" si="35"/>
        <v>118.22018738109765</v>
      </c>
      <c r="X29" s="235">
        <f t="shared" si="35"/>
        <v>127.43388450097245</v>
      </c>
      <c r="Y29" s="235">
        <f t="shared" si="35"/>
        <v>130.47640916256691</v>
      </c>
      <c r="Z29" s="235">
        <f t="shared" si="35"/>
        <v>140.17658837680813</v>
      </c>
      <c r="AA29" s="235">
        <f t="shared" si="35"/>
        <v>143.41271619472241</v>
      </c>
      <c r="AB29" s="235">
        <f t="shared" si="35"/>
        <v>154.25174702665112</v>
      </c>
      <c r="AC29" s="235">
        <f t="shared" si="35"/>
        <v>157.70284207069875</v>
      </c>
      <c r="AD29" s="235">
        <f t="shared" si="35"/>
        <v>169.808703895256</v>
      </c>
      <c r="AE29" s="235">
        <f t="shared" si="35"/>
        <v>173.49851005544883</v>
      </c>
      <c r="AF29" s="235">
        <f t="shared" si="35"/>
        <v>187.01422020190029</v>
      </c>
      <c r="AG29" s="235">
        <f t="shared" si="35"/>
        <v>190.96918064889243</v>
      </c>
      <c r="AH29" s="235">
        <f t="shared" si="35"/>
        <v>206.05456590758939</v>
      </c>
      <c r="AI29" s="235">
        <f t="shared" si="35"/>
        <v>210.30418552496653</v>
      </c>
      <c r="AJ29" s="2"/>
      <c r="AK29" s="2"/>
      <c r="AL29" s="2"/>
      <c r="AM29" s="2"/>
    </row>
    <row r="30" spans="1:39" x14ac:dyDescent="0.25">
      <c r="A30" s="20">
        <v>0</v>
      </c>
      <c r="B30" s="33" t="s">
        <v>76</v>
      </c>
      <c r="C30" s="27" t="s">
        <v>77</v>
      </c>
      <c r="D30" s="29"/>
      <c r="E30" s="29"/>
      <c r="F30" s="40"/>
      <c r="G30" s="40" t="e">
        <f t="shared" ref="G30:M30" si="36">G29/E29-1</f>
        <v>#DIV/0!</v>
      </c>
      <c r="H30" s="40" t="e">
        <f t="shared" si="36"/>
        <v>#DIV/0!</v>
      </c>
      <c r="I30" s="40">
        <f t="shared" si="36"/>
        <v>0.24650349650349646</v>
      </c>
      <c r="J30" s="40" t="e">
        <f t="shared" si="36"/>
        <v>#DIV/0!</v>
      </c>
      <c r="K30" s="40">
        <f t="shared" si="36"/>
        <v>-0.52244039270687237</v>
      </c>
      <c r="L30" s="226">
        <f t="shared" si="36"/>
        <v>-0.1353482260183968</v>
      </c>
      <c r="M30" s="226">
        <f t="shared" si="36"/>
        <v>-0.1013215859030836</v>
      </c>
      <c r="N30" s="226">
        <f>N29/L29-1</f>
        <v>5.6231003039513672E-2</v>
      </c>
      <c r="O30" s="226">
        <f>O29/M29-1</f>
        <v>0.19771241830065378</v>
      </c>
      <c r="P30" s="226">
        <f t="shared" ref="P30" si="37">P29/N29-1</f>
        <v>0.20734516997589059</v>
      </c>
      <c r="Q30" s="226">
        <f t="shared" ref="Q30:S30" si="38">Q29/O29-1</f>
        <v>0.17412538121870114</v>
      </c>
      <c r="R30" s="226">
        <f t="shared" si="38"/>
        <v>0.12294824246444147</v>
      </c>
      <c r="S30" s="226">
        <f t="shared" si="38"/>
        <v>0.12874546711378865</v>
      </c>
      <c r="T30" s="226">
        <f t="shared" ref="T30" si="39">T29/R29-1</f>
        <v>0.1094545477969413</v>
      </c>
      <c r="U30" s="226">
        <f t="shared" ref="U30:W30" si="40">U29/S29-1</f>
        <v>0.10396065100230478</v>
      </c>
      <c r="V30" s="226">
        <f t="shared" si="40"/>
        <v>0.10351848652501183</v>
      </c>
      <c r="W30" s="226">
        <f t="shared" si="40"/>
        <v>0.1023603378200364</v>
      </c>
      <c r="X30" s="226">
        <f t="shared" ref="X30" si="41">X29/V29-1</f>
        <v>0.10463754597343078</v>
      </c>
      <c r="Y30" s="226">
        <f t="shared" ref="Y30:AA30" si="42">Y29/W29-1</f>
        <v>0.10367283332041932</v>
      </c>
      <c r="Z30" s="226">
        <f t="shared" si="42"/>
        <v>9.9994628004441255E-2</v>
      </c>
      <c r="AA30" s="226">
        <f t="shared" si="42"/>
        <v>9.914671253741747E-2</v>
      </c>
      <c r="AB30" s="226">
        <f t="shared" ref="AB30" si="43">AB29/Z29-1</f>
        <v>0.10041019554568997</v>
      </c>
      <c r="AC30" s="226">
        <f t="shared" ref="AC30:AE30" si="44">AC29/AA29-1</f>
        <v>9.9643366747015349E-2</v>
      </c>
      <c r="AD30" s="226">
        <f t="shared" si="44"/>
        <v>0.10085433175623626</v>
      </c>
      <c r="AE30" s="226">
        <f t="shared" si="44"/>
        <v>0.10016095954484339</v>
      </c>
      <c r="AF30" s="226">
        <f t="shared" ref="AF30" si="45">AF29/AD29-1</f>
        <v>0.10132293523220848</v>
      </c>
      <c r="AG30" s="226">
        <f t="shared" ref="AG30:AI30" si="46">AG29/AE29-1</f>
        <v>0.10069637248100927</v>
      </c>
      <c r="AH30" s="226">
        <f t="shared" si="46"/>
        <v>0.10181228831226408</v>
      </c>
      <c r="AI30" s="226">
        <f t="shared" si="46"/>
        <v>0.10124672897676912</v>
      </c>
      <c r="AJ30" s="2"/>
      <c r="AK30" s="2"/>
      <c r="AL30" s="2"/>
      <c r="AM30" s="2"/>
    </row>
    <row r="31" spans="1:39" x14ac:dyDescent="0.25">
      <c r="A31" s="307"/>
      <c r="B31" s="308"/>
      <c r="C31" s="27"/>
      <c r="D31" s="29"/>
      <c r="E31" s="29"/>
      <c r="F31" s="29"/>
      <c r="G31" s="29"/>
      <c r="H31" s="29"/>
      <c r="I31" s="29"/>
      <c r="J31" s="29"/>
      <c r="K31" s="29"/>
      <c r="L31" s="29"/>
      <c r="M31" s="29"/>
      <c r="N31" s="29"/>
      <c r="O31" s="29"/>
      <c r="P31" s="29">
        <v>2</v>
      </c>
      <c r="Q31" s="29">
        <v>2</v>
      </c>
      <c r="R31" s="29">
        <v>4</v>
      </c>
      <c r="S31" s="29">
        <v>4</v>
      </c>
      <c r="T31" s="29">
        <v>4</v>
      </c>
      <c r="U31" s="29">
        <v>4</v>
      </c>
      <c r="V31" s="29">
        <v>4</v>
      </c>
      <c r="W31" s="29">
        <v>4</v>
      </c>
      <c r="X31" s="29">
        <v>4</v>
      </c>
      <c r="Y31" s="29">
        <v>4</v>
      </c>
      <c r="Z31" s="29">
        <v>4</v>
      </c>
      <c r="AA31" s="29">
        <v>4</v>
      </c>
      <c r="AB31" s="29">
        <v>4</v>
      </c>
      <c r="AC31" s="29">
        <v>4</v>
      </c>
      <c r="AD31" s="29">
        <v>4</v>
      </c>
      <c r="AE31" s="29">
        <v>4</v>
      </c>
      <c r="AF31" s="29">
        <v>4</v>
      </c>
      <c r="AG31" s="29">
        <v>4</v>
      </c>
      <c r="AH31" s="29">
        <v>4</v>
      </c>
      <c r="AI31" s="29">
        <v>4</v>
      </c>
      <c r="AJ31" s="2"/>
      <c r="AK31" s="2"/>
      <c r="AL31" s="2"/>
      <c r="AM31" s="2"/>
    </row>
    <row r="32" spans="1:39" x14ac:dyDescent="0.25">
      <c r="A32" s="20" t="s">
        <v>107</v>
      </c>
      <c r="B32" s="33" t="s">
        <v>108</v>
      </c>
      <c r="C32" s="27" t="s">
        <v>109</v>
      </c>
      <c r="D32" s="29"/>
      <c r="E32" s="29"/>
      <c r="F32" s="29"/>
      <c r="G32" s="29"/>
      <c r="H32" s="29"/>
      <c r="I32" s="29"/>
      <c r="J32" s="29"/>
      <c r="K32" s="29"/>
      <c r="L32" s="29"/>
      <c r="M32" s="29"/>
      <c r="N32" s="34">
        <v>0</v>
      </c>
      <c r="O32" s="35">
        <f>INDEX(Annual!$A:$Y,MATCH(Segments!$A32,Annual!$A:$A,0),MATCH(Segments!O$1,Annual!$A$1:$Y$1,0))-N32</f>
        <v>2</v>
      </c>
      <c r="P32" s="42">
        <v>2</v>
      </c>
      <c r="Q32" s="42">
        <v>2</v>
      </c>
      <c r="R32" s="42">
        <v>4</v>
      </c>
      <c r="S32" s="42">
        <v>4</v>
      </c>
      <c r="T32" s="252">
        <f t="shared" ref="T32:U32" si="47">R32*1.07</f>
        <v>4.28</v>
      </c>
      <c r="U32" s="252">
        <f t="shared" si="47"/>
        <v>4.28</v>
      </c>
      <c r="V32" s="252">
        <f>T32*1.07</f>
        <v>4.5796000000000001</v>
      </c>
      <c r="W32" s="252">
        <f t="shared" ref="W32:AI32" si="48">U32*1.07</f>
        <v>4.5796000000000001</v>
      </c>
      <c r="X32" s="252">
        <f t="shared" si="48"/>
        <v>4.9001720000000004</v>
      </c>
      <c r="Y32" s="252">
        <f t="shared" si="48"/>
        <v>4.9001720000000004</v>
      </c>
      <c r="Z32" s="252">
        <f t="shared" si="48"/>
        <v>5.2431840400000009</v>
      </c>
      <c r="AA32" s="252">
        <f t="shared" si="48"/>
        <v>5.2431840400000009</v>
      </c>
      <c r="AB32" s="252">
        <f t="shared" si="48"/>
        <v>5.6102069228000015</v>
      </c>
      <c r="AC32" s="252">
        <f t="shared" si="48"/>
        <v>5.6102069228000015</v>
      </c>
      <c r="AD32" s="252">
        <f t="shared" si="48"/>
        <v>6.002921407396002</v>
      </c>
      <c r="AE32" s="252">
        <f t="shared" si="48"/>
        <v>6.002921407396002</v>
      </c>
      <c r="AF32" s="252">
        <f t="shared" si="48"/>
        <v>6.4231259059137225</v>
      </c>
      <c r="AG32" s="252">
        <f t="shared" si="48"/>
        <v>6.4231259059137225</v>
      </c>
      <c r="AH32" s="252">
        <f t="shared" si="48"/>
        <v>6.8727447193276836</v>
      </c>
      <c r="AI32" s="252">
        <f t="shared" si="48"/>
        <v>6.8727447193276836</v>
      </c>
      <c r="AJ32" s="2"/>
      <c r="AK32" s="2"/>
      <c r="AL32" s="2"/>
      <c r="AM32" s="2"/>
    </row>
    <row r="33" spans="1:39" x14ac:dyDescent="0.25">
      <c r="A33" s="20" t="str">
        <f>Annual!A33</f>
        <v>Number of acquired brokers cumulative</v>
      </c>
      <c r="B33" s="33" t="s">
        <v>110</v>
      </c>
      <c r="C33" s="27" t="s">
        <v>109</v>
      </c>
      <c r="D33" s="29"/>
      <c r="E33" s="29"/>
      <c r="F33" s="29"/>
      <c r="G33" s="29"/>
      <c r="H33" s="29"/>
      <c r="I33" s="29"/>
      <c r="J33" s="29"/>
      <c r="K33" s="29"/>
      <c r="L33" s="29"/>
      <c r="M33" s="29"/>
      <c r="N33" s="35">
        <v>0</v>
      </c>
      <c r="O33" s="35">
        <f>SUM($N32:O32)</f>
        <v>2</v>
      </c>
      <c r="P33" s="35">
        <f>SUM($N32:P32)</f>
        <v>4</v>
      </c>
      <c r="Q33" s="35">
        <f>SUM($N32:Q32)</f>
        <v>6</v>
      </c>
      <c r="R33" s="35">
        <f>SUM($N32:R32)</f>
        <v>10</v>
      </c>
      <c r="S33" s="35">
        <f>SUM($N32:S32)</f>
        <v>14</v>
      </c>
      <c r="T33" s="35">
        <f>SUM($N32:T32)</f>
        <v>18.28</v>
      </c>
      <c r="U33" s="62">
        <f>SUM($N32:U32)</f>
        <v>22.560000000000002</v>
      </c>
      <c r="V33" s="62">
        <f>SUM($N32:V32)</f>
        <v>27.139600000000002</v>
      </c>
      <c r="W33" s="62">
        <f>SUM($N32:W32)</f>
        <v>31.719200000000001</v>
      </c>
      <c r="X33" s="62">
        <f>SUM($N32:X32)</f>
        <v>36.619371999999998</v>
      </c>
      <c r="Y33" s="62">
        <f>SUM($N32:Y32)</f>
        <v>41.519543999999996</v>
      </c>
      <c r="Z33" s="62">
        <f>SUM($N32:Z32)</f>
        <v>46.762728039999999</v>
      </c>
      <c r="AA33" s="62">
        <f>SUM($N32:AA32)</f>
        <v>52.005912080000002</v>
      </c>
      <c r="AB33" s="62">
        <f>SUM($N32:AB32)</f>
        <v>57.616119002800005</v>
      </c>
      <c r="AC33" s="62">
        <f>SUM($N32:AC32)</f>
        <v>63.226325925600008</v>
      </c>
      <c r="AD33" s="62">
        <f>SUM($N32:AD32)</f>
        <v>69.22924733299601</v>
      </c>
      <c r="AE33" s="62">
        <f>SUM($N32:AE32)</f>
        <v>75.232168740392012</v>
      </c>
      <c r="AF33" s="62">
        <f>SUM($N32:AF32)</f>
        <v>81.655294646305734</v>
      </c>
      <c r="AG33" s="62">
        <f>SUM($N32:AG32)</f>
        <v>88.078420552219455</v>
      </c>
      <c r="AH33" s="62">
        <f>SUM($N32:AH32)</f>
        <v>94.95116527154714</v>
      </c>
      <c r="AI33" s="62">
        <f>SUM($N32:AI32)</f>
        <v>101.82390999087482</v>
      </c>
      <c r="AJ33" s="2"/>
      <c r="AK33" s="2"/>
      <c r="AL33" s="2"/>
      <c r="AM33" s="2"/>
    </row>
    <row r="34" spans="1:39" x14ac:dyDescent="0.25">
      <c r="A34" s="20" t="s">
        <v>111</v>
      </c>
      <c r="B34" s="33" t="s">
        <v>112</v>
      </c>
      <c r="C34" s="27" t="s">
        <v>67</v>
      </c>
      <c r="D34" s="29"/>
      <c r="E34" s="29"/>
      <c r="F34" s="29"/>
      <c r="G34" s="29"/>
      <c r="H34" s="29"/>
      <c r="I34" s="29"/>
      <c r="J34" s="29"/>
      <c r="K34" s="29"/>
      <c r="L34" s="29"/>
      <c r="M34" s="29"/>
      <c r="N34" s="34">
        <v>0</v>
      </c>
      <c r="O34" s="228">
        <f>INDEX(Annual!$A:$Y,MATCH(Segments!$A34,Annual!$A:$A,0),MATCH(Segments!O$1,Annual!$A$1:$Y$1,0))-N34</f>
        <v>0.42499999999999999</v>
      </c>
      <c r="P34" s="252">
        <f>O34</f>
        <v>0.42499999999999999</v>
      </c>
      <c r="Q34" s="252">
        <f t="shared" ref="Q34:AI34" si="49">O34*(1+Q180)</f>
        <v>0.48874999999999996</v>
      </c>
      <c r="R34" s="252">
        <f t="shared" si="49"/>
        <v>0.46750000000000003</v>
      </c>
      <c r="S34" s="252">
        <f t="shared" si="49"/>
        <v>0.53762500000000002</v>
      </c>
      <c r="T34" s="252">
        <f t="shared" si="49"/>
        <v>0.49555000000000005</v>
      </c>
      <c r="U34" s="252">
        <f t="shared" si="49"/>
        <v>0.56988250000000007</v>
      </c>
      <c r="V34" s="252">
        <f t="shared" si="49"/>
        <v>0.52528300000000006</v>
      </c>
      <c r="W34" s="252">
        <f t="shared" si="49"/>
        <v>0.60407545000000007</v>
      </c>
      <c r="X34" s="252">
        <f t="shared" si="49"/>
        <v>0.55679998000000008</v>
      </c>
      <c r="Y34" s="252">
        <f t="shared" si="49"/>
        <v>0.6403199770000001</v>
      </c>
      <c r="Z34" s="252">
        <f t="shared" si="49"/>
        <v>0.59020797880000009</v>
      </c>
      <c r="AA34" s="252">
        <f t="shared" si="49"/>
        <v>0.67873917562000019</v>
      </c>
      <c r="AB34" s="252">
        <f t="shared" si="49"/>
        <v>0.62562045752800011</v>
      </c>
      <c r="AC34" s="252">
        <f t="shared" si="49"/>
        <v>0.71946352615720022</v>
      </c>
      <c r="AD34" s="252">
        <f t="shared" si="49"/>
        <v>0.6631576849796802</v>
      </c>
      <c r="AE34" s="252">
        <f t="shared" si="49"/>
        <v>0.76263133772663227</v>
      </c>
      <c r="AF34" s="252">
        <f t="shared" si="49"/>
        <v>0.70294714607846109</v>
      </c>
      <c r="AG34" s="252">
        <f t="shared" si="49"/>
        <v>0.80838921799023022</v>
      </c>
      <c r="AH34" s="252">
        <f t="shared" si="49"/>
        <v>0.74512397484316883</v>
      </c>
      <c r="AI34" s="252">
        <f t="shared" si="49"/>
        <v>0.85689257106964412</v>
      </c>
      <c r="AJ34" s="2"/>
      <c r="AK34" s="2"/>
      <c r="AL34" s="2"/>
      <c r="AM34" s="2"/>
    </row>
    <row r="35" spans="1:39" x14ac:dyDescent="0.25">
      <c r="A35" s="20"/>
      <c r="B35" s="33" t="s">
        <v>473</v>
      </c>
      <c r="C35" s="27" t="s">
        <v>271</v>
      </c>
      <c r="D35" s="29"/>
      <c r="E35" s="29"/>
      <c r="F35" s="29"/>
      <c r="G35" s="29"/>
      <c r="H35" s="29"/>
      <c r="I35" s="29"/>
      <c r="J35" s="29"/>
      <c r="K35" s="29"/>
      <c r="L35" s="29"/>
      <c r="M35" s="29"/>
      <c r="N35" s="34"/>
      <c r="O35" s="262">
        <v>6.5</v>
      </c>
      <c r="P35" s="262">
        <v>6.5</v>
      </c>
      <c r="Q35" s="262">
        <v>6.5</v>
      </c>
      <c r="R35" s="262">
        <v>6.5</v>
      </c>
      <c r="S35" s="262">
        <v>6.5</v>
      </c>
      <c r="T35" s="262">
        <v>6.5</v>
      </c>
      <c r="U35" s="262">
        <v>6.5</v>
      </c>
      <c r="V35" s="262">
        <v>6.5</v>
      </c>
      <c r="W35" s="262">
        <v>6.5</v>
      </c>
      <c r="X35" s="262">
        <v>6.5</v>
      </c>
      <c r="Y35" s="262">
        <v>6.5</v>
      </c>
      <c r="Z35" s="262">
        <v>6.5</v>
      </c>
      <c r="AA35" s="262">
        <v>6.5</v>
      </c>
      <c r="AB35" s="262">
        <v>6.5</v>
      </c>
      <c r="AC35" s="262">
        <v>6.5</v>
      </c>
      <c r="AD35" s="262">
        <v>6.5</v>
      </c>
      <c r="AE35" s="262">
        <v>6.5</v>
      </c>
      <c r="AF35" s="262">
        <v>6.5</v>
      </c>
      <c r="AG35" s="262">
        <v>6.5</v>
      </c>
      <c r="AH35" s="262">
        <v>6.5</v>
      </c>
      <c r="AI35" s="262">
        <v>6.5</v>
      </c>
      <c r="AJ35" s="2"/>
      <c r="AK35" s="2"/>
      <c r="AL35" s="2"/>
      <c r="AM35" s="2"/>
    </row>
    <row r="36" spans="1:39" x14ac:dyDescent="0.25">
      <c r="A36" s="20" t="str">
        <f>Annual!A277</f>
        <v>Cash for acquisitions- broker equity</v>
      </c>
      <c r="B36" s="33" t="s">
        <v>474</v>
      </c>
      <c r="C36" s="27" t="s">
        <v>67</v>
      </c>
      <c r="D36" s="29"/>
      <c r="E36" s="29"/>
      <c r="F36" s="29"/>
      <c r="G36" s="29"/>
      <c r="H36" s="29"/>
      <c r="I36" s="29"/>
      <c r="J36" s="29"/>
      <c r="K36" s="29"/>
      <c r="L36" s="29"/>
      <c r="M36" s="29"/>
      <c r="N36" s="34"/>
      <c r="O36" s="228">
        <f t="shared" ref="O36:AI36" si="50">O32*O35*O34</f>
        <v>5.5249999999999995</v>
      </c>
      <c r="P36" s="228">
        <f t="shared" si="50"/>
        <v>5.5249999999999995</v>
      </c>
      <c r="Q36" s="228">
        <f t="shared" si="50"/>
        <v>6.3537499999999998</v>
      </c>
      <c r="R36" s="228">
        <f t="shared" si="50"/>
        <v>12.155000000000001</v>
      </c>
      <c r="S36" s="228">
        <f t="shared" si="50"/>
        <v>13.978250000000001</v>
      </c>
      <c r="T36" s="228">
        <f t="shared" si="50"/>
        <v>13.786201000000002</v>
      </c>
      <c r="U36" s="228">
        <f t="shared" si="50"/>
        <v>15.854131150000002</v>
      </c>
      <c r="V36" s="228">
        <f t="shared" si="50"/>
        <v>15.636309174200003</v>
      </c>
      <c r="W36" s="228">
        <f t="shared" si="50"/>
        <v>17.981755550330004</v>
      </c>
      <c r="X36" s="228">
        <f t="shared" si="50"/>
        <v>17.734701865377644</v>
      </c>
      <c r="Y36" s="228">
        <f t="shared" si="50"/>
        <v>20.394907145184291</v>
      </c>
      <c r="Z36" s="228">
        <f t="shared" si="50"/>
        <v>20.114698855711325</v>
      </c>
      <c r="AA36" s="228">
        <f t="shared" si="50"/>
        <v>23.131903684068025</v>
      </c>
      <c r="AB36" s="228">
        <f t="shared" si="50"/>
        <v>22.814091442147788</v>
      </c>
      <c r="AC36" s="228">
        <f t="shared" si="50"/>
        <v>26.236205158469957</v>
      </c>
      <c r="AD36" s="228">
        <f t="shared" si="50"/>
        <v>25.875742513684028</v>
      </c>
      <c r="AE36" s="228">
        <f t="shared" si="50"/>
        <v>29.757103890736634</v>
      </c>
      <c r="AF36" s="228">
        <f t="shared" si="50"/>
        <v>29.34826715902043</v>
      </c>
      <c r="AG36" s="228">
        <f t="shared" si="50"/>
        <v>33.750507232873488</v>
      </c>
      <c r="AH36" s="228">
        <f t="shared" si="50"/>
        <v>33.286804611760978</v>
      </c>
      <c r="AI36" s="228">
        <f t="shared" si="50"/>
        <v>38.279825303525122</v>
      </c>
      <c r="AJ36" s="2"/>
      <c r="AK36" s="2"/>
      <c r="AL36" s="2"/>
      <c r="AM36" s="2"/>
    </row>
    <row r="37" spans="1:39" x14ac:dyDescent="0.25">
      <c r="A37" s="307">
        <v>0</v>
      </c>
      <c r="B37" s="308"/>
      <c r="C37" s="43"/>
      <c r="D37" s="32"/>
      <c r="E37" s="32"/>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2"/>
      <c r="AK37" s="2"/>
      <c r="AL37" s="2"/>
      <c r="AM37" s="2"/>
    </row>
    <row r="38" spans="1:39" x14ac:dyDescent="0.25">
      <c r="A38" s="20">
        <v>0</v>
      </c>
      <c r="B38" s="30" t="s">
        <v>113</v>
      </c>
      <c r="C38" s="31"/>
      <c r="D38" s="2"/>
      <c r="E38" s="2"/>
      <c r="F38" s="29"/>
      <c r="G38" s="29"/>
      <c r="H38" s="29"/>
      <c r="I38" s="29"/>
      <c r="J38" s="29"/>
      <c r="K38" s="29"/>
      <c r="L38" s="29"/>
      <c r="M38" s="29"/>
      <c r="N38" s="29"/>
      <c r="O38" s="29"/>
      <c r="P38" s="29"/>
      <c r="Q38" s="29"/>
      <c r="R38" s="29"/>
      <c r="S38" s="29"/>
      <c r="T38" s="29"/>
      <c r="U38" s="29"/>
      <c r="V38" s="29"/>
      <c r="W38" s="29"/>
      <c r="X38" s="250"/>
      <c r="Y38" s="250"/>
      <c r="Z38" s="250"/>
      <c r="AA38" s="250"/>
      <c r="AB38" s="250"/>
      <c r="AC38" s="250"/>
      <c r="AD38" s="250"/>
      <c r="AE38" s="250"/>
      <c r="AF38" s="250"/>
      <c r="AG38" s="250"/>
      <c r="AH38" s="250"/>
      <c r="AI38" s="250"/>
      <c r="AJ38" s="2"/>
      <c r="AK38" s="2"/>
      <c r="AL38" s="2"/>
      <c r="AM38" s="2"/>
    </row>
    <row r="39" spans="1:39" x14ac:dyDescent="0.25">
      <c r="A39" s="20"/>
      <c r="B39" s="33" t="s">
        <v>97</v>
      </c>
      <c r="C39" s="31"/>
      <c r="D39" s="2"/>
      <c r="E39" s="2"/>
      <c r="F39" s="35"/>
      <c r="G39" s="35"/>
      <c r="H39" s="35"/>
      <c r="I39" s="35"/>
      <c r="J39" s="35"/>
      <c r="K39" s="35"/>
      <c r="L39" s="35">
        <f t="shared" ref="L39:O41" si="51">L47-L25</f>
        <v>-25.8</v>
      </c>
      <c r="M39" s="35">
        <f t="shared" si="51"/>
        <v>-17</v>
      </c>
      <c r="N39" s="35">
        <f t="shared" si="51"/>
        <v>-25.3</v>
      </c>
      <c r="O39" s="35">
        <f t="shared" si="51"/>
        <v>-20.099999999999994</v>
      </c>
      <c r="P39" s="35"/>
      <c r="Q39" s="35"/>
      <c r="R39" s="35"/>
      <c r="S39" s="35"/>
      <c r="T39" s="35"/>
      <c r="U39" s="35"/>
      <c r="V39" s="35"/>
      <c r="W39" s="35"/>
      <c r="X39" s="35"/>
      <c r="Y39" s="35"/>
      <c r="Z39" s="35"/>
      <c r="AA39" s="35"/>
      <c r="AB39" s="35"/>
      <c r="AC39" s="35"/>
      <c r="AD39" s="35"/>
      <c r="AE39" s="35"/>
      <c r="AF39" s="35"/>
      <c r="AG39" s="35"/>
      <c r="AH39" s="35"/>
      <c r="AI39" s="35"/>
      <c r="AJ39" s="2"/>
      <c r="AK39" s="2"/>
      <c r="AL39" s="2"/>
      <c r="AM39" s="2"/>
    </row>
    <row r="40" spans="1:39" x14ac:dyDescent="0.25">
      <c r="A40" s="20"/>
      <c r="B40" s="33" t="s">
        <v>100</v>
      </c>
      <c r="C40" s="31"/>
      <c r="D40" s="2"/>
      <c r="E40" s="2"/>
      <c r="F40" s="35"/>
      <c r="G40" s="35"/>
      <c r="H40" s="35"/>
      <c r="I40" s="35"/>
      <c r="J40" s="35"/>
      <c r="K40" s="35"/>
      <c r="L40" s="35">
        <f t="shared" si="51"/>
        <v>-6.3000000000000007</v>
      </c>
      <c r="M40" s="35">
        <f t="shared" si="51"/>
        <v>-5.7999999999999989</v>
      </c>
      <c r="N40" s="35">
        <f t="shared" si="51"/>
        <v>-7.3</v>
      </c>
      <c r="O40" s="35">
        <f t="shared" si="51"/>
        <v>-6.0999999999999979</v>
      </c>
      <c r="P40" s="35"/>
      <c r="Q40" s="35"/>
      <c r="R40" s="35"/>
      <c r="S40" s="35"/>
      <c r="T40" s="35"/>
      <c r="U40" s="35"/>
      <c r="V40" s="35"/>
      <c r="W40" s="35"/>
      <c r="X40" s="35"/>
      <c r="Y40" s="35"/>
      <c r="Z40" s="35"/>
      <c r="AA40" s="35"/>
      <c r="AB40" s="35"/>
      <c r="AC40" s="35"/>
      <c r="AD40" s="35"/>
      <c r="AE40" s="35"/>
      <c r="AF40" s="35"/>
      <c r="AG40" s="35"/>
      <c r="AH40" s="35"/>
      <c r="AI40" s="35"/>
      <c r="AJ40" s="2"/>
      <c r="AK40" s="2"/>
      <c r="AL40" s="2"/>
      <c r="AM40" s="2"/>
    </row>
    <row r="41" spans="1:39" x14ac:dyDescent="0.25">
      <c r="A41" s="20"/>
      <c r="B41" s="33" t="s">
        <v>102</v>
      </c>
      <c r="C41" s="31"/>
      <c r="D41" s="2"/>
      <c r="E41" s="2"/>
      <c r="F41" s="35"/>
      <c r="G41" s="35"/>
      <c r="H41" s="35"/>
      <c r="I41" s="35"/>
      <c r="J41" s="35"/>
      <c r="K41" s="35"/>
      <c r="L41" s="35">
        <f t="shared" si="51"/>
        <v>-9.6999999999999993</v>
      </c>
      <c r="M41" s="35">
        <f t="shared" si="51"/>
        <v>-15</v>
      </c>
      <c r="N41" s="35">
        <f t="shared" si="51"/>
        <v>-11.9</v>
      </c>
      <c r="O41" s="35">
        <f t="shared" si="51"/>
        <v>-15.9</v>
      </c>
      <c r="P41" s="35"/>
      <c r="Q41" s="35"/>
      <c r="R41" s="35"/>
      <c r="S41" s="35"/>
      <c r="T41" s="35"/>
      <c r="U41" s="35"/>
      <c r="V41" s="35"/>
      <c r="W41" s="35"/>
      <c r="X41" s="35"/>
      <c r="Y41" s="35"/>
      <c r="Z41" s="35"/>
      <c r="AA41" s="35"/>
      <c r="AB41" s="35"/>
      <c r="AC41" s="35"/>
      <c r="AD41" s="35"/>
      <c r="AE41" s="35"/>
      <c r="AF41" s="35"/>
      <c r="AG41" s="35"/>
      <c r="AH41" s="35"/>
      <c r="AI41" s="35"/>
      <c r="AJ41" s="2"/>
      <c r="AK41" s="2"/>
      <c r="AL41" s="2"/>
      <c r="AM41" s="2"/>
    </row>
    <row r="42" spans="1:39" x14ac:dyDescent="0.25">
      <c r="A42" s="20" t="s">
        <v>114</v>
      </c>
      <c r="B42" s="36" t="s">
        <v>115</v>
      </c>
      <c r="C42" s="37" t="s">
        <v>67</v>
      </c>
      <c r="D42" s="39"/>
      <c r="E42" s="39"/>
      <c r="F42" s="39"/>
      <c r="G42" s="39">
        <f t="shared" ref="G42:O42" si="52">G51-G29</f>
        <v>-42.100000000000009</v>
      </c>
      <c r="H42" s="39">
        <f t="shared" si="52"/>
        <v>42.5</v>
      </c>
      <c r="I42" s="39">
        <f t="shared" si="52"/>
        <v>-98.399999999999991</v>
      </c>
      <c r="J42" s="39">
        <f t="shared" si="52"/>
        <v>-42.3</v>
      </c>
      <c r="K42" s="39">
        <f t="shared" si="52"/>
        <v>-42.499999999999993</v>
      </c>
      <c r="L42" s="39">
        <f t="shared" si="52"/>
        <v>-41.8</v>
      </c>
      <c r="M42" s="39">
        <f t="shared" si="52"/>
        <v>-37.800000000000011</v>
      </c>
      <c r="N42" s="39">
        <f t="shared" si="52"/>
        <v>-44.5</v>
      </c>
      <c r="O42" s="39">
        <f t="shared" si="52"/>
        <v>-42.100000000000009</v>
      </c>
      <c r="P42" s="238">
        <f t="shared" ref="P42:AI42" si="53">-P29*P44</f>
        <v>-46.15076912232842</v>
      </c>
      <c r="Q42" s="238">
        <f t="shared" si="53"/>
        <v>-43.67717064999038</v>
      </c>
      <c r="R42" s="238">
        <f t="shared" si="53"/>
        <v>-50.411518026819977</v>
      </c>
      <c r="S42" s="238">
        <f t="shared" si="53"/>
        <v>-47.843253459821739</v>
      </c>
      <c r="T42" s="238">
        <f t="shared" si="53"/>
        <v>-54.361177059486941</v>
      </c>
      <c r="U42" s="238">
        <f t="shared" si="53"/>
        <v>-51.208427532966788</v>
      </c>
      <c r="V42" s="238">
        <f t="shared" si="53"/>
        <v>-58.258124493026209</v>
      </c>
      <c r="W42" s="238">
        <f t="shared" si="53"/>
        <v>-54.676836663757648</v>
      </c>
      <c r="X42" s="238">
        <f t="shared" si="53"/>
        <v>-63.079772827981365</v>
      </c>
      <c r="Y42" s="238">
        <f t="shared" si="53"/>
        <v>-59.040575146061514</v>
      </c>
      <c r="Z42" s="238">
        <f t="shared" si="53"/>
        <v>-67.985645362751939</v>
      </c>
      <c r="AA42" s="238">
        <f t="shared" si="53"/>
        <v>-63.460126916164647</v>
      </c>
      <c r="AB42" s="238">
        <f t="shared" si="53"/>
        <v>-73.269579837659279</v>
      </c>
      <c r="AC42" s="238">
        <f t="shared" si="53"/>
        <v>-68.206479195577188</v>
      </c>
      <c r="AD42" s="238">
        <f t="shared" si="53"/>
        <v>-78.961047311294038</v>
      </c>
      <c r="AE42" s="238">
        <f t="shared" si="53"/>
        <v>-73.303120498427106</v>
      </c>
      <c r="AF42" s="238">
        <f t="shared" si="53"/>
        <v>-85.091470191864616</v>
      </c>
      <c r="AG42" s="238">
        <f t="shared" si="53"/>
        <v>-78.774787017668103</v>
      </c>
      <c r="AH42" s="238">
        <f t="shared" si="53"/>
        <v>-91.694281828877266</v>
      </c>
      <c r="AI42" s="238">
        <f t="shared" si="53"/>
        <v>-84.647434673798998</v>
      </c>
      <c r="AJ42" s="2"/>
      <c r="AK42" s="2"/>
      <c r="AL42" s="2"/>
      <c r="AM42" s="2"/>
    </row>
    <row r="43" spans="1:39" x14ac:dyDescent="0.25">
      <c r="A43" s="20">
        <v>0</v>
      </c>
      <c r="B43" s="33" t="s">
        <v>76</v>
      </c>
      <c r="C43" s="27" t="s">
        <v>77</v>
      </c>
      <c r="D43" s="29"/>
      <c r="E43" s="29"/>
      <c r="F43" s="45"/>
      <c r="G43" s="225" t="e">
        <f t="shared" ref="G43:N43" si="54">G42/E42-1</f>
        <v>#DIV/0!</v>
      </c>
      <c r="H43" s="225" t="e">
        <f t="shared" si="54"/>
        <v>#DIV/0!</v>
      </c>
      <c r="I43" s="225">
        <f t="shared" si="54"/>
        <v>1.3372921615201894</v>
      </c>
      <c r="J43" s="225">
        <f t="shared" si="54"/>
        <v>-1.9952941176470587</v>
      </c>
      <c r="K43" s="225">
        <f t="shared" si="54"/>
        <v>-0.56808943089430897</v>
      </c>
      <c r="L43" s="225">
        <f t="shared" si="54"/>
        <v>-1.1820330969267157E-2</v>
      </c>
      <c r="M43" s="225">
        <f t="shared" si="54"/>
        <v>-0.11058823529411721</v>
      </c>
      <c r="N43" s="225">
        <f t="shared" si="54"/>
        <v>6.4593301435406758E-2</v>
      </c>
      <c r="O43" s="225">
        <f>O42/M42-1</f>
        <v>0.11375661375661372</v>
      </c>
      <c r="P43" s="225">
        <f t="shared" ref="P43:AI43" si="55">P42/N42-1</f>
        <v>3.7095935333222974E-2</v>
      </c>
      <c r="Q43" s="225">
        <f t="shared" si="55"/>
        <v>3.7462485747989716E-2</v>
      </c>
      <c r="R43" s="225">
        <f t="shared" si="55"/>
        <v>9.2322381306320311E-2</v>
      </c>
      <c r="S43" s="225">
        <f t="shared" si="55"/>
        <v>9.5383532125203674E-2</v>
      </c>
      <c r="T43" s="225">
        <f t="shared" si="55"/>
        <v>7.8348345522260665E-2</v>
      </c>
      <c r="U43" s="225">
        <f t="shared" si="55"/>
        <v>7.0337483966701475E-2</v>
      </c>
      <c r="V43" s="225">
        <f t="shared" si="55"/>
        <v>7.1686222490636498E-2</v>
      </c>
      <c r="W43" s="225">
        <f t="shared" si="55"/>
        <v>6.7731217260244447E-2</v>
      </c>
      <c r="X43" s="225">
        <f t="shared" si="55"/>
        <v>8.2763535162075685E-2</v>
      </c>
      <c r="Y43" s="225">
        <f t="shared" si="55"/>
        <v>7.9809636924301985E-2</v>
      </c>
      <c r="Z43" s="225">
        <f t="shared" si="55"/>
        <v>7.7772514307381746E-2</v>
      </c>
      <c r="AA43" s="225">
        <f t="shared" si="55"/>
        <v>7.4856177453717754E-2</v>
      </c>
      <c r="AB43" s="225">
        <f t="shared" si="55"/>
        <v>7.7721325534438668E-2</v>
      </c>
      <c r="AC43" s="225">
        <f t="shared" si="55"/>
        <v>7.4792669193410433E-2</v>
      </c>
      <c r="AD43" s="225">
        <f t="shared" si="55"/>
        <v>7.7678451087683786E-2</v>
      </c>
      <c r="AE43" s="225">
        <f t="shared" si="55"/>
        <v>7.4723711925309466E-2</v>
      </c>
      <c r="AF43" s="225">
        <f t="shared" si="55"/>
        <v>7.7638571033666226E-2</v>
      </c>
      <c r="AG43" s="225">
        <f t="shared" si="55"/>
        <v>7.4644387333529849E-2</v>
      </c>
      <c r="AH43" s="225">
        <f t="shared" si="55"/>
        <v>7.7596633624082534E-2</v>
      </c>
      <c r="AI43" s="225">
        <f t="shared" si="55"/>
        <v>7.4549838577332439E-2</v>
      </c>
      <c r="AJ43" s="2"/>
      <c r="AK43" s="2"/>
      <c r="AL43" s="2"/>
      <c r="AM43" s="2"/>
    </row>
    <row r="44" spans="1:39" x14ac:dyDescent="0.25">
      <c r="A44" s="20">
        <v>0</v>
      </c>
      <c r="B44" s="46" t="s">
        <v>116</v>
      </c>
      <c r="C44" s="43" t="s">
        <v>117</v>
      </c>
      <c r="D44" s="47"/>
      <c r="E44" s="47"/>
      <c r="F44" s="48"/>
      <c r="G44" s="237">
        <f t="shared" ref="G44:O44" si="56">-G42/G29</f>
        <v>0.36800699300699308</v>
      </c>
      <c r="H44" s="237" t="e">
        <f t="shared" si="56"/>
        <v>#DIV/0!</v>
      </c>
      <c r="I44" s="237">
        <f t="shared" si="56"/>
        <v>0.69004207573632537</v>
      </c>
      <c r="J44" s="237">
        <f t="shared" si="56"/>
        <v>0.55584756898817345</v>
      </c>
      <c r="K44" s="237">
        <f t="shared" si="56"/>
        <v>0.6240822320117474</v>
      </c>
      <c r="L44" s="237">
        <f t="shared" si="56"/>
        <v>0.63525835866261393</v>
      </c>
      <c r="M44" s="237">
        <f t="shared" si="56"/>
        <v>0.61764705882352955</v>
      </c>
      <c r="N44" s="237">
        <f t="shared" si="56"/>
        <v>0.64028776978417268</v>
      </c>
      <c r="O44" s="237">
        <f t="shared" si="56"/>
        <v>0.57435197817189632</v>
      </c>
      <c r="P44" s="256">
        <v>0.55000000000000004</v>
      </c>
      <c r="Q44" s="256">
        <v>0.50749999999999995</v>
      </c>
      <c r="R44" s="256">
        <f>P44-1.5%</f>
        <v>0.53500000000000003</v>
      </c>
      <c r="S44" s="256">
        <f t="shared" ref="S44:W44" si="57">Q44-1.5%</f>
        <v>0.49249999999999994</v>
      </c>
      <c r="T44" s="256">
        <f t="shared" si="57"/>
        <v>0.52</v>
      </c>
      <c r="U44" s="256">
        <f t="shared" si="57"/>
        <v>0.47749999999999992</v>
      </c>
      <c r="V44" s="256">
        <f t="shared" si="57"/>
        <v>0.505</v>
      </c>
      <c r="W44" s="256">
        <f t="shared" si="57"/>
        <v>0.46249999999999991</v>
      </c>
      <c r="X44" s="256">
        <f>V44-1%</f>
        <v>0.495</v>
      </c>
      <c r="Y44" s="256">
        <f t="shared" ref="Y44:AI44" si="58">W44-1%</f>
        <v>0.4524999999999999</v>
      </c>
      <c r="Z44" s="256">
        <f t="shared" si="58"/>
        <v>0.48499999999999999</v>
      </c>
      <c r="AA44" s="256">
        <f t="shared" si="58"/>
        <v>0.44249999999999989</v>
      </c>
      <c r="AB44" s="256">
        <f t="shared" si="58"/>
        <v>0.47499999999999998</v>
      </c>
      <c r="AC44" s="256">
        <f t="shared" si="58"/>
        <v>0.43249999999999988</v>
      </c>
      <c r="AD44" s="256">
        <f t="shared" si="58"/>
        <v>0.46499999999999997</v>
      </c>
      <c r="AE44" s="256">
        <f t="shared" si="58"/>
        <v>0.42249999999999988</v>
      </c>
      <c r="AF44" s="256">
        <f t="shared" si="58"/>
        <v>0.45499999999999996</v>
      </c>
      <c r="AG44" s="256">
        <f t="shared" si="58"/>
        <v>0.41249999999999987</v>
      </c>
      <c r="AH44" s="256">
        <f t="shared" si="58"/>
        <v>0.44499999999999995</v>
      </c>
      <c r="AI44" s="256">
        <f t="shared" si="58"/>
        <v>0.40249999999999986</v>
      </c>
      <c r="AJ44" s="22"/>
      <c r="AK44" s="22"/>
      <c r="AL44" s="22"/>
      <c r="AM44" s="22"/>
    </row>
    <row r="45" spans="1:39" x14ac:dyDescent="0.25">
      <c r="A45" s="307">
        <v>0</v>
      </c>
      <c r="B45" s="308"/>
      <c r="C45" s="43"/>
      <c r="D45" s="44"/>
      <c r="E45" s="44"/>
      <c r="F45" s="44"/>
      <c r="G45" s="44"/>
      <c r="H45" s="44"/>
      <c r="I45" s="44"/>
      <c r="J45" s="44"/>
      <c r="K45" s="44"/>
      <c r="L45" s="44"/>
      <c r="M45" s="44"/>
      <c r="O45" s="44"/>
      <c r="P45" s="48"/>
      <c r="Q45" s="48"/>
      <c r="R45" s="48"/>
      <c r="S45" s="48"/>
      <c r="T45" s="48"/>
      <c r="U45" s="48"/>
      <c r="V45" s="48"/>
      <c r="W45" s="48"/>
      <c r="X45" s="48"/>
      <c r="Y45" s="48"/>
      <c r="Z45" s="48"/>
      <c r="AA45" s="48"/>
      <c r="AB45" s="48"/>
      <c r="AC45" s="48"/>
      <c r="AD45" s="44"/>
      <c r="AE45" s="44"/>
      <c r="AF45" s="44"/>
      <c r="AG45" s="44"/>
      <c r="AH45" s="44"/>
      <c r="AI45" s="44"/>
      <c r="AJ45" s="2"/>
      <c r="AK45" s="2"/>
      <c r="AL45" s="2"/>
      <c r="AM45" s="2"/>
    </row>
    <row r="46" spans="1:39" x14ac:dyDescent="0.25">
      <c r="A46" s="20">
        <v>0</v>
      </c>
      <c r="B46" s="30" t="s">
        <v>118</v>
      </c>
      <c r="C46" s="27"/>
      <c r="D46" s="34"/>
      <c r="E46" s="34"/>
      <c r="F46" s="35"/>
      <c r="G46" s="35"/>
      <c r="H46" s="35"/>
      <c r="I46" s="35"/>
      <c r="J46" s="35"/>
      <c r="K46" s="35"/>
      <c r="L46" s="34" t="s">
        <v>98</v>
      </c>
      <c r="M46" s="35"/>
      <c r="N46" s="34" t="s">
        <v>98</v>
      </c>
      <c r="O46" s="35"/>
      <c r="P46" s="35"/>
      <c r="Q46" s="44"/>
      <c r="R46" s="35"/>
      <c r="S46" s="35"/>
      <c r="T46" s="35"/>
      <c r="U46" s="35"/>
      <c r="V46" s="35"/>
      <c r="W46" s="35"/>
      <c r="X46" s="35"/>
      <c r="Y46" s="35"/>
      <c r="Z46" s="35"/>
      <c r="AA46" s="35"/>
      <c r="AB46" s="35"/>
      <c r="AC46" s="35"/>
      <c r="AD46" s="35"/>
      <c r="AE46" s="35"/>
      <c r="AF46" s="35"/>
      <c r="AG46" s="35"/>
      <c r="AH46" s="35"/>
      <c r="AI46" s="35"/>
      <c r="AJ46" s="2"/>
      <c r="AK46" s="2"/>
      <c r="AL46" s="2"/>
      <c r="AM46" s="2"/>
    </row>
    <row r="47" spans="1:39" x14ac:dyDescent="0.25">
      <c r="A47" s="20" t="s">
        <v>119</v>
      </c>
      <c r="B47" s="33" t="s">
        <v>97</v>
      </c>
      <c r="C47" s="27" t="s">
        <v>67</v>
      </c>
      <c r="D47" s="34" t="s">
        <v>94</v>
      </c>
      <c r="E47" s="34"/>
      <c r="F47" s="34"/>
      <c r="G47" s="35"/>
      <c r="H47" s="34" t="s">
        <v>98</v>
      </c>
      <c r="I47" s="35"/>
      <c r="J47" s="34" t="s">
        <v>98</v>
      </c>
      <c r="K47" s="35"/>
      <c r="L47" s="49">
        <f>L79+2.5-1.1</f>
        <v>28.099999999999998</v>
      </c>
      <c r="M47" s="35">
        <f>INDEX(Annual!$A:$Y,MATCH(Segments!$A47,Annual!$A:$A,0),MATCH(Segments!M$1,Annual!$A$1:$Y$1,0))-L47</f>
        <v>33.5</v>
      </c>
      <c r="N47" s="49">
        <f>N79+3.5-1.2</f>
        <v>31.2</v>
      </c>
      <c r="O47" s="35">
        <f>INDEX(Annual!$A:$Y,MATCH(Segments!$A47,Annual!$A:$A,0),MATCH(Segments!O$1,Annual!$A$1:$Y$1,0))-N47</f>
        <v>36.700000000000003</v>
      </c>
      <c r="P47" s="35"/>
      <c r="Q47" s="44"/>
      <c r="R47" s="35"/>
      <c r="S47" s="35"/>
      <c r="T47" s="35"/>
      <c r="U47" s="35"/>
      <c r="V47" s="35"/>
      <c r="W47" s="35"/>
      <c r="X47" s="35"/>
      <c r="Y47" s="35"/>
      <c r="Z47" s="35"/>
      <c r="AA47" s="35"/>
      <c r="AB47" s="35"/>
      <c r="AC47" s="35"/>
      <c r="AD47" s="35"/>
      <c r="AE47" s="35"/>
      <c r="AF47" s="35"/>
      <c r="AG47" s="35"/>
      <c r="AH47" s="35"/>
      <c r="AI47" s="35"/>
      <c r="AJ47" s="2"/>
      <c r="AK47" s="2"/>
      <c r="AL47" s="2"/>
      <c r="AM47" s="2"/>
    </row>
    <row r="48" spans="1:39" x14ac:dyDescent="0.25">
      <c r="A48" s="20" t="s">
        <v>120</v>
      </c>
      <c r="B48" s="33" t="s">
        <v>100</v>
      </c>
      <c r="C48" s="27" t="s">
        <v>67</v>
      </c>
      <c r="D48" s="34"/>
      <c r="E48" s="34"/>
      <c r="F48" s="34"/>
      <c r="G48" s="35"/>
      <c r="H48" s="34"/>
      <c r="I48" s="35"/>
      <c r="J48" s="34"/>
      <c r="K48" s="35"/>
      <c r="L48" s="49">
        <f>L80-3</f>
        <v>5.6</v>
      </c>
      <c r="M48" s="35">
        <f>INDEX(Annual!$A:$Y,MATCH(Segments!$A48,Annual!$A:$A,0),MATCH(Segments!M$1,Annual!$A$1:$Y$1,0))-L48</f>
        <v>4.9000000000000004</v>
      </c>
      <c r="N48" s="49">
        <f>N80-2.7</f>
        <v>5.7</v>
      </c>
      <c r="O48" s="35">
        <f>INDEX(Annual!$A:$Y,MATCH(Segments!$A48,Annual!$A:$A,0),MATCH(Segments!O$1,Annual!$A$1:$Y$1,0))-N48</f>
        <v>10.400000000000002</v>
      </c>
      <c r="P48" s="35"/>
      <c r="Q48" s="35"/>
      <c r="R48" s="35"/>
      <c r="S48" s="35"/>
      <c r="T48" s="35"/>
      <c r="U48" s="35"/>
      <c r="V48" s="35"/>
      <c r="W48" s="35"/>
      <c r="X48" s="35"/>
      <c r="Y48" s="35"/>
      <c r="Z48" s="35"/>
      <c r="AA48" s="35"/>
      <c r="AB48" s="35"/>
      <c r="AC48" s="35"/>
      <c r="AD48" s="35"/>
      <c r="AE48" s="35"/>
      <c r="AF48" s="35"/>
      <c r="AG48" s="35"/>
      <c r="AH48" s="35"/>
      <c r="AI48" s="35"/>
      <c r="AJ48" s="2"/>
      <c r="AK48" s="2"/>
      <c r="AL48" s="2"/>
      <c r="AM48" s="2"/>
    </row>
    <row r="49" spans="1:39" x14ac:dyDescent="0.25">
      <c r="A49" s="20" t="s">
        <v>121</v>
      </c>
      <c r="B49" s="33" t="s">
        <v>102</v>
      </c>
      <c r="C49" s="27" t="s">
        <v>67</v>
      </c>
      <c r="D49" s="34"/>
      <c r="E49" s="34"/>
      <c r="F49" s="34"/>
      <c r="G49" s="35"/>
      <c r="H49" s="34"/>
      <c r="I49" s="35"/>
      <c r="J49" s="34"/>
      <c r="K49" s="35"/>
      <c r="L49" s="49">
        <f>L81-L75+1.1</f>
        <v>-9.6999999999999993</v>
      </c>
      <c r="M49" s="35">
        <f>INDEX(Annual!$A:$Y,MATCH(Segments!$A49,Annual!$A:$A,0),MATCH(Segments!M$1,Annual!$A$1:$Y$1,0))-L49</f>
        <v>-15</v>
      </c>
      <c r="N49" s="49">
        <f>N81-N75+1.1</f>
        <v>-11.9</v>
      </c>
      <c r="O49" s="35">
        <f>INDEX(Annual!$A:$Y,MATCH(Segments!$A49,Annual!$A:$A,0),MATCH(Segments!O$1,Annual!$A$1:$Y$1,0))-N49</f>
        <v>-15.9</v>
      </c>
      <c r="P49" s="227"/>
      <c r="Q49" s="227"/>
      <c r="R49" s="35"/>
      <c r="S49" s="35"/>
      <c r="T49" s="35"/>
      <c r="U49" s="35"/>
      <c r="V49" s="35"/>
      <c r="W49" s="35"/>
      <c r="X49" s="35"/>
      <c r="Y49" s="35"/>
      <c r="Z49" s="35"/>
      <c r="AA49" s="35"/>
      <c r="AB49" s="35"/>
      <c r="AC49" s="35"/>
      <c r="AD49" s="35"/>
      <c r="AE49" s="35"/>
      <c r="AF49" s="35"/>
      <c r="AG49" s="35"/>
      <c r="AH49" s="35"/>
      <c r="AI49" s="35"/>
      <c r="AJ49" s="2"/>
      <c r="AK49" s="2"/>
      <c r="AL49" s="2"/>
      <c r="AM49" s="2"/>
    </row>
    <row r="50" spans="1:39" x14ac:dyDescent="0.25">
      <c r="A50" s="20" t="s">
        <v>122</v>
      </c>
      <c r="B50" s="33" t="s">
        <v>104</v>
      </c>
      <c r="C50" s="27"/>
      <c r="D50" s="34"/>
      <c r="E50" s="34"/>
      <c r="F50" s="34"/>
      <c r="G50" s="35"/>
      <c r="H50" s="34"/>
      <c r="I50" s="35"/>
      <c r="J50" s="34"/>
      <c r="K50" s="35"/>
      <c r="L50" s="49"/>
      <c r="M50" s="35"/>
      <c r="N50" s="49"/>
      <c r="O50" s="35"/>
      <c r="P50" s="295">
        <f t="shared" ref="P50:AI50" si="59">N50*1.07+(N32*N34+O32*O34)/2</f>
        <v>0.42499999999999999</v>
      </c>
      <c r="Q50" s="295">
        <f t="shared" si="59"/>
        <v>0.85</v>
      </c>
      <c r="R50" s="295">
        <f t="shared" si="59"/>
        <v>1.3685</v>
      </c>
      <c r="S50" s="295">
        <f t="shared" si="59"/>
        <v>2.33325</v>
      </c>
      <c r="T50" s="295">
        <f t="shared" si="59"/>
        <v>3.474545</v>
      </c>
      <c r="U50" s="295">
        <f t="shared" si="59"/>
        <v>4.6323045</v>
      </c>
      <c r="V50" s="295">
        <f t="shared" si="59"/>
        <v>5.997788700000001</v>
      </c>
      <c r="W50" s="295">
        <f t="shared" si="59"/>
        <v>7.378907378400001</v>
      </c>
      <c r="X50" s="295">
        <f t="shared" si="59"/>
        <v>9.003638887810002</v>
      </c>
      <c r="Y50" s="295">
        <f t="shared" si="59"/>
        <v>10.642850696096282</v>
      </c>
      <c r="Z50" s="295">
        <f t="shared" si="59"/>
        <v>12.566940456923005</v>
      </c>
      <c r="AA50" s="295">
        <f t="shared" si="59"/>
        <v>14.503973783353455</v>
      </c>
      <c r="AB50" s="295">
        <f t="shared" si="59"/>
        <v>16.773288022736796</v>
      </c>
      <c r="AC50" s="295">
        <f t="shared" si="59"/>
        <v>19.053559265589413</v>
      </c>
      <c r="AD50" s="295">
        <f t="shared" si="59"/>
        <v>21.720517922837431</v>
      </c>
      <c r="AE50" s="295">
        <f t="shared" si="59"/>
        <v>24.395919773577134</v>
      </c>
      <c r="AF50" s="295">
        <f t="shared" si="59"/>
        <v>27.520403900853026</v>
      </c>
      <c r="AG50" s="295">
        <f t="shared" si="59"/>
        <v>30.650201161555</v>
      </c>
      <c r="AH50" s="295">
        <f t="shared" si="59"/>
        <v>34.300584050212272</v>
      </c>
      <c r="AI50" s="295">
        <f t="shared" si="59"/>
        <v>37.952431538604962</v>
      </c>
      <c r="AJ50" s="2"/>
      <c r="AK50" s="2"/>
      <c r="AL50" s="2"/>
      <c r="AM50" s="2"/>
    </row>
    <row r="51" spans="1:39" x14ac:dyDescent="0.25">
      <c r="A51" s="20" t="s">
        <v>123</v>
      </c>
      <c r="B51" s="36" t="s">
        <v>124</v>
      </c>
      <c r="C51" s="37" t="s">
        <v>67</v>
      </c>
      <c r="D51" s="38" t="s">
        <v>94</v>
      </c>
      <c r="E51" s="38"/>
      <c r="F51" s="50"/>
      <c r="G51" s="39">
        <f>INDEX(Annual!$A:$Y,MATCH(Segments!$A51,Annual!$A:$A,0),MATCH(Segments!G$1,Annual!$A$1:$Y$1,0))-F51</f>
        <v>72.3</v>
      </c>
      <c r="H51" s="50">
        <f t="shared" ref="H51" si="60">H68-H64</f>
        <v>42.5</v>
      </c>
      <c r="I51" s="39">
        <f>INDEX(Annual!$A:$Y,MATCH(Segments!$A51,Annual!$A:$A,0),MATCH(Segments!I$1,Annual!$A$1:$Y$1,0))-H51</f>
        <v>44.2</v>
      </c>
      <c r="J51" s="50">
        <f t="shared" ref="J51" si="61">J68-J64</f>
        <v>33.799999999999997</v>
      </c>
      <c r="K51" s="39">
        <f>INDEX(Annual!$A:$Y,MATCH(Segments!$A51,Annual!$A:$A,0),MATCH(Segments!K$1,Annual!$A$1:$Y$1,0))-J51</f>
        <v>25.6</v>
      </c>
      <c r="L51" s="50">
        <f>L68-L64</f>
        <v>24.000000000000004</v>
      </c>
      <c r="M51" s="39">
        <f>INDEX(Annual!$A:$Y,MATCH(Segments!$A51,Annual!$A:$A,0),MATCH(Segments!M$1,Annual!$A$1:$Y$1,0))-L51</f>
        <v>23.399999999999988</v>
      </c>
      <c r="N51" s="50">
        <f>N68-N64</f>
        <v>25</v>
      </c>
      <c r="O51" s="39">
        <f>INDEX(Annual!$A:$Y,MATCH(Segments!$A51,Annual!$A:$A,0),MATCH(Segments!O$1,Annual!$A$1:$Y$1,0))-N51</f>
        <v>31.200000000000003</v>
      </c>
      <c r="P51" s="235">
        <f t="shared" ref="P51:AI51" si="62">P29+P42</f>
        <v>37.759720190995971</v>
      </c>
      <c r="Q51" s="235">
        <f t="shared" si="62"/>
        <v>42.386219793340423</v>
      </c>
      <c r="R51" s="235">
        <f t="shared" si="62"/>
        <v>43.815618471908948</v>
      </c>
      <c r="S51" s="235">
        <f t="shared" si="62"/>
        <v>49.300408387532059</v>
      </c>
      <c r="T51" s="235">
        <f t="shared" si="62"/>
        <v>50.179548054911017</v>
      </c>
      <c r="U51" s="235">
        <f t="shared" si="62"/>
        <v>56.034352640785663</v>
      </c>
      <c r="V51" s="235">
        <f t="shared" si="62"/>
        <v>57.104498265441528</v>
      </c>
      <c r="W51" s="235">
        <f t="shared" si="62"/>
        <v>63.543350717339997</v>
      </c>
      <c r="X51" s="235">
        <f t="shared" si="62"/>
        <v>64.354111672991081</v>
      </c>
      <c r="Y51" s="235">
        <f t="shared" si="62"/>
        <v>71.435834016505396</v>
      </c>
      <c r="Z51" s="235">
        <f t="shared" si="62"/>
        <v>72.190943014056188</v>
      </c>
      <c r="AA51" s="235">
        <f t="shared" si="62"/>
        <v>79.952589278557753</v>
      </c>
      <c r="AB51" s="235">
        <f t="shared" si="62"/>
        <v>80.982167188991838</v>
      </c>
      <c r="AC51" s="235">
        <f t="shared" si="62"/>
        <v>89.496362875121562</v>
      </c>
      <c r="AD51" s="235">
        <f t="shared" si="62"/>
        <v>90.847656583961964</v>
      </c>
      <c r="AE51" s="235">
        <f t="shared" si="62"/>
        <v>100.19538955702173</v>
      </c>
      <c r="AF51" s="235">
        <f t="shared" si="62"/>
        <v>101.92275001003567</v>
      </c>
      <c r="AG51" s="235">
        <f t="shared" si="62"/>
        <v>112.19439363122433</v>
      </c>
      <c r="AH51" s="235">
        <f t="shared" si="62"/>
        <v>114.36028407871213</v>
      </c>
      <c r="AI51" s="235">
        <f t="shared" si="62"/>
        <v>125.65675085116753</v>
      </c>
      <c r="AJ51" s="2"/>
      <c r="AK51" s="2"/>
      <c r="AL51" s="2"/>
      <c r="AM51" s="2"/>
    </row>
    <row r="52" spans="1:39" x14ac:dyDescent="0.25">
      <c r="A52" s="20">
        <v>0</v>
      </c>
      <c r="B52" s="33" t="s">
        <v>76</v>
      </c>
      <c r="C52" s="27" t="s">
        <v>77</v>
      </c>
      <c r="D52" s="28"/>
      <c r="E52" s="29"/>
      <c r="F52" s="29"/>
      <c r="G52" s="225" t="e">
        <f t="shared" ref="G52:K52" si="63">G51/E51-1</f>
        <v>#DIV/0!</v>
      </c>
      <c r="H52" s="225" t="e">
        <f t="shared" si="63"/>
        <v>#DIV/0!</v>
      </c>
      <c r="I52" s="225">
        <f t="shared" si="63"/>
        <v>-0.3886583679114799</v>
      </c>
      <c r="J52" s="225">
        <f t="shared" si="63"/>
        <v>-0.20470588235294129</v>
      </c>
      <c r="K52" s="225">
        <f t="shared" si="63"/>
        <v>-0.42081447963800911</v>
      </c>
      <c r="L52" s="225">
        <f>L51/J51-1</f>
        <v>-0.28994082840236668</v>
      </c>
      <c r="M52" s="225">
        <f>M51/K51-1</f>
        <v>-8.5937500000000555E-2</v>
      </c>
      <c r="N52" s="225">
        <f>N51/L51-1</f>
        <v>4.1666666666666519E-2</v>
      </c>
      <c r="O52" s="225">
        <f>O51/M51-1</f>
        <v>0.33333333333333415</v>
      </c>
      <c r="P52" s="225">
        <f t="shared" ref="P52:AI52" si="64">P51/N51-1</f>
        <v>0.51038880763983885</v>
      </c>
      <c r="Q52" s="225">
        <f t="shared" si="64"/>
        <v>0.35853268568398788</v>
      </c>
      <c r="R52" s="225">
        <f t="shared" si="64"/>
        <v>0.16037985054658965</v>
      </c>
      <c r="S52" s="225">
        <f t="shared" si="64"/>
        <v>0.16312350164517309</v>
      </c>
      <c r="T52" s="225">
        <f t="shared" si="64"/>
        <v>0.14524340417748771</v>
      </c>
      <c r="U52" s="225">
        <f t="shared" si="64"/>
        <v>0.1365900298496634</v>
      </c>
      <c r="V52" s="225">
        <f t="shared" si="64"/>
        <v>0.13800343922891867</v>
      </c>
      <c r="W52" s="225">
        <f t="shared" si="64"/>
        <v>0.13400704608281266</v>
      </c>
      <c r="X52" s="225">
        <f t="shared" si="64"/>
        <v>0.12695345599309582</v>
      </c>
      <c r="Y52" s="225">
        <f t="shared" si="64"/>
        <v>0.12420628138219447</v>
      </c>
      <c r="Z52" s="225">
        <f t="shared" si="64"/>
        <v>0.12177669984611361</v>
      </c>
      <c r="AA52" s="225">
        <f t="shared" si="64"/>
        <v>0.11922245157919686</v>
      </c>
      <c r="AB52" s="225">
        <f t="shared" si="64"/>
        <v>0.12177738380871306</v>
      </c>
      <c r="AC52" s="225">
        <f t="shared" si="64"/>
        <v>0.11936791144202918</v>
      </c>
      <c r="AD52" s="225">
        <f t="shared" si="64"/>
        <v>0.12182298569445016</v>
      </c>
      <c r="AE52" s="225">
        <f t="shared" si="64"/>
        <v>0.11954705574827673</v>
      </c>
      <c r="AF52" s="225">
        <f t="shared" si="64"/>
        <v>0.12190841065710956</v>
      </c>
      <c r="AG52" s="225">
        <f t="shared" si="64"/>
        <v>0.11975604992656774</v>
      </c>
      <c r="AH52" s="225">
        <f t="shared" si="64"/>
        <v>0.12202902754735145</v>
      </c>
      <c r="AI52" s="225">
        <f t="shared" si="64"/>
        <v>0.11999135415084194</v>
      </c>
      <c r="AJ52" s="2"/>
      <c r="AK52" s="2"/>
      <c r="AL52" s="2"/>
      <c r="AM52" s="2"/>
    </row>
    <row r="53" spans="1:39" x14ac:dyDescent="0.25">
      <c r="A53" s="20">
        <v>0</v>
      </c>
      <c r="B53" s="33" t="s">
        <v>125</v>
      </c>
      <c r="C53" s="27" t="s">
        <v>117</v>
      </c>
      <c r="D53" s="32"/>
      <c r="E53" s="29"/>
      <c r="F53" s="40"/>
      <c r="G53" s="226">
        <f t="shared" ref="G53:K53" si="65">G51/G$10</f>
        <v>9.6787148594377509E-2</v>
      </c>
      <c r="H53" s="226">
        <f t="shared" si="65"/>
        <v>9.0483287204598681E-2</v>
      </c>
      <c r="I53" s="226">
        <f t="shared" si="65"/>
        <v>9.6254355400696878E-2</v>
      </c>
      <c r="J53" s="226">
        <f t="shared" si="65"/>
        <v>6.4356435643564358E-2</v>
      </c>
      <c r="K53" s="226">
        <f t="shared" si="65"/>
        <v>5.3601340033500838E-2</v>
      </c>
      <c r="L53" s="226">
        <f>L51/L$10</f>
        <v>4.2674253200569001E-2</v>
      </c>
      <c r="M53" s="226">
        <f>M51/M$10</f>
        <v>4.5401629802095417E-2</v>
      </c>
      <c r="N53" s="226">
        <f>N51/N$10</f>
        <v>3.9961636828644509E-2</v>
      </c>
      <c r="O53" s="226">
        <f>O51/O$10</f>
        <v>5.1155927201180521E-2</v>
      </c>
      <c r="P53" s="226">
        <f t="shared" ref="P53:AI53" si="66">P51/P$10</f>
        <v>4.9632587127742378E-2</v>
      </c>
      <c r="Q53" s="226">
        <f t="shared" si="66"/>
        <v>5.9367252912811343E-2</v>
      </c>
      <c r="R53" s="226">
        <f t="shared" si="66"/>
        <v>5.1241671659108298E-2</v>
      </c>
      <c r="S53" s="226">
        <f t="shared" si="66"/>
        <v>6.0962716497152465E-2</v>
      </c>
      <c r="T53" s="226">
        <f t="shared" si="66"/>
        <v>5.2994372505292091E-2</v>
      </c>
      <c r="U53" s="226">
        <f t="shared" si="66"/>
        <v>6.2681161842006825E-2</v>
      </c>
      <c r="V53" s="226">
        <f t="shared" si="66"/>
        <v>5.4547691722198269E-2</v>
      </c>
      <c r="W53" s="226">
        <f t="shared" si="66"/>
        <v>6.439085483292839E-2</v>
      </c>
      <c r="X53" s="226">
        <f t="shared" si="66"/>
        <v>5.5542294908338979E-2</v>
      </c>
      <c r="Y53" s="226">
        <f t="shared" si="66"/>
        <v>6.549577210775992E-2</v>
      </c>
      <c r="Z53" s="226">
        <f t="shared" si="66"/>
        <v>5.6541773372774981E-2</v>
      </c>
      <c r="AA53" s="226">
        <f t="shared" si="66"/>
        <v>6.660552464708519E-2</v>
      </c>
      <c r="AB53" s="226">
        <f t="shared" si="66"/>
        <v>5.7535911932352628E-2</v>
      </c>
      <c r="AC53" s="226">
        <f t="shared" si="66"/>
        <v>6.7711124796496408E-2</v>
      </c>
      <c r="AD53" s="226">
        <f t="shared" si="66"/>
        <v>5.8524916790719292E-2</v>
      </c>
      <c r="AE53" s="226">
        <f t="shared" si="66"/>
        <v>6.8812720552225412E-2</v>
      </c>
      <c r="AF53" s="226">
        <f t="shared" si="66"/>
        <v>5.9508982310967559E-2</v>
      </c>
      <c r="AG53" s="226">
        <f t="shared" si="66"/>
        <v>6.9910452366418463E-2</v>
      </c>
      <c r="AH53" s="226">
        <f t="shared" si="66"/>
        <v>6.0488293015903881E-2</v>
      </c>
      <c r="AI53" s="226">
        <f t="shared" si="66"/>
        <v>7.1004454516785775E-2</v>
      </c>
      <c r="AJ53" s="2"/>
      <c r="AK53" s="2"/>
      <c r="AL53" s="2"/>
      <c r="AM53" s="2"/>
    </row>
    <row r="54" spans="1:39" x14ac:dyDescent="0.25">
      <c r="A54" s="307">
        <v>0</v>
      </c>
      <c r="B54" s="308"/>
      <c r="C54" s="27"/>
      <c r="D54" s="32"/>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
      <c r="AK54" s="2"/>
      <c r="AL54" s="2"/>
      <c r="AM54" s="2"/>
    </row>
    <row r="55" spans="1:39" x14ac:dyDescent="0.25">
      <c r="A55" s="20" t="s">
        <v>126</v>
      </c>
      <c r="B55" s="33" t="s">
        <v>126</v>
      </c>
      <c r="C55" s="27"/>
      <c r="D55" s="32"/>
      <c r="E55" s="29"/>
      <c r="F55" s="34"/>
      <c r="G55" s="35"/>
      <c r="H55" s="34"/>
      <c r="I55" s="35"/>
      <c r="J55" s="34"/>
      <c r="K55" s="35"/>
      <c r="L55" s="34"/>
      <c r="M55" s="35"/>
      <c r="N55" s="34"/>
      <c r="O55" s="35"/>
      <c r="P55" s="35"/>
      <c r="Q55" s="35"/>
      <c r="R55" s="35"/>
      <c r="S55" s="35"/>
      <c r="T55" s="35"/>
      <c r="U55" s="35"/>
      <c r="V55" s="35"/>
      <c r="W55" s="35"/>
      <c r="X55" s="35"/>
      <c r="Y55" s="35"/>
      <c r="Z55" s="35"/>
      <c r="AA55" s="35"/>
      <c r="AB55" s="35"/>
      <c r="AC55" s="35"/>
      <c r="AD55" s="35"/>
      <c r="AE55" s="35"/>
      <c r="AF55" s="35"/>
      <c r="AG55" s="35"/>
      <c r="AH55" s="35"/>
      <c r="AI55" s="35"/>
      <c r="AJ55" s="2"/>
      <c r="AK55" s="2"/>
      <c r="AL55" s="2"/>
      <c r="AM55" s="2"/>
    </row>
    <row r="56" spans="1:39" x14ac:dyDescent="0.25">
      <c r="A56" s="20" t="s">
        <v>127</v>
      </c>
      <c r="B56" s="36" t="s">
        <v>118</v>
      </c>
      <c r="C56" s="37" t="s">
        <v>67</v>
      </c>
      <c r="D56" s="38" t="s">
        <v>94</v>
      </c>
      <c r="E56" s="38"/>
      <c r="F56" s="39"/>
      <c r="G56" s="39"/>
      <c r="H56" s="39">
        <f t="shared" ref="H56" si="67">H51</f>
        <v>42.5</v>
      </c>
      <c r="I56" s="39">
        <f>INDEX(Annual!$A:$Y,MATCH(Segments!$A56,Annual!$A:$A,0),MATCH(Segments!I$1,Annual!$A$1:$Y$1,0))-H56</f>
        <v>44.2</v>
      </c>
      <c r="J56" s="39">
        <f t="shared" ref="J56" si="68">J51</f>
        <v>33.799999999999997</v>
      </c>
      <c r="K56" s="39">
        <f>INDEX(Annual!$A:$Y,MATCH(Segments!$A56,Annual!$A:$A,0),MATCH(Segments!K$1,Annual!$A$1:$Y$1,0))-J56</f>
        <v>25.6</v>
      </c>
      <c r="L56" s="39">
        <f t="shared" ref="L56" si="69">L51</f>
        <v>24.000000000000004</v>
      </c>
      <c r="M56" s="39">
        <f>INDEX(Annual!$A:$Y,MATCH(Segments!$A56,Annual!$A:$A,0),MATCH(Segments!M$1,Annual!$A$1:$Y$1,0))-L56</f>
        <v>23.399999999999988</v>
      </c>
      <c r="N56" s="238">
        <f>N51+N55</f>
        <v>25</v>
      </c>
      <c r="O56" s="39">
        <f>INDEX(Annual!$A:$Y,MATCH(Segments!$A56,Annual!$A:$A,0),MATCH(Segments!O$1,Annual!$A$1:$Y$1,0))-N56</f>
        <v>31.200000000000003</v>
      </c>
      <c r="P56" s="238">
        <f t="shared" ref="P56:AI56" si="70">P51+P55</f>
        <v>37.759720190995971</v>
      </c>
      <c r="Q56" s="238">
        <f t="shared" si="70"/>
        <v>42.386219793340423</v>
      </c>
      <c r="R56" s="238">
        <f t="shared" si="70"/>
        <v>43.815618471908948</v>
      </c>
      <c r="S56" s="238">
        <f t="shared" si="70"/>
        <v>49.300408387532059</v>
      </c>
      <c r="T56" s="238">
        <f t="shared" si="70"/>
        <v>50.179548054911017</v>
      </c>
      <c r="U56" s="238">
        <f t="shared" si="70"/>
        <v>56.034352640785663</v>
      </c>
      <c r="V56" s="238">
        <f t="shared" si="70"/>
        <v>57.104498265441528</v>
      </c>
      <c r="W56" s="238">
        <f t="shared" si="70"/>
        <v>63.543350717339997</v>
      </c>
      <c r="X56" s="238">
        <f t="shared" si="70"/>
        <v>64.354111672991081</v>
      </c>
      <c r="Y56" s="238">
        <f t="shared" si="70"/>
        <v>71.435834016505396</v>
      </c>
      <c r="Z56" s="238">
        <f t="shared" si="70"/>
        <v>72.190943014056188</v>
      </c>
      <c r="AA56" s="238">
        <f t="shared" si="70"/>
        <v>79.952589278557753</v>
      </c>
      <c r="AB56" s="238">
        <f t="shared" si="70"/>
        <v>80.982167188991838</v>
      </c>
      <c r="AC56" s="238">
        <f t="shared" si="70"/>
        <v>89.496362875121562</v>
      </c>
      <c r="AD56" s="238">
        <f t="shared" si="70"/>
        <v>90.847656583961964</v>
      </c>
      <c r="AE56" s="238">
        <f t="shared" si="70"/>
        <v>100.19538955702173</v>
      </c>
      <c r="AF56" s="238">
        <f t="shared" si="70"/>
        <v>101.92275001003567</v>
      </c>
      <c r="AG56" s="238">
        <f t="shared" si="70"/>
        <v>112.19439363122433</v>
      </c>
      <c r="AH56" s="238">
        <f t="shared" si="70"/>
        <v>114.36028407871213</v>
      </c>
      <c r="AI56" s="238">
        <f t="shared" si="70"/>
        <v>125.65675085116753</v>
      </c>
      <c r="AJ56" s="2"/>
      <c r="AK56" s="2"/>
      <c r="AL56" s="2"/>
      <c r="AM56" s="2"/>
    </row>
    <row r="57" spans="1:39" x14ac:dyDescent="0.25">
      <c r="A57" s="20">
        <v>0</v>
      </c>
      <c r="B57" s="33" t="s">
        <v>76</v>
      </c>
      <c r="C57" s="27" t="s">
        <v>77</v>
      </c>
      <c r="D57" s="28"/>
      <c r="E57" s="29"/>
      <c r="F57" s="145"/>
      <c r="G57" s="145"/>
      <c r="H57" s="145" t="e">
        <f t="shared" ref="H57:M57" si="71">H56/F56-1</f>
        <v>#DIV/0!</v>
      </c>
      <c r="I57" s="145" t="e">
        <f t="shared" si="71"/>
        <v>#DIV/0!</v>
      </c>
      <c r="J57" s="145">
        <f t="shared" si="71"/>
        <v>-0.20470588235294129</v>
      </c>
      <c r="K57" s="145">
        <f t="shared" si="71"/>
        <v>-0.42081447963800911</v>
      </c>
      <c r="L57" s="145">
        <f t="shared" si="71"/>
        <v>-0.28994082840236668</v>
      </c>
      <c r="M57" s="145">
        <f t="shared" si="71"/>
        <v>-8.5937500000000555E-2</v>
      </c>
      <c r="N57" s="225">
        <f>N56/L56-1</f>
        <v>4.1666666666666519E-2</v>
      </c>
      <c r="O57" s="225">
        <f t="shared" ref="O57:AI57" si="72">O56/M56-1</f>
        <v>0.33333333333333415</v>
      </c>
      <c r="P57" s="225">
        <f t="shared" si="72"/>
        <v>0.51038880763983885</v>
      </c>
      <c r="Q57" s="225">
        <f t="shared" si="72"/>
        <v>0.35853268568398788</v>
      </c>
      <c r="R57" s="225">
        <f t="shared" si="72"/>
        <v>0.16037985054658965</v>
      </c>
      <c r="S57" s="225">
        <f t="shared" si="72"/>
        <v>0.16312350164517309</v>
      </c>
      <c r="T57" s="225">
        <f t="shared" si="72"/>
        <v>0.14524340417748771</v>
      </c>
      <c r="U57" s="225">
        <f t="shared" si="72"/>
        <v>0.1365900298496634</v>
      </c>
      <c r="V57" s="225">
        <f t="shared" si="72"/>
        <v>0.13800343922891867</v>
      </c>
      <c r="W57" s="225">
        <f t="shared" si="72"/>
        <v>0.13400704608281266</v>
      </c>
      <c r="X57" s="225">
        <f t="shared" si="72"/>
        <v>0.12695345599309582</v>
      </c>
      <c r="Y57" s="225">
        <f t="shared" si="72"/>
        <v>0.12420628138219447</v>
      </c>
      <c r="Z57" s="225">
        <f t="shared" si="72"/>
        <v>0.12177669984611361</v>
      </c>
      <c r="AA57" s="225">
        <f t="shared" si="72"/>
        <v>0.11922245157919686</v>
      </c>
      <c r="AB57" s="225">
        <f t="shared" si="72"/>
        <v>0.12177738380871306</v>
      </c>
      <c r="AC57" s="225">
        <f t="shared" si="72"/>
        <v>0.11936791144202918</v>
      </c>
      <c r="AD57" s="225">
        <f t="shared" si="72"/>
        <v>0.12182298569445016</v>
      </c>
      <c r="AE57" s="225">
        <f t="shared" si="72"/>
        <v>0.11954705574827673</v>
      </c>
      <c r="AF57" s="225">
        <f t="shared" si="72"/>
        <v>0.12190841065710956</v>
      </c>
      <c r="AG57" s="225">
        <f t="shared" si="72"/>
        <v>0.11975604992656774</v>
      </c>
      <c r="AH57" s="225">
        <f t="shared" si="72"/>
        <v>0.12202902754735145</v>
      </c>
      <c r="AI57" s="225">
        <f t="shared" si="72"/>
        <v>0.11999135415084194</v>
      </c>
      <c r="AJ57" s="2"/>
      <c r="AK57" s="2"/>
      <c r="AL57" s="2"/>
      <c r="AM57" s="2"/>
    </row>
    <row r="58" spans="1:39" x14ac:dyDescent="0.25">
      <c r="A58" s="20">
        <v>0</v>
      </c>
      <c r="B58" s="33" t="s">
        <v>125</v>
      </c>
      <c r="C58" s="27" t="s">
        <v>117</v>
      </c>
      <c r="D58" s="32"/>
      <c r="E58" s="29"/>
      <c r="F58" s="40"/>
      <c r="G58" s="40"/>
      <c r="H58" s="40">
        <f t="shared" ref="H58:M58" si="73">H56/H$10</f>
        <v>9.0483287204598681E-2</v>
      </c>
      <c r="I58" s="40">
        <f t="shared" si="73"/>
        <v>9.6254355400696878E-2</v>
      </c>
      <c r="J58" s="40">
        <f t="shared" si="73"/>
        <v>6.4356435643564358E-2</v>
      </c>
      <c r="K58" s="40">
        <f t="shared" si="73"/>
        <v>5.3601340033500838E-2</v>
      </c>
      <c r="L58" s="40">
        <f t="shared" si="73"/>
        <v>4.2674253200569001E-2</v>
      </c>
      <c r="M58" s="40">
        <f t="shared" si="73"/>
        <v>4.5401629802095417E-2</v>
      </c>
      <c r="N58" s="226">
        <f>N56/N$10</f>
        <v>3.9961636828644509E-2</v>
      </c>
      <c r="O58" s="226">
        <f t="shared" ref="O58:AI58" si="74">O56/O$10</f>
        <v>5.1155927201180521E-2</v>
      </c>
      <c r="P58" s="226">
        <f t="shared" si="74"/>
        <v>4.9632587127742378E-2</v>
      </c>
      <c r="Q58" s="226">
        <f t="shared" si="74"/>
        <v>5.9367252912811343E-2</v>
      </c>
      <c r="R58" s="226">
        <f t="shared" si="74"/>
        <v>5.1241671659108298E-2</v>
      </c>
      <c r="S58" s="226">
        <f t="shared" si="74"/>
        <v>6.0962716497152465E-2</v>
      </c>
      <c r="T58" s="226">
        <f t="shared" si="74"/>
        <v>5.2994372505292091E-2</v>
      </c>
      <c r="U58" s="226">
        <f t="shared" si="74"/>
        <v>6.2681161842006825E-2</v>
      </c>
      <c r="V58" s="226">
        <f t="shared" si="74"/>
        <v>5.4547691722198269E-2</v>
      </c>
      <c r="W58" s="226">
        <f t="shared" si="74"/>
        <v>6.439085483292839E-2</v>
      </c>
      <c r="X58" s="226">
        <f t="shared" si="74"/>
        <v>5.5542294908338979E-2</v>
      </c>
      <c r="Y58" s="226">
        <f t="shared" si="74"/>
        <v>6.549577210775992E-2</v>
      </c>
      <c r="Z58" s="226">
        <f t="shared" si="74"/>
        <v>5.6541773372774981E-2</v>
      </c>
      <c r="AA58" s="226">
        <f t="shared" si="74"/>
        <v>6.660552464708519E-2</v>
      </c>
      <c r="AB58" s="226">
        <f t="shared" si="74"/>
        <v>5.7535911932352628E-2</v>
      </c>
      <c r="AC58" s="226">
        <f t="shared" si="74"/>
        <v>6.7711124796496408E-2</v>
      </c>
      <c r="AD58" s="226">
        <f t="shared" si="74"/>
        <v>5.8524916790719292E-2</v>
      </c>
      <c r="AE58" s="226">
        <f t="shared" si="74"/>
        <v>6.8812720552225412E-2</v>
      </c>
      <c r="AF58" s="226">
        <f t="shared" si="74"/>
        <v>5.9508982310967559E-2</v>
      </c>
      <c r="AG58" s="226">
        <f t="shared" si="74"/>
        <v>6.9910452366418463E-2</v>
      </c>
      <c r="AH58" s="226">
        <f t="shared" si="74"/>
        <v>6.0488293015903881E-2</v>
      </c>
      <c r="AI58" s="226">
        <f t="shared" si="74"/>
        <v>7.1004454516785775E-2</v>
      </c>
      <c r="AJ58" s="2"/>
      <c r="AK58" s="2"/>
      <c r="AL58" s="2"/>
      <c r="AM58" s="2"/>
    </row>
    <row r="59" spans="1:39" x14ac:dyDescent="0.25">
      <c r="A59" s="307">
        <v>0</v>
      </c>
      <c r="B59" s="308"/>
      <c r="C59" s="27"/>
      <c r="D59" s="28"/>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
      <c r="AK59" s="2"/>
      <c r="AL59" s="2"/>
      <c r="AM59" s="2"/>
    </row>
    <row r="60" spans="1:39" x14ac:dyDescent="0.25">
      <c r="A60" s="20">
        <v>0</v>
      </c>
      <c r="B60" s="30" t="s">
        <v>128</v>
      </c>
      <c r="C60" s="31"/>
      <c r="D60" s="3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x14ac:dyDescent="0.25">
      <c r="A61" s="20" t="s">
        <v>129</v>
      </c>
      <c r="B61" s="33" t="s">
        <v>130</v>
      </c>
      <c r="C61" s="27" t="s">
        <v>67</v>
      </c>
      <c r="D61" s="32" t="s">
        <v>131</v>
      </c>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2"/>
      <c r="AK61" s="2"/>
      <c r="AL61" s="2"/>
      <c r="AM61" s="2"/>
    </row>
    <row r="62" spans="1:39" x14ac:dyDescent="0.25">
      <c r="A62" s="20" t="s">
        <v>132</v>
      </c>
      <c r="B62" s="33" t="s">
        <v>133</v>
      </c>
      <c r="C62" s="27"/>
      <c r="D62" s="32"/>
      <c r="E62" s="34"/>
      <c r="F62" s="34"/>
      <c r="G62" s="35"/>
      <c r="H62" s="34"/>
      <c r="I62" s="35"/>
      <c r="J62" s="34"/>
      <c r="K62" s="35"/>
      <c r="L62" s="34"/>
      <c r="M62" s="35"/>
      <c r="N62" s="35"/>
      <c r="O62" s="35"/>
      <c r="P62" s="35"/>
      <c r="Q62" s="35"/>
      <c r="R62" s="35"/>
      <c r="S62" s="35"/>
      <c r="T62" s="35"/>
      <c r="U62" s="35"/>
      <c r="V62" s="35"/>
      <c r="W62" s="35"/>
      <c r="X62" s="35"/>
      <c r="Y62" s="35"/>
      <c r="Z62" s="35"/>
      <c r="AA62" s="35"/>
      <c r="AB62" s="35"/>
      <c r="AC62" s="35"/>
      <c r="AD62" s="35"/>
      <c r="AE62" s="35"/>
      <c r="AF62" s="35"/>
      <c r="AG62" s="35"/>
      <c r="AH62" s="35"/>
      <c r="AI62" s="35"/>
      <c r="AJ62" s="2"/>
      <c r="AK62" s="2"/>
      <c r="AL62" s="2"/>
      <c r="AM62" s="2"/>
    </row>
    <row r="63" spans="1:39" x14ac:dyDescent="0.25">
      <c r="A63" s="20" t="s">
        <v>134</v>
      </c>
      <c r="B63" s="33" t="s">
        <v>135</v>
      </c>
      <c r="C63" s="27" t="s">
        <v>67</v>
      </c>
      <c r="D63" s="32" t="s">
        <v>94</v>
      </c>
      <c r="E63" s="34"/>
      <c r="F63" s="34"/>
      <c r="G63" s="35"/>
      <c r="H63" s="34"/>
      <c r="I63" s="35"/>
      <c r="J63" s="34"/>
      <c r="K63" s="35"/>
      <c r="L63" s="34"/>
      <c r="M63" s="35"/>
      <c r="N63" s="233">
        <v>-3.3</v>
      </c>
      <c r="O63" s="228">
        <f>INDEX(Annual!$A:$Y,MATCH(Segments!$A63,Annual!$A:$A,0),MATCH(Segments!O$1,Annual!$A$1:$Y$1,0))-N63</f>
        <v>-4.6000000000000005</v>
      </c>
      <c r="P63" s="35"/>
      <c r="Q63" s="35"/>
      <c r="R63" s="35"/>
      <c r="S63" s="35"/>
      <c r="T63" s="35"/>
      <c r="U63" s="35"/>
      <c r="V63" s="35"/>
      <c r="W63" s="35"/>
      <c r="X63" s="35"/>
      <c r="Y63" s="35"/>
      <c r="Z63" s="35"/>
      <c r="AA63" s="35"/>
      <c r="AB63" s="35"/>
      <c r="AC63" s="35"/>
      <c r="AD63" s="35"/>
      <c r="AE63" s="35"/>
      <c r="AF63" s="35"/>
      <c r="AG63" s="35"/>
      <c r="AH63" s="35"/>
      <c r="AI63" s="35"/>
      <c r="AJ63" s="35"/>
      <c r="AK63" s="2"/>
      <c r="AL63" s="2"/>
      <c r="AM63" s="2"/>
    </row>
    <row r="64" spans="1:39" x14ac:dyDescent="0.25">
      <c r="A64" s="20" t="s">
        <v>136</v>
      </c>
      <c r="B64" s="36" t="s">
        <v>128</v>
      </c>
      <c r="C64" s="37" t="s">
        <v>67</v>
      </c>
      <c r="D64" s="38"/>
      <c r="E64" s="38"/>
      <c r="F64" s="51"/>
      <c r="G64" s="39">
        <f>INDEX(Annual!$A:$Y,MATCH(Segments!$A64,Annual!$A:$A,0),MATCH(Segments!G$1,Annual!$A$1:$Y$1,0))-F64</f>
        <v>-2.1</v>
      </c>
      <c r="H64" s="51">
        <v>-1.1000000000000001</v>
      </c>
      <c r="I64" s="39">
        <f>INDEX(Annual!$A:$Y,MATCH(Segments!$A64,Annual!$A:$A,0),MATCH(Segments!I$1,Annual!$A$1:$Y$1,0))-H64</f>
        <v>-2.9999999999999996</v>
      </c>
      <c r="J64" s="51">
        <v>-3.4</v>
      </c>
      <c r="K64" s="39">
        <f>INDEX(Annual!$A:$Y,MATCH(Segments!$A64,Annual!$A:$A,0),MATCH(Segments!K$1,Annual!$A$1:$Y$1,0))-J64</f>
        <v>-3.6</v>
      </c>
      <c r="L64" s="51">
        <v>-3.6</v>
      </c>
      <c r="M64" s="39">
        <f>INDEX(Annual!$A:$Y,MATCH(Segments!$A64,Annual!$A:$A,0),MATCH(Segments!M$1,Annual!$A$1:$Y$1,0))-L64</f>
        <v>-3.8000000000000003</v>
      </c>
      <c r="N64" s="51">
        <v>-4.5999999999999996</v>
      </c>
      <c r="O64" s="39">
        <f>INDEX(Annual!$A:$Y,MATCH(Segments!$A64,Annual!$A:$A,0),MATCH(Segments!O$1,Annual!$A$1:$Y$1,0))-N64</f>
        <v>-5.9</v>
      </c>
      <c r="P64" s="238">
        <f t="shared" ref="P64:AI64" si="75">P10*P65</f>
        <v>-7.3596173073145517</v>
      </c>
      <c r="Q64" s="238">
        <f t="shared" si="75"/>
        <v>-6.9067082436996916</v>
      </c>
      <c r="R64" s="238">
        <f t="shared" si="75"/>
        <v>-8.2717811436584334</v>
      </c>
      <c r="S64" s="238">
        <f t="shared" si="75"/>
        <v>-7.8231126541925855</v>
      </c>
      <c r="T64" s="238">
        <f t="shared" si="75"/>
        <v>-9.1598923482394703</v>
      </c>
      <c r="U64" s="238">
        <f t="shared" si="75"/>
        <v>-8.6479008038756433</v>
      </c>
      <c r="V64" s="238">
        <f t="shared" si="75"/>
        <v>-10.127151825587456</v>
      </c>
      <c r="W64" s="238">
        <f t="shared" si="75"/>
        <v>-9.5463927889036775</v>
      </c>
      <c r="X64" s="238">
        <f t="shared" si="75"/>
        <v>-11.208457722491802</v>
      </c>
      <c r="Y64" s="238">
        <f t="shared" si="75"/>
        <v>-10.551063372407929</v>
      </c>
      <c r="Z64" s="238">
        <f t="shared" si="75"/>
        <v>-12.351129284151302</v>
      </c>
      <c r="AA64" s="238">
        <f t="shared" si="75"/>
        <v>-11.612230763423684</v>
      </c>
      <c r="AB64" s="238">
        <f t="shared" si="75"/>
        <v>-13.615819083215227</v>
      </c>
      <c r="AC64" s="238">
        <f t="shared" si="75"/>
        <v>-12.78611882219813</v>
      </c>
      <c r="AD64" s="238">
        <f t="shared" si="75"/>
        <v>-15.016416397520128</v>
      </c>
      <c r="AE64" s="238">
        <f t="shared" si="75"/>
        <v>-14.085503897830069</v>
      </c>
      <c r="AF64" s="238">
        <f t="shared" si="75"/>
        <v>-16.568454062794657</v>
      </c>
      <c r="AG64" s="238">
        <f t="shared" si="75"/>
        <v>-15.52467158414688</v>
      </c>
      <c r="AH64" s="238">
        <f t="shared" si="75"/>
        <v>-18.289308052468218</v>
      </c>
      <c r="AI64" s="238">
        <f t="shared" si="75"/>
        <v>-17.119599826467034</v>
      </c>
      <c r="AJ64" s="2"/>
      <c r="AK64" s="2"/>
      <c r="AL64" s="2"/>
      <c r="AM64" s="2"/>
    </row>
    <row r="65" spans="1:39" x14ac:dyDescent="0.25">
      <c r="A65" s="20">
        <v>0</v>
      </c>
      <c r="B65" s="33" t="s">
        <v>137</v>
      </c>
      <c r="C65" s="27" t="s">
        <v>117</v>
      </c>
      <c r="D65" s="32"/>
      <c r="E65" s="29"/>
      <c r="F65" s="226"/>
      <c r="G65" s="226">
        <f>G64/G$10</f>
        <v>-2.8112449799196789E-3</v>
      </c>
      <c r="H65" s="226">
        <f t="shared" ref="H65:N65" si="76">H64/H$10</f>
        <v>-2.3419203747072604E-3</v>
      </c>
      <c r="I65" s="226">
        <f>I64/I$10</f>
        <v>-6.5331010452961665E-3</v>
      </c>
      <c r="J65" s="226">
        <f t="shared" si="76"/>
        <v>-6.4737242955064745E-3</v>
      </c>
      <c r="K65" s="226">
        <f>K64/K$10</f>
        <v>-7.537688442211055E-3</v>
      </c>
      <c r="L65" s="226">
        <f t="shared" si="76"/>
        <v>-6.4011379800853491E-3</v>
      </c>
      <c r="M65" s="226">
        <f>M64/M$10</f>
        <v>-7.3729142413659268E-3</v>
      </c>
      <c r="N65" s="226">
        <f t="shared" si="76"/>
        <v>-7.352941176470589E-3</v>
      </c>
      <c r="O65" s="226">
        <f>O64/O$10</f>
        <v>-9.6737170027873416E-3</v>
      </c>
      <c r="P65" s="52">
        <f>O65</f>
        <v>-9.6737170027873416E-3</v>
      </c>
      <c r="Q65" s="52">
        <f t="shared" ref="Q65:AI65" si="77">O65</f>
        <v>-9.6737170027873416E-3</v>
      </c>
      <c r="R65" s="52">
        <f t="shared" si="77"/>
        <v>-9.6737170027873416E-3</v>
      </c>
      <c r="S65" s="52">
        <f t="shared" si="77"/>
        <v>-9.6737170027873416E-3</v>
      </c>
      <c r="T65" s="52">
        <f t="shared" si="77"/>
        <v>-9.6737170027873416E-3</v>
      </c>
      <c r="U65" s="52">
        <f t="shared" si="77"/>
        <v>-9.6737170027873416E-3</v>
      </c>
      <c r="V65" s="52">
        <f t="shared" si="77"/>
        <v>-9.6737170027873416E-3</v>
      </c>
      <c r="W65" s="52">
        <f t="shared" si="77"/>
        <v>-9.6737170027873416E-3</v>
      </c>
      <c r="X65" s="52">
        <f t="shared" si="77"/>
        <v>-9.6737170027873416E-3</v>
      </c>
      <c r="Y65" s="52">
        <f t="shared" si="77"/>
        <v>-9.6737170027873416E-3</v>
      </c>
      <c r="Z65" s="52">
        <f t="shared" si="77"/>
        <v>-9.6737170027873416E-3</v>
      </c>
      <c r="AA65" s="52">
        <f t="shared" si="77"/>
        <v>-9.6737170027873416E-3</v>
      </c>
      <c r="AB65" s="52">
        <f t="shared" si="77"/>
        <v>-9.6737170027873416E-3</v>
      </c>
      <c r="AC65" s="52">
        <f t="shared" si="77"/>
        <v>-9.6737170027873416E-3</v>
      </c>
      <c r="AD65" s="52">
        <f t="shared" si="77"/>
        <v>-9.6737170027873416E-3</v>
      </c>
      <c r="AE65" s="52">
        <f t="shared" si="77"/>
        <v>-9.6737170027873416E-3</v>
      </c>
      <c r="AF65" s="52">
        <f t="shared" si="77"/>
        <v>-9.6737170027873416E-3</v>
      </c>
      <c r="AG65" s="52">
        <f t="shared" si="77"/>
        <v>-9.6737170027873416E-3</v>
      </c>
      <c r="AH65" s="52">
        <f t="shared" si="77"/>
        <v>-9.6737170027873416E-3</v>
      </c>
      <c r="AI65" s="52">
        <f t="shared" si="77"/>
        <v>-9.6737170027873416E-3</v>
      </c>
      <c r="AJ65" s="2"/>
      <c r="AK65" s="2"/>
      <c r="AL65" s="2"/>
      <c r="AM65" s="2"/>
    </row>
    <row r="66" spans="1:39" x14ac:dyDescent="0.25">
      <c r="A66" s="307">
        <v>0</v>
      </c>
      <c r="B66" s="308"/>
      <c r="C66" s="27"/>
      <c r="D66" s="32"/>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
      <c r="AK66" s="2"/>
      <c r="AL66" s="2"/>
      <c r="AM66" s="2"/>
    </row>
    <row r="67" spans="1:39" x14ac:dyDescent="0.25">
      <c r="A67" s="20">
        <v>0</v>
      </c>
      <c r="B67" s="30" t="s">
        <v>138</v>
      </c>
      <c r="C67" s="31"/>
      <c r="D67" s="32"/>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2"/>
      <c r="AK67" s="2"/>
      <c r="AL67" s="2"/>
      <c r="AM67" s="2"/>
    </row>
    <row r="68" spans="1:39" x14ac:dyDescent="0.25">
      <c r="A68" s="20" t="s">
        <v>138</v>
      </c>
      <c r="B68" s="36" t="s">
        <v>138</v>
      </c>
      <c r="C68" s="37" t="s">
        <v>67</v>
      </c>
      <c r="D68" s="38"/>
      <c r="E68" s="39"/>
      <c r="F68" s="39"/>
      <c r="G68" s="39">
        <f>INDEX(Annual!$A:$Y,MATCH(Segments!$A68,Annual!$A:$A,0),MATCH(Segments!G$1,Annual!$A$1:$Y$1,0))-F68</f>
        <v>70.2</v>
      </c>
      <c r="H68" s="39">
        <f t="shared" ref="H68" si="78">H82-H76</f>
        <v>41.4</v>
      </c>
      <c r="I68" s="39">
        <f>INDEX(Annual!$A:$Y,MATCH(Segments!$A68,Annual!$A:$A,0),MATCH(Segments!I$1,Annual!$A$1:$Y$1,0))-H68</f>
        <v>41.20000000000001</v>
      </c>
      <c r="J68" s="39">
        <f t="shared" ref="J68" si="79">J82-J76</f>
        <v>30.4</v>
      </c>
      <c r="K68" s="39">
        <f>INDEX(Annual!$A:$Y,MATCH(Segments!$A68,Annual!$A:$A,0),MATCH(Segments!K$1,Annual!$A$1:$Y$1,0))-J68</f>
        <v>22</v>
      </c>
      <c r="L68" s="39">
        <f t="shared" ref="L68" si="80">L82-L76</f>
        <v>20.400000000000002</v>
      </c>
      <c r="M68" s="39">
        <f>INDEX(Annual!$A:$Y,MATCH(Segments!$A68,Annual!$A:$A,0),MATCH(Segments!M$1,Annual!$A$1:$Y$1,0))-L68</f>
        <v>19.599999999999991</v>
      </c>
      <c r="N68" s="39">
        <f>N82-N76</f>
        <v>20.400000000000002</v>
      </c>
      <c r="O68" s="39">
        <f>INDEX(Annual!$A:$Y,MATCH(Segments!$A68,Annual!$A:$A,0),MATCH(Segments!O$1,Annual!$A$1:$Y$1,0))-N68</f>
        <v>25.3</v>
      </c>
      <c r="P68" s="238">
        <f>P56+P64</f>
        <v>30.40010288368142</v>
      </c>
      <c r="Q68" s="238">
        <f t="shared" ref="Q68:AI68" si="81">Q56+Q64</f>
        <v>35.479511549640733</v>
      </c>
      <c r="R68" s="238">
        <f t="shared" si="81"/>
        <v>35.543837328250518</v>
      </c>
      <c r="S68" s="238">
        <f t="shared" si="81"/>
        <v>41.477295733339474</v>
      </c>
      <c r="T68" s="238">
        <f t="shared" si="81"/>
        <v>41.019655706671543</v>
      </c>
      <c r="U68" s="238">
        <f t="shared" si="81"/>
        <v>47.38645183691002</v>
      </c>
      <c r="V68" s="238">
        <f t="shared" si="81"/>
        <v>46.977346439854074</v>
      </c>
      <c r="W68" s="238">
        <f t="shared" si="81"/>
        <v>53.996957928436316</v>
      </c>
      <c r="X68" s="238">
        <f t="shared" si="81"/>
        <v>53.14565395049928</v>
      </c>
      <c r="Y68" s="238">
        <f t="shared" si="81"/>
        <v>60.884770644097465</v>
      </c>
      <c r="Z68" s="238">
        <f t="shared" si="81"/>
        <v>59.83981372990489</v>
      </c>
      <c r="AA68" s="238">
        <f t="shared" si="81"/>
        <v>68.340358515134071</v>
      </c>
      <c r="AB68" s="238">
        <f t="shared" si="81"/>
        <v>67.366348105776609</v>
      </c>
      <c r="AC68" s="238">
        <f t="shared" si="81"/>
        <v>76.710244052923429</v>
      </c>
      <c r="AD68" s="238">
        <f t="shared" si="81"/>
        <v>75.831240186441832</v>
      </c>
      <c r="AE68" s="238">
        <f t="shared" si="81"/>
        <v>86.109885659191661</v>
      </c>
      <c r="AF68" s="238">
        <f t="shared" si="81"/>
        <v>85.354295947241013</v>
      </c>
      <c r="AG68" s="238">
        <f t="shared" si="81"/>
        <v>96.669722047077443</v>
      </c>
      <c r="AH68" s="238">
        <f t="shared" si="81"/>
        <v>96.070976026243912</v>
      </c>
      <c r="AI68" s="238">
        <f t="shared" si="81"/>
        <v>108.53715102470049</v>
      </c>
      <c r="AJ68" s="2"/>
      <c r="AK68" s="2"/>
      <c r="AL68" s="2"/>
      <c r="AM68" s="2"/>
    </row>
    <row r="69" spans="1:39" x14ac:dyDescent="0.25">
      <c r="A69" s="20">
        <v>0</v>
      </c>
      <c r="B69" s="33" t="s">
        <v>139</v>
      </c>
      <c r="C69" s="27" t="s">
        <v>77</v>
      </c>
      <c r="D69" s="28"/>
      <c r="E69" s="29"/>
      <c r="F69" s="29"/>
      <c r="G69" s="145" t="e">
        <f t="shared" ref="G69:M69" si="82">G68/E68-1</f>
        <v>#DIV/0!</v>
      </c>
      <c r="H69" s="145" t="e">
        <f t="shared" si="82"/>
        <v>#DIV/0!</v>
      </c>
      <c r="I69" s="145">
        <f t="shared" si="82"/>
        <v>-0.41310541310541293</v>
      </c>
      <c r="J69" s="145">
        <f t="shared" si="82"/>
        <v>-0.2657004830917874</v>
      </c>
      <c r="K69" s="145">
        <f t="shared" si="82"/>
        <v>-0.46601941747572828</v>
      </c>
      <c r="L69" s="145">
        <f t="shared" si="82"/>
        <v>-0.32894736842105254</v>
      </c>
      <c r="M69" s="145">
        <f t="shared" si="82"/>
        <v>-0.10909090909090946</v>
      </c>
      <c r="N69" s="145">
        <f>N68/L68-1</f>
        <v>0</v>
      </c>
      <c r="O69" s="225">
        <f>O68/M68-1</f>
        <v>0.29081632653061296</v>
      </c>
      <c r="P69" s="225">
        <f t="shared" ref="P69:AI69" si="83">P68/N68-1</f>
        <v>0.49020112174908914</v>
      </c>
      <c r="Q69" s="225">
        <f t="shared" si="83"/>
        <v>0.40235223516366525</v>
      </c>
      <c r="R69" s="225">
        <f t="shared" si="83"/>
        <v>0.16920121830673884</v>
      </c>
      <c r="S69" s="225">
        <f t="shared" si="83"/>
        <v>0.16904923212674494</v>
      </c>
      <c r="T69" s="225">
        <f t="shared" si="83"/>
        <v>0.1540581656350537</v>
      </c>
      <c r="U69" s="225">
        <f t="shared" si="83"/>
        <v>0.14246724621491569</v>
      </c>
      <c r="V69" s="225">
        <f t="shared" si="83"/>
        <v>0.14523990098272699</v>
      </c>
      <c r="W69" s="225">
        <f t="shared" si="83"/>
        <v>0.13950202716754734</v>
      </c>
      <c r="X69" s="225">
        <f t="shared" si="83"/>
        <v>0.13130387257063569</v>
      </c>
      <c r="Y69" s="225">
        <f t="shared" si="83"/>
        <v>0.12755927333517114</v>
      </c>
      <c r="Z69" s="225">
        <f t="shared" si="83"/>
        <v>0.12595874322368217</v>
      </c>
      <c r="AA69" s="225">
        <f t="shared" si="83"/>
        <v>0.12245406843393258</v>
      </c>
      <c r="AB69" s="225">
        <f t="shared" si="83"/>
        <v>0.12577803817778843</v>
      </c>
      <c r="AC69" s="225">
        <f t="shared" si="83"/>
        <v>0.12247353861826515</v>
      </c>
      <c r="AD69" s="225">
        <f t="shared" si="83"/>
        <v>0.12565460825297969</v>
      </c>
      <c r="AE69" s="225">
        <f t="shared" si="83"/>
        <v>0.12253437232950648</v>
      </c>
      <c r="AF69" s="225">
        <f t="shared" si="83"/>
        <v>0.12558222359789184</v>
      </c>
      <c r="AG69" s="225">
        <f t="shared" si="83"/>
        <v>0.12263210323701768</v>
      </c>
      <c r="AH69" s="225">
        <f t="shared" si="83"/>
        <v>0.1255552513212348</v>
      </c>
      <c r="AI69" s="225">
        <f t="shared" si="83"/>
        <v>0.12276262645964464</v>
      </c>
      <c r="AJ69" s="2"/>
      <c r="AK69" s="2"/>
      <c r="AL69" s="2"/>
      <c r="AM69" s="2"/>
    </row>
    <row r="70" spans="1:39" x14ac:dyDescent="0.25">
      <c r="A70" s="20">
        <v>0</v>
      </c>
      <c r="B70" s="33" t="s">
        <v>140</v>
      </c>
      <c r="C70" s="27" t="s">
        <v>117</v>
      </c>
      <c r="D70" s="32"/>
      <c r="E70" s="29"/>
      <c r="F70" s="29"/>
      <c r="G70" s="40">
        <f t="shared" ref="G70:M70" si="84">G68/G$10</f>
        <v>9.3975903614457831E-2</v>
      </c>
      <c r="H70" s="40">
        <f t="shared" si="84"/>
        <v>8.8141366829891418E-2</v>
      </c>
      <c r="I70" s="40">
        <f t="shared" si="84"/>
        <v>8.9721254355400723E-2</v>
      </c>
      <c r="J70" s="40">
        <f t="shared" si="84"/>
        <v>5.7882711348057884E-2</v>
      </c>
      <c r="K70" s="40">
        <f t="shared" si="84"/>
        <v>4.6063651591289778E-2</v>
      </c>
      <c r="L70" s="40">
        <f t="shared" si="84"/>
        <v>3.6273115220483647E-2</v>
      </c>
      <c r="M70" s="40">
        <f t="shared" si="84"/>
        <v>3.8028715560729495E-2</v>
      </c>
      <c r="N70" s="40">
        <f>N68/N$10</f>
        <v>3.2608695652173919E-2</v>
      </c>
      <c r="O70" s="226">
        <f>O68/O$10</f>
        <v>4.1482210198393175E-2</v>
      </c>
      <c r="P70" s="226">
        <f t="shared" ref="P70:AI70" si="85">P68/P$10</f>
        <v>3.9958870124955033E-2</v>
      </c>
      <c r="Q70" s="226">
        <f t="shared" si="85"/>
        <v>4.9693535910023998E-2</v>
      </c>
      <c r="R70" s="226">
        <f t="shared" si="85"/>
        <v>4.156795465632096E-2</v>
      </c>
      <c r="S70" s="226">
        <f t="shared" si="85"/>
        <v>5.1288999494365127E-2</v>
      </c>
      <c r="T70" s="226">
        <f t="shared" si="85"/>
        <v>4.3320655502504746E-2</v>
      </c>
      <c r="U70" s="226">
        <f t="shared" si="85"/>
        <v>5.3007444839219479E-2</v>
      </c>
      <c r="V70" s="226">
        <f t="shared" si="85"/>
        <v>4.4873974719410931E-2</v>
      </c>
      <c r="W70" s="226">
        <f t="shared" si="85"/>
        <v>5.4717137830141045E-2</v>
      </c>
      <c r="X70" s="226">
        <f t="shared" si="85"/>
        <v>4.5868577905551641E-2</v>
      </c>
      <c r="Y70" s="226">
        <f t="shared" si="85"/>
        <v>5.5822055104972575E-2</v>
      </c>
      <c r="Z70" s="226">
        <f t="shared" si="85"/>
        <v>4.6868056369987643E-2</v>
      </c>
      <c r="AA70" s="226">
        <f t="shared" si="85"/>
        <v>5.6931807644297845E-2</v>
      </c>
      <c r="AB70" s="226">
        <f t="shared" si="85"/>
        <v>4.7862194929565283E-2</v>
      </c>
      <c r="AC70" s="226">
        <f t="shared" si="85"/>
        <v>5.803740779370907E-2</v>
      </c>
      <c r="AD70" s="226">
        <f t="shared" si="85"/>
        <v>4.8851199787931947E-2</v>
      </c>
      <c r="AE70" s="226">
        <f t="shared" si="85"/>
        <v>5.9139003549438067E-2</v>
      </c>
      <c r="AF70" s="226">
        <f t="shared" si="85"/>
        <v>4.9835265308180214E-2</v>
      </c>
      <c r="AG70" s="226">
        <f t="shared" si="85"/>
        <v>6.0236735363631111E-2</v>
      </c>
      <c r="AH70" s="226">
        <f t="shared" si="85"/>
        <v>5.0814576013116543E-2</v>
      </c>
      <c r="AI70" s="226">
        <f t="shared" si="85"/>
        <v>6.133073751399843E-2</v>
      </c>
      <c r="AJ70" s="2"/>
      <c r="AK70" s="2"/>
      <c r="AL70" s="2"/>
      <c r="AM70" s="2"/>
    </row>
    <row r="71" spans="1:39" x14ac:dyDescent="0.25">
      <c r="A71" s="307">
        <v>0</v>
      </c>
      <c r="B71" s="308"/>
      <c r="C71" s="27"/>
      <c r="D71" s="53"/>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2"/>
      <c r="AK71" s="2"/>
      <c r="AL71" s="2"/>
      <c r="AM71" s="2"/>
    </row>
    <row r="72" spans="1:39" x14ac:dyDescent="0.25">
      <c r="A72" s="20">
        <v>0</v>
      </c>
      <c r="B72" s="30" t="s">
        <v>141</v>
      </c>
      <c r="C72" s="55"/>
      <c r="D72" s="32"/>
      <c r="E72" s="29"/>
      <c r="F72" s="34"/>
      <c r="G72" s="29"/>
      <c r="H72" s="34"/>
      <c r="I72" s="29"/>
      <c r="J72" s="34"/>
      <c r="K72" s="29"/>
      <c r="L72" s="34"/>
      <c r="M72" s="29"/>
      <c r="N72" s="34"/>
      <c r="O72" s="29"/>
      <c r="P72" s="29"/>
      <c r="Q72" s="29"/>
      <c r="R72" s="29"/>
      <c r="S72" s="29"/>
      <c r="T72" s="29"/>
      <c r="U72" s="29"/>
      <c r="V72" s="29"/>
      <c r="W72" s="29"/>
      <c r="X72" s="29"/>
      <c r="Y72" s="29"/>
      <c r="Z72" s="29"/>
      <c r="AA72" s="29"/>
      <c r="AB72" s="29"/>
      <c r="AC72" s="29"/>
      <c r="AD72" s="29"/>
      <c r="AE72" s="29"/>
      <c r="AF72" s="29"/>
      <c r="AG72" s="29"/>
      <c r="AH72" s="29"/>
      <c r="AI72" s="29"/>
      <c r="AJ72" s="2"/>
      <c r="AK72" s="2"/>
      <c r="AL72" s="2"/>
      <c r="AM72" s="2"/>
    </row>
    <row r="73" spans="1:39" x14ac:dyDescent="0.25">
      <c r="A73" s="20" t="s">
        <v>142</v>
      </c>
      <c r="B73" s="33" t="s">
        <v>142</v>
      </c>
      <c r="C73" s="27" t="s">
        <v>67</v>
      </c>
      <c r="D73" s="32" t="s">
        <v>73</v>
      </c>
      <c r="E73" s="34"/>
      <c r="F73" s="34"/>
      <c r="G73" s="35">
        <f>INDEX(Annual!$A:$Y,MATCH(Segments!$A73,Annual!$A:$A,0),MATCH(Segments!G$1,Annual!$A$1:$Y$1,0))-F73</f>
        <v>0.8</v>
      </c>
      <c r="H73" s="34">
        <v>0.1</v>
      </c>
      <c r="I73" s="35">
        <f>INDEX(Annual!$A:$Y,MATCH(Segments!$A73,Annual!$A:$A,0),MATCH(Segments!I$1,Annual!$A$1:$Y$1,0))-H73</f>
        <v>0.19999999999999998</v>
      </c>
      <c r="J73" s="34">
        <v>2.4</v>
      </c>
      <c r="K73" s="35">
        <f>INDEX(Annual!$A:$Y,MATCH(Segments!$A73,Annual!$A:$A,0),MATCH(Segments!K$1,Annual!$A$1:$Y$1,0))-J73</f>
        <v>3.8000000000000003</v>
      </c>
      <c r="L73" s="34">
        <v>4.0999999999999996</v>
      </c>
      <c r="M73" s="35">
        <f>INDEX(Annual!$A:$Y,MATCH(Segments!$A73,Annual!$A:$A,0),MATCH(Segments!M$1,Annual!$A$1:$Y$1,0))-L73</f>
        <v>3.5</v>
      </c>
      <c r="N73" s="34">
        <v>3.9</v>
      </c>
      <c r="O73" s="35">
        <f>INDEX(Annual!$A:$Y,MATCH(Segments!$A73,Annual!$A:$A,0),MATCH(Segments!O$1,Annual!$A$1:$Y$1,0))-N73</f>
        <v>3.1</v>
      </c>
      <c r="P73" s="228">
        <f>INDEX(Annual!$A:$Y,MATCH(Segments!$A73,Annual!$A:$A,0),MATCH(Segments!P$1,Annual!$A$1:$Y$1,0))*0.5</f>
        <v>3.637</v>
      </c>
      <c r="Q73" s="228">
        <f>INDEX(Annual!$A:$Y,MATCH(Segments!$A73,Annual!$A:$A,0),MATCH(Segments!Q$1,Annual!$A$1:$Y$1,0))-P73</f>
        <v>3.637</v>
      </c>
      <c r="R73" s="228">
        <f>INDEX(Annual!$A:$Y,MATCH(Segments!$A73,Annual!$A:$A,0),MATCH(Segments!R$1,Annual!$A$1:$Y$1,0))*0.5</f>
        <v>3.6653733184013424</v>
      </c>
      <c r="S73" s="228">
        <f>INDEX(Annual!$A:$Y,MATCH(Segments!$A73,Annual!$A:$A,0),MATCH(Segments!S$1,Annual!$A$1:$Y$1,0))-R73</f>
        <v>3.6653733184013424</v>
      </c>
      <c r="T73" s="228">
        <f>INDEX(Annual!$A:$Y,MATCH(Segments!$A73,Annual!$A:$A,0),MATCH(Segments!T$1,Annual!$A$1:$Y$1,0))*0.5</f>
        <v>3.6303401617766853</v>
      </c>
      <c r="U73" s="228">
        <f>INDEX(Annual!$A:$Y,MATCH(Segments!$A73,Annual!$A:$A,0),MATCH(Segments!U$1,Annual!$A$1:$Y$1,0))-T73</f>
        <v>3.6303401617766853</v>
      </c>
      <c r="V73" s="228">
        <f>INDEX(Annual!$A:$Y,MATCH(Segments!$A73,Annual!$A:$A,0),MATCH(Segments!V$1,Annual!$A$1:$Y$1,0))*0.5</f>
        <v>3.6086594732404729</v>
      </c>
      <c r="W73" s="228">
        <f>INDEX(Annual!$A:$Y,MATCH(Segments!$A73,Annual!$A:$A,0),MATCH(Segments!W$1,Annual!$A$1:$Y$1,0))-V73</f>
        <v>3.6086594732404729</v>
      </c>
      <c r="X73" s="228">
        <f>INDEX(Annual!$A:$Y,MATCH(Segments!$A73,Annual!$A:$A,0),MATCH(Segments!X$1,Annual!$A$1:$Y$1,0))*0.5</f>
        <v>3.5996546549094517</v>
      </c>
      <c r="Y73" s="228">
        <f>INDEX(Annual!$A:$Y,MATCH(Segments!$A73,Annual!$A:$A,0),MATCH(Segments!Y$1,Annual!$A$1:$Y$1,0))-X73</f>
        <v>3.5996546549094517</v>
      </c>
      <c r="Z73" s="228">
        <f>INDEX(Annual!$A:$Y,MATCH(Segments!$A73,Annual!$A:$A,0),MATCH(Segments!Z$1,Annual!$A$1:$Y$1,0))*0.5</f>
        <v>3.6012157607444166</v>
      </c>
      <c r="AA73" s="228">
        <f>INDEX(Annual!$A:$Y,MATCH(Segments!$A73,Annual!$A:$A,0),MATCH(Segments!AA$1,Annual!$A$1:$Y$1,0))-Z73</f>
        <v>3.6012157607444166</v>
      </c>
      <c r="AB73" s="228">
        <f>INDEX(Annual!$A:$Y,MATCH(Segments!$A73,Annual!$A:$A,0),MATCH(Segments!AB$1,Annual!$A$1:$Y$1,0))*0.5</f>
        <v>3.6132967892898287</v>
      </c>
      <c r="AC73" s="228">
        <f>INDEX(Annual!$A:$Y,MATCH(Segments!$A73,Annual!$A:$A,0),MATCH(Segments!AC$1,Annual!$A$1:$Y$1,0))-AB73</f>
        <v>3.6132967892898287</v>
      </c>
      <c r="AD73" s="228">
        <f>INDEX(Annual!$A:$Y,MATCH(Segments!$A73,Annual!$A:$A,0),MATCH(Segments!AD$1,Annual!$A$1:$Y$1,0))*0.5</f>
        <v>3.6362276959939881</v>
      </c>
      <c r="AE73" s="228">
        <f>INDEX(Annual!$A:$Y,MATCH(Segments!$A73,Annual!$A:$A,0),MATCH(Segments!AE$1,Annual!$A$1:$Y$1,0))-AD73</f>
        <v>3.6362276959939881</v>
      </c>
      <c r="AF73" s="228">
        <f>INDEX(Annual!$A:$Y,MATCH(Segments!$A73,Annual!$A:$A,0),MATCH(Segments!AF$1,Annual!$A$1:$Y$1,0))*0.5</f>
        <v>3.6708074095546808</v>
      </c>
      <c r="AG73" s="228">
        <f>INDEX(Annual!$A:$Y,MATCH(Segments!$A73,Annual!$A:$A,0),MATCH(Segments!AG$1,Annual!$A$1:$Y$1,0))-AF73</f>
        <v>3.6708074095546808</v>
      </c>
      <c r="AH73" s="228">
        <f>INDEX(Annual!$A:$Y,MATCH(Segments!$A73,Annual!$A:$A,0),MATCH(Segments!AH$1,Annual!$A$1:$Y$1,0))*0.5</f>
        <v>3.7179075048936849</v>
      </c>
      <c r="AI73" s="228">
        <f>INDEX(Annual!$A:$Y,MATCH(Segments!$A73,Annual!$A:$A,0),MATCH(Segments!AI$1,Annual!$A$1:$Y$1,0))-AH73</f>
        <v>3.7179075048936849</v>
      </c>
      <c r="AJ73" s="2"/>
      <c r="AK73" s="2"/>
      <c r="AL73" s="2"/>
      <c r="AM73" s="2"/>
    </row>
    <row r="74" spans="1:39" x14ac:dyDescent="0.25">
      <c r="A74" s="20" t="s">
        <v>143</v>
      </c>
      <c r="B74" s="33" t="s">
        <v>143</v>
      </c>
      <c r="C74" s="27"/>
      <c r="D74" s="32"/>
      <c r="E74" s="34"/>
      <c r="F74" s="34"/>
      <c r="G74" s="35"/>
      <c r="H74" s="34"/>
      <c r="I74" s="35"/>
      <c r="J74" s="34"/>
      <c r="K74" s="35"/>
      <c r="L74" s="34"/>
      <c r="M74" s="35"/>
      <c r="N74" s="34"/>
      <c r="O74" s="35"/>
      <c r="P74" s="35"/>
      <c r="Q74" s="35"/>
      <c r="R74" s="35"/>
      <c r="S74" s="35"/>
      <c r="T74" s="35"/>
      <c r="U74" s="35"/>
      <c r="V74" s="35"/>
      <c r="W74" s="35"/>
      <c r="X74" s="35"/>
      <c r="Y74" s="35"/>
      <c r="Z74" s="35"/>
      <c r="AA74" s="35"/>
      <c r="AB74" s="35"/>
      <c r="AC74" s="35"/>
      <c r="AD74" s="35"/>
      <c r="AE74" s="35"/>
      <c r="AF74" s="35"/>
      <c r="AG74" s="35"/>
      <c r="AH74" s="35"/>
      <c r="AI74" s="35"/>
      <c r="AJ74" s="2"/>
      <c r="AK74" s="2"/>
      <c r="AL74" s="2"/>
      <c r="AM74" s="2"/>
    </row>
    <row r="75" spans="1:39" x14ac:dyDescent="0.25">
      <c r="A75" s="20" t="s">
        <v>144</v>
      </c>
      <c r="B75" s="33" t="s">
        <v>144</v>
      </c>
      <c r="C75" s="27" t="s">
        <v>67</v>
      </c>
      <c r="D75" s="32"/>
      <c r="E75" s="34"/>
      <c r="F75" s="34"/>
      <c r="G75" s="35">
        <f>INDEX(Annual!$A:$Y,MATCH(Segments!$A75,Annual!$A:$A,0),MATCH(Segments!G$1,Annual!$A$1:$Y$1,0))-F75</f>
        <v>-0.20000000000000007</v>
      </c>
      <c r="H75" s="34">
        <v>-0.1</v>
      </c>
      <c r="I75" s="35">
        <f>INDEX(Annual!$A:$Y,MATCH(Segments!$A75,Annual!$A:$A,0),MATCH(Segments!I$1,Annual!$A$1:$Y$1,0))-H75</f>
        <v>-1</v>
      </c>
      <c r="J75" s="34">
        <v>-1.6</v>
      </c>
      <c r="K75" s="35">
        <f>INDEX(Annual!$A:$Y,MATCH(Segments!$A75,Annual!$A:$A,0),MATCH(Segments!K$1,Annual!$A$1:$Y$1,0))-J75</f>
        <v>-1.6</v>
      </c>
      <c r="L75" s="34">
        <v>-1.9</v>
      </c>
      <c r="M75" s="35">
        <f>INDEX(Annual!$A:$Y,MATCH(Segments!$A75,Annual!$A:$A,0),MATCH(Segments!M$1,Annual!$A$1:$Y$1,0))-L75</f>
        <v>-1.6999999999999997</v>
      </c>
      <c r="N75" s="34">
        <v>-2</v>
      </c>
      <c r="O75" s="35">
        <f>INDEX(Annual!$A:$Y,MATCH(Segments!$A75,Annual!$A:$A,0),MATCH(Segments!O$1,Annual!$A$1:$Y$1,0))-N75</f>
        <v>-1.8999999999999995</v>
      </c>
      <c r="P75" s="228">
        <f>INDEX(Annual!$A:$Y,MATCH(Segments!$A75,Annual!$A:$A,0),MATCH(Segments!P$1,Annual!$A$1:$Y$1,0))*0.5</f>
        <v>-1.6708181780356544</v>
      </c>
      <c r="Q75" s="228">
        <f>INDEX(Annual!$A:$Y,MATCH(Segments!$A75,Annual!$A:$A,0),MATCH(Segments!Q$1,Annual!$A$1:$Y$1,0))-P75</f>
        <v>-1.6708181780356544</v>
      </c>
      <c r="R75" s="228">
        <f>INDEX(Annual!$A:$Y,MATCH(Segments!$A75,Annual!$A:$A,0),MATCH(Segments!R$1,Annual!$A$1:$Y$1,0))*0.5</f>
        <v>-1.9831058806863802</v>
      </c>
      <c r="S75" s="228">
        <f>INDEX(Annual!$A:$Y,MATCH(Segments!$A75,Annual!$A:$A,0),MATCH(Segments!S$1,Annual!$A$1:$Y$1,0))-R75</f>
        <v>-1.9831058806863802</v>
      </c>
      <c r="T75" s="228">
        <f>INDEX(Annual!$A:$Y,MATCH(Segments!$A75,Annual!$A:$A,0),MATCH(Segments!T$1,Annual!$A$1:$Y$1,0))*0.5</f>
        <v>-2.3917948299690575</v>
      </c>
      <c r="U75" s="228">
        <f>INDEX(Annual!$A:$Y,MATCH(Segments!$A75,Annual!$A:$A,0),MATCH(Segments!U$1,Annual!$A$1:$Y$1,0))-T75</f>
        <v>-2.3917948299690575</v>
      </c>
      <c r="V75" s="228">
        <f>INDEX(Annual!$A:$Y,MATCH(Segments!$A75,Annual!$A:$A,0),MATCH(Segments!V$1,Annual!$A$1:$Y$1,0))*0.5</f>
        <v>-2.8508125405948475</v>
      </c>
      <c r="W75" s="228">
        <f>INDEX(Annual!$A:$Y,MATCH(Segments!$A75,Annual!$A:$A,0),MATCH(Segments!W$1,Annual!$A$1:$Y$1,0))-V75</f>
        <v>-2.8508125405948475</v>
      </c>
      <c r="X75" s="228">
        <f>INDEX(Annual!$A:$Y,MATCH(Segments!$A75,Annual!$A:$A,0),MATCH(Segments!X$1,Annual!$A$1:$Y$1,0))*0.5</f>
        <v>-3.3664145647632844</v>
      </c>
      <c r="Y75" s="228">
        <f>INDEX(Annual!$A:$Y,MATCH(Segments!$A75,Annual!$A:$A,0),MATCH(Segments!Y$1,Annual!$A$1:$Y$1,0))-X75</f>
        <v>-3.3664145647632844</v>
      </c>
      <c r="Z75" s="228">
        <f>INDEX(Annual!$A:$Y,MATCH(Segments!$A75,Annual!$A:$A,0),MATCH(Segments!Z$1,Annual!$A$1:$Y$1,0))*0.5</f>
        <v>-3.9453002852814794</v>
      </c>
      <c r="AA75" s="228">
        <f>INDEX(Annual!$A:$Y,MATCH(Segments!$A75,Annual!$A:$A,0),MATCH(Segments!AA$1,Annual!$A$1:$Y$1,0))-Z75</f>
        <v>-3.9453002852814794</v>
      </c>
      <c r="AB75" s="228">
        <f>INDEX(Annual!$A:$Y,MATCH(Segments!$A75,Annual!$A:$A,0),MATCH(Segments!AB$1,Annual!$A$1:$Y$1,0))*0.5</f>
        <v>-4.5949246000520354</v>
      </c>
      <c r="AC75" s="228">
        <f>INDEX(Annual!$A:$Y,MATCH(Segments!$A75,Annual!$A:$A,0),MATCH(Segments!AC$1,Annual!$A$1:$Y$1,0))-AB75</f>
        <v>-4.5949246000520354</v>
      </c>
      <c r="AD75" s="228">
        <f>INDEX(Annual!$A:$Y,MATCH(Segments!$A75,Annual!$A:$A,0),MATCH(Segments!AD$1,Annual!$A$1:$Y$1,0))*0.5</f>
        <v>-5.3241904622609892</v>
      </c>
      <c r="AE75" s="228">
        <f>INDEX(Annual!$A:$Y,MATCH(Segments!$A75,Annual!$A:$A,0),MATCH(Segments!AE$1,Annual!$A$1:$Y$1,0))-AD75</f>
        <v>-5.3241904622609892</v>
      </c>
      <c r="AF75" s="228">
        <f>INDEX(Annual!$A:$Y,MATCH(Segments!$A75,Annual!$A:$A,0),MATCH(Segments!AF$1,Annual!$A$1:$Y$1,0))*0.5</f>
        <v>-6.1431486259137547</v>
      </c>
      <c r="AG75" s="228">
        <f>INDEX(Annual!$A:$Y,MATCH(Segments!$A75,Annual!$A:$A,0),MATCH(Segments!AG$1,Annual!$A$1:$Y$1,0))-AF75</f>
        <v>-6.1431486259137547</v>
      </c>
      <c r="AH75" s="228">
        <f>INDEX(Annual!$A:$Y,MATCH(Segments!$A75,Annual!$A:$A,0),MATCH(Segments!AH$1,Annual!$A$1:$Y$1,0))*0.5</f>
        <v>-7.0631475319290233</v>
      </c>
      <c r="AI75" s="228">
        <f>INDEX(Annual!$A:$Y,MATCH(Segments!$A75,Annual!$A:$A,0),MATCH(Segments!AI$1,Annual!$A$1:$Y$1,0))-AH75</f>
        <v>-7.0631475319290233</v>
      </c>
      <c r="AJ75" s="2"/>
      <c r="AK75" s="2"/>
      <c r="AL75" s="2"/>
      <c r="AM75" s="2"/>
    </row>
    <row r="76" spans="1:39" x14ac:dyDescent="0.25">
      <c r="A76" s="20" t="s">
        <v>145</v>
      </c>
      <c r="B76" s="36" t="s">
        <v>145</v>
      </c>
      <c r="C76" s="37" t="s">
        <v>67</v>
      </c>
      <c r="D76" s="32" t="s">
        <v>73</v>
      </c>
      <c r="E76" s="51"/>
      <c r="F76" s="39"/>
      <c r="G76" s="234">
        <f>INDEX(Annual!$A:$Y,MATCH(Segments!$A76,Annual!$A:$A,0),MATCH(Segments!G$1,Annual!$A$1:$Y$1,0))-F76</f>
        <v>0.6</v>
      </c>
      <c r="H76" s="39">
        <f t="shared" ref="H76" si="86">SUM(H73:H75)</f>
        <v>0</v>
      </c>
      <c r="I76" s="234">
        <f>INDEX(Annual!$A:$Y,MATCH(Segments!$A76,Annual!$A:$A,0),MATCH(Segments!I$1,Annual!$A$1:$Y$1,0))-H76</f>
        <v>-0.8</v>
      </c>
      <c r="J76" s="39">
        <f t="shared" ref="J76" si="87">SUM(J73:J75)</f>
        <v>0.79999999999999982</v>
      </c>
      <c r="K76" s="234">
        <f>INDEX(Annual!$A:$Y,MATCH(Segments!$A76,Annual!$A:$A,0),MATCH(Segments!K$1,Annual!$A$1:$Y$1,0))-J76</f>
        <v>2.2000000000000002</v>
      </c>
      <c r="L76" s="39">
        <f t="shared" ref="L76" si="88">SUM(L73:L75)</f>
        <v>2.1999999999999997</v>
      </c>
      <c r="M76" s="234">
        <f>INDEX(Annual!$A:$Y,MATCH(Segments!$A76,Annual!$A:$A,0),MATCH(Segments!M$1,Annual!$A$1:$Y$1,0))-L76</f>
        <v>1.7000000000000002</v>
      </c>
      <c r="N76" s="39">
        <f>SUM(N73:N75)</f>
        <v>1.9</v>
      </c>
      <c r="O76" s="234">
        <f>INDEX(Annual!$A:$Y,MATCH(Segments!$A76,Annual!$A:$A,0),MATCH(Segments!O$1,Annual!$A$1:$Y$1,0))-N76</f>
        <v>1</v>
      </c>
      <c r="P76" s="238">
        <f>SUM(P73:P75)</f>
        <v>1.9661818219643457</v>
      </c>
      <c r="Q76" s="238">
        <f>SUM(Q73:Q75)</f>
        <v>1.9661818219643457</v>
      </c>
      <c r="R76" s="238">
        <f t="shared" ref="R76:AI76" si="89">SUM(R73:R75)</f>
        <v>1.6822674377149622</v>
      </c>
      <c r="S76" s="238">
        <f t="shared" si="89"/>
        <v>1.6822674377149622</v>
      </c>
      <c r="T76" s="238">
        <f t="shared" si="89"/>
        <v>1.2385453318076278</v>
      </c>
      <c r="U76" s="238">
        <f t="shared" si="89"/>
        <v>1.2385453318076278</v>
      </c>
      <c r="V76" s="238">
        <f t="shared" si="89"/>
        <v>0.75784693264562542</v>
      </c>
      <c r="W76" s="238">
        <f t="shared" si="89"/>
        <v>0.75784693264562542</v>
      </c>
      <c r="X76" s="238">
        <f t="shared" si="89"/>
        <v>0.23324009014616731</v>
      </c>
      <c r="Y76" s="238">
        <f t="shared" si="89"/>
        <v>0.23324009014616731</v>
      </c>
      <c r="Z76" s="238">
        <f t="shared" si="89"/>
        <v>-0.34408452453706273</v>
      </c>
      <c r="AA76" s="238">
        <f t="shared" si="89"/>
        <v>-0.34408452453706273</v>
      </c>
      <c r="AB76" s="238">
        <f t="shared" si="89"/>
        <v>-0.98162781076220673</v>
      </c>
      <c r="AC76" s="238">
        <f t="shared" si="89"/>
        <v>-0.98162781076220673</v>
      </c>
      <c r="AD76" s="238">
        <f t="shared" si="89"/>
        <v>-1.6879627662670011</v>
      </c>
      <c r="AE76" s="238">
        <f t="shared" si="89"/>
        <v>-1.6879627662670011</v>
      </c>
      <c r="AF76" s="238">
        <f t="shared" si="89"/>
        <v>-2.4723412163590739</v>
      </c>
      <c r="AG76" s="238">
        <f t="shared" si="89"/>
        <v>-2.4723412163590739</v>
      </c>
      <c r="AH76" s="238">
        <f t="shared" si="89"/>
        <v>-3.3452400270353384</v>
      </c>
      <c r="AI76" s="238">
        <f t="shared" si="89"/>
        <v>-3.3452400270353384</v>
      </c>
      <c r="AJ76" s="2"/>
      <c r="AK76" s="2"/>
      <c r="AL76" s="2"/>
      <c r="AM76" s="2"/>
    </row>
    <row r="77" spans="1:39" x14ac:dyDescent="0.25">
      <c r="A77" s="307"/>
      <c r="B77" s="308"/>
      <c r="C77" s="27"/>
      <c r="D77" s="32"/>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
      <c r="AK77" s="2"/>
      <c r="AL77" s="2"/>
      <c r="AM77" s="2"/>
    </row>
    <row r="78" spans="1:39" x14ac:dyDescent="0.25">
      <c r="A78" s="20">
        <v>0</v>
      </c>
      <c r="B78" s="30" t="s">
        <v>146</v>
      </c>
      <c r="C78" s="55"/>
      <c r="D78" s="32"/>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
      <c r="AK78" s="2"/>
      <c r="AL78" s="2"/>
      <c r="AM78" s="2"/>
    </row>
    <row r="79" spans="1:39" x14ac:dyDescent="0.25">
      <c r="A79" s="20"/>
      <c r="B79" s="33" t="s">
        <v>97</v>
      </c>
      <c r="C79" s="55"/>
      <c r="D79" s="32"/>
      <c r="E79" s="29"/>
      <c r="F79" s="34"/>
      <c r="G79" s="29" t="e">
        <f>INDEX(Annual!$A:$Y,MATCH(Segments!$A79,Annual!$A:$A,0),MATCH(Segments!G$1,Annual!$A$1:$Y$1,0))-F79</f>
        <v>#N/A</v>
      </c>
      <c r="H79" s="34">
        <v>16.399999999999999</v>
      </c>
      <c r="I79" s="29" t="e">
        <f>INDEX(Annual!$A:$Y,MATCH(Segments!$A79,Annual!$A:$A,0),MATCH(Segments!I$1,Annual!$A$1:$Y$1,0))-H79</f>
        <v>#N/A</v>
      </c>
      <c r="J79" s="34">
        <v>25</v>
      </c>
      <c r="K79" s="29" t="e">
        <f>INDEX(Annual!$A:$Y,MATCH(Segments!$A79,Annual!$A:$A,0),MATCH(Segments!K$1,Annual!$A$1:$Y$1,0))-J79</f>
        <v>#N/A</v>
      </c>
      <c r="L79" s="34">
        <v>26.7</v>
      </c>
      <c r="M79" s="29" t="e">
        <f>INDEX(Annual!$A:$Y,MATCH(Segments!$A79,Annual!$A:$A,0),MATCH(Segments!M$1,Annual!$A$1:$Y$1,0))-L79</f>
        <v>#N/A</v>
      </c>
      <c r="N79" s="34">
        <v>28.9</v>
      </c>
      <c r="O79" s="29" t="e">
        <f>INDEX(Annual!$A:$Y,MATCH(Segments!$A79,Annual!$A:$A,0),MATCH(Segments!O$1,Annual!$A$1:$Y$1,0))-N79</f>
        <v>#N/A</v>
      </c>
      <c r="P79" s="29"/>
      <c r="Q79" s="29"/>
      <c r="R79" s="29"/>
      <c r="S79" s="29"/>
      <c r="T79" s="29"/>
      <c r="U79" s="29"/>
      <c r="V79" s="29"/>
      <c r="W79" s="29"/>
      <c r="X79" s="29"/>
      <c r="Y79" s="29"/>
      <c r="Z79" s="29"/>
      <c r="AA79" s="29"/>
      <c r="AB79" s="29"/>
      <c r="AC79" s="29"/>
      <c r="AD79" s="29"/>
      <c r="AE79" s="29"/>
      <c r="AF79" s="29"/>
      <c r="AG79" s="29"/>
      <c r="AH79" s="29"/>
      <c r="AI79" s="29"/>
      <c r="AJ79" s="2"/>
      <c r="AK79" s="2"/>
      <c r="AL79" s="2"/>
      <c r="AM79" s="2"/>
    </row>
    <row r="80" spans="1:39" x14ac:dyDescent="0.25">
      <c r="A80" s="20"/>
      <c r="B80" s="33" t="s">
        <v>147</v>
      </c>
      <c r="C80" s="55"/>
      <c r="D80" s="32"/>
      <c r="E80" s="29"/>
      <c r="F80" s="34"/>
      <c r="G80" s="29" t="e">
        <f>INDEX(Annual!$A:$Y,MATCH(Segments!$A80,Annual!$A:$A,0),MATCH(Segments!G$1,Annual!$A$1:$Y$1,0))-F80</f>
        <v>#N/A</v>
      </c>
      <c r="H80" s="34">
        <v>25.4</v>
      </c>
      <c r="I80" s="29" t="e">
        <f>INDEX(Annual!$A:$Y,MATCH(Segments!$A80,Annual!$A:$A,0),MATCH(Segments!I$1,Annual!$A$1:$Y$1,0))-H80</f>
        <v>#N/A</v>
      </c>
      <c r="J80" s="34">
        <v>18.600000000000001</v>
      </c>
      <c r="K80" s="29" t="e">
        <f>INDEX(Annual!$A:$Y,MATCH(Segments!$A80,Annual!$A:$A,0),MATCH(Segments!K$1,Annual!$A$1:$Y$1,0))-J80</f>
        <v>#N/A</v>
      </c>
      <c r="L80" s="34">
        <v>8.6</v>
      </c>
      <c r="M80" s="29" t="e">
        <f>INDEX(Annual!$A:$Y,MATCH(Segments!$A80,Annual!$A:$A,0),MATCH(Segments!M$1,Annual!$A$1:$Y$1,0))-L80</f>
        <v>#N/A</v>
      </c>
      <c r="N80" s="34">
        <v>8.4</v>
      </c>
      <c r="O80" s="29" t="e">
        <f>INDEX(Annual!$A:$Y,MATCH(Segments!$A80,Annual!$A:$A,0),MATCH(Segments!O$1,Annual!$A$1:$Y$1,0))-N80</f>
        <v>#N/A</v>
      </c>
      <c r="P80" s="29"/>
      <c r="Q80" s="29"/>
      <c r="R80" s="29"/>
      <c r="S80" s="29"/>
      <c r="T80" s="29"/>
      <c r="U80" s="29"/>
      <c r="V80" s="29"/>
      <c r="W80" s="29"/>
      <c r="X80" s="29"/>
      <c r="Y80" s="29"/>
      <c r="Z80" s="29"/>
      <c r="AA80" s="29"/>
      <c r="AB80" s="29"/>
      <c r="AC80" s="29"/>
      <c r="AD80" s="29"/>
      <c r="AE80" s="29"/>
      <c r="AF80" s="29"/>
      <c r="AG80" s="29"/>
      <c r="AH80" s="29"/>
      <c r="AI80" s="29"/>
      <c r="AJ80" s="2"/>
      <c r="AK80" s="2"/>
      <c r="AL80" s="2"/>
      <c r="AM80" s="2"/>
    </row>
    <row r="81" spans="1:39" x14ac:dyDescent="0.25">
      <c r="A81" s="20"/>
      <c r="B81" s="33" t="s">
        <v>102</v>
      </c>
      <c r="C81" s="55"/>
      <c r="D81" s="32"/>
      <c r="E81" s="29"/>
      <c r="F81" s="34"/>
      <c r="G81" s="29" t="e">
        <f>INDEX(Annual!$A:$Y,MATCH(Segments!$A81,Annual!$A:$A,0),MATCH(Segments!G$1,Annual!$A$1:$Y$1,0))-F81</f>
        <v>#N/A</v>
      </c>
      <c r="H81" s="34">
        <v>-0.4</v>
      </c>
      <c r="I81" s="29" t="e">
        <f>INDEX(Annual!$A:$Y,MATCH(Segments!$A81,Annual!$A:$A,0),MATCH(Segments!I$1,Annual!$A$1:$Y$1,0))-H81</f>
        <v>#N/A</v>
      </c>
      <c r="J81" s="34">
        <v>-12.3</v>
      </c>
      <c r="K81" s="29" t="e">
        <f>INDEX(Annual!$A:$Y,MATCH(Segments!$A81,Annual!$A:$A,0),MATCH(Segments!K$1,Annual!$A$1:$Y$1,0))-J81</f>
        <v>#N/A</v>
      </c>
      <c r="L81" s="34">
        <v>-12.7</v>
      </c>
      <c r="M81" s="29" t="e">
        <f>INDEX(Annual!$A:$Y,MATCH(Segments!$A81,Annual!$A:$A,0),MATCH(Segments!M$1,Annual!$A$1:$Y$1,0))-L81</f>
        <v>#N/A</v>
      </c>
      <c r="N81" s="34">
        <v>-15</v>
      </c>
      <c r="O81" s="29" t="e">
        <f>INDEX(Annual!$A:$Y,MATCH(Segments!$A81,Annual!$A:$A,0),MATCH(Segments!O$1,Annual!$A$1:$Y$1,0))-N81</f>
        <v>#N/A</v>
      </c>
      <c r="P81" s="29"/>
      <c r="Q81" s="29"/>
      <c r="R81" s="29"/>
      <c r="S81" s="29"/>
      <c r="T81" s="29"/>
      <c r="U81" s="29"/>
      <c r="V81" s="29"/>
      <c r="W81" s="29"/>
      <c r="X81" s="29"/>
      <c r="Y81" s="29"/>
      <c r="Z81" s="29"/>
      <c r="AA81" s="29"/>
      <c r="AB81" s="29"/>
      <c r="AC81" s="29"/>
      <c r="AD81" s="29"/>
      <c r="AE81" s="29"/>
      <c r="AF81" s="29"/>
      <c r="AG81" s="29"/>
      <c r="AH81" s="29"/>
      <c r="AI81" s="29"/>
      <c r="AJ81" s="2"/>
      <c r="AK81" s="2"/>
      <c r="AL81" s="2"/>
      <c r="AM81" s="2"/>
    </row>
    <row r="82" spans="1:39" x14ac:dyDescent="0.25">
      <c r="A82" s="20" t="s">
        <v>146</v>
      </c>
      <c r="B82" s="36" t="s">
        <v>146</v>
      </c>
      <c r="C82" s="37" t="s">
        <v>67</v>
      </c>
      <c r="D82" s="38"/>
      <c r="E82" s="39"/>
      <c r="F82" s="39"/>
      <c r="G82" s="39">
        <f>INDEX(Annual!$A:$Y,MATCH(Segments!$A82,Annual!$A:$A,0),MATCH(Segments!G$1,Annual!$A$1:$Y$1,0))-F82</f>
        <v>70.8</v>
      </c>
      <c r="H82" s="39">
        <v>41.4</v>
      </c>
      <c r="I82" s="39">
        <f>INDEX(Annual!$A:$Y,MATCH(Segments!$A82,Annual!$A:$A,0),MATCH(Segments!I$1,Annual!$A$1:$Y$1,0))-H82</f>
        <v>40.400000000000013</v>
      </c>
      <c r="J82" s="39">
        <v>31.2</v>
      </c>
      <c r="K82" s="39">
        <f>INDEX(Annual!$A:$Y,MATCH(Segments!$A82,Annual!$A:$A,0),MATCH(Segments!K$1,Annual!$A$1:$Y$1,0))-J82</f>
        <v>24.2</v>
      </c>
      <c r="L82" s="39">
        <v>22.6</v>
      </c>
      <c r="M82" s="39">
        <f>INDEX(Annual!$A:$Y,MATCH(Segments!$A82,Annual!$A:$A,0),MATCH(Segments!M$1,Annual!$A$1:$Y$1,0))-L82</f>
        <v>21.29999999999999</v>
      </c>
      <c r="N82" s="39">
        <v>22.3</v>
      </c>
      <c r="O82" s="39">
        <f>INDEX(Annual!$A:$Y,MATCH(Segments!$A82,Annual!$A:$A,0),MATCH(Segments!O$1,Annual!$A$1:$Y$1,0))-N82</f>
        <v>26.3</v>
      </c>
      <c r="P82" s="238">
        <f>P68+P76</f>
        <v>32.366284705645768</v>
      </c>
      <c r="Q82" s="238">
        <f t="shared" ref="Q82:AI82" si="90">Q68+Q76</f>
        <v>37.445693371605081</v>
      </c>
      <c r="R82" s="238">
        <f t="shared" si="90"/>
        <v>37.226104765965481</v>
      </c>
      <c r="S82" s="238">
        <f t="shared" si="90"/>
        <v>43.159563171054437</v>
      </c>
      <c r="T82" s="238">
        <f t="shared" si="90"/>
        <v>42.258201038479172</v>
      </c>
      <c r="U82" s="238">
        <f t="shared" si="90"/>
        <v>48.624997168717648</v>
      </c>
      <c r="V82" s="238">
        <f t="shared" si="90"/>
        <v>47.735193372499701</v>
      </c>
      <c r="W82" s="238">
        <f t="shared" si="90"/>
        <v>54.754804861081944</v>
      </c>
      <c r="X82" s="238">
        <f t="shared" si="90"/>
        <v>53.378894040645449</v>
      </c>
      <c r="Y82" s="238">
        <f t="shared" si="90"/>
        <v>61.118010734243633</v>
      </c>
      <c r="Z82" s="238">
        <f t="shared" si="90"/>
        <v>59.49572920536783</v>
      </c>
      <c r="AA82" s="238">
        <f t="shared" si="90"/>
        <v>67.996273990597004</v>
      </c>
      <c r="AB82" s="238">
        <f t="shared" si="90"/>
        <v>66.384720295014404</v>
      </c>
      <c r="AC82" s="238">
        <f t="shared" si="90"/>
        <v>75.728616242161223</v>
      </c>
      <c r="AD82" s="238">
        <f t="shared" si="90"/>
        <v>74.143277420174826</v>
      </c>
      <c r="AE82" s="238">
        <f t="shared" si="90"/>
        <v>84.421922892924655</v>
      </c>
      <c r="AF82" s="238">
        <f t="shared" si="90"/>
        <v>82.881954730881944</v>
      </c>
      <c r="AG82" s="238">
        <f t="shared" si="90"/>
        <v>94.197380830718373</v>
      </c>
      <c r="AH82" s="238">
        <f t="shared" si="90"/>
        <v>92.725735999208567</v>
      </c>
      <c r="AI82" s="238">
        <f t="shared" si="90"/>
        <v>105.19191099766515</v>
      </c>
      <c r="AJ82" s="2"/>
      <c r="AK82" s="2"/>
      <c r="AL82" s="2"/>
      <c r="AM82" s="2"/>
    </row>
    <row r="83" spans="1:39" x14ac:dyDescent="0.25">
      <c r="A83" s="307">
        <v>0</v>
      </c>
      <c r="B83" s="308"/>
      <c r="C83" s="27"/>
      <c r="D83" s="32"/>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2"/>
      <c r="AK83" s="2"/>
      <c r="AL83" s="2"/>
      <c r="AM83" s="2"/>
    </row>
    <row r="84" spans="1:39" x14ac:dyDescent="0.25">
      <c r="A84" s="20">
        <v>0</v>
      </c>
      <c r="B84" s="30" t="s">
        <v>148</v>
      </c>
      <c r="C84" s="55"/>
      <c r="D84" s="32"/>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
      <c r="AK84" s="2"/>
      <c r="AL84" s="2"/>
      <c r="AM84" s="2"/>
    </row>
    <row r="85" spans="1:39" x14ac:dyDescent="0.25">
      <c r="A85" s="20" t="s">
        <v>149</v>
      </c>
      <c r="B85" s="36" t="s">
        <v>149</v>
      </c>
      <c r="C85" s="37" t="s">
        <v>67</v>
      </c>
      <c r="D85" s="38" t="s">
        <v>94</v>
      </c>
      <c r="E85" s="51"/>
      <c r="F85" s="39"/>
      <c r="G85" s="39">
        <f>INDEX(Annual!$A:$Y,MATCH(Segments!$A85,Annual!$A:$A,0),MATCH(Segments!G$1,Annual!$A$1:$Y$1,0))-F85</f>
        <v>-19.5</v>
      </c>
      <c r="H85" s="39">
        <f t="shared" ref="H85" si="91">H89-H82</f>
        <v>-11.399999999999999</v>
      </c>
      <c r="I85" s="39">
        <f>INDEX(Annual!$A:$Y,MATCH(Segments!$A85,Annual!$A:$A,0),MATCH(Segments!I$1,Annual!$A$1:$Y$1,0))-H85</f>
        <v>-30.70000000000001</v>
      </c>
      <c r="J85" s="39">
        <f t="shared" ref="J85" si="92">J89-J82</f>
        <v>-8.5999999999999979</v>
      </c>
      <c r="K85" s="39">
        <f>INDEX(Annual!$A:$Y,MATCH(Segments!$A85,Annual!$A:$A,0),MATCH(Segments!K$1,Annual!$A$1:$Y$1,0))-J85</f>
        <v>-7.6999999999999993</v>
      </c>
      <c r="L85" s="39">
        <f t="shared" ref="L85" si="93">L89-L82</f>
        <v>-7.3000000000000007</v>
      </c>
      <c r="M85" s="39">
        <f>INDEX(Annual!$A:$Y,MATCH(Segments!$A85,Annual!$A:$A,0),MATCH(Segments!M$1,Annual!$A$1:$Y$1,0))-L85</f>
        <v>-6.0999999999999908</v>
      </c>
      <c r="N85" s="39">
        <f>N89-N82</f>
        <v>-6.6000000000000014</v>
      </c>
      <c r="O85" s="39">
        <f>INDEX(Annual!$A:$Y,MATCH(Segments!$A85,Annual!$A:$A,0),MATCH(Segments!O$1,Annual!$A$1:$Y$1,0))-N85</f>
        <v>-6.6000000000000014</v>
      </c>
      <c r="P85" s="238">
        <f>-P82*P86</f>
        <v>-9.7098854116937297</v>
      </c>
      <c r="Q85" s="238">
        <f t="shared" ref="Q85:AI85" si="94">-Q82*Q86</f>
        <v>-11.233708011481523</v>
      </c>
      <c r="R85" s="238">
        <f t="shared" si="94"/>
        <v>-11.167831429789643</v>
      </c>
      <c r="S85" s="238">
        <f>-S82*S86</f>
        <v>-12.94786895131633</v>
      </c>
      <c r="T85" s="238">
        <f t="shared" si="94"/>
        <v>-12.677460311543751</v>
      </c>
      <c r="U85" s="238">
        <f t="shared" si="94"/>
        <v>-14.587499150615294</v>
      </c>
      <c r="V85" s="238">
        <f t="shared" si="94"/>
        <v>-14.32055801174991</v>
      </c>
      <c r="W85" s="238">
        <f t="shared" si="94"/>
        <v>-16.426441458324582</v>
      </c>
      <c r="X85" s="238">
        <f t="shared" si="94"/>
        <v>-16.013668212193632</v>
      </c>
      <c r="Y85" s="238">
        <f t="shared" si="94"/>
        <v>-18.33540322027309</v>
      </c>
      <c r="Z85" s="238">
        <f t="shared" si="94"/>
        <v>-17.84871876161035</v>
      </c>
      <c r="AA85" s="238">
        <f t="shared" si="94"/>
        <v>-20.398882197179102</v>
      </c>
      <c r="AB85" s="238">
        <f t="shared" si="94"/>
        <v>-19.915416088504319</v>
      </c>
      <c r="AC85" s="238">
        <f t="shared" si="94"/>
        <v>-22.718584872648368</v>
      </c>
      <c r="AD85" s="238">
        <f t="shared" si="94"/>
        <v>-22.242983226052448</v>
      </c>
      <c r="AE85" s="238">
        <f t="shared" si="94"/>
        <v>-25.326576867877396</v>
      </c>
      <c r="AF85" s="238">
        <f t="shared" si="94"/>
        <v>-24.864586419264583</v>
      </c>
      <c r="AG85" s="238">
        <f t="shared" si="94"/>
        <v>-28.259214249215511</v>
      </c>
      <c r="AH85" s="238">
        <f t="shared" si="94"/>
        <v>-27.817720799762569</v>
      </c>
      <c r="AI85" s="238">
        <f t="shared" si="94"/>
        <v>-31.557573299299541</v>
      </c>
      <c r="AJ85" s="2"/>
      <c r="AK85" s="2"/>
      <c r="AL85" s="2"/>
      <c r="AM85" s="2"/>
    </row>
    <row r="86" spans="1:39" x14ac:dyDescent="0.25">
      <c r="A86" s="20" t="s">
        <v>150</v>
      </c>
      <c r="B86" s="33" t="s">
        <v>150</v>
      </c>
      <c r="C86" s="27" t="s">
        <v>117</v>
      </c>
      <c r="D86" s="32"/>
      <c r="E86" s="29"/>
      <c r="F86" s="40"/>
      <c r="G86" s="40">
        <f t="shared" ref="G86:M86" si="95">-G85/G82</f>
        <v>0.27542372881355931</v>
      </c>
      <c r="H86" s="40">
        <f t="shared" si="95"/>
        <v>0.27536231884057971</v>
      </c>
      <c r="I86" s="40">
        <f t="shared" si="95"/>
        <v>0.75990099009900991</v>
      </c>
      <c r="J86" s="40">
        <f t="shared" si="95"/>
        <v>0.27564102564102561</v>
      </c>
      <c r="K86" s="40">
        <f t="shared" si="95"/>
        <v>0.31818181818181818</v>
      </c>
      <c r="L86" s="40">
        <f t="shared" si="95"/>
        <v>0.32300884955752213</v>
      </c>
      <c r="M86" s="40">
        <f t="shared" si="95"/>
        <v>0.28638497652582129</v>
      </c>
      <c r="N86" s="40">
        <f>-N85/N82</f>
        <v>0.29596412556053819</v>
      </c>
      <c r="O86" s="40">
        <f>-O85/O82</f>
        <v>0.25095057034220536</v>
      </c>
      <c r="P86" s="251">
        <v>0.3</v>
      </c>
      <c r="Q86" s="251">
        <v>0.3</v>
      </c>
      <c r="R86" s="251">
        <v>0.3</v>
      </c>
      <c r="S86" s="251">
        <v>0.3</v>
      </c>
      <c r="T86" s="251">
        <v>0.3</v>
      </c>
      <c r="U86" s="251">
        <v>0.3</v>
      </c>
      <c r="V86" s="251">
        <v>0.3</v>
      </c>
      <c r="W86" s="251">
        <v>0.3</v>
      </c>
      <c r="X86" s="251">
        <v>0.3</v>
      </c>
      <c r="Y86" s="251">
        <v>0.3</v>
      </c>
      <c r="Z86" s="251">
        <v>0.3</v>
      </c>
      <c r="AA86" s="251">
        <v>0.3</v>
      </c>
      <c r="AB86" s="251">
        <v>0.3</v>
      </c>
      <c r="AC86" s="251">
        <v>0.3</v>
      </c>
      <c r="AD86" s="251">
        <v>0.3</v>
      </c>
      <c r="AE86" s="251">
        <v>0.3</v>
      </c>
      <c r="AF86" s="251">
        <v>0.3</v>
      </c>
      <c r="AG86" s="251">
        <v>0.3</v>
      </c>
      <c r="AH86" s="251">
        <v>0.3</v>
      </c>
      <c r="AI86" s="251">
        <v>0.3</v>
      </c>
      <c r="AJ86" s="2"/>
      <c r="AK86" s="2"/>
      <c r="AL86" s="2"/>
      <c r="AM86" s="2"/>
    </row>
    <row r="87" spans="1:39" x14ac:dyDescent="0.25">
      <c r="A87" s="307">
        <v>0</v>
      </c>
      <c r="B87" s="308"/>
      <c r="C87" s="27"/>
      <c r="D87" s="32"/>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2"/>
      <c r="AK87" s="2"/>
      <c r="AL87" s="2"/>
      <c r="AM87" s="2"/>
    </row>
    <row r="88" spans="1:39" x14ac:dyDescent="0.25">
      <c r="A88" s="20">
        <v>0</v>
      </c>
      <c r="B88" s="30" t="s">
        <v>151</v>
      </c>
      <c r="C88" s="27"/>
      <c r="D88" s="32"/>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2"/>
      <c r="AK88" s="2"/>
      <c r="AL88" s="2"/>
      <c r="AM88" s="2"/>
    </row>
    <row r="89" spans="1:39" x14ac:dyDescent="0.25">
      <c r="A89" s="20" t="s">
        <v>152</v>
      </c>
      <c r="B89" s="36" t="s">
        <v>152</v>
      </c>
      <c r="C89" s="37" t="s">
        <v>67</v>
      </c>
      <c r="D89" s="38"/>
      <c r="E89" s="51"/>
      <c r="F89" s="51"/>
      <c r="G89" s="39">
        <v>51.3</v>
      </c>
      <c r="H89" s="51">
        <v>30</v>
      </c>
      <c r="I89" s="39">
        <v>9.6999999999999993</v>
      </c>
      <c r="J89" s="51">
        <v>22.6</v>
      </c>
      <c r="K89" s="39">
        <v>16.5</v>
      </c>
      <c r="L89" s="51">
        <v>15.3</v>
      </c>
      <c r="M89" s="39">
        <v>15.2</v>
      </c>
      <c r="N89" s="51">
        <v>15.7</v>
      </c>
      <c r="O89" s="39">
        <f>INDEX(Annual!$A:$Y,MATCH(Segments!$A89,Annual!$A:$A,0),MATCH(Segments!O$1,Annual!$A$1:$Y$1,0))-N89</f>
        <v>19.7</v>
      </c>
      <c r="P89" s="238">
        <f>P82+P85</f>
        <v>22.656399293952038</v>
      </c>
      <c r="Q89" s="238">
        <f t="shared" ref="Q89:AI89" si="96">Q82+Q85</f>
        <v>26.211985360123556</v>
      </c>
      <c r="R89" s="238">
        <f t="shared" si="96"/>
        <v>26.058273336175837</v>
      </c>
      <c r="S89" s="238">
        <f t="shared" si="96"/>
        <v>30.211694219738106</v>
      </c>
      <c r="T89" s="238">
        <f t="shared" si="96"/>
        <v>29.580740726935421</v>
      </c>
      <c r="U89" s="238">
        <f t="shared" si="96"/>
        <v>34.037498018102355</v>
      </c>
      <c r="V89" s="238">
        <f t="shared" si="96"/>
        <v>33.414635360749791</v>
      </c>
      <c r="W89" s="238">
        <f t="shared" si="96"/>
        <v>38.328363402757361</v>
      </c>
      <c r="X89" s="238">
        <f t="shared" si="96"/>
        <v>37.365225828451813</v>
      </c>
      <c r="Y89" s="238">
        <f t="shared" si="96"/>
        <v>42.782607513970547</v>
      </c>
      <c r="Z89" s="238">
        <f t="shared" si="96"/>
        <v>41.64701044375748</v>
      </c>
      <c r="AA89" s="238">
        <f t="shared" si="96"/>
        <v>47.597391793417898</v>
      </c>
      <c r="AB89" s="238">
        <f t="shared" si="96"/>
        <v>46.469304206510088</v>
      </c>
      <c r="AC89" s="238">
        <f t="shared" si="96"/>
        <v>53.010031369512859</v>
      </c>
      <c r="AD89" s="238">
        <f t="shared" si="96"/>
        <v>51.900294194122381</v>
      </c>
      <c r="AE89" s="238">
        <f t="shared" si="96"/>
        <v>59.095346025047263</v>
      </c>
      <c r="AF89" s="238">
        <f t="shared" si="96"/>
        <v>58.017368311617361</v>
      </c>
      <c r="AG89" s="238">
        <f t="shared" si="96"/>
        <v>65.938166581502855</v>
      </c>
      <c r="AH89" s="238">
        <f t="shared" si="96"/>
        <v>64.908015199445998</v>
      </c>
      <c r="AI89" s="238">
        <f t="shared" si="96"/>
        <v>73.634337698365613</v>
      </c>
      <c r="AJ89" s="2"/>
      <c r="AK89" s="2"/>
      <c r="AL89" s="2"/>
      <c r="AM89" s="2"/>
    </row>
    <row r="90" spans="1:39" x14ac:dyDescent="0.25">
      <c r="A90" s="20" t="s">
        <v>153</v>
      </c>
      <c r="B90" s="33" t="s">
        <v>153</v>
      </c>
      <c r="C90" s="27"/>
      <c r="D90" s="32"/>
      <c r="E90" s="34"/>
      <c r="F90" s="34"/>
      <c r="G90" s="35">
        <v>0</v>
      </c>
      <c r="H90" s="34">
        <v>0</v>
      </c>
      <c r="I90" s="35">
        <v>-0.9</v>
      </c>
      <c r="J90" s="34">
        <v>-0.8</v>
      </c>
      <c r="K90" s="35">
        <v>-1</v>
      </c>
      <c r="L90" s="34">
        <v>-0.9</v>
      </c>
      <c r="M90" s="35">
        <v>-0.6</v>
      </c>
      <c r="N90" s="34">
        <v>-0.4</v>
      </c>
      <c r="O90" s="35">
        <f>INDEX(Annual!$A:$Y,MATCH(Segments!$A90,Annual!$A:$A,0),MATCH(Segments!O$1,Annual!$A$1:$Y$1,0))-N90</f>
        <v>0</v>
      </c>
      <c r="P90" s="42">
        <v>0</v>
      </c>
      <c r="Q90" s="42">
        <v>0</v>
      </c>
      <c r="R90" s="42">
        <v>0</v>
      </c>
      <c r="S90" s="42">
        <v>0</v>
      </c>
      <c r="T90" s="42">
        <v>0</v>
      </c>
      <c r="U90" s="42">
        <v>0</v>
      </c>
      <c r="V90" s="42">
        <v>0</v>
      </c>
      <c r="W90" s="42">
        <v>0</v>
      </c>
      <c r="X90" s="42">
        <v>0</v>
      </c>
      <c r="Y90" s="42">
        <v>0</v>
      </c>
      <c r="Z90" s="42">
        <v>0</v>
      </c>
      <c r="AA90" s="42">
        <v>0</v>
      </c>
      <c r="AB90" s="42">
        <v>0</v>
      </c>
      <c r="AC90" s="42">
        <v>0</v>
      </c>
      <c r="AD90" s="42">
        <v>0</v>
      </c>
      <c r="AE90" s="42">
        <v>0</v>
      </c>
      <c r="AF90" s="42">
        <v>0</v>
      </c>
      <c r="AG90" s="42">
        <v>0</v>
      </c>
      <c r="AH90" s="42">
        <v>0</v>
      </c>
      <c r="AI90" s="42">
        <v>0</v>
      </c>
      <c r="AJ90" s="2"/>
      <c r="AK90" s="2"/>
      <c r="AL90" s="2"/>
      <c r="AM90" s="2"/>
    </row>
    <row r="91" spans="1:39" x14ac:dyDescent="0.25">
      <c r="A91" s="20" t="s">
        <v>154</v>
      </c>
      <c r="B91" s="36" t="s">
        <v>154</v>
      </c>
      <c r="C91" s="37" t="s">
        <v>67</v>
      </c>
      <c r="D91" s="38"/>
      <c r="E91" s="51"/>
      <c r="F91" s="39"/>
      <c r="G91" s="39">
        <v>51.3</v>
      </c>
      <c r="H91" s="39">
        <f>H89+H90</f>
        <v>30</v>
      </c>
      <c r="I91" s="39">
        <v>8.6999999999999993</v>
      </c>
      <c r="J91" s="39">
        <f>J89+J90</f>
        <v>21.8</v>
      </c>
      <c r="K91" s="39">
        <v>15.4</v>
      </c>
      <c r="L91" s="39">
        <f>L89+L90</f>
        <v>14.4</v>
      </c>
      <c r="M91" s="39">
        <v>14.6</v>
      </c>
      <c r="N91" s="39">
        <f>N89+N90</f>
        <v>15.299999999999999</v>
      </c>
      <c r="O91" s="39">
        <f>INDEX(Annual!$A:$Y,MATCH(Segments!$A91,Annual!$A:$A,0),MATCH(Segments!O$1,Annual!$A$1:$Y$1,0))-N91</f>
        <v>19.700000000000003</v>
      </c>
      <c r="P91" s="238">
        <f>P89+P90</f>
        <v>22.656399293952038</v>
      </c>
      <c r="Q91" s="238">
        <f t="shared" ref="Q91:AI91" si="97">Q89+Q90</f>
        <v>26.211985360123556</v>
      </c>
      <c r="R91" s="238">
        <f t="shared" si="97"/>
        <v>26.058273336175837</v>
      </c>
      <c r="S91" s="238">
        <f t="shared" si="97"/>
        <v>30.211694219738106</v>
      </c>
      <c r="T91" s="238">
        <f t="shared" si="97"/>
        <v>29.580740726935421</v>
      </c>
      <c r="U91" s="238">
        <f t="shared" si="97"/>
        <v>34.037498018102355</v>
      </c>
      <c r="V91" s="238">
        <f t="shared" si="97"/>
        <v>33.414635360749791</v>
      </c>
      <c r="W91" s="238">
        <f t="shared" si="97"/>
        <v>38.328363402757361</v>
      </c>
      <c r="X91" s="238">
        <f t="shared" si="97"/>
        <v>37.365225828451813</v>
      </c>
      <c r="Y91" s="238">
        <f t="shared" si="97"/>
        <v>42.782607513970547</v>
      </c>
      <c r="Z91" s="238">
        <f t="shared" si="97"/>
        <v>41.64701044375748</v>
      </c>
      <c r="AA91" s="238">
        <f t="shared" si="97"/>
        <v>47.597391793417898</v>
      </c>
      <c r="AB91" s="238">
        <f t="shared" si="97"/>
        <v>46.469304206510088</v>
      </c>
      <c r="AC91" s="238">
        <f t="shared" si="97"/>
        <v>53.010031369512859</v>
      </c>
      <c r="AD91" s="238">
        <f t="shared" si="97"/>
        <v>51.900294194122381</v>
      </c>
      <c r="AE91" s="238">
        <f t="shared" si="97"/>
        <v>59.095346025047263</v>
      </c>
      <c r="AF91" s="238">
        <f t="shared" si="97"/>
        <v>58.017368311617361</v>
      </c>
      <c r="AG91" s="238">
        <f t="shared" si="97"/>
        <v>65.938166581502855</v>
      </c>
      <c r="AH91" s="238">
        <f t="shared" si="97"/>
        <v>64.908015199445998</v>
      </c>
      <c r="AI91" s="238">
        <f t="shared" si="97"/>
        <v>73.634337698365613</v>
      </c>
      <c r="AJ91" s="2"/>
      <c r="AK91" s="2"/>
      <c r="AL91" s="2"/>
      <c r="AM91" s="2"/>
    </row>
    <row r="92" spans="1:39" x14ac:dyDescent="0.25">
      <c r="A92" s="20" t="s">
        <v>155</v>
      </c>
      <c r="B92" s="33" t="s">
        <v>155</v>
      </c>
      <c r="C92" s="27"/>
      <c r="D92" s="32"/>
      <c r="E92" s="35"/>
      <c r="F92" s="34"/>
      <c r="G92" s="35"/>
      <c r="H92" s="34"/>
      <c r="I92" s="35"/>
      <c r="J92" s="34"/>
      <c r="K92" s="35"/>
      <c r="L92" s="34"/>
      <c r="M92" s="35"/>
      <c r="N92" s="34">
        <v>1.2</v>
      </c>
      <c r="O92" s="29">
        <f>INDEX(Annual!$A:$Y,MATCH(Segments!$A92,Annual!$A:$A,0),MATCH(Segments!O$1,Annual!$A$1:$Y$1,0))-N92</f>
        <v>1.2</v>
      </c>
      <c r="P92" s="239">
        <f>N92*P64/N64</f>
        <v>1.9199001671255354</v>
      </c>
      <c r="Q92" s="239">
        <f t="shared" ref="Q92:AI92" si="98">O92*Q64/O64</f>
        <v>1.4047542190575641</v>
      </c>
      <c r="R92" s="239">
        <f t="shared" si="98"/>
        <v>2.1578559505195916</v>
      </c>
      <c r="S92" s="239">
        <f t="shared" si="98"/>
        <v>1.5911415567849325</v>
      </c>
      <c r="T92" s="239">
        <f t="shared" si="98"/>
        <v>2.3895371343233407</v>
      </c>
      <c r="U92" s="239">
        <f t="shared" si="98"/>
        <v>1.758895078754368</v>
      </c>
      <c r="V92" s="239">
        <f t="shared" si="98"/>
        <v>2.641865693631511</v>
      </c>
      <c r="W92" s="239">
        <f t="shared" si="98"/>
        <v>1.9416392113024428</v>
      </c>
      <c r="X92" s="239">
        <f t="shared" si="98"/>
        <v>2.9239454928239494</v>
      </c>
      <c r="Y92" s="239">
        <f t="shared" si="98"/>
        <v>2.145978990998223</v>
      </c>
      <c r="Z92" s="239">
        <f t="shared" si="98"/>
        <v>3.2220337263003409</v>
      </c>
      <c r="AA92" s="239">
        <f t="shared" si="98"/>
        <v>2.3618096467980374</v>
      </c>
      <c r="AB92" s="239">
        <f t="shared" si="98"/>
        <v>3.5519528043170174</v>
      </c>
      <c r="AC92" s="239">
        <f t="shared" si="98"/>
        <v>2.6005665401080944</v>
      </c>
      <c r="AD92" s="239">
        <f t="shared" si="98"/>
        <v>3.9173260167443833</v>
      </c>
      <c r="AE92" s="239">
        <f t="shared" si="98"/>
        <v>2.8648482504061157</v>
      </c>
      <c r="AF92" s="239">
        <f t="shared" si="98"/>
        <v>4.3222054076855656</v>
      </c>
      <c r="AG92" s="239">
        <f t="shared" si="98"/>
        <v>3.1575603221993651</v>
      </c>
      <c r="AH92" s="239">
        <f t="shared" si="98"/>
        <v>4.7711238397743214</v>
      </c>
      <c r="AI92" s="239">
        <f t="shared" si="98"/>
        <v>3.4819525070780406</v>
      </c>
      <c r="AJ92" s="2"/>
      <c r="AK92" s="2"/>
      <c r="AL92" s="2"/>
      <c r="AM92" s="2"/>
    </row>
    <row r="93" spans="1:39" x14ac:dyDescent="0.25">
      <c r="A93" s="20" t="s">
        <v>156</v>
      </c>
      <c r="B93" s="33" t="s">
        <v>156</v>
      </c>
      <c r="C93" s="27"/>
      <c r="D93" s="32"/>
      <c r="E93" s="35"/>
      <c r="F93" s="29"/>
      <c r="G93" s="29">
        <f>INDEX(Annual!$A:$Y,MATCH(Segments!$A93,Annual!$A:$A,0),MATCH(Segments!G$1,Annual!$A$1:$Y$1,0))-F93</f>
        <v>-1.6999999999999957</v>
      </c>
      <c r="H93" s="29">
        <f t="shared" ref="H93" si="99">H94-H92-H91</f>
        <v>-4</v>
      </c>
      <c r="I93" s="29">
        <f>INDEX(Annual!$A:$Y,MATCH(Segments!$A93,Annual!$A:$A,0),MATCH(Segments!I$1,Annual!$A$1:$Y$1,0))-H93</f>
        <v>20.999999999999993</v>
      </c>
      <c r="J93" s="29">
        <f t="shared" ref="J93" si="100">J94-J92-J91</f>
        <v>3.8000000000000007</v>
      </c>
      <c r="K93" s="29">
        <f>INDEX(Annual!$A:$Y,MATCH(Segments!$A93,Annual!$A:$A,0),MATCH(Segments!K$1,Annual!$A$1:$Y$1,0))-J93</f>
        <v>7.1999999999999922</v>
      </c>
      <c r="L93" s="29">
        <f t="shared" ref="L93" si="101">L94-L92-L91</f>
        <v>3.4999999999999982</v>
      </c>
      <c r="M93" s="29">
        <f>INDEX(Annual!$A:$Y,MATCH(Segments!$A93,Annual!$A:$A,0),MATCH(Segments!M$1,Annual!$A$1:$Y$1,0))-L93</f>
        <v>1.2000000000000028</v>
      </c>
      <c r="N93" s="29">
        <f>N94-N92-N91</f>
        <v>0.40000000000000036</v>
      </c>
      <c r="O93" s="29">
        <f>INDEX(Annual!$A:$Y,MATCH(Segments!$A93,Annual!$A:$A,0),MATCH(Segments!O$1,Annual!$A$1:$Y$1,0))-N93</f>
        <v>2.9999999999999969</v>
      </c>
      <c r="P93" s="239">
        <f t="shared" ref="P93:AI93" si="102">N93*P10/N10</f>
        <v>0.48643532399878081</v>
      </c>
      <c r="Q93" s="239">
        <f t="shared" si="102"/>
        <v>3.511885547643907</v>
      </c>
      <c r="R93" s="239">
        <f t="shared" si="102"/>
        <v>0.546724968520231</v>
      </c>
      <c r="S93" s="239">
        <f t="shared" si="102"/>
        <v>3.9778538919623272</v>
      </c>
      <c r="T93" s="239">
        <f t="shared" si="102"/>
        <v>0.60542484971078714</v>
      </c>
      <c r="U93" s="239">
        <f t="shared" si="102"/>
        <v>4.3972376968859148</v>
      </c>
      <c r="V93" s="239">
        <f t="shared" si="102"/>
        <v>0.66935605124038711</v>
      </c>
      <c r="W93" s="239">
        <f t="shared" si="102"/>
        <v>4.8540980282561019</v>
      </c>
      <c r="X93" s="239">
        <f t="shared" si="102"/>
        <v>0.74082517284535065</v>
      </c>
      <c r="Y93" s="239">
        <f t="shared" si="102"/>
        <v>5.3649474774955515</v>
      </c>
      <c r="Z93" s="239">
        <f t="shared" si="102"/>
        <v>0.81635026988641546</v>
      </c>
      <c r="AA93" s="239">
        <f t="shared" si="102"/>
        <v>5.9045241169950868</v>
      </c>
      <c r="AB93" s="239">
        <f t="shared" si="102"/>
        <v>0.89994018583954394</v>
      </c>
      <c r="AC93" s="239">
        <f t="shared" si="102"/>
        <v>6.5014163502702278</v>
      </c>
      <c r="AD93" s="239">
        <f t="shared" si="102"/>
        <v>0.99251293519956829</v>
      </c>
      <c r="AE93" s="239">
        <f t="shared" si="102"/>
        <v>7.1621206260152812</v>
      </c>
      <c r="AF93" s="239">
        <f t="shared" si="102"/>
        <v>1.0950951637368842</v>
      </c>
      <c r="AG93" s="239">
        <f t="shared" si="102"/>
        <v>7.8939008054984035</v>
      </c>
      <c r="AH93" s="239">
        <f t="shared" si="102"/>
        <v>1.20883533976336</v>
      </c>
      <c r="AI93" s="239">
        <f t="shared" si="102"/>
        <v>8.7048812676950913</v>
      </c>
      <c r="AJ93" s="2"/>
      <c r="AK93" s="2"/>
      <c r="AL93" s="2"/>
      <c r="AM93" s="2"/>
    </row>
    <row r="94" spans="1:39" x14ac:dyDescent="0.25">
      <c r="A94" s="20" t="s">
        <v>157</v>
      </c>
      <c r="B94" s="36" t="s">
        <v>157</v>
      </c>
      <c r="C94" s="37" t="s">
        <v>67</v>
      </c>
      <c r="D94" s="38"/>
      <c r="E94" s="51"/>
      <c r="F94" s="51"/>
      <c r="G94" s="39">
        <v>49.6</v>
      </c>
      <c r="H94" s="51">
        <v>26</v>
      </c>
      <c r="I94" s="39">
        <v>29.8</v>
      </c>
      <c r="J94" s="51">
        <v>25.6</v>
      </c>
      <c r="K94" s="39">
        <v>22.7</v>
      </c>
      <c r="L94" s="51">
        <v>17.899999999999999</v>
      </c>
      <c r="M94" s="39">
        <v>18.2</v>
      </c>
      <c r="N94" s="51">
        <v>16.899999999999999</v>
      </c>
      <c r="O94" s="39">
        <f>INDEX(Annual!$A:$Y,MATCH(Segments!$A94,Annual!$A:$A,0),MATCH(Segments!O$1,Annual!$A$1:$Y$1,0))-N94</f>
        <v>23.9</v>
      </c>
      <c r="P94" s="238">
        <f>P91+P92+P93</f>
        <v>25.062734785076355</v>
      </c>
      <c r="Q94" s="238">
        <f t="shared" ref="Q94:AI94" si="103">Q91+Q92+Q93</f>
        <v>31.128625126825028</v>
      </c>
      <c r="R94" s="238">
        <f t="shared" si="103"/>
        <v>28.762854255215657</v>
      </c>
      <c r="S94" s="238">
        <f t="shared" si="103"/>
        <v>35.780689668485365</v>
      </c>
      <c r="T94" s="238">
        <f t="shared" si="103"/>
        <v>32.575702710969551</v>
      </c>
      <c r="U94" s="238">
        <f t="shared" si="103"/>
        <v>40.193630793742642</v>
      </c>
      <c r="V94" s="238">
        <f t="shared" si="103"/>
        <v>36.725857105621685</v>
      </c>
      <c r="W94" s="238">
        <f t="shared" si="103"/>
        <v>45.124100642315909</v>
      </c>
      <c r="X94" s="238">
        <f t="shared" si="103"/>
        <v>41.029996494121107</v>
      </c>
      <c r="Y94" s="238">
        <f t="shared" si="103"/>
        <v>50.293533982464325</v>
      </c>
      <c r="Z94" s="238">
        <f t="shared" si="103"/>
        <v>45.685394439944233</v>
      </c>
      <c r="AA94" s="238">
        <f t="shared" si="103"/>
        <v>55.863725557211019</v>
      </c>
      <c r="AB94" s="238">
        <f t="shared" si="103"/>
        <v>50.921197196666654</v>
      </c>
      <c r="AC94" s="238">
        <f t="shared" si="103"/>
        <v>62.112014259891183</v>
      </c>
      <c r="AD94" s="238">
        <f t="shared" si="103"/>
        <v>56.810133146066335</v>
      </c>
      <c r="AE94" s="238">
        <f t="shared" si="103"/>
        <v>69.122314901468656</v>
      </c>
      <c r="AF94" s="238">
        <f t="shared" si="103"/>
        <v>63.434668883039812</v>
      </c>
      <c r="AG94" s="238">
        <f t="shared" si="103"/>
        <v>76.989627709200619</v>
      </c>
      <c r="AH94" s="238">
        <f t="shared" si="103"/>
        <v>70.887974378983671</v>
      </c>
      <c r="AI94" s="238">
        <f t="shared" si="103"/>
        <v>85.821171473138733</v>
      </c>
      <c r="AJ94" s="22"/>
      <c r="AK94" s="22"/>
      <c r="AL94" s="22"/>
      <c r="AM94" s="22"/>
    </row>
    <row r="95" spans="1:39" x14ac:dyDescent="0.25">
      <c r="A95" s="20">
        <v>0</v>
      </c>
      <c r="B95" s="33" t="s">
        <v>158</v>
      </c>
      <c r="C95" s="27" t="s">
        <v>77</v>
      </c>
      <c r="D95" s="28"/>
      <c r="E95" s="29"/>
      <c r="F95" s="145"/>
      <c r="G95" s="225"/>
      <c r="H95" s="225"/>
      <c r="I95" s="225">
        <f t="shared" ref="I95:N95" si="104">I94/G94-1</f>
        <v>-0.39919354838709675</v>
      </c>
      <c r="J95" s="225">
        <f t="shared" si="104"/>
        <v>-1.538461538461533E-2</v>
      </c>
      <c r="K95" s="225">
        <f t="shared" si="104"/>
        <v>-0.23825503355704702</v>
      </c>
      <c r="L95" s="225">
        <f t="shared" si="104"/>
        <v>-0.30078125000000011</v>
      </c>
      <c r="M95" s="225">
        <f t="shared" si="104"/>
        <v>-0.19823788546255505</v>
      </c>
      <c r="N95" s="225">
        <f t="shared" si="104"/>
        <v>-5.5865921787709549E-2</v>
      </c>
      <c r="O95" s="225">
        <f>O94/M94-1</f>
        <v>0.31318681318681318</v>
      </c>
      <c r="P95" s="225">
        <f t="shared" ref="P95:AI95" si="105">P94/N94-1</f>
        <v>0.48300205828854192</v>
      </c>
      <c r="Q95" s="225">
        <f t="shared" si="105"/>
        <v>0.30245293417677943</v>
      </c>
      <c r="R95" s="225">
        <f t="shared" si="105"/>
        <v>0.14763430654592979</v>
      </c>
      <c r="S95" s="225">
        <f t="shared" si="105"/>
        <v>0.14944651499084127</v>
      </c>
      <c r="T95" s="225">
        <f t="shared" si="105"/>
        <v>0.1325615469842496</v>
      </c>
      <c r="U95" s="225">
        <f t="shared" si="105"/>
        <v>0.12333303706954735</v>
      </c>
      <c r="V95" s="225">
        <f t="shared" si="105"/>
        <v>0.12740030296428917</v>
      </c>
      <c r="W95" s="225">
        <f t="shared" si="105"/>
        <v>0.12266793895466743</v>
      </c>
      <c r="X95" s="225">
        <f t="shared" si="105"/>
        <v>0.11719643128058088</v>
      </c>
      <c r="Y95" s="225">
        <f t="shared" si="105"/>
        <v>0.11456036278982795</v>
      </c>
      <c r="Z95" s="225">
        <f t="shared" si="105"/>
        <v>0.11346327915212373</v>
      </c>
      <c r="AA95" s="225">
        <f t="shared" si="105"/>
        <v>0.11075363239912384</v>
      </c>
      <c r="AB95" s="225">
        <f t="shared" si="105"/>
        <v>0.11460561566574956</v>
      </c>
      <c r="AC95" s="225">
        <f t="shared" si="105"/>
        <v>0.11184876483544204</v>
      </c>
      <c r="AD95" s="225">
        <f t="shared" si="105"/>
        <v>0.11564802623660975</v>
      </c>
      <c r="AE95" s="225">
        <f t="shared" si="105"/>
        <v>0.11286545324781661</v>
      </c>
      <c r="AF95" s="225">
        <f t="shared" si="105"/>
        <v>0.11660834731615433</v>
      </c>
      <c r="AG95" s="225">
        <f t="shared" si="105"/>
        <v>0.11381726464089836</v>
      </c>
      <c r="AH95" s="225">
        <f t="shared" si="105"/>
        <v>0.11749577363895747</v>
      </c>
      <c r="AI95" s="225">
        <f t="shared" si="105"/>
        <v>0.1147108256880518</v>
      </c>
      <c r="AJ95" s="2"/>
      <c r="AK95" s="2"/>
      <c r="AL95" s="2"/>
      <c r="AM95" s="2"/>
    </row>
    <row r="96" spans="1:39" x14ac:dyDescent="0.25">
      <c r="A96" s="20">
        <v>0</v>
      </c>
      <c r="B96" s="33" t="s">
        <v>159</v>
      </c>
      <c r="C96" s="27" t="s">
        <v>117</v>
      </c>
      <c r="D96" s="32"/>
      <c r="E96" s="29"/>
      <c r="F96" s="40"/>
      <c r="G96" s="226">
        <f t="shared" ref="G96:N96" si="106">G94/G$10</f>
        <v>6.6398929049531458E-2</v>
      </c>
      <c r="H96" s="226">
        <f t="shared" si="106"/>
        <v>5.5354481583989784E-2</v>
      </c>
      <c r="I96" s="226">
        <f t="shared" si="106"/>
        <v>6.4895470383275269E-2</v>
      </c>
      <c r="J96" s="226">
        <f t="shared" si="106"/>
        <v>4.8743335872048751E-2</v>
      </c>
      <c r="K96" s="226">
        <f t="shared" si="106"/>
        <v>4.7529313232830814E-2</v>
      </c>
      <c r="L96" s="226">
        <f t="shared" si="106"/>
        <v>3.1827880512091039E-2</v>
      </c>
      <c r="M96" s="226">
        <f t="shared" si="106"/>
        <v>3.5312378734963117E-2</v>
      </c>
      <c r="N96" s="226">
        <f t="shared" si="106"/>
        <v>2.7014066496163683E-2</v>
      </c>
      <c r="O96" s="226">
        <f>O94/O$10</f>
        <v>3.9186751926545325E-2</v>
      </c>
      <c r="P96" s="226">
        <f t="shared" ref="P96:AI96" si="107">P94/P$10</f>
        <v>3.2943262333189213E-2</v>
      </c>
      <c r="Q96" s="226">
        <f t="shared" si="107"/>
        <v>4.3599570090057195E-2</v>
      </c>
      <c r="R96" s="226">
        <f t="shared" si="107"/>
        <v>3.3637702379334555E-2</v>
      </c>
      <c r="S96" s="226">
        <f t="shared" si="107"/>
        <v>4.4244827003991051E-2</v>
      </c>
      <c r="T96" s="226">
        <f t="shared" si="107"/>
        <v>3.4403038508789834E-2</v>
      </c>
      <c r="U96" s="226">
        <f t="shared" si="107"/>
        <v>4.4961409529458374E-2</v>
      </c>
      <c r="V96" s="226">
        <f t="shared" si="107"/>
        <v>3.5081487316793732E-2</v>
      </c>
      <c r="W96" s="226">
        <f t="shared" si="107"/>
        <v>4.5725939553466557E-2</v>
      </c>
      <c r="X96" s="226">
        <f t="shared" si="107"/>
        <v>3.5411881325385856E-2</v>
      </c>
      <c r="Y96" s="226">
        <f t="shared" si="107"/>
        <v>4.6111505318861032E-2</v>
      </c>
      <c r="Z96" s="226">
        <f t="shared" si="107"/>
        <v>3.5781957002088242E-2</v>
      </c>
      <c r="AA96" s="226">
        <f t="shared" si="107"/>
        <v>4.6537989364113068E-2</v>
      </c>
      <c r="AB96" s="226">
        <f t="shared" si="107"/>
        <v>3.6178304669964807E-2</v>
      </c>
      <c r="AC96" s="226">
        <f t="shared" si="107"/>
        <v>4.6992684549445093E-2</v>
      </c>
      <c r="AD96" s="226">
        <f t="shared" si="107"/>
        <v>3.6597623320865823E-2</v>
      </c>
      <c r="AE96" s="226">
        <f t="shared" si="107"/>
        <v>4.7472189691230675E-2</v>
      </c>
      <c r="AF96" s="226">
        <f t="shared" si="107"/>
        <v>3.7037193247741129E-2</v>
      </c>
      <c r="AG96" s="226">
        <f t="shared" si="107"/>
        <v>4.7973695712139525E-2</v>
      </c>
      <c r="AH96" s="226">
        <f t="shared" si="107"/>
        <v>3.7494595261660699E-2</v>
      </c>
      <c r="AI96" s="226">
        <f t="shared" si="107"/>
        <v>4.8494692288035816E-2</v>
      </c>
      <c r="AJ96" s="2"/>
      <c r="AK96" s="2"/>
      <c r="AL96" s="2"/>
      <c r="AM96" s="2"/>
    </row>
    <row r="97" spans="1:39" x14ac:dyDescent="0.25">
      <c r="A97" s="307">
        <v>0</v>
      </c>
      <c r="B97" s="308"/>
      <c r="C97" s="27"/>
      <c r="D97" s="32"/>
      <c r="E97" s="29"/>
      <c r="F97" s="29"/>
      <c r="G97" s="29"/>
      <c r="H97" s="29"/>
      <c r="I97" s="29"/>
      <c r="J97" s="29"/>
      <c r="K97" s="29"/>
      <c r="L97" s="29"/>
      <c r="M97" s="29"/>
      <c r="N97" s="29"/>
      <c r="O97" s="226"/>
      <c r="P97" s="226"/>
      <c r="Q97" s="226"/>
      <c r="R97" s="226"/>
      <c r="S97" s="226"/>
      <c r="T97" s="226"/>
      <c r="U97" s="226"/>
      <c r="V97" s="226"/>
      <c r="W97" s="226"/>
      <c r="X97" s="226"/>
      <c r="Y97" s="226"/>
      <c r="Z97" s="226"/>
      <c r="AA97" s="226"/>
      <c r="AB97" s="226"/>
      <c r="AC97" s="226"/>
      <c r="AD97" s="226"/>
      <c r="AE97" s="226"/>
      <c r="AF97" s="226"/>
      <c r="AG97" s="226"/>
      <c r="AH97" s="226"/>
      <c r="AI97" s="226"/>
      <c r="AJ97" s="2"/>
      <c r="AK97" s="2"/>
      <c r="AL97" s="2"/>
      <c r="AM97" s="2"/>
    </row>
    <row r="98" spans="1:39" x14ac:dyDescent="0.25">
      <c r="A98" s="20">
        <v>0</v>
      </c>
      <c r="B98" s="56" t="s">
        <v>160</v>
      </c>
      <c r="C98" s="57"/>
      <c r="D98" s="58"/>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2"/>
      <c r="AK98" s="2"/>
      <c r="AL98" s="2"/>
      <c r="AM98" s="2"/>
    </row>
    <row r="99" spans="1:39" x14ac:dyDescent="0.25">
      <c r="A99" s="307">
        <v>0</v>
      </c>
      <c r="B99" s="308"/>
      <c r="C99" s="60"/>
      <c r="D99" s="32"/>
      <c r="E99" s="35"/>
      <c r="F99" s="34"/>
      <c r="G99" s="35"/>
      <c r="H99" s="34"/>
      <c r="I99" s="35"/>
      <c r="J99" s="34"/>
      <c r="K99" s="35"/>
      <c r="L99" s="34"/>
      <c r="M99" s="35"/>
      <c r="N99" s="34"/>
      <c r="O99" s="35"/>
      <c r="P99" s="35"/>
      <c r="Q99" s="35"/>
      <c r="R99" s="35"/>
      <c r="S99" s="35"/>
      <c r="T99" s="35"/>
      <c r="U99" s="35"/>
      <c r="V99" s="35"/>
      <c r="W99" s="35"/>
      <c r="X99" s="35"/>
      <c r="Y99" s="35"/>
      <c r="Z99" s="35"/>
      <c r="AA99" s="35"/>
      <c r="AB99" s="35"/>
      <c r="AC99" s="35"/>
      <c r="AD99" s="35"/>
      <c r="AE99" s="35"/>
      <c r="AF99" s="35"/>
      <c r="AG99" s="35"/>
      <c r="AH99" s="35"/>
      <c r="AI99" s="35"/>
      <c r="AJ99" s="2"/>
      <c r="AK99" s="2"/>
      <c r="AL99" s="2"/>
      <c r="AM99" s="2"/>
    </row>
    <row r="100" spans="1:39" x14ac:dyDescent="0.25">
      <c r="A100" s="20">
        <v>0</v>
      </c>
      <c r="B100" s="61" t="s">
        <v>97</v>
      </c>
      <c r="C100" s="60"/>
      <c r="D100" s="32"/>
      <c r="E100" s="35"/>
      <c r="F100" s="34"/>
      <c r="G100" s="35"/>
      <c r="H100" s="34"/>
      <c r="I100" s="35"/>
      <c r="J100" s="34"/>
      <c r="K100" s="35"/>
      <c r="L100" s="34"/>
      <c r="M100" s="35"/>
      <c r="N100" s="34"/>
      <c r="O100" s="35"/>
      <c r="P100" s="35"/>
      <c r="Q100" s="35"/>
      <c r="R100" s="35"/>
      <c r="S100" s="35"/>
      <c r="T100" s="35"/>
      <c r="U100" s="35"/>
      <c r="V100" s="35"/>
      <c r="W100" s="35"/>
      <c r="X100" s="35"/>
      <c r="Y100" s="35"/>
      <c r="Z100" s="35"/>
      <c r="AA100" s="35"/>
      <c r="AB100" s="35"/>
      <c r="AC100" s="35"/>
      <c r="AD100" s="35"/>
      <c r="AE100" s="35"/>
      <c r="AF100" s="35"/>
      <c r="AG100" s="35"/>
      <c r="AH100" s="35"/>
      <c r="AI100" s="35"/>
      <c r="AJ100" s="2"/>
      <c r="AK100" s="2"/>
      <c r="AL100" s="2"/>
      <c r="AM100" s="2"/>
    </row>
    <row r="101" spans="1:39" x14ac:dyDescent="0.25">
      <c r="A101" s="307">
        <v>0</v>
      </c>
      <c r="B101" s="308"/>
      <c r="C101" s="60"/>
      <c r="D101" s="32"/>
      <c r="E101" s="35"/>
      <c r="F101" s="34"/>
      <c r="G101" s="35"/>
      <c r="H101" s="34"/>
      <c r="I101" s="35"/>
      <c r="J101" s="34"/>
      <c r="K101" s="35"/>
      <c r="L101" s="34"/>
      <c r="M101" s="35"/>
      <c r="N101" s="34"/>
      <c r="O101" s="35"/>
      <c r="P101" s="35"/>
      <c r="Q101" s="35"/>
      <c r="R101" s="35"/>
      <c r="S101" s="35"/>
      <c r="T101" s="35"/>
      <c r="U101" s="35"/>
      <c r="V101" s="35"/>
      <c r="W101" s="35"/>
      <c r="X101" s="35"/>
      <c r="Y101" s="35"/>
      <c r="Z101" s="35"/>
      <c r="AA101" s="35"/>
      <c r="AB101" s="35"/>
      <c r="AC101" s="35"/>
      <c r="AD101" s="35"/>
      <c r="AE101" s="35"/>
      <c r="AF101" s="35"/>
      <c r="AG101" s="35"/>
      <c r="AH101" s="35"/>
      <c r="AI101" s="35"/>
      <c r="AJ101" s="2"/>
      <c r="AK101" s="2"/>
      <c r="AL101" s="2"/>
      <c r="AM101" s="2"/>
    </row>
    <row r="102" spans="1:39" x14ac:dyDescent="0.25">
      <c r="A102" s="20">
        <v>0</v>
      </c>
      <c r="B102" s="30" t="s">
        <v>161</v>
      </c>
      <c r="C102" s="60"/>
      <c r="D102" s="32"/>
      <c r="E102" s="35"/>
      <c r="F102" s="34"/>
      <c r="G102" s="35"/>
      <c r="H102" s="34"/>
      <c r="I102" s="35"/>
      <c r="J102" s="34"/>
      <c r="K102" s="35"/>
      <c r="L102" s="34"/>
      <c r="M102" s="35"/>
      <c r="N102" s="34"/>
      <c r="O102" s="35"/>
      <c r="P102" s="35"/>
      <c r="Q102" s="35"/>
      <c r="R102" s="35"/>
      <c r="S102" s="35"/>
      <c r="T102" s="35"/>
      <c r="U102" s="35"/>
      <c r="V102" s="35"/>
      <c r="W102" s="35"/>
      <c r="X102" s="35"/>
      <c r="Y102" s="35"/>
      <c r="Z102" s="35"/>
      <c r="AA102" s="35"/>
      <c r="AB102" s="35"/>
      <c r="AC102" s="35"/>
      <c r="AD102" s="35"/>
      <c r="AE102" s="35"/>
      <c r="AF102" s="35"/>
      <c r="AG102" s="35"/>
      <c r="AH102" s="35"/>
      <c r="AI102" s="35"/>
      <c r="AJ102" s="2"/>
      <c r="AK102" s="2"/>
      <c r="AL102" s="2"/>
      <c r="AM102" s="2"/>
    </row>
    <row r="103" spans="1:39" x14ac:dyDescent="0.25">
      <c r="A103" s="20" t="s">
        <v>162</v>
      </c>
      <c r="B103" s="33" t="s">
        <v>163</v>
      </c>
      <c r="C103" s="60" t="s">
        <v>67</v>
      </c>
      <c r="D103" s="32" t="s">
        <v>164</v>
      </c>
      <c r="E103" s="35"/>
      <c r="F103" s="34"/>
      <c r="G103" s="62">
        <f>INDEX(Annual!$A:$Y,MATCH(Segments!$A103,Annual!$A:$A,0),MATCH(Segments!G$1,Annual!$A$1:$Y$1,0))-F103</f>
        <v>43632</v>
      </c>
      <c r="H103" s="63">
        <v>30774</v>
      </c>
      <c r="I103" s="62">
        <f>INDEX(Annual!$A:$Y,MATCH(Segments!$A103,Annual!$A:$A,0),MATCH(Segments!I$1,Annual!$A$1:$Y$1,0))-H103</f>
        <v>28619</v>
      </c>
      <c r="J103" s="63">
        <v>28598</v>
      </c>
      <c r="K103" s="62">
        <f>INDEX(Annual!$A:$Y,MATCH(Segments!$A103,Annual!$A:$A,0),MATCH(Segments!K$1,Annual!$A$1:$Y$1,0))-J103</f>
        <v>25032</v>
      </c>
      <c r="L103" s="63">
        <v>28200</v>
      </c>
      <c r="M103" s="62">
        <f>INDEX(Annual!$A:$Y,MATCH(Segments!$A103,Annual!$A:$A,0),MATCH(Segments!M$1,Annual!$A$1:$Y$1,0))-L103</f>
        <v>26981</v>
      </c>
      <c r="N103" s="63">
        <v>31840</v>
      </c>
      <c r="O103" s="62">
        <f>INDEX(Annual!$A:$Y,MATCH(Segments!$A103,Annual!$A:$A,0),MATCH(Segments!O$1,Annual!$A$1:$Y$1,0))-N103</f>
        <v>31624</v>
      </c>
      <c r="P103" s="62">
        <f>P163</f>
        <v>38208</v>
      </c>
      <c r="Q103" s="62">
        <f t="shared" ref="Q103:AI103" si="108">Q163</f>
        <v>36367.599999999999</v>
      </c>
      <c r="R103" s="62">
        <f t="shared" si="108"/>
        <v>42028.800000000003</v>
      </c>
      <c r="S103" s="62">
        <f t="shared" si="108"/>
        <v>40004.36</v>
      </c>
      <c r="T103" s="62">
        <f t="shared" si="108"/>
        <v>44550.528000000006</v>
      </c>
      <c r="U103" s="62">
        <f t="shared" si="108"/>
        <v>42404.621600000006</v>
      </c>
      <c r="V103" s="62">
        <f t="shared" si="108"/>
        <v>47223.559680000006</v>
      </c>
      <c r="W103" s="62">
        <f t="shared" si="108"/>
        <v>44948.898896000006</v>
      </c>
      <c r="X103" s="62">
        <f t="shared" si="108"/>
        <v>50056.973260800012</v>
      </c>
      <c r="Y103" s="62">
        <f t="shared" si="108"/>
        <v>47645.832829760009</v>
      </c>
      <c r="Z103" s="62">
        <f t="shared" si="108"/>
        <v>53060.391656448017</v>
      </c>
      <c r="AA103" s="62">
        <f t="shared" si="108"/>
        <v>50504.582799545613</v>
      </c>
      <c r="AB103" s="62">
        <f t="shared" si="108"/>
        <v>56244.015155834903</v>
      </c>
      <c r="AC103" s="62">
        <f t="shared" si="108"/>
        <v>53534.857767518355</v>
      </c>
      <c r="AD103" s="62">
        <f t="shared" si="108"/>
        <v>59618.656065185001</v>
      </c>
      <c r="AE103" s="62">
        <f t="shared" si="108"/>
        <v>56746.949233569459</v>
      </c>
      <c r="AF103" s="62">
        <f t="shared" si="108"/>
        <v>63195.775429096102</v>
      </c>
      <c r="AG103" s="62">
        <f t="shared" si="108"/>
        <v>60151.766187583627</v>
      </c>
      <c r="AH103" s="62">
        <f t="shared" si="108"/>
        <v>66987.521954841868</v>
      </c>
      <c r="AI103" s="62">
        <f t="shared" si="108"/>
        <v>63760.872158838647</v>
      </c>
      <c r="AJ103" s="2"/>
      <c r="AK103" s="2"/>
      <c r="AL103" s="2"/>
      <c r="AM103" s="2"/>
    </row>
    <row r="104" spans="1:39" x14ac:dyDescent="0.25">
      <c r="A104" s="20" t="s">
        <v>165</v>
      </c>
      <c r="B104" s="33" t="s">
        <v>166</v>
      </c>
      <c r="C104" s="60" t="s">
        <v>67</v>
      </c>
      <c r="D104" s="32"/>
      <c r="E104" s="35"/>
      <c r="F104" s="34"/>
      <c r="G104" s="62">
        <f>INDEX(Annual!$A:$Y,MATCH(Segments!$A104,Annual!$A:$A,0),MATCH(Segments!G$1,Annual!$A$1:$Y$1,0))-F104</f>
        <v>3450</v>
      </c>
      <c r="H104" s="63">
        <v>2799</v>
      </c>
      <c r="I104" s="62">
        <f>INDEX(Annual!$A:$Y,MATCH(Segments!$A104,Annual!$A:$A,0),MATCH(Segments!I$1,Annual!$A$1:$Y$1,0))-H104</f>
        <v>2787</v>
      </c>
      <c r="J104" s="63">
        <v>2332</v>
      </c>
      <c r="K104" s="62">
        <f>INDEX(Annual!$A:$Y,MATCH(Segments!$A104,Annual!$A:$A,0),MATCH(Segments!K$1,Annual!$A$1:$Y$1,0))-J104</f>
        <v>1272</v>
      </c>
      <c r="L104" s="63">
        <v>1462</v>
      </c>
      <c r="M104" s="62">
        <f>INDEX(Annual!$A:$Y,MATCH(Segments!$A104,Annual!$A:$A,0),MATCH(Segments!M$1,Annual!$A$1:$Y$1,0))-L104</f>
        <v>2102</v>
      </c>
      <c r="N104" s="63">
        <v>2388</v>
      </c>
      <c r="O104" s="62">
        <f>INDEX(Annual!$A:$Y,MATCH(Segments!$A104,Annual!$A:$A,0),MATCH(Segments!O$1,Annual!$A$1:$Y$1,0))-N104</f>
        <v>2006</v>
      </c>
      <c r="P104" s="35"/>
      <c r="Q104" s="35"/>
      <c r="R104" s="35"/>
      <c r="S104" s="35"/>
      <c r="T104" s="35"/>
      <c r="U104" s="35"/>
      <c r="V104" s="35"/>
      <c r="W104" s="35"/>
      <c r="X104" s="35"/>
      <c r="Y104" s="35"/>
      <c r="Z104" s="35"/>
      <c r="AA104" s="35"/>
      <c r="AB104" s="35"/>
      <c r="AC104" s="35"/>
      <c r="AD104" s="35"/>
      <c r="AE104" s="35"/>
      <c r="AF104" s="35"/>
      <c r="AG104" s="35"/>
      <c r="AH104" s="35"/>
      <c r="AI104" s="35"/>
      <c r="AJ104" s="2"/>
      <c r="AK104" s="2"/>
      <c r="AL104" s="2"/>
      <c r="AM104" s="2"/>
    </row>
    <row r="105" spans="1:39" x14ac:dyDescent="0.25">
      <c r="A105" s="20" t="s">
        <v>167</v>
      </c>
      <c r="B105" s="33" t="s">
        <v>168</v>
      </c>
      <c r="C105" s="60" t="s">
        <v>67</v>
      </c>
      <c r="D105" s="32"/>
      <c r="E105" s="35"/>
      <c r="F105" s="34"/>
      <c r="G105" s="62">
        <f>INDEX(Annual!$A:$Y,MATCH(Segments!$A105,Annual!$A:$A,0),MATCH(Segments!G$1,Annual!$A$1:$Y$1,0))-F105</f>
        <v>2322</v>
      </c>
      <c r="H105" s="63">
        <v>1771</v>
      </c>
      <c r="I105" s="62">
        <f>INDEX(Annual!$A:$Y,MATCH(Segments!$A105,Annual!$A:$A,0),MATCH(Segments!I$1,Annual!$A$1:$Y$1,0))-H105</f>
        <v>2116</v>
      </c>
      <c r="J105" s="63">
        <v>2017</v>
      </c>
      <c r="K105" s="62">
        <f>INDEX(Annual!$A:$Y,MATCH(Segments!$A105,Annual!$A:$A,0),MATCH(Segments!K$1,Annual!$A$1:$Y$1,0))-J105</f>
        <v>1766</v>
      </c>
      <c r="L105" s="63">
        <v>2389</v>
      </c>
      <c r="M105" s="62">
        <f>INDEX(Annual!$A:$Y,MATCH(Segments!$A105,Annual!$A:$A,0),MATCH(Segments!M$1,Annual!$A$1:$Y$1,0))-L105</f>
        <v>2064</v>
      </c>
      <c r="N105" s="63">
        <v>2568</v>
      </c>
      <c r="O105" s="62">
        <f>INDEX(Annual!$A:$Y,MATCH(Segments!$A105,Annual!$A:$A,0),MATCH(Segments!O$1,Annual!$A$1:$Y$1,0))-N105</f>
        <v>2491</v>
      </c>
      <c r="P105" s="62">
        <f t="shared" ref="P105:AE107" si="109">P165</f>
        <v>2953.2</v>
      </c>
      <c r="Q105" s="62">
        <f t="shared" si="109"/>
        <v>2864.6499999999996</v>
      </c>
      <c r="R105" s="62">
        <f t="shared" si="109"/>
        <v>3396.1799999999994</v>
      </c>
      <c r="S105" s="62">
        <f t="shared" si="109"/>
        <v>3294.3474999999994</v>
      </c>
      <c r="T105" s="62">
        <f t="shared" si="109"/>
        <v>3905.6069999999991</v>
      </c>
      <c r="U105" s="62">
        <f t="shared" si="109"/>
        <v>3788.499624999999</v>
      </c>
      <c r="V105" s="62">
        <f t="shared" si="109"/>
        <v>4491.4480499999981</v>
      </c>
      <c r="W105" s="62">
        <f t="shared" si="109"/>
        <v>4356.7745687499983</v>
      </c>
      <c r="X105" s="62">
        <f t="shared" si="109"/>
        <v>5165.1652574999971</v>
      </c>
      <c r="Y105" s="62">
        <f t="shared" si="109"/>
        <v>5010.2907540624974</v>
      </c>
      <c r="Z105" s="62">
        <f t="shared" si="109"/>
        <v>5475.0751729499971</v>
      </c>
      <c r="AA105" s="62">
        <f t="shared" si="109"/>
        <v>5310.9081993062473</v>
      </c>
      <c r="AB105" s="62">
        <f t="shared" si="109"/>
        <v>5803.5796833269969</v>
      </c>
      <c r="AC105" s="62">
        <f t="shared" si="109"/>
        <v>5629.5626912646221</v>
      </c>
      <c r="AD105" s="62">
        <f t="shared" si="109"/>
        <v>6151.7944643266173</v>
      </c>
      <c r="AE105" s="62">
        <f t="shared" si="109"/>
        <v>5967.3364527405001</v>
      </c>
      <c r="AF105" s="62">
        <f t="shared" ref="Q105:AI107" si="110">AF165</f>
        <v>6520.9021321862147</v>
      </c>
      <c r="AG105" s="62">
        <f t="shared" si="110"/>
        <v>6325.37663990493</v>
      </c>
      <c r="AH105" s="62">
        <f t="shared" si="110"/>
        <v>6912.1562601173882</v>
      </c>
      <c r="AI105" s="62">
        <f t="shared" si="110"/>
        <v>6704.8992382992265</v>
      </c>
      <c r="AJ105" s="2"/>
      <c r="AK105" s="2"/>
      <c r="AL105" s="2"/>
      <c r="AM105" s="2"/>
    </row>
    <row r="106" spans="1:39" x14ac:dyDescent="0.25">
      <c r="A106" s="20" t="s">
        <v>169</v>
      </c>
      <c r="B106" s="64" t="s">
        <v>170</v>
      </c>
      <c r="C106" s="65" t="s">
        <v>67</v>
      </c>
      <c r="D106" s="66"/>
      <c r="E106" s="67"/>
      <c r="F106" s="68"/>
      <c r="G106" s="69">
        <f>INDEX(Annual!$A:$Y,MATCH(Segments!$A106,Annual!$A:$A,0),MATCH(Segments!G$1,Annual!$A$1:$Y$1,0))-F106</f>
        <v>647</v>
      </c>
      <c r="H106" s="68">
        <v>421</v>
      </c>
      <c r="I106" s="69">
        <f>INDEX(Annual!$A:$Y,MATCH(Segments!$A106,Annual!$A:$A,0),MATCH(Segments!I$1,Annual!$A$1:$Y$1,0))-H106</f>
        <v>1084</v>
      </c>
      <c r="J106" s="70">
        <v>1232</v>
      </c>
      <c r="K106" s="69">
        <f>INDEX(Annual!$A:$Y,MATCH(Segments!$A106,Annual!$A:$A,0),MATCH(Segments!K$1,Annual!$A$1:$Y$1,0))-J106</f>
        <v>1379</v>
      </c>
      <c r="L106" s="70">
        <v>1575</v>
      </c>
      <c r="M106" s="69">
        <f>INDEX(Annual!$A:$Y,MATCH(Segments!$A106,Annual!$A:$A,0),MATCH(Segments!M$1,Annual!$A$1:$Y$1,0))-L106</f>
        <v>1596</v>
      </c>
      <c r="N106" s="70">
        <v>1758</v>
      </c>
      <c r="O106" s="69">
        <f>INDEX(Annual!$A:$Y,MATCH(Segments!$A106,Annual!$A:$A,0),MATCH(Segments!O$1,Annual!$A$1:$Y$1,0))-N106</f>
        <v>1706</v>
      </c>
      <c r="P106" s="69">
        <f t="shared" si="109"/>
        <v>1933.8000000000002</v>
      </c>
      <c r="Q106" s="69">
        <f t="shared" si="110"/>
        <v>1876.6000000000001</v>
      </c>
      <c r="R106" s="69">
        <f t="shared" si="110"/>
        <v>2127.1800000000003</v>
      </c>
      <c r="S106" s="69">
        <f t="shared" si="110"/>
        <v>2064.2600000000002</v>
      </c>
      <c r="T106" s="69">
        <f t="shared" si="110"/>
        <v>2339.8980000000006</v>
      </c>
      <c r="U106" s="69">
        <f t="shared" si="110"/>
        <v>2270.6860000000006</v>
      </c>
      <c r="V106" s="69">
        <f t="shared" si="110"/>
        <v>2480.2918800000007</v>
      </c>
      <c r="W106" s="69">
        <f t="shared" si="110"/>
        <v>2406.9271600000006</v>
      </c>
      <c r="X106" s="69">
        <f t="shared" si="110"/>
        <v>2629.1093928000009</v>
      </c>
      <c r="Y106" s="69">
        <f t="shared" si="110"/>
        <v>2551.3427896000007</v>
      </c>
      <c r="Z106" s="69">
        <f t="shared" si="110"/>
        <v>2786.855956368001</v>
      </c>
      <c r="AA106" s="69">
        <f t="shared" si="110"/>
        <v>2704.4233569760008</v>
      </c>
      <c r="AB106" s="69">
        <f t="shared" si="110"/>
        <v>2954.0673137500812</v>
      </c>
      <c r="AC106" s="69">
        <f t="shared" si="110"/>
        <v>2866.6887583945609</v>
      </c>
      <c r="AD106" s="69">
        <f t="shared" si="110"/>
        <v>3131.3113525750864</v>
      </c>
      <c r="AE106" s="69">
        <f t="shared" si="110"/>
        <v>3038.6900838982347</v>
      </c>
      <c r="AF106" s="69">
        <f t="shared" si="110"/>
        <v>3319.190033729592</v>
      </c>
      <c r="AG106" s="69">
        <f t="shared" si="110"/>
        <v>3221.0114889321289</v>
      </c>
      <c r="AH106" s="69">
        <f t="shared" si="110"/>
        <v>3518.3414357533675</v>
      </c>
      <c r="AI106" s="69">
        <f t="shared" si="110"/>
        <v>3414.2721782680569</v>
      </c>
      <c r="AJ106" s="2"/>
      <c r="AK106" s="2"/>
      <c r="AL106" s="2"/>
      <c r="AM106" s="2"/>
    </row>
    <row r="107" spans="1:39" x14ac:dyDescent="0.25">
      <c r="A107" s="20" t="s">
        <v>171</v>
      </c>
      <c r="B107" s="33" t="s">
        <v>220</v>
      </c>
      <c r="C107" s="60" t="s">
        <v>67</v>
      </c>
      <c r="D107" s="32"/>
      <c r="E107" s="35"/>
      <c r="F107" s="29"/>
      <c r="G107" s="62">
        <f>INDEX(Annual!$A:$Y,MATCH(Segments!$A107,Annual!$A:$A,0),MATCH(Segments!G$1,Annual!$A$1:$Y$1,0))-F107</f>
        <v>46601</v>
      </c>
      <c r="H107" s="71">
        <f t="shared" ref="H107" si="111">SUM(H103:H106)-H104</f>
        <v>32966</v>
      </c>
      <c r="I107" s="62">
        <f>INDEX(Annual!$A:$Y,MATCH(Segments!$A107,Annual!$A:$A,0),MATCH(Segments!I$1,Annual!$A$1:$Y$1,0))-H107</f>
        <v>31819</v>
      </c>
      <c r="J107" s="71">
        <f t="shared" ref="J107" si="112">SUM(J103:J106)-J104</f>
        <v>31847</v>
      </c>
      <c r="K107" s="62">
        <f>INDEX(Annual!$A:$Y,MATCH(Segments!$A107,Annual!$A:$A,0),MATCH(Segments!K$1,Annual!$A$1:$Y$1,0))-J107</f>
        <v>28177</v>
      </c>
      <c r="L107" s="71">
        <f t="shared" ref="L107" si="113">SUM(L103:L106)-L104</f>
        <v>32164</v>
      </c>
      <c r="M107" s="62">
        <f>INDEX(Annual!$A:$Y,MATCH(Segments!$A107,Annual!$A:$A,0),MATCH(Segments!M$1,Annual!$A$1:$Y$1,0))-L107</f>
        <v>30641</v>
      </c>
      <c r="N107" s="71">
        <f>SUM(N103:N106)-N104</f>
        <v>36166</v>
      </c>
      <c r="O107" s="62">
        <f>INDEX(Annual!$A:$Y,MATCH(Segments!$A107,Annual!$A:$A,0),MATCH(Segments!O$1,Annual!$A$1:$Y$1,0))-N107</f>
        <v>35821</v>
      </c>
      <c r="P107" s="62">
        <f t="shared" si="109"/>
        <v>43095</v>
      </c>
      <c r="Q107" s="62">
        <f t="shared" si="110"/>
        <v>41108.85</v>
      </c>
      <c r="R107" s="62">
        <f t="shared" si="110"/>
        <v>47552.160000000003</v>
      </c>
      <c r="S107" s="62">
        <f t="shared" si="110"/>
        <v>45362.967499999999</v>
      </c>
      <c r="T107" s="62">
        <f t="shared" si="110"/>
        <v>50796.033000000003</v>
      </c>
      <c r="U107" s="62">
        <f t="shared" si="110"/>
        <v>48463.807225000004</v>
      </c>
      <c r="V107" s="62">
        <f t="shared" si="110"/>
        <v>54195.299610000002</v>
      </c>
      <c r="W107" s="62">
        <f t="shared" si="110"/>
        <v>51712.600624750004</v>
      </c>
      <c r="X107" s="62">
        <f t="shared" si="110"/>
        <v>57851.247911100014</v>
      </c>
      <c r="Y107" s="62">
        <f t="shared" si="110"/>
        <v>55207.466373422503</v>
      </c>
      <c r="Z107" s="62">
        <f t="shared" si="110"/>
        <v>61322.322785766017</v>
      </c>
      <c r="AA107" s="62">
        <f t="shared" si="110"/>
        <v>58519.914355827867</v>
      </c>
      <c r="AB107" s="62">
        <f t="shared" si="110"/>
        <v>65001.66215291198</v>
      </c>
      <c r="AC107" s="62">
        <f t="shared" si="110"/>
        <v>62031.109217177538</v>
      </c>
      <c r="AD107" s="62">
        <f t="shared" si="110"/>
        <v>68901.761882086706</v>
      </c>
      <c r="AE107" s="62">
        <f t="shared" si="110"/>
        <v>65752.975770208199</v>
      </c>
      <c r="AF107" s="62">
        <f t="shared" si="110"/>
        <v>73035.867595011907</v>
      </c>
      <c r="AG107" s="62">
        <f t="shared" si="110"/>
        <v>69698.154316420681</v>
      </c>
      <c r="AH107" s="62">
        <f t="shared" si="110"/>
        <v>77418.019650712624</v>
      </c>
      <c r="AI107" s="62">
        <f t="shared" si="110"/>
        <v>73880.043575405929</v>
      </c>
      <c r="AJ107" s="2"/>
      <c r="AK107" s="2"/>
      <c r="AL107" s="2"/>
      <c r="AM107" s="2"/>
    </row>
    <row r="108" spans="1:39" x14ac:dyDescent="0.25">
      <c r="A108" s="20">
        <v>0</v>
      </c>
      <c r="B108" s="33" t="s">
        <v>76</v>
      </c>
      <c r="C108" s="27" t="s">
        <v>77</v>
      </c>
      <c r="D108" s="29"/>
      <c r="E108" s="29"/>
      <c r="F108" s="29"/>
      <c r="G108" s="226" t="e">
        <f>G107/E107-1</f>
        <v>#DIV/0!</v>
      </c>
      <c r="H108" s="226" t="e">
        <f t="shared" ref="H108:L108" si="114">H107/F107-1</f>
        <v>#DIV/0!</v>
      </c>
      <c r="I108" s="226">
        <f>I107/G107-1</f>
        <v>-0.31720349348726418</v>
      </c>
      <c r="J108" s="226">
        <f t="shared" si="114"/>
        <v>-3.3944063580658823E-2</v>
      </c>
      <c r="K108" s="226">
        <f>K107/I107-1</f>
        <v>-0.11445991388792864</v>
      </c>
      <c r="L108" s="226">
        <f t="shared" si="114"/>
        <v>9.953841806135566E-3</v>
      </c>
      <c r="M108" s="226">
        <f>M107/K107-1</f>
        <v>8.7447208716328939E-2</v>
      </c>
      <c r="N108" s="226">
        <f>N107/L107-1</f>
        <v>0.12442482278323586</v>
      </c>
      <c r="O108" s="226">
        <f>O107/M107-1</f>
        <v>0.16905453477366916</v>
      </c>
      <c r="P108" s="226">
        <f>P107/N107-1</f>
        <v>0.19158878504672905</v>
      </c>
      <c r="Q108" s="226">
        <f t="shared" ref="Q108:AI108" si="115">Q107/O107-1</f>
        <v>0.14761871527874715</v>
      </c>
      <c r="R108" s="226">
        <f t="shared" si="115"/>
        <v>0.10342638357117995</v>
      </c>
      <c r="S108" s="226">
        <f t="shared" si="115"/>
        <v>0.10348422541618163</v>
      </c>
      <c r="T108" s="226">
        <f t="shared" si="115"/>
        <v>6.8217153542551978E-2</v>
      </c>
      <c r="U108" s="226">
        <f t="shared" si="115"/>
        <v>6.8356192195759835E-2</v>
      </c>
      <c r="V108" s="226">
        <f t="shared" si="115"/>
        <v>6.6919922860905201E-2</v>
      </c>
      <c r="W108" s="226">
        <f t="shared" si="115"/>
        <v>6.7035455647696418E-2</v>
      </c>
      <c r="X108" s="226">
        <f t="shared" si="115"/>
        <v>6.7458770915723942E-2</v>
      </c>
      <c r="Y108" s="226">
        <f t="shared" si="115"/>
        <v>6.7582479056368161E-2</v>
      </c>
      <c r="Z108" s="226">
        <f t="shared" si="115"/>
        <v>6.0000000000000053E-2</v>
      </c>
      <c r="AA108" s="226">
        <f t="shared" si="115"/>
        <v>6.0000000000000275E-2</v>
      </c>
      <c r="AB108" s="226">
        <f t="shared" si="115"/>
        <v>6.0000000000000053E-2</v>
      </c>
      <c r="AC108" s="226">
        <f t="shared" si="115"/>
        <v>6.0000000000000053E-2</v>
      </c>
      <c r="AD108" s="226">
        <f t="shared" si="115"/>
        <v>6.0000000000000053E-2</v>
      </c>
      <c r="AE108" s="226">
        <f t="shared" si="115"/>
        <v>6.0000000000000053E-2</v>
      </c>
      <c r="AF108" s="226">
        <f t="shared" si="115"/>
        <v>6.0000000000000053E-2</v>
      </c>
      <c r="AG108" s="226">
        <f t="shared" si="115"/>
        <v>5.9999999999999831E-2</v>
      </c>
      <c r="AH108" s="226">
        <f t="shared" si="115"/>
        <v>6.0000000000000053E-2</v>
      </c>
      <c r="AI108" s="226">
        <f t="shared" si="115"/>
        <v>6.0000000000000053E-2</v>
      </c>
      <c r="AJ108" s="2"/>
      <c r="AK108" s="2"/>
      <c r="AL108" s="2"/>
      <c r="AM108" s="2"/>
    </row>
    <row r="109" spans="1:39" x14ac:dyDescent="0.25">
      <c r="A109" s="307">
        <v>0</v>
      </c>
      <c r="B109" s="308"/>
      <c r="C109" s="27"/>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
      <c r="AK109" s="2"/>
      <c r="AL109" s="2"/>
      <c r="AM109" s="2"/>
    </row>
    <row r="110" spans="1:39" x14ac:dyDescent="0.25">
      <c r="A110" s="20" t="s">
        <v>173</v>
      </c>
      <c r="B110" s="33" t="s">
        <v>174</v>
      </c>
      <c r="C110" s="60" t="s">
        <v>67</v>
      </c>
      <c r="D110" s="32" t="s">
        <v>94</v>
      </c>
      <c r="E110" s="35"/>
      <c r="F110" s="34"/>
      <c r="G110" s="35"/>
      <c r="H110" s="34"/>
      <c r="I110" s="35"/>
      <c r="J110" s="34"/>
      <c r="K110" s="35"/>
      <c r="L110" s="34"/>
      <c r="M110" s="35"/>
      <c r="N110" s="34"/>
      <c r="O110" s="35"/>
      <c r="P110" s="35"/>
      <c r="Q110" s="35"/>
      <c r="R110" s="35"/>
      <c r="S110" s="35"/>
      <c r="T110" s="35"/>
      <c r="U110" s="35"/>
      <c r="V110" s="35"/>
      <c r="W110" s="35"/>
      <c r="X110" s="35"/>
      <c r="Y110" s="35"/>
      <c r="Z110" s="35"/>
      <c r="AA110" s="35"/>
      <c r="AB110" s="35"/>
      <c r="AC110" s="35"/>
      <c r="AD110" s="35"/>
      <c r="AE110" s="35"/>
      <c r="AF110" s="35"/>
      <c r="AG110" s="35"/>
      <c r="AH110" s="35"/>
      <c r="AI110" s="35"/>
      <c r="AJ110" s="2"/>
      <c r="AK110" s="2"/>
      <c r="AL110" s="2"/>
      <c r="AM110" s="2"/>
    </row>
    <row r="111" spans="1:39" x14ac:dyDescent="0.25">
      <c r="A111" s="20">
        <v>0</v>
      </c>
      <c r="B111" s="33" t="s">
        <v>175</v>
      </c>
      <c r="C111" s="60" t="s">
        <v>117</v>
      </c>
      <c r="D111" s="32"/>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2"/>
      <c r="AK111" s="2"/>
      <c r="AL111" s="2"/>
      <c r="AM111" s="2"/>
    </row>
    <row r="112" spans="1:39" x14ac:dyDescent="0.25">
      <c r="A112" s="307">
        <v>0</v>
      </c>
      <c r="B112" s="308"/>
      <c r="C112" s="60"/>
      <c r="D112" s="32"/>
      <c r="E112" s="35"/>
      <c r="F112" s="29"/>
      <c r="G112" s="35"/>
      <c r="H112" s="29"/>
      <c r="I112" s="35"/>
      <c r="J112" s="29"/>
      <c r="K112" s="35"/>
      <c r="L112" s="29"/>
      <c r="M112" s="35"/>
      <c r="N112" s="29"/>
      <c r="O112" s="35"/>
      <c r="P112" s="35"/>
      <c r="Q112" s="35"/>
      <c r="R112" s="35"/>
      <c r="S112" s="35"/>
      <c r="T112" s="35"/>
      <c r="U112" s="35"/>
      <c r="V112" s="35"/>
      <c r="W112" s="35"/>
      <c r="X112" s="35"/>
      <c r="Y112" s="35"/>
      <c r="Z112" s="35"/>
      <c r="AA112" s="35"/>
      <c r="AB112" s="35"/>
      <c r="AC112" s="35"/>
      <c r="AD112" s="35"/>
      <c r="AE112" s="35"/>
      <c r="AF112" s="35"/>
      <c r="AG112" s="35"/>
      <c r="AH112" s="35"/>
      <c r="AI112" s="35"/>
      <c r="AJ112" s="2"/>
      <c r="AK112" s="2"/>
      <c r="AL112" s="2"/>
      <c r="AM112" s="2"/>
    </row>
    <row r="113" spans="1:39" x14ac:dyDescent="0.25">
      <c r="A113" s="20">
        <v>0</v>
      </c>
      <c r="B113" s="46" t="s">
        <v>176</v>
      </c>
      <c r="C113" s="60"/>
      <c r="D113" s="32"/>
      <c r="E113" s="35"/>
      <c r="F113" s="29"/>
      <c r="G113" s="35"/>
      <c r="H113" s="29"/>
      <c r="I113" s="35"/>
      <c r="J113" s="29"/>
      <c r="K113" s="35"/>
      <c r="L113" s="29"/>
      <c r="M113" s="35"/>
      <c r="N113" s="29"/>
      <c r="O113" s="35"/>
      <c r="P113" s="35"/>
      <c r="Q113" s="35"/>
      <c r="R113" s="35"/>
      <c r="S113" s="35"/>
      <c r="T113" s="35"/>
      <c r="U113" s="35"/>
      <c r="V113" s="35"/>
      <c r="W113" s="35"/>
      <c r="X113" s="35"/>
      <c r="Y113" s="35"/>
      <c r="Z113" s="35"/>
      <c r="AA113" s="35"/>
      <c r="AB113" s="35"/>
      <c r="AC113" s="35"/>
      <c r="AD113" s="35"/>
      <c r="AE113" s="35"/>
      <c r="AF113" s="35"/>
      <c r="AG113" s="35"/>
      <c r="AH113" s="35"/>
      <c r="AI113" s="35"/>
      <c r="AJ113" s="2"/>
      <c r="AK113" s="2"/>
      <c r="AL113" s="2"/>
      <c r="AM113" s="2"/>
    </row>
    <row r="114" spans="1:39" x14ac:dyDescent="0.25">
      <c r="A114" s="20" t="s">
        <v>177</v>
      </c>
      <c r="B114" s="33" t="s">
        <v>178</v>
      </c>
      <c r="C114" s="60" t="s">
        <v>67</v>
      </c>
      <c r="D114" s="32" t="s">
        <v>73</v>
      </c>
      <c r="E114" s="35"/>
      <c r="F114" s="34"/>
      <c r="G114" s="35"/>
      <c r="H114" s="34">
        <v>419.4</v>
      </c>
      <c r="I114" s="35">
        <f>INDEX(Annual!$A:$Y,MATCH(Segments!$A114,Annual!$A:$A,0),MATCH(Segments!I$1,Annual!$A$1:$Y$1,0))-H114</f>
        <v>404.4</v>
      </c>
      <c r="J114" s="34">
        <v>428.7</v>
      </c>
      <c r="K114" s="35">
        <f>INDEX(Annual!$A:$Y,MATCH(Segments!$A114,Annual!$A:$A,0),MATCH(Segments!K$1,Annual!$A$1:$Y$1,0))-J114</f>
        <v>331.59999999999997</v>
      </c>
      <c r="L114" s="34">
        <v>440.6</v>
      </c>
      <c r="M114" s="35">
        <f>INDEX(Annual!$A:$Y,MATCH(Segments!$A114,Annual!$A:$A,0),MATCH(Segments!M$1,Annual!$A$1:$Y$1,0))-L114</f>
        <v>373.69999999999993</v>
      </c>
      <c r="N114" s="34">
        <v>491.9</v>
      </c>
      <c r="O114" s="35">
        <f>INDEX(Annual!$A:$Y,MATCH(Segments!$A114,Annual!$A:$A,0),MATCH(Segments!O$1,Annual!$A$1:$Y$1,0))-N114</f>
        <v>442.6</v>
      </c>
      <c r="P114" s="236">
        <f>P149</f>
        <v>586.14252336448601</v>
      </c>
      <c r="Q114" s="236">
        <f t="shared" ref="Q114:AI119" si="116">Q149</f>
        <v>507.9360433823735</v>
      </c>
      <c r="R114" s="236">
        <f t="shared" si="116"/>
        <v>646.76512481336067</v>
      </c>
      <c r="S114" s="236">
        <f t="shared" si="116"/>
        <v>560.49941139275847</v>
      </c>
      <c r="T114" s="236">
        <f t="shared" si="116"/>
        <v>690.88560063872148</v>
      </c>
      <c r="U114" s="236">
        <f t="shared" si="116"/>
        <v>598.8130168835321</v>
      </c>
      <c r="V114" s="236">
        <f t="shared" si="116"/>
        <v>737.11961173917496</v>
      </c>
      <c r="W114" s="236">
        <f t="shared" si="116"/>
        <v>638.9547203180914</v>
      </c>
      <c r="X114" s="236">
        <f t="shared" si="116"/>
        <v>786.84479476497529</v>
      </c>
      <c r="Y114" s="236">
        <f t="shared" si="116"/>
        <v>682.13686432195641</v>
      </c>
      <c r="Z114" s="236">
        <f t="shared" si="116"/>
        <v>834.0554824508738</v>
      </c>
      <c r="AA114" s="236">
        <f t="shared" si="116"/>
        <v>723.06507618127398</v>
      </c>
      <c r="AB114" s="236">
        <f t="shared" si="116"/>
        <v>884.09881139792628</v>
      </c>
      <c r="AC114" s="236">
        <f t="shared" si="116"/>
        <v>766.44898075215042</v>
      </c>
      <c r="AD114" s="236">
        <f t="shared" si="116"/>
        <v>937.14474008180196</v>
      </c>
      <c r="AE114" s="236">
        <f t="shared" si="116"/>
        <v>812.43591959727951</v>
      </c>
      <c r="AF114" s="236">
        <f t="shared" si="116"/>
        <v>993.37342448671006</v>
      </c>
      <c r="AG114" s="236">
        <f t="shared" si="116"/>
        <v>861.18207477311626</v>
      </c>
      <c r="AH114" s="236">
        <f t="shared" si="116"/>
        <v>1052.9758299559128</v>
      </c>
      <c r="AI114" s="236">
        <f t="shared" si="116"/>
        <v>912.85299925950324</v>
      </c>
      <c r="AJ114" s="2"/>
      <c r="AK114" s="2"/>
      <c r="AL114" s="2"/>
      <c r="AM114" s="2"/>
    </row>
    <row r="115" spans="1:39" x14ac:dyDescent="0.25">
      <c r="A115" s="20" t="s">
        <v>179</v>
      </c>
      <c r="B115" s="33" t="s">
        <v>80</v>
      </c>
      <c r="C115" s="60" t="s">
        <v>67</v>
      </c>
      <c r="D115" s="32" t="s">
        <v>73</v>
      </c>
      <c r="E115" s="35"/>
      <c r="F115" s="29"/>
      <c r="G115" s="35"/>
      <c r="H115" s="29"/>
      <c r="I115" s="35"/>
      <c r="J115" s="29">
        <f t="shared" ref="J115" si="117">J116-J114</f>
        <v>-388.30000000000007</v>
      </c>
      <c r="K115" s="35">
        <f>INDEX(Annual!$A:$Y,MATCH(Segments!$A115,Annual!$A:$A,0),MATCH(Segments!K$1,Annual!$A$1:$Y$1,0))-J115</f>
        <v>-297.29999999999995</v>
      </c>
      <c r="L115" s="29">
        <f t="shared" ref="L115" si="118">L116-L114</f>
        <v>-398.30000000000007</v>
      </c>
      <c r="M115" s="35">
        <f>INDEX(Annual!$A:$Y,MATCH(Segments!$A115,Annual!$A:$A,0),MATCH(Segments!M$1,Annual!$A$1:$Y$1,0))-L115</f>
        <v>-334.4</v>
      </c>
      <c r="N115" s="29">
        <f>N116-N114</f>
        <v>-447.70000000000005</v>
      </c>
      <c r="O115" s="35">
        <f>INDEX(Annual!$A:$Y,MATCH(Segments!$A115,Annual!$A:$A,0),MATCH(Segments!O$1,Annual!$A$1:$Y$1,0))-N115</f>
        <v>-396.29999999999995</v>
      </c>
      <c r="P115" s="236">
        <f t="shared" ref="P115:AE119" si="119">P150</f>
        <v>-533.47429906542061</v>
      </c>
      <c r="Q115" s="236">
        <f t="shared" si="119"/>
        <v>-454.80129686496741</v>
      </c>
      <c r="R115" s="236">
        <f t="shared" si="119"/>
        <v>-588.64961654592719</v>
      </c>
      <c r="S115" s="236">
        <f t="shared" si="119"/>
        <v>-501.86605678931346</v>
      </c>
      <c r="T115" s="236">
        <f t="shared" si="119"/>
        <v>-628.80561782060511</v>
      </c>
      <c r="U115" s="236">
        <f t="shared" si="119"/>
        <v>-536.17170942373184</v>
      </c>
      <c r="V115" s="236">
        <f t="shared" si="119"/>
        <v>-670.88524125966387</v>
      </c>
      <c r="W115" s="236">
        <f t="shared" si="119"/>
        <v>-572.11422427035609</v>
      </c>
      <c r="X115" s="236">
        <f t="shared" si="119"/>
        <v>-716.14233506053972</v>
      </c>
      <c r="Y115" s="236">
        <f t="shared" si="119"/>
        <v>-610.77912184995773</v>
      </c>
      <c r="Z115" s="236">
        <f t="shared" si="119"/>
        <v>-759.11087516417206</v>
      </c>
      <c r="AA115" s="236">
        <f t="shared" si="119"/>
        <v>-647.42586916095536</v>
      </c>
      <c r="AB115" s="236">
        <f t="shared" si="119"/>
        <v>-804.6575276740225</v>
      </c>
      <c r="AC115" s="236">
        <f t="shared" si="119"/>
        <v>-686.2714213106126</v>
      </c>
      <c r="AD115" s="236">
        <f t="shared" si="119"/>
        <v>-852.9369793344639</v>
      </c>
      <c r="AE115" s="236">
        <f t="shared" si="119"/>
        <v>-727.44770658924949</v>
      </c>
      <c r="AF115" s="236">
        <f t="shared" si="116"/>
        <v>-904.11319809453175</v>
      </c>
      <c r="AG115" s="236">
        <f t="shared" si="116"/>
        <v>-771.09456898460439</v>
      </c>
      <c r="AH115" s="236">
        <f t="shared" si="116"/>
        <v>-958.35998998020364</v>
      </c>
      <c r="AI115" s="236">
        <f t="shared" si="116"/>
        <v>-817.36024312368068</v>
      </c>
      <c r="AJ115" s="2"/>
      <c r="AK115" s="2"/>
      <c r="AL115" s="2"/>
      <c r="AM115" s="2"/>
    </row>
    <row r="116" spans="1:39" x14ac:dyDescent="0.25">
      <c r="A116" s="20" t="s">
        <v>180</v>
      </c>
      <c r="B116" s="64" t="s">
        <v>87</v>
      </c>
      <c r="C116" s="65" t="s">
        <v>67</v>
      </c>
      <c r="D116" s="66" t="s">
        <v>94</v>
      </c>
      <c r="E116" s="67"/>
      <c r="F116" s="72"/>
      <c r="G116" s="67"/>
      <c r="H116" s="72"/>
      <c r="I116" s="67"/>
      <c r="J116" s="72">
        <f t="shared" ref="J116" si="120">J119-J118-J117</f>
        <v>40.399999999999892</v>
      </c>
      <c r="K116" s="67">
        <f>INDEX(Annual!$A:$Y,MATCH(Segments!$A116,Annual!$A:$A,0),MATCH(Segments!K$1,Annual!$A$1:$Y$1,0))-J116</f>
        <v>34.30000000000004</v>
      </c>
      <c r="L116" s="72">
        <f t="shared" ref="L116" si="121">L119-L118-L117</f>
        <v>42.299999999999983</v>
      </c>
      <c r="M116" s="67">
        <f>INDEX(Annual!$A:$Y,MATCH(Segments!$A116,Annual!$A:$A,0),MATCH(Segments!M$1,Annual!$A$1:$Y$1,0))-L116</f>
        <v>39.800000000000182</v>
      </c>
      <c r="N116" s="72">
        <f>N119-N118-N117</f>
        <v>44.199999999999932</v>
      </c>
      <c r="O116" s="67">
        <f>INDEX(Annual!$A:$Y,MATCH(Segments!$A116,Annual!$A:$A,0),MATCH(Segments!O$1,Annual!$A$1:$Y$1,0))-N116</f>
        <v>46.30000000000004</v>
      </c>
      <c r="P116" s="259">
        <f t="shared" si="119"/>
        <v>52.6682242990654</v>
      </c>
      <c r="Q116" s="259">
        <f t="shared" si="116"/>
        <v>53.134746517406086</v>
      </c>
      <c r="R116" s="259">
        <f t="shared" si="116"/>
        <v>58.115508267433484</v>
      </c>
      <c r="S116" s="259">
        <f t="shared" si="116"/>
        <v>58.633354603445014</v>
      </c>
      <c r="T116" s="259">
        <f t="shared" si="116"/>
        <v>62.079982818116378</v>
      </c>
      <c r="U116" s="259">
        <f t="shared" si="116"/>
        <v>62.641307459800259</v>
      </c>
      <c r="V116" s="259">
        <f t="shared" si="116"/>
        <v>66.234370479511085</v>
      </c>
      <c r="W116" s="259">
        <f t="shared" si="116"/>
        <v>66.840496047735314</v>
      </c>
      <c r="X116" s="259">
        <f t="shared" si="116"/>
        <v>70.702459704435569</v>
      </c>
      <c r="Y116" s="259">
        <f t="shared" si="116"/>
        <v>71.357742471998677</v>
      </c>
      <c r="Z116" s="259">
        <f t="shared" si="116"/>
        <v>74.944607286701739</v>
      </c>
      <c r="AA116" s="259">
        <f t="shared" si="116"/>
        <v>75.639207020318622</v>
      </c>
      <c r="AB116" s="259">
        <f t="shared" si="116"/>
        <v>79.44128372390378</v>
      </c>
      <c r="AC116" s="259">
        <f t="shared" si="116"/>
        <v>80.177559441537824</v>
      </c>
      <c r="AD116" s="259">
        <f t="shared" si="116"/>
        <v>84.207760747338057</v>
      </c>
      <c r="AE116" s="259">
        <f t="shared" si="116"/>
        <v>84.988213008030016</v>
      </c>
      <c r="AF116" s="259">
        <f t="shared" si="116"/>
        <v>89.260226392178311</v>
      </c>
      <c r="AG116" s="259">
        <f t="shared" si="116"/>
        <v>90.087505788511862</v>
      </c>
      <c r="AH116" s="259">
        <f t="shared" si="116"/>
        <v>94.61583997570915</v>
      </c>
      <c r="AI116" s="259">
        <f t="shared" si="116"/>
        <v>95.49275613582256</v>
      </c>
      <c r="AJ116" s="2"/>
      <c r="AK116" s="2"/>
      <c r="AL116" s="2"/>
      <c r="AM116" s="2"/>
    </row>
    <row r="117" spans="1:39" x14ac:dyDescent="0.25">
      <c r="A117" s="20" t="s">
        <v>181</v>
      </c>
      <c r="B117" s="33" t="s">
        <v>89</v>
      </c>
      <c r="C117" s="60" t="s">
        <v>67</v>
      </c>
      <c r="D117" s="32" t="s">
        <v>94</v>
      </c>
      <c r="E117" s="35"/>
      <c r="F117" s="29"/>
      <c r="G117" s="35"/>
      <c r="H117" s="29"/>
      <c r="I117" s="35"/>
      <c r="J117" s="29">
        <f>J20</f>
        <v>11.5</v>
      </c>
      <c r="K117" s="35">
        <f>INDEX(Annual!$A:$Y,MATCH(Segments!$A117,Annual!$A:$A,0),MATCH(Segments!K$1,Annual!$A$1:$Y$1,0))-J117</f>
        <v>10.399999999999999</v>
      </c>
      <c r="L117" s="29">
        <f>L20</f>
        <v>10.1</v>
      </c>
      <c r="M117" s="35">
        <f>INDEX(Annual!$A:$Y,MATCH(Segments!$A117,Annual!$A:$A,0),MATCH(Segments!M$1,Annual!$A$1:$Y$1,0))-L117</f>
        <v>7.2000000000000011</v>
      </c>
      <c r="N117" s="29">
        <f>N20</f>
        <v>11</v>
      </c>
      <c r="O117" s="35">
        <f>INDEX(Annual!$A:$Y,MATCH(Segments!$A117,Annual!$A:$A,0),MATCH(Segments!O$1,Annual!$A$1:$Y$1,0))-N117</f>
        <v>8.1999999999999993</v>
      </c>
      <c r="P117" s="236">
        <f t="shared" si="119"/>
        <v>11.66</v>
      </c>
      <c r="Q117" s="236">
        <f t="shared" si="116"/>
        <v>8.6920000000000002</v>
      </c>
      <c r="R117" s="236">
        <f t="shared" si="116"/>
        <v>12.26297581621998</v>
      </c>
      <c r="S117" s="236">
        <f t="shared" si="116"/>
        <v>9.1417424436587247</v>
      </c>
      <c r="T117" s="236">
        <f t="shared" si="116"/>
        <v>12.681248468291813</v>
      </c>
      <c r="U117" s="236">
        <f t="shared" si="116"/>
        <v>9.454189795400163</v>
      </c>
      <c r="V117" s="236">
        <f t="shared" si="116"/>
        <v>13.105562552930847</v>
      </c>
      <c r="W117" s="236">
        <f t="shared" si="116"/>
        <v>9.7710727557573822</v>
      </c>
      <c r="X117" s="236">
        <f t="shared" si="116"/>
        <v>13.54760512392077</v>
      </c>
      <c r="Y117" s="236">
        <f t="shared" si="116"/>
        <v>10.101249415694495</v>
      </c>
      <c r="Z117" s="236">
        <f t="shared" si="116"/>
        <v>13.954033277638397</v>
      </c>
      <c r="AA117" s="236">
        <f t="shared" si="116"/>
        <v>10.404286898165333</v>
      </c>
      <c r="AB117" s="236">
        <f t="shared" si="116"/>
        <v>14.372654275967543</v>
      </c>
      <c r="AC117" s="236">
        <f t="shared" si="116"/>
        <v>10.7164155051103</v>
      </c>
      <c r="AD117" s="236">
        <f t="shared" si="116"/>
        <v>14.803833904246572</v>
      </c>
      <c r="AE117" s="236">
        <f t="shared" si="116"/>
        <v>11.037907970263602</v>
      </c>
      <c r="AF117" s="236">
        <f t="shared" si="116"/>
        <v>15.247948921373967</v>
      </c>
      <c r="AG117" s="236">
        <f t="shared" si="116"/>
        <v>11.369045209371512</v>
      </c>
      <c r="AH117" s="236">
        <f t="shared" si="116"/>
        <v>15.705387389015197</v>
      </c>
      <c r="AI117" s="236">
        <f t="shared" si="116"/>
        <v>11.710116565652655</v>
      </c>
      <c r="AJ117" s="2"/>
      <c r="AK117" s="2"/>
      <c r="AL117" s="2"/>
      <c r="AM117" s="2"/>
    </row>
    <row r="118" spans="1:39" x14ac:dyDescent="0.25">
      <c r="A118" s="20" t="s">
        <v>182</v>
      </c>
      <c r="B118" s="64" t="s">
        <v>183</v>
      </c>
      <c r="C118" s="65" t="s">
        <v>67</v>
      </c>
      <c r="D118" s="66" t="s">
        <v>94</v>
      </c>
      <c r="E118" s="67"/>
      <c r="F118" s="72"/>
      <c r="G118" s="67"/>
      <c r="H118" s="72"/>
      <c r="I118" s="67"/>
      <c r="J118" s="72">
        <f>J22</f>
        <v>2.600000000000108</v>
      </c>
      <c r="K118" s="67">
        <f>INDEX(Annual!$A:$Y,MATCH(Segments!$A118,Annual!$A:$A,0),MATCH(Segments!K$1,Annual!$A$1:$Y$1,0))-J118</f>
        <v>6.5999999999999659</v>
      </c>
      <c r="L118" s="72">
        <f>L22</f>
        <v>1.5000000000000142</v>
      </c>
      <c r="M118" s="67">
        <f>INDEX(Annual!$A:$Y,MATCH(Segments!$A118,Annual!$A:$A,0),MATCH(Segments!M$1,Annual!$A$1:$Y$1,0))-L118</f>
        <v>3.4999999999998295</v>
      </c>
      <c r="N118" s="72">
        <f>N22</f>
        <v>1.3000000000000682</v>
      </c>
      <c r="O118" s="67">
        <f>INDEX(Annual!$A:$Y,MATCH(Segments!$A118,Annual!$A:$A,0),MATCH(Segments!O$1,Annual!$A$1:$Y$1,0))-N118</f>
        <v>2.2999999999999545</v>
      </c>
      <c r="P118" s="259">
        <f t="shared" si="119"/>
        <v>1.549065420560829</v>
      </c>
      <c r="Q118" s="259">
        <f t="shared" si="116"/>
        <v>2.6395230451410661</v>
      </c>
      <c r="R118" s="259">
        <f t="shared" si="116"/>
        <v>1.7092796549246045</v>
      </c>
      <c r="S118" s="259">
        <f t="shared" si="116"/>
        <v>2.9126720429356503</v>
      </c>
      <c r="T118" s="259">
        <f t="shared" si="116"/>
        <v>1.8258818475917566</v>
      </c>
      <c r="U118" s="259">
        <f t="shared" si="116"/>
        <v>3.1117712129057757</v>
      </c>
      <c r="V118" s="259">
        <f t="shared" si="116"/>
        <v>1.9480697199857242</v>
      </c>
      <c r="W118" s="259">
        <f t="shared" si="116"/>
        <v>3.3203702140342992</v>
      </c>
      <c r="X118" s="259">
        <f t="shared" si="116"/>
        <v>2.0794841089540994</v>
      </c>
      <c r="Y118" s="259">
        <f t="shared" si="116"/>
        <v>3.5447690644836607</v>
      </c>
      <c r="Z118" s="259">
        <f t="shared" si="116"/>
        <v>2.2042531554913452</v>
      </c>
      <c r="AA118" s="259">
        <f t="shared" si="116"/>
        <v>3.7574552083526815</v>
      </c>
      <c r="AB118" s="259">
        <f t="shared" si="116"/>
        <v>2.3365083448208259</v>
      </c>
      <c r="AC118" s="259">
        <f t="shared" si="116"/>
        <v>3.9829025208538424</v>
      </c>
      <c r="AD118" s="259">
        <f t="shared" si="116"/>
        <v>2.476698845510076</v>
      </c>
      <c r="AE118" s="259">
        <f t="shared" si="116"/>
        <v>4.2218766721050738</v>
      </c>
      <c r="AF118" s="259">
        <f t="shared" si="116"/>
        <v>2.6253007762406808</v>
      </c>
      <c r="AG118" s="259">
        <f t="shared" si="116"/>
        <v>4.4751892724313782</v>
      </c>
      <c r="AH118" s="259">
        <f t="shared" si="116"/>
        <v>2.7828188228151221</v>
      </c>
      <c r="AI118" s="259">
        <f t="shared" si="116"/>
        <v>4.743700628777261</v>
      </c>
      <c r="AJ118" s="2"/>
      <c r="AK118" s="2"/>
      <c r="AL118" s="2"/>
      <c r="AM118" s="2"/>
    </row>
    <row r="119" spans="1:39" x14ac:dyDescent="0.25">
      <c r="A119" s="20" t="s">
        <v>184</v>
      </c>
      <c r="B119" s="33" t="s">
        <v>185</v>
      </c>
      <c r="C119" s="60" t="s">
        <v>67</v>
      </c>
      <c r="D119" s="32" t="s">
        <v>94</v>
      </c>
      <c r="E119" s="35"/>
      <c r="F119" s="29"/>
      <c r="G119" s="35"/>
      <c r="H119" s="29"/>
      <c r="I119" s="35"/>
      <c r="J119" s="29">
        <f>J25</f>
        <v>54.5</v>
      </c>
      <c r="K119" s="35">
        <f>INDEX(Annual!$A:$Y,MATCH(Segments!$A119,Annual!$A:$A,0),MATCH(Segments!K$1,Annual!$A$1:$Y$1,0))-J119</f>
        <v>51.3</v>
      </c>
      <c r="L119" s="29">
        <f>L25</f>
        <v>53.9</v>
      </c>
      <c r="M119" s="35">
        <f>INDEX(Annual!$A:$Y,MATCH(Segments!$A119,Annual!$A:$A,0),MATCH(Segments!M$1,Annual!$A$1:$Y$1,0))-L119</f>
        <v>50.500000000000007</v>
      </c>
      <c r="N119" s="29">
        <f>N25</f>
        <v>56.5</v>
      </c>
      <c r="O119" s="35">
        <f>INDEX(Annual!$A:$Y,MATCH(Segments!$A119,Annual!$A:$A,0),MATCH(Segments!O$1,Annual!$A$1:$Y$1,0))-N119</f>
        <v>56.8</v>
      </c>
      <c r="P119" s="236">
        <f t="shared" si="119"/>
        <v>65.877289719626219</v>
      </c>
      <c r="Q119" s="236">
        <f t="shared" si="116"/>
        <v>64.466269562547154</v>
      </c>
      <c r="R119" s="236">
        <f t="shared" si="116"/>
        <v>72.087763738578062</v>
      </c>
      <c r="S119" s="236">
        <f t="shared" si="116"/>
        <v>70.687769090039396</v>
      </c>
      <c r="T119" s="236">
        <f t="shared" si="116"/>
        <v>76.587113133999949</v>
      </c>
      <c r="U119" s="236">
        <f t="shared" si="116"/>
        <v>75.207268468106207</v>
      </c>
      <c r="V119" s="236">
        <f t="shared" si="116"/>
        <v>81.288002752427658</v>
      </c>
      <c r="W119" s="236">
        <f t="shared" si="116"/>
        <v>79.931939017527</v>
      </c>
      <c r="X119" s="236">
        <f t="shared" si="116"/>
        <v>86.329548937310449</v>
      </c>
      <c r="Y119" s="236">
        <f t="shared" si="116"/>
        <v>85.003760952176833</v>
      </c>
      <c r="Z119" s="236">
        <f t="shared" si="116"/>
        <v>91.102893719831485</v>
      </c>
      <c r="AA119" s="236">
        <f t="shared" si="116"/>
        <v>89.800949126836642</v>
      </c>
      <c r="AB119" s="236">
        <f t="shared" si="116"/>
        <v>96.150446344692156</v>
      </c>
      <c r="AC119" s="236">
        <f t="shared" si="116"/>
        <v>94.87687746750197</v>
      </c>
      <c r="AD119" s="236">
        <f t="shared" si="116"/>
        <v>101.4882934970947</v>
      </c>
      <c r="AE119" s="236">
        <f t="shared" si="116"/>
        <v>100.24799765039869</v>
      </c>
      <c r="AF119" s="236">
        <f t="shared" si="116"/>
        <v>107.13347608979295</v>
      </c>
      <c r="AG119" s="236">
        <f t="shared" si="116"/>
        <v>105.93174027031475</v>
      </c>
      <c r="AH119" s="236">
        <f t="shared" si="116"/>
        <v>113.10404618753947</v>
      </c>
      <c r="AI119" s="236">
        <f t="shared" si="116"/>
        <v>111.94657333025248</v>
      </c>
      <c r="AJ119" s="2"/>
      <c r="AK119" s="2"/>
      <c r="AL119" s="2"/>
      <c r="AM119" s="2"/>
    </row>
    <row r="120" spans="1:39" x14ac:dyDescent="0.25">
      <c r="A120" s="20">
        <v>0</v>
      </c>
      <c r="B120" s="33" t="s">
        <v>76</v>
      </c>
      <c r="C120" s="27" t="s">
        <v>77</v>
      </c>
      <c r="D120" s="29"/>
      <c r="E120" s="29"/>
      <c r="F120" s="29"/>
      <c r="G120" s="226" t="e">
        <f>G119/E119-1</f>
        <v>#DIV/0!</v>
      </c>
      <c r="H120" s="226" t="e">
        <f t="shared" ref="H120" si="122">H119/F119-1</f>
        <v>#DIV/0!</v>
      </c>
      <c r="I120" s="226" t="e">
        <f>I119/G119-1</f>
        <v>#DIV/0!</v>
      </c>
      <c r="J120" s="226" t="e">
        <f t="shared" ref="J120" si="123">J119/H119-1</f>
        <v>#DIV/0!</v>
      </c>
      <c r="K120" s="226" t="e">
        <f>K119/I119-1</f>
        <v>#DIV/0!</v>
      </c>
      <c r="L120" s="226">
        <f t="shared" ref="L120" si="124">L119/J119-1</f>
        <v>-1.1009174311926606E-2</v>
      </c>
      <c r="M120" s="226">
        <f>M119/K119-1</f>
        <v>-1.5594541910331161E-2</v>
      </c>
      <c r="N120" s="226">
        <f>N119/L119-1</f>
        <v>4.8237476808905333E-2</v>
      </c>
      <c r="O120" s="226">
        <f>O119/M119-1</f>
        <v>0.12475247524752464</v>
      </c>
      <c r="P120" s="226">
        <f>P119/N119-1</f>
        <v>0.16596972955090661</v>
      </c>
      <c r="Q120" s="226">
        <f t="shared" ref="Q120" si="125">Q119/O119-1</f>
        <v>0.13496953455188665</v>
      </c>
      <c r="R120" s="226">
        <f t="shared" ref="R120" si="126">R119/P119-1</f>
        <v>9.4273368643179145E-2</v>
      </c>
      <c r="S120" s="226">
        <f t="shared" ref="S120" si="127">S119/Q119-1</f>
        <v>9.6507826026073218E-2</v>
      </c>
      <c r="T120" s="226">
        <f t="shared" ref="T120" si="128">T119/R119-1</f>
        <v>6.2414883776094277E-2</v>
      </c>
      <c r="U120" s="226">
        <f t="shared" ref="U120" si="129">U119/S119-1</f>
        <v>6.3936087335137781E-2</v>
      </c>
      <c r="V120" s="226">
        <f t="shared" ref="V120" si="130">V119/T119-1</f>
        <v>6.1379642423691205E-2</v>
      </c>
      <c r="W120" s="226">
        <f t="shared" ref="W120" si="131">W119/U119-1</f>
        <v>6.2821993746846827E-2</v>
      </c>
      <c r="X120" s="226">
        <f t="shared" ref="X120" si="132">X119/V119-1</f>
        <v>6.2020790450928232E-2</v>
      </c>
      <c r="Y120" s="226">
        <f t="shared" ref="Y120" si="133">Y119/W119-1</f>
        <v>6.3451756544248505E-2</v>
      </c>
      <c r="Z120" s="226">
        <f t="shared" ref="Z120" si="134">Z119/X119-1</f>
        <v>5.5292131619815166E-2</v>
      </c>
      <c r="AA120" s="226">
        <f t="shared" ref="AA120" si="135">AA119/Y119-1</f>
        <v>5.6435010885679704E-2</v>
      </c>
      <c r="AB120" s="226">
        <f t="shared" ref="AB120" si="136">AB119/Z119-1</f>
        <v>5.54049648563677E-2</v>
      </c>
      <c r="AC120" s="226">
        <f t="shared" ref="AC120" si="137">AC119/AA119-1</f>
        <v>5.6524217060289539E-2</v>
      </c>
      <c r="AD120" s="226">
        <f t="shared" ref="AD120" si="138">AD119/AB119-1</f>
        <v>5.55155733054713E-2</v>
      </c>
      <c r="AE120" s="226">
        <f t="shared" ref="AE120" si="139">AE119/AC119-1</f>
        <v>5.6611477171943037E-2</v>
      </c>
      <c r="AF120" s="226">
        <f t="shared" ref="AF120" si="140">AF119/AD119-1</f>
        <v>5.5623977881348985E-2</v>
      </c>
      <c r="AG120" s="226">
        <f t="shared" ref="AG120" si="141">AG119/AE119-1</f>
        <v>5.669681941915039E-2</v>
      </c>
      <c r="AH120" s="226">
        <f t="shared" ref="AH120" si="142">AH119/AF119-1</f>
        <v>5.5730200453332879E-2</v>
      </c>
      <c r="AI120" s="226">
        <f t="shared" ref="AI120" si="143">AI119/AG119-1</f>
        <v>5.6780272320545055E-2</v>
      </c>
      <c r="AJ120" s="2"/>
      <c r="AK120" s="2"/>
      <c r="AL120" s="2"/>
      <c r="AM120" s="2"/>
    </row>
    <row r="121" spans="1:39" x14ac:dyDescent="0.25">
      <c r="A121" s="307" t="s">
        <v>186</v>
      </c>
      <c r="B121" s="308"/>
      <c r="C121" s="60"/>
      <c r="D121" s="32"/>
      <c r="E121" s="35"/>
      <c r="F121" s="34"/>
      <c r="G121" s="35"/>
      <c r="H121" s="34"/>
      <c r="I121" s="35"/>
      <c r="J121" s="34"/>
      <c r="K121" s="35"/>
      <c r="L121" s="34"/>
      <c r="M121" s="35"/>
      <c r="N121" s="34"/>
      <c r="O121" s="35"/>
      <c r="P121" s="35"/>
      <c r="Q121" s="35"/>
      <c r="R121" s="35"/>
      <c r="S121" s="35"/>
      <c r="T121" s="35"/>
      <c r="U121" s="35"/>
      <c r="V121" s="35"/>
      <c r="W121" s="35"/>
      <c r="X121" s="35"/>
      <c r="Y121" s="35"/>
      <c r="Z121" s="35"/>
      <c r="AA121" s="35"/>
      <c r="AB121" s="35"/>
      <c r="AC121" s="35"/>
      <c r="AD121" s="35"/>
      <c r="AE121" s="35"/>
      <c r="AF121" s="35"/>
      <c r="AG121" s="35"/>
      <c r="AH121" s="35"/>
      <c r="AI121" s="35"/>
      <c r="AJ121" s="2"/>
      <c r="AK121" s="2"/>
      <c r="AL121" s="2"/>
      <c r="AM121" s="2"/>
    </row>
    <row r="122" spans="1:39" x14ac:dyDescent="0.25">
      <c r="A122" s="20" t="s">
        <v>187</v>
      </c>
      <c r="B122" s="33" t="s">
        <v>188</v>
      </c>
      <c r="C122" s="60" t="s">
        <v>117</v>
      </c>
      <c r="D122" s="32"/>
      <c r="E122" s="35"/>
      <c r="F122" s="35"/>
      <c r="G122" s="48">
        <f>G7/G107</f>
        <v>1.4094118151970987E-2</v>
      </c>
      <c r="H122" s="48">
        <f>H7/H107</f>
        <v>1.2710064915367348E-2</v>
      </c>
      <c r="I122" s="48">
        <f>I7/I107</f>
        <v>1.2605675854049469E-2</v>
      </c>
      <c r="J122" s="45">
        <f t="shared" ref="J122:L122" si="144">J114/J$107</f>
        <v>1.3461236537193456E-2</v>
      </c>
      <c r="K122" s="45">
        <f>K114/K$107</f>
        <v>1.17684636405579E-2</v>
      </c>
      <c r="L122" s="45">
        <f t="shared" si="144"/>
        <v>1.3698544957094889E-2</v>
      </c>
      <c r="M122" s="45">
        <f t="shared" ref="M122:O124" si="145">M114/M$107</f>
        <v>1.2196077151528996E-2</v>
      </c>
      <c r="N122" s="45">
        <f t="shared" si="145"/>
        <v>1.3601172371840956E-2</v>
      </c>
      <c r="O122" s="45">
        <f t="shared" si="145"/>
        <v>1.2355880628681501E-2</v>
      </c>
      <c r="P122" s="45">
        <f t="shared" ref="P122:AI122" si="146">P114/P$107</f>
        <v>1.3601172371840956E-2</v>
      </c>
      <c r="Q122" s="45">
        <f t="shared" si="146"/>
        <v>1.2355880628681501E-2</v>
      </c>
      <c r="R122" s="45">
        <f t="shared" si="146"/>
        <v>1.3601172371840956E-2</v>
      </c>
      <c r="S122" s="45">
        <f t="shared" si="146"/>
        <v>1.2355880628681501E-2</v>
      </c>
      <c r="T122" s="45">
        <f t="shared" si="146"/>
        <v>1.3601172371840956E-2</v>
      </c>
      <c r="U122" s="45">
        <f t="shared" si="146"/>
        <v>1.2355880628681501E-2</v>
      </c>
      <c r="V122" s="45">
        <f t="shared" si="146"/>
        <v>1.3601172371840956E-2</v>
      </c>
      <c r="W122" s="45">
        <f t="shared" si="146"/>
        <v>1.2355880628681501E-2</v>
      </c>
      <c r="X122" s="45">
        <f t="shared" si="146"/>
        <v>1.3601172371840956E-2</v>
      </c>
      <c r="Y122" s="45">
        <f t="shared" si="146"/>
        <v>1.2355880628681501E-2</v>
      </c>
      <c r="Z122" s="45">
        <f t="shared" si="146"/>
        <v>1.3601172371840956E-2</v>
      </c>
      <c r="AA122" s="45">
        <f t="shared" si="146"/>
        <v>1.2355880628681501E-2</v>
      </c>
      <c r="AB122" s="45">
        <f t="shared" si="146"/>
        <v>1.3601172371840956E-2</v>
      </c>
      <c r="AC122" s="45">
        <f t="shared" si="146"/>
        <v>1.2355880628681501E-2</v>
      </c>
      <c r="AD122" s="45">
        <f t="shared" si="146"/>
        <v>1.3601172371840956E-2</v>
      </c>
      <c r="AE122" s="45">
        <f t="shared" si="146"/>
        <v>1.2355880628681501E-2</v>
      </c>
      <c r="AF122" s="45">
        <f t="shared" si="146"/>
        <v>1.3601172371840956E-2</v>
      </c>
      <c r="AG122" s="45">
        <f t="shared" si="146"/>
        <v>1.2355880628681501E-2</v>
      </c>
      <c r="AH122" s="45">
        <f t="shared" si="146"/>
        <v>1.3601172371840956E-2</v>
      </c>
      <c r="AI122" s="45">
        <f t="shared" si="146"/>
        <v>1.2355880628681501E-2</v>
      </c>
      <c r="AJ122" s="2"/>
      <c r="AK122" s="2"/>
      <c r="AL122" s="2"/>
      <c r="AM122" s="2"/>
    </row>
    <row r="123" spans="1:39" x14ac:dyDescent="0.25">
      <c r="A123" s="20" t="s">
        <v>189</v>
      </c>
      <c r="B123" s="33" t="s">
        <v>190</v>
      </c>
      <c r="C123" s="60" t="s">
        <v>117</v>
      </c>
      <c r="D123" s="32"/>
      <c r="E123" s="35"/>
      <c r="F123" s="35"/>
      <c r="G123" s="48">
        <f>G14/G107</f>
        <v>-1.283448853028905E-2</v>
      </c>
      <c r="H123" s="48">
        <f>H14/H107</f>
        <v>-1.1614997269914457E-2</v>
      </c>
      <c r="I123" s="48">
        <f>I14/I107</f>
        <v>-1.1254282032747731E-2</v>
      </c>
      <c r="J123" s="45">
        <f t="shared" ref="J123:L123" si="147">J115/J$107</f>
        <v>-1.2192671209219082E-2</v>
      </c>
      <c r="K123" s="45">
        <f>K115/K$107</f>
        <v>-1.0551158746495367E-2</v>
      </c>
      <c r="L123" s="45">
        <f t="shared" si="147"/>
        <v>-1.2383410023628904E-2</v>
      </c>
      <c r="M123" s="45">
        <f t="shared" si="145"/>
        <v>-1.0913481935968146E-2</v>
      </c>
      <c r="N123" s="45">
        <f t="shared" si="145"/>
        <v>-1.2379030028203286E-2</v>
      </c>
      <c r="O123" s="45">
        <f t="shared" si="145"/>
        <v>-1.1063342731917031E-2</v>
      </c>
      <c r="P123" s="45">
        <f t="shared" ref="P123:AI123" si="148">P115/P$107</f>
        <v>-1.2379030028203286E-2</v>
      </c>
      <c r="Q123" s="45">
        <f t="shared" si="148"/>
        <v>-1.1063342731917031E-2</v>
      </c>
      <c r="R123" s="45">
        <f t="shared" si="148"/>
        <v>-1.2379030028203286E-2</v>
      </c>
      <c r="S123" s="45">
        <f t="shared" si="148"/>
        <v>-1.1063342731917031E-2</v>
      </c>
      <c r="T123" s="45">
        <f t="shared" si="148"/>
        <v>-1.2379030028203286E-2</v>
      </c>
      <c r="U123" s="45">
        <f t="shared" si="148"/>
        <v>-1.1063342731917031E-2</v>
      </c>
      <c r="V123" s="45">
        <f t="shared" si="148"/>
        <v>-1.2379030028203286E-2</v>
      </c>
      <c r="W123" s="45">
        <f t="shared" si="148"/>
        <v>-1.1063342731917031E-2</v>
      </c>
      <c r="X123" s="45">
        <f t="shared" si="148"/>
        <v>-1.2379030028203286E-2</v>
      </c>
      <c r="Y123" s="45">
        <f t="shared" si="148"/>
        <v>-1.1063342731917031E-2</v>
      </c>
      <c r="Z123" s="45">
        <f t="shared" si="148"/>
        <v>-1.2379030028203286E-2</v>
      </c>
      <c r="AA123" s="45">
        <f t="shared" si="148"/>
        <v>-1.1063342731917031E-2</v>
      </c>
      <c r="AB123" s="45">
        <f t="shared" si="148"/>
        <v>-1.2379030028203286E-2</v>
      </c>
      <c r="AC123" s="45">
        <f t="shared" si="148"/>
        <v>-1.1063342731917029E-2</v>
      </c>
      <c r="AD123" s="45">
        <f t="shared" si="148"/>
        <v>-1.2379030028203286E-2</v>
      </c>
      <c r="AE123" s="45">
        <f t="shared" si="148"/>
        <v>-1.1063342731917031E-2</v>
      </c>
      <c r="AF123" s="45">
        <f t="shared" si="148"/>
        <v>-1.2379030028203286E-2</v>
      </c>
      <c r="AG123" s="45">
        <f t="shared" si="148"/>
        <v>-1.1063342731917031E-2</v>
      </c>
      <c r="AH123" s="45">
        <f t="shared" si="148"/>
        <v>-1.2379030028203286E-2</v>
      </c>
      <c r="AI123" s="45">
        <f t="shared" si="148"/>
        <v>-1.1063342731917031E-2</v>
      </c>
      <c r="AJ123" s="2"/>
      <c r="AK123" s="2"/>
      <c r="AL123" s="2"/>
      <c r="AM123" s="2"/>
    </row>
    <row r="124" spans="1:39" x14ac:dyDescent="0.25">
      <c r="A124" s="20" t="s">
        <v>191</v>
      </c>
      <c r="B124" s="33" t="s">
        <v>192</v>
      </c>
      <c r="C124" s="60" t="s">
        <v>117</v>
      </c>
      <c r="D124" s="32"/>
      <c r="E124" s="35"/>
      <c r="F124" s="35"/>
      <c r="G124" s="48">
        <f t="shared" ref="G124:H124" si="149">G122+G123</f>
        <v>1.2596296216819368E-3</v>
      </c>
      <c r="H124" s="48">
        <f t="shared" si="149"/>
        <v>1.0950676454528907E-3</v>
      </c>
      <c r="I124" s="48">
        <f>I122+I123</f>
        <v>1.3513938213017378E-3</v>
      </c>
      <c r="J124" s="45">
        <f>J116/J$107</f>
        <v>1.2685653279743741E-3</v>
      </c>
      <c r="K124" s="45">
        <f>K116/K$107</f>
        <v>1.2173048940625347E-3</v>
      </c>
      <c r="L124" s="45">
        <f>L116/L$107</f>
        <v>1.3151349334659863E-3</v>
      </c>
      <c r="M124" s="45">
        <f t="shared" si="145"/>
        <v>1.2989132208478895E-3</v>
      </c>
      <c r="N124" s="45">
        <f t="shared" si="145"/>
        <v>1.2221423436376689E-3</v>
      </c>
      <c r="O124" s="45">
        <f t="shared" si="145"/>
        <v>1.292537896764469E-3</v>
      </c>
      <c r="P124" s="45">
        <f t="shared" ref="P124:AI124" si="150">P116/P$107</f>
        <v>1.2221423436376702E-3</v>
      </c>
      <c r="Q124" s="45">
        <f t="shared" si="150"/>
        <v>1.29253789676447E-3</v>
      </c>
      <c r="R124" s="45">
        <f t="shared" si="150"/>
        <v>1.2221423436376702E-3</v>
      </c>
      <c r="S124" s="45">
        <f t="shared" si="150"/>
        <v>1.2925378967644703E-3</v>
      </c>
      <c r="T124" s="45">
        <f t="shared" si="150"/>
        <v>1.2221423436376689E-3</v>
      </c>
      <c r="U124" s="45">
        <f t="shared" si="150"/>
        <v>1.2925378967644707E-3</v>
      </c>
      <c r="V124" s="45">
        <f t="shared" si="150"/>
        <v>1.2221423436376696E-3</v>
      </c>
      <c r="W124" s="45">
        <f t="shared" si="150"/>
        <v>1.2925378967644685E-3</v>
      </c>
      <c r="X124" s="45">
        <f t="shared" si="150"/>
        <v>1.2221423436376689E-3</v>
      </c>
      <c r="Y124" s="45">
        <f t="shared" si="150"/>
        <v>1.2925378967644692E-3</v>
      </c>
      <c r="Z124" s="45">
        <f t="shared" si="150"/>
        <v>1.2221423436376694E-3</v>
      </c>
      <c r="AA124" s="45">
        <f t="shared" si="150"/>
        <v>1.2925378967644692E-3</v>
      </c>
      <c r="AB124" s="45">
        <f t="shared" si="150"/>
        <v>1.2221423436376685E-3</v>
      </c>
      <c r="AC124" s="45">
        <f t="shared" si="150"/>
        <v>1.2925378967644707E-3</v>
      </c>
      <c r="AD124" s="45">
        <f t="shared" si="150"/>
        <v>1.2221423436376689E-3</v>
      </c>
      <c r="AE124" s="45">
        <f t="shared" si="150"/>
        <v>1.2925378967644694E-3</v>
      </c>
      <c r="AF124" s="45">
        <f t="shared" si="150"/>
        <v>1.2221423436376687E-3</v>
      </c>
      <c r="AG124" s="45">
        <f t="shared" si="150"/>
        <v>1.29253789676447E-3</v>
      </c>
      <c r="AH124" s="45">
        <f t="shared" si="150"/>
        <v>1.2221423436376705E-3</v>
      </c>
      <c r="AI124" s="45">
        <f t="shared" si="150"/>
        <v>1.2925378967644698E-3</v>
      </c>
      <c r="AJ124" s="2"/>
      <c r="AK124" s="2"/>
      <c r="AL124" s="2"/>
      <c r="AM124" s="2"/>
    </row>
    <row r="125" spans="1:39" x14ac:dyDescent="0.25">
      <c r="A125" s="20" t="s">
        <v>193</v>
      </c>
      <c r="B125" s="33" t="s">
        <v>194</v>
      </c>
      <c r="C125" s="60" t="s">
        <v>117</v>
      </c>
      <c r="D125" s="32"/>
      <c r="E125" s="35"/>
      <c r="F125" s="35"/>
      <c r="G125" s="45">
        <f t="shared" ref="G125" si="151">G124/G122</f>
        <v>8.93727161997563E-2</v>
      </c>
      <c r="H125" s="45">
        <f t="shared" ref="H125" si="152">H124/H122</f>
        <v>8.6157517899761324E-2</v>
      </c>
      <c r="I125" s="45">
        <f t="shared" ref="I125:L125" si="153">I124/I122</f>
        <v>0.10720518573921713</v>
      </c>
      <c r="J125" s="45">
        <f t="shared" si="153"/>
        <v>9.4238395148121989E-2</v>
      </c>
      <c r="K125" s="45">
        <f>K124/K122</f>
        <v>0.10343787696019315</v>
      </c>
      <c r="L125" s="45">
        <f t="shared" si="153"/>
        <v>9.6005447117566908E-2</v>
      </c>
      <c r="M125" s="45">
        <f>M124/M122</f>
        <v>0.10650254214610701</v>
      </c>
      <c r="N125" s="45">
        <f>N124/N122</f>
        <v>8.9855661719861632E-2</v>
      </c>
      <c r="O125" s="45">
        <f>O124/O122</f>
        <v>0.10460912788070502</v>
      </c>
      <c r="P125" s="45">
        <f t="shared" ref="P125:AI125" si="154">P124/P122</f>
        <v>8.9855661719861729E-2</v>
      </c>
      <c r="Q125" s="45">
        <f t="shared" si="154"/>
        <v>0.1046091278807051</v>
      </c>
      <c r="R125" s="45">
        <f t="shared" si="154"/>
        <v>8.9855661719861729E-2</v>
      </c>
      <c r="S125" s="45">
        <f t="shared" si="154"/>
        <v>0.10460912788070512</v>
      </c>
      <c r="T125" s="45">
        <f t="shared" si="154"/>
        <v>8.9855661719861632E-2</v>
      </c>
      <c r="U125" s="45">
        <f t="shared" si="154"/>
        <v>0.10460912788070516</v>
      </c>
      <c r="V125" s="45">
        <f t="shared" si="154"/>
        <v>8.9855661719861674E-2</v>
      </c>
      <c r="W125" s="45">
        <f t="shared" si="154"/>
        <v>0.10460912788070498</v>
      </c>
      <c r="X125" s="45">
        <f t="shared" si="154"/>
        <v>8.9855661719861632E-2</v>
      </c>
      <c r="Y125" s="45">
        <f t="shared" si="154"/>
        <v>0.10460912788070503</v>
      </c>
      <c r="Z125" s="45">
        <f t="shared" si="154"/>
        <v>8.985566171986166E-2</v>
      </c>
      <c r="AA125" s="45">
        <f t="shared" si="154"/>
        <v>0.10460912788070503</v>
      </c>
      <c r="AB125" s="45">
        <f t="shared" si="154"/>
        <v>8.9855661719861604E-2</v>
      </c>
      <c r="AC125" s="45">
        <f t="shared" si="154"/>
        <v>0.10460912788070516</v>
      </c>
      <c r="AD125" s="45">
        <f t="shared" si="154"/>
        <v>8.9855661719861632E-2</v>
      </c>
      <c r="AE125" s="45">
        <f t="shared" si="154"/>
        <v>0.10460912788070505</v>
      </c>
      <c r="AF125" s="45">
        <f t="shared" si="154"/>
        <v>8.9855661719861618E-2</v>
      </c>
      <c r="AG125" s="45">
        <f t="shared" si="154"/>
        <v>0.1046091278807051</v>
      </c>
      <c r="AH125" s="45">
        <f t="shared" si="154"/>
        <v>8.9855661719861743E-2</v>
      </c>
      <c r="AI125" s="45">
        <f t="shared" si="154"/>
        <v>0.10460912788070509</v>
      </c>
      <c r="AJ125" s="2"/>
      <c r="AK125" s="2"/>
      <c r="AL125" s="2"/>
      <c r="AM125" s="2"/>
    </row>
    <row r="126" spans="1:39" x14ac:dyDescent="0.25">
      <c r="A126" s="307">
        <v>0</v>
      </c>
      <c r="B126" s="308"/>
      <c r="C126" s="60"/>
      <c r="D126" s="32"/>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2"/>
      <c r="AK126" s="2"/>
      <c r="AL126" s="2"/>
      <c r="AM126" s="2"/>
    </row>
    <row r="127" spans="1:39" x14ac:dyDescent="0.25">
      <c r="A127" s="20">
        <v>0</v>
      </c>
      <c r="B127" s="33" t="s">
        <v>195</v>
      </c>
      <c r="C127" s="60" t="s">
        <v>117</v>
      </c>
      <c r="D127" s="32"/>
      <c r="E127" s="35"/>
      <c r="F127" s="34"/>
      <c r="G127" s="34"/>
      <c r="H127" s="34"/>
      <c r="I127" s="34"/>
      <c r="J127" s="34"/>
      <c r="K127" s="34"/>
      <c r="L127" s="34"/>
      <c r="M127" s="34"/>
      <c r="N127" s="34"/>
      <c r="O127" s="35"/>
      <c r="P127" s="35"/>
      <c r="Q127" s="35"/>
      <c r="R127" s="35"/>
      <c r="S127" s="35"/>
      <c r="T127" s="35"/>
      <c r="U127" s="35"/>
      <c r="V127" s="35"/>
      <c r="W127" s="35"/>
      <c r="X127" s="35"/>
      <c r="Y127" s="35"/>
      <c r="Z127" s="35"/>
      <c r="AA127" s="35"/>
      <c r="AB127" s="35"/>
      <c r="AC127" s="35"/>
      <c r="AD127" s="35"/>
      <c r="AE127" s="35"/>
      <c r="AF127" s="35"/>
      <c r="AG127" s="35"/>
      <c r="AH127" s="35"/>
      <c r="AI127" s="35"/>
      <c r="AJ127" s="2"/>
      <c r="AK127" s="2"/>
      <c r="AL127" s="2"/>
      <c r="AM127" s="2"/>
    </row>
    <row r="128" spans="1:39" x14ac:dyDescent="0.25">
      <c r="A128" s="307" t="s">
        <v>196</v>
      </c>
      <c r="B128" s="308"/>
      <c r="C128" s="60"/>
      <c r="D128" s="32"/>
      <c r="E128" s="35"/>
      <c r="F128" s="34"/>
      <c r="G128" s="34"/>
      <c r="H128" s="34"/>
      <c r="I128" s="34"/>
      <c r="J128" s="34"/>
      <c r="K128" s="34"/>
      <c r="L128" s="34"/>
      <c r="M128" s="34"/>
      <c r="N128" s="34"/>
      <c r="O128" s="35"/>
      <c r="P128" s="35"/>
      <c r="Q128" s="35"/>
      <c r="R128" s="35"/>
      <c r="S128" s="35"/>
      <c r="T128" s="35"/>
      <c r="U128" s="35"/>
      <c r="V128" s="35"/>
      <c r="W128" s="35"/>
      <c r="X128" s="35"/>
      <c r="Y128" s="35"/>
      <c r="Z128" s="35"/>
      <c r="AA128" s="35"/>
      <c r="AB128" s="35"/>
      <c r="AC128" s="35"/>
      <c r="AD128" s="35"/>
      <c r="AE128" s="35"/>
      <c r="AF128" s="35"/>
      <c r="AG128" s="35"/>
      <c r="AH128" s="35"/>
      <c r="AI128" s="35"/>
      <c r="AJ128" s="2"/>
      <c r="AK128" s="2"/>
      <c r="AL128" s="2"/>
      <c r="AM128" s="2"/>
    </row>
    <row r="129" spans="1:39" x14ac:dyDescent="0.25">
      <c r="A129" s="20" t="s">
        <v>197</v>
      </c>
      <c r="B129" s="61" t="s">
        <v>100</v>
      </c>
      <c r="C129" s="60"/>
      <c r="D129" s="32"/>
      <c r="E129" s="35"/>
      <c r="F129" s="34"/>
      <c r="G129" s="34"/>
      <c r="H129" s="34"/>
      <c r="I129" s="34"/>
      <c r="J129" s="34"/>
      <c r="K129" s="34"/>
      <c r="L129" s="34"/>
      <c r="M129" s="34"/>
      <c r="N129" s="34"/>
      <c r="O129" s="35"/>
      <c r="P129" s="35"/>
      <c r="Q129" s="35"/>
      <c r="R129" s="35"/>
      <c r="S129" s="35"/>
      <c r="T129" s="35"/>
      <c r="U129" s="35"/>
      <c r="V129" s="35"/>
      <c r="W129" s="35"/>
      <c r="X129" s="35"/>
      <c r="Y129" s="35"/>
      <c r="Z129" s="35"/>
      <c r="AA129" s="35"/>
      <c r="AB129" s="35"/>
      <c r="AC129" s="35"/>
      <c r="AD129" s="35"/>
      <c r="AE129" s="35"/>
      <c r="AF129" s="35"/>
      <c r="AG129" s="35"/>
      <c r="AH129" s="35"/>
      <c r="AI129" s="35"/>
      <c r="AJ129" s="2"/>
      <c r="AK129" s="2"/>
      <c r="AL129" s="2"/>
      <c r="AM129" s="2"/>
    </row>
    <row r="130" spans="1:39" x14ac:dyDescent="0.25">
      <c r="A130" s="307" t="s">
        <v>196</v>
      </c>
      <c r="B130" s="308"/>
      <c r="C130" s="60"/>
      <c r="D130" s="32"/>
      <c r="E130" s="35"/>
      <c r="F130" s="34"/>
      <c r="G130" s="34"/>
      <c r="H130" s="34"/>
      <c r="I130" s="34"/>
      <c r="J130" s="34"/>
      <c r="K130" s="34"/>
      <c r="L130" s="34"/>
      <c r="M130" s="34"/>
      <c r="N130" s="34"/>
      <c r="O130" s="35"/>
      <c r="P130" s="35"/>
      <c r="Q130" s="35"/>
      <c r="R130" s="35"/>
      <c r="S130" s="35"/>
      <c r="T130" s="35"/>
      <c r="U130" s="35"/>
      <c r="V130" s="35"/>
      <c r="W130" s="35"/>
      <c r="X130" s="35"/>
      <c r="Y130" s="35"/>
      <c r="Z130" s="35"/>
      <c r="AA130" s="35"/>
      <c r="AB130" s="35"/>
      <c r="AC130" s="35"/>
      <c r="AD130" s="35"/>
      <c r="AE130" s="35"/>
      <c r="AF130" s="35"/>
      <c r="AG130" s="35"/>
      <c r="AH130" s="35"/>
      <c r="AI130" s="35"/>
      <c r="AJ130" s="2"/>
      <c r="AK130" s="2"/>
      <c r="AL130" s="2"/>
      <c r="AM130" s="2"/>
    </row>
    <row r="131" spans="1:39" x14ac:dyDescent="0.25">
      <c r="A131" s="20" t="s">
        <v>198</v>
      </c>
      <c r="B131" s="33" t="s">
        <v>199</v>
      </c>
      <c r="C131" s="60" t="s">
        <v>67</v>
      </c>
      <c r="D131" s="32"/>
      <c r="E131" s="35"/>
      <c r="F131" s="233">
        <v>21.416</v>
      </c>
      <c r="G131" s="35"/>
      <c r="H131" s="233">
        <v>25.119</v>
      </c>
      <c r="I131" s="35">
        <f>INDEX(Annual!$A:$Y,MATCH(Segments!$A131,Annual!$A:$A,0),MATCH(Segments!I$1,Annual!$A$1:$Y$1,0))-H131</f>
        <v>39.881</v>
      </c>
      <c r="J131" s="34">
        <v>36.1</v>
      </c>
      <c r="K131" s="35">
        <f>INDEX(Annual!$A:$Y,MATCH(Segments!$A131,Annual!$A:$A,0),MATCH(Segments!K$1,Annual!$A$1:$Y$1,0))-J131</f>
        <v>29.6</v>
      </c>
      <c r="L131" s="34">
        <v>24.4</v>
      </c>
      <c r="M131" s="35">
        <f>INDEX(Annual!$A:$Y,MATCH(Segments!$A131,Annual!$A:$A,0),MATCH(Segments!M$1,Annual!$A$1:$Y$1,0))-L131</f>
        <v>23.300000000000004</v>
      </c>
      <c r="N131" s="34">
        <v>26.8</v>
      </c>
      <c r="O131" s="35">
        <f>INDEX(Annual!$A:$Y,MATCH(Segments!$A131,Annual!$A:$A,0),MATCH(Segments!O$1,Annual!$A$1:$Y$1,0))-N131</f>
        <v>31.3</v>
      </c>
      <c r="P131" s="35">
        <f>P185</f>
        <v>35.229126000000008</v>
      </c>
      <c r="Q131" s="35">
        <f t="shared" ref="Q131:AI134" si="155">Q185</f>
        <v>37.695126000000002</v>
      </c>
      <c r="R131" s="35">
        <f t="shared" si="155"/>
        <v>39.574038600000002</v>
      </c>
      <c r="S131" s="35">
        <f t="shared" si="155"/>
        <v>41.464638600000001</v>
      </c>
      <c r="T131" s="35">
        <f t="shared" si="155"/>
        <v>42.704720915999999</v>
      </c>
      <c r="U131" s="35">
        <f t="shared" si="155"/>
        <v>43.952516916000008</v>
      </c>
      <c r="V131" s="35">
        <f t="shared" si="155"/>
        <v>45.267004170960007</v>
      </c>
      <c r="W131" s="35">
        <f t="shared" si="155"/>
        <v>46.589667930960012</v>
      </c>
      <c r="X131" s="35">
        <f t="shared" si="155"/>
        <v>47.983024421217607</v>
      </c>
      <c r="Y131" s="35">
        <f t="shared" si="155"/>
        <v>49.385048006817613</v>
      </c>
      <c r="Z131" s="35">
        <f t="shared" si="155"/>
        <v>50.862005886490664</v>
      </c>
      <c r="AA131" s="35">
        <f t="shared" si="155"/>
        <v>52.348150887226673</v>
      </c>
      <c r="AB131" s="35">
        <f t="shared" si="155"/>
        <v>53.913726239680102</v>
      </c>
      <c r="AC131" s="35">
        <f t="shared" si="155"/>
        <v>55.489039940460273</v>
      </c>
      <c r="AD131" s="35">
        <f t="shared" si="155"/>
        <v>57.148549814060914</v>
      </c>
      <c r="AE131" s="35">
        <f t="shared" si="155"/>
        <v>58.818382336887886</v>
      </c>
      <c r="AF131" s="35">
        <f t="shared" si="155"/>
        <v>60.57746280290457</v>
      </c>
      <c r="AG131" s="35">
        <f t="shared" si="155"/>
        <v>62.347485277101164</v>
      </c>
      <c r="AH131" s="35">
        <f t="shared" si="155"/>
        <v>64.212110571078853</v>
      </c>
      <c r="AI131" s="35">
        <f t="shared" si="155"/>
        <v>66.088334393727237</v>
      </c>
      <c r="AJ131" s="2"/>
      <c r="AK131" s="2"/>
      <c r="AL131" s="2"/>
      <c r="AM131" s="2"/>
    </row>
    <row r="132" spans="1:39" x14ac:dyDescent="0.25">
      <c r="A132" s="20" t="s">
        <v>200</v>
      </c>
      <c r="B132" s="33" t="s">
        <v>201</v>
      </c>
      <c r="C132" s="60" t="s">
        <v>67</v>
      </c>
      <c r="D132" s="32"/>
      <c r="E132" s="35"/>
      <c r="F132" s="34"/>
      <c r="G132" s="35"/>
      <c r="H132" s="34"/>
      <c r="I132" s="35">
        <f>INDEX(Annual!$A:$Y,MATCH(Segments!$A132,Annual!$A:$A,0),MATCH(Segments!I$1,Annual!$A$1:$Y$1,0))-H132</f>
        <v>-21</v>
      </c>
      <c r="J132" s="34">
        <v>-13</v>
      </c>
      <c r="K132" s="35">
        <f>INDEX(Annual!$A:$Y,MATCH(Segments!$A132,Annual!$A:$A,0),MATCH(Segments!K$1,Annual!$A$1:$Y$1,0))-J132</f>
        <v>-12.5</v>
      </c>
      <c r="L132" s="34">
        <v>-11.7</v>
      </c>
      <c r="M132" s="35">
        <f>INDEX(Annual!$A:$Y,MATCH(Segments!$A132,Annual!$A:$A,0),MATCH(Segments!M$1,Annual!$A$1:$Y$1,0))-L132</f>
        <v>-11.400000000000002</v>
      </c>
      <c r="N132" s="34">
        <v>-12.2</v>
      </c>
      <c r="O132" s="35">
        <f>INDEX(Annual!$A:$Y,MATCH(Segments!$A132,Annual!$A:$A,0),MATCH(Segments!O$1,Annual!$A$1:$Y$1,0))-N132</f>
        <v>-12.8</v>
      </c>
      <c r="P132" s="35">
        <f t="shared" ref="P132:AE134" si="156">P186</f>
        <v>-16.037139447761195</v>
      </c>
      <c r="Q132" s="35">
        <f t="shared" si="156"/>
        <v>-15.415259194888179</v>
      </c>
      <c r="R132" s="35">
        <f t="shared" si="156"/>
        <v>-18.015047422388058</v>
      </c>
      <c r="S132" s="35">
        <f t="shared" si="156"/>
        <v>-16.956785114376995</v>
      </c>
      <c r="T132" s="35">
        <f t="shared" si="156"/>
        <v>-19.440208775194026</v>
      </c>
      <c r="U132" s="35">
        <f t="shared" si="156"/>
        <v>-17.974192221239619</v>
      </c>
      <c r="V132" s="35">
        <f t="shared" si="156"/>
        <v>-20.606621301705673</v>
      </c>
      <c r="W132" s="35">
        <f t="shared" si="156"/>
        <v>-19.052643754513998</v>
      </c>
      <c r="X132" s="35">
        <f t="shared" si="156"/>
        <v>-21.843018579808014</v>
      </c>
      <c r="Y132" s="35">
        <f t="shared" si="156"/>
        <v>-20.195802379784837</v>
      </c>
      <c r="Z132" s="35">
        <f t="shared" si="156"/>
        <v>-23.153599694596497</v>
      </c>
      <c r="AA132" s="35">
        <f t="shared" si="156"/>
        <v>-21.407550522571928</v>
      </c>
      <c r="AB132" s="35">
        <f t="shared" si="156"/>
        <v>-24.542815676272287</v>
      </c>
      <c r="AC132" s="35">
        <f t="shared" si="156"/>
        <v>-22.692003553926245</v>
      </c>
      <c r="AD132" s="35">
        <f t="shared" si="156"/>
        <v>-26.015384616848625</v>
      </c>
      <c r="AE132" s="35">
        <f t="shared" si="156"/>
        <v>-24.053523767161817</v>
      </c>
      <c r="AF132" s="35">
        <f t="shared" si="155"/>
        <v>-27.576307693859544</v>
      </c>
      <c r="AG132" s="35">
        <f t="shared" si="155"/>
        <v>-25.496735193191526</v>
      </c>
      <c r="AH132" s="35">
        <f t="shared" si="155"/>
        <v>-29.230886155491117</v>
      </c>
      <c r="AI132" s="35">
        <f t="shared" si="155"/>
        <v>-27.026539304783018</v>
      </c>
      <c r="AJ132" s="2"/>
      <c r="AK132" s="2"/>
      <c r="AL132" s="2"/>
      <c r="AM132" s="2"/>
    </row>
    <row r="133" spans="1:39" x14ac:dyDescent="0.25">
      <c r="A133" s="20" t="s">
        <v>202</v>
      </c>
      <c r="B133" s="64" t="s">
        <v>203</v>
      </c>
      <c r="C133" s="65" t="s">
        <v>67</v>
      </c>
      <c r="D133" s="66"/>
      <c r="E133" s="67"/>
      <c r="F133" s="67"/>
      <c r="G133" s="67"/>
      <c r="H133" s="67"/>
      <c r="I133" s="67">
        <f>INDEX(Annual!$A:$Y,MATCH(Segments!$A133,Annual!$A:$A,0),MATCH(Segments!I$1,Annual!$A$1:$Y$1,0))-H133</f>
        <v>-3</v>
      </c>
      <c r="J133" s="67">
        <f>J134-J132-J131</f>
        <v>-1.5</v>
      </c>
      <c r="K133" s="67">
        <f>INDEX(Annual!$A:$Y,MATCH(Segments!$A133,Annual!$A:$A,0),MATCH(Segments!K$1,Annual!$A$1:$Y$1,0))-J133</f>
        <v>-0.30000000000000426</v>
      </c>
      <c r="L133" s="67">
        <f>L134-L132-L131</f>
        <v>-0.79999999999999716</v>
      </c>
      <c r="M133" s="67">
        <f>INDEX(Annual!$A:$Y,MATCH(Segments!$A133,Annual!$A:$A,0),MATCH(Segments!M$1,Annual!$A$1:$Y$1,0))-L133</f>
        <v>-1.2000000000000028</v>
      </c>
      <c r="N133" s="67">
        <f>N134-N132-N131</f>
        <v>-1.6000000000000014</v>
      </c>
      <c r="O133" s="67">
        <f>INDEX(Annual!$A:$Y,MATCH(Segments!$A133,Annual!$A:$A,0),MATCH(Segments!O$1,Annual!$A$1:$Y$1,0))-N133</f>
        <v>-2</v>
      </c>
      <c r="P133" s="67">
        <f t="shared" si="156"/>
        <v>-2.1032314029850769</v>
      </c>
      <c r="Q133" s="67">
        <f t="shared" si="155"/>
        <v>-2.408634249201278</v>
      </c>
      <c r="R133" s="67">
        <f t="shared" si="155"/>
        <v>-2.3626291701492557</v>
      </c>
      <c r="S133" s="67">
        <f t="shared" si="155"/>
        <v>-2.6494976741214056</v>
      </c>
      <c r="T133" s="67">
        <f t="shared" si="155"/>
        <v>-2.5495355770746286</v>
      </c>
      <c r="U133" s="67">
        <f t="shared" si="155"/>
        <v>-2.8084675345686905</v>
      </c>
      <c r="V133" s="67">
        <f t="shared" si="155"/>
        <v>-2.702507711699107</v>
      </c>
      <c r="W133" s="67">
        <f t="shared" si="155"/>
        <v>-2.976975586642812</v>
      </c>
      <c r="X133" s="67">
        <f t="shared" si="155"/>
        <v>-2.8646581744010535</v>
      </c>
      <c r="Y133" s="67">
        <f t="shared" si="155"/>
        <v>-3.1555941218413808</v>
      </c>
      <c r="Z133" s="67">
        <f t="shared" si="155"/>
        <v>-3.0365376648651168</v>
      </c>
      <c r="AA133" s="67">
        <f t="shared" si="155"/>
        <v>-3.3449297691518636</v>
      </c>
      <c r="AB133" s="67">
        <f t="shared" si="155"/>
        <v>-3.218729924757024</v>
      </c>
      <c r="AC133" s="67">
        <f t="shared" si="155"/>
        <v>-3.5456255553009757</v>
      </c>
      <c r="AD133" s="67">
        <f t="shared" si="155"/>
        <v>-3.4118537202424455</v>
      </c>
      <c r="AE133" s="67">
        <f t="shared" si="155"/>
        <v>-3.7583630886190336</v>
      </c>
      <c r="AF133" s="67">
        <f t="shared" si="155"/>
        <v>-3.6165649434569924</v>
      </c>
      <c r="AG133" s="67">
        <f t="shared" si="155"/>
        <v>-3.9838648739361759</v>
      </c>
      <c r="AH133" s="67">
        <f t="shared" si="155"/>
        <v>-3.8335588400644123</v>
      </c>
      <c r="AI133" s="67">
        <f t="shared" si="155"/>
        <v>-4.2228967663723465</v>
      </c>
      <c r="AJ133" s="2"/>
      <c r="AK133" s="2"/>
      <c r="AL133" s="2"/>
      <c r="AM133" s="2"/>
    </row>
    <row r="134" spans="1:39" x14ac:dyDescent="0.25">
      <c r="A134" s="20" t="s">
        <v>204</v>
      </c>
      <c r="B134" s="33" t="s">
        <v>87</v>
      </c>
      <c r="C134" s="60" t="s">
        <v>67</v>
      </c>
      <c r="D134" s="32"/>
      <c r="E134" s="35"/>
      <c r="F134" s="35"/>
      <c r="G134" s="35"/>
      <c r="H134" s="35"/>
      <c r="I134" s="35">
        <f>INDEX(Annual!$A:$Y,MATCH(Segments!$A134,Annual!$A:$A,0),MATCH(Segments!I$1,Annual!$A$1:$Y$1,0))-H134</f>
        <v>41</v>
      </c>
      <c r="J134" s="35">
        <f>J26</f>
        <v>21.6</v>
      </c>
      <c r="K134" s="35">
        <f>INDEX(Annual!$A:$Y,MATCH(Segments!$A134,Annual!$A:$A,0),MATCH(Segments!K$1,Annual!$A$1:$Y$1,0))-J134</f>
        <v>16.799999999999997</v>
      </c>
      <c r="L134" s="35">
        <f>L26</f>
        <v>11.9</v>
      </c>
      <c r="M134" s="35">
        <f>INDEX(Annual!$A:$Y,MATCH(Segments!$A134,Annual!$A:$A,0),MATCH(Segments!M$1,Annual!$A$1:$Y$1,0))-L134</f>
        <v>10.700000000000001</v>
      </c>
      <c r="N134" s="35">
        <f>N26</f>
        <v>13</v>
      </c>
      <c r="O134" s="35">
        <f>INDEX(Annual!$A:$Y,MATCH(Segments!$A134,Annual!$A:$A,0),MATCH(Segments!O$1,Annual!$A$1:$Y$1,0))-N134</f>
        <v>16.5</v>
      </c>
      <c r="P134" s="35">
        <f t="shared" si="156"/>
        <v>17.088755149253736</v>
      </c>
      <c r="Q134" s="35">
        <f t="shared" si="155"/>
        <v>19.871232555910545</v>
      </c>
      <c r="R134" s="35">
        <f t="shared" si="155"/>
        <v>19.196362007462689</v>
      </c>
      <c r="S134" s="35">
        <f t="shared" si="155"/>
        <v>21.8583558115016</v>
      </c>
      <c r="T134" s="35">
        <f t="shared" si="155"/>
        <v>20.714976563731344</v>
      </c>
      <c r="U134" s="35">
        <f t="shared" si="155"/>
        <v>23.169857160191697</v>
      </c>
      <c r="V134" s="35">
        <f t="shared" si="155"/>
        <v>21.957875157555229</v>
      </c>
      <c r="W134" s="35">
        <f t="shared" si="155"/>
        <v>24.560048589803202</v>
      </c>
      <c r="X134" s="35">
        <f t="shared" si="155"/>
        <v>23.275347667008539</v>
      </c>
      <c r="Y134" s="35">
        <f t="shared" si="155"/>
        <v>26.033651505191393</v>
      </c>
      <c r="Z134" s="35">
        <f t="shared" si="155"/>
        <v>24.671868527029048</v>
      </c>
      <c r="AA134" s="35">
        <f t="shared" si="155"/>
        <v>27.595670595502881</v>
      </c>
      <c r="AB134" s="35">
        <f t="shared" si="155"/>
        <v>26.15218063865079</v>
      </c>
      <c r="AC134" s="35">
        <f t="shared" si="155"/>
        <v>29.251410831233056</v>
      </c>
      <c r="AD134" s="35">
        <f t="shared" si="155"/>
        <v>27.721311476969845</v>
      </c>
      <c r="AE134" s="35">
        <f t="shared" si="155"/>
        <v>31.006495481107038</v>
      </c>
      <c r="AF134" s="35">
        <f t="shared" si="155"/>
        <v>29.384590165588037</v>
      </c>
      <c r="AG134" s="35">
        <f t="shared" si="155"/>
        <v>32.866885209973461</v>
      </c>
      <c r="AH134" s="35">
        <f t="shared" si="155"/>
        <v>31.14766557552332</v>
      </c>
      <c r="AI134" s="35">
        <f t="shared" si="155"/>
        <v>34.838898322571879</v>
      </c>
      <c r="AJ134" s="2"/>
      <c r="AK134" s="2"/>
      <c r="AL134" s="2"/>
      <c r="AM134" s="2"/>
    </row>
    <row r="135" spans="1:39" x14ac:dyDescent="0.25">
      <c r="A135" s="307" t="s">
        <v>196</v>
      </c>
      <c r="B135" s="308"/>
      <c r="C135" s="60"/>
      <c r="D135" s="32"/>
      <c r="E135" s="35"/>
      <c r="F135" s="34"/>
      <c r="G135" s="35"/>
      <c r="H135" s="34"/>
      <c r="I135" s="35"/>
      <c r="J135" s="34"/>
      <c r="K135" s="35"/>
      <c r="L135" s="34"/>
      <c r="M135" s="35"/>
      <c r="N135" s="34"/>
      <c r="O135" s="35"/>
      <c r="P135" s="35"/>
      <c r="Q135" s="35"/>
      <c r="R135" s="35"/>
      <c r="S135" s="35"/>
      <c r="T135" s="35"/>
      <c r="U135" s="35"/>
      <c r="V135" s="35"/>
      <c r="W135" s="35"/>
      <c r="X135" s="35"/>
      <c r="Y135" s="35"/>
      <c r="Z135" s="35"/>
      <c r="AA135" s="35"/>
      <c r="AB135" s="35"/>
      <c r="AC135" s="35"/>
      <c r="AD135" s="35"/>
      <c r="AE135" s="35"/>
      <c r="AF135" s="35"/>
      <c r="AG135" s="35"/>
      <c r="AH135" s="35"/>
      <c r="AI135" s="35"/>
      <c r="AJ135" s="2"/>
      <c r="AK135" s="2"/>
      <c r="AL135" s="2"/>
      <c r="AM135" s="2"/>
    </row>
    <row r="136" spans="1:39" x14ac:dyDescent="0.25">
      <c r="A136" s="20" t="s">
        <v>205</v>
      </c>
      <c r="B136" s="33" t="s">
        <v>206</v>
      </c>
      <c r="C136" s="60" t="s">
        <v>67</v>
      </c>
      <c r="D136" s="32"/>
      <c r="E136" s="35"/>
      <c r="F136" s="34"/>
      <c r="G136" s="35"/>
      <c r="H136" s="34"/>
      <c r="I136" s="62">
        <f>AVERAGE(H137:I137)</f>
        <v>4407</v>
      </c>
      <c r="J136" s="63">
        <v>5000</v>
      </c>
      <c r="K136" s="62">
        <f>AVERAGE(J137:K137)</f>
        <v>4700</v>
      </c>
      <c r="L136" s="63">
        <v>4200</v>
      </c>
      <c r="M136" s="62">
        <f>AVERAGE(L137:M137)</f>
        <v>4275.5</v>
      </c>
      <c r="N136" s="63">
        <v>4800</v>
      </c>
      <c r="O136" s="62">
        <f>AVERAGE(N137:O137)</f>
        <v>5269.5</v>
      </c>
      <c r="P136" s="35"/>
      <c r="Q136" s="35"/>
      <c r="R136" s="35"/>
      <c r="S136" s="35"/>
      <c r="T136" s="35"/>
      <c r="U136" s="35"/>
      <c r="V136" s="35"/>
      <c r="W136" s="35"/>
      <c r="X136" s="35"/>
      <c r="Y136" s="35"/>
      <c r="Z136" s="35"/>
      <c r="AA136" s="35"/>
      <c r="AB136" s="35"/>
      <c r="AC136" s="35"/>
      <c r="AD136" s="35"/>
      <c r="AE136" s="35"/>
      <c r="AF136" s="35"/>
      <c r="AG136" s="35"/>
      <c r="AH136" s="35"/>
      <c r="AI136" s="35"/>
      <c r="AJ136" s="2"/>
      <c r="AK136" s="2"/>
      <c r="AL136" s="2"/>
      <c r="AM136" s="2"/>
    </row>
    <row r="137" spans="1:39" x14ac:dyDescent="0.25">
      <c r="A137" s="20" t="s">
        <v>207</v>
      </c>
      <c r="B137" s="33" t="s">
        <v>208</v>
      </c>
      <c r="C137" s="60" t="s">
        <v>67</v>
      </c>
      <c r="D137" s="32"/>
      <c r="E137" s="35"/>
      <c r="F137" s="63">
        <v>2964.7939999999999</v>
      </c>
      <c r="G137" s="62">
        <f>INDEX(Annual!$A:$Y,MATCH(Segments!$A137,Annual!$A:$A,0),MATCH(Segments!G$1,Annual!$A$1:$Y$1,0))</f>
        <v>0</v>
      </c>
      <c r="H137" s="63">
        <v>4028</v>
      </c>
      <c r="I137" s="62">
        <f>INDEX(Annual!$A:$Y,MATCH(Segments!$A137,Annual!$A:$A,0),MATCH(Segments!I$1,Annual!$A$1:$Y$1,0))</f>
        <v>4786</v>
      </c>
      <c r="J137" s="63">
        <v>4925</v>
      </c>
      <c r="K137" s="62">
        <f>INDEX(Annual!$A:$Y,MATCH(Segments!$A137,Annual!$A:$A,0),MATCH(Segments!K$1,Annual!$A$1:$Y$1,0))</f>
        <v>4475</v>
      </c>
      <c r="L137" s="63">
        <v>4109</v>
      </c>
      <c r="M137" s="62">
        <f>INDEX(Annual!$A:$Y,MATCH(Segments!$A137,Annual!$A:$A,0),MATCH(Segments!M$1,Annual!$A$1:$Y$1,0))</f>
        <v>4442</v>
      </c>
      <c r="N137" s="63">
        <v>5059</v>
      </c>
      <c r="O137" s="62">
        <f>INDEX(Annual!$A:$Y,MATCH(Segments!$A137,Annual!$A:$A,0),MATCH(Segments!O$1,Annual!$A$1:$Y$1,0))</f>
        <v>5480</v>
      </c>
      <c r="P137" s="35"/>
      <c r="Q137" s="35"/>
      <c r="R137" s="35"/>
      <c r="S137" s="35"/>
      <c r="T137" s="35"/>
      <c r="U137" s="35"/>
      <c r="V137" s="35"/>
      <c r="W137" s="35"/>
      <c r="X137" s="35"/>
      <c r="Y137" s="35"/>
      <c r="Z137" s="35"/>
      <c r="AA137" s="35"/>
      <c r="AB137" s="35"/>
      <c r="AC137" s="35"/>
      <c r="AD137" s="35"/>
      <c r="AE137" s="35"/>
      <c r="AF137" s="35"/>
      <c r="AG137" s="35"/>
      <c r="AH137" s="35"/>
      <c r="AI137" s="35"/>
      <c r="AJ137" s="2"/>
      <c r="AK137" s="2"/>
      <c r="AL137" s="2"/>
      <c r="AM137" s="2"/>
    </row>
    <row r="138" spans="1:39" x14ac:dyDescent="0.25">
      <c r="A138" s="20" t="s">
        <v>209</v>
      </c>
      <c r="B138" s="33" t="s">
        <v>210</v>
      </c>
      <c r="C138" s="60" t="s">
        <v>67</v>
      </c>
      <c r="D138" s="32"/>
      <c r="E138" s="35"/>
      <c r="F138" s="34"/>
      <c r="G138" s="35"/>
      <c r="H138" s="63">
        <v>1302</v>
      </c>
      <c r="I138" s="62">
        <f>INDEX(Annual!$A:$Y,MATCH(Segments!$A138,Annual!$A:$A,0),MATCH(Segments!I$1,Annual!$A$1:$Y$1,0))-H138</f>
        <v>1418</v>
      </c>
      <c r="J138" s="63">
        <v>1065</v>
      </c>
      <c r="K138" s="62">
        <f>INDEX(Annual!$A:$Y,MATCH(Segments!$A138,Annual!$A:$A,0),MATCH(Segments!K$1,Annual!$A$1:$Y$1,0))-J138</f>
        <v>516</v>
      </c>
      <c r="L138" s="34">
        <v>582</v>
      </c>
      <c r="M138" s="62">
        <f>INDEX(Annual!$A:$Y,MATCH(Segments!$A138,Annual!$A:$A,0),MATCH(Segments!M$1,Annual!$A$1:$Y$1,0))-L138</f>
        <v>1055</v>
      </c>
      <c r="N138" s="63">
        <v>1437</v>
      </c>
      <c r="O138" s="62">
        <f>INDEX(Annual!$A:$Y,MATCH(Segments!$A138,Annual!$A:$A,0),MATCH(Segments!O$1,Annual!$A$1:$Y$1,0))-N138</f>
        <v>1270</v>
      </c>
      <c r="P138" s="35"/>
      <c r="Q138" s="35"/>
      <c r="R138" s="35"/>
      <c r="S138" s="35"/>
      <c r="T138" s="35"/>
      <c r="U138" s="35"/>
      <c r="V138" s="35"/>
      <c r="W138" s="35"/>
      <c r="X138" s="35"/>
      <c r="Y138" s="35"/>
      <c r="Z138" s="35"/>
      <c r="AA138" s="35"/>
      <c r="AB138" s="35"/>
      <c r="AC138" s="35"/>
      <c r="AD138" s="35"/>
      <c r="AE138" s="35"/>
      <c r="AF138" s="35"/>
      <c r="AG138" s="35"/>
      <c r="AH138" s="35"/>
      <c r="AI138" s="35"/>
      <c r="AJ138" s="2"/>
      <c r="AK138" s="2"/>
      <c r="AL138" s="2"/>
      <c r="AM138" s="2"/>
    </row>
    <row r="139" spans="1:39" x14ac:dyDescent="0.25">
      <c r="A139" s="20" t="s">
        <v>211</v>
      </c>
      <c r="B139" s="33" t="s">
        <v>212</v>
      </c>
      <c r="C139" s="60" t="s">
        <v>213</v>
      </c>
      <c r="D139" s="32"/>
      <c r="E139" s="45">
        <f>INDEX(Annual!$A:$Y,MATCH(Segments!$A139,Annual!$A:$A,0),MATCH(Segments!E$1,Annual!$A$1:$Y$1,0))</f>
        <v>1.5699999999999999E-2</v>
      </c>
      <c r="F139" s="35"/>
      <c r="G139" s="45">
        <f>INDEX(Annual!$A:$Y,MATCH(Segments!$A139,Annual!$A:$A,0),MATCH(Segments!G$1,Annual!$A$1:$Y$1,0))</f>
        <v>1.78E-2</v>
      </c>
      <c r="H139" s="73">
        <v>1.72E-2</v>
      </c>
      <c r="I139" s="45">
        <f>I131/I136*2</f>
        <v>1.809893351486272E-2</v>
      </c>
      <c r="J139" s="45">
        <f t="shared" ref="J139:N139" si="157">J131/J136*2</f>
        <v>1.444E-2</v>
      </c>
      <c r="K139" s="45">
        <f t="shared" si="157"/>
        <v>1.2595744680851064E-2</v>
      </c>
      <c r="L139" s="45">
        <f t="shared" si="157"/>
        <v>1.1619047619047619E-2</v>
      </c>
      <c r="M139" s="45">
        <f t="shared" si="157"/>
        <v>1.0899310022219626E-2</v>
      </c>
      <c r="N139" s="45">
        <f t="shared" si="157"/>
        <v>1.1166666666666667E-2</v>
      </c>
      <c r="O139" s="45">
        <f>O131/O136*2</f>
        <v>1.1879684979599583E-2</v>
      </c>
      <c r="P139" s="35"/>
      <c r="Q139" s="35"/>
      <c r="R139" s="35"/>
      <c r="S139" s="35"/>
      <c r="T139" s="35"/>
      <c r="U139" s="35"/>
      <c r="V139" s="35"/>
      <c r="W139" s="35"/>
      <c r="X139" s="35"/>
      <c r="Y139" s="35"/>
      <c r="Z139" s="35"/>
      <c r="AA139" s="35"/>
      <c r="AB139" s="35"/>
      <c r="AC139" s="35"/>
      <c r="AD139" s="35"/>
      <c r="AE139" s="35"/>
      <c r="AF139" s="35"/>
      <c r="AG139" s="35"/>
      <c r="AH139" s="35"/>
      <c r="AI139" s="35"/>
      <c r="AJ139" s="2"/>
      <c r="AK139" s="2"/>
      <c r="AL139" s="2"/>
      <c r="AM139" s="2"/>
    </row>
    <row r="140" spans="1:39" x14ac:dyDescent="0.25">
      <c r="A140" s="307">
        <v>0</v>
      </c>
      <c r="B140" s="308"/>
      <c r="C140" s="60"/>
      <c r="D140" s="32"/>
      <c r="E140" s="35"/>
      <c r="F140" s="34"/>
      <c r="G140" s="35"/>
      <c r="H140" s="34"/>
      <c r="I140" s="35"/>
      <c r="J140" s="34"/>
      <c r="K140" s="35"/>
      <c r="L140" s="34"/>
      <c r="M140" s="35"/>
      <c r="N140" s="34"/>
      <c r="O140" s="35"/>
      <c r="P140" s="35"/>
      <c r="Q140" s="35"/>
      <c r="R140" s="35"/>
      <c r="S140" s="35"/>
      <c r="T140" s="35"/>
      <c r="U140" s="35"/>
      <c r="V140" s="35"/>
      <c r="W140" s="35"/>
      <c r="X140" s="35"/>
      <c r="Y140" s="35"/>
      <c r="Z140" s="35"/>
      <c r="AA140" s="35"/>
      <c r="AB140" s="35"/>
      <c r="AC140" s="35"/>
      <c r="AD140" s="35"/>
      <c r="AE140" s="35"/>
      <c r="AF140" s="35"/>
      <c r="AG140" s="35"/>
      <c r="AH140" s="35"/>
      <c r="AI140" s="35"/>
      <c r="AJ140" s="2"/>
      <c r="AK140" s="2"/>
      <c r="AL140" s="2"/>
      <c r="AM140" s="2"/>
    </row>
    <row r="141" spans="1:39" x14ac:dyDescent="0.25">
      <c r="A141" s="20">
        <v>0</v>
      </c>
      <c r="B141" s="33" t="s">
        <v>195</v>
      </c>
      <c r="C141" s="60" t="s">
        <v>117</v>
      </c>
      <c r="D141" s="32"/>
      <c r="E141" s="35"/>
      <c r="F141" s="34"/>
      <c r="G141" s="35"/>
      <c r="H141" s="34"/>
      <c r="I141" s="35"/>
      <c r="J141" s="34"/>
      <c r="K141" s="35"/>
      <c r="L141" s="34"/>
      <c r="M141" s="35"/>
      <c r="N141" s="34"/>
      <c r="O141" s="35"/>
      <c r="P141" s="35"/>
      <c r="Q141" s="35"/>
      <c r="R141" s="35"/>
      <c r="S141" s="35"/>
      <c r="T141" s="35"/>
      <c r="U141" s="35"/>
      <c r="V141" s="35"/>
      <c r="W141" s="35"/>
      <c r="X141" s="35"/>
      <c r="Y141" s="35"/>
      <c r="Z141" s="35"/>
      <c r="AA141" s="35"/>
      <c r="AB141" s="35"/>
      <c r="AC141" s="35"/>
      <c r="AD141" s="35"/>
      <c r="AE141" s="35"/>
      <c r="AF141" s="35"/>
      <c r="AG141" s="35"/>
      <c r="AH141" s="35"/>
      <c r="AI141" s="35"/>
      <c r="AJ141" s="2"/>
      <c r="AK141" s="2"/>
      <c r="AL141" s="2"/>
      <c r="AM141" s="2"/>
    </row>
    <row r="142" spans="1:39" x14ac:dyDescent="0.25">
      <c r="A142" s="307" t="s">
        <v>196</v>
      </c>
      <c r="B142" s="308"/>
      <c r="C142" s="60"/>
      <c r="D142" s="32"/>
      <c r="E142" s="35"/>
      <c r="F142" s="34"/>
      <c r="G142" s="35"/>
      <c r="H142" s="34"/>
      <c r="I142" s="35"/>
      <c r="J142" s="34"/>
      <c r="K142" s="35"/>
      <c r="L142" s="34"/>
      <c r="M142" s="35"/>
      <c r="N142" s="34"/>
      <c r="O142" s="35"/>
      <c r="P142" s="35"/>
      <c r="Q142" s="35"/>
      <c r="R142" s="35"/>
      <c r="S142" s="35"/>
      <c r="T142" s="35"/>
      <c r="U142" s="35"/>
      <c r="V142" s="35"/>
      <c r="W142" s="35"/>
      <c r="X142" s="35"/>
      <c r="Y142" s="35"/>
      <c r="Z142" s="35"/>
      <c r="AA142" s="35"/>
      <c r="AB142" s="35"/>
      <c r="AC142" s="35"/>
      <c r="AD142" s="35"/>
      <c r="AE142" s="35"/>
      <c r="AF142" s="35"/>
      <c r="AG142" s="35"/>
      <c r="AH142" s="35"/>
      <c r="AI142" s="35"/>
      <c r="AJ142" s="2"/>
      <c r="AK142" s="2"/>
      <c r="AL142" s="2"/>
      <c r="AM142" s="2"/>
    </row>
    <row r="143" spans="1:39" x14ac:dyDescent="0.25">
      <c r="A143" s="20" t="s">
        <v>214</v>
      </c>
      <c r="B143" s="61" t="s">
        <v>72</v>
      </c>
      <c r="C143" s="60"/>
      <c r="D143" s="32"/>
      <c r="E143" s="35"/>
      <c r="F143" s="34"/>
      <c r="G143" s="35"/>
      <c r="H143" s="34"/>
      <c r="I143" s="35"/>
      <c r="J143" s="34"/>
      <c r="K143" s="35"/>
      <c r="L143" s="34"/>
      <c r="M143" s="35"/>
      <c r="N143" s="34"/>
      <c r="O143" s="35"/>
      <c r="P143" s="35"/>
      <c r="Q143" s="35"/>
      <c r="R143" s="35"/>
      <c r="S143" s="35"/>
      <c r="T143" s="35"/>
      <c r="U143" s="35"/>
      <c r="V143" s="35"/>
      <c r="W143" s="35"/>
      <c r="X143" s="35"/>
      <c r="Y143" s="35"/>
      <c r="Z143" s="35"/>
      <c r="AA143" s="35"/>
      <c r="AB143" s="35"/>
      <c r="AC143" s="35"/>
      <c r="AD143" s="35"/>
      <c r="AE143" s="35"/>
      <c r="AF143" s="35"/>
      <c r="AG143" s="35"/>
      <c r="AH143" s="35"/>
      <c r="AI143" s="35"/>
      <c r="AJ143" s="2"/>
      <c r="AK143" s="2"/>
      <c r="AL143" s="2"/>
      <c r="AM143" s="2"/>
    </row>
    <row r="144" spans="1:39" x14ac:dyDescent="0.25">
      <c r="A144" s="20" t="s">
        <v>215</v>
      </c>
      <c r="B144" s="33" t="s">
        <v>216</v>
      </c>
      <c r="C144" s="60" t="s">
        <v>109</v>
      </c>
      <c r="D144" s="32"/>
      <c r="E144" s="35"/>
      <c r="F144" s="34"/>
      <c r="G144" s="35"/>
      <c r="H144" s="74">
        <v>3055</v>
      </c>
      <c r="I144" s="62">
        <f>INDEX(Annual!$A:$Y,MATCH(Segments!$A144,Annual!$A:$A,0),MATCH(Segments!I$1,Annual!$A$1:$Y$1,0))</f>
        <v>3711</v>
      </c>
      <c r="J144" s="74">
        <v>3717</v>
      </c>
      <c r="K144" s="62">
        <f>INDEX(Annual!$A:$Y,MATCH(Segments!$A144,Annual!$A:$A,0),MATCH(Segments!K$1,Annual!$A$1:$Y$1,0))</f>
        <v>3802</v>
      </c>
      <c r="L144" s="74">
        <v>3850</v>
      </c>
      <c r="M144" s="62">
        <f>INDEX(Annual!$A:$Y,MATCH(Segments!$A144,Annual!$A:$A,0),MATCH(Segments!M$1,Annual!$A$1:$Y$1,0))</f>
        <v>4039</v>
      </c>
      <c r="N144" s="74">
        <v>4110</v>
      </c>
      <c r="O144" s="62">
        <f>INDEX(Annual!$A:$Y,MATCH(Segments!$A144,Annual!$A:$A,0),MATCH(Segments!O$1,Annual!$A$1:$Y$1,0))</f>
        <v>4249</v>
      </c>
      <c r="P144" s="35"/>
      <c r="Q144" s="35"/>
      <c r="R144" s="35"/>
      <c r="S144" s="35"/>
      <c r="T144" s="35"/>
      <c r="U144" s="35"/>
      <c r="V144" s="35"/>
      <c r="W144" s="35"/>
      <c r="X144" s="35"/>
      <c r="Y144" s="35"/>
      <c r="Z144" s="35"/>
      <c r="AA144" s="35"/>
      <c r="AB144" s="35"/>
      <c r="AC144" s="35"/>
      <c r="AD144" s="35"/>
      <c r="AE144" s="35"/>
      <c r="AF144" s="35"/>
      <c r="AG144" s="35"/>
      <c r="AH144" s="35"/>
      <c r="AI144" s="35"/>
      <c r="AJ144" s="2"/>
      <c r="AK144" s="2"/>
      <c r="AL144" s="2"/>
      <c r="AM144" s="2"/>
    </row>
    <row r="145" spans="1:39" x14ac:dyDescent="0.25">
      <c r="A145" s="20" t="s">
        <v>217</v>
      </c>
      <c r="B145" s="33" t="s">
        <v>218</v>
      </c>
      <c r="C145" s="60" t="s">
        <v>219</v>
      </c>
      <c r="D145" s="32"/>
      <c r="E145" s="35"/>
      <c r="F145" s="35"/>
      <c r="G145" s="35"/>
      <c r="H145" s="34"/>
      <c r="I145" s="62">
        <f>INDEX(Annual!$A:$Y,MATCH(Segments!$A145,Annual!$A:$A,0),MATCH(Segments!I$1,Annual!$A$1:$Y$1,0))</f>
        <v>0</v>
      </c>
      <c r="J145" s="34"/>
      <c r="K145" s="62">
        <f>INDEX(Annual!$A:$Y,MATCH(Segments!$A145,Annual!$A:$A,0),MATCH(Segments!K$1,Annual!$A$1:$Y$1,0))</f>
        <v>0</v>
      </c>
      <c r="L145" s="34"/>
      <c r="M145" s="62">
        <f>INDEX(Annual!$A:$Y,MATCH(Segments!$A145,Annual!$A:$A,0),MATCH(Segments!M$1,Annual!$A$1:$Y$1,0))</f>
        <v>0</v>
      </c>
      <c r="N145" s="34">
        <v>863</v>
      </c>
      <c r="O145" s="62">
        <f>INDEX(Annual!$A:$Y,MATCH(Segments!$A145,Annual!$A:$A,0),MATCH(Segments!O$1,Annual!$A$1:$Y$1,0))</f>
        <v>948</v>
      </c>
      <c r="P145" s="35"/>
      <c r="Q145" s="35"/>
      <c r="R145" s="35"/>
      <c r="S145" s="35"/>
      <c r="T145" s="35"/>
      <c r="U145" s="35"/>
      <c r="V145" s="35"/>
      <c r="W145" s="35"/>
      <c r="X145" s="35"/>
      <c r="Y145" s="35"/>
      <c r="Z145" s="35"/>
      <c r="AA145" s="35"/>
      <c r="AB145" s="35"/>
      <c r="AC145" s="35"/>
      <c r="AD145" s="35"/>
      <c r="AE145" s="35"/>
      <c r="AF145" s="35"/>
      <c r="AG145" s="35"/>
      <c r="AH145" s="35"/>
      <c r="AI145" s="35"/>
      <c r="AJ145" s="2"/>
      <c r="AK145" s="2"/>
      <c r="AL145" s="2"/>
      <c r="AM145" s="2"/>
    </row>
    <row r="146" spans="1:39" x14ac:dyDescent="0.25">
      <c r="A146" s="313"/>
      <c r="B146" s="313"/>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75"/>
      <c r="AL146" s="75"/>
      <c r="AM146" s="10"/>
    </row>
    <row r="147" spans="1:39" x14ac:dyDescent="0.25">
      <c r="A147" s="20" t="s">
        <v>196</v>
      </c>
      <c r="B147" s="76" t="s">
        <v>97</v>
      </c>
      <c r="C147" s="77"/>
      <c r="D147" s="78"/>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2"/>
      <c r="AK147" s="2"/>
      <c r="AL147" s="2"/>
      <c r="AM147" s="2"/>
    </row>
    <row r="148" spans="1:39" x14ac:dyDescent="0.25">
      <c r="A148" s="313"/>
      <c r="B148" s="313"/>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75"/>
      <c r="AL148" s="75"/>
      <c r="AM148" s="10"/>
    </row>
    <row r="149" spans="1:39" x14ac:dyDescent="0.25">
      <c r="A149" s="20"/>
      <c r="B149" s="33" t="s">
        <v>178</v>
      </c>
      <c r="C149" s="60" t="s">
        <v>67</v>
      </c>
      <c r="D149" s="32"/>
      <c r="E149" s="35"/>
      <c r="F149" s="34"/>
      <c r="G149" s="35"/>
      <c r="H149" s="35">
        <f t="shared" ref="H149:O149" si="158">H114</f>
        <v>419.4</v>
      </c>
      <c r="I149" s="35">
        <f t="shared" si="158"/>
        <v>404.4</v>
      </c>
      <c r="J149" s="35">
        <f t="shared" si="158"/>
        <v>428.7</v>
      </c>
      <c r="K149" s="35">
        <f t="shared" si="158"/>
        <v>331.59999999999997</v>
      </c>
      <c r="L149" s="35">
        <f t="shared" si="158"/>
        <v>440.6</v>
      </c>
      <c r="M149" s="35">
        <f t="shared" si="158"/>
        <v>373.69999999999993</v>
      </c>
      <c r="N149" s="35">
        <f t="shared" si="158"/>
        <v>491.9</v>
      </c>
      <c r="O149" s="35">
        <f t="shared" si="158"/>
        <v>442.6</v>
      </c>
      <c r="P149" s="236">
        <f t="shared" ref="P149:AI149" si="159">P$167*P157</f>
        <v>586.14252336448601</v>
      </c>
      <c r="Q149" s="236">
        <f t="shared" si="159"/>
        <v>507.9360433823735</v>
      </c>
      <c r="R149" s="236">
        <f t="shared" si="159"/>
        <v>646.76512481336067</v>
      </c>
      <c r="S149" s="236">
        <f t="shared" si="159"/>
        <v>560.49941139275847</v>
      </c>
      <c r="T149" s="236">
        <f t="shared" si="159"/>
        <v>690.88560063872148</v>
      </c>
      <c r="U149" s="236">
        <f t="shared" si="159"/>
        <v>598.8130168835321</v>
      </c>
      <c r="V149" s="236">
        <f t="shared" si="159"/>
        <v>737.11961173917496</v>
      </c>
      <c r="W149" s="236">
        <f t="shared" si="159"/>
        <v>638.9547203180914</v>
      </c>
      <c r="X149" s="236">
        <f t="shared" si="159"/>
        <v>786.84479476497529</v>
      </c>
      <c r="Y149" s="236">
        <f t="shared" si="159"/>
        <v>682.13686432195641</v>
      </c>
      <c r="Z149" s="236">
        <f t="shared" si="159"/>
        <v>834.0554824508738</v>
      </c>
      <c r="AA149" s="236">
        <f t="shared" si="159"/>
        <v>723.06507618127398</v>
      </c>
      <c r="AB149" s="236">
        <f t="shared" si="159"/>
        <v>884.09881139792628</v>
      </c>
      <c r="AC149" s="236">
        <f t="shared" si="159"/>
        <v>766.44898075215042</v>
      </c>
      <c r="AD149" s="236">
        <f t="shared" si="159"/>
        <v>937.14474008180196</v>
      </c>
      <c r="AE149" s="236">
        <f t="shared" si="159"/>
        <v>812.43591959727951</v>
      </c>
      <c r="AF149" s="236">
        <f t="shared" si="159"/>
        <v>993.37342448671006</v>
      </c>
      <c r="AG149" s="236">
        <f t="shared" si="159"/>
        <v>861.18207477311626</v>
      </c>
      <c r="AH149" s="236">
        <f t="shared" si="159"/>
        <v>1052.9758299559128</v>
      </c>
      <c r="AI149" s="236">
        <f t="shared" si="159"/>
        <v>912.85299925950324</v>
      </c>
      <c r="AJ149" s="2"/>
      <c r="AK149" s="2"/>
      <c r="AL149" s="2"/>
      <c r="AM149" s="2"/>
    </row>
    <row r="150" spans="1:39" x14ac:dyDescent="0.25">
      <c r="A150" s="20"/>
      <c r="B150" s="33" t="s">
        <v>80</v>
      </c>
      <c r="C150" s="60" t="s">
        <v>67</v>
      </c>
      <c r="D150" s="32"/>
      <c r="E150" s="35"/>
      <c r="F150" s="29"/>
      <c r="G150" s="35"/>
      <c r="H150" s="35"/>
      <c r="I150" s="35"/>
      <c r="J150" s="35">
        <f t="shared" ref="J150:O154" si="160">J115</f>
        <v>-388.30000000000007</v>
      </c>
      <c r="K150" s="35">
        <f t="shared" si="160"/>
        <v>-297.29999999999995</v>
      </c>
      <c r="L150" s="35">
        <f t="shared" si="160"/>
        <v>-398.30000000000007</v>
      </c>
      <c r="M150" s="35">
        <f t="shared" si="160"/>
        <v>-334.4</v>
      </c>
      <c r="N150" s="35">
        <f t="shared" si="160"/>
        <v>-447.70000000000005</v>
      </c>
      <c r="O150" s="35">
        <f t="shared" si="160"/>
        <v>-396.29999999999995</v>
      </c>
      <c r="P150" s="236">
        <f t="shared" ref="P150:AI150" si="161">P$167*P158</f>
        <v>-533.47429906542061</v>
      </c>
      <c r="Q150" s="236">
        <f t="shared" si="161"/>
        <v>-454.80129686496741</v>
      </c>
      <c r="R150" s="236">
        <f t="shared" si="161"/>
        <v>-588.64961654592719</v>
      </c>
      <c r="S150" s="236">
        <f t="shared" si="161"/>
        <v>-501.86605678931346</v>
      </c>
      <c r="T150" s="236">
        <f t="shared" si="161"/>
        <v>-628.80561782060511</v>
      </c>
      <c r="U150" s="236">
        <f t="shared" si="161"/>
        <v>-536.17170942373184</v>
      </c>
      <c r="V150" s="236">
        <f t="shared" si="161"/>
        <v>-670.88524125966387</v>
      </c>
      <c r="W150" s="236">
        <f t="shared" si="161"/>
        <v>-572.11422427035609</v>
      </c>
      <c r="X150" s="236">
        <f t="shared" si="161"/>
        <v>-716.14233506053972</v>
      </c>
      <c r="Y150" s="236">
        <f t="shared" si="161"/>
        <v>-610.77912184995773</v>
      </c>
      <c r="Z150" s="236">
        <f t="shared" si="161"/>
        <v>-759.11087516417206</v>
      </c>
      <c r="AA150" s="236">
        <f t="shared" si="161"/>
        <v>-647.42586916095536</v>
      </c>
      <c r="AB150" s="236">
        <f t="shared" si="161"/>
        <v>-804.6575276740225</v>
      </c>
      <c r="AC150" s="236">
        <f t="shared" si="161"/>
        <v>-686.2714213106126</v>
      </c>
      <c r="AD150" s="236">
        <f t="shared" si="161"/>
        <v>-852.9369793344639</v>
      </c>
      <c r="AE150" s="236">
        <f t="shared" si="161"/>
        <v>-727.44770658924949</v>
      </c>
      <c r="AF150" s="236">
        <f t="shared" si="161"/>
        <v>-904.11319809453175</v>
      </c>
      <c r="AG150" s="236">
        <f t="shared" si="161"/>
        <v>-771.09456898460439</v>
      </c>
      <c r="AH150" s="236">
        <f t="shared" si="161"/>
        <v>-958.35998998020364</v>
      </c>
      <c r="AI150" s="236">
        <f t="shared" si="161"/>
        <v>-817.36024312368068</v>
      </c>
      <c r="AJ150" s="2"/>
      <c r="AK150" s="2"/>
      <c r="AL150" s="2"/>
      <c r="AM150" s="2"/>
    </row>
    <row r="151" spans="1:39" x14ac:dyDescent="0.25">
      <c r="A151" s="20"/>
      <c r="B151" s="64" t="s">
        <v>87</v>
      </c>
      <c r="C151" s="65" t="s">
        <v>67</v>
      </c>
      <c r="D151" s="66"/>
      <c r="E151" s="67"/>
      <c r="F151" s="72"/>
      <c r="G151" s="67"/>
      <c r="H151" s="67"/>
      <c r="I151" s="67"/>
      <c r="J151" s="67">
        <f t="shared" si="160"/>
        <v>40.399999999999892</v>
      </c>
      <c r="K151" s="67">
        <f t="shared" si="160"/>
        <v>34.30000000000004</v>
      </c>
      <c r="L151" s="67">
        <f t="shared" si="160"/>
        <v>42.299999999999983</v>
      </c>
      <c r="M151" s="67">
        <f t="shared" si="160"/>
        <v>39.800000000000182</v>
      </c>
      <c r="N151" s="67">
        <f t="shared" si="160"/>
        <v>44.199999999999932</v>
      </c>
      <c r="O151" s="67">
        <f t="shared" si="160"/>
        <v>46.30000000000004</v>
      </c>
      <c r="P151" s="259">
        <f>P149+P150</f>
        <v>52.6682242990654</v>
      </c>
      <c r="Q151" s="259">
        <f t="shared" ref="Q151:AI151" si="162">Q149+Q150</f>
        <v>53.134746517406086</v>
      </c>
      <c r="R151" s="259">
        <f t="shared" si="162"/>
        <v>58.115508267433484</v>
      </c>
      <c r="S151" s="259">
        <f t="shared" si="162"/>
        <v>58.633354603445014</v>
      </c>
      <c r="T151" s="259">
        <f t="shared" si="162"/>
        <v>62.079982818116378</v>
      </c>
      <c r="U151" s="259">
        <f t="shared" si="162"/>
        <v>62.641307459800259</v>
      </c>
      <c r="V151" s="259">
        <f t="shared" si="162"/>
        <v>66.234370479511085</v>
      </c>
      <c r="W151" s="259">
        <f t="shared" si="162"/>
        <v>66.840496047735314</v>
      </c>
      <c r="X151" s="259">
        <f t="shared" si="162"/>
        <v>70.702459704435569</v>
      </c>
      <c r="Y151" s="259">
        <f t="shared" si="162"/>
        <v>71.357742471998677</v>
      </c>
      <c r="Z151" s="259">
        <f t="shared" si="162"/>
        <v>74.944607286701739</v>
      </c>
      <c r="AA151" s="259">
        <f t="shared" si="162"/>
        <v>75.639207020318622</v>
      </c>
      <c r="AB151" s="259">
        <f t="shared" si="162"/>
        <v>79.44128372390378</v>
      </c>
      <c r="AC151" s="259">
        <f t="shared" si="162"/>
        <v>80.177559441537824</v>
      </c>
      <c r="AD151" s="259">
        <f t="shared" si="162"/>
        <v>84.207760747338057</v>
      </c>
      <c r="AE151" s="259">
        <f t="shared" si="162"/>
        <v>84.988213008030016</v>
      </c>
      <c r="AF151" s="259">
        <f t="shared" si="162"/>
        <v>89.260226392178311</v>
      </c>
      <c r="AG151" s="259">
        <f t="shared" si="162"/>
        <v>90.087505788511862</v>
      </c>
      <c r="AH151" s="259">
        <f t="shared" si="162"/>
        <v>94.61583997570915</v>
      </c>
      <c r="AI151" s="259">
        <f t="shared" si="162"/>
        <v>95.49275613582256</v>
      </c>
      <c r="AJ151" s="2"/>
      <c r="AK151" s="2"/>
      <c r="AL151" s="2"/>
      <c r="AM151" s="2"/>
    </row>
    <row r="152" spans="1:39" x14ac:dyDescent="0.25">
      <c r="A152" s="20"/>
      <c r="B152" s="33" t="s">
        <v>89</v>
      </c>
      <c r="C152" s="60" t="s">
        <v>67</v>
      </c>
      <c r="D152" s="32"/>
      <c r="E152" s="35"/>
      <c r="F152" s="29"/>
      <c r="G152" s="35"/>
      <c r="H152" s="35"/>
      <c r="I152" s="35"/>
      <c r="J152" s="35">
        <f t="shared" si="160"/>
        <v>11.5</v>
      </c>
      <c r="K152" s="35">
        <f t="shared" si="160"/>
        <v>10.399999999999999</v>
      </c>
      <c r="L152" s="35">
        <f t="shared" si="160"/>
        <v>10.1</v>
      </c>
      <c r="M152" s="35">
        <f t="shared" si="160"/>
        <v>7.2000000000000011</v>
      </c>
      <c r="N152" s="35">
        <f t="shared" si="160"/>
        <v>11</v>
      </c>
      <c r="O152" s="35">
        <f t="shared" si="160"/>
        <v>8.1999999999999993</v>
      </c>
      <c r="P152" s="284">
        <f>N152*(1+MIN((P151/N151-1)*0.5,0.06))</f>
        <v>11.66</v>
      </c>
      <c r="Q152" s="284">
        <f t="shared" ref="Q152:AI152" si="163">O152*(1+MIN((Q151/O151-1)*0.5,0.06))</f>
        <v>8.6920000000000002</v>
      </c>
      <c r="R152" s="284">
        <f t="shared" si="163"/>
        <v>12.26297581621998</v>
      </c>
      <c r="S152" s="284">
        <f t="shared" si="163"/>
        <v>9.1417424436587247</v>
      </c>
      <c r="T152" s="284">
        <f t="shared" si="163"/>
        <v>12.681248468291813</v>
      </c>
      <c r="U152" s="284">
        <f t="shared" si="163"/>
        <v>9.454189795400163</v>
      </c>
      <c r="V152" s="284">
        <f t="shared" si="163"/>
        <v>13.105562552930847</v>
      </c>
      <c r="W152" s="284">
        <f t="shared" si="163"/>
        <v>9.7710727557573822</v>
      </c>
      <c r="X152" s="284">
        <f t="shared" si="163"/>
        <v>13.54760512392077</v>
      </c>
      <c r="Y152" s="284">
        <f t="shared" si="163"/>
        <v>10.101249415694495</v>
      </c>
      <c r="Z152" s="284">
        <f t="shared" si="163"/>
        <v>13.954033277638397</v>
      </c>
      <c r="AA152" s="284">
        <f t="shared" si="163"/>
        <v>10.404286898165333</v>
      </c>
      <c r="AB152" s="284">
        <f t="shared" si="163"/>
        <v>14.372654275967543</v>
      </c>
      <c r="AC152" s="284">
        <f t="shared" si="163"/>
        <v>10.7164155051103</v>
      </c>
      <c r="AD152" s="284">
        <f t="shared" si="163"/>
        <v>14.803833904246572</v>
      </c>
      <c r="AE152" s="284">
        <f t="shared" si="163"/>
        <v>11.037907970263602</v>
      </c>
      <c r="AF152" s="284">
        <f t="shared" si="163"/>
        <v>15.247948921373967</v>
      </c>
      <c r="AG152" s="284">
        <f t="shared" si="163"/>
        <v>11.369045209371512</v>
      </c>
      <c r="AH152" s="284">
        <f t="shared" si="163"/>
        <v>15.705387389015197</v>
      </c>
      <c r="AI152" s="284">
        <f t="shared" si="163"/>
        <v>11.710116565652655</v>
      </c>
      <c r="AJ152" s="2"/>
      <c r="AK152" s="2"/>
      <c r="AL152" s="2"/>
      <c r="AM152" s="2"/>
    </row>
    <row r="153" spans="1:39" x14ac:dyDescent="0.25">
      <c r="A153" s="20"/>
      <c r="B153" s="64" t="s">
        <v>183</v>
      </c>
      <c r="C153" s="65" t="s">
        <v>67</v>
      </c>
      <c r="D153" s="66"/>
      <c r="E153" s="67"/>
      <c r="F153" s="72"/>
      <c r="G153" s="67"/>
      <c r="H153" s="67"/>
      <c r="I153" s="67"/>
      <c r="J153" s="67">
        <f t="shared" si="160"/>
        <v>2.600000000000108</v>
      </c>
      <c r="K153" s="67">
        <f t="shared" si="160"/>
        <v>6.5999999999999659</v>
      </c>
      <c r="L153" s="67">
        <f t="shared" si="160"/>
        <v>1.5000000000000142</v>
      </c>
      <c r="M153" s="67">
        <f t="shared" si="160"/>
        <v>3.4999999999998295</v>
      </c>
      <c r="N153" s="67">
        <f t="shared" si="160"/>
        <v>1.3000000000000682</v>
      </c>
      <c r="O153" s="67">
        <f t="shared" si="160"/>
        <v>2.2999999999999545</v>
      </c>
      <c r="P153" s="259">
        <f>N153*P149/N149</f>
        <v>1.549065420560829</v>
      </c>
      <c r="Q153" s="259">
        <f t="shared" ref="Q153:AI153" si="164">O153*Q149/O149</f>
        <v>2.6395230451410661</v>
      </c>
      <c r="R153" s="259">
        <f t="shared" si="164"/>
        <v>1.7092796549246045</v>
      </c>
      <c r="S153" s="259">
        <f t="shared" si="164"/>
        <v>2.9126720429356503</v>
      </c>
      <c r="T153" s="259">
        <f t="shared" si="164"/>
        <v>1.8258818475917566</v>
      </c>
      <c r="U153" s="259">
        <f t="shared" si="164"/>
        <v>3.1117712129057757</v>
      </c>
      <c r="V153" s="259">
        <f t="shared" si="164"/>
        <v>1.9480697199857242</v>
      </c>
      <c r="W153" s="259">
        <f t="shared" si="164"/>
        <v>3.3203702140342992</v>
      </c>
      <c r="X153" s="259">
        <f t="shared" si="164"/>
        <v>2.0794841089540994</v>
      </c>
      <c r="Y153" s="259">
        <f t="shared" si="164"/>
        <v>3.5447690644836607</v>
      </c>
      <c r="Z153" s="259">
        <f t="shared" si="164"/>
        <v>2.2042531554913452</v>
      </c>
      <c r="AA153" s="259">
        <f t="shared" si="164"/>
        <v>3.7574552083526815</v>
      </c>
      <c r="AB153" s="259">
        <f t="shared" si="164"/>
        <v>2.3365083448208259</v>
      </c>
      <c r="AC153" s="259">
        <f t="shared" si="164"/>
        <v>3.9829025208538424</v>
      </c>
      <c r="AD153" s="259">
        <f t="shared" si="164"/>
        <v>2.476698845510076</v>
      </c>
      <c r="AE153" s="259">
        <f t="shared" si="164"/>
        <v>4.2218766721050738</v>
      </c>
      <c r="AF153" s="259">
        <f t="shared" si="164"/>
        <v>2.6253007762406808</v>
      </c>
      <c r="AG153" s="259">
        <f t="shared" si="164"/>
        <v>4.4751892724313782</v>
      </c>
      <c r="AH153" s="259">
        <f t="shared" si="164"/>
        <v>2.7828188228151221</v>
      </c>
      <c r="AI153" s="259">
        <f t="shared" si="164"/>
        <v>4.743700628777261</v>
      </c>
      <c r="AJ153" s="2"/>
      <c r="AK153" s="2"/>
      <c r="AL153" s="2"/>
      <c r="AM153" s="2"/>
    </row>
    <row r="154" spans="1:39" x14ac:dyDescent="0.25">
      <c r="A154" s="20"/>
      <c r="B154" s="46" t="s">
        <v>185</v>
      </c>
      <c r="C154" s="80" t="s">
        <v>67</v>
      </c>
      <c r="D154" s="81"/>
      <c r="E154" s="44"/>
      <c r="F154" s="47"/>
      <c r="G154" s="44"/>
      <c r="H154" s="44"/>
      <c r="I154" s="44"/>
      <c r="J154" s="44">
        <f t="shared" si="160"/>
        <v>54.5</v>
      </c>
      <c r="K154" s="44">
        <f t="shared" si="160"/>
        <v>51.3</v>
      </c>
      <c r="L154" s="44">
        <f t="shared" si="160"/>
        <v>53.9</v>
      </c>
      <c r="M154" s="44">
        <f t="shared" si="160"/>
        <v>50.500000000000007</v>
      </c>
      <c r="N154" s="44">
        <f t="shared" si="160"/>
        <v>56.5</v>
      </c>
      <c r="O154" s="44">
        <f t="shared" si="160"/>
        <v>56.8</v>
      </c>
      <c r="P154" s="260">
        <f>P151+P152+P153</f>
        <v>65.877289719626219</v>
      </c>
      <c r="Q154" s="260">
        <f t="shared" ref="Q154:AI154" si="165">Q151+Q152+Q153</f>
        <v>64.466269562547154</v>
      </c>
      <c r="R154" s="260">
        <f t="shared" si="165"/>
        <v>72.087763738578062</v>
      </c>
      <c r="S154" s="260">
        <f t="shared" si="165"/>
        <v>70.687769090039396</v>
      </c>
      <c r="T154" s="260">
        <f t="shared" si="165"/>
        <v>76.587113133999949</v>
      </c>
      <c r="U154" s="260">
        <f t="shared" si="165"/>
        <v>75.207268468106207</v>
      </c>
      <c r="V154" s="260">
        <f t="shared" si="165"/>
        <v>81.288002752427658</v>
      </c>
      <c r="W154" s="260">
        <f t="shared" si="165"/>
        <v>79.931939017527</v>
      </c>
      <c r="X154" s="260">
        <f t="shared" si="165"/>
        <v>86.329548937310449</v>
      </c>
      <c r="Y154" s="260">
        <f t="shared" si="165"/>
        <v>85.003760952176833</v>
      </c>
      <c r="Z154" s="260">
        <f t="shared" si="165"/>
        <v>91.102893719831485</v>
      </c>
      <c r="AA154" s="260">
        <f t="shared" si="165"/>
        <v>89.800949126836642</v>
      </c>
      <c r="AB154" s="260">
        <f t="shared" si="165"/>
        <v>96.150446344692156</v>
      </c>
      <c r="AC154" s="260">
        <f t="shared" si="165"/>
        <v>94.87687746750197</v>
      </c>
      <c r="AD154" s="260">
        <f t="shared" si="165"/>
        <v>101.4882934970947</v>
      </c>
      <c r="AE154" s="260">
        <f t="shared" si="165"/>
        <v>100.24799765039869</v>
      </c>
      <c r="AF154" s="260">
        <f t="shared" si="165"/>
        <v>107.13347608979295</v>
      </c>
      <c r="AG154" s="260">
        <f t="shared" si="165"/>
        <v>105.93174027031475</v>
      </c>
      <c r="AH154" s="260">
        <f t="shared" si="165"/>
        <v>113.10404618753947</v>
      </c>
      <c r="AI154" s="260">
        <f t="shared" si="165"/>
        <v>111.94657333025248</v>
      </c>
      <c r="AJ154" s="2"/>
      <c r="AK154" s="2"/>
      <c r="AL154" s="2"/>
      <c r="AM154" s="2"/>
    </row>
    <row r="155" spans="1:39" x14ac:dyDescent="0.25">
      <c r="A155" s="20"/>
      <c r="B155" s="82" t="s">
        <v>76</v>
      </c>
      <c r="C155" s="27" t="s">
        <v>77</v>
      </c>
      <c r="D155" s="29"/>
      <c r="E155" s="29"/>
      <c r="F155" s="29"/>
      <c r="G155" s="29"/>
      <c r="H155" s="40"/>
      <c r="I155" s="40"/>
      <c r="J155" s="40"/>
      <c r="K155" s="40"/>
      <c r="L155" s="226">
        <f t="shared" ref="L155:N155" si="166">L154/J154-1</f>
        <v>-1.1009174311926606E-2</v>
      </c>
      <c r="M155" s="226">
        <f t="shared" si="166"/>
        <v>-1.5594541910331161E-2</v>
      </c>
      <c r="N155" s="226">
        <f t="shared" si="166"/>
        <v>4.8237476808905333E-2</v>
      </c>
      <c r="O155" s="226">
        <f>O154/M154-1</f>
        <v>0.12475247524752464</v>
      </c>
      <c r="P155" s="226">
        <f>P154/N154-1</f>
        <v>0.16596972955090661</v>
      </c>
      <c r="Q155" s="226">
        <f t="shared" ref="Q155:AI155" si="167">Q154/O154-1</f>
        <v>0.13496953455188665</v>
      </c>
      <c r="R155" s="226">
        <f t="shared" si="167"/>
        <v>9.4273368643179145E-2</v>
      </c>
      <c r="S155" s="226">
        <f t="shared" si="167"/>
        <v>9.6507826026073218E-2</v>
      </c>
      <c r="T155" s="226">
        <f t="shared" si="167"/>
        <v>6.2414883776094277E-2</v>
      </c>
      <c r="U155" s="226">
        <f t="shared" si="167"/>
        <v>6.3936087335137781E-2</v>
      </c>
      <c r="V155" s="226">
        <f t="shared" si="167"/>
        <v>6.1379642423691205E-2</v>
      </c>
      <c r="W155" s="226">
        <f t="shared" si="167"/>
        <v>6.2821993746846827E-2</v>
      </c>
      <c r="X155" s="226">
        <f t="shared" si="167"/>
        <v>6.2020790450928232E-2</v>
      </c>
      <c r="Y155" s="226">
        <f t="shared" si="167"/>
        <v>6.3451756544248505E-2</v>
      </c>
      <c r="Z155" s="226">
        <f t="shared" si="167"/>
        <v>5.5292131619815166E-2</v>
      </c>
      <c r="AA155" s="226">
        <f t="shared" si="167"/>
        <v>5.6435010885679704E-2</v>
      </c>
      <c r="AB155" s="226">
        <f t="shared" si="167"/>
        <v>5.54049648563677E-2</v>
      </c>
      <c r="AC155" s="226">
        <f t="shared" si="167"/>
        <v>5.6524217060289539E-2</v>
      </c>
      <c r="AD155" s="226">
        <f t="shared" si="167"/>
        <v>5.55155733054713E-2</v>
      </c>
      <c r="AE155" s="226">
        <f t="shared" si="167"/>
        <v>5.6611477171943037E-2</v>
      </c>
      <c r="AF155" s="226">
        <f t="shared" si="167"/>
        <v>5.5623977881348985E-2</v>
      </c>
      <c r="AG155" s="226">
        <f t="shared" si="167"/>
        <v>5.669681941915039E-2</v>
      </c>
      <c r="AH155" s="226">
        <f t="shared" si="167"/>
        <v>5.5730200453332879E-2</v>
      </c>
      <c r="AI155" s="226">
        <f t="shared" si="167"/>
        <v>5.6780272320545055E-2</v>
      </c>
      <c r="AJ155" s="29"/>
      <c r="AK155" s="2"/>
      <c r="AL155" s="2"/>
      <c r="AM155" s="2"/>
    </row>
    <row r="156" spans="1:39" x14ac:dyDescent="0.25">
      <c r="A156" s="307"/>
      <c r="B156" s="308"/>
      <c r="C156" s="27"/>
      <c r="D156" s="29"/>
      <c r="E156" s="29"/>
      <c r="F156" s="29"/>
      <c r="G156" s="29"/>
      <c r="H156" s="29"/>
      <c r="I156" s="29"/>
      <c r="J156" s="249" t="e">
        <f t="shared" ref="J156:N156" si="168">J151/H151-1</f>
        <v>#DIV/0!</v>
      </c>
      <c r="K156" s="249" t="e">
        <f t="shared" si="168"/>
        <v>#DIV/0!</v>
      </c>
      <c r="L156" s="249">
        <f t="shared" si="168"/>
        <v>4.7029702970299514E-2</v>
      </c>
      <c r="M156" s="249">
        <f t="shared" si="168"/>
        <v>0.16034985422740911</v>
      </c>
      <c r="N156" s="249">
        <f t="shared" si="168"/>
        <v>4.4917257683213974E-2</v>
      </c>
      <c r="O156" s="249">
        <f>O151/M151-1</f>
        <v>0.16331658291456863</v>
      </c>
      <c r="P156" s="29"/>
      <c r="Q156" s="29"/>
      <c r="R156" s="29"/>
      <c r="S156" s="29"/>
      <c r="T156" s="29"/>
      <c r="U156" s="29"/>
      <c r="V156" s="29"/>
      <c r="W156" s="29"/>
      <c r="X156" s="29"/>
      <c r="Y156" s="29"/>
      <c r="Z156" s="29"/>
      <c r="AA156" s="29"/>
      <c r="AB156" s="29"/>
      <c r="AC156" s="29"/>
      <c r="AD156" s="29"/>
      <c r="AE156" s="29"/>
      <c r="AF156" s="29"/>
      <c r="AG156" s="29"/>
      <c r="AH156" s="29"/>
      <c r="AI156" s="29"/>
      <c r="AJ156" s="29"/>
      <c r="AK156" s="2"/>
      <c r="AL156" s="2"/>
      <c r="AM156" s="2"/>
    </row>
    <row r="157" spans="1:39" x14ac:dyDescent="0.25">
      <c r="A157" s="20"/>
      <c r="B157" s="33" t="s">
        <v>188</v>
      </c>
      <c r="C157" s="60" t="s">
        <v>117</v>
      </c>
      <c r="D157" s="32"/>
      <c r="E157" s="35"/>
      <c r="F157" s="35"/>
      <c r="G157" s="45">
        <f t="shared" ref="G157:N159" si="169">G122</f>
        <v>1.4094118151970987E-2</v>
      </c>
      <c r="H157" s="45">
        <f t="shared" si="169"/>
        <v>1.2710064915367348E-2</v>
      </c>
      <c r="I157" s="45">
        <f t="shared" si="169"/>
        <v>1.2605675854049469E-2</v>
      </c>
      <c r="J157" s="45">
        <f t="shared" si="169"/>
        <v>1.3461236537193456E-2</v>
      </c>
      <c r="K157" s="45">
        <f t="shared" si="169"/>
        <v>1.17684636405579E-2</v>
      </c>
      <c r="L157" s="45">
        <f t="shared" si="169"/>
        <v>1.3698544957094889E-2</v>
      </c>
      <c r="M157" s="45">
        <f t="shared" si="169"/>
        <v>1.2196077151528996E-2</v>
      </c>
      <c r="N157" s="45">
        <f t="shared" si="169"/>
        <v>1.3601172371840956E-2</v>
      </c>
      <c r="O157" s="45">
        <f>O122</f>
        <v>1.2355880628681501E-2</v>
      </c>
      <c r="P157" s="83">
        <f>N157</f>
        <v>1.3601172371840956E-2</v>
      </c>
      <c r="Q157" s="83">
        <f t="shared" ref="Q157:AI157" si="170">O157</f>
        <v>1.2355880628681501E-2</v>
      </c>
      <c r="R157" s="83">
        <f t="shared" si="170"/>
        <v>1.3601172371840956E-2</v>
      </c>
      <c r="S157" s="83">
        <f t="shared" si="170"/>
        <v>1.2355880628681501E-2</v>
      </c>
      <c r="T157" s="83">
        <f t="shared" si="170"/>
        <v>1.3601172371840956E-2</v>
      </c>
      <c r="U157" s="83">
        <f t="shared" si="170"/>
        <v>1.2355880628681501E-2</v>
      </c>
      <c r="V157" s="83">
        <f t="shared" si="170"/>
        <v>1.3601172371840956E-2</v>
      </c>
      <c r="W157" s="83">
        <f t="shared" si="170"/>
        <v>1.2355880628681501E-2</v>
      </c>
      <c r="X157" s="83">
        <f t="shared" si="170"/>
        <v>1.3601172371840956E-2</v>
      </c>
      <c r="Y157" s="83">
        <f t="shared" si="170"/>
        <v>1.2355880628681501E-2</v>
      </c>
      <c r="Z157" s="83">
        <f t="shared" si="170"/>
        <v>1.3601172371840956E-2</v>
      </c>
      <c r="AA157" s="83">
        <f t="shared" si="170"/>
        <v>1.2355880628681501E-2</v>
      </c>
      <c r="AB157" s="83">
        <f t="shared" si="170"/>
        <v>1.3601172371840956E-2</v>
      </c>
      <c r="AC157" s="83">
        <f t="shared" si="170"/>
        <v>1.2355880628681501E-2</v>
      </c>
      <c r="AD157" s="83">
        <f t="shared" si="170"/>
        <v>1.3601172371840956E-2</v>
      </c>
      <c r="AE157" s="83">
        <f t="shared" si="170"/>
        <v>1.2355880628681501E-2</v>
      </c>
      <c r="AF157" s="83">
        <f t="shared" si="170"/>
        <v>1.3601172371840956E-2</v>
      </c>
      <c r="AG157" s="83">
        <f t="shared" si="170"/>
        <v>1.2355880628681501E-2</v>
      </c>
      <c r="AH157" s="83">
        <f t="shared" si="170"/>
        <v>1.3601172371840956E-2</v>
      </c>
      <c r="AI157" s="83">
        <f t="shared" si="170"/>
        <v>1.2355880628681501E-2</v>
      </c>
      <c r="AJ157" s="2"/>
      <c r="AK157" s="2"/>
      <c r="AL157" s="2"/>
      <c r="AM157" s="2"/>
    </row>
    <row r="158" spans="1:39" x14ac:dyDescent="0.25">
      <c r="A158" s="20"/>
      <c r="B158" s="33" t="s">
        <v>190</v>
      </c>
      <c r="C158" s="60" t="s">
        <v>117</v>
      </c>
      <c r="D158" s="32"/>
      <c r="E158" s="35"/>
      <c r="F158" s="35"/>
      <c r="G158" s="45">
        <f t="shared" si="169"/>
        <v>-1.283448853028905E-2</v>
      </c>
      <c r="H158" s="45">
        <f t="shared" si="169"/>
        <v>-1.1614997269914457E-2</v>
      </c>
      <c r="I158" s="45">
        <f t="shared" si="169"/>
        <v>-1.1254282032747731E-2</v>
      </c>
      <c r="J158" s="45">
        <f t="shared" si="169"/>
        <v>-1.2192671209219082E-2</v>
      </c>
      <c r="K158" s="45">
        <f t="shared" si="169"/>
        <v>-1.0551158746495367E-2</v>
      </c>
      <c r="L158" s="45">
        <f t="shared" si="169"/>
        <v>-1.2383410023628904E-2</v>
      </c>
      <c r="M158" s="45">
        <f t="shared" si="169"/>
        <v>-1.0913481935968146E-2</v>
      </c>
      <c r="N158" s="45">
        <f t="shared" si="169"/>
        <v>-1.2379030028203286E-2</v>
      </c>
      <c r="O158" s="45">
        <f t="shared" ref="O158:O159" si="171">O123</f>
        <v>-1.1063342731917031E-2</v>
      </c>
      <c r="P158" s="45">
        <f>P159-P157</f>
        <v>-1.2379030028203286E-2</v>
      </c>
      <c r="Q158" s="45">
        <f t="shared" ref="Q158:AI158" si="172">Q159-Q157</f>
        <v>-1.1063342731917031E-2</v>
      </c>
      <c r="R158" s="45">
        <f t="shared" si="172"/>
        <v>-1.2379030028203286E-2</v>
      </c>
      <c r="S158" s="45">
        <f t="shared" si="172"/>
        <v>-1.1063342731917031E-2</v>
      </c>
      <c r="T158" s="45">
        <f t="shared" si="172"/>
        <v>-1.2379030028203286E-2</v>
      </c>
      <c r="U158" s="45">
        <f t="shared" si="172"/>
        <v>-1.1063342731917031E-2</v>
      </c>
      <c r="V158" s="45">
        <f t="shared" si="172"/>
        <v>-1.2379030028203286E-2</v>
      </c>
      <c r="W158" s="45">
        <f t="shared" si="172"/>
        <v>-1.1063342731917031E-2</v>
      </c>
      <c r="X158" s="45">
        <f t="shared" si="172"/>
        <v>-1.2379030028203286E-2</v>
      </c>
      <c r="Y158" s="45">
        <f t="shared" si="172"/>
        <v>-1.1063342731917031E-2</v>
      </c>
      <c r="Z158" s="45">
        <f t="shared" si="172"/>
        <v>-1.2379030028203286E-2</v>
      </c>
      <c r="AA158" s="45">
        <f t="shared" si="172"/>
        <v>-1.1063342731917031E-2</v>
      </c>
      <c r="AB158" s="45">
        <f t="shared" si="172"/>
        <v>-1.2379030028203286E-2</v>
      </c>
      <c r="AC158" s="45">
        <f t="shared" si="172"/>
        <v>-1.1063342731917031E-2</v>
      </c>
      <c r="AD158" s="45">
        <f t="shared" si="172"/>
        <v>-1.2379030028203286E-2</v>
      </c>
      <c r="AE158" s="45">
        <f t="shared" si="172"/>
        <v>-1.1063342731917031E-2</v>
      </c>
      <c r="AF158" s="45">
        <f t="shared" si="172"/>
        <v>-1.2379030028203286E-2</v>
      </c>
      <c r="AG158" s="45">
        <f t="shared" si="172"/>
        <v>-1.1063342731917031E-2</v>
      </c>
      <c r="AH158" s="45">
        <f t="shared" si="172"/>
        <v>-1.2379030028203286E-2</v>
      </c>
      <c r="AI158" s="45">
        <f t="shared" si="172"/>
        <v>-1.1063342731917031E-2</v>
      </c>
      <c r="AJ158" s="2"/>
      <c r="AK158" s="2"/>
      <c r="AL158" s="2"/>
      <c r="AM158" s="2"/>
    </row>
    <row r="159" spans="1:39" x14ac:dyDescent="0.25">
      <c r="A159" s="20"/>
      <c r="B159" s="33" t="s">
        <v>192</v>
      </c>
      <c r="C159" s="60" t="s">
        <v>117</v>
      </c>
      <c r="D159" s="32"/>
      <c r="E159" s="35"/>
      <c r="F159" s="35"/>
      <c r="G159" s="45">
        <f t="shared" si="169"/>
        <v>1.2596296216819368E-3</v>
      </c>
      <c r="H159" s="286">
        <f t="shared" si="169"/>
        <v>1.0950676454528907E-3</v>
      </c>
      <c r="I159" s="286">
        <f t="shared" si="169"/>
        <v>1.3513938213017378E-3</v>
      </c>
      <c r="J159" s="286">
        <f t="shared" si="169"/>
        <v>1.2685653279743741E-3</v>
      </c>
      <c r="K159" s="286">
        <f t="shared" si="169"/>
        <v>1.2173048940625347E-3</v>
      </c>
      <c r="L159" s="286">
        <f t="shared" si="169"/>
        <v>1.3151349334659863E-3</v>
      </c>
      <c r="M159" s="286">
        <f t="shared" si="169"/>
        <v>1.2989132208478895E-3</v>
      </c>
      <c r="N159" s="286">
        <f t="shared" si="169"/>
        <v>1.2221423436376689E-3</v>
      </c>
      <c r="O159" s="286">
        <f t="shared" si="171"/>
        <v>1.292537896764469E-3</v>
      </c>
      <c r="P159" s="83">
        <f>N159</f>
        <v>1.2221423436376689E-3</v>
      </c>
      <c r="Q159" s="83">
        <f t="shared" ref="Q159" si="173">O159</f>
        <v>1.292537896764469E-3</v>
      </c>
      <c r="R159" s="83">
        <f t="shared" ref="R159" si="174">P159</f>
        <v>1.2221423436376689E-3</v>
      </c>
      <c r="S159" s="83">
        <f t="shared" ref="S159" si="175">Q159</f>
        <v>1.292537896764469E-3</v>
      </c>
      <c r="T159" s="83">
        <f t="shared" ref="T159" si="176">R159</f>
        <v>1.2221423436376689E-3</v>
      </c>
      <c r="U159" s="83">
        <f t="shared" ref="U159" si="177">S159</f>
        <v>1.292537896764469E-3</v>
      </c>
      <c r="V159" s="83">
        <f t="shared" ref="V159" si="178">T159</f>
        <v>1.2221423436376689E-3</v>
      </c>
      <c r="W159" s="83">
        <f t="shared" ref="W159" si="179">U159</f>
        <v>1.292537896764469E-3</v>
      </c>
      <c r="X159" s="83">
        <f t="shared" ref="X159" si="180">V159</f>
        <v>1.2221423436376689E-3</v>
      </c>
      <c r="Y159" s="83">
        <f t="shared" ref="Y159" si="181">W159</f>
        <v>1.292537896764469E-3</v>
      </c>
      <c r="Z159" s="83">
        <f t="shared" ref="Z159" si="182">X159</f>
        <v>1.2221423436376689E-3</v>
      </c>
      <c r="AA159" s="83">
        <f t="shared" ref="AA159" si="183">Y159</f>
        <v>1.292537896764469E-3</v>
      </c>
      <c r="AB159" s="83">
        <f t="shared" ref="AB159" si="184">Z159</f>
        <v>1.2221423436376689E-3</v>
      </c>
      <c r="AC159" s="83">
        <f t="shared" ref="AC159" si="185">AA159</f>
        <v>1.292537896764469E-3</v>
      </c>
      <c r="AD159" s="83">
        <f t="shared" ref="AD159" si="186">AB159</f>
        <v>1.2221423436376689E-3</v>
      </c>
      <c r="AE159" s="83">
        <f t="shared" ref="AE159" si="187">AC159</f>
        <v>1.292537896764469E-3</v>
      </c>
      <c r="AF159" s="83">
        <f t="shared" ref="AF159" si="188">AD159</f>
        <v>1.2221423436376689E-3</v>
      </c>
      <c r="AG159" s="83">
        <f t="shared" ref="AG159" si="189">AE159</f>
        <v>1.292537896764469E-3</v>
      </c>
      <c r="AH159" s="83">
        <f t="shared" ref="AH159" si="190">AF159</f>
        <v>1.2221423436376689E-3</v>
      </c>
      <c r="AI159" s="83">
        <f t="shared" ref="AI159" si="191">AG159</f>
        <v>1.292537896764469E-3</v>
      </c>
      <c r="AJ159" s="2"/>
      <c r="AK159" s="2"/>
      <c r="AL159" s="2"/>
      <c r="AM159" s="2"/>
    </row>
    <row r="160" spans="1:39" x14ac:dyDescent="0.25">
      <c r="A160" s="20"/>
      <c r="B160" s="33" t="s">
        <v>194</v>
      </c>
      <c r="C160" s="60" t="s">
        <v>117</v>
      </c>
      <c r="D160" s="32"/>
      <c r="E160" s="35"/>
      <c r="F160" s="35"/>
      <c r="G160" s="45">
        <f t="shared" ref="G160:AI160" si="192">G125</f>
        <v>8.93727161997563E-2</v>
      </c>
      <c r="H160" s="45">
        <f t="shared" si="192"/>
        <v>8.6157517899761324E-2</v>
      </c>
      <c r="I160" s="45">
        <f t="shared" si="192"/>
        <v>0.10720518573921713</v>
      </c>
      <c r="J160" s="45">
        <f t="shared" si="192"/>
        <v>9.4238395148121989E-2</v>
      </c>
      <c r="K160" s="45">
        <f t="shared" si="192"/>
        <v>0.10343787696019315</v>
      </c>
      <c r="L160" s="45">
        <f t="shared" si="192"/>
        <v>9.6005447117566908E-2</v>
      </c>
      <c r="M160" s="45">
        <f t="shared" si="192"/>
        <v>0.10650254214610701</v>
      </c>
      <c r="N160" s="45">
        <f t="shared" si="192"/>
        <v>8.9855661719861632E-2</v>
      </c>
      <c r="O160" s="45">
        <f t="shared" si="192"/>
        <v>0.10460912788070502</v>
      </c>
      <c r="P160" s="45">
        <f t="shared" si="192"/>
        <v>8.9855661719861729E-2</v>
      </c>
      <c r="Q160" s="45">
        <f t="shared" si="192"/>
        <v>0.1046091278807051</v>
      </c>
      <c r="R160" s="45">
        <f t="shared" si="192"/>
        <v>8.9855661719861729E-2</v>
      </c>
      <c r="S160" s="45">
        <f t="shared" si="192"/>
        <v>0.10460912788070512</v>
      </c>
      <c r="T160" s="45">
        <f t="shared" si="192"/>
        <v>8.9855661719861632E-2</v>
      </c>
      <c r="U160" s="45">
        <f t="shared" si="192"/>
        <v>0.10460912788070516</v>
      </c>
      <c r="V160" s="45">
        <f t="shared" si="192"/>
        <v>8.9855661719861674E-2</v>
      </c>
      <c r="W160" s="45">
        <f t="shared" si="192"/>
        <v>0.10460912788070498</v>
      </c>
      <c r="X160" s="45">
        <f t="shared" si="192"/>
        <v>8.9855661719861632E-2</v>
      </c>
      <c r="Y160" s="45">
        <f t="shared" si="192"/>
        <v>0.10460912788070503</v>
      </c>
      <c r="Z160" s="45">
        <f t="shared" si="192"/>
        <v>8.985566171986166E-2</v>
      </c>
      <c r="AA160" s="45">
        <f t="shared" si="192"/>
        <v>0.10460912788070503</v>
      </c>
      <c r="AB160" s="45">
        <f t="shared" si="192"/>
        <v>8.9855661719861604E-2</v>
      </c>
      <c r="AC160" s="45">
        <f t="shared" si="192"/>
        <v>0.10460912788070516</v>
      </c>
      <c r="AD160" s="45">
        <f t="shared" si="192"/>
        <v>8.9855661719861632E-2</v>
      </c>
      <c r="AE160" s="45">
        <f t="shared" si="192"/>
        <v>0.10460912788070505</v>
      </c>
      <c r="AF160" s="45">
        <f t="shared" si="192"/>
        <v>8.9855661719861618E-2</v>
      </c>
      <c r="AG160" s="45">
        <f t="shared" si="192"/>
        <v>0.1046091278807051</v>
      </c>
      <c r="AH160" s="45">
        <f t="shared" si="192"/>
        <v>8.9855661719861743E-2</v>
      </c>
      <c r="AI160" s="45">
        <f t="shared" si="192"/>
        <v>0.10460912788070509</v>
      </c>
      <c r="AJ160" s="2"/>
      <c r="AK160" s="2"/>
      <c r="AL160" s="2"/>
      <c r="AM160" s="2"/>
    </row>
    <row r="161" spans="1:39" x14ac:dyDescent="0.25">
      <c r="A161" s="313"/>
      <c r="B161" s="313"/>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75"/>
      <c r="AL161" s="75"/>
      <c r="AM161" s="10"/>
    </row>
    <row r="162" spans="1:39" x14ac:dyDescent="0.25">
      <c r="A162" s="20"/>
      <c r="B162" s="30" t="s">
        <v>161</v>
      </c>
      <c r="C162" s="60"/>
      <c r="D162" s="32"/>
      <c r="E162" s="35"/>
      <c r="F162" s="34"/>
      <c r="G162" s="35"/>
      <c r="H162" s="34"/>
      <c r="I162" s="35"/>
      <c r="J162" s="34"/>
      <c r="K162" s="35"/>
      <c r="L162" s="34"/>
      <c r="M162" s="35"/>
      <c r="N162" s="34"/>
      <c r="O162" s="35"/>
      <c r="P162" s="35"/>
      <c r="Q162" s="35"/>
      <c r="R162" s="35"/>
      <c r="S162" s="35"/>
      <c r="T162" s="35"/>
      <c r="U162" s="35"/>
      <c r="V162" s="35"/>
      <c r="W162" s="35"/>
      <c r="X162" s="35"/>
      <c r="Y162" s="35"/>
      <c r="Z162" s="35"/>
      <c r="AA162" s="35"/>
      <c r="AB162" s="35"/>
      <c r="AC162" s="35"/>
      <c r="AD162" s="35"/>
      <c r="AE162" s="35"/>
      <c r="AF162" s="35"/>
      <c r="AG162" s="35"/>
      <c r="AH162" s="35"/>
      <c r="AI162" s="35"/>
      <c r="AJ162" s="2"/>
      <c r="AK162" s="2"/>
      <c r="AL162" s="2"/>
      <c r="AM162" s="2"/>
    </row>
    <row r="163" spans="1:39" x14ac:dyDescent="0.25">
      <c r="A163" s="20"/>
      <c r="B163" s="33" t="s">
        <v>163</v>
      </c>
      <c r="C163" s="60" t="s">
        <v>67</v>
      </c>
      <c r="D163" s="32"/>
      <c r="E163" s="35"/>
      <c r="F163" s="34"/>
      <c r="G163" s="35"/>
      <c r="H163" s="62">
        <f t="shared" ref="H163:O166" si="193">H103</f>
        <v>30774</v>
      </c>
      <c r="I163" s="62">
        <f t="shared" si="193"/>
        <v>28619</v>
      </c>
      <c r="J163" s="62">
        <f t="shared" si="193"/>
        <v>28598</v>
      </c>
      <c r="K163" s="62">
        <f t="shared" si="193"/>
        <v>25032</v>
      </c>
      <c r="L163" s="62">
        <f t="shared" si="193"/>
        <v>28200</v>
      </c>
      <c r="M163" s="62">
        <f t="shared" si="193"/>
        <v>26981</v>
      </c>
      <c r="N163" s="62">
        <f t="shared" si="193"/>
        <v>31840</v>
      </c>
      <c r="O163" s="62">
        <f t="shared" si="193"/>
        <v>31624</v>
      </c>
      <c r="P163" s="62">
        <f>N163*(1+P170)</f>
        <v>38208</v>
      </c>
      <c r="Q163" s="62">
        <f t="shared" ref="Q163:AI163" si="194">O163*(1+Q170)</f>
        <v>36367.599999999999</v>
      </c>
      <c r="R163" s="62">
        <f t="shared" si="194"/>
        <v>42028.800000000003</v>
      </c>
      <c r="S163" s="62">
        <f t="shared" si="194"/>
        <v>40004.36</v>
      </c>
      <c r="T163" s="62">
        <f t="shared" si="194"/>
        <v>44550.528000000006</v>
      </c>
      <c r="U163" s="62">
        <f t="shared" si="194"/>
        <v>42404.621600000006</v>
      </c>
      <c r="V163" s="62">
        <f t="shared" si="194"/>
        <v>47223.559680000006</v>
      </c>
      <c r="W163" s="62">
        <f t="shared" si="194"/>
        <v>44948.898896000006</v>
      </c>
      <c r="X163" s="62">
        <f t="shared" si="194"/>
        <v>50056.973260800012</v>
      </c>
      <c r="Y163" s="62">
        <f t="shared" si="194"/>
        <v>47645.832829760009</v>
      </c>
      <c r="Z163" s="62">
        <f t="shared" si="194"/>
        <v>53060.391656448017</v>
      </c>
      <c r="AA163" s="62">
        <f t="shared" si="194"/>
        <v>50504.582799545613</v>
      </c>
      <c r="AB163" s="62">
        <f t="shared" si="194"/>
        <v>56244.015155834903</v>
      </c>
      <c r="AC163" s="62">
        <f t="shared" si="194"/>
        <v>53534.857767518355</v>
      </c>
      <c r="AD163" s="62">
        <f t="shared" si="194"/>
        <v>59618.656065185001</v>
      </c>
      <c r="AE163" s="62">
        <f t="shared" si="194"/>
        <v>56746.949233569459</v>
      </c>
      <c r="AF163" s="62">
        <f t="shared" si="194"/>
        <v>63195.775429096102</v>
      </c>
      <c r="AG163" s="62">
        <f t="shared" si="194"/>
        <v>60151.766187583627</v>
      </c>
      <c r="AH163" s="62">
        <f t="shared" si="194"/>
        <v>66987.521954841868</v>
      </c>
      <c r="AI163" s="62">
        <f t="shared" si="194"/>
        <v>63760.872158838647</v>
      </c>
      <c r="AJ163" s="2"/>
      <c r="AK163" s="2"/>
      <c r="AL163" s="2"/>
      <c r="AM163" s="2"/>
    </row>
    <row r="164" spans="1:39" x14ac:dyDescent="0.25">
      <c r="A164" s="20"/>
      <c r="B164" s="33" t="s">
        <v>166</v>
      </c>
      <c r="C164" s="60" t="s">
        <v>67</v>
      </c>
      <c r="D164" s="32"/>
      <c r="E164" s="35"/>
      <c r="F164" s="34"/>
      <c r="G164" s="35"/>
      <c r="H164" s="62">
        <f t="shared" si="193"/>
        <v>2799</v>
      </c>
      <c r="I164" s="62">
        <f t="shared" si="193"/>
        <v>2787</v>
      </c>
      <c r="J164" s="62">
        <f t="shared" si="193"/>
        <v>2332</v>
      </c>
      <c r="K164" s="62">
        <f t="shared" si="193"/>
        <v>1272</v>
      </c>
      <c r="L164" s="62">
        <f t="shared" si="193"/>
        <v>1462</v>
      </c>
      <c r="M164" s="62">
        <f t="shared" si="193"/>
        <v>2102</v>
      </c>
      <c r="N164" s="62">
        <f t="shared" si="193"/>
        <v>2388</v>
      </c>
      <c r="O164" s="62">
        <f t="shared" si="193"/>
        <v>2006</v>
      </c>
      <c r="P164" s="35"/>
      <c r="Q164" s="35"/>
      <c r="R164" s="35"/>
      <c r="S164" s="35"/>
      <c r="T164" s="35"/>
      <c r="U164" s="35"/>
      <c r="V164" s="35"/>
      <c r="W164" s="35"/>
      <c r="X164" s="35"/>
      <c r="Y164" s="35"/>
      <c r="Z164" s="35"/>
      <c r="AA164" s="35"/>
      <c r="AB164" s="35"/>
      <c r="AC164" s="35"/>
      <c r="AD164" s="35"/>
      <c r="AE164" s="35"/>
      <c r="AF164" s="35"/>
      <c r="AG164" s="35"/>
      <c r="AH164" s="35"/>
      <c r="AI164" s="35"/>
      <c r="AJ164" s="2"/>
      <c r="AK164" s="2"/>
      <c r="AL164" s="2"/>
      <c r="AM164" s="2"/>
    </row>
    <row r="165" spans="1:39" x14ac:dyDescent="0.25">
      <c r="A165" s="20"/>
      <c r="B165" s="33" t="s">
        <v>168</v>
      </c>
      <c r="C165" s="60" t="s">
        <v>67</v>
      </c>
      <c r="D165" s="32"/>
      <c r="E165" s="35"/>
      <c r="F165" s="34"/>
      <c r="G165" s="35"/>
      <c r="H165" s="62">
        <f t="shared" si="193"/>
        <v>1771</v>
      </c>
      <c r="I165" s="62">
        <f t="shared" si="193"/>
        <v>2116</v>
      </c>
      <c r="J165" s="62">
        <f t="shared" si="193"/>
        <v>2017</v>
      </c>
      <c r="K165" s="62">
        <f t="shared" si="193"/>
        <v>1766</v>
      </c>
      <c r="L165" s="62">
        <f t="shared" si="193"/>
        <v>2389</v>
      </c>
      <c r="M165" s="62">
        <f t="shared" si="193"/>
        <v>2064</v>
      </c>
      <c r="N165" s="62">
        <f t="shared" si="193"/>
        <v>2568</v>
      </c>
      <c r="O165" s="62">
        <f t="shared" si="193"/>
        <v>2491</v>
      </c>
      <c r="P165" s="62">
        <f t="shared" ref="P165:P166" si="195">N165*(1+P172)</f>
        <v>2953.2</v>
      </c>
      <c r="Q165" s="62">
        <f t="shared" ref="Q165:Q166" si="196">O165*(1+Q172)</f>
        <v>2864.6499999999996</v>
      </c>
      <c r="R165" s="62">
        <f t="shared" ref="R165:R166" si="197">P165*(1+R172)</f>
        <v>3396.1799999999994</v>
      </c>
      <c r="S165" s="62">
        <f t="shared" ref="S165:S166" si="198">Q165*(1+S172)</f>
        <v>3294.3474999999994</v>
      </c>
      <c r="T165" s="62">
        <f t="shared" ref="T165:T166" si="199">R165*(1+T172)</f>
        <v>3905.6069999999991</v>
      </c>
      <c r="U165" s="62">
        <f t="shared" ref="U165:U166" si="200">S165*(1+U172)</f>
        <v>3788.499624999999</v>
      </c>
      <c r="V165" s="62">
        <f t="shared" ref="V165:V166" si="201">T165*(1+V172)</f>
        <v>4491.4480499999981</v>
      </c>
      <c r="W165" s="62">
        <f t="shared" ref="W165:W166" si="202">U165*(1+W172)</f>
        <v>4356.7745687499983</v>
      </c>
      <c r="X165" s="62">
        <f t="shared" ref="X165:X166" si="203">V165*(1+X172)</f>
        <v>5165.1652574999971</v>
      </c>
      <c r="Y165" s="62">
        <f t="shared" ref="Y165:Y166" si="204">W165*(1+Y172)</f>
        <v>5010.2907540624974</v>
      </c>
      <c r="Z165" s="62">
        <f t="shared" ref="Z165:Z166" si="205">X165*(1+Z172)</f>
        <v>5475.0751729499971</v>
      </c>
      <c r="AA165" s="62">
        <f t="shared" ref="AA165:AA166" si="206">Y165*(1+AA172)</f>
        <v>5310.9081993062473</v>
      </c>
      <c r="AB165" s="62">
        <f t="shared" ref="AB165:AB166" si="207">Z165*(1+AB172)</f>
        <v>5803.5796833269969</v>
      </c>
      <c r="AC165" s="62">
        <f t="shared" ref="AC165:AC166" si="208">AA165*(1+AC172)</f>
        <v>5629.5626912646221</v>
      </c>
      <c r="AD165" s="62">
        <f t="shared" ref="AD165:AD166" si="209">AB165*(1+AD172)</f>
        <v>6151.7944643266173</v>
      </c>
      <c r="AE165" s="62">
        <f t="shared" ref="AE165:AE166" si="210">AC165*(1+AE172)</f>
        <v>5967.3364527405001</v>
      </c>
      <c r="AF165" s="62">
        <f t="shared" ref="AF165:AF166" si="211">AD165*(1+AF172)</f>
        <v>6520.9021321862147</v>
      </c>
      <c r="AG165" s="62">
        <f t="shared" ref="AG165:AG166" si="212">AE165*(1+AG172)</f>
        <v>6325.37663990493</v>
      </c>
      <c r="AH165" s="62">
        <f t="shared" ref="AH165:AH166" si="213">AF165*(1+AH172)</f>
        <v>6912.1562601173882</v>
      </c>
      <c r="AI165" s="62">
        <f t="shared" ref="AI165:AI166" si="214">AG165*(1+AI172)</f>
        <v>6704.8992382992265</v>
      </c>
      <c r="AJ165" s="2"/>
      <c r="AK165" s="2"/>
      <c r="AL165" s="2"/>
      <c r="AM165" s="2"/>
    </row>
    <row r="166" spans="1:39" x14ac:dyDescent="0.25">
      <c r="A166" s="20"/>
      <c r="B166" s="64" t="s">
        <v>170</v>
      </c>
      <c r="C166" s="65" t="s">
        <v>67</v>
      </c>
      <c r="D166" s="66"/>
      <c r="E166" s="67"/>
      <c r="F166" s="68"/>
      <c r="G166" s="67"/>
      <c r="H166" s="69">
        <f t="shared" si="193"/>
        <v>421</v>
      </c>
      <c r="I166" s="69">
        <f t="shared" si="193"/>
        <v>1084</v>
      </c>
      <c r="J166" s="69">
        <f t="shared" si="193"/>
        <v>1232</v>
      </c>
      <c r="K166" s="69">
        <f t="shared" si="193"/>
        <v>1379</v>
      </c>
      <c r="L166" s="69">
        <f t="shared" si="193"/>
        <v>1575</v>
      </c>
      <c r="M166" s="69">
        <f t="shared" si="193"/>
        <v>1596</v>
      </c>
      <c r="N166" s="69">
        <f t="shared" si="193"/>
        <v>1758</v>
      </c>
      <c r="O166" s="69">
        <f t="shared" si="193"/>
        <v>1706</v>
      </c>
      <c r="P166" s="69">
        <f t="shared" si="195"/>
        <v>1933.8000000000002</v>
      </c>
      <c r="Q166" s="69">
        <f t="shared" si="196"/>
        <v>1876.6000000000001</v>
      </c>
      <c r="R166" s="69">
        <f t="shared" si="197"/>
        <v>2127.1800000000003</v>
      </c>
      <c r="S166" s="69">
        <f t="shared" si="198"/>
        <v>2064.2600000000002</v>
      </c>
      <c r="T166" s="69">
        <f t="shared" si="199"/>
        <v>2339.8980000000006</v>
      </c>
      <c r="U166" s="69">
        <f t="shared" si="200"/>
        <v>2270.6860000000006</v>
      </c>
      <c r="V166" s="69">
        <f t="shared" si="201"/>
        <v>2480.2918800000007</v>
      </c>
      <c r="W166" s="69">
        <f t="shared" si="202"/>
        <v>2406.9271600000006</v>
      </c>
      <c r="X166" s="69">
        <f t="shared" si="203"/>
        <v>2629.1093928000009</v>
      </c>
      <c r="Y166" s="69">
        <f t="shared" si="204"/>
        <v>2551.3427896000007</v>
      </c>
      <c r="Z166" s="69">
        <f t="shared" si="205"/>
        <v>2786.855956368001</v>
      </c>
      <c r="AA166" s="69">
        <f t="shared" si="206"/>
        <v>2704.4233569760008</v>
      </c>
      <c r="AB166" s="69">
        <f t="shared" si="207"/>
        <v>2954.0673137500812</v>
      </c>
      <c r="AC166" s="69">
        <f t="shared" si="208"/>
        <v>2866.6887583945609</v>
      </c>
      <c r="AD166" s="69">
        <f t="shared" si="209"/>
        <v>3131.3113525750864</v>
      </c>
      <c r="AE166" s="69">
        <f t="shared" si="210"/>
        <v>3038.6900838982347</v>
      </c>
      <c r="AF166" s="69">
        <f t="shared" si="211"/>
        <v>3319.190033729592</v>
      </c>
      <c r="AG166" s="69">
        <f t="shared" si="212"/>
        <v>3221.0114889321289</v>
      </c>
      <c r="AH166" s="69">
        <f t="shared" si="213"/>
        <v>3518.3414357533675</v>
      </c>
      <c r="AI166" s="69">
        <f t="shared" si="214"/>
        <v>3414.2721782680569</v>
      </c>
      <c r="AJ166" s="2"/>
      <c r="AK166" s="2"/>
      <c r="AL166" s="2"/>
      <c r="AM166" s="2"/>
    </row>
    <row r="167" spans="1:39" x14ac:dyDescent="0.25">
      <c r="A167" s="20"/>
      <c r="B167" s="33" t="s">
        <v>220</v>
      </c>
      <c r="C167" s="60" t="s">
        <v>67</v>
      </c>
      <c r="D167" s="32"/>
      <c r="E167" s="35"/>
      <c r="F167" s="29"/>
      <c r="G167" s="35"/>
      <c r="H167" s="62">
        <f t="shared" ref="H167:N167" si="215">SUM(H163,H165:H166)</f>
        <v>32966</v>
      </c>
      <c r="I167" s="62">
        <f t="shared" si="215"/>
        <v>31819</v>
      </c>
      <c r="J167" s="62">
        <f t="shared" si="215"/>
        <v>31847</v>
      </c>
      <c r="K167" s="62">
        <f t="shared" si="215"/>
        <v>28177</v>
      </c>
      <c r="L167" s="62">
        <f t="shared" si="215"/>
        <v>32164</v>
      </c>
      <c r="M167" s="62">
        <f t="shared" si="215"/>
        <v>30641</v>
      </c>
      <c r="N167" s="62">
        <f t="shared" si="215"/>
        <v>36166</v>
      </c>
      <c r="O167" s="62">
        <f>SUM(O163,O165:O166)</f>
        <v>35821</v>
      </c>
      <c r="P167" s="62">
        <f t="shared" ref="P167:AI167" si="216">SUM(P163,P165:P166)</f>
        <v>43095</v>
      </c>
      <c r="Q167" s="62">
        <f t="shared" si="216"/>
        <v>41108.85</v>
      </c>
      <c r="R167" s="62">
        <f t="shared" si="216"/>
        <v>47552.160000000003</v>
      </c>
      <c r="S167" s="62">
        <f t="shared" si="216"/>
        <v>45362.967499999999</v>
      </c>
      <c r="T167" s="62">
        <f t="shared" si="216"/>
        <v>50796.033000000003</v>
      </c>
      <c r="U167" s="62">
        <f t="shared" si="216"/>
        <v>48463.807225000004</v>
      </c>
      <c r="V167" s="62">
        <f t="shared" si="216"/>
        <v>54195.299610000002</v>
      </c>
      <c r="W167" s="62">
        <f t="shared" si="216"/>
        <v>51712.600624750004</v>
      </c>
      <c r="X167" s="62">
        <f t="shared" si="216"/>
        <v>57851.247911100014</v>
      </c>
      <c r="Y167" s="62">
        <f t="shared" si="216"/>
        <v>55207.466373422503</v>
      </c>
      <c r="Z167" s="62">
        <f t="shared" si="216"/>
        <v>61322.322785766017</v>
      </c>
      <c r="AA167" s="62">
        <f t="shared" si="216"/>
        <v>58519.914355827867</v>
      </c>
      <c r="AB167" s="62">
        <f t="shared" si="216"/>
        <v>65001.66215291198</v>
      </c>
      <c r="AC167" s="62">
        <f t="shared" si="216"/>
        <v>62031.109217177538</v>
      </c>
      <c r="AD167" s="62">
        <f t="shared" si="216"/>
        <v>68901.761882086706</v>
      </c>
      <c r="AE167" s="62">
        <f t="shared" si="216"/>
        <v>65752.975770208199</v>
      </c>
      <c r="AF167" s="62">
        <f t="shared" si="216"/>
        <v>73035.867595011907</v>
      </c>
      <c r="AG167" s="62">
        <f t="shared" si="216"/>
        <v>69698.154316420681</v>
      </c>
      <c r="AH167" s="62">
        <f t="shared" si="216"/>
        <v>77418.019650712624</v>
      </c>
      <c r="AI167" s="62">
        <f t="shared" si="216"/>
        <v>73880.043575405929</v>
      </c>
      <c r="AJ167" s="2"/>
      <c r="AK167" s="2"/>
      <c r="AL167" s="2"/>
      <c r="AM167" s="2"/>
    </row>
    <row r="168" spans="1:39" x14ac:dyDescent="0.25">
      <c r="A168" s="307"/>
      <c r="B168" s="308"/>
      <c r="C168" s="60"/>
      <c r="D168" s="32"/>
      <c r="E168" s="35"/>
      <c r="F168" s="29"/>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2"/>
      <c r="AK168" s="2"/>
      <c r="AL168" s="2"/>
      <c r="AM168" s="2"/>
    </row>
    <row r="169" spans="1:39" x14ac:dyDescent="0.25">
      <c r="A169" s="20"/>
      <c r="B169" s="33" t="s">
        <v>76</v>
      </c>
      <c r="C169" s="27" t="s">
        <v>77</v>
      </c>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
      <c r="AK169" s="2"/>
      <c r="AL169" s="2"/>
      <c r="AM169" s="2"/>
    </row>
    <row r="170" spans="1:39" x14ac:dyDescent="0.25">
      <c r="A170" s="84"/>
      <c r="B170" s="85" t="s">
        <v>163</v>
      </c>
      <c r="C170" s="27" t="s">
        <v>77</v>
      </c>
      <c r="D170" s="86"/>
      <c r="E170" s="87"/>
      <c r="F170" s="88"/>
      <c r="G170" s="87"/>
      <c r="H170" s="87"/>
      <c r="I170" s="87"/>
      <c r="J170" s="223">
        <f t="shared" ref="J170:N174" si="217">J163/H163-1</f>
        <v>-7.0709040098784648E-2</v>
      </c>
      <c r="K170" s="223">
        <f t="shared" si="217"/>
        <v>-0.12533631503546594</v>
      </c>
      <c r="L170" s="223">
        <f t="shared" si="217"/>
        <v>-1.3917057136862754E-2</v>
      </c>
      <c r="M170" s="223">
        <f t="shared" si="217"/>
        <v>7.7860338766378989E-2</v>
      </c>
      <c r="N170" s="223">
        <f t="shared" si="217"/>
        <v>0.12907801418439724</v>
      </c>
      <c r="O170" s="223">
        <f>O163/M163-1</f>
        <v>0.17208405915273706</v>
      </c>
      <c r="P170" s="89">
        <v>0.2</v>
      </c>
      <c r="Q170" s="89">
        <f>Q$180</f>
        <v>0.15</v>
      </c>
      <c r="R170" s="89">
        <f>R$180</f>
        <v>0.1</v>
      </c>
      <c r="S170" s="89">
        <f t="shared" ref="S170:AI170" si="218">S$180</f>
        <v>0.1</v>
      </c>
      <c r="T170" s="89">
        <f t="shared" si="218"/>
        <v>0.06</v>
      </c>
      <c r="U170" s="89">
        <f t="shared" si="218"/>
        <v>0.06</v>
      </c>
      <c r="V170" s="89">
        <f t="shared" si="218"/>
        <v>0.06</v>
      </c>
      <c r="W170" s="89">
        <f t="shared" si="218"/>
        <v>0.06</v>
      </c>
      <c r="X170" s="89">
        <f t="shared" si="218"/>
        <v>0.06</v>
      </c>
      <c r="Y170" s="89">
        <f t="shared" si="218"/>
        <v>0.06</v>
      </c>
      <c r="Z170" s="89">
        <f t="shared" si="218"/>
        <v>0.06</v>
      </c>
      <c r="AA170" s="89">
        <f t="shared" si="218"/>
        <v>0.06</v>
      </c>
      <c r="AB170" s="89">
        <f t="shared" si="218"/>
        <v>0.06</v>
      </c>
      <c r="AC170" s="89">
        <f t="shared" si="218"/>
        <v>0.06</v>
      </c>
      <c r="AD170" s="89">
        <f t="shared" si="218"/>
        <v>0.06</v>
      </c>
      <c r="AE170" s="89">
        <f t="shared" si="218"/>
        <v>0.06</v>
      </c>
      <c r="AF170" s="89">
        <f t="shared" si="218"/>
        <v>0.06</v>
      </c>
      <c r="AG170" s="89">
        <f t="shared" si="218"/>
        <v>0.06</v>
      </c>
      <c r="AH170" s="89">
        <f t="shared" si="218"/>
        <v>0.06</v>
      </c>
      <c r="AI170" s="89">
        <f t="shared" si="218"/>
        <v>0.06</v>
      </c>
      <c r="AJ170" s="90"/>
      <c r="AK170" s="90"/>
      <c r="AL170" s="90"/>
      <c r="AM170" s="90"/>
    </row>
    <row r="171" spans="1:39" x14ac:dyDescent="0.25">
      <c r="A171" s="84"/>
      <c r="B171" s="85" t="s">
        <v>166</v>
      </c>
      <c r="C171" s="27" t="s">
        <v>77</v>
      </c>
      <c r="D171" s="86"/>
      <c r="E171" s="87"/>
      <c r="F171" s="88"/>
      <c r="G171" s="87"/>
      <c r="H171" s="87"/>
      <c r="I171" s="87"/>
      <c r="J171" s="223">
        <f t="shared" si="217"/>
        <v>-0.16684530189353342</v>
      </c>
      <c r="K171" s="223">
        <f t="shared" si="217"/>
        <v>-0.5435952637244349</v>
      </c>
      <c r="L171" s="223">
        <f t="shared" si="217"/>
        <v>-0.37307032590051459</v>
      </c>
      <c r="M171" s="223">
        <f t="shared" si="217"/>
        <v>0.65251572327044016</v>
      </c>
      <c r="N171" s="223">
        <f t="shared" si="217"/>
        <v>0.6333789329685362</v>
      </c>
      <c r="O171" s="223">
        <f t="shared" ref="O171:O174" si="219">O164/M164-1</f>
        <v>-4.5670789724072347E-2</v>
      </c>
      <c r="P171" s="87"/>
      <c r="Q171" s="87"/>
      <c r="R171" s="87"/>
      <c r="S171" s="87"/>
      <c r="T171" s="87"/>
      <c r="U171" s="87"/>
      <c r="V171" s="87"/>
      <c r="W171" s="87"/>
      <c r="X171" s="87"/>
      <c r="Y171" s="87"/>
      <c r="Z171" s="87"/>
      <c r="AA171" s="87"/>
      <c r="AB171" s="87"/>
      <c r="AC171" s="87"/>
      <c r="AD171" s="87"/>
      <c r="AE171" s="87"/>
      <c r="AF171" s="87"/>
      <c r="AG171" s="87"/>
      <c r="AH171" s="87"/>
      <c r="AI171" s="87"/>
      <c r="AJ171" s="90"/>
      <c r="AK171" s="90"/>
      <c r="AL171" s="90"/>
      <c r="AM171" s="90"/>
    </row>
    <row r="172" spans="1:39" x14ac:dyDescent="0.25">
      <c r="A172" s="84"/>
      <c r="B172" s="85" t="s">
        <v>168</v>
      </c>
      <c r="C172" s="27" t="s">
        <v>77</v>
      </c>
      <c r="D172" s="86"/>
      <c r="E172" s="87"/>
      <c r="F172" s="88"/>
      <c r="G172" s="87"/>
      <c r="H172" s="87"/>
      <c r="I172" s="87"/>
      <c r="J172" s="223">
        <f t="shared" si="217"/>
        <v>0.13890457368718234</v>
      </c>
      <c r="K172" s="223">
        <f t="shared" si="217"/>
        <v>-0.16540642722117205</v>
      </c>
      <c r="L172" s="223">
        <f t="shared" si="217"/>
        <v>0.18443232523549824</v>
      </c>
      <c r="M172" s="223">
        <f t="shared" si="217"/>
        <v>0.16874292185730466</v>
      </c>
      <c r="N172" s="223">
        <f t="shared" si="217"/>
        <v>7.4926747593135223E-2</v>
      </c>
      <c r="O172" s="223">
        <f t="shared" si="219"/>
        <v>0.20687984496124034</v>
      </c>
      <c r="P172" s="89">
        <v>0.15</v>
      </c>
      <c r="Q172" s="89">
        <v>0.15</v>
      </c>
      <c r="R172" s="89">
        <v>0.15</v>
      </c>
      <c r="S172" s="89">
        <v>0.15</v>
      </c>
      <c r="T172" s="89">
        <v>0.15</v>
      </c>
      <c r="U172" s="89">
        <v>0.15</v>
      </c>
      <c r="V172" s="89">
        <v>0.15</v>
      </c>
      <c r="W172" s="89">
        <v>0.15</v>
      </c>
      <c r="X172" s="89">
        <v>0.15</v>
      </c>
      <c r="Y172" s="89">
        <v>0.15</v>
      </c>
      <c r="Z172" s="89">
        <v>0.06</v>
      </c>
      <c r="AA172" s="89">
        <v>0.06</v>
      </c>
      <c r="AB172" s="89">
        <v>0.06</v>
      </c>
      <c r="AC172" s="89">
        <v>0.06</v>
      </c>
      <c r="AD172" s="89">
        <v>0.06</v>
      </c>
      <c r="AE172" s="89">
        <v>0.06</v>
      </c>
      <c r="AF172" s="89">
        <v>0.06</v>
      </c>
      <c r="AG172" s="89">
        <v>0.06</v>
      </c>
      <c r="AH172" s="89">
        <v>0.06</v>
      </c>
      <c r="AI172" s="89">
        <v>0.06</v>
      </c>
      <c r="AJ172" s="90"/>
      <c r="AK172" s="90"/>
      <c r="AL172" s="90"/>
      <c r="AM172" s="90"/>
    </row>
    <row r="173" spans="1:39" x14ac:dyDescent="0.25">
      <c r="A173" s="84"/>
      <c r="B173" s="91" t="s">
        <v>170</v>
      </c>
      <c r="C173" s="92" t="s">
        <v>77</v>
      </c>
      <c r="D173" s="93"/>
      <c r="E173" s="94"/>
      <c r="F173" s="95"/>
      <c r="G173" s="94"/>
      <c r="H173" s="94"/>
      <c r="I173" s="94"/>
      <c r="J173" s="224">
        <f t="shared" si="217"/>
        <v>1.9263657957244655</v>
      </c>
      <c r="K173" s="224">
        <f t="shared" si="217"/>
        <v>0.27214022140221394</v>
      </c>
      <c r="L173" s="224">
        <f t="shared" si="217"/>
        <v>0.27840909090909083</v>
      </c>
      <c r="M173" s="224">
        <f t="shared" si="217"/>
        <v>0.15736040609137047</v>
      </c>
      <c r="N173" s="224">
        <f t="shared" si="217"/>
        <v>0.11619047619047618</v>
      </c>
      <c r="O173" s="224">
        <f t="shared" si="219"/>
        <v>6.8922305764411051E-2</v>
      </c>
      <c r="P173" s="261">
        <v>0.1</v>
      </c>
      <c r="Q173" s="261">
        <v>0.1</v>
      </c>
      <c r="R173" s="261">
        <v>0.1</v>
      </c>
      <c r="S173" s="261">
        <v>0.1</v>
      </c>
      <c r="T173" s="261">
        <v>0.1</v>
      </c>
      <c r="U173" s="261">
        <v>0.1</v>
      </c>
      <c r="V173" s="261">
        <v>0.06</v>
      </c>
      <c r="W173" s="261">
        <v>0.06</v>
      </c>
      <c r="X173" s="261">
        <v>0.06</v>
      </c>
      <c r="Y173" s="261">
        <v>0.06</v>
      </c>
      <c r="Z173" s="261">
        <v>0.06</v>
      </c>
      <c r="AA173" s="261">
        <v>0.06</v>
      </c>
      <c r="AB173" s="261">
        <v>0.06</v>
      </c>
      <c r="AC173" s="261">
        <v>0.06</v>
      </c>
      <c r="AD173" s="261">
        <v>0.06</v>
      </c>
      <c r="AE173" s="261">
        <v>0.06</v>
      </c>
      <c r="AF173" s="261">
        <v>0.06</v>
      </c>
      <c r="AG173" s="261">
        <v>0.06</v>
      </c>
      <c r="AH173" s="261">
        <v>0.06</v>
      </c>
      <c r="AI173" s="261">
        <v>0.06</v>
      </c>
      <c r="AJ173" s="90"/>
      <c r="AK173" s="90"/>
      <c r="AL173" s="90"/>
      <c r="AM173" s="90"/>
    </row>
    <row r="174" spans="1:39" x14ac:dyDescent="0.25">
      <c r="A174" s="84"/>
      <c r="B174" s="85" t="s">
        <v>172</v>
      </c>
      <c r="C174" s="27" t="s">
        <v>77</v>
      </c>
      <c r="D174" s="86"/>
      <c r="E174" s="87"/>
      <c r="F174" s="96"/>
      <c r="G174" s="87"/>
      <c r="H174" s="87"/>
      <c r="I174" s="87"/>
      <c r="J174" s="223">
        <f t="shared" si="217"/>
        <v>-3.3944063580658823E-2</v>
      </c>
      <c r="K174" s="223">
        <f t="shared" si="217"/>
        <v>-0.11445991388792864</v>
      </c>
      <c r="L174" s="223">
        <f t="shared" si="217"/>
        <v>9.953841806135566E-3</v>
      </c>
      <c r="M174" s="223">
        <f t="shared" si="217"/>
        <v>8.7447208716328939E-2</v>
      </c>
      <c r="N174" s="223">
        <f t="shared" si="217"/>
        <v>0.12442482278323586</v>
      </c>
      <c r="O174" s="223">
        <f t="shared" si="219"/>
        <v>0.16905453477366916</v>
      </c>
      <c r="P174" s="223">
        <f t="shared" ref="P174" si="220">P167/N167-1</f>
        <v>0.19158878504672905</v>
      </c>
      <c r="Q174" s="223">
        <f t="shared" ref="Q174" si="221">Q167/O167-1</f>
        <v>0.14761871527874715</v>
      </c>
      <c r="R174" s="223">
        <f t="shared" ref="R174" si="222">R167/P167-1</f>
        <v>0.10342638357117995</v>
      </c>
      <c r="S174" s="223">
        <f t="shared" ref="S174" si="223">S167/Q167-1</f>
        <v>0.10348422541618163</v>
      </c>
      <c r="T174" s="223">
        <f t="shared" ref="T174" si="224">T167/R167-1</f>
        <v>6.8217153542551978E-2</v>
      </c>
      <c r="U174" s="223">
        <f t="shared" ref="U174" si="225">U167/S167-1</f>
        <v>6.8356192195759835E-2</v>
      </c>
      <c r="V174" s="223">
        <f t="shared" ref="V174" si="226">V167/T167-1</f>
        <v>6.6919922860905201E-2</v>
      </c>
      <c r="W174" s="223">
        <f t="shared" ref="W174" si="227">W167/U167-1</f>
        <v>6.7035455647696418E-2</v>
      </c>
      <c r="X174" s="223">
        <f t="shared" ref="X174" si="228">X167/V167-1</f>
        <v>6.7458770915723942E-2</v>
      </c>
      <c r="Y174" s="223">
        <f t="shared" ref="Y174" si="229">Y167/W167-1</f>
        <v>6.7582479056368161E-2</v>
      </c>
      <c r="Z174" s="223">
        <f t="shared" ref="Z174" si="230">Z167/X167-1</f>
        <v>6.0000000000000053E-2</v>
      </c>
      <c r="AA174" s="223">
        <f t="shared" ref="AA174" si="231">AA167/Y167-1</f>
        <v>6.0000000000000275E-2</v>
      </c>
      <c r="AB174" s="223">
        <f t="shared" ref="AB174" si="232">AB167/Z167-1</f>
        <v>6.0000000000000053E-2</v>
      </c>
      <c r="AC174" s="223">
        <f t="shared" ref="AC174" si="233">AC167/AA167-1</f>
        <v>6.0000000000000053E-2</v>
      </c>
      <c r="AD174" s="223">
        <f t="shared" ref="AD174" si="234">AD167/AB167-1</f>
        <v>6.0000000000000053E-2</v>
      </c>
      <c r="AE174" s="223">
        <f t="shared" ref="AE174" si="235">AE167/AC167-1</f>
        <v>6.0000000000000053E-2</v>
      </c>
      <c r="AF174" s="223">
        <f t="shared" ref="AF174" si="236">AF167/AD167-1</f>
        <v>6.0000000000000053E-2</v>
      </c>
      <c r="AG174" s="223">
        <f t="shared" ref="AG174" si="237">AG167/AE167-1</f>
        <v>5.9999999999999831E-2</v>
      </c>
      <c r="AH174" s="223">
        <f t="shared" ref="AH174" si="238">AH167/AF167-1</f>
        <v>6.0000000000000053E-2</v>
      </c>
      <c r="AI174" s="223">
        <f t="shared" ref="AI174" si="239">AI167/AG167-1</f>
        <v>6.0000000000000053E-2</v>
      </c>
      <c r="AJ174" s="90"/>
      <c r="AK174" s="90"/>
      <c r="AL174" s="90"/>
      <c r="AM174" s="90"/>
    </row>
    <row r="175" spans="1:39" x14ac:dyDescent="0.25">
      <c r="A175" s="313"/>
      <c r="B175" s="313"/>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75"/>
      <c r="AL175" s="75"/>
      <c r="AM175" s="10"/>
    </row>
    <row r="176" spans="1:39" x14ac:dyDescent="0.25">
      <c r="A176" s="20"/>
      <c r="B176" s="30" t="s">
        <v>221</v>
      </c>
      <c r="C176" s="35"/>
      <c r="D176" s="32"/>
      <c r="E176" s="35"/>
      <c r="F176" s="35"/>
      <c r="G176" s="35"/>
      <c r="H176" s="34"/>
      <c r="I176" s="34"/>
      <c r="J176" s="34"/>
      <c r="K176" s="34"/>
      <c r="L176" s="34"/>
      <c r="M176" s="34"/>
      <c r="N176" s="34"/>
      <c r="O176" s="35"/>
      <c r="P176" s="35"/>
      <c r="Q176" s="35"/>
      <c r="R176" s="35"/>
      <c r="S176" s="35"/>
      <c r="T176" s="35"/>
      <c r="U176" s="35"/>
      <c r="V176" s="35"/>
      <c r="W176" s="35"/>
      <c r="X176" s="35"/>
      <c r="Y176" s="2"/>
      <c r="Z176" s="2"/>
      <c r="AA176" s="2"/>
      <c r="AB176" s="2"/>
      <c r="AC176" s="2"/>
      <c r="AD176" s="2"/>
      <c r="AE176" s="2"/>
      <c r="AF176" s="2"/>
      <c r="AG176" s="2"/>
      <c r="AH176" s="2"/>
      <c r="AI176" s="2"/>
      <c r="AJ176" s="2"/>
      <c r="AK176" s="2"/>
      <c r="AL176" s="2"/>
      <c r="AM176" s="2"/>
    </row>
    <row r="177" spans="1:39" x14ac:dyDescent="0.25">
      <c r="A177" s="20"/>
      <c r="B177" s="33" t="s">
        <v>222</v>
      </c>
      <c r="C177" s="60" t="s">
        <v>219</v>
      </c>
      <c r="D177" s="32"/>
      <c r="E177" s="35"/>
      <c r="F177" s="35"/>
      <c r="G177" s="228">
        <f>SUMIFS('ABS Resi New Loans'!$B:$B,'ABS Resi New Loans'!$A:$A,"&gt;"&amp;Segments!F$4,'ABS Resi New Loans'!$A:$A,"&lt;="&amp;Segments!G$4)</f>
        <v>166.68</v>
      </c>
      <c r="H177" s="228">
        <f>SUMIFS('ABS Resi New Loans'!$B:$B,'ABS Resi New Loans'!$A:$A,"&gt;"&amp;Segments!G$4,'ABS Resi New Loans'!$A:$A,"&lt;="&amp;Segments!H$4)</f>
        <v>180.61500000000001</v>
      </c>
      <c r="I177" s="228">
        <f>SUMIFS('ABS Resi New Loans'!$B:$B,'ABS Resi New Loans'!$A:$A,"&gt;"&amp;Segments!H$4,'ABS Resi New Loans'!$A:$A,"&lt;="&amp;Segments!I$4)</f>
        <v>179.065</v>
      </c>
      <c r="J177" s="228">
        <f>SUMIFS('ABS Resi New Loans'!$B:$B,'ABS Resi New Loans'!$A:$A,"&gt;"&amp;Segments!I$4,'ABS Resi New Loans'!$A:$A,"&lt;="&amp;Segments!J$4)</f>
        <v>145.93599999999998</v>
      </c>
      <c r="K177" s="228">
        <f>SUMIFS('ABS Resi New Loans'!$B:$B,'ABS Resi New Loans'!$A:$A,"&gt;"&amp;Segments!J$4,'ABS Resi New Loans'!$A:$A,"&lt;="&amp;Segments!K$4)</f>
        <v>133.02100000000002</v>
      </c>
      <c r="L177" s="228">
        <f>SUMIFS('ABS Resi New Loans'!$B:$B,'ABS Resi New Loans'!$A:$A,"&gt;"&amp;Segments!K$4,'ABS Resi New Loans'!$A:$A,"&lt;="&amp;Segments!L$4)</f>
        <v>143.745</v>
      </c>
      <c r="M177" s="228">
        <f>SUMIFS('ABS Resi New Loans'!$B:$B,'ABS Resi New Loans'!$A:$A,"&gt;"&amp;Segments!L$4,'ABS Resi New Loans'!$A:$A,"&lt;="&amp;Segments!M$4)</f>
        <v>157.09100000000001</v>
      </c>
      <c r="N177" s="228">
        <f>SUMIFS('ABS Resi New Loans'!$B:$B,'ABS Resi New Loans'!$A:$A,"&gt;"&amp;Segments!M$4,'ABS Resi New Loans'!$A:$A,"&lt;="&amp;Segments!N$4)</f>
        <v>172.59</v>
      </c>
      <c r="O177" s="228">
        <f>SUMIFS('ABS Resi New Loans'!$B:$B,'ABS Resi New Loans'!$A:$A,"&gt;"&amp;Segments!N$4,'ABS Resi New Loans'!$A:$A,"&lt;="&amp;Segments!O$4)</f>
        <v>173.62700000000001</v>
      </c>
      <c r="P177" s="35"/>
      <c r="Q177" s="35"/>
      <c r="R177" s="35"/>
      <c r="S177" s="35"/>
      <c r="T177" s="35"/>
      <c r="U177" s="35"/>
      <c r="V177" s="35"/>
      <c r="W177" s="35"/>
      <c r="X177" s="35"/>
      <c r="Y177" s="2"/>
      <c r="Z177" s="2"/>
      <c r="AA177" s="2"/>
      <c r="AB177" s="2"/>
      <c r="AC177" s="2"/>
      <c r="AD177" s="2"/>
      <c r="AE177" s="2"/>
      <c r="AF177" s="2"/>
      <c r="AG177" s="2"/>
      <c r="AH177" s="2"/>
      <c r="AI177" s="2"/>
      <c r="AJ177" s="2"/>
      <c r="AK177" s="2"/>
      <c r="AL177" s="2"/>
      <c r="AM177" s="2"/>
    </row>
    <row r="178" spans="1:39" x14ac:dyDescent="0.25">
      <c r="A178" s="20"/>
      <c r="B178" s="64" t="s">
        <v>223</v>
      </c>
      <c r="C178" s="65" t="s">
        <v>219</v>
      </c>
      <c r="D178" s="66"/>
      <c r="E178" s="67"/>
      <c r="F178" s="67"/>
      <c r="G178" s="229">
        <f>SUMIFS('ABS Resi Refi'!$J:$J,'ABS Resi Refi'!$A:$A,"&gt;"&amp;Segments!F$4,'ABS Resi Refi'!$A:$A,"&lt;="&amp;Segments!G$4)</f>
        <v>83.2</v>
      </c>
      <c r="H178" s="229">
        <f>SUMIFS('ABS Resi Refi'!$J:$J,'ABS Resi Refi'!$A:$A,"&gt;"&amp;Segments!G$4,'ABS Resi Refi'!$A:$A,"&lt;="&amp;Segments!H$4)</f>
        <v>98.682999999999993</v>
      </c>
      <c r="I178" s="229">
        <f>SUMIFS('ABS Resi Refi'!$J:$J,'ABS Resi Refi'!$A:$A,"&gt;"&amp;Segments!H$4,'ABS Resi Refi'!$A:$A,"&lt;="&amp;Segments!I$4)</f>
        <v>100.42500000000001</v>
      </c>
      <c r="J178" s="229">
        <f>SUMIFS('ABS Resi Refi'!$J:$J,'ABS Resi Refi'!$A:$A,"&gt;"&amp;Segments!I$4,'ABS Resi Refi'!$A:$A,"&lt;="&amp;Segments!J$4)</f>
        <v>111.063</v>
      </c>
      <c r="K178" s="229">
        <f>SUMIFS('ABS Resi Refi'!$J:$J,'ABS Resi Refi'!$A:$A,"&gt;"&amp;Segments!J$4,'ABS Resi Refi'!$A:$A,"&lt;="&amp;Segments!K$4)</f>
        <v>121.92699999999999</v>
      </c>
      <c r="L178" s="229">
        <f>SUMIFS('ABS Resi Refi'!$J:$J,'ABS Resi Refi'!$A:$A,"&gt;"&amp;Segments!K$4,'ABS Resi Refi'!$A:$A,"&lt;="&amp;Segments!L$4)</f>
        <v>111.59899999999999</v>
      </c>
      <c r="M178" s="229">
        <f>SUMIFS('ABS Resi Refi'!$J:$J,'ABS Resi Refi'!$A:$A,"&gt;"&amp;Segments!L$4,'ABS Resi Refi'!$A:$A,"&lt;="&amp;Segments!M$4)</f>
        <v>96.114999999999995</v>
      </c>
      <c r="N178" s="229">
        <f>SUMIFS('ABS Resi Refi'!$J:$J,'ABS Resi Refi'!$A:$A,"&gt;"&amp;Segments!M$4,'ABS Resi Refi'!$A:$A,"&lt;="&amp;Segments!N$4)</f>
        <v>110.36099999999999</v>
      </c>
      <c r="O178" s="229">
        <f>SUMIFS('ABS Resi Refi'!$J:$J,'ABS Resi Refi'!$A:$A,"&gt;"&amp;Segments!N$4,'ABS Resi Refi'!$A:$A,"&lt;="&amp;Segments!O$4)</f>
        <v>122.27199999999999</v>
      </c>
      <c r="P178" s="67"/>
      <c r="Q178" s="67"/>
      <c r="R178" s="67"/>
      <c r="S178" s="67"/>
      <c r="T178" s="67"/>
      <c r="U178" s="67"/>
      <c r="V178" s="67"/>
      <c r="W178" s="67"/>
      <c r="X178" s="67"/>
      <c r="Y178" s="97"/>
      <c r="Z178" s="97"/>
      <c r="AA178" s="97"/>
      <c r="AB178" s="97"/>
      <c r="AC178" s="97"/>
      <c r="AD178" s="97"/>
      <c r="AE178" s="97"/>
      <c r="AF178" s="97"/>
      <c r="AG178" s="97"/>
      <c r="AH178" s="97"/>
      <c r="AI178" s="97"/>
      <c r="AJ178" s="2"/>
      <c r="AK178" s="2"/>
      <c r="AL178" s="2"/>
      <c r="AM178" s="2"/>
    </row>
    <row r="179" spans="1:39" x14ac:dyDescent="0.25">
      <c r="A179" s="20"/>
      <c r="B179" s="33" t="s">
        <v>224</v>
      </c>
      <c r="C179" s="60" t="s">
        <v>219</v>
      </c>
      <c r="D179" s="32"/>
      <c r="E179" s="35"/>
      <c r="F179" s="35"/>
      <c r="G179" s="228">
        <f t="shared" ref="G179:N179" si="240">SUM(G177:G178)</f>
        <v>249.88</v>
      </c>
      <c r="H179" s="228">
        <f t="shared" si="240"/>
        <v>279.298</v>
      </c>
      <c r="I179" s="228">
        <f t="shared" si="240"/>
        <v>279.49</v>
      </c>
      <c r="J179" s="228">
        <f t="shared" si="240"/>
        <v>256.99899999999997</v>
      </c>
      <c r="K179" s="228">
        <f t="shared" si="240"/>
        <v>254.94800000000001</v>
      </c>
      <c r="L179" s="228">
        <f t="shared" si="240"/>
        <v>255.34399999999999</v>
      </c>
      <c r="M179" s="228">
        <f t="shared" si="240"/>
        <v>253.20600000000002</v>
      </c>
      <c r="N179" s="228">
        <f t="shared" si="240"/>
        <v>282.95100000000002</v>
      </c>
      <c r="O179" s="228">
        <f>SUM(O177:O178)</f>
        <v>295.899</v>
      </c>
      <c r="P179" s="228">
        <f>N179*(1+P180)</f>
        <v>339.5412</v>
      </c>
      <c r="Q179" s="228">
        <f t="shared" ref="Q179:AI179" si="241">O179*(1+Q180)</f>
        <v>340.28384999999997</v>
      </c>
      <c r="R179" s="228">
        <f t="shared" si="241"/>
        <v>373.49532000000005</v>
      </c>
      <c r="S179" s="228">
        <f t="shared" si="241"/>
        <v>374.31223499999999</v>
      </c>
      <c r="T179" s="228">
        <f t="shared" si="241"/>
        <v>395.90503920000009</v>
      </c>
      <c r="U179" s="228">
        <f t="shared" si="241"/>
        <v>396.7709691</v>
      </c>
      <c r="V179" s="228">
        <f t="shared" si="241"/>
        <v>419.65934155200011</v>
      </c>
      <c r="W179" s="228">
        <f t="shared" si="241"/>
        <v>420.57722724600001</v>
      </c>
      <c r="X179" s="228">
        <f t="shared" si="241"/>
        <v>444.83890204512016</v>
      </c>
      <c r="Y179" s="228">
        <f t="shared" si="241"/>
        <v>445.81186088076004</v>
      </c>
      <c r="Z179" s="228">
        <f t="shared" si="241"/>
        <v>471.52923616782738</v>
      </c>
      <c r="AA179" s="228">
        <f t="shared" si="241"/>
        <v>472.56057253360564</v>
      </c>
      <c r="AB179" s="228">
        <f t="shared" si="241"/>
        <v>499.82099033789706</v>
      </c>
      <c r="AC179" s="228">
        <f t="shared" si="241"/>
        <v>500.91420688562198</v>
      </c>
      <c r="AD179" s="228">
        <f t="shared" si="241"/>
        <v>529.81024975817093</v>
      </c>
      <c r="AE179" s="228">
        <f t="shared" si="241"/>
        <v>530.96905929875936</v>
      </c>
      <c r="AF179" s="228">
        <f t="shared" si="241"/>
        <v>561.59886474366124</v>
      </c>
      <c r="AG179" s="228">
        <f t="shared" si="241"/>
        <v>562.82720285668495</v>
      </c>
      <c r="AH179" s="228">
        <f t="shared" si="241"/>
        <v>595.29479662828089</v>
      </c>
      <c r="AI179" s="228">
        <f t="shared" si="241"/>
        <v>596.59683502808605</v>
      </c>
      <c r="AJ179" s="2"/>
      <c r="AK179" s="2"/>
      <c r="AL179" s="2"/>
      <c r="AM179" s="2"/>
    </row>
    <row r="180" spans="1:39" x14ac:dyDescent="0.25">
      <c r="A180" s="20"/>
      <c r="B180" s="33" t="s">
        <v>76</v>
      </c>
      <c r="C180" s="27" t="s">
        <v>77</v>
      </c>
      <c r="D180" s="29"/>
      <c r="E180" s="29"/>
      <c r="F180" s="29"/>
      <c r="G180" s="40"/>
      <c r="H180" s="226"/>
      <c r="I180" s="226">
        <f t="shared" ref="I180:N180" si="242">I179/G179-1</f>
        <v>0.11849687850168089</v>
      </c>
      <c r="J180" s="226">
        <f t="shared" si="242"/>
        <v>-7.983945463268638E-2</v>
      </c>
      <c r="K180" s="226">
        <f t="shared" si="242"/>
        <v>-8.7809939532720316E-2</v>
      </c>
      <c r="L180" s="226">
        <f t="shared" si="242"/>
        <v>-6.4397137732052911E-3</v>
      </c>
      <c r="M180" s="226">
        <f t="shared" si="242"/>
        <v>-6.8327658973593719E-3</v>
      </c>
      <c r="N180" s="226">
        <f t="shared" si="242"/>
        <v>0.10811689328905327</v>
      </c>
      <c r="O180" s="226">
        <f>O179/M179-1</f>
        <v>0.16860974858415667</v>
      </c>
      <c r="P180" s="251">
        <v>0.2</v>
      </c>
      <c r="Q180" s="251">
        <v>0.15</v>
      </c>
      <c r="R180" s="251">
        <v>0.1</v>
      </c>
      <c r="S180" s="251">
        <v>0.1</v>
      </c>
      <c r="T180" s="251">
        <v>0.06</v>
      </c>
      <c r="U180" s="251">
        <v>0.06</v>
      </c>
      <c r="V180" s="251">
        <v>0.06</v>
      </c>
      <c r="W180" s="251">
        <v>0.06</v>
      </c>
      <c r="X180" s="251">
        <v>0.06</v>
      </c>
      <c r="Y180" s="251">
        <v>0.06</v>
      </c>
      <c r="Z180" s="251">
        <v>0.06</v>
      </c>
      <c r="AA180" s="251">
        <v>0.06</v>
      </c>
      <c r="AB180" s="251">
        <v>0.06</v>
      </c>
      <c r="AC180" s="251">
        <v>0.06</v>
      </c>
      <c r="AD180" s="251">
        <v>0.06</v>
      </c>
      <c r="AE180" s="251">
        <v>0.06</v>
      </c>
      <c r="AF180" s="251">
        <v>0.06</v>
      </c>
      <c r="AG180" s="251">
        <v>0.06</v>
      </c>
      <c r="AH180" s="251">
        <v>0.06</v>
      </c>
      <c r="AI180" s="251">
        <v>0.06</v>
      </c>
      <c r="AJ180" s="29"/>
      <c r="AK180" s="2"/>
      <c r="AL180" s="2"/>
      <c r="AM180" s="2"/>
    </row>
    <row r="181" spans="1:39" x14ac:dyDescent="0.25">
      <c r="A181" s="20"/>
      <c r="B181" s="33" t="s">
        <v>225</v>
      </c>
      <c r="C181" s="27"/>
      <c r="D181" s="29"/>
      <c r="E181" s="29"/>
      <c r="F181" s="29"/>
      <c r="G181" s="40"/>
      <c r="H181" s="226">
        <f t="shared" ref="H181:N181" si="243">H163/H179/1000</f>
        <v>0.11018338835222594</v>
      </c>
      <c r="I181" s="226">
        <f t="shared" si="243"/>
        <v>0.10239722351425812</v>
      </c>
      <c r="J181" s="226">
        <f t="shared" si="243"/>
        <v>0.11127669757469874</v>
      </c>
      <c r="K181" s="226">
        <f t="shared" si="243"/>
        <v>9.8184727866074656E-2</v>
      </c>
      <c r="L181" s="226">
        <f t="shared" si="243"/>
        <v>0.11043925057961027</v>
      </c>
      <c r="M181" s="226">
        <f t="shared" si="243"/>
        <v>0.10655750653618001</v>
      </c>
      <c r="N181" s="226">
        <f t="shared" si="243"/>
        <v>0.11252831762389955</v>
      </c>
      <c r="O181" s="226">
        <f>O163/O179/1000</f>
        <v>0.10687430508382928</v>
      </c>
      <c r="P181" s="226">
        <f t="shared" ref="P181:AI181" si="244">P163/P179/1000</f>
        <v>0.11252831762389955</v>
      </c>
      <c r="Q181" s="226">
        <f t="shared" si="244"/>
        <v>0.10687430508382928</v>
      </c>
      <c r="R181" s="226">
        <f t="shared" si="244"/>
        <v>0.11252831762389955</v>
      </c>
      <c r="S181" s="226">
        <f t="shared" si="244"/>
        <v>0.10687430508382928</v>
      </c>
      <c r="T181" s="226">
        <f t="shared" si="244"/>
        <v>0.11252831762389955</v>
      </c>
      <c r="U181" s="226">
        <f t="shared" si="244"/>
        <v>0.10687430508382929</v>
      </c>
      <c r="V181" s="226">
        <f t="shared" si="244"/>
        <v>0.11252831762389953</v>
      </c>
      <c r="W181" s="226">
        <f t="shared" si="244"/>
        <v>0.10687430508382929</v>
      </c>
      <c r="X181" s="226">
        <f t="shared" si="244"/>
        <v>0.11252831762389953</v>
      </c>
      <c r="Y181" s="226">
        <f t="shared" si="244"/>
        <v>0.10687430508382928</v>
      </c>
      <c r="Z181" s="226">
        <f t="shared" si="244"/>
        <v>0.11252831762389955</v>
      </c>
      <c r="AA181" s="226">
        <f t="shared" si="244"/>
        <v>0.10687430508382929</v>
      </c>
      <c r="AB181" s="226">
        <f t="shared" si="244"/>
        <v>0.11252831762389955</v>
      </c>
      <c r="AC181" s="226">
        <f t="shared" si="244"/>
        <v>0.10687430508382931</v>
      </c>
      <c r="AD181" s="226">
        <f t="shared" si="244"/>
        <v>0.11252831762389955</v>
      </c>
      <c r="AE181" s="226">
        <f t="shared" si="244"/>
        <v>0.10687430508382929</v>
      </c>
      <c r="AF181" s="226">
        <f t="shared" si="244"/>
        <v>0.11252831762389953</v>
      </c>
      <c r="AG181" s="226">
        <f t="shared" si="244"/>
        <v>0.10687430508382929</v>
      </c>
      <c r="AH181" s="226">
        <f t="shared" si="244"/>
        <v>0.11252831762389953</v>
      </c>
      <c r="AI181" s="226">
        <f t="shared" si="244"/>
        <v>0.10687430508382929</v>
      </c>
      <c r="AJ181" s="2"/>
      <c r="AK181" s="2"/>
      <c r="AL181" s="2"/>
      <c r="AM181" s="2"/>
    </row>
    <row r="182" spans="1:39" x14ac:dyDescent="0.25">
      <c r="A182" s="313"/>
      <c r="B182" s="313"/>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75"/>
      <c r="AL182" s="75"/>
      <c r="AM182" s="10"/>
    </row>
    <row r="183" spans="1:39" x14ac:dyDescent="0.25">
      <c r="A183" s="20">
        <v>0</v>
      </c>
      <c r="B183" s="76" t="s">
        <v>100</v>
      </c>
      <c r="C183" s="77"/>
      <c r="D183" s="78"/>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2"/>
      <c r="AK183" s="2"/>
      <c r="AL183" s="2"/>
      <c r="AM183" s="2"/>
    </row>
    <row r="184" spans="1:39" x14ac:dyDescent="0.25">
      <c r="A184" s="313"/>
      <c r="B184" s="313"/>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75"/>
      <c r="AL184" s="75"/>
      <c r="AM184" s="10"/>
    </row>
    <row r="185" spans="1:39" x14ac:dyDescent="0.25">
      <c r="A185" s="20">
        <v>0</v>
      </c>
      <c r="B185" s="33" t="s">
        <v>199</v>
      </c>
      <c r="C185" s="60" t="s">
        <v>67</v>
      </c>
      <c r="D185" s="32"/>
      <c r="E185" s="35"/>
      <c r="F185" s="34"/>
      <c r="G185" s="35"/>
      <c r="H185" s="34"/>
      <c r="I185" s="35">
        <f t="shared" ref="I185:O188" si="245">I131</f>
        <v>39.881</v>
      </c>
      <c r="J185" s="35">
        <f t="shared" si="245"/>
        <v>36.1</v>
      </c>
      <c r="K185" s="35">
        <f t="shared" si="245"/>
        <v>29.6</v>
      </c>
      <c r="L185" s="35">
        <f t="shared" si="245"/>
        <v>24.4</v>
      </c>
      <c r="M185" s="35">
        <f t="shared" si="245"/>
        <v>23.300000000000004</v>
      </c>
      <c r="N185" s="35">
        <f t="shared" si="245"/>
        <v>26.8</v>
      </c>
      <c r="O185" s="35">
        <f t="shared" si="245"/>
        <v>31.3</v>
      </c>
      <c r="P185" s="236">
        <f>P190*P195/2</f>
        <v>35.229126000000008</v>
      </c>
      <c r="Q185" s="236">
        <f t="shared" ref="Q185:AI185" si="246">Q190*Q195/2</f>
        <v>37.695126000000002</v>
      </c>
      <c r="R185" s="236">
        <f t="shared" si="246"/>
        <v>39.574038600000002</v>
      </c>
      <c r="S185" s="236">
        <f t="shared" si="246"/>
        <v>41.464638600000001</v>
      </c>
      <c r="T185" s="236">
        <f t="shared" si="246"/>
        <v>42.704720915999999</v>
      </c>
      <c r="U185" s="236">
        <f t="shared" si="246"/>
        <v>43.952516916000008</v>
      </c>
      <c r="V185" s="236">
        <f t="shared" si="246"/>
        <v>45.267004170960007</v>
      </c>
      <c r="W185" s="236">
        <f t="shared" si="246"/>
        <v>46.589667930960012</v>
      </c>
      <c r="X185" s="236">
        <f t="shared" si="246"/>
        <v>47.983024421217607</v>
      </c>
      <c r="Y185" s="236">
        <f t="shared" si="246"/>
        <v>49.385048006817613</v>
      </c>
      <c r="Z185" s="236">
        <f t="shared" si="246"/>
        <v>50.862005886490664</v>
      </c>
      <c r="AA185" s="236">
        <f t="shared" si="246"/>
        <v>52.348150887226673</v>
      </c>
      <c r="AB185" s="236">
        <f t="shared" si="246"/>
        <v>53.913726239680102</v>
      </c>
      <c r="AC185" s="236">
        <f t="shared" si="246"/>
        <v>55.489039940460273</v>
      </c>
      <c r="AD185" s="236">
        <f t="shared" si="246"/>
        <v>57.148549814060914</v>
      </c>
      <c r="AE185" s="236">
        <f t="shared" si="246"/>
        <v>58.818382336887886</v>
      </c>
      <c r="AF185" s="236">
        <f t="shared" si="246"/>
        <v>60.57746280290457</v>
      </c>
      <c r="AG185" s="236">
        <f t="shared" si="246"/>
        <v>62.347485277101164</v>
      </c>
      <c r="AH185" s="236">
        <f t="shared" si="246"/>
        <v>64.212110571078853</v>
      </c>
      <c r="AI185" s="236">
        <f t="shared" si="246"/>
        <v>66.088334393727237</v>
      </c>
      <c r="AJ185" s="2"/>
      <c r="AK185" s="2"/>
      <c r="AL185" s="2"/>
      <c r="AM185" s="2"/>
    </row>
    <row r="186" spans="1:39" x14ac:dyDescent="0.25">
      <c r="A186" s="20">
        <v>0</v>
      </c>
      <c r="B186" s="33" t="s">
        <v>201</v>
      </c>
      <c r="C186" s="60" t="s">
        <v>67</v>
      </c>
      <c r="D186" s="32"/>
      <c r="E186" s="35"/>
      <c r="F186" s="34"/>
      <c r="G186" s="35"/>
      <c r="H186" s="34"/>
      <c r="I186" s="35">
        <f t="shared" si="245"/>
        <v>-21</v>
      </c>
      <c r="J186" s="35">
        <f t="shared" si="245"/>
        <v>-13</v>
      </c>
      <c r="K186" s="35">
        <f t="shared" si="245"/>
        <v>-12.5</v>
      </c>
      <c r="L186" s="35">
        <f t="shared" si="245"/>
        <v>-11.7</v>
      </c>
      <c r="M186" s="35">
        <f t="shared" si="245"/>
        <v>-11.400000000000002</v>
      </c>
      <c r="N186" s="35">
        <f t="shared" si="245"/>
        <v>-12.2</v>
      </c>
      <c r="O186" s="35">
        <f t="shared" si="245"/>
        <v>-12.8</v>
      </c>
      <c r="P186" s="236">
        <f>P$185/N$185*N186</f>
        <v>-16.037139447761195</v>
      </c>
      <c r="Q186" s="236">
        <f t="shared" ref="Q186:AI187" si="247">Q$185/O$185*O186</f>
        <v>-15.415259194888179</v>
      </c>
      <c r="R186" s="236">
        <f t="shared" si="247"/>
        <v>-18.015047422388058</v>
      </c>
      <c r="S186" s="236">
        <f t="shared" si="247"/>
        <v>-16.956785114376995</v>
      </c>
      <c r="T186" s="236">
        <f t="shared" si="247"/>
        <v>-19.440208775194026</v>
      </c>
      <c r="U186" s="236">
        <f t="shared" si="247"/>
        <v>-17.974192221239619</v>
      </c>
      <c r="V186" s="236">
        <f t="shared" si="247"/>
        <v>-20.606621301705673</v>
      </c>
      <c r="W186" s="236">
        <f t="shared" si="247"/>
        <v>-19.052643754513998</v>
      </c>
      <c r="X186" s="236">
        <f t="shared" si="247"/>
        <v>-21.843018579808014</v>
      </c>
      <c r="Y186" s="236">
        <f t="shared" si="247"/>
        <v>-20.195802379784837</v>
      </c>
      <c r="Z186" s="236">
        <f t="shared" si="247"/>
        <v>-23.153599694596497</v>
      </c>
      <c r="AA186" s="236">
        <f t="shared" si="247"/>
        <v>-21.407550522571928</v>
      </c>
      <c r="AB186" s="236">
        <f t="shared" si="247"/>
        <v>-24.542815676272287</v>
      </c>
      <c r="AC186" s="236">
        <f t="shared" si="247"/>
        <v>-22.692003553926245</v>
      </c>
      <c r="AD186" s="236">
        <f t="shared" si="247"/>
        <v>-26.015384616848625</v>
      </c>
      <c r="AE186" s="236">
        <f t="shared" si="247"/>
        <v>-24.053523767161817</v>
      </c>
      <c r="AF186" s="236">
        <f t="shared" si="247"/>
        <v>-27.576307693859544</v>
      </c>
      <c r="AG186" s="236">
        <f t="shared" si="247"/>
        <v>-25.496735193191526</v>
      </c>
      <c r="AH186" s="236">
        <f t="shared" si="247"/>
        <v>-29.230886155491117</v>
      </c>
      <c r="AI186" s="236">
        <f t="shared" si="247"/>
        <v>-27.026539304783018</v>
      </c>
      <c r="AJ186" s="2"/>
      <c r="AK186" s="2"/>
      <c r="AL186" s="2"/>
      <c r="AM186" s="2"/>
    </row>
    <row r="187" spans="1:39" x14ac:dyDescent="0.25">
      <c r="A187" s="20">
        <v>0</v>
      </c>
      <c r="B187" s="64" t="s">
        <v>203</v>
      </c>
      <c r="C187" s="65" t="s">
        <v>67</v>
      </c>
      <c r="D187" s="66"/>
      <c r="E187" s="67"/>
      <c r="F187" s="67"/>
      <c r="G187" s="67"/>
      <c r="H187" s="67"/>
      <c r="I187" s="67">
        <f t="shared" si="245"/>
        <v>-3</v>
      </c>
      <c r="J187" s="67">
        <f t="shared" si="245"/>
        <v>-1.5</v>
      </c>
      <c r="K187" s="67">
        <f t="shared" si="245"/>
        <v>-0.30000000000000426</v>
      </c>
      <c r="L187" s="67">
        <f t="shared" si="245"/>
        <v>-0.79999999999999716</v>
      </c>
      <c r="M187" s="67">
        <f t="shared" si="245"/>
        <v>-1.2000000000000028</v>
      </c>
      <c r="N187" s="67">
        <f t="shared" si="245"/>
        <v>-1.6000000000000014</v>
      </c>
      <c r="O187" s="67">
        <f t="shared" si="245"/>
        <v>-2</v>
      </c>
      <c r="P187" s="259">
        <f>P$185/N$185*N187</f>
        <v>-2.1032314029850769</v>
      </c>
      <c r="Q187" s="259">
        <f t="shared" si="247"/>
        <v>-2.408634249201278</v>
      </c>
      <c r="R187" s="259">
        <f t="shared" si="247"/>
        <v>-2.3626291701492557</v>
      </c>
      <c r="S187" s="259">
        <f t="shared" si="247"/>
        <v>-2.6494976741214056</v>
      </c>
      <c r="T187" s="259">
        <f t="shared" si="247"/>
        <v>-2.5495355770746286</v>
      </c>
      <c r="U187" s="259">
        <f t="shared" si="247"/>
        <v>-2.8084675345686905</v>
      </c>
      <c r="V187" s="259">
        <f t="shared" si="247"/>
        <v>-2.702507711699107</v>
      </c>
      <c r="W187" s="259">
        <f t="shared" si="247"/>
        <v>-2.976975586642812</v>
      </c>
      <c r="X187" s="259">
        <f t="shared" si="247"/>
        <v>-2.8646581744010535</v>
      </c>
      <c r="Y187" s="259">
        <f t="shared" si="247"/>
        <v>-3.1555941218413808</v>
      </c>
      <c r="Z187" s="259">
        <f t="shared" si="247"/>
        <v>-3.0365376648651168</v>
      </c>
      <c r="AA187" s="259">
        <f t="shared" si="247"/>
        <v>-3.3449297691518636</v>
      </c>
      <c r="AB187" s="259">
        <f t="shared" si="247"/>
        <v>-3.218729924757024</v>
      </c>
      <c r="AC187" s="259">
        <f t="shared" si="247"/>
        <v>-3.5456255553009757</v>
      </c>
      <c r="AD187" s="259">
        <f t="shared" si="247"/>
        <v>-3.4118537202424455</v>
      </c>
      <c r="AE187" s="259">
        <f t="shared" si="247"/>
        <v>-3.7583630886190336</v>
      </c>
      <c r="AF187" s="259">
        <f t="shared" si="247"/>
        <v>-3.6165649434569924</v>
      </c>
      <c r="AG187" s="259">
        <f t="shared" si="247"/>
        <v>-3.9838648739361759</v>
      </c>
      <c r="AH187" s="259">
        <f t="shared" si="247"/>
        <v>-3.8335588400644123</v>
      </c>
      <c r="AI187" s="259">
        <f t="shared" si="247"/>
        <v>-4.2228967663723465</v>
      </c>
      <c r="AJ187" s="2"/>
      <c r="AK187" s="2"/>
      <c r="AL187" s="2"/>
      <c r="AM187" s="2"/>
    </row>
    <row r="188" spans="1:39" x14ac:dyDescent="0.25">
      <c r="A188" s="20" t="s">
        <v>226</v>
      </c>
      <c r="B188" s="33" t="s">
        <v>87</v>
      </c>
      <c r="C188" s="60" t="s">
        <v>67</v>
      </c>
      <c r="D188" s="32"/>
      <c r="E188" s="35"/>
      <c r="F188" s="35"/>
      <c r="G188" s="35"/>
      <c r="H188" s="35"/>
      <c r="I188" s="35">
        <f t="shared" si="245"/>
        <v>41</v>
      </c>
      <c r="J188" s="35">
        <f t="shared" si="245"/>
        <v>21.6</v>
      </c>
      <c r="K188" s="35">
        <f t="shared" si="245"/>
        <v>16.799999999999997</v>
      </c>
      <c r="L188" s="35">
        <f t="shared" si="245"/>
        <v>11.9</v>
      </c>
      <c r="M188" s="35">
        <f t="shared" si="245"/>
        <v>10.700000000000001</v>
      </c>
      <c r="N188" s="35">
        <f t="shared" si="245"/>
        <v>13</v>
      </c>
      <c r="O188" s="35">
        <f t="shared" si="245"/>
        <v>16.5</v>
      </c>
      <c r="P188" s="236">
        <f>SUM(P185:P187)</f>
        <v>17.088755149253736</v>
      </c>
      <c r="Q188" s="236">
        <f t="shared" ref="Q188:AI188" si="248">SUM(Q185:Q187)</f>
        <v>19.871232555910545</v>
      </c>
      <c r="R188" s="236">
        <f t="shared" si="248"/>
        <v>19.196362007462689</v>
      </c>
      <c r="S188" s="236">
        <f t="shared" si="248"/>
        <v>21.8583558115016</v>
      </c>
      <c r="T188" s="236">
        <f t="shared" si="248"/>
        <v>20.714976563731344</v>
      </c>
      <c r="U188" s="236">
        <f t="shared" si="248"/>
        <v>23.169857160191697</v>
      </c>
      <c r="V188" s="236">
        <f t="shared" si="248"/>
        <v>21.957875157555229</v>
      </c>
      <c r="W188" s="236">
        <f t="shared" si="248"/>
        <v>24.560048589803202</v>
      </c>
      <c r="X188" s="236">
        <f t="shared" si="248"/>
        <v>23.275347667008539</v>
      </c>
      <c r="Y188" s="236">
        <f t="shared" si="248"/>
        <v>26.033651505191393</v>
      </c>
      <c r="Z188" s="236">
        <f t="shared" si="248"/>
        <v>24.671868527029048</v>
      </c>
      <c r="AA188" s="236">
        <f t="shared" si="248"/>
        <v>27.595670595502881</v>
      </c>
      <c r="AB188" s="236">
        <f t="shared" si="248"/>
        <v>26.15218063865079</v>
      </c>
      <c r="AC188" s="236">
        <f t="shared" si="248"/>
        <v>29.251410831233056</v>
      </c>
      <c r="AD188" s="236">
        <f t="shared" si="248"/>
        <v>27.721311476969845</v>
      </c>
      <c r="AE188" s="236">
        <f t="shared" si="248"/>
        <v>31.006495481107038</v>
      </c>
      <c r="AF188" s="236">
        <f t="shared" si="248"/>
        <v>29.384590165588037</v>
      </c>
      <c r="AG188" s="236">
        <f t="shared" si="248"/>
        <v>32.866885209973461</v>
      </c>
      <c r="AH188" s="236">
        <f t="shared" si="248"/>
        <v>31.14766557552332</v>
      </c>
      <c r="AI188" s="236">
        <f t="shared" si="248"/>
        <v>34.838898322571879</v>
      </c>
      <c r="AJ188" s="2"/>
      <c r="AK188" s="2"/>
      <c r="AL188" s="2"/>
      <c r="AM188" s="2"/>
    </row>
    <row r="189" spans="1:39" x14ac:dyDescent="0.25">
      <c r="A189" s="307">
        <v>0</v>
      </c>
      <c r="B189" s="308"/>
      <c r="C189" s="60"/>
      <c r="D189" s="32"/>
      <c r="E189" s="35"/>
      <c r="F189" s="34"/>
      <c r="G189" s="35"/>
      <c r="H189" s="34"/>
      <c r="I189" s="35"/>
      <c r="J189" s="34"/>
      <c r="K189" s="35"/>
      <c r="L189" s="34"/>
      <c r="M189" s="35"/>
      <c r="N189" s="34"/>
      <c r="O189" s="35"/>
      <c r="P189" s="35"/>
      <c r="Q189" s="35"/>
      <c r="R189" s="35"/>
      <c r="S189" s="35"/>
      <c r="T189" s="35"/>
      <c r="U189" s="35"/>
      <c r="V189" s="35"/>
      <c r="W189" s="35"/>
      <c r="X189" s="35"/>
      <c r="Y189" s="35"/>
      <c r="Z189" s="35"/>
      <c r="AA189" s="35"/>
      <c r="AB189" s="35"/>
      <c r="AC189" s="35"/>
      <c r="AD189" s="35"/>
      <c r="AE189" s="35"/>
      <c r="AF189" s="35"/>
      <c r="AG189" s="35"/>
      <c r="AH189" s="35"/>
      <c r="AI189" s="35"/>
      <c r="AJ189" s="2"/>
      <c r="AK189" s="2"/>
      <c r="AL189" s="2"/>
      <c r="AM189" s="2"/>
    </row>
    <row r="190" spans="1:39" x14ac:dyDescent="0.25">
      <c r="A190" s="20">
        <v>0</v>
      </c>
      <c r="B190" s="33" t="s">
        <v>206</v>
      </c>
      <c r="C190" s="60" t="s">
        <v>67</v>
      </c>
      <c r="D190" s="32"/>
      <c r="E190" s="35"/>
      <c r="F190" s="34"/>
      <c r="G190" s="62"/>
      <c r="H190" s="62"/>
      <c r="I190" s="62">
        <f t="shared" ref="I190:O191" si="249">I136</f>
        <v>4407</v>
      </c>
      <c r="J190" s="62">
        <f t="shared" si="249"/>
        <v>5000</v>
      </c>
      <c r="K190" s="62">
        <f t="shared" si="249"/>
        <v>4700</v>
      </c>
      <c r="L190" s="62">
        <f t="shared" si="249"/>
        <v>4200</v>
      </c>
      <c r="M190" s="62">
        <f t="shared" si="249"/>
        <v>4275.5</v>
      </c>
      <c r="N190" s="62">
        <f t="shared" si="249"/>
        <v>4800</v>
      </c>
      <c r="O190" s="62">
        <f t="shared" si="249"/>
        <v>5269.5</v>
      </c>
      <c r="P190" s="62">
        <f>AVERAGE(O191:P191)</f>
        <v>5871.5210000000006</v>
      </c>
      <c r="Q190" s="62">
        <f t="shared" ref="Q190:AI190" si="250">AVERAGE(P191:Q191)</f>
        <v>6282.5209999999997</v>
      </c>
      <c r="R190" s="62">
        <f t="shared" si="250"/>
        <v>6595.6731</v>
      </c>
      <c r="S190" s="62">
        <f t="shared" si="250"/>
        <v>6910.7731000000003</v>
      </c>
      <c r="T190" s="62">
        <f t="shared" si="250"/>
        <v>7117.4534860000003</v>
      </c>
      <c r="U190" s="62">
        <f t="shared" si="250"/>
        <v>7325.4194860000007</v>
      </c>
      <c r="V190" s="62">
        <f t="shared" si="250"/>
        <v>7544.5006951600008</v>
      </c>
      <c r="W190" s="62">
        <f t="shared" si="250"/>
        <v>7764.9446551600013</v>
      </c>
      <c r="X190" s="62">
        <f t="shared" si="250"/>
        <v>7997.1707368696007</v>
      </c>
      <c r="Y190" s="62">
        <f t="shared" si="250"/>
        <v>8230.8413344696019</v>
      </c>
      <c r="Z190" s="62">
        <f t="shared" si="250"/>
        <v>8477.0009810817774</v>
      </c>
      <c r="AA190" s="62">
        <f t="shared" si="250"/>
        <v>8724.6918145377786</v>
      </c>
      <c r="AB190" s="62">
        <f t="shared" si="250"/>
        <v>8985.6210399466836</v>
      </c>
      <c r="AC190" s="62">
        <f t="shared" si="250"/>
        <v>9248.1733234100448</v>
      </c>
      <c r="AD190" s="62">
        <f t="shared" si="250"/>
        <v>9524.7583023434854</v>
      </c>
      <c r="AE190" s="62">
        <f t="shared" si="250"/>
        <v>9803.0637228146479</v>
      </c>
      <c r="AF190" s="62">
        <f t="shared" si="250"/>
        <v>10096.243800484095</v>
      </c>
      <c r="AG190" s="62">
        <f t="shared" si="250"/>
        <v>10391.247546183527</v>
      </c>
      <c r="AH190" s="62">
        <f t="shared" si="250"/>
        <v>10702.018428513142</v>
      </c>
      <c r="AI190" s="62">
        <f t="shared" si="250"/>
        <v>11014.722398954538</v>
      </c>
      <c r="AJ190" s="2"/>
      <c r="AK190" s="2"/>
      <c r="AL190" s="2"/>
      <c r="AM190" s="2"/>
    </row>
    <row r="191" spans="1:39" x14ac:dyDescent="0.25">
      <c r="A191" s="20" t="s">
        <v>227</v>
      </c>
      <c r="B191" s="33" t="s">
        <v>208</v>
      </c>
      <c r="C191" s="60" t="s">
        <v>67</v>
      </c>
      <c r="D191" s="32"/>
      <c r="E191" s="35"/>
      <c r="F191" s="34"/>
      <c r="G191" s="62"/>
      <c r="H191" s="62">
        <f>H137</f>
        <v>4028</v>
      </c>
      <c r="I191" s="62">
        <f t="shared" si="249"/>
        <v>4786</v>
      </c>
      <c r="J191" s="62">
        <f t="shared" si="249"/>
        <v>4925</v>
      </c>
      <c r="K191" s="62">
        <f t="shared" si="249"/>
        <v>4475</v>
      </c>
      <c r="L191" s="62">
        <f t="shared" si="249"/>
        <v>4109</v>
      </c>
      <c r="M191" s="62">
        <f t="shared" si="249"/>
        <v>4442</v>
      </c>
      <c r="N191" s="62">
        <f t="shared" si="249"/>
        <v>5059</v>
      </c>
      <c r="O191" s="62">
        <f t="shared" si="249"/>
        <v>5480</v>
      </c>
      <c r="P191" s="62">
        <f>N191*(1+P192)</f>
        <v>6263.0420000000004</v>
      </c>
      <c r="Q191" s="62">
        <f t="shared" ref="Q191:AI191" si="251">O191*(1+Q192)</f>
        <v>6301.9999999999991</v>
      </c>
      <c r="R191" s="62">
        <f t="shared" si="251"/>
        <v>6889.3462000000009</v>
      </c>
      <c r="S191" s="62">
        <f t="shared" si="251"/>
        <v>6932.2</v>
      </c>
      <c r="T191" s="62">
        <f t="shared" si="251"/>
        <v>7302.7069720000009</v>
      </c>
      <c r="U191" s="62">
        <f t="shared" si="251"/>
        <v>7348.1320000000005</v>
      </c>
      <c r="V191" s="62">
        <f t="shared" si="251"/>
        <v>7740.869390320001</v>
      </c>
      <c r="W191" s="62">
        <f t="shared" si="251"/>
        <v>7789.0199200000006</v>
      </c>
      <c r="X191" s="62">
        <f t="shared" si="251"/>
        <v>8205.3215537392007</v>
      </c>
      <c r="Y191" s="62">
        <f t="shared" si="251"/>
        <v>8256.3611152000012</v>
      </c>
      <c r="Z191" s="62">
        <f t="shared" si="251"/>
        <v>8697.6408469635535</v>
      </c>
      <c r="AA191" s="62">
        <f t="shared" si="251"/>
        <v>8751.7427821120018</v>
      </c>
      <c r="AB191" s="62">
        <f t="shared" si="251"/>
        <v>9219.4992977813672</v>
      </c>
      <c r="AC191" s="62">
        <f t="shared" si="251"/>
        <v>9276.8473490387223</v>
      </c>
      <c r="AD191" s="62">
        <f t="shared" si="251"/>
        <v>9772.6692556482503</v>
      </c>
      <c r="AE191" s="62">
        <f t="shared" si="251"/>
        <v>9833.4581899810455</v>
      </c>
      <c r="AF191" s="62">
        <f t="shared" si="251"/>
        <v>10359.029410987147</v>
      </c>
      <c r="AG191" s="62">
        <f t="shared" si="251"/>
        <v>10423.465681379908</v>
      </c>
      <c r="AH191" s="62">
        <f t="shared" si="251"/>
        <v>10980.571175646375</v>
      </c>
      <c r="AI191" s="62">
        <f t="shared" si="251"/>
        <v>11048.873622262703</v>
      </c>
      <c r="AJ191" s="2"/>
      <c r="AK191" s="2"/>
      <c r="AL191" s="2"/>
      <c r="AM191" s="2"/>
    </row>
    <row r="192" spans="1:39" x14ac:dyDescent="0.25">
      <c r="A192" s="20"/>
      <c r="B192" s="33" t="s">
        <v>76</v>
      </c>
      <c r="C192" s="27" t="s">
        <v>77</v>
      </c>
      <c r="D192" s="29"/>
      <c r="E192" s="29"/>
      <c r="F192" s="29"/>
      <c r="G192" s="226"/>
      <c r="H192" s="226"/>
      <c r="I192" s="226"/>
      <c r="J192" s="226">
        <f t="shared" ref="J192:N192" si="252">J191/H191-1</f>
        <v>0.22269116186693139</v>
      </c>
      <c r="K192" s="226">
        <f t="shared" si="252"/>
        <v>-6.4981195152528204E-2</v>
      </c>
      <c r="L192" s="226">
        <f t="shared" si="252"/>
        <v>-0.16568527918781728</v>
      </c>
      <c r="M192" s="226">
        <f t="shared" si="252"/>
        <v>-7.3743016759776348E-3</v>
      </c>
      <c r="N192" s="226">
        <f t="shared" si="252"/>
        <v>0.23119980530542716</v>
      </c>
      <c r="O192" s="226">
        <f>O191/M191-1</f>
        <v>0.23367852318775317</v>
      </c>
      <c r="P192" s="52">
        <f>0.7*0.34</f>
        <v>0.23799999999999999</v>
      </c>
      <c r="Q192" s="52">
        <v>0.15</v>
      </c>
      <c r="R192" s="52">
        <v>0.1</v>
      </c>
      <c r="S192" s="52">
        <v>0.1</v>
      </c>
      <c r="T192" s="52">
        <v>0.06</v>
      </c>
      <c r="U192" s="52">
        <v>0.06</v>
      </c>
      <c r="V192" s="52">
        <v>0.06</v>
      </c>
      <c r="W192" s="52">
        <v>0.06</v>
      </c>
      <c r="X192" s="52">
        <v>0.06</v>
      </c>
      <c r="Y192" s="52">
        <v>0.06</v>
      </c>
      <c r="Z192" s="52">
        <v>0.06</v>
      </c>
      <c r="AA192" s="52">
        <v>0.06</v>
      </c>
      <c r="AB192" s="52">
        <v>0.06</v>
      </c>
      <c r="AC192" s="52">
        <v>0.06</v>
      </c>
      <c r="AD192" s="52">
        <v>0.06</v>
      </c>
      <c r="AE192" s="52">
        <v>0.06</v>
      </c>
      <c r="AF192" s="52">
        <v>0.06</v>
      </c>
      <c r="AG192" s="52">
        <v>0.06</v>
      </c>
      <c r="AH192" s="52">
        <v>0.06</v>
      </c>
      <c r="AI192" s="52">
        <v>0.06</v>
      </c>
      <c r="AJ192" s="29"/>
      <c r="AK192" s="2"/>
      <c r="AL192" s="2"/>
      <c r="AM192" s="2"/>
    </row>
    <row r="193" spans="1:39" x14ac:dyDescent="0.25">
      <c r="A193" s="307"/>
      <c r="B193" s="308"/>
      <c r="C193" s="60"/>
      <c r="D193" s="32"/>
      <c r="E193" s="35"/>
      <c r="F193" s="34"/>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2"/>
      <c r="AK193" s="2"/>
      <c r="AL193" s="2"/>
      <c r="AM193" s="2"/>
    </row>
    <row r="194" spans="1:39" x14ac:dyDescent="0.25">
      <c r="A194" s="20" t="s">
        <v>228</v>
      </c>
      <c r="B194" s="33" t="s">
        <v>210</v>
      </c>
      <c r="C194" s="60" t="s">
        <v>67</v>
      </c>
      <c r="D194" s="32"/>
      <c r="E194" s="62"/>
      <c r="F194" s="62"/>
      <c r="G194" s="62"/>
      <c r="H194" s="62">
        <f t="shared" ref="H194:O194" si="253">H138</f>
        <v>1302</v>
      </c>
      <c r="I194" s="62">
        <f t="shared" si="253"/>
        <v>1418</v>
      </c>
      <c r="J194" s="62">
        <f t="shared" si="253"/>
        <v>1065</v>
      </c>
      <c r="K194" s="62">
        <f t="shared" si="253"/>
        <v>516</v>
      </c>
      <c r="L194" s="62">
        <f t="shared" si="253"/>
        <v>582</v>
      </c>
      <c r="M194" s="62">
        <f t="shared" si="253"/>
        <v>1055</v>
      </c>
      <c r="N194" s="62">
        <f t="shared" si="253"/>
        <v>1437</v>
      </c>
      <c r="O194" s="62">
        <f t="shared" si="253"/>
        <v>1270</v>
      </c>
      <c r="P194" s="35"/>
      <c r="Q194" s="35"/>
      <c r="R194" s="35"/>
      <c r="S194" s="35"/>
      <c r="T194" s="35"/>
      <c r="U194" s="35"/>
      <c r="V194" s="35"/>
      <c r="W194" s="35"/>
      <c r="X194" s="35"/>
      <c r="Y194" s="35"/>
      <c r="Z194" s="35"/>
      <c r="AA194" s="35"/>
      <c r="AB194" s="35"/>
      <c r="AC194" s="35"/>
      <c r="AD194" s="35"/>
      <c r="AE194" s="35"/>
      <c r="AF194" s="35"/>
      <c r="AG194" s="35"/>
      <c r="AH194" s="35"/>
      <c r="AI194" s="35"/>
      <c r="AJ194" s="2"/>
      <c r="AK194" s="2"/>
      <c r="AL194" s="2"/>
      <c r="AM194" s="2"/>
    </row>
    <row r="195" spans="1:39" x14ac:dyDescent="0.25">
      <c r="A195" s="20">
        <v>0</v>
      </c>
      <c r="B195" s="33" t="s">
        <v>212</v>
      </c>
      <c r="C195" s="60" t="s">
        <v>213</v>
      </c>
      <c r="D195" s="32"/>
      <c r="E195" s="232">
        <f>E139</f>
        <v>1.5699999999999999E-2</v>
      </c>
      <c r="F195" s="232"/>
      <c r="G195" s="232">
        <f t="shared" ref="G195:M195" si="254">G139</f>
        <v>1.78E-2</v>
      </c>
      <c r="H195" s="232">
        <f t="shared" si="254"/>
        <v>1.72E-2</v>
      </c>
      <c r="I195" s="232">
        <f t="shared" si="254"/>
        <v>1.809893351486272E-2</v>
      </c>
      <c r="J195" s="232">
        <f t="shared" si="254"/>
        <v>1.444E-2</v>
      </c>
      <c r="K195" s="232">
        <f t="shared" si="254"/>
        <v>1.2595744680851064E-2</v>
      </c>
      <c r="L195" s="232">
        <f t="shared" si="254"/>
        <v>1.1619047619047619E-2</v>
      </c>
      <c r="M195" s="232">
        <f t="shared" si="254"/>
        <v>1.0899310022219626E-2</v>
      </c>
      <c r="N195" s="232">
        <f>N185/N190*2</f>
        <v>1.1166666666666667E-2</v>
      </c>
      <c r="O195" s="232">
        <f>O185/O190*2</f>
        <v>1.1879684979599583E-2</v>
      </c>
      <c r="P195" s="83">
        <v>1.2E-2</v>
      </c>
      <c r="Q195" s="83">
        <v>1.2E-2</v>
      </c>
      <c r="R195" s="83">
        <f>P195</f>
        <v>1.2E-2</v>
      </c>
      <c r="S195" s="83">
        <f t="shared" ref="S195:AI195" si="255">Q195</f>
        <v>1.2E-2</v>
      </c>
      <c r="T195" s="83">
        <f t="shared" si="255"/>
        <v>1.2E-2</v>
      </c>
      <c r="U195" s="83">
        <f t="shared" si="255"/>
        <v>1.2E-2</v>
      </c>
      <c r="V195" s="83">
        <f t="shared" si="255"/>
        <v>1.2E-2</v>
      </c>
      <c r="W195" s="83">
        <f t="shared" si="255"/>
        <v>1.2E-2</v>
      </c>
      <c r="X195" s="83">
        <f t="shared" si="255"/>
        <v>1.2E-2</v>
      </c>
      <c r="Y195" s="83">
        <f t="shared" si="255"/>
        <v>1.2E-2</v>
      </c>
      <c r="Z195" s="83">
        <f t="shared" si="255"/>
        <v>1.2E-2</v>
      </c>
      <c r="AA195" s="83">
        <f t="shared" si="255"/>
        <v>1.2E-2</v>
      </c>
      <c r="AB195" s="83">
        <f t="shared" si="255"/>
        <v>1.2E-2</v>
      </c>
      <c r="AC195" s="83">
        <f t="shared" si="255"/>
        <v>1.2E-2</v>
      </c>
      <c r="AD195" s="83">
        <f t="shared" si="255"/>
        <v>1.2E-2</v>
      </c>
      <c r="AE195" s="83">
        <f t="shared" si="255"/>
        <v>1.2E-2</v>
      </c>
      <c r="AF195" s="83">
        <f t="shared" si="255"/>
        <v>1.2E-2</v>
      </c>
      <c r="AG195" s="83">
        <f t="shared" si="255"/>
        <v>1.2E-2</v>
      </c>
      <c r="AH195" s="83">
        <f t="shared" si="255"/>
        <v>1.2E-2</v>
      </c>
      <c r="AI195" s="83">
        <f t="shared" si="255"/>
        <v>1.2E-2</v>
      </c>
      <c r="AJ195" s="2"/>
      <c r="AK195" s="2"/>
      <c r="AL195" s="2"/>
      <c r="AM195" s="2"/>
    </row>
  </sheetData>
  <mergeCells count="38">
    <mergeCell ref="A189:B189"/>
    <mergeCell ref="A193:B193"/>
    <mergeCell ref="A156:B156"/>
    <mergeCell ref="A161:B161"/>
    <mergeCell ref="A168:B168"/>
    <mergeCell ref="A175:B175"/>
    <mergeCell ref="A182:B182"/>
    <mergeCell ref="A184:B184"/>
    <mergeCell ref="A148:B148"/>
    <mergeCell ref="A101:B101"/>
    <mergeCell ref="A109:B109"/>
    <mergeCell ref="A112:B112"/>
    <mergeCell ref="A121:B121"/>
    <mergeCell ref="A126:B126"/>
    <mergeCell ref="A128:B128"/>
    <mergeCell ref="A130:B130"/>
    <mergeCell ref="A135:B135"/>
    <mergeCell ref="A140:B140"/>
    <mergeCell ref="A142:B142"/>
    <mergeCell ref="A146:B146"/>
    <mergeCell ref="A99:B99"/>
    <mergeCell ref="A31:B31"/>
    <mergeCell ref="A37:B37"/>
    <mergeCell ref="A45:B45"/>
    <mergeCell ref="A54:B54"/>
    <mergeCell ref="A59:B59"/>
    <mergeCell ref="A66:B66"/>
    <mergeCell ref="A71:B71"/>
    <mergeCell ref="A77:B77"/>
    <mergeCell ref="A83:B83"/>
    <mergeCell ref="A87:B87"/>
    <mergeCell ref="A97:B97"/>
    <mergeCell ref="A23:B23"/>
    <mergeCell ref="A2:B2"/>
    <mergeCell ref="A3:B3"/>
    <mergeCell ref="A5:B5"/>
    <mergeCell ref="A12:B12"/>
    <mergeCell ref="A18:B18"/>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88FB-8D83-486D-9C6C-4B819ACBA160}">
  <dimension ref="D2:Z24"/>
  <sheetViews>
    <sheetView workbookViewId="0">
      <selection activeCell="E4" sqref="E4"/>
    </sheetView>
  </sheetViews>
  <sheetFormatPr defaultRowHeight="15" x14ac:dyDescent="0.25"/>
  <cols>
    <col min="4" max="4" width="20.5703125" customWidth="1"/>
  </cols>
  <sheetData>
    <row r="2" spans="4:26" x14ac:dyDescent="0.25">
      <c r="D2" t="s">
        <v>118</v>
      </c>
      <c r="E2">
        <f>Segments!P34</f>
        <v>0.42499999999999999</v>
      </c>
      <c r="J2" s="265"/>
    </row>
    <row r="3" spans="4:26" x14ac:dyDescent="0.25">
      <c r="D3" t="s">
        <v>479</v>
      </c>
      <c r="E3">
        <v>12</v>
      </c>
      <c r="J3" s="265"/>
    </row>
    <row r="4" spans="4:26" x14ac:dyDescent="0.25">
      <c r="D4" t="s">
        <v>480</v>
      </c>
      <c r="E4" s="268">
        <f>Segments!P65</f>
        <v>-9.6737170027873416E-3</v>
      </c>
    </row>
    <row r="5" spans="4:26" x14ac:dyDescent="0.25">
      <c r="D5" t="s">
        <v>437</v>
      </c>
      <c r="E5" s="267">
        <f>Segments!O47/Segments!O7</f>
        <v>8.2676278441090351E-2</v>
      </c>
    </row>
    <row r="6" spans="4:26" x14ac:dyDescent="0.25">
      <c r="D6" t="s">
        <v>482</v>
      </c>
      <c r="E6" s="270">
        <v>0.3</v>
      </c>
    </row>
    <row r="7" spans="4:26" x14ac:dyDescent="0.25">
      <c r="D7" t="s">
        <v>484</v>
      </c>
      <c r="E7" s="265">
        <v>0.1</v>
      </c>
    </row>
    <row r="8" spans="4:26" x14ac:dyDescent="0.25">
      <c r="D8" t="s">
        <v>487</v>
      </c>
      <c r="E8" s="270">
        <v>0.06</v>
      </c>
    </row>
    <row r="9" spans="4:26" x14ac:dyDescent="0.25">
      <c r="D9" t="s">
        <v>488</v>
      </c>
      <c r="E9" s="268">
        <v>2.5000000000000001E-2</v>
      </c>
    </row>
    <row r="11" spans="4:26" x14ac:dyDescent="0.25">
      <c r="E11">
        <v>0</v>
      </c>
      <c r="F11">
        <v>1</v>
      </c>
      <c r="G11">
        <v>2</v>
      </c>
      <c r="H11">
        <v>3</v>
      </c>
      <c r="I11">
        <v>4</v>
      </c>
      <c r="J11">
        <v>5</v>
      </c>
      <c r="K11">
        <v>6</v>
      </c>
      <c r="L11">
        <v>7</v>
      </c>
      <c r="M11">
        <v>8</v>
      </c>
      <c r="N11">
        <v>9</v>
      </c>
      <c r="O11">
        <v>10</v>
      </c>
      <c r="P11">
        <v>11</v>
      </c>
      <c r="Q11">
        <v>12</v>
      </c>
      <c r="R11">
        <v>13</v>
      </c>
      <c r="S11">
        <v>14</v>
      </c>
      <c r="T11">
        <v>15</v>
      </c>
      <c r="U11">
        <v>16</v>
      </c>
      <c r="V11">
        <v>17</v>
      </c>
      <c r="W11">
        <v>18</v>
      </c>
      <c r="X11">
        <v>19</v>
      </c>
      <c r="Y11">
        <v>20</v>
      </c>
      <c r="Z11" t="s">
        <v>483</v>
      </c>
    </row>
    <row r="12" spans="4:26" x14ac:dyDescent="0.25">
      <c r="D12" t="s">
        <v>481</v>
      </c>
      <c r="F12" s="269">
        <f>F13/$E$5</f>
        <v>5.1405313351498627</v>
      </c>
      <c r="G12" s="269">
        <f t="shared" ref="G12:Y12" si="0">G13/$E$5</f>
        <v>5.4489632152588543</v>
      </c>
      <c r="H12" s="269">
        <f t="shared" si="0"/>
        <v>5.7759010081743858</v>
      </c>
      <c r="I12" s="269">
        <f t="shared" si="0"/>
        <v>6.1224550686648493</v>
      </c>
      <c r="J12" s="269">
        <f t="shared" si="0"/>
        <v>6.48980237278474</v>
      </c>
      <c r="K12" s="269">
        <f t="shared" si="0"/>
        <v>6.8791905151518247</v>
      </c>
      <c r="L12" s="269">
        <f t="shared" si="0"/>
        <v>7.2919419460609349</v>
      </c>
      <c r="M12" s="269">
        <f t="shared" si="0"/>
        <v>7.7294584628245921</v>
      </c>
      <c r="N12" s="269">
        <f t="shared" si="0"/>
        <v>8.1932259705940673</v>
      </c>
      <c r="O12" s="269">
        <f t="shared" si="0"/>
        <v>8.6848195288297116</v>
      </c>
      <c r="P12" s="269">
        <f t="shared" si="0"/>
        <v>9.2059087005594957</v>
      </c>
      <c r="Q12" s="269">
        <f t="shared" si="0"/>
        <v>9.7582632225930652</v>
      </c>
      <c r="R12" s="269">
        <f t="shared" si="0"/>
        <v>10.343759015948649</v>
      </c>
      <c r="S12" s="269">
        <f t="shared" si="0"/>
        <v>10.96438455690557</v>
      </c>
      <c r="T12" s="269">
        <f t="shared" si="0"/>
        <v>11.622247630319904</v>
      </c>
      <c r="U12" s="269">
        <f t="shared" si="0"/>
        <v>12.319582488139099</v>
      </c>
      <c r="V12" s="269">
        <f t="shared" si="0"/>
        <v>13.058757437427447</v>
      </c>
      <c r="W12" s="269">
        <f t="shared" si="0"/>
        <v>13.842282883673095</v>
      </c>
      <c r="X12" s="269">
        <f t="shared" si="0"/>
        <v>14.672819856693483</v>
      </c>
      <c r="Y12" s="269">
        <f t="shared" si="0"/>
        <v>15.553189048095092</v>
      </c>
    </row>
    <row r="13" spans="4:26" x14ac:dyDescent="0.25">
      <c r="D13" t="s">
        <v>118</v>
      </c>
      <c r="F13" s="269">
        <f>$E$2</f>
        <v>0.42499999999999999</v>
      </c>
      <c r="G13" s="269">
        <f>F13*(1+$E$8)</f>
        <v>0.45050000000000001</v>
      </c>
      <c r="H13" s="269">
        <f t="shared" ref="H13:Y13" si="1">G13*(1+$E$8)</f>
        <v>0.47753000000000001</v>
      </c>
      <c r="I13" s="269">
        <f t="shared" si="1"/>
        <v>0.50618180000000002</v>
      </c>
      <c r="J13" s="269">
        <f t="shared" si="1"/>
        <v>0.53655270799999999</v>
      </c>
      <c r="K13" s="269">
        <f t="shared" si="1"/>
        <v>0.56874587048000003</v>
      </c>
      <c r="L13" s="269">
        <f t="shared" si="1"/>
        <v>0.6028706227088001</v>
      </c>
      <c r="M13" s="269">
        <f t="shared" si="1"/>
        <v>0.63904286007132816</v>
      </c>
      <c r="N13" s="269">
        <f t="shared" si="1"/>
        <v>0.67738543167560783</v>
      </c>
      <c r="O13" s="269">
        <f t="shared" si="1"/>
        <v>0.71802855757614437</v>
      </c>
      <c r="P13" s="269">
        <f t="shared" si="1"/>
        <v>0.76111027103071305</v>
      </c>
      <c r="Q13" s="269">
        <f t="shared" si="1"/>
        <v>0.80677688729255592</v>
      </c>
      <c r="R13" s="269">
        <f t="shared" si="1"/>
        <v>0.85518350053010928</v>
      </c>
      <c r="S13" s="269">
        <f t="shared" si="1"/>
        <v>0.90649451056191588</v>
      </c>
      <c r="T13" s="269">
        <f t="shared" si="1"/>
        <v>0.9608841811956309</v>
      </c>
      <c r="U13" s="269">
        <f t="shared" si="1"/>
        <v>1.0185372320673689</v>
      </c>
      <c r="V13" s="269">
        <f t="shared" si="1"/>
        <v>1.0796494659914111</v>
      </c>
      <c r="W13" s="269">
        <f t="shared" si="1"/>
        <v>1.1444284339508959</v>
      </c>
      <c r="X13" s="269">
        <f t="shared" si="1"/>
        <v>1.2130941399879498</v>
      </c>
      <c r="Y13" s="269">
        <f t="shared" si="1"/>
        <v>1.2858797883872268</v>
      </c>
    </row>
    <row r="14" spans="4:26" x14ac:dyDescent="0.25">
      <c r="D14" t="s">
        <v>477</v>
      </c>
      <c r="F14" s="269">
        <f>F12*$E$4</f>
        <v>-4.9728045380200342E-2</v>
      </c>
      <c r="G14" s="269">
        <f t="shared" ref="G14:Y14" si="2">G12*$E$4</f>
        <v>-5.2711728103012362E-2</v>
      </c>
      <c r="H14" s="269">
        <f t="shared" si="2"/>
        <v>-5.5874431789193102E-2</v>
      </c>
      <c r="I14" s="269">
        <f t="shared" si="2"/>
        <v>-5.9226897696544697E-2</v>
      </c>
      <c r="J14" s="269">
        <f t="shared" si="2"/>
        <v>-6.2780511558337374E-2</v>
      </c>
      <c r="K14" s="269">
        <f t="shared" si="2"/>
        <v>-6.6547342251837616E-2</v>
      </c>
      <c r="L14" s="269">
        <f t="shared" si="2"/>
        <v>-7.0540182786947889E-2</v>
      </c>
      <c r="M14" s="269">
        <f t="shared" si="2"/>
        <v>-7.4772593754164771E-2</v>
      </c>
      <c r="N14" s="269">
        <f t="shared" si="2"/>
        <v>-7.9258949379414648E-2</v>
      </c>
      <c r="O14" s="269">
        <f t="shared" si="2"/>
        <v>-8.4014486342179534E-2</v>
      </c>
      <c r="P14" s="269">
        <f t="shared" si="2"/>
        <v>-8.9055355522710322E-2</v>
      </c>
      <c r="Q14" s="269">
        <f t="shared" si="2"/>
        <v>-9.4398676854072938E-2</v>
      </c>
      <c r="R14" s="269">
        <f t="shared" si="2"/>
        <v>-0.1000625974653173</v>
      </c>
      <c r="S14" s="269">
        <f t="shared" si="2"/>
        <v>-0.10606635331323636</v>
      </c>
      <c r="T14" s="269">
        <f t="shared" si="2"/>
        <v>-0.11243033451203055</v>
      </c>
      <c r="U14" s="269">
        <f t="shared" si="2"/>
        <v>-0.11917615458275239</v>
      </c>
      <c r="V14" s="269">
        <f t="shared" si="2"/>
        <v>-0.12632672385771754</v>
      </c>
      <c r="W14" s="269">
        <f t="shared" si="2"/>
        <v>-0.13390632728918062</v>
      </c>
      <c r="X14" s="269">
        <f t="shared" si="2"/>
        <v>-0.14194070692653146</v>
      </c>
      <c r="Y14" s="269">
        <f t="shared" si="2"/>
        <v>-0.15045714934212337</v>
      </c>
    </row>
    <row r="15" spans="4:26" x14ac:dyDescent="0.25">
      <c r="D15" t="s">
        <v>138</v>
      </c>
      <c r="E15" s="269"/>
      <c r="F15" s="269">
        <f>F13+F14</f>
        <v>0.37527195461979967</v>
      </c>
      <c r="G15" s="269">
        <f t="shared" ref="G15:Y15" si="3">G13+G14</f>
        <v>0.39778827189698762</v>
      </c>
      <c r="H15" s="269">
        <f t="shared" si="3"/>
        <v>0.42165556821080691</v>
      </c>
      <c r="I15" s="269">
        <f t="shared" si="3"/>
        <v>0.4469549023034553</v>
      </c>
      <c r="J15" s="269">
        <f t="shared" si="3"/>
        <v>0.47377219644166263</v>
      </c>
      <c r="K15" s="269">
        <f t="shared" si="3"/>
        <v>0.50219852822816247</v>
      </c>
      <c r="L15" s="269">
        <f t="shared" si="3"/>
        <v>0.53233043992185225</v>
      </c>
      <c r="M15" s="269">
        <f t="shared" si="3"/>
        <v>0.56427026631716337</v>
      </c>
      <c r="N15" s="269">
        <f t="shared" si="3"/>
        <v>0.59812648229619314</v>
      </c>
      <c r="O15" s="269">
        <f t="shared" si="3"/>
        <v>0.6340140712339648</v>
      </c>
      <c r="P15" s="269">
        <f t="shared" si="3"/>
        <v>0.67205491550800267</v>
      </c>
      <c r="Q15" s="269">
        <f t="shared" si="3"/>
        <v>0.71237821043848304</v>
      </c>
      <c r="R15" s="269">
        <f t="shared" si="3"/>
        <v>0.75512090306479196</v>
      </c>
      <c r="S15" s="269">
        <f t="shared" si="3"/>
        <v>0.80042815724867955</v>
      </c>
      <c r="T15" s="269">
        <f t="shared" si="3"/>
        <v>0.84845384668360035</v>
      </c>
      <c r="U15" s="269">
        <f t="shared" si="3"/>
        <v>0.89936107748461647</v>
      </c>
      <c r="V15" s="269">
        <f t="shared" si="3"/>
        <v>0.95332274213369361</v>
      </c>
      <c r="W15" s="269">
        <f t="shared" si="3"/>
        <v>1.0105221066617154</v>
      </c>
      <c r="X15" s="269">
        <f t="shared" si="3"/>
        <v>1.0711534330614183</v>
      </c>
      <c r="Y15" s="269">
        <f t="shared" si="3"/>
        <v>1.1354226390451034</v>
      </c>
      <c r="Z15" s="269"/>
    </row>
    <row r="16" spans="4:26" x14ac:dyDescent="0.25">
      <c r="D16" t="s">
        <v>148</v>
      </c>
      <c r="E16" s="269"/>
      <c r="F16" s="269">
        <f>-$E$6*F15</f>
        <v>-0.1125815863859399</v>
      </c>
      <c r="G16" s="269">
        <f t="shared" ref="G16:Y16" si="4">-$E$6*G15</f>
        <v>-0.11933648156909628</v>
      </c>
      <c r="H16" s="269">
        <f t="shared" si="4"/>
        <v>-0.12649667046324206</v>
      </c>
      <c r="I16" s="269">
        <f t="shared" si="4"/>
        <v>-0.13408647069103657</v>
      </c>
      <c r="J16" s="269">
        <f t="shared" si="4"/>
        <v>-0.14213165893249879</v>
      </c>
      <c r="K16" s="269">
        <f t="shared" si="4"/>
        <v>-0.15065955846844872</v>
      </c>
      <c r="L16" s="269">
        <f t="shared" si="4"/>
        <v>-0.15969913197655566</v>
      </c>
      <c r="M16" s="269">
        <f t="shared" si="4"/>
        <v>-0.16928107989514901</v>
      </c>
      <c r="N16" s="269">
        <f t="shared" si="4"/>
        <v>-0.17943794468885793</v>
      </c>
      <c r="O16" s="269">
        <f t="shared" si="4"/>
        <v>-0.19020422137018944</v>
      </c>
      <c r="P16" s="269">
        <f t="shared" si="4"/>
        <v>-0.20161647465240079</v>
      </c>
      <c r="Q16" s="269">
        <f t="shared" si="4"/>
        <v>-0.21371346313154491</v>
      </c>
      <c r="R16" s="269">
        <f t="shared" si="4"/>
        <v>-0.22653627091943757</v>
      </c>
      <c r="S16" s="269">
        <f t="shared" si="4"/>
        <v>-0.24012844717460385</v>
      </c>
      <c r="T16" s="269">
        <f t="shared" si="4"/>
        <v>-0.25453615400508012</v>
      </c>
      <c r="U16" s="269">
        <f t="shared" si="4"/>
        <v>-0.26980832324538495</v>
      </c>
      <c r="V16" s="269">
        <f t="shared" si="4"/>
        <v>-0.28599682264010806</v>
      </c>
      <c r="W16" s="269">
        <f t="shared" si="4"/>
        <v>-0.30315663199851461</v>
      </c>
      <c r="X16" s="269">
        <f t="shared" si="4"/>
        <v>-0.32134602991842548</v>
      </c>
      <c r="Y16" s="269">
        <f t="shared" si="4"/>
        <v>-0.340626791713531</v>
      </c>
      <c r="Z16" s="269"/>
    </row>
    <row r="17" spans="4:26" x14ac:dyDescent="0.25">
      <c r="D17" t="s">
        <v>478</v>
      </c>
      <c r="E17" s="269">
        <f>-E2*E3</f>
        <v>-5.0999999999999996</v>
      </c>
      <c r="F17" s="269">
        <f>F14</f>
        <v>-4.9728045380200342E-2</v>
      </c>
      <c r="G17" s="269">
        <f t="shared" ref="G17:Y17" si="5">G14</f>
        <v>-5.2711728103012362E-2</v>
      </c>
      <c r="H17" s="269">
        <f t="shared" si="5"/>
        <v>-5.5874431789193102E-2</v>
      </c>
      <c r="I17" s="269">
        <f t="shared" si="5"/>
        <v>-5.9226897696544697E-2</v>
      </c>
      <c r="J17" s="269">
        <f t="shared" si="5"/>
        <v>-6.2780511558337374E-2</v>
      </c>
      <c r="K17" s="269">
        <f t="shared" si="5"/>
        <v>-6.6547342251837616E-2</v>
      </c>
      <c r="L17" s="269">
        <f t="shared" si="5"/>
        <v>-7.0540182786947889E-2</v>
      </c>
      <c r="M17" s="269">
        <f t="shared" si="5"/>
        <v>-7.4772593754164771E-2</v>
      </c>
      <c r="N17" s="269">
        <f t="shared" si="5"/>
        <v>-7.9258949379414648E-2</v>
      </c>
      <c r="O17" s="269">
        <f t="shared" si="5"/>
        <v>-8.4014486342179534E-2</v>
      </c>
      <c r="P17" s="269">
        <f t="shared" si="5"/>
        <v>-8.9055355522710322E-2</v>
      </c>
      <c r="Q17" s="269">
        <f t="shared" si="5"/>
        <v>-9.4398676854072938E-2</v>
      </c>
      <c r="R17" s="269">
        <f t="shared" si="5"/>
        <v>-0.1000625974653173</v>
      </c>
      <c r="S17" s="269">
        <f t="shared" si="5"/>
        <v>-0.10606635331323636</v>
      </c>
      <c r="T17" s="269">
        <f t="shared" si="5"/>
        <v>-0.11243033451203055</v>
      </c>
      <c r="U17" s="269">
        <f t="shared" si="5"/>
        <v>-0.11917615458275239</v>
      </c>
      <c r="V17" s="269">
        <f t="shared" si="5"/>
        <v>-0.12632672385771754</v>
      </c>
      <c r="W17" s="269">
        <f t="shared" si="5"/>
        <v>-0.13390632728918062</v>
      </c>
      <c r="X17" s="269">
        <f t="shared" si="5"/>
        <v>-0.14194070692653146</v>
      </c>
      <c r="Y17" s="269">
        <f t="shared" si="5"/>
        <v>-0.15045714934212337</v>
      </c>
      <c r="Z17" s="269"/>
    </row>
    <row r="18" spans="4:26" x14ac:dyDescent="0.25">
      <c r="D18" t="s">
        <v>349</v>
      </c>
      <c r="E18" s="269">
        <f>E13+E16+E17</f>
        <v>-5.0999999999999996</v>
      </c>
      <c r="F18" s="269">
        <f t="shared" ref="F18:Y18" si="6">F13+F16+F17</f>
        <v>0.26269036823385972</v>
      </c>
      <c r="G18" s="269">
        <f t="shared" si="6"/>
        <v>0.27845179032789136</v>
      </c>
      <c r="H18" s="269">
        <f t="shared" si="6"/>
        <v>0.29515889774756482</v>
      </c>
      <c r="I18" s="269">
        <f t="shared" si="6"/>
        <v>0.31286843161241873</v>
      </c>
      <c r="J18" s="269">
        <f t="shared" si="6"/>
        <v>0.33164053750916384</v>
      </c>
      <c r="K18" s="269">
        <f t="shared" si="6"/>
        <v>0.35153896975971372</v>
      </c>
      <c r="L18" s="269">
        <f t="shared" si="6"/>
        <v>0.37263130794529653</v>
      </c>
      <c r="M18" s="269">
        <f t="shared" si="6"/>
        <v>0.39498918642201436</v>
      </c>
      <c r="N18" s="269">
        <f t="shared" si="6"/>
        <v>0.41868853760733526</v>
      </c>
      <c r="O18" s="269">
        <f t="shared" si="6"/>
        <v>0.44380984986377536</v>
      </c>
      <c r="P18" s="269">
        <f t="shared" si="6"/>
        <v>0.47043844085560188</v>
      </c>
      <c r="Q18" s="269">
        <f t="shared" si="6"/>
        <v>0.49866474730693805</v>
      </c>
      <c r="R18" s="269">
        <f t="shared" si="6"/>
        <v>0.52858463214535445</v>
      </c>
      <c r="S18" s="269">
        <f t="shared" si="6"/>
        <v>0.56029971007407575</v>
      </c>
      <c r="T18" s="269">
        <f t="shared" si="6"/>
        <v>0.59391769267852024</v>
      </c>
      <c r="U18" s="269">
        <f t="shared" si="6"/>
        <v>0.62955275423923152</v>
      </c>
      <c r="V18" s="269">
        <f t="shared" si="6"/>
        <v>0.66732591949358544</v>
      </c>
      <c r="W18" s="269">
        <f t="shared" si="6"/>
        <v>0.70736547466320066</v>
      </c>
      <c r="X18" s="269">
        <f t="shared" si="6"/>
        <v>0.74980740314299288</v>
      </c>
      <c r="Y18" s="269">
        <f t="shared" si="6"/>
        <v>0.79479584733157238</v>
      </c>
      <c r="Z18" s="269">
        <f>Y18*(1+E9)/(E7-E9)</f>
        <v>10.862209913531487</v>
      </c>
    </row>
    <row r="19" spans="4:26" x14ac:dyDescent="0.25">
      <c r="D19" t="s">
        <v>485</v>
      </c>
      <c r="E19" s="269">
        <f>NPV($E$7,E18:Z18)</f>
        <v>-0.17788148321930772</v>
      </c>
      <c r="F19" s="269"/>
      <c r="G19" s="269"/>
      <c r="H19" s="269"/>
      <c r="I19" s="269"/>
      <c r="J19" s="269"/>
      <c r="K19" s="269"/>
      <c r="L19" s="269"/>
      <c r="M19" s="269"/>
      <c r="N19" s="269"/>
      <c r="O19" s="269"/>
      <c r="P19" s="269"/>
      <c r="Q19" s="269"/>
      <c r="R19" s="269"/>
      <c r="S19" s="269"/>
      <c r="T19" s="269"/>
      <c r="U19" s="269"/>
      <c r="V19" s="269"/>
      <c r="W19" s="269"/>
      <c r="X19" s="269"/>
      <c r="Y19" s="269"/>
      <c r="Z19" s="269"/>
    </row>
    <row r="20" spans="4:26" x14ac:dyDescent="0.25">
      <c r="D20" t="s">
        <v>486</v>
      </c>
      <c r="E20" s="266">
        <f>IRR(E18:Z18,0.1)</f>
        <v>9.6660153516155312E-2</v>
      </c>
      <c r="F20" s="269"/>
      <c r="G20" s="269"/>
      <c r="H20" s="269"/>
      <c r="I20" s="269"/>
      <c r="J20" s="269"/>
      <c r="K20" s="269"/>
      <c r="L20" s="269"/>
      <c r="M20" s="269"/>
      <c r="N20" s="269"/>
      <c r="O20" s="269"/>
      <c r="P20" s="269"/>
      <c r="Q20" s="269"/>
      <c r="R20" s="269"/>
      <c r="S20" s="269"/>
      <c r="T20" s="269"/>
      <c r="U20" s="269"/>
      <c r="V20" s="269"/>
      <c r="W20" s="269"/>
      <c r="X20" s="269"/>
      <c r="Y20" s="269"/>
      <c r="Z20" s="269"/>
    </row>
    <row r="21" spans="4:26" x14ac:dyDescent="0.25">
      <c r="E21" s="269"/>
      <c r="F21" s="269"/>
      <c r="G21" s="269"/>
      <c r="H21" s="269"/>
      <c r="I21" s="269"/>
      <c r="J21" s="269"/>
      <c r="K21" s="269"/>
      <c r="L21" s="269"/>
      <c r="M21" s="269"/>
      <c r="N21" s="269"/>
      <c r="O21" s="269"/>
      <c r="P21" s="269"/>
      <c r="Q21" s="269"/>
      <c r="R21" s="269"/>
      <c r="S21" s="269"/>
      <c r="T21" s="269"/>
      <c r="U21" s="269"/>
      <c r="V21" s="269"/>
      <c r="W21" s="269"/>
      <c r="X21" s="269"/>
      <c r="Y21" s="269"/>
      <c r="Z21" s="269"/>
    </row>
    <row r="22" spans="4:26" x14ac:dyDescent="0.25">
      <c r="E22" s="269"/>
      <c r="F22" s="269"/>
      <c r="G22" s="269"/>
      <c r="H22" s="269"/>
      <c r="I22" s="269"/>
      <c r="J22" s="269"/>
      <c r="K22" s="269"/>
      <c r="L22" s="269"/>
      <c r="M22" s="269"/>
      <c r="N22" s="269"/>
      <c r="O22" s="269"/>
      <c r="P22" s="269"/>
      <c r="Q22" s="269"/>
      <c r="R22" s="269"/>
      <c r="S22" s="269"/>
      <c r="T22" s="269"/>
      <c r="U22" s="269"/>
      <c r="V22" s="269"/>
      <c r="W22" s="269"/>
      <c r="X22" s="269"/>
      <c r="Y22" s="269"/>
      <c r="Z22" s="269"/>
    </row>
    <row r="23" spans="4:26" x14ac:dyDescent="0.25">
      <c r="E23" s="269"/>
      <c r="F23" s="269"/>
      <c r="G23" s="269"/>
      <c r="H23" s="269"/>
      <c r="I23" s="269"/>
      <c r="J23" s="269"/>
      <c r="K23" s="269"/>
      <c r="L23" s="269"/>
      <c r="M23" s="269"/>
      <c r="N23" s="269"/>
      <c r="O23" s="269"/>
      <c r="P23" s="269"/>
      <c r="Q23" s="269"/>
      <c r="R23" s="269"/>
      <c r="S23" s="269"/>
      <c r="T23" s="269"/>
      <c r="U23" s="269"/>
      <c r="V23" s="269"/>
      <c r="W23" s="269"/>
      <c r="X23" s="269"/>
      <c r="Y23" s="269"/>
      <c r="Z23" s="269"/>
    </row>
    <row r="24" spans="4:26" x14ac:dyDescent="0.25">
      <c r="F24" s="2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DD6DB-D1B8-4BCB-BDEF-F72EB60AF69D}">
  <dimension ref="D8:Y39"/>
  <sheetViews>
    <sheetView topLeftCell="A7" workbookViewId="0">
      <selection activeCell="P38" sqref="P38:Q39"/>
    </sheetView>
  </sheetViews>
  <sheetFormatPr defaultRowHeight="15" x14ac:dyDescent="0.25"/>
  <cols>
    <col min="14" max="14" width="18.7109375" customWidth="1"/>
    <col min="19" max="19" width="2.28515625" customWidth="1"/>
    <col min="20" max="20" width="18.7109375" customWidth="1"/>
  </cols>
  <sheetData>
    <row r="8" spans="4:8" x14ac:dyDescent="0.25">
      <c r="E8" t="s">
        <v>457</v>
      </c>
      <c r="F8" t="s">
        <v>467</v>
      </c>
      <c r="G8" t="s">
        <v>493</v>
      </c>
      <c r="H8" t="s">
        <v>494</v>
      </c>
    </row>
    <row r="9" spans="4:8" x14ac:dyDescent="0.25">
      <c r="D9" t="s">
        <v>151</v>
      </c>
    </row>
    <row r="10" spans="4:8" x14ac:dyDescent="0.25">
      <c r="D10" t="s">
        <v>491</v>
      </c>
      <c r="E10">
        <v>35</v>
      </c>
      <c r="F10">
        <v>43.6</v>
      </c>
      <c r="G10">
        <v>49.3</v>
      </c>
      <c r="H10">
        <v>53.1</v>
      </c>
    </row>
    <row r="11" spans="4:8" x14ac:dyDescent="0.25">
      <c r="D11" t="s">
        <v>492</v>
      </c>
      <c r="E11">
        <v>35</v>
      </c>
      <c r="F11">
        <v>46.6</v>
      </c>
      <c r="G11">
        <v>54.8</v>
      </c>
      <c r="H11">
        <v>62.1</v>
      </c>
    </row>
    <row r="12" spans="4:8" x14ac:dyDescent="0.25">
      <c r="D12" t="s">
        <v>496</v>
      </c>
      <c r="E12">
        <f>AVERAGE(E10:E11)</f>
        <v>35</v>
      </c>
      <c r="F12">
        <f t="shared" ref="F12:H12" si="0">AVERAGE(F10:F11)</f>
        <v>45.1</v>
      </c>
      <c r="G12">
        <f t="shared" si="0"/>
        <v>52.05</v>
      </c>
      <c r="H12">
        <f t="shared" si="0"/>
        <v>57.6</v>
      </c>
    </row>
    <row r="14" spans="4:8" x14ac:dyDescent="0.25">
      <c r="D14" t="s">
        <v>495</v>
      </c>
    </row>
    <row r="15" spans="4:8" x14ac:dyDescent="0.25">
      <c r="D15" t="s">
        <v>491</v>
      </c>
      <c r="E15">
        <v>38.200000000000003</v>
      </c>
      <c r="F15">
        <v>46</v>
      </c>
      <c r="G15">
        <v>51.7</v>
      </c>
      <c r="H15">
        <v>55.5</v>
      </c>
    </row>
    <row r="16" spans="4:8" x14ac:dyDescent="0.25">
      <c r="D16" t="s">
        <v>492</v>
      </c>
    </row>
    <row r="17" spans="4:25" x14ac:dyDescent="0.25">
      <c r="D17" t="s">
        <v>496</v>
      </c>
      <c r="E17">
        <f>AVERAGE(E15:E16)</f>
        <v>38.200000000000003</v>
      </c>
      <c r="F17">
        <f t="shared" ref="F17" si="1">AVERAGE(F15:F16)</f>
        <v>46</v>
      </c>
      <c r="G17">
        <f t="shared" ref="G17" si="2">AVERAGE(G15:G16)</f>
        <v>51.7</v>
      </c>
      <c r="H17">
        <f t="shared" ref="H17" si="3">AVERAGE(H15:H16)</f>
        <v>55.5</v>
      </c>
    </row>
    <row r="21" spans="4:25" x14ac:dyDescent="0.25">
      <c r="D21" t="s">
        <v>118</v>
      </c>
      <c r="M21" s="288"/>
      <c r="N21" s="288"/>
      <c r="O21" s="288"/>
      <c r="P21" s="288"/>
      <c r="Q21" s="288"/>
      <c r="R21" s="288"/>
      <c r="S21" s="288"/>
      <c r="T21" s="288"/>
      <c r="U21" s="288"/>
      <c r="V21" s="288"/>
      <c r="W21" s="288"/>
      <c r="X21" s="288"/>
      <c r="Y21" s="288"/>
    </row>
    <row r="22" spans="4:25" x14ac:dyDescent="0.25">
      <c r="D22" t="s">
        <v>491</v>
      </c>
      <c r="E22">
        <v>57.1</v>
      </c>
      <c r="F22">
        <v>73.900000000000006</v>
      </c>
      <c r="G22">
        <v>83</v>
      </c>
      <c r="H22">
        <v>88.8</v>
      </c>
      <c r="M22" s="288"/>
      <c r="N22" s="298"/>
      <c r="O22" s="299" t="str">
        <f>E8</f>
        <v>FY25</v>
      </c>
      <c r="P22" s="299" t="s">
        <v>241</v>
      </c>
      <c r="Q22" s="299" t="s">
        <v>242</v>
      </c>
      <c r="R22" s="299" t="s">
        <v>243</v>
      </c>
      <c r="S22" s="288"/>
      <c r="T22" s="298"/>
      <c r="U22" s="299" t="str">
        <f>O22</f>
        <v>FY25</v>
      </c>
      <c r="V22" s="299" t="str">
        <f t="shared" ref="V22:X22" si="4">P22</f>
        <v>FY26E</v>
      </c>
      <c r="W22" s="299" t="str">
        <f t="shared" si="4"/>
        <v>FY27E</v>
      </c>
      <c r="X22" s="299" t="str">
        <f t="shared" si="4"/>
        <v>FY28E</v>
      </c>
      <c r="Y22" s="288"/>
    </row>
    <row r="23" spans="4:25" x14ac:dyDescent="0.25">
      <c r="D23" t="s">
        <v>492</v>
      </c>
      <c r="E23" s="283">
        <f>E33+E39</f>
        <v>53.4</v>
      </c>
      <c r="F23" s="283">
        <f t="shared" ref="F23:H23" si="5">F33+F39</f>
        <v>72.300000000000011</v>
      </c>
      <c r="G23" s="283">
        <f t="shared" si="5"/>
        <v>84.399999999999991</v>
      </c>
      <c r="H23" s="283">
        <f t="shared" si="5"/>
        <v>94.5</v>
      </c>
      <c r="M23" s="288"/>
      <c r="N23" s="300" t="s">
        <v>509</v>
      </c>
      <c r="O23" s="301"/>
      <c r="P23" s="301"/>
      <c r="Q23" s="301"/>
      <c r="R23" s="301"/>
      <c r="S23" s="288"/>
      <c r="T23" s="300" t="s">
        <v>511</v>
      </c>
      <c r="U23" s="301"/>
      <c r="V23" s="301"/>
      <c r="W23" s="301"/>
      <c r="X23" s="301"/>
      <c r="Y23" s="288"/>
    </row>
    <row r="24" spans="4:25" x14ac:dyDescent="0.25">
      <c r="D24" t="s">
        <v>496</v>
      </c>
      <c r="E24">
        <f>AVERAGE(E22:E23)</f>
        <v>55.25</v>
      </c>
      <c r="F24">
        <f t="shared" ref="F24" si="6">AVERAGE(F22:F23)</f>
        <v>73.100000000000009</v>
      </c>
      <c r="G24">
        <f t="shared" ref="G24" si="7">AVERAGE(G22:G23)</f>
        <v>83.699999999999989</v>
      </c>
      <c r="H24">
        <f t="shared" ref="H24" si="8">AVERAGE(H22:H23)</f>
        <v>91.65</v>
      </c>
      <c r="M24" s="288"/>
      <c r="N24" s="288" t="s">
        <v>421</v>
      </c>
      <c r="O24" s="302">
        <f>E29</f>
        <v>120</v>
      </c>
      <c r="P24" s="302">
        <f t="shared" ref="P24:R24" si="9">F29</f>
        <v>136.4</v>
      </c>
      <c r="Q24" s="302">
        <f t="shared" si="9"/>
        <v>150.69999999999999</v>
      </c>
      <c r="R24" s="302">
        <f t="shared" si="9"/>
        <v>161.89999999999998</v>
      </c>
      <c r="S24" s="288"/>
      <c r="T24" s="288" t="s">
        <v>421</v>
      </c>
      <c r="U24" s="302">
        <f>E12</f>
        <v>35</v>
      </c>
      <c r="V24" s="302">
        <f>F12</f>
        <v>45.1</v>
      </c>
      <c r="W24" s="302">
        <f>G12</f>
        <v>52.05</v>
      </c>
      <c r="X24" s="302">
        <f>H12</f>
        <v>57.6</v>
      </c>
      <c r="Y24" s="288"/>
    </row>
    <row r="25" spans="4:25" x14ac:dyDescent="0.25">
      <c r="M25" s="288"/>
      <c r="N25" s="288" t="s">
        <v>510</v>
      </c>
      <c r="O25" s="302">
        <f>Value!R29</f>
        <v>120</v>
      </c>
      <c r="P25" s="302">
        <f>Value!S29</f>
        <v>145.43329129095332</v>
      </c>
      <c r="Q25" s="302">
        <f>Value!T29</f>
        <v>165.34412838834385</v>
      </c>
      <c r="R25" s="302">
        <f>Value!U29</f>
        <v>184.71041396396106</v>
      </c>
      <c r="S25" s="288"/>
      <c r="T25" s="288" t="s">
        <v>510</v>
      </c>
      <c r="U25" s="302">
        <f>Value!K24</f>
        <v>35</v>
      </c>
      <c r="V25" s="302">
        <f>Value!L24</f>
        <v>48.868384654075598</v>
      </c>
      <c r="W25" s="302">
        <f>Value!M24</f>
        <v>56.269967555913944</v>
      </c>
      <c r="X25" s="302">
        <f>Value!N24</f>
        <v>63.618238745037772</v>
      </c>
      <c r="Y25" s="288"/>
    </row>
    <row r="26" spans="4:25" x14ac:dyDescent="0.25">
      <c r="D26" t="s">
        <v>497</v>
      </c>
      <c r="M26" s="288"/>
      <c r="N26" s="288" t="s">
        <v>424</v>
      </c>
      <c r="O26" s="301"/>
      <c r="P26" s="303">
        <f>P25/P24-1</f>
        <v>6.6226475740126967E-2</v>
      </c>
      <c r="Q26" s="303">
        <f t="shared" ref="Q26:R26" si="10">Q25/Q24-1</f>
        <v>9.7174043718273762E-2</v>
      </c>
      <c r="R26" s="303">
        <f t="shared" si="10"/>
        <v>0.14089199483607828</v>
      </c>
      <c r="S26" s="288"/>
      <c r="T26" s="288" t="s">
        <v>424</v>
      </c>
      <c r="U26" s="301"/>
      <c r="V26" s="303">
        <f>V25/V24-1</f>
        <v>8.3556200755556365E-2</v>
      </c>
      <c r="W26" s="303">
        <f t="shared" ref="W26" si="11">W25/W24-1</f>
        <v>8.1075265243303551E-2</v>
      </c>
      <c r="X26" s="303">
        <f t="shared" ref="X26" si="12">X25/X24-1</f>
        <v>0.1044833115457946</v>
      </c>
      <c r="Y26" s="288"/>
    </row>
    <row r="27" spans="4:25" x14ac:dyDescent="0.25">
      <c r="D27" t="s">
        <v>491</v>
      </c>
      <c r="F27">
        <v>137.4</v>
      </c>
      <c r="G27">
        <v>150.4</v>
      </c>
      <c r="H27">
        <v>160.19999999999999</v>
      </c>
      <c r="M27" s="288"/>
      <c r="N27" s="288"/>
      <c r="O27" s="288"/>
      <c r="P27" s="288"/>
      <c r="Q27" s="288"/>
      <c r="R27" s="288"/>
      <c r="S27" s="288"/>
      <c r="T27" s="288"/>
      <c r="U27" s="288"/>
      <c r="V27" s="288"/>
      <c r="W27" s="288"/>
      <c r="X27" s="288"/>
      <c r="Y27" s="288"/>
    </row>
    <row r="28" spans="4:25" x14ac:dyDescent="0.25">
      <c r="D28" t="s">
        <v>492</v>
      </c>
      <c r="E28">
        <f>120</f>
        <v>120</v>
      </c>
      <c r="F28">
        <f>135.4</f>
        <v>135.4</v>
      </c>
      <c r="G28">
        <f>151</f>
        <v>151</v>
      </c>
      <c r="H28">
        <f>163.6</f>
        <v>163.6</v>
      </c>
      <c r="J28">
        <f>G28/F28-1</f>
        <v>0.11521418020679453</v>
      </c>
      <c r="M28" s="288"/>
      <c r="N28" s="300" t="s">
        <v>422</v>
      </c>
      <c r="O28" s="301"/>
      <c r="P28" s="301"/>
      <c r="Q28" s="301"/>
      <c r="R28" s="301"/>
      <c r="S28" s="288"/>
      <c r="T28" s="288"/>
      <c r="U28" s="288"/>
      <c r="V28" s="288"/>
      <c r="W28" s="288"/>
      <c r="X28" s="288"/>
      <c r="Y28" s="288"/>
    </row>
    <row r="29" spans="4:25" x14ac:dyDescent="0.25">
      <c r="D29" t="s">
        <v>496</v>
      </c>
      <c r="E29">
        <f>AVERAGE(E27:E28)</f>
        <v>120</v>
      </c>
      <c r="F29">
        <f t="shared" ref="F29" si="13">AVERAGE(F27:F28)</f>
        <v>136.4</v>
      </c>
      <c r="G29">
        <f t="shared" ref="G29" si="14">AVERAGE(G27:G28)</f>
        <v>150.69999999999999</v>
      </c>
      <c r="H29">
        <f t="shared" ref="H29" si="15">AVERAGE(H27:H28)</f>
        <v>161.89999999999998</v>
      </c>
      <c r="M29" s="288"/>
      <c r="N29" s="288" t="s">
        <v>421</v>
      </c>
      <c r="O29" s="302">
        <f>E24</f>
        <v>55.25</v>
      </c>
      <c r="P29" s="302">
        <f>F24</f>
        <v>73.100000000000009</v>
      </c>
      <c r="Q29" s="302">
        <f>G24</f>
        <v>83.699999999999989</v>
      </c>
      <c r="R29" s="302">
        <f>H24</f>
        <v>91.65</v>
      </c>
      <c r="S29" s="288"/>
      <c r="T29" s="288"/>
      <c r="U29" s="288"/>
      <c r="V29" s="288"/>
      <c r="W29" s="288"/>
      <c r="X29" s="288"/>
      <c r="Y29" s="288"/>
    </row>
    <row r="30" spans="4:25" x14ac:dyDescent="0.25">
      <c r="F30">
        <f>F29/E29-1</f>
        <v>0.13666666666666671</v>
      </c>
      <c r="G30">
        <f t="shared" ref="G30:H30" si="16">G29/F29-1</f>
        <v>0.10483870967741926</v>
      </c>
      <c r="H30">
        <f t="shared" si="16"/>
        <v>7.4319840743198418E-2</v>
      </c>
      <c r="M30" s="288"/>
      <c r="N30" s="288" t="s">
        <v>510</v>
      </c>
      <c r="O30" s="302">
        <f>Value!R24</f>
        <v>56.2</v>
      </c>
      <c r="P30" s="302">
        <f>Value!S24</f>
        <v>80.145939984336394</v>
      </c>
      <c r="Q30" s="302">
        <f>Value!T24</f>
        <v>93.116026859441007</v>
      </c>
      <c r="R30" s="302">
        <f>Value!U24</f>
        <v>106.21390069569668</v>
      </c>
      <c r="S30" s="288"/>
      <c r="T30" s="288"/>
      <c r="U30" s="288"/>
      <c r="V30" s="288"/>
      <c r="W30" s="288"/>
      <c r="X30" s="288"/>
      <c r="Y30" s="288"/>
    </row>
    <row r="31" spans="4:25" x14ac:dyDescent="0.25">
      <c r="D31" t="s">
        <v>138</v>
      </c>
      <c r="M31" s="288"/>
      <c r="N31" s="288" t="s">
        <v>424</v>
      </c>
      <c r="O31" s="301"/>
      <c r="P31" s="303">
        <f>P30/P29-1</f>
        <v>9.6387687884218698E-2</v>
      </c>
      <c r="Q31" s="303">
        <f t="shared" ref="Q31" si="17">Q30/Q29-1</f>
        <v>0.11249733404350093</v>
      </c>
      <c r="R31" s="303">
        <f t="shared" ref="R31" si="18">R30/R29-1</f>
        <v>0.15890780900923818</v>
      </c>
      <c r="S31" s="288"/>
      <c r="T31" s="288"/>
      <c r="U31" s="288"/>
      <c r="V31" s="288"/>
      <c r="W31" s="288"/>
      <c r="X31" s="288"/>
      <c r="Y31" s="288"/>
    </row>
    <row r="32" spans="4:25" x14ac:dyDescent="0.25">
      <c r="D32" t="s">
        <v>491</v>
      </c>
      <c r="E32">
        <v>46.6</v>
      </c>
      <c r="F32">
        <v>61.3</v>
      </c>
      <c r="G32">
        <v>70.400000000000006</v>
      </c>
      <c r="H32">
        <v>76.099999999999994</v>
      </c>
      <c r="M32" s="288"/>
      <c r="N32" s="288"/>
      <c r="O32" s="288"/>
      <c r="P32" s="288"/>
      <c r="Q32" s="288"/>
      <c r="R32" s="288"/>
      <c r="S32" s="288"/>
      <c r="T32" s="288"/>
      <c r="U32" s="288"/>
      <c r="V32" s="288"/>
      <c r="W32" s="288"/>
      <c r="X32" s="288"/>
      <c r="Y32" s="288"/>
    </row>
    <row r="33" spans="4:25" x14ac:dyDescent="0.25">
      <c r="D33" t="s">
        <v>492</v>
      </c>
      <c r="E33">
        <v>42.9</v>
      </c>
      <c r="F33">
        <v>59.7</v>
      </c>
      <c r="G33">
        <v>71.8</v>
      </c>
      <c r="H33">
        <v>81.8</v>
      </c>
      <c r="M33" s="288"/>
      <c r="N33" s="288"/>
      <c r="O33" s="288"/>
      <c r="P33" s="288"/>
      <c r="Q33" s="288"/>
      <c r="R33" s="288"/>
      <c r="S33" s="288"/>
      <c r="T33" s="288"/>
      <c r="U33" s="288"/>
      <c r="V33" s="288"/>
      <c r="W33" s="288"/>
      <c r="X33" s="288"/>
      <c r="Y33" s="288"/>
    </row>
    <row r="34" spans="4:25" x14ac:dyDescent="0.25">
      <c r="D34" t="s">
        <v>496</v>
      </c>
      <c r="E34">
        <f>AVERAGE(E32:E33)</f>
        <v>44.75</v>
      </c>
      <c r="F34">
        <f t="shared" ref="F34" si="19">AVERAGE(F32:F33)</f>
        <v>60.5</v>
      </c>
      <c r="G34">
        <f t="shared" ref="G34" si="20">AVERAGE(G32:G33)</f>
        <v>71.099999999999994</v>
      </c>
      <c r="H34">
        <f t="shared" ref="H34" si="21">AVERAGE(H32:H33)</f>
        <v>78.949999999999989</v>
      </c>
      <c r="M34" s="288"/>
      <c r="N34" s="288"/>
      <c r="O34" s="288"/>
      <c r="P34" s="288"/>
      <c r="Q34" s="288"/>
      <c r="R34" s="288"/>
      <c r="S34" s="288"/>
      <c r="T34" s="288"/>
      <c r="U34" s="288"/>
      <c r="V34" s="288"/>
      <c r="W34" s="288"/>
      <c r="X34" s="288"/>
      <c r="Y34" s="288"/>
    </row>
    <row r="35" spans="4:25" x14ac:dyDescent="0.25">
      <c r="M35" s="288"/>
      <c r="N35" s="288"/>
      <c r="O35" s="288"/>
      <c r="P35" s="288"/>
      <c r="Q35" s="288"/>
      <c r="R35" s="288"/>
      <c r="S35" s="288"/>
      <c r="T35" s="288"/>
      <c r="U35" s="288"/>
      <c r="V35" s="288"/>
      <c r="W35" s="288"/>
      <c r="X35" s="288"/>
      <c r="Y35" s="288"/>
    </row>
    <row r="36" spans="4:25" x14ac:dyDescent="0.25">
      <c r="D36" t="s">
        <v>477</v>
      </c>
    </row>
    <row r="37" spans="4:25" x14ac:dyDescent="0.25">
      <c r="D37" t="s">
        <v>491</v>
      </c>
      <c r="E37">
        <f>E22-E32</f>
        <v>10.5</v>
      </c>
      <c r="F37">
        <f t="shared" ref="F37:H37" si="22">F22-F32</f>
        <v>12.600000000000009</v>
      </c>
      <c r="G37">
        <f t="shared" si="22"/>
        <v>12.599999999999994</v>
      </c>
      <c r="H37">
        <f t="shared" si="22"/>
        <v>12.700000000000003</v>
      </c>
    </row>
    <row r="38" spans="4:25" x14ac:dyDescent="0.25">
      <c r="D38" t="s">
        <v>492</v>
      </c>
      <c r="P38">
        <f>P24/O24-1</f>
        <v>0.13666666666666671</v>
      </c>
      <c r="Q38">
        <f>Q24/P24-1</f>
        <v>0.10483870967741926</v>
      </c>
    </row>
    <row r="39" spans="4:25" x14ac:dyDescent="0.25">
      <c r="D39" t="s">
        <v>496</v>
      </c>
      <c r="E39">
        <f>AVERAGE(E37:E38)</f>
        <v>10.5</v>
      </c>
      <c r="F39">
        <f t="shared" ref="F39" si="23">AVERAGE(F37:F38)</f>
        <v>12.600000000000009</v>
      </c>
      <c r="G39">
        <f t="shared" ref="G39" si="24">AVERAGE(G37:G38)</f>
        <v>12.599999999999994</v>
      </c>
      <c r="H39">
        <f t="shared" ref="H39" si="25">AVERAGE(H37:H38)</f>
        <v>12.700000000000003</v>
      </c>
      <c r="P39">
        <f>P25/O25-1</f>
        <v>0.21194409409127757</v>
      </c>
      <c r="Q39">
        <f>Q25/P25-1</f>
        <v>0.13690701022200602</v>
      </c>
    </row>
  </sheetData>
  <phoneticPr fontId="32" type="noConversion"/>
  <conditionalFormatting sqref="P26:R26">
    <cfRule type="cellIs" dxfId="5" priority="11" operator="lessThan">
      <formula>0</formula>
    </cfRule>
    <cfRule type="cellIs" dxfId="4" priority="12" operator="greaterThan">
      <formula>0</formula>
    </cfRule>
  </conditionalFormatting>
  <conditionalFormatting sqref="P31:R31">
    <cfRule type="cellIs" dxfId="3" priority="9" operator="lessThan">
      <formula>0</formula>
    </cfRule>
    <cfRule type="cellIs" dxfId="2" priority="10" operator="greaterThan">
      <formula>0</formula>
    </cfRule>
  </conditionalFormatting>
  <conditionalFormatting sqref="V26:X26">
    <cfRule type="cellIs" dxfId="1" priority="7" operator="lessThan">
      <formula>0</formula>
    </cfRule>
    <cfRule type="cellIs" dxfId="0" priority="8"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D07D-D3A0-46DF-9933-BB9C1ADE7F9B}">
  <dimension ref="A1:J78"/>
  <sheetViews>
    <sheetView topLeftCell="A28" workbookViewId="0">
      <selection activeCell="A44" sqref="A44"/>
    </sheetView>
  </sheetViews>
  <sheetFormatPr defaultRowHeight="15" x14ac:dyDescent="0.25"/>
  <cols>
    <col min="10" max="10" width="9.140625" style="230"/>
  </cols>
  <sheetData>
    <row r="1" spans="1:10" x14ac:dyDescent="0.25">
      <c r="A1" s="1" t="s">
        <v>14</v>
      </c>
      <c r="B1" s="1"/>
      <c r="C1" s="1"/>
      <c r="D1" s="1"/>
      <c r="E1" s="1"/>
      <c r="F1" s="1"/>
      <c r="G1" s="1"/>
      <c r="H1" s="1"/>
      <c r="I1" s="1"/>
    </row>
    <row r="2" spans="1:10" x14ac:dyDescent="0.25">
      <c r="A2" s="1"/>
      <c r="B2" s="1" t="s">
        <v>15</v>
      </c>
      <c r="C2" s="1" t="s">
        <v>16</v>
      </c>
      <c r="D2" s="1" t="s">
        <v>17</v>
      </c>
      <c r="E2" s="1" t="s">
        <v>18</v>
      </c>
      <c r="F2" s="1" t="s">
        <v>19</v>
      </c>
      <c r="G2" s="1" t="s">
        <v>20</v>
      </c>
      <c r="H2" s="1" t="s">
        <v>21</v>
      </c>
      <c r="I2" s="1" t="s">
        <v>22</v>
      </c>
      <c r="J2" s="231" t="s">
        <v>472</v>
      </c>
    </row>
    <row r="3" spans="1:10" x14ac:dyDescent="0.25">
      <c r="A3" s="4">
        <v>42156</v>
      </c>
      <c r="B3" s="2">
        <v>15.433999999999999</v>
      </c>
      <c r="C3" s="2" t="s">
        <v>23</v>
      </c>
      <c r="D3" s="2">
        <v>12.124000000000001</v>
      </c>
      <c r="E3" s="2" t="s">
        <v>23</v>
      </c>
      <c r="F3" s="2">
        <v>15.696</v>
      </c>
      <c r="G3" s="2" t="s">
        <v>23</v>
      </c>
      <c r="H3" s="2">
        <v>11.673999999999999</v>
      </c>
      <c r="I3" s="2" t="s">
        <v>23</v>
      </c>
      <c r="J3" s="230">
        <f t="shared" ref="J3:J42" si="0">B3+D3</f>
        <v>27.558</v>
      </c>
    </row>
    <row r="4" spans="1:10" x14ac:dyDescent="0.25">
      <c r="A4" s="4">
        <v>42248</v>
      </c>
      <c r="B4" s="2">
        <v>16.84</v>
      </c>
      <c r="C4" s="2" t="s">
        <v>23</v>
      </c>
      <c r="D4" s="2">
        <v>9.875</v>
      </c>
      <c r="E4" s="2" t="s">
        <v>23</v>
      </c>
      <c r="F4" s="2">
        <v>16.882999999999999</v>
      </c>
      <c r="G4" s="2" t="s">
        <v>23</v>
      </c>
      <c r="H4" s="2">
        <v>10.441000000000001</v>
      </c>
      <c r="I4" s="2" t="s">
        <v>23</v>
      </c>
      <c r="J4" s="230">
        <f t="shared" si="0"/>
        <v>26.715</v>
      </c>
    </row>
    <row r="5" spans="1:10" x14ac:dyDescent="0.25">
      <c r="A5" s="4">
        <v>42339</v>
      </c>
      <c r="B5" s="2">
        <v>18.367000000000001</v>
      </c>
      <c r="C5" s="2" t="s">
        <v>23</v>
      </c>
      <c r="D5" s="2">
        <v>9.5229999999999997</v>
      </c>
      <c r="E5" s="2" t="s">
        <v>23</v>
      </c>
      <c r="F5" s="2">
        <v>17.838999999999999</v>
      </c>
      <c r="G5" s="2" t="s">
        <v>23</v>
      </c>
      <c r="H5" s="2">
        <v>9.6890000000000001</v>
      </c>
      <c r="I5" s="2" t="s">
        <v>23</v>
      </c>
      <c r="J5" s="230">
        <f t="shared" si="0"/>
        <v>27.89</v>
      </c>
    </row>
    <row r="6" spans="1:10" x14ac:dyDescent="0.25">
      <c r="A6" s="4">
        <v>42430</v>
      </c>
      <c r="B6" s="2">
        <v>17.765000000000001</v>
      </c>
      <c r="C6" s="2" t="s">
        <v>23</v>
      </c>
      <c r="D6" s="2">
        <v>9.9239999999999995</v>
      </c>
      <c r="E6" s="2" t="s">
        <v>23</v>
      </c>
      <c r="F6" s="2">
        <v>18.393999999999998</v>
      </c>
      <c r="G6" s="2" t="s">
        <v>23</v>
      </c>
      <c r="H6" s="2">
        <v>9.843</v>
      </c>
      <c r="I6" s="2" t="s">
        <v>23</v>
      </c>
      <c r="J6" s="230">
        <f t="shared" si="0"/>
        <v>27.689</v>
      </c>
    </row>
    <row r="7" spans="1:10" x14ac:dyDescent="0.25">
      <c r="A7" s="4">
        <v>42522</v>
      </c>
      <c r="B7" s="2">
        <v>18.821999999999999</v>
      </c>
      <c r="C7" s="2" t="s">
        <v>23</v>
      </c>
      <c r="D7" s="2">
        <v>10.336</v>
      </c>
      <c r="E7" s="2" t="s">
        <v>23</v>
      </c>
      <c r="F7" s="2">
        <v>18.358000000000001</v>
      </c>
      <c r="G7" s="2" t="s">
        <v>23</v>
      </c>
      <c r="H7" s="2">
        <v>10.302</v>
      </c>
      <c r="I7" s="2" t="s">
        <v>23</v>
      </c>
      <c r="J7" s="230">
        <f t="shared" si="0"/>
        <v>29.158000000000001</v>
      </c>
    </row>
    <row r="8" spans="1:10" x14ac:dyDescent="0.25">
      <c r="A8" s="4">
        <v>42614</v>
      </c>
      <c r="B8" s="2">
        <v>17.917000000000002</v>
      </c>
      <c r="C8" s="2" t="s">
        <v>23</v>
      </c>
      <c r="D8" s="2">
        <v>10.750999999999999</v>
      </c>
      <c r="E8" s="2" t="s">
        <v>23</v>
      </c>
      <c r="F8" s="2">
        <v>17.876999999999999</v>
      </c>
      <c r="G8" s="2" t="s">
        <v>23</v>
      </c>
      <c r="H8" s="2">
        <v>10.407</v>
      </c>
      <c r="I8" s="2" t="s">
        <v>23</v>
      </c>
      <c r="J8" s="230">
        <f t="shared" si="0"/>
        <v>28.667999999999999</v>
      </c>
    </row>
    <row r="9" spans="1:10" x14ac:dyDescent="0.25">
      <c r="A9" s="4">
        <v>42705</v>
      </c>
      <c r="B9" s="2">
        <v>16.905000000000001</v>
      </c>
      <c r="C9" s="2" t="s">
        <v>23</v>
      </c>
      <c r="D9" s="2">
        <v>9.9220000000000006</v>
      </c>
      <c r="E9" s="2" t="s">
        <v>23</v>
      </c>
      <c r="F9" s="2">
        <v>17.172000000000001</v>
      </c>
      <c r="G9" s="2" t="s">
        <v>23</v>
      </c>
      <c r="H9" s="2">
        <v>10.239000000000001</v>
      </c>
      <c r="I9" s="2" t="s">
        <v>23</v>
      </c>
      <c r="J9" s="230">
        <f t="shared" si="0"/>
        <v>26.827000000000002</v>
      </c>
    </row>
    <row r="10" spans="1:10" x14ac:dyDescent="0.25">
      <c r="A10" s="4">
        <v>42795</v>
      </c>
      <c r="B10" s="2">
        <v>16.523</v>
      </c>
      <c r="C10" s="2" t="s">
        <v>23</v>
      </c>
      <c r="D10" s="2">
        <v>10.151</v>
      </c>
      <c r="E10" s="2" t="s">
        <v>23</v>
      </c>
      <c r="F10" s="2">
        <v>16.402999999999999</v>
      </c>
      <c r="G10" s="2" t="s">
        <v>23</v>
      </c>
      <c r="H10" s="2">
        <v>10.144</v>
      </c>
      <c r="I10" s="2" t="s">
        <v>23</v>
      </c>
      <c r="J10" s="230">
        <f t="shared" si="0"/>
        <v>26.673999999999999</v>
      </c>
    </row>
    <row r="11" spans="1:10" x14ac:dyDescent="0.25">
      <c r="A11" s="4">
        <v>42887</v>
      </c>
      <c r="B11" s="2">
        <v>16.073</v>
      </c>
      <c r="C11" s="2" t="s">
        <v>23</v>
      </c>
      <c r="D11" s="2">
        <v>10.18</v>
      </c>
      <c r="E11" s="2" t="s">
        <v>23</v>
      </c>
      <c r="F11" s="2">
        <v>16.023</v>
      </c>
      <c r="G11" s="2" t="s">
        <v>23</v>
      </c>
      <c r="H11" s="2">
        <v>10.113</v>
      </c>
      <c r="I11" s="2" t="s">
        <v>23</v>
      </c>
      <c r="J11" s="230">
        <f t="shared" si="0"/>
        <v>26.253</v>
      </c>
    </row>
    <row r="12" spans="1:10" x14ac:dyDescent="0.25">
      <c r="A12" s="4">
        <v>42979</v>
      </c>
      <c r="B12" s="2">
        <v>15.727</v>
      </c>
      <c r="C12" s="2" t="s">
        <v>23</v>
      </c>
      <c r="D12" s="2">
        <v>10.483000000000001</v>
      </c>
      <c r="E12" s="2" t="s">
        <v>23</v>
      </c>
      <c r="F12" s="2">
        <v>16.041</v>
      </c>
      <c r="G12" s="2" t="s">
        <v>23</v>
      </c>
      <c r="H12" s="2">
        <v>10.331</v>
      </c>
      <c r="I12" s="2" t="s">
        <v>23</v>
      </c>
      <c r="J12" s="230">
        <f t="shared" si="0"/>
        <v>26.21</v>
      </c>
    </row>
    <row r="13" spans="1:10" x14ac:dyDescent="0.25">
      <c r="A13" s="4">
        <v>43070</v>
      </c>
      <c r="B13" s="2">
        <v>16.512</v>
      </c>
      <c r="C13" s="2" t="s">
        <v>23</v>
      </c>
      <c r="D13" s="2">
        <v>10.010999999999999</v>
      </c>
      <c r="E13" s="2" t="s">
        <v>23</v>
      </c>
      <c r="F13" s="2">
        <v>16.353000000000002</v>
      </c>
      <c r="G13" s="2" t="s">
        <v>23</v>
      </c>
      <c r="H13" s="2">
        <v>10.678000000000001</v>
      </c>
      <c r="I13" s="2" t="s">
        <v>23</v>
      </c>
      <c r="J13" s="230">
        <f t="shared" si="0"/>
        <v>26.523</v>
      </c>
    </row>
    <row r="14" spans="1:10" x14ac:dyDescent="0.25">
      <c r="A14" s="4">
        <v>43160</v>
      </c>
      <c r="B14" s="2">
        <v>16.856999999999999</v>
      </c>
      <c r="C14" s="2" t="s">
        <v>23</v>
      </c>
      <c r="D14" s="2">
        <v>11.689</v>
      </c>
      <c r="E14" s="2" t="s">
        <v>23</v>
      </c>
      <c r="F14" s="2">
        <v>16.739999999999998</v>
      </c>
      <c r="G14" s="2" t="s">
        <v>23</v>
      </c>
      <c r="H14" s="2">
        <v>10.898</v>
      </c>
      <c r="I14" s="2" t="s">
        <v>23</v>
      </c>
      <c r="J14" s="230">
        <f t="shared" si="0"/>
        <v>28.545999999999999</v>
      </c>
    </row>
    <row r="15" spans="1:10" x14ac:dyDescent="0.25">
      <c r="A15" s="4">
        <v>43252</v>
      </c>
      <c r="B15" s="2">
        <v>16.785</v>
      </c>
      <c r="C15" s="2" t="s">
        <v>23</v>
      </c>
      <c r="D15" s="2">
        <v>10.637</v>
      </c>
      <c r="E15" s="2" t="s">
        <v>23</v>
      </c>
      <c r="F15" s="2">
        <v>16.916</v>
      </c>
      <c r="G15" s="2" t="s">
        <v>23</v>
      </c>
      <c r="H15" s="2">
        <v>10.791</v>
      </c>
      <c r="I15" s="2" t="s">
        <v>23</v>
      </c>
      <c r="J15" s="230">
        <f t="shared" si="0"/>
        <v>27.422000000000001</v>
      </c>
    </row>
    <row r="16" spans="1:10" x14ac:dyDescent="0.25">
      <c r="A16" s="4">
        <v>43344</v>
      </c>
      <c r="B16" s="2">
        <v>16.837</v>
      </c>
      <c r="C16" s="2" t="s">
        <v>23</v>
      </c>
      <c r="D16" s="2">
        <v>10.071999999999999</v>
      </c>
      <c r="E16" s="2" t="s">
        <v>23</v>
      </c>
      <c r="F16" s="2">
        <v>16.728000000000002</v>
      </c>
      <c r="G16" s="2" t="s">
        <v>23</v>
      </c>
      <c r="H16" s="2">
        <v>10.367000000000001</v>
      </c>
      <c r="I16" s="2" t="s">
        <v>23</v>
      </c>
      <c r="J16" s="230">
        <f t="shared" si="0"/>
        <v>26.908999999999999</v>
      </c>
    </row>
    <row r="17" spans="1:10" x14ac:dyDescent="0.25">
      <c r="A17" s="4">
        <v>43435</v>
      </c>
      <c r="B17" s="2">
        <v>16.405000000000001</v>
      </c>
      <c r="C17" s="2" t="s">
        <v>23</v>
      </c>
      <c r="D17" s="2">
        <v>10.189</v>
      </c>
      <c r="E17" s="2" t="s">
        <v>23</v>
      </c>
      <c r="F17" s="2">
        <v>16.181999999999999</v>
      </c>
      <c r="G17" s="2" t="s">
        <v>23</v>
      </c>
      <c r="H17" s="2">
        <v>9.8469999999999995</v>
      </c>
      <c r="I17" s="2" t="s">
        <v>23</v>
      </c>
      <c r="J17" s="230">
        <f t="shared" si="0"/>
        <v>26.594000000000001</v>
      </c>
    </row>
    <row r="18" spans="1:10" x14ac:dyDescent="0.25">
      <c r="A18" s="4">
        <v>43525</v>
      </c>
      <c r="B18" s="2">
        <v>15.574</v>
      </c>
      <c r="C18" s="2" t="s">
        <v>23</v>
      </c>
      <c r="D18" s="2">
        <v>9.5299999999999994</v>
      </c>
      <c r="E18" s="2" t="s">
        <v>23</v>
      </c>
      <c r="F18" s="2">
        <v>15.662000000000001</v>
      </c>
      <c r="G18" s="2" t="s">
        <v>23</v>
      </c>
      <c r="H18" s="2">
        <v>9.6539999999999999</v>
      </c>
      <c r="I18" s="2" t="s">
        <v>23</v>
      </c>
      <c r="J18" s="230">
        <f t="shared" si="0"/>
        <v>25.103999999999999</v>
      </c>
    </row>
    <row r="19" spans="1:10" x14ac:dyDescent="0.25">
      <c r="A19" s="4">
        <v>43617</v>
      </c>
      <c r="B19" s="2">
        <v>15.358000000000001</v>
      </c>
      <c r="C19" s="2" t="s">
        <v>23</v>
      </c>
      <c r="D19" s="2">
        <v>9.5990000000000002</v>
      </c>
      <c r="E19" s="2" t="s">
        <v>23</v>
      </c>
      <c r="F19" s="2">
        <v>15.78</v>
      </c>
      <c r="G19" s="2" t="s">
        <v>23</v>
      </c>
      <c r="H19" s="2">
        <v>9.8290000000000006</v>
      </c>
      <c r="I19" s="2" t="s">
        <v>23</v>
      </c>
      <c r="J19" s="230">
        <f t="shared" si="0"/>
        <v>24.957000000000001</v>
      </c>
    </row>
    <row r="20" spans="1:10" x14ac:dyDescent="0.25">
      <c r="A20" s="4">
        <v>43709</v>
      </c>
      <c r="B20" s="2">
        <v>17.079999999999998</v>
      </c>
      <c r="C20" s="2">
        <v>10.897</v>
      </c>
      <c r="D20" s="2">
        <v>10.489000000000001</v>
      </c>
      <c r="E20" s="2">
        <v>4.3419999999999996</v>
      </c>
      <c r="F20" s="2">
        <v>16.962</v>
      </c>
      <c r="G20" s="2">
        <v>10.874000000000001</v>
      </c>
      <c r="H20" s="2">
        <v>10.366</v>
      </c>
      <c r="I20" s="2">
        <v>4.532</v>
      </c>
      <c r="J20" s="230">
        <f t="shared" si="0"/>
        <v>27.568999999999999</v>
      </c>
    </row>
    <row r="21" spans="1:10" x14ac:dyDescent="0.25">
      <c r="A21" s="4">
        <v>43800</v>
      </c>
      <c r="B21" s="2">
        <v>18.713000000000001</v>
      </c>
      <c r="C21" s="2">
        <v>10.545</v>
      </c>
      <c r="D21" s="2">
        <v>11.446999999999999</v>
      </c>
      <c r="E21" s="2">
        <v>4.8109999999999999</v>
      </c>
      <c r="F21" s="2">
        <v>18.809000000000001</v>
      </c>
      <c r="G21" s="2">
        <v>10.489000000000001</v>
      </c>
      <c r="H21" s="2">
        <v>11.305</v>
      </c>
      <c r="I21" s="2">
        <v>4.4969999999999999</v>
      </c>
      <c r="J21" s="230">
        <f t="shared" si="0"/>
        <v>30.16</v>
      </c>
    </row>
    <row r="22" spans="1:10" x14ac:dyDescent="0.25">
      <c r="A22" s="4">
        <v>43891</v>
      </c>
      <c r="B22" s="2">
        <v>20.782</v>
      </c>
      <c r="C22" s="2">
        <v>10.054</v>
      </c>
      <c r="D22" s="2">
        <v>11.757999999999999</v>
      </c>
      <c r="E22" s="2">
        <v>4.18</v>
      </c>
      <c r="F22" s="2">
        <v>20.387</v>
      </c>
      <c r="G22" s="2">
        <v>10.130000000000001</v>
      </c>
      <c r="H22" s="2">
        <v>12.24</v>
      </c>
      <c r="I22" s="2">
        <v>4.3929999999999998</v>
      </c>
      <c r="J22" s="230">
        <f t="shared" si="0"/>
        <v>32.54</v>
      </c>
    </row>
    <row r="23" spans="1:10" x14ac:dyDescent="0.25">
      <c r="A23" s="4">
        <v>43983</v>
      </c>
      <c r="B23" s="2">
        <v>26.099</v>
      </c>
      <c r="C23" s="2">
        <v>9.8819999999999997</v>
      </c>
      <c r="D23" s="2">
        <v>13.538</v>
      </c>
      <c r="E23" s="2">
        <v>4.3550000000000004</v>
      </c>
      <c r="F23" s="2">
        <v>21.355</v>
      </c>
      <c r="G23" s="2">
        <v>9.8379999999999992</v>
      </c>
      <c r="H23" s="2">
        <v>12.782</v>
      </c>
      <c r="I23" s="2">
        <v>4.2460000000000004</v>
      </c>
      <c r="J23" s="230">
        <f t="shared" si="0"/>
        <v>39.637</v>
      </c>
    </row>
    <row r="24" spans="1:10" x14ac:dyDescent="0.25">
      <c r="A24" s="4">
        <v>44075</v>
      </c>
      <c r="B24" s="2">
        <v>21.844999999999999</v>
      </c>
      <c r="C24" s="2">
        <v>9.8740000000000006</v>
      </c>
      <c r="D24" s="2">
        <v>12.787000000000001</v>
      </c>
      <c r="E24" s="2">
        <v>4.1070000000000002</v>
      </c>
      <c r="F24" s="2">
        <v>22.219000000000001</v>
      </c>
      <c r="G24" s="2">
        <v>9.9060000000000006</v>
      </c>
      <c r="H24" s="2">
        <v>12.991</v>
      </c>
      <c r="I24" s="2">
        <v>4.1859999999999999</v>
      </c>
      <c r="J24" s="230">
        <f t="shared" si="0"/>
        <v>34.631999999999998</v>
      </c>
    </row>
    <row r="25" spans="1:10" x14ac:dyDescent="0.25">
      <c r="A25" s="4">
        <v>44166</v>
      </c>
      <c r="B25" s="2">
        <v>20.86</v>
      </c>
      <c r="C25" s="2">
        <v>10.302</v>
      </c>
      <c r="D25" s="2">
        <v>12.824</v>
      </c>
      <c r="E25" s="2">
        <v>4.2709999999999999</v>
      </c>
      <c r="F25" s="2">
        <v>23.568000000000001</v>
      </c>
      <c r="G25" s="2">
        <v>10.454000000000001</v>
      </c>
      <c r="H25" s="2">
        <v>13.196</v>
      </c>
      <c r="I25" s="2">
        <v>4.2510000000000003</v>
      </c>
      <c r="J25" s="230">
        <f t="shared" si="0"/>
        <v>33.683999999999997</v>
      </c>
    </row>
    <row r="26" spans="1:10" x14ac:dyDescent="0.25">
      <c r="A26" s="4">
        <v>44256</v>
      </c>
      <c r="B26" s="2">
        <v>25.867000000000001</v>
      </c>
      <c r="C26" s="2">
        <v>11.516999999999999</v>
      </c>
      <c r="D26" s="2">
        <v>13.997</v>
      </c>
      <c r="E26" s="2">
        <v>4.4800000000000004</v>
      </c>
      <c r="F26" s="2">
        <v>26.052</v>
      </c>
      <c r="G26" s="2">
        <v>11.484</v>
      </c>
      <c r="H26" s="2">
        <v>13.785</v>
      </c>
      <c r="I26" s="2">
        <v>4.4370000000000003</v>
      </c>
      <c r="J26" s="230">
        <f t="shared" si="0"/>
        <v>39.864000000000004</v>
      </c>
    </row>
    <row r="27" spans="1:10" x14ac:dyDescent="0.25">
      <c r="A27" s="4">
        <v>44348</v>
      </c>
      <c r="B27" s="2">
        <v>28.548999999999999</v>
      </c>
      <c r="C27" s="2">
        <v>12.659000000000001</v>
      </c>
      <c r="D27" s="2">
        <v>14.787000000000001</v>
      </c>
      <c r="E27" s="2">
        <v>4.5570000000000004</v>
      </c>
      <c r="F27" s="2">
        <v>28.908000000000001</v>
      </c>
      <c r="G27" s="2">
        <v>12.739000000000001</v>
      </c>
      <c r="H27" s="2">
        <v>14.926</v>
      </c>
      <c r="I27" s="2">
        <v>4.78</v>
      </c>
      <c r="J27" s="230">
        <f t="shared" si="0"/>
        <v>43.335999999999999</v>
      </c>
    </row>
    <row r="28" spans="1:10" x14ac:dyDescent="0.25">
      <c r="A28" s="4">
        <v>44440</v>
      </c>
      <c r="B28" s="2">
        <v>32.219000000000001</v>
      </c>
      <c r="C28" s="2">
        <v>13.84</v>
      </c>
      <c r="D28" s="2">
        <v>18.236000000000001</v>
      </c>
      <c r="E28" s="2">
        <v>5.2969999999999997</v>
      </c>
      <c r="F28" s="2">
        <v>30.792999999999999</v>
      </c>
      <c r="G28" s="2">
        <v>13.606</v>
      </c>
      <c r="H28" s="2">
        <v>15.917999999999999</v>
      </c>
      <c r="I28" s="2">
        <v>5.0519999999999996</v>
      </c>
      <c r="J28" s="230">
        <f t="shared" si="0"/>
        <v>50.454999999999998</v>
      </c>
    </row>
    <row r="29" spans="1:10" x14ac:dyDescent="0.25">
      <c r="A29" s="4">
        <v>44531</v>
      </c>
      <c r="B29" s="2">
        <v>31.364999999999998</v>
      </c>
      <c r="C29" s="2">
        <v>14.026</v>
      </c>
      <c r="D29" s="2">
        <v>16.863</v>
      </c>
      <c r="E29" s="2">
        <v>5.1180000000000003</v>
      </c>
      <c r="F29" s="2">
        <v>31.867999999999999</v>
      </c>
      <c r="G29" s="2">
        <v>13.895</v>
      </c>
      <c r="H29" s="2">
        <v>16.382999999999999</v>
      </c>
      <c r="I29" s="2">
        <v>5.0990000000000002</v>
      </c>
      <c r="J29" s="230">
        <f t="shared" si="0"/>
        <v>48.227999999999994</v>
      </c>
    </row>
    <row r="30" spans="1:10" x14ac:dyDescent="0.25">
      <c r="A30" s="4">
        <v>44621</v>
      </c>
      <c r="B30" s="2">
        <v>31.922999999999998</v>
      </c>
      <c r="C30" s="2">
        <v>13.297000000000001</v>
      </c>
      <c r="D30" s="2">
        <v>16.213999999999999</v>
      </c>
      <c r="E30" s="2">
        <v>4.8099999999999996</v>
      </c>
      <c r="F30" s="2">
        <v>33.036000000000001</v>
      </c>
      <c r="G30" s="2">
        <v>13.68</v>
      </c>
      <c r="H30" s="2">
        <v>16.498999999999999</v>
      </c>
      <c r="I30" s="2">
        <v>4.8929999999999998</v>
      </c>
      <c r="J30" s="230">
        <f t="shared" si="0"/>
        <v>48.137</v>
      </c>
    </row>
    <row r="31" spans="1:10" x14ac:dyDescent="0.25">
      <c r="A31" s="4">
        <v>44713</v>
      </c>
      <c r="B31" s="2">
        <v>35.868000000000002</v>
      </c>
      <c r="C31" s="2">
        <v>13.52</v>
      </c>
      <c r="D31" s="2">
        <v>16.420000000000002</v>
      </c>
      <c r="E31" s="2">
        <v>4.5949999999999998</v>
      </c>
      <c r="F31" s="2">
        <v>34.851999999999997</v>
      </c>
      <c r="G31" s="2">
        <v>13.138999999999999</v>
      </c>
      <c r="H31" s="2">
        <v>16.588999999999999</v>
      </c>
      <c r="I31" s="2">
        <v>4.5629999999999997</v>
      </c>
      <c r="J31" s="230">
        <f t="shared" si="0"/>
        <v>52.288000000000004</v>
      </c>
    </row>
    <row r="32" spans="1:10" x14ac:dyDescent="0.25">
      <c r="A32" s="4">
        <v>44805</v>
      </c>
      <c r="B32" s="2">
        <v>37.048000000000002</v>
      </c>
      <c r="C32" s="2">
        <v>12.323</v>
      </c>
      <c r="D32" s="2">
        <v>17.382999999999999</v>
      </c>
      <c r="E32" s="2">
        <v>4.3529999999999998</v>
      </c>
      <c r="F32" s="2">
        <v>37.229999999999997</v>
      </c>
      <c r="G32" s="2">
        <v>12.472</v>
      </c>
      <c r="H32" s="2">
        <v>17.228999999999999</v>
      </c>
      <c r="I32" s="2">
        <v>4.3390000000000004</v>
      </c>
      <c r="J32" s="230">
        <f t="shared" si="0"/>
        <v>54.430999999999997</v>
      </c>
    </row>
    <row r="33" spans="1:10" x14ac:dyDescent="0.25">
      <c r="A33" s="4">
        <v>44896</v>
      </c>
      <c r="B33" s="2">
        <v>38.709000000000003</v>
      </c>
      <c r="C33" s="2">
        <v>11.743</v>
      </c>
      <c r="D33" s="2">
        <v>17.922999999999998</v>
      </c>
      <c r="E33" s="2">
        <v>4.1440000000000001</v>
      </c>
      <c r="F33" s="2">
        <v>39.418999999999997</v>
      </c>
      <c r="G33" s="2">
        <v>11.768000000000001</v>
      </c>
      <c r="H33" s="2">
        <v>18.315000000000001</v>
      </c>
      <c r="I33" s="2">
        <v>4.2450000000000001</v>
      </c>
      <c r="J33" s="230">
        <f t="shared" si="0"/>
        <v>56.632000000000005</v>
      </c>
    </row>
    <row r="34" spans="1:10" x14ac:dyDescent="0.25">
      <c r="A34" s="4">
        <v>44986</v>
      </c>
      <c r="B34" s="2">
        <v>41.326999999999998</v>
      </c>
      <c r="C34" s="2">
        <v>11.315</v>
      </c>
      <c r="D34" s="2">
        <v>19.774000000000001</v>
      </c>
      <c r="E34" s="2">
        <v>4.3680000000000003</v>
      </c>
      <c r="F34" s="2">
        <v>40.856999999999999</v>
      </c>
      <c r="G34" s="2">
        <v>11.244999999999999</v>
      </c>
      <c r="H34" s="2">
        <v>19.39</v>
      </c>
      <c r="I34" s="2">
        <v>4.2839999999999998</v>
      </c>
      <c r="J34" s="230">
        <f t="shared" si="0"/>
        <v>61.100999999999999</v>
      </c>
    </row>
    <row r="35" spans="1:10" x14ac:dyDescent="0.25">
      <c r="A35" s="4">
        <v>45078</v>
      </c>
      <c r="B35" s="2">
        <v>41.198999999999998</v>
      </c>
      <c r="C35" s="2">
        <v>11.135999999999999</v>
      </c>
      <c r="D35" s="2">
        <v>19.626999999999999</v>
      </c>
      <c r="E35" s="2">
        <v>4.4660000000000002</v>
      </c>
      <c r="F35" s="2">
        <v>40.533999999999999</v>
      </c>
      <c r="G35" s="2">
        <v>11.215999999999999</v>
      </c>
      <c r="H35" s="2">
        <v>19.733000000000001</v>
      </c>
      <c r="I35" s="2">
        <v>4.4530000000000003</v>
      </c>
      <c r="J35" s="230">
        <f t="shared" si="0"/>
        <v>60.825999999999993</v>
      </c>
    </row>
    <row r="36" spans="1:10" x14ac:dyDescent="0.25">
      <c r="A36" s="4">
        <v>45170</v>
      </c>
      <c r="B36" s="2">
        <v>41.345999999999997</v>
      </c>
      <c r="C36" s="2">
        <v>11.698</v>
      </c>
      <c r="D36" s="2">
        <v>19.724</v>
      </c>
      <c r="E36" s="2">
        <v>4.7060000000000004</v>
      </c>
      <c r="F36" s="2">
        <v>37.607999999999997</v>
      </c>
      <c r="G36" s="2">
        <v>11.787000000000001</v>
      </c>
      <c r="H36" s="2">
        <v>19.023</v>
      </c>
      <c r="I36" s="2">
        <v>4.774</v>
      </c>
      <c r="J36" s="230">
        <f t="shared" si="0"/>
        <v>61.069999999999993</v>
      </c>
    </row>
    <row r="37" spans="1:10" x14ac:dyDescent="0.25">
      <c r="A37" s="4">
        <v>45261</v>
      </c>
      <c r="B37" s="2">
        <v>33.296999999999997</v>
      </c>
      <c r="C37" s="2">
        <v>14.116</v>
      </c>
      <c r="D37" s="2">
        <v>17.231999999999999</v>
      </c>
      <c r="E37" s="2">
        <v>5.2670000000000003</v>
      </c>
      <c r="F37" s="2">
        <v>33.576999999999998</v>
      </c>
      <c r="G37" s="2">
        <v>13.007999999999999</v>
      </c>
      <c r="H37" s="2">
        <v>17.86</v>
      </c>
      <c r="I37" s="2">
        <v>5.29</v>
      </c>
      <c r="J37" s="230">
        <f t="shared" si="0"/>
        <v>50.528999999999996</v>
      </c>
    </row>
    <row r="38" spans="1:10" x14ac:dyDescent="0.25">
      <c r="A38" s="4">
        <v>45352</v>
      </c>
      <c r="B38" s="2">
        <v>30.129000000000001</v>
      </c>
      <c r="C38" s="2">
        <v>14.72</v>
      </c>
      <c r="D38" s="2">
        <v>17.189</v>
      </c>
      <c r="E38" s="2">
        <v>5.9939999999999998</v>
      </c>
      <c r="F38" s="2">
        <v>30.808</v>
      </c>
      <c r="G38" s="2">
        <v>14.54</v>
      </c>
      <c r="H38" s="2">
        <v>17.344000000000001</v>
      </c>
      <c r="I38" s="2">
        <v>5.9649999999999999</v>
      </c>
      <c r="J38" s="230">
        <f t="shared" si="0"/>
        <v>47.317999999999998</v>
      </c>
    </row>
    <row r="39" spans="1:10" x14ac:dyDescent="0.25">
      <c r="A39" s="4">
        <v>45444</v>
      </c>
      <c r="B39" s="2">
        <v>30.776</v>
      </c>
      <c r="C39" s="2">
        <v>16.213000000000001</v>
      </c>
      <c r="D39" s="2">
        <v>18.021000000000001</v>
      </c>
      <c r="E39" s="2">
        <v>6.6749999999999998</v>
      </c>
      <c r="F39" s="2">
        <v>30.765999999999998</v>
      </c>
      <c r="G39" s="2">
        <v>16.184999999999999</v>
      </c>
      <c r="H39" s="2">
        <v>18.052</v>
      </c>
      <c r="I39" s="2">
        <v>6.6630000000000003</v>
      </c>
      <c r="J39" s="230">
        <f t="shared" si="0"/>
        <v>48.796999999999997</v>
      </c>
    </row>
    <row r="40" spans="1:10" x14ac:dyDescent="0.25">
      <c r="A40" s="4">
        <v>45536</v>
      </c>
      <c r="B40" s="2">
        <v>32.762</v>
      </c>
      <c r="C40" s="2">
        <v>17.613</v>
      </c>
      <c r="D40" s="2">
        <v>19.423999999999999</v>
      </c>
      <c r="E40" s="2">
        <v>7.2069999999999999</v>
      </c>
      <c r="F40" s="2">
        <v>33.162999999999997</v>
      </c>
      <c r="G40" s="2">
        <v>17.829000000000001</v>
      </c>
      <c r="H40" s="2">
        <v>19.504000000000001</v>
      </c>
      <c r="I40" s="2">
        <v>7.2130000000000001</v>
      </c>
      <c r="J40" s="230">
        <f t="shared" si="0"/>
        <v>52.186</v>
      </c>
    </row>
    <row r="41" spans="1:10" x14ac:dyDescent="0.25">
      <c r="A41" s="4">
        <v>45627</v>
      </c>
      <c r="B41" s="2">
        <v>36.915999999999997</v>
      </c>
      <c r="C41" s="2">
        <v>19.826000000000001</v>
      </c>
      <c r="D41" s="2">
        <v>21.259</v>
      </c>
      <c r="E41" s="2">
        <v>7.71</v>
      </c>
      <c r="F41" s="2">
        <v>36.262</v>
      </c>
      <c r="G41" s="2">
        <v>19.547000000000001</v>
      </c>
      <c r="H41" s="2">
        <v>20.646000000000001</v>
      </c>
      <c r="I41" s="2">
        <v>7.577</v>
      </c>
      <c r="J41" s="230">
        <f t="shared" si="0"/>
        <v>58.174999999999997</v>
      </c>
    </row>
    <row r="42" spans="1:10" x14ac:dyDescent="0.25">
      <c r="A42" s="4">
        <v>45717</v>
      </c>
      <c r="B42" s="2">
        <v>39.235999999999997</v>
      </c>
      <c r="C42" s="2">
        <v>21.08</v>
      </c>
      <c r="D42" s="2">
        <v>21.099</v>
      </c>
      <c r="E42" s="2">
        <v>7.7270000000000003</v>
      </c>
      <c r="F42" s="2">
        <v>38.779000000000003</v>
      </c>
      <c r="G42" s="2">
        <v>21.324999999999999</v>
      </c>
      <c r="H42" s="2">
        <v>21.399000000000001</v>
      </c>
      <c r="I42" s="2">
        <v>7.8719999999999999</v>
      </c>
      <c r="J42" s="230">
        <f t="shared" si="0"/>
        <v>60.334999999999994</v>
      </c>
    </row>
    <row r="43" spans="1:10" x14ac:dyDescent="0.25">
      <c r="A43" s="4">
        <v>45809</v>
      </c>
      <c r="B43" s="2">
        <v>40.081000000000003</v>
      </c>
      <c r="C43" s="2">
        <v>23.234999999999999</v>
      </c>
      <c r="D43" s="2">
        <v>21.856000000000002</v>
      </c>
      <c r="E43" s="2">
        <v>8.202</v>
      </c>
      <c r="F43" s="2">
        <v>40.734999999999999</v>
      </c>
      <c r="G43" s="2">
        <v>23.105</v>
      </c>
      <c r="H43" s="2">
        <v>21.902000000000001</v>
      </c>
      <c r="I43" s="2">
        <v>8.1460000000000008</v>
      </c>
      <c r="J43" s="230">
        <f>B43+D43</f>
        <v>61.937000000000005</v>
      </c>
    </row>
    <row r="44" spans="1:10" x14ac:dyDescent="0.25">
      <c r="A44" s="2"/>
      <c r="B44" s="2"/>
      <c r="C44" s="2"/>
      <c r="D44" s="2"/>
      <c r="E44" s="2"/>
      <c r="F44" s="2"/>
      <c r="G44" s="2"/>
      <c r="H44" s="2"/>
      <c r="I44" s="2"/>
      <c r="J44" s="230">
        <f>SUM(B44:E44)</f>
        <v>0</v>
      </c>
    </row>
    <row r="45" spans="1:10" x14ac:dyDescent="0.25">
      <c r="A45" s="6" t="s">
        <v>11</v>
      </c>
      <c r="B45" s="6"/>
      <c r="C45" s="6"/>
      <c r="D45" s="6"/>
      <c r="E45" s="6"/>
      <c r="F45" s="6"/>
      <c r="G45" s="6"/>
      <c r="H45" s="6"/>
      <c r="I45" s="6"/>
      <c r="J45" s="230">
        <f t="shared" ref="J45:J67" si="1">SUM(B45:E45)</f>
        <v>0</v>
      </c>
    </row>
    <row r="46" spans="1:10" x14ac:dyDescent="0.25">
      <c r="A46" s="2"/>
      <c r="B46" s="2"/>
      <c r="C46" s="2"/>
      <c r="D46" s="2"/>
      <c r="E46" s="2"/>
      <c r="F46" s="2"/>
      <c r="G46" s="2"/>
      <c r="H46" s="2"/>
      <c r="I46" s="2"/>
      <c r="J46" s="230">
        <f t="shared" si="1"/>
        <v>0</v>
      </c>
    </row>
    <row r="47" spans="1:10" x14ac:dyDescent="0.25">
      <c r="A47" s="6" t="s">
        <v>13</v>
      </c>
      <c r="B47" s="6"/>
      <c r="C47" s="6"/>
      <c r="D47" s="6"/>
      <c r="E47" s="6"/>
      <c r="F47" s="6"/>
      <c r="G47" s="6"/>
      <c r="H47" s="6"/>
      <c r="I47" s="6"/>
      <c r="J47" s="230">
        <f t="shared" si="1"/>
        <v>0</v>
      </c>
    </row>
    <row r="48" spans="1:10" x14ac:dyDescent="0.25">
      <c r="A48" s="2"/>
      <c r="B48" s="7">
        <v>0.1</v>
      </c>
      <c r="C48" s="2" t="e">
        <v>#VALUE!</v>
      </c>
      <c r="D48" s="2"/>
      <c r="E48" s="2"/>
      <c r="F48" s="2"/>
      <c r="G48" s="2"/>
      <c r="H48" s="2"/>
      <c r="I48" s="2"/>
      <c r="J48" s="230" t="e">
        <f t="shared" si="1"/>
        <v>#VALUE!</v>
      </c>
    </row>
    <row r="49" spans="1:10" x14ac:dyDescent="0.25">
      <c r="A49" s="2"/>
      <c r="B49" s="2"/>
      <c r="C49" s="2"/>
      <c r="D49" s="2"/>
      <c r="E49" s="2"/>
      <c r="F49" s="2"/>
      <c r="G49" s="2"/>
      <c r="H49" s="2"/>
      <c r="I49" s="2"/>
      <c r="J49" s="230">
        <f t="shared" si="1"/>
        <v>0</v>
      </c>
    </row>
    <row r="50" spans="1:10" x14ac:dyDescent="0.25">
      <c r="A50" s="2"/>
      <c r="B50" s="2"/>
      <c r="C50" s="2"/>
      <c r="D50" s="2"/>
      <c r="E50" s="2"/>
      <c r="F50" s="2"/>
      <c r="G50" s="2"/>
      <c r="H50" s="2"/>
      <c r="I50" s="2"/>
      <c r="J50" s="230">
        <f t="shared" si="1"/>
        <v>0</v>
      </c>
    </row>
    <row r="51" spans="1:10" x14ac:dyDescent="0.25">
      <c r="A51" s="2"/>
      <c r="B51" s="2"/>
      <c r="C51" s="2"/>
      <c r="D51" s="2"/>
      <c r="E51" s="2"/>
      <c r="F51" s="2"/>
      <c r="G51" s="2"/>
      <c r="H51" s="2"/>
      <c r="I51" s="2"/>
      <c r="J51" s="230">
        <f t="shared" si="1"/>
        <v>0</v>
      </c>
    </row>
    <row r="52" spans="1:10" x14ac:dyDescent="0.25">
      <c r="A52" s="2"/>
      <c r="B52" s="2"/>
      <c r="C52" s="2"/>
      <c r="D52" s="2"/>
      <c r="E52" s="2"/>
      <c r="F52" s="2"/>
      <c r="G52" s="2"/>
      <c r="H52" s="2"/>
      <c r="I52" s="2"/>
      <c r="J52" s="230">
        <f t="shared" si="1"/>
        <v>0</v>
      </c>
    </row>
    <row r="53" spans="1:10" x14ac:dyDescent="0.25">
      <c r="A53" s="2"/>
      <c r="B53" s="2"/>
      <c r="C53" s="2"/>
      <c r="D53" s="2"/>
      <c r="E53" s="2"/>
      <c r="F53" s="2"/>
      <c r="G53" s="2"/>
      <c r="H53" s="2"/>
      <c r="I53" s="2"/>
      <c r="J53" s="230">
        <f t="shared" si="1"/>
        <v>0</v>
      </c>
    </row>
    <row r="54" spans="1:10" x14ac:dyDescent="0.25">
      <c r="A54" s="2"/>
      <c r="B54" s="2"/>
      <c r="C54" s="2"/>
      <c r="D54" s="2"/>
      <c r="E54" s="2"/>
      <c r="F54" s="2"/>
      <c r="G54" s="2"/>
      <c r="H54" s="2"/>
      <c r="I54" s="2"/>
      <c r="J54" s="230">
        <f t="shared" si="1"/>
        <v>0</v>
      </c>
    </row>
    <row r="55" spans="1:10" x14ac:dyDescent="0.25">
      <c r="A55" s="2"/>
      <c r="B55" s="2"/>
      <c r="C55" s="2"/>
      <c r="D55" s="2"/>
      <c r="E55" s="2"/>
      <c r="F55" s="2"/>
      <c r="G55" s="2"/>
      <c r="H55" s="2"/>
      <c r="I55" s="2"/>
      <c r="J55" s="230">
        <f t="shared" si="1"/>
        <v>0</v>
      </c>
    </row>
    <row r="56" spans="1:10" x14ac:dyDescent="0.25">
      <c r="A56" s="2"/>
      <c r="B56" s="2"/>
      <c r="C56" s="2"/>
      <c r="D56" s="2"/>
      <c r="E56" s="2"/>
      <c r="F56" s="2"/>
      <c r="G56" s="2"/>
      <c r="H56" s="2"/>
      <c r="I56" s="2"/>
      <c r="J56" s="230">
        <f t="shared" si="1"/>
        <v>0</v>
      </c>
    </row>
    <row r="57" spans="1:10" x14ac:dyDescent="0.25">
      <c r="A57" s="2"/>
      <c r="B57" s="2"/>
      <c r="C57" s="2"/>
      <c r="D57" s="2"/>
      <c r="E57" s="2"/>
      <c r="F57" s="2"/>
      <c r="G57" s="2"/>
      <c r="H57" s="2"/>
      <c r="I57" s="2"/>
      <c r="J57" s="230">
        <f t="shared" si="1"/>
        <v>0</v>
      </c>
    </row>
    <row r="58" spans="1:10" x14ac:dyDescent="0.25">
      <c r="A58" s="2"/>
      <c r="B58" s="2"/>
      <c r="C58" s="2"/>
      <c r="D58" s="2"/>
      <c r="E58" s="2"/>
      <c r="F58" s="2"/>
      <c r="G58" s="2"/>
      <c r="H58" s="2"/>
      <c r="I58" s="2"/>
      <c r="J58" s="230">
        <f t="shared" si="1"/>
        <v>0</v>
      </c>
    </row>
    <row r="59" spans="1:10" x14ac:dyDescent="0.25">
      <c r="A59" s="2"/>
      <c r="B59" s="2"/>
      <c r="C59" s="2"/>
      <c r="D59" s="2"/>
      <c r="E59" s="2"/>
      <c r="F59" s="2"/>
      <c r="G59" s="2"/>
      <c r="H59" s="2"/>
      <c r="I59" s="2"/>
      <c r="J59" s="230">
        <f t="shared" si="1"/>
        <v>0</v>
      </c>
    </row>
    <row r="60" spans="1:10" x14ac:dyDescent="0.25">
      <c r="A60" s="2"/>
      <c r="B60" s="2"/>
      <c r="C60" s="2"/>
      <c r="D60" s="2"/>
      <c r="E60" s="2"/>
      <c r="F60" s="2"/>
      <c r="G60" s="2"/>
      <c r="H60" s="2"/>
      <c r="I60" s="2"/>
      <c r="J60" s="230">
        <f t="shared" si="1"/>
        <v>0</v>
      </c>
    </row>
    <row r="61" spans="1:10" x14ac:dyDescent="0.25">
      <c r="A61" s="2"/>
      <c r="B61" s="2"/>
      <c r="C61" s="2"/>
      <c r="D61" s="2"/>
      <c r="E61" s="2"/>
      <c r="F61" s="2"/>
      <c r="G61" s="2"/>
      <c r="H61" s="2"/>
      <c r="I61" s="2"/>
      <c r="J61" s="230">
        <f t="shared" si="1"/>
        <v>0</v>
      </c>
    </row>
    <row r="62" spans="1:10" x14ac:dyDescent="0.25">
      <c r="A62" s="2"/>
      <c r="B62" s="2"/>
      <c r="C62" s="2"/>
      <c r="D62" s="2"/>
      <c r="E62" s="2"/>
      <c r="F62" s="2"/>
      <c r="G62" s="2"/>
      <c r="H62" s="2"/>
      <c r="I62" s="2"/>
      <c r="J62" s="230">
        <f t="shared" si="1"/>
        <v>0</v>
      </c>
    </row>
    <row r="63" spans="1:10" x14ac:dyDescent="0.25">
      <c r="A63" s="2"/>
      <c r="B63" s="2"/>
      <c r="C63" s="2"/>
      <c r="D63" s="2"/>
      <c r="E63" s="2"/>
      <c r="F63" s="2"/>
      <c r="G63" s="2"/>
      <c r="H63" s="2"/>
      <c r="I63" s="2"/>
      <c r="J63" s="230">
        <f t="shared" si="1"/>
        <v>0</v>
      </c>
    </row>
    <row r="64" spans="1:10" x14ac:dyDescent="0.25">
      <c r="A64" s="2"/>
      <c r="B64" s="2"/>
      <c r="C64" s="2"/>
      <c r="D64" s="2"/>
      <c r="E64" s="2"/>
      <c r="F64" s="2"/>
      <c r="G64" s="2"/>
      <c r="H64" s="2"/>
      <c r="I64" s="2"/>
      <c r="J64" s="230">
        <f t="shared" si="1"/>
        <v>0</v>
      </c>
    </row>
    <row r="65" spans="1:10" x14ac:dyDescent="0.25">
      <c r="A65" s="2"/>
      <c r="B65" s="2"/>
      <c r="C65" s="2"/>
      <c r="D65" s="2"/>
      <c r="E65" s="2"/>
      <c r="F65" s="2"/>
      <c r="G65" s="2"/>
      <c r="H65" s="2"/>
      <c r="I65" s="2"/>
      <c r="J65" s="230">
        <f t="shared" si="1"/>
        <v>0</v>
      </c>
    </row>
    <row r="66" spans="1:10" x14ac:dyDescent="0.25">
      <c r="A66" s="2"/>
      <c r="B66" s="2"/>
      <c r="C66" s="2"/>
      <c r="D66" s="2"/>
      <c r="E66" s="2"/>
      <c r="F66" s="2"/>
      <c r="G66" s="2"/>
      <c r="H66" s="2"/>
      <c r="I66" s="2"/>
      <c r="J66" s="230">
        <f t="shared" si="1"/>
        <v>0</v>
      </c>
    </row>
    <row r="67" spans="1:10" x14ac:dyDescent="0.25">
      <c r="A67" s="2"/>
      <c r="B67" s="2"/>
      <c r="C67" s="2"/>
      <c r="D67" s="2"/>
      <c r="E67" s="2"/>
      <c r="F67" s="2"/>
      <c r="G67" s="2"/>
      <c r="H67" s="2"/>
      <c r="I67" s="2"/>
      <c r="J67" s="230">
        <f t="shared" si="1"/>
        <v>0</v>
      </c>
    </row>
    <row r="68" spans="1:10" x14ac:dyDescent="0.25">
      <c r="A68" s="2"/>
      <c r="B68" s="2"/>
      <c r="C68" s="2"/>
      <c r="D68" s="2"/>
      <c r="E68" s="2"/>
      <c r="F68" s="2"/>
      <c r="G68" s="2"/>
      <c r="H68" s="2"/>
      <c r="I68" s="2"/>
      <c r="J68" s="230">
        <f t="shared" ref="J68:J77" si="2">SUM(B68:E68)</f>
        <v>0</v>
      </c>
    </row>
    <row r="69" spans="1:10" x14ac:dyDescent="0.25">
      <c r="A69" s="2"/>
      <c r="B69" s="2"/>
      <c r="C69" s="2"/>
      <c r="D69" s="2"/>
      <c r="E69" s="2"/>
      <c r="F69" s="2"/>
      <c r="G69" s="2"/>
      <c r="H69" s="2"/>
      <c r="I69" s="2"/>
      <c r="J69" s="230">
        <f t="shared" si="2"/>
        <v>0</v>
      </c>
    </row>
    <row r="70" spans="1:10" x14ac:dyDescent="0.25">
      <c r="A70" s="2"/>
      <c r="B70" s="2"/>
      <c r="C70" s="2"/>
      <c r="D70" s="2"/>
      <c r="E70" s="2"/>
      <c r="F70" s="2"/>
      <c r="G70" s="2"/>
      <c r="H70" s="2"/>
      <c r="I70" s="2"/>
      <c r="J70" s="230">
        <f t="shared" si="2"/>
        <v>0</v>
      </c>
    </row>
    <row r="71" spans="1:10" x14ac:dyDescent="0.25">
      <c r="A71" s="2"/>
      <c r="B71" s="2"/>
      <c r="C71" s="2"/>
      <c r="D71" s="2"/>
      <c r="E71" s="2"/>
      <c r="F71" s="2"/>
      <c r="G71" s="2"/>
      <c r="H71" s="2"/>
      <c r="I71" s="2"/>
      <c r="J71" s="230">
        <f t="shared" si="2"/>
        <v>0</v>
      </c>
    </row>
    <row r="72" spans="1:10" x14ac:dyDescent="0.25">
      <c r="A72" s="2"/>
      <c r="B72" s="2"/>
      <c r="C72" s="2"/>
      <c r="D72" s="2"/>
      <c r="E72" s="2"/>
      <c r="F72" s="2"/>
      <c r="G72" s="2"/>
      <c r="H72" s="2"/>
      <c r="I72" s="2"/>
      <c r="J72" s="230">
        <f t="shared" si="2"/>
        <v>0</v>
      </c>
    </row>
    <row r="73" spans="1:10" x14ac:dyDescent="0.25">
      <c r="A73" s="2"/>
      <c r="B73" s="2"/>
      <c r="C73" s="2"/>
      <c r="D73" s="2"/>
      <c r="E73" s="2"/>
      <c r="F73" s="2"/>
      <c r="G73" s="2"/>
      <c r="H73" s="2"/>
      <c r="I73" s="2"/>
      <c r="J73" s="230">
        <f t="shared" si="2"/>
        <v>0</v>
      </c>
    </row>
    <row r="74" spans="1:10" x14ac:dyDescent="0.25">
      <c r="A74" s="2"/>
      <c r="B74" s="2"/>
      <c r="C74" s="2"/>
      <c r="D74" s="2"/>
      <c r="E74" s="2"/>
      <c r="F74" s="2"/>
      <c r="G74" s="2"/>
      <c r="H74" s="2"/>
      <c r="I74" s="2"/>
      <c r="J74" s="230">
        <f t="shared" si="2"/>
        <v>0</v>
      </c>
    </row>
    <row r="75" spans="1:10" x14ac:dyDescent="0.25">
      <c r="A75" s="2"/>
      <c r="B75" s="2"/>
      <c r="C75" s="2"/>
      <c r="D75" s="2"/>
      <c r="E75" s="2"/>
      <c r="F75" s="2"/>
      <c r="G75" s="2"/>
      <c r="H75" s="2"/>
      <c r="I75" s="2"/>
      <c r="J75" s="230">
        <f t="shared" si="2"/>
        <v>0</v>
      </c>
    </row>
    <row r="76" spans="1:10" x14ac:dyDescent="0.25">
      <c r="A76" s="2"/>
      <c r="B76" s="2"/>
      <c r="C76" s="2"/>
      <c r="D76" s="2"/>
      <c r="E76" s="2"/>
      <c r="F76" s="2"/>
      <c r="G76" s="2"/>
      <c r="H76" s="2"/>
      <c r="I76" s="2"/>
      <c r="J76" s="230">
        <f t="shared" si="2"/>
        <v>0</v>
      </c>
    </row>
    <row r="77" spans="1:10" x14ac:dyDescent="0.25">
      <c r="A77" s="2"/>
      <c r="B77" s="2"/>
      <c r="C77" s="2"/>
      <c r="D77" s="2"/>
      <c r="E77" s="2"/>
      <c r="F77" s="2"/>
      <c r="G77" s="2"/>
      <c r="H77" s="2"/>
      <c r="I77" s="2"/>
      <c r="J77" s="230">
        <f t="shared" si="2"/>
        <v>0</v>
      </c>
    </row>
    <row r="78" spans="1:10" x14ac:dyDescent="0.25">
      <c r="A78" s="2"/>
      <c r="B78" s="2"/>
      <c r="C78" s="2"/>
      <c r="D78" s="2"/>
      <c r="E78" s="2"/>
      <c r="F78" s="2"/>
      <c r="G78" s="2"/>
      <c r="H78" s="2"/>
      <c r="I78"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2665-F2D3-4616-A057-BDF4C98575B2}">
  <dimension ref="A1:M78"/>
  <sheetViews>
    <sheetView workbookViewId="0">
      <selection sqref="A1:A1048576"/>
    </sheetView>
  </sheetViews>
  <sheetFormatPr defaultRowHeight="15" x14ac:dyDescent="0.25"/>
  <sheetData>
    <row r="1" spans="1:13" x14ac:dyDescent="0.25">
      <c r="A1" s="1" t="s">
        <v>0</v>
      </c>
      <c r="B1" s="1"/>
      <c r="C1" s="1"/>
      <c r="D1" s="1"/>
      <c r="E1" s="1"/>
      <c r="F1" s="1"/>
      <c r="G1" s="1"/>
      <c r="H1" s="1"/>
      <c r="I1" s="1"/>
      <c r="J1" s="1"/>
      <c r="K1" s="1"/>
      <c r="L1" s="1"/>
      <c r="M1" s="1"/>
    </row>
    <row r="2" spans="1:13" x14ac:dyDescent="0.25">
      <c r="A2" s="1"/>
      <c r="B2" s="1" t="s">
        <v>1</v>
      </c>
      <c r="C2" s="1" t="s">
        <v>2</v>
      </c>
      <c r="D2" s="1" t="s">
        <v>3</v>
      </c>
      <c r="E2" s="1" t="s">
        <v>4</v>
      </c>
      <c r="F2" s="1" t="s">
        <v>5</v>
      </c>
      <c r="G2" s="1" t="s">
        <v>6</v>
      </c>
      <c r="H2" s="1" t="s">
        <v>7</v>
      </c>
      <c r="I2" s="1" t="s">
        <v>8</v>
      </c>
      <c r="J2" s="2"/>
      <c r="K2" s="2"/>
      <c r="L2" s="2"/>
      <c r="M2" s="2"/>
    </row>
    <row r="3" spans="1:13" x14ac:dyDescent="0.25">
      <c r="A3" s="4">
        <v>42156</v>
      </c>
      <c r="B3" s="2">
        <v>58.332000000000001</v>
      </c>
      <c r="C3" s="2">
        <v>32.222000000000001</v>
      </c>
      <c r="D3" s="2">
        <v>26.11</v>
      </c>
      <c r="E3" s="2">
        <v>7.3540000000000001</v>
      </c>
      <c r="F3" s="2">
        <v>58.929000000000002</v>
      </c>
      <c r="G3" s="2">
        <v>33.624000000000002</v>
      </c>
      <c r="H3" s="2">
        <v>25.305</v>
      </c>
      <c r="I3" s="2">
        <v>7.3780000000000001</v>
      </c>
      <c r="J3" s="2"/>
      <c r="K3" s="2"/>
      <c r="L3" s="2"/>
      <c r="M3" s="2"/>
    </row>
    <row r="4" spans="1:13" x14ac:dyDescent="0.25">
      <c r="A4" s="4">
        <v>42248</v>
      </c>
      <c r="B4" s="2">
        <v>59.715000000000003</v>
      </c>
      <c r="C4" s="2">
        <v>36.487000000000002</v>
      </c>
      <c r="D4" s="2">
        <v>23.228999999999999</v>
      </c>
      <c r="E4" s="2">
        <v>7.3920000000000003</v>
      </c>
      <c r="F4" s="2">
        <v>58.039000000000001</v>
      </c>
      <c r="G4" s="2">
        <v>35.289000000000001</v>
      </c>
      <c r="H4" s="2">
        <v>22.748999999999999</v>
      </c>
      <c r="I4" s="2">
        <v>7.2939999999999996</v>
      </c>
      <c r="J4" s="2"/>
      <c r="K4" s="2"/>
      <c r="L4" s="2"/>
      <c r="M4" s="2"/>
    </row>
    <row r="5" spans="1:13" x14ac:dyDescent="0.25">
      <c r="A5" s="4">
        <v>42339</v>
      </c>
      <c r="B5" s="2">
        <v>55.701000000000001</v>
      </c>
      <c r="C5" s="2">
        <v>36.752000000000002</v>
      </c>
      <c r="D5" s="2">
        <v>18.949000000000002</v>
      </c>
      <c r="E5" s="2">
        <v>7.1589999999999998</v>
      </c>
      <c r="F5" s="2">
        <v>56.152999999999999</v>
      </c>
      <c r="G5" s="2">
        <v>36.149000000000001</v>
      </c>
      <c r="H5" s="2">
        <v>20.003</v>
      </c>
      <c r="I5" s="2">
        <v>7.2169999999999996</v>
      </c>
      <c r="J5" s="2"/>
      <c r="K5" s="2"/>
      <c r="L5" s="2"/>
      <c r="M5" s="2"/>
    </row>
    <row r="6" spans="1:13" x14ac:dyDescent="0.25">
      <c r="A6" s="4">
        <v>42430</v>
      </c>
      <c r="B6" s="2">
        <v>53.262</v>
      </c>
      <c r="C6" s="2">
        <v>34.686</v>
      </c>
      <c r="D6" s="2">
        <v>18.576000000000001</v>
      </c>
      <c r="E6" s="2">
        <v>7.0679999999999996</v>
      </c>
      <c r="F6" s="2">
        <v>54.723999999999997</v>
      </c>
      <c r="G6" s="2">
        <v>35.847000000000001</v>
      </c>
      <c r="H6" s="2">
        <v>18.876999999999999</v>
      </c>
      <c r="I6" s="2">
        <v>7.1829999999999998</v>
      </c>
      <c r="J6" s="2"/>
      <c r="K6" s="2"/>
      <c r="L6" s="2"/>
      <c r="M6" s="2"/>
    </row>
    <row r="7" spans="1:13" x14ac:dyDescent="0.25">
      <c r="A7" s="4">
        <v>42522</v>
      </c>
      <c r="B7" s="2">
        <v>56.220999999999997</v>
      </c>
      <c r="C7" s="2">
        <v>35.941000000000003</v>
      </c>
      <c r="D7" s="2">
        <v>20.28</v>
      </c>
      <c r="E7" s="2">
        <v>7.3630000000000004</v>
      </c>
      <c r="F7" s="2">
        <v>55.061999999999998</v>
      </c>
      <c r="G7" s="2">
        <v>35.066000000000003</v>
      </c>
      <c r="H7" s="2">
        <v>19.995999999999999</v>
      </c>
      <c r="I7" s="2">
        <v>7.1550000000000002</v>
      </c>
      <c r="J7" s="2"/>
      <c r="K7" s="2"/>
      <c r="L7" s="2"/>
      <c r="M7" s="2"/>
    </row>
    <row r="8" spans="1:13" x14ac:dyDescent="0.25">
      <c r="A8" s="4">
        <v>42614</v>
      </c>
      <c r="B8" s="2">
        <v>56.557000000000002</v>
      </c>
      <c r="C8" s="2">
        <v>34.533000000000001</v>
      </c>
      <c r="D8" s="2">
        <v>22.024000000000001</v>
      </c>
      <c r="E8" s="2">
        <v>7.0410000000000004</v>
      </c>
      <c r="F8" s="2">
        <v>57.432000000000002</v>
      </c>
      <c r="G8" s="2">
        <v>35.109000000000002</v>
      </c>
      <c r="H8" s="2">
        <v>22.324000000000002</v>
      </c>
      <c r="I8" s="2">
        <v>7.1180000000000003</v>
      </c>
      <c r="J8" s="2"/>
      <c r="K8" s="2"/>
      <c r="L8" s="2"/>
      <c r="M8" s="2"/>
    </row>
    <row r="9" spans="1:13" x14ac:dyDescent="0.25">
      <c r="A9" s="4">
        <v>42705</v>
      </c>
      <c r="B9" s="2">
        <v>60.040999999999997</v>
      </c>
      <c r="C9" s="2">
        <v>35.634999999999998</v>
      </c>
      <c r="D9" s="2">
        <v>24.405999999999999</v>
      </c>
      <c r="E9" s="2">
        <v>7.048</v>
      </c>
      <c r="F9" s="2">
        <v>59.933</v>
      </c>
      <c r="G9" s="2">
        <v>35.841999999999999</v>
      </c>
      <c r="H9" s="2">
        <v>24.091000000000001</v>
      </c>
      <c r="I9" s="2">
        <v>7.1219999999999999</v>
      </c>
      <c r="J9" s="2"/>
      <c r="K9" s="2"/>
      <c r="L9" s="2"/>
      <c r="M9" s="2"/>
    </row>
    <row r="10" spans="1:13" x14ac:dyDescent="0.25">
      <c r="A10" s="4">
        <v>42795</v>
      </c>
      <c r="B10" s="2">
        <v>62.643000000000001</v>
      </c>
      <c r="C10" s="2">
        <v>37.475999999999999</v>
      </c>
      <c r="D10" s="2">
        <v>25.167999999999999</v>
      </c>
      <c r="E10" s="2">
        <v>7.2720000000000002</v>
      </c>
      <c r="F10" s="2">
        <v>61.551000000000002</v>
      </c>
      <c r="G10" s="2">
        <v>37.091000000000001</v>
      </c>
      <c r="H10" s="2">
        <v>24.46</v>
      </c>
      <c r="I10" s="2">
        <v>7.24</v>
      </c>
      <c r="J10" s="2"/>
      <c r="K10" s="2"/>
      <c r="L10" s="2"/>
      <c r="M10" s="2"/>
    </row>
    <row r="11" spans="1:13" x14ac:dyDescent="0.25">
      <c r="A11" s="4">
        <v>42887</v>
      </c>
      <c r="B11" s="2">
        <v>61.046999999999997</v>
      </c>
      <c r="C11" s="2">
        <v>38.162999999999997</v>
      </c>
      <c r="D11" s="2">
        <v>22.884</v>
      </c>
      <c r="E11" s="2">
        <v>7.5060000000000002</v>
      </c>
      <c r="F11" s="2">
        <v>61.932000000000002</v>
      </c>
      <c r="G11" s="2">
        <v>38.459000000000003</v>
      </c>
      <c r="H11" s="2">
        <v>23.474</v>
      </c>
      <c r="I11" s="2">
        <v>7.468</v>
      </c>
      <c r="J11" s="2"/>
      <c r="K11" s="2"/>
      <c r="L11" s="2"/>
      <c r="M11" s="2"/>
    </row>
    <row r="12" spans="1:13" x14ac:dyDescent="0.25">
      <c r="A12" s="4">
        <v>42979</v>
      </c>
      <c r="B12" s="2">
        <v>61.447000000000003</v>
      </c>
      <c r="C12" s="2">
        <v>39.594000000000001</v>
      </c>
      <c r="D12" s="2">
        <v>21.853000000000002</v>
      </c>
      <c r="E12" s="2">
        <v>9.2230000000000008</v>
      </c>
      <c r="F12" s="2">
        <v>60.939</v>
      </c>
      <c r="G12" s="2">
        <v>39.085000000000001</v>
      </c>
      <c r="H12" s="2">
        <v>21.853999999999999</v>
      </c>
      <c r="I12" s="2">
        <v>9.2789999999999999</v>
      </c>
      <c r="J12" s="2"/>
      <c r="K12" s="2"/>
      <c r="L12" s="2"/>
      <c r="M12" s="2"/>
    </row>
    <row r="13" spans="1:13" x14ac:dyDescent="0.25">
      <c r="A13" s="4">
        <v>43070</v>
      </c>
      <c r="B13" s="2">
        <v>59.384</v>
      </c>
      <c r="C13" s="2">
        <v>38.959000000000003</v>
      </c>
      <c r="D13" s="2">
        <v>20.423999999999999</v>
      </c>
      <c r="E13" s="2">
        <v>9.5500000000000007</v>
      </c>
      <c r="F13" s="2">
        <v>59.585000000000001</v>
      </c>
      <c r="G13" s="2">
        <v>39.234999999999999</v>
      </c>
      <c r="H13" s="2">
        <v>20.350000000000001</v>
      </c>
      <c r="I13" s="2">
        <v>9.5220000000000002</v>
      </c>
      <c r="J13" s="2"/>
      <c r="K13" s="2"/>
      <c r="L13" s="2"/>
      <c r="M13" s="2"/>
    </row>
    <row r="14" spans="1:13" x14ac:dyDescent="0.25">
      <c r="A14" s="4">
        <v>43160</v>
      </c>
      <c r="B14" s="2">
        <v>57.777999999999999</v>
      </c>
      <c r="C14" s="2">
        <v>38.747</v>
      </c>
      <c r="D14" s="2">
        <v>19.030999999999999</v>
      </c>
      <c r="E14" s="2">
        <v>9.6809999999999992</v>
      </c>
      <c r="F14" s="2">
        <v>58.174999999999997</v>
      </c>
      <c r="G14" s="2">
        <v>39.063000000000002</v>
      </c>
      <c r="H14" s="2">
        <v>19.111999999999998</v>
      </c>
      <c r="I14" s="2">
        <v>9.7360000000000007</v>
      </c>
      <c r="J14" s="2"/>
      <c r="K14" s="2"/>
      <c r="L14" s="2"/>
      <c r="M14" s="2"/>
    </row>
    <row r="15" spans="1:13" x14ac:dyDescent="0.25">
      <c r="A15" s="4">
        <v>43252</v>
      </c>
      <c r="B15" s="2">
        <v>56.71</v>
      </c>
      <c r="C15" s="2">
        <v>38.924999999999997</v>
      </c>
      <c r="D15" s="2">
        <v>17.785</v>
      </c>
      <c r="E15" s="2">
        <v>9.8780000000000001</v>
      </c>
      <c r="F15" s="2">
        <v>56.337000000000003</v>
      </c>
      <c r="G15" s="2">
        <v>38.421999999999997</v>
      </c>
      <c r="H15" s="2">
        <v>17.914999999999999</v>
      </c>
      <c r="I15" s="2">
        <v>9.8000000000000007</v>
      </c>
      <c r="J15" s="2"/>
      <c r="K15" s="2"/>
      <c r="L15" s="2"/>
      <c r="M15" s="2"/>
    </row>
    <row r="16" spans="1:13" x14ac:dyDescent="0.25">
      <c r="A16" s="4">
        <v>43344</v>
      </c>
      <c r="B16" s="2">
        <v>53.972000000000001</v>
      </c>
      <c r="C16" s="2">
        <v>37.029000000000003</v>
      </c>
      <c r="D16" s="2">
        <v>16.943000000000001</v>
      </c>
      <c r="E16" s="2">
        <v>9.6560000000000006</v>
      </c>
      <c r="F16" s="2">
        <v>53.661999999999999</v>
      </c>
      <c r="G16" s="2">
        <v>37.002000000000002</v>
      </c>
      <c r="H16" s="2">
        <v>16.661000000000001</v>
      </c>
      <c r="I16" s="2">
        <v>9.5660000000000007</v>
      </c>
      <c r="J16" s="2"/>
      <c r="K16" s="2"/>
      <c r="L16" s="2"/>
      <c r="M16" s="2"/>
    </row>
    <row r="17" spans="1:13" x14ac:dyDescent="0.25">
      <c r="A17" s="4">
        <v>43435</v>
      </c>
      <c r="B17" s="2">
        <v>50.31</v>
      </c>
      <c r="C17" s="2">
        <v>35.036999999999999</v>
      </c>
      <c r="D17" s="2">
        <v>15.273</v>
      </c>
      <c r="E17" s="2">
        <v>9.2040000000000006</v>
      </c>
      <c r="F17" s="2">
        <v>49.853000000000002</v>
      </c>
      <c r="G17" s="2">
        <v>34.732999999999997</v>
      </c>
      <c r="H17" s="2">
        <v>15.12</v>
      </c>
      <c r="I17" s="2">
        <v>9.1240000000000006</v>
      </c>
      <c r="J17" s="2"/>
      <c r="K17" s="2"/>
      <c r="L17" s="2"/>
      <c r="M17" s="2"/>
    </row>
    <row r="18" spans="1:13" x14ac:dyDescent="0.25">
      <c r="A18" s="4">
        <v>43525</v>
      </c>
      <c r="B18" s="2">
        <v>46.244</v>
      </c>
      <c r="C18" s="2">
        <v>32.597000000000001</v>
      </c>
      <c r="D18" s="2">
        <v>13.648</v>
      </c>
      <c r="E18" s="2">
        <v>8.7579999999999991</v>
      </c>
      <c r="F18" s="2">
        <v>46.737000000000002</v>
      </c>
      <c r="G18" s="2">
        <v>32.914999999999999</v>
      </c>
      <c r="H18" s="2">
        <v>13.823</v>
      </c>
      <c r="I18" s="2">
        <v>8.9719999999999995</v>
      </c>
      <c r="J18" s="2"/>
      <c r="K18" s="2"/>
      <c r="L18" s="2"/>
      <c r="M18" s="2"/>
    </row>
    <row r="19" spans="1:13" x14ac:dyDescent="0.25">
      <c r="A19" s="4">
        <v>43617</v>
      </c>
      <c r="B19" s="2">
        <v>45.289000000000001</v>
      </c>
      <c r="C19" s="2">
        <v>32.372</v>
      </c>
      <c r="D19" s="2">
        <v>12.917999999999999</v>
      </c>
      <c r="E19" s="2">
        <v>9.2769999999999992</v>
      </c>
      <c r="F19" s="2">
        <v>46.72</v>
      </c>
      <c r="G19" s="2">
        <v>33.200000000000003</v>
      </c>
      <c r="H19" s="2">
        <v>13.52</v>
      </c>
      <c r="I19" s="2">
        <v>9.5419999999999998</v>
      </c>
      <c r="J19" s="2"/>
      <c r="K19" s="2"/>
      <c r="L19" s="2"/>
      <c r="M19" s="2"/>
    </row>
    <row r="20" spans="1:13" x14ac:dyDescent="0.25">
      <c r="A20" s="4">
        <v>43709</v>
      </c>
      <c r="B20" s="2">
        <v>49.973999999999997</v>
      </c>
      <c r="C20" s="2">
        <v>35.481000000000002</v>
      </c>
      <c r="D20" s="2">
        <v>14.493</v>
      </c>
      <c r="E20" s="2">
        <v>10.867000000000001</v>
      </c>
      <c r="F20" s="2">
        <v>49.606000000000002</v>
      </c>
      <c r="G20" s="2">
        <v>35.465000000000003</v>
      </c>
      <c r="H20" s="2">
        <v>14.141</v>
      </c>
      <c r="I20" s="2">
        <v>10.696999999999999</v>
      </c>
      <c r="J20" s="2"/>
      <c r="K20" s="2"/>
      <c r="L20" s="2"/>
      <c r="M20" s="2"/>
    </row>
    <row r="21" spans="1:13" x14ac:dyDescent="0.25">
      <c r="A21" s="4">
        <v>43800</v>
      </c>
      <c r="B21" s="2">
        <v>54.398000000000003</v>
      </c>
      <c r="C21" s="2">
        <v>39.249000000000002</v>
      </c>
      <c r="D21" s="2">
        <v>15.148999999999999</v>
      </c>
      <c r="E21" s="2">
        <v>11.824999999999999</v>
      </c>
      <c r="F21" s="2">
        <v>52.932000000000002</v>
      </c>
      <c r="G21" s="2">
        <v>38.118000000000002</v>
      </c>
      <c r="H21" s="2">
        <v>14.815</v>
      </c>
      <c r="I21" s="2">
        <v>11.685</v>
      </c>
      <c r="J21" s="2"/>
      <c r="K21" s="2"/>
      <c r="L21" s="2"/>
      <c r="M21" s="2"/>
    </row>
    <row r="22" spans="1:13" x14ac:dyDescent="0.25">
      <c r="A22" s="4">
        <v>43891</v>
      </c>
      <c r="B22" s="2">
        <v>54.582999999999998</v>
      </c>
      <c r="C22" s="2">
        <v>39.823999999999998</v>
      </c>
      <c r="D22" s="2">
        <v>14.76</v>
      </c>
      <c r="E22" s="2">
        <v>12.225</v>
      </c>
      <c r="F22" s="2">
        <v>54.524999999999999</v>
      </c>
      <c r="G22" s="2">
        <v>39.731000000000002</v>
      </c>
      <c r="H22" s="2">
        <v>14.794</v>
      </c>
      <c r="I22" s="2">
        <v>11.879</v>
      </c>
      <c r="J22" s="2"/>
      <c r="K22" s="2"/>
      <c r="L22" s="2"/>
      <c r="M22" s="2"/>
    </row>
    <row r="23" spans="1:13" x14ac:dyDescent="0.25">
      <c r="A23" s="4">
        <v>43983</v>
      </c>
      <c r="B23" s="2">
        <v>47.137999999999998</v>
      </c>
      <c r="C23" s="2">
        <v>34.984000000000002</v>
      </c>
      <c r="D23" s="2">
        <v>12.154</v>
      </c>
      <c r="E23" s="2">
        <v>11.51</v>
      </c>
      <c r="F23" s="2">
        <v>55.518000000000001</v>
      </c>
      <c r="G23" s="2">
        <v>41.195</v>
      </c>
      <c r="H23" s="2">
        <v>14.323</v>
      </c>
      <c r="I23" s="2">
        <v>11.69</v>
      </c>
      <c r="J23" s="2"/>
      <c r="K23" s="2"/>
      <c r="L23" s="2"/>
      <c r="M23" s="2"/>
    </row>
    <row r="24" spans="1:13" x14ac:dyDescent="0.25">
      <c r="A24" s="4">
        <v>44075</v>
      </c>
      <c r="B24" s="2">
        <v>58.28</v>
      </c>
      <c r="C24" s="2">
        <v>44.012999999999998</v>
      </c>
      <c r="D24" s="2">
        <v>14.268000000000001</v>
      </c>
      <c r="E24" s="2">
        <v>15.273</v>
      </c>
      <c r="F24" s="2">
        <v>59.863999999999997</v>
      </c>
      <c r="G24" s="2">
        <v>45.234000000000002</v>
      </c>
      <c r="H24" s="2">
        <v>14.631</v>
      </c>
      <c r="I24" s="2">
        <v>16.064</v>
      </c>
      <c r="J24" s="2"/>
      <c r="K24" s="2"/>
      <c r="L24" s="2"/>
      <c r="M24" s="2"/>
    </row>
    <row r="25" spans="1:13" x14ac:dyDescent="0.25">
      <c r="A25" s="4">
        <v>44166</v>
      </c>
      <c r="B25" s="2">
        <v>67.484999999999999</v>
      </c>
      <c r="C25" s="2">
        <v>51.432000000000002</v>
      </c>
      <c r="D25" s="2">
        <v>16.053000000000001</v>
      </c>
      <c r="E25" s="2">
        <v>17.771999999999998</v>
      </c>
      <c r="F25" s="2">
        <v>68.52</v>
      </c>
      <c r="G25" s="2">
        <v>52.052999999999997</v>
      </c>
      <c r="H25" s="2">
        <v>16.466999999999999</v>
      </c>
      <c r="I25" s="2">
        <v>17.873999999999999</v>
      </c>
      <c r="J25" s="2"/>
      <c r="K25" s="2"/>
      <c r="L25" s="2"/>
      <c r="M25" s="2"/>
    </row>
    <row r="26" spans="1:13" x14ac:dyDescent="0.25">
      <c r="A26" s="4">
        <v>44256</v>
      </c>
      <c r="B26" s="2">
        <v>80.736000000000004</v>
      </c>
      <c r="C26" s="2">
        <v>60.665999999999997</v>
      </c>
      <c r="D26" s="2">
        <v>20.07</v>
      </c>
      <c r="E26" s="2">
        <v>20.434999999999999</v>
      </c>
      <c r="F26" s="2">
        <v>78.438000000000002</v>
      </c>
      <c r="G26" s="2">
        <v>58.652000000000001</v>
      </c>
      <c r="H26" s="2">
        <v>19.786000000000001</v>
      </c>
      <c r="I26" s="2">
        <v>19.356999999999999</v>
      </c>
      <c r="J26" s="2"/>
      <c r="K26" s="2"/>
      <c r="L26" s="2"/>
      <c r="M26" s="2"/>
    </row>
    <row r="27" spans="1:13" x14ac:dyDescent="0.25">
      <c r="A27" s="4">
        <v>44348</v>
      </c>
      <c r="B27" s="2">
        <v>85.944000000000003</v>
      </c>
      <c r="C27" s="2">
        <v>62.203000000000003</v>
      </c>
      <c r="D27" s="2">
        <v>23.741</v>
      </c>
      <c r="E27" s="2">
        <v>19.245999999999999</v>
      </c>
      <c r="F27" s="2">
        <v>85.837999999999994</v>
      </c>
      <c r="G27" s="2">
        <v>62.055</v>
      </c>
      <c r="H27" s="2">
        <v>23.783000000000001</v>
      </c>
      <c r="I27" s="2">
        <v>19.242999999999999</v>
      </c>
      <c r="J27" s="2"/>
      <c r="K27" s="2"/>
      <c r="L27" s="2"/>
      <c r="M27" s="2"/>
    </row>
    <row r="28" spans="1:13" x14ac:dyDescent="0.25">
      <c r="A28" s="4">
        <v>44440</v>
      </c>
      <c r="B28" s="2">
        <v>89.45</v>
      </c>
      <c r="C28" s="2">
        <v>61.820999999999998</v>
      </c>
      <c r="D28" s="2">
        <v>27.628</v>
      </c>
      <c r="E28" s="2">
        <v>17.388000000000002</v>
      </c>
      <c r="F28" s="2">
        <v>90.188000000000002</v>
      </c>
      <c r="G28" s="2">
        <v>62.429000000000002</v>
      </c>
      <c r="H28" s="2">
        <v>27.759</v>
      </c>
      <c r="I28" s="2">
        <v>17.925999999999998</v>
      </c>
      <c r="J28" s="2"/>
      <c r="K28" s="2"/>
      <c r="L28" s="2"/>
      <c r="M28" s="2"/>
    </row>
    <row r="29" spans="1:13" x14ac:dyDescent="0.25">
      <c r="A29" s="4">
        <v>44531</v>
      </c>
      <c r="B29" s="2">
        <v>91.165000000000006</v>
      </c>
      <c r="C29" s="2">
        <v>60.686</v>
      </c>
      <c r="D29" s="2">
        <v>30.48</v>
      </c>
      <c r="E29" s="2">
        <v>16.635999999999999</v>
      </c>
      <c r="F29" s="2">
        <v>92.221999999999994</v>
      </c>
      <c r="G29" s="2">
        <v>61.511000000000003</v>
      </c>
      <c r="H29" s="2">
        <v>30.710999999999999</v>
      </c>
      <c r="I29" s="2">
        <v>16.611000000000001</v>
      </c>
      <c r="J29" s="2"/>
      <c r="K29" s="2"/>
      <c r="L29" s="2"/>
      <c r="M29" s="2"/>
    </row>
    <row r="30" spans="1:13" x14ac:dyDescent="0.25">
      <c r="A30" s="4">
        <v>44621</v>
      </c>
      <c r="B30" s="2">
        <v>93.665000000000006</v>
      </c>
      <c r="C30" s="2">
        <v>61.031999999999996</v>
      </c>
      <c r="D30" s="2">
        <v>32.633000000000003</v>
      </c>
      <c r="E30" s="2">
        <v>15.837</v>
      </c>
      <c r="F30" s="2">
        <v>91.128</v>
      </c>
      <c r="G30" s="2">
        <v>59.761000000000003</v>
      </c>
      <c r="H30" s="2">
        <v>31.367000000000001</v>
      </c>
      <c r="I30" s="2">
        <v>15.739000000000001</v>
      </c>
      <c r="J30" s="2"/>
      <c r="K30" s="2"/>
      <c r="L30" s="2"/>
      <c r="M30" s="2"/>
    </row>
    <row r="31" spans="1:13" x14ac:dyDescent="0.25">
      <c r="A31" s="4">
        <v>44713</v>
      </c>
      <c r="B31" s="2">
        <v>85.4</v>
      </c>
      <c r="C31" s="2">
        <v>56.155999999999999</v>
      </c>
      <c r="D31" s="2">
        <v>29.244</v>
      </c>
      <c r="E31" s="2">
        <v>14.861000000000001</v>
      </c>
      <c r="F31" s="2">
        <v>85.516999999999996</v>
      </c>
      <c r="G31" s="2">
        <v>56.164000000000001</v>
      </c>
      <c r="H31" s="2">
        <v>29.353999999999999</v>
      </c>
      <c r="I31" s="2">
        <v>14.807</v>
      </c>
      <c r="J31" s="2"/>
      <c r="K31" s="2"/>
      <c r="L31" s="2"/>
      <c r="M31" s="2"/>
    </row>
    <row r="32" spans="1:13" x14ac:dyDescent="0.25">
      <c r="A32" s="4">
        <v>44805</v>
      </c>
      <c r="B32" s="2">
        <v>76.531999999999996</v>
      </c>
      <c r="C32" s="2">
        <v>51.048999999999999</v>
      </c>
      <c r="D32" s="2">
        <v>25.483000000000001</v>
      </c>
      <c r="E32" s="2">
        <v>13.853999999999999</v>
      </c>
      <c r="F32" s="2">
        <v>77.141999999999996</v>
      </c>
      <c r="G32" s="2">
        <v>51.118000000000002</v>
      </c>
      <c r="H32" s="2">
        <v>26.024000000000001</v>
      </c>
      <c r="I32" s="2">
        <v>13.715999999999999</v>
      </c>
      <c r="J32" s="2"/>
      <c r="K32" s="2"/>
      <c r="L32" s="2"/>
      <c r="M32" s="2"/>
    </row>
    <row r="33" spans="1:13" x14ac:dyDescent="0.25">
      <c r="A33" s="4">
        <v>44896</v>
      </c>
      <c r="B33" s="2">
        <v>69.403999999999996</v>
      </c>
      <c r="C33" s="2">
        <v>46.191000000000003</v>
      </c>
      <c r="D33" s="2">
        <v>23.213999999999999</v>
      </c>
      <c r="E33" s="2">
        <v>12.771000000000001</v>
      </c>
      <c r="F33" s="2">
        <v>69.933999999999997</v>
      </c>
      <c r="G33" s="2">
        <v>46.613999999999997</v>
      </c>
      <c r="H33" s="2">
        <v>23.321000000000002</v>
      </c>
      <c r="I33" s="2">
        <v>12.984999999999999</v>
      </c>
      <c r="J33" s="2"/>
      <c r="K33" s="2"/>
      <c r="L33" s="2"/>
      <c r="M33" s="2"/>
    </row>
    <row r="34" spans="1:13" x14ac:dyDescent="0.25">
      <c r="A34" s="4">
        <v>44986</v>
      </c>
      <c r="B34" s="2">
        <v>66.105000000000004</v>
      </c>
      <c r="C34" s="2">
        <v>43.771999999999998</v>
      </c>
      <c r="D34" s="2">
        <v>22.332999999999998</v>
      </c>
      <c r="E34" s="2">
        <v>12.78</v>
      </c>
      <c r="F34" s="2">
        <v>66.659000000000006</v>
      </c>
      <c r="G34" s="2">
        <v>44.295000000000002</v>
      </c>
      <c r="H34" s="2">
        <v>22.364000000000001</v>
      </c>
      <c r="I34" s="2">
        <v>13.04</v>
      </c>
      <c r="J34" s="2"/>
      <c r="K34" s="2"/>
      <c r="L34" s="2"/>
      <c r="M34" s="2"/>
    </row>
    <row r="35" spans="1:13" x14ac:dyDescent="0.25">
      <c r="A35" s="4">
        <v>45078</v>
      </c>
      <c r="B35" s="2">
        <v>66.915999999999997</v>
      </c>
      <c r="C35" s="2">
        <v>44.182000000000002</v>
      </c>
      <c r="D35" s="2">
        <v>22.734000000000002</v>
      </c>
      <c r="E35" s="2">
        <v>13.948</v>
      </c>
      <c r="F35" s="2">
        <v>66.552000000000007</v>
      </c>
      <c r="G35" s="2">
        <v>43.642000000000003</v>
      </c>
      <c r="H35" s="2">
        <v>22.908999999999999</v>
      </c>
      <c r="I35" s="2">
        <v>13.749000000000001</v>
      </c>
      <c r="J35" s="2"/>
      <c r="K35" s="2"/>
      <c r="L35" s="2"/>
      <c r="M35" s="5">
        <v>45292</v>
      </c>
    </row>
    <row r="36" spans="1:13" x14ac:dyDescent="0.25">
      <c r="A36" s="4">
        <v>45170</v>
      </c>
      <c r="B36" s="2">
        <v>68.771000000000001</v>
      </c>
      <c r="C36" s="2">
        <v>44.304000000000002</v>
      </c>
      <c r="D36" s="2">
        <v>24.466999999999999</v>
      </c>
      <c r="E36" s="2">
        <v>13.435</v>
      </c>
      <c r="F36" s="2">
        <v>68.317999999999998</v>
      </c>
      <c r="G36" s="2">
        <v>43.951000000000001</v>
      </c>
      <c r="H36" s="2">
        <v>24.367000000000001</v>
      </c>
      <c r="I36" s="2">
        <v>14.632999999999999</v>
      </c>
      <c r="J36" s="2"/>
      <c r="K36" s="2"/>
      <c r="L36" s="2"/>
      <c r="M36" s="2">
        <v>503.30799999999999</v>
      </c>
    </row>
    <row r="37" spans="1:13" x14ac:dyDescent="0.25">
      <c r="A37" s="4">
        <v>45261</v>
      </c>
      <c r="B37" s="2">
        <v>74.974000000000004</v>
      </c>
      <c r="C37" s="2">
        <v>48.383000000000003</v>
      </c>
      <c r="D37" s="2">
        <v>26.591000000000001</v>
      </c>
      <c r="E37" s="2">
        <v>15.144</v>
      </c>
      <c r="F37" s="2">
        <v>71.45</v>
      </c>
      <c r="G37" s="2">
        <v>45.197000000000003</v>
      </c>
      <c r="H37" s="2">
        <v>26.253</v>
      </c>
      <c r="I37" s="2">
        <v>15.305</v>
      </c>
      <c r="J37" s="2"/>
      <c r="K37" s="2"/>
      <c r="L37" s="2"/>
      <c r="M37" s="2"/>
    </row>
    <row r="38" spans="1:13" x14ac:dyDescent="0.25">
      <c r="A38" s="4">
        <v>45352</v>
      </c>
      <c r="B38" s="2">
        <v>75.325999999999993</v>
      </c>
      <c r="C38" s="2">
        <v>47.326000000000001</v>
      </c>
      <c r="D38" s="2">
        <v>28.001000000000001</v>
      </c>
      <c r="E38" s="2">
        <v>14.563000000000001</v>
      </c>
      <c r="F38" s="2">
        <v>75.984999999999999</v>
      </c>
      <c r="G38" s="2">
        <v>47.427</v>
      </c>
      <c r="H38" s="2">
        <v>28.556999999999999</v>
      </c>
      <c r="I38" s="2">
        <v>15.670999999999999</v>
      </c>
      <c r="J38" s="2"/>
      <c r="K38" s="2"/>
      <c r="L38" s="2"/>
      <c r="M38" s="2">
        <v>346.21699999999998</v>
      </c>
    </row>
    <row r="39" spans="1:13" x14ac:dyDescent="0.25">
      <c r="A39" s="4">
        <v>45444</v>
      </c>
      <c r="B39" s="2">
        <v>81.765000000000001</v>
      </c>
      <c r="C39" s="2">
        <v>50.98</v>
      </c>
      <c r="D39" s="2">
        <v>30.785</v>
      </c>
      <c r="E39" s="2">
        <v>15.938000000000001</v>
      </c>
      <c r="F39" s="2">
        <v>81.197000000000003</v>
      </c>
      <c r="G39" s="2">
        <v>50.343000000000004</v>
      </c>
      <c r="H39" s="2">
        <v>30.855</v>
      </c>
      <c r="I39" s="2">
        <v>15.859</v>
      </c>
      <c r="J39" s="2"/>
      <c r="K39" s="2"/>
      <c r="L39" s="2"/>
      <c r="M39" s="2"/>
    </row>
    <row r="40" spans="1:13" x14ac:dyDescent="0.25">
      <c r="A40" s="4">
        <v>45536</v>
      </c>
      <c r="B40" s="2">
        <v>85.617000000000004</v>
      </c>
      <c r="C40" s="2">
        <v>52.241</v>
      </c>
      <c r="D40" s="2">
        <v>33.375999999999998</v>
      </c>
      <c r="E40" s="2">
        <v>15.669</v>
      </c>
      <c r="F40" s="2">
        <v>85.037000000000006</v>
      </c>
      <c r="G40" s="2">
        <v>52.621000000000002</v>
      </c>
      <c r="H40" s="2">
        <v>32.415999999999997</v>
      </c>
      <c r="I40" s="2">
        <v>15.798</v>
      </c>
      <c r="J40" s="2"/>
      <c r="K40" s="2"/>
      <c r="L40" s="2"/>
      <c r="M40" s="2"/>
    </row>
    <row r="41" spans="1:13" x14ac:dyDescent="0.25">
      <c r="A41" s="4">
        <v>45627</v>
      </c>
      <c r="B41" s="2">
        <v>86.972999999999999</v>
      </c>
      <c r="C41" s="2">
        <v>54.469000000000001</v>
      </c>
      <c r="D41" s="2">
        <v>32.503999999999998</v>
      </c>
      <c r="E41" s="2">
        <v>15.89</v>
      </c>
      <c r="F41" s="2">
        <v>86.436999999999998</v>
      </c>
      <c r="G41" s="2">
        <v>53.616</v>
      </c>
      <c r="H41" s="2">
        <v>32.820999999999998</v>
      </c>
      <c r="I41" s="2">
        <v>15.712</v>
      </c>
      <c r="J41" s="2"/>
      <c r="K41" s="2"/>
      <c r="L41" s="2"/>
      <c r="M41" s="2"/>
    </row>
    <row r="42" spans="1:13" x14ac:dyDescent="0.25">
      <c r="A42" s="4">
        <v>45717</v>
      </c>
      <c r="B42" s="2">
        <v>85.962999999999994</v>
      </c>
      <c r="C42" s="2">
        <v>53.484999999999999</v>
      </c>
      <c r="D42" s="2">
        <v>32.478000000000002</v>
      </c>
      <c r="E42" s="2">
        <v>15.404</v>
      </c>
      <c r="F42" s="2">
        <v>86.915000000000006</v>
      </c>
      <c r="G42" s="2">
        <v>54.167000000000002</v>
      </c>
      <c r="H42" s="2">
        <v>32.747999999999998</v>
      </c>
      <c r="I42" s="2">
        <v>15.787000000000001</v>
      </c>
      <c r="J42" s="2"/>
      <c r="K42" s="2"/>
      <c r="L42" s="2"/>
      <c r="M42" s="2"/>
    </row>
    <row r="43" spans="1:13" x14ac:dyDescent="0.25">
      <c r="A43" s="4">
        <v>45809</v>
      </c>
      <c r="B43" s="2">
        <v>87.664000000000001</v>
      </c>
      <c r="C43" s="2">
        <v>54.743000000000002</v>
      </c>
      <c r="D43" s="2">
        <v>32.920999999999999</v>
      </c>
      <c r="E43" s="2">
        <v>16.285</v>
      </c>
      <c r="F43" s="2">
        <v>87.256</v>
      </c>
      <c r="G43" s="2">
        <v>54.637999999999998</v>
      </c>
      <c r="H43" s="2">
        <v>32.618000000000002</v>
      </c>
      <c r="I43" s="2">
        <v>15.99</v>
      </c>
      <c r="J43" s="2"/>
      <c r="K43" s="2"/>
      <c r="L43" s="2"/>
      <c r="M43" s="2"/>
    </row>
    <row r="44" spans="1:13" x14ac:dyDescent="0.25">
      <c r="A44" s="5">
        <v>45694</v>
      </c>
      <c r="B44" s="2"/>
      <c r="C44" s="2"/>
      <c r="D44" s="2"/>
      <c r="E44" s="2"/>
      <c r="F44" s="2"/>
      <c r="G44" s="2"/>
      <c r="H44" s="2"/>
      <c r="I44" s="2"/>
      <c r="J44" s="2"/>
      <c r="K44" s="2"/>
      <c r="L44" s="2"/>
      <c r="M44" s="2"/>
    </row>
    <row r="45" spans="1:13" x14ac:dyDescent="0.25">
      <c r="A45" s="6" t="s">
        <v>9</v>
      </c>
      <c r="B45" s="6"/>
      <c r="C45" s="6"/>
      <c r="D45" s="6"/>
      <c r="E45" s="6"/>
      <c r="F45" s="6"/>
      <c r="G45" s="6"/>
      <c r="H45" s="6"/>
      <c r="I45" s="6"/>
      <c r="J45" s="6"/>
      <c r="K45" s="6"/>
      <c r="L45" s="6"/>
      <c r="M45" s="6"/>
    </row>
    <row r="46" spans="1:13" x14ac:dyDescent="0.25">
      <c r="A46" s="6" t="s">
        <v>10</v>
      </c>
      <c r="B46" s="6"/>
      <c r="C46" s="6"/>
      <c r="D46" s="6"/>
      <c r="E46" s="6"/>
      <c r="F46" s="6"/>
      <c r="G46" s="6"/>
      <c r="H46" s="6"/>
      <c r="I46" s="6"/>
      <c r="J46" s="6"/>
      <c r="K46" s="6"/>
      <c r="L46" s="6"/>
      <c r="M46" s="6"/>
    </row>
    <row r="47" spans="1:13" x14ac:dyDescent="0.25">
      <c r="A47" s="6" t="s">
        <v>11</v>
      </c>
      <c r="B47" s="6"/>
      <c r="C47" s="6"/>
      <c r="D47" s="6"/>
      <c r="E47" s="6"/>
      <c r="F47" s="6"/>
      <c r="G47" s="6"/>
      <c r="H47" s="6"/>
      <c r="I47" s="6"/>
      <c r="J47" s="6"/>
      <c r="K47" s="6"/>
      <c r="L47" s="6"/>
      <c r="M47" s="6"/>
    </row>
    <row r="48" spans="1:13" x14ac:dyDescent="0.25">
      <c r="A48" s="6" t="s">
        <v>12</v>
      </c>
      <c r="B48" s="7">
        <v>0.04</v>
      </c>
      <c r="C48" s="2"/>
      <c r="D48" s="6"/>
      <c r="E48" s="6"/>
      <c r="F48" s="6"/>
      <c r="G48" s="6"/>
      <c r="H48" s="6"/>
      <c r="I48" s="6"/>
      <c r="J48" s="6"/>
      <c r="K48" s="6"/>
      <c r="L48" s="6"/>
      <c r="M48" s="6"/>
    </row>
    <row r="49" spans="1:13" x14ac:dyDescent="0.25">
      <c r="A49" s="2"/>
      <c r="B49" s="2"/>
      <c r="C49" s="2"/>
      <c r="D49" s="2"/>
      <c r="E49" s="2"/>
      <c r="F49" s="2"/>
      <c r="G49" s="2"/>
      <c r="H49" s="2"/>
      <c r="I49" s="2"/>
      <c r="J49" s="2"/>
      <c r="K49" s="2"/>
      <c r="L49" s="2"/>
      <c r="M49" s="2"/>
    </row>
    <row r="50" spans="1:13" x14ac:dyDescent="0.25">
      <c r="A50" s="6" t="s">
        <v>13</v>
      </c>
      <c r="B50" s="6"/>
      <c r="C50" s="6"/>
      <c r="D50" s="6"/>
      <c r="E50" s="6"/>
      <c r="F50" s="6"/>
      <c r="G50" s="6"/>
      <c r="H50" s="6"/>
      <c r="I50" s="6"/>
      <c r="J50" s="6"/>
      <c r="K50" s="6"/>
      <c r="L50" s="6"/>
      <c r="M50" s="6"/>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Value</vt:lpstr>
      <vt:lpstr>Annual</vt:lpstr>
      <vt:lpstr>Charts</vt:lpstr>
      <vt:lpstr>Segments</vt:lpstr>
      <vt:lpstr>IRR</vt:lpstr>
      <vt:lpstr>Vs cons</vt:lpstr>
      <vt:lpstr>ABS Resi Refi</vt:lpstr>
      <vt:lpstr>ABS Resi New Loans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Wilson</dc:creator>
  <cp:lastModifiedBy>Peter Wilson</cp:lastModifiedBy>
  <dcterms:created xsi:type="dcterms:W3CDTF">2025-10-02T06:35:31Z</dcterms:created>
  <dcterms:modified xsi:type="dcterms:W3CDTF">2025-11-13T00:38:00Z</dcterms:modified>
</cp:coreProperties>
</file>