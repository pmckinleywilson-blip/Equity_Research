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d5168fc8d63cfa0/Documents/Mixue/"/>
    </mc:Choice>
  </mc:AlternateContent>
  <xr:revisionPtr revIDLastSave="56" documentId="13_ncr:1_{6BD93FE6-A982-4E33-9047-983C6657928B}" xr6:coauthVersionLast="47" xr6:coauthVersionMax="47" xr10:uidLastSave="{BE6D5C44-84CB-4ABF-8EDC-65758AF6C747}"/>
  <bookViews>
    <workbookView xWindow="-23148" yWindow="-108" windowWidth="23256" windowHeight="12456" activeTab="2" xr2:uid="{62853999-1F4B-4E75-A2B1-4F90C0A86E85}"/>
  </bookViews>
  <sheets>
    <sheet name="Cover" sheetId="1" r:id="rId1"/>
    <sheet name="IS" sheetId="2" r:id="rId2"/>
    <sheet name="Driver" sheetId="3" r:id="rId3"/>
    <sheet name="BS" sheetId="4" r:id="rId4"/>
    <sheet name="CF" sheetId="5" r:id="rId5"/>
  </sheets>
  <definedNames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p">#REF!</definedName>
    <definedName name="\s">#REF!</definedName>
    <definedName name="\u">#REF!</definedName>
    <definedName name="\z">#REF!</definedName>
    <definedName name="_">#REF!</definedName>
    <definedName name="_.dbf">#REF!</definedName>
    <definedName name="_?">#REF!</definedName>
    <definedName name="_??????">#REF!</definedName>
    <definedName name="__?">#REF!</definedName>
    <definedName name="__??????">#REF!</definedName>
    <definedName name="_____________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_____________wrn111" hidden="1">{#N/A,#N/A,FALSE,"One Pager";#N/A,#N/A,FALSE,"Technical"}</definedName>
    <definedName name="_____________________________wrn2" hidden="1">{#N/A,#N/A,TRUE,"Financials";#N/A,#N/A,TRUE,"Operating Statistics";#N/A,#N/A,TRUE,"Capex &amp; Depreciation";#N/A,#N/A,TRUE,"Debt"}</definedName>
    <definedName name="_____________________________wrn3" hidden="1">{#N/A,#N/A,FALSE,"One Pager";#N/A,#N/A,FALSE,"Technical"}</definedName>
    <definedName name="____________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____________wrn111" hidden="1">{#N/A,#N/A,FALSE,"One Pager";#N/A,#N/A,FALSE,"Technical"}</definedName>
    <definedName name="____________________________wrn2" hidden="1">{#N/A,#N/A,TRUE,"Financials";#N/A,#N/A,TRUE,"Operating Statistics";#N/A,#N/A,TRUE,"Capex &amp; Depreciation";#N/A,#N/A,TRUE,"Debt"}</definedName>
    <definedName name="____________________________wrn3" hidden="1">{#N/A,#N/A,FALSE,"One Pager";#N/A,#N/A,FALSE,"Technical"}</definedName>
    <definedName name="___________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___________wrn111" hidden="1">{#N/A,#N/A,FALSE,"One Pager";#N/A,#N/A,FALSE,"Technical"}</definedName>
    <definedName name="___________________________wrn2" hidden="1">{#N/A,#N/A,TRUE,"Financials";#N/A,#N/A,TRUE,"Operating Statistics";#N/A,#N/A,TRUE,"Capex &amp; Depreciation";#N/A,#N/A,TRUE,"Debt"}</definedName>
    <definedName name="___________________________wrn3" hidden="1">{#N/A,#N/A,FALSE,"One Pager";#N/A,#N/A,FALSE,"Technical"}</definedName>
    <definedName name="__________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__________wrn111" hidden="1">{#N/A,#N/A,FALSE,"One Pager";#N/A,#N/A,FALSE,"Technical"}</definedName>
    <definedName name="__________________________wrn2" hidden="1">{#N/A,#N/A,TRUE,"Financials";#N/A,#N/A,TRUE,"Operating Statistics";#N/A,#N/A,TRUE,"Capex &amp; Depreciation";#N/A,#N/A,TRUE,"Debt"}</definedName>
    <definedName name="__________________________wrn3" hidden="1">{#N/A,#N/A,FALSE,"One Pager";#N/A,#N/A,FALSE,"Technical"}</definedName>
    <definedName name="_________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_________wrn111" hidden="1">{#N/A,#N/A,FALSE,"One Pager";#N/A,#N/A,FALSE,"Technical"}</definedName>
    <definedName name="_________________________wrn2" hidden="1">{#N/A,#N/A,TRUE,"Financials";#N/A,#N/A,TRUE,"Operating Statistics";#N/A,#N/A,TRUE,"Capex &amp; Depreciation";#N/A,#N/A,TRUE,"Debt"}</definedName>
    <definedName name="_________________________wrn3" hidden="1">{#N/A,#N/A,FALSE,"One Pager";#N/A,#N/A,FALSE,"Technical"}</definedName>
    <definedName name="________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________wrn111" hidden="1">{#N/A,#N/A,FALSE,"One Pager";#N/A,#N/A,FALSE,"Technical"}</definedName>
    <definedName name="________________________wrn2" hidden="1">{#N/A,#N/A,TRUE,"Financials";#N/A,#N/A,TRUE,"Operating Statistics";#N/A,#N/A,TRUE,"Capex &amp; Depreciation";#N/A,#N/A,TRUE,"Debt"}</definedName>
    <definedName name="________________________wrn3" hidden="1">{#N/A,#N/A,FALSE,"One Pager";#N/A,#N/A,FALSE,"Technical"}</definedName>
    <definedName name="_______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_______wrn111" hidden="1">{#N/A,#N/A,FALSE,"One Pager";#N/A,#N/A,FALSE,"Technical"}</definedName>
    <definedName name="_______________________wrn2" hidden="1">{#N/A,#N/A,TRUE,"Financials";#N/A,#N/A,TRUE,"Operating Statistics";#N/A,#N/A,TRUE,"Capex &amp; Depreciation";#N/A,#N/A,TRUE,"Debt"}</definedName>
    <definedName name="_______________________wrn3" hidden="1">{#N/A,#N/A,FALSE,"One Pager";#N/A,#N/A,FALSE,"Technical"}</definedName>
    <definedName name="______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______wrn111" hidden="1">{#N/A,#N/A,FALSE,"One Pager";#N/A,#N/A,FALSE,"Technical"}</definedName>
    <definedName name="______________________wrn2" hidden="1">{#N/A,#N/A,TRUE,"Financials";#N/A,#N/A,TRUE,"Operating Statistics";#N/A,#N/A,TRUE,"Capex &amp; Depreciation";#N/A,#N/A,TRUE,"Debt"}</definedName>
    <definedName name="______________________wrn3" hidden="1">{#N/A,#N/A,FALSE,"One Pager";#N/A,#N/A,FALSE,"Technical"}</definedName>
    <definedName name="_____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_____wrn111" hidden="1">{#N/A,#N/A,FALSE,"One Pager";#N/A,#N/A,FALSE,"Technical"}</definedName>
    <definedName name="_____________________wrn2" hidden="1">{#N/A,#N/A,TRUE,"Financials";#N/A,#N/A,TRUE,"Operating Statistics";#N/A,#N/A,TRUE,"Capex &amp; Depreciation";#N/A,#N/A,TRUE,"Debt"}</definedName>
    <definedName name="_____________________wrn3" hidden="1">{#N/A,#N/A,FALSE,"One Pager";#N/A,#N/A,FALSE,"Technical"}</definedName>
    <definedName name="____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____wrn111" hidden="1">{#N/A,#N/A,FALSE,"One Pager";#N/A,#N/A,FALSE,"Technical"}</definedName>
    <definedName name="____________________wrn2" hidden="1">{#N/A,#N/A,TRUE,"Financials";#N/A,#N/A,TRUE,"Operating Statistics";#N/A,#N/A,TRUE,"Capex &amp; Depreciation";#N/A,#N/A,TRUE,"Debt"}</definedName>
    <definedName name="____________________wrn3" hidden="1">{#N/A,#N/A,FALSE,"One Pager";#N/A,#N/A,FALSE,"Technical"}</definedName>
    <definedName name="___________________2010">#REF!</definedName>
    <definedName name="___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___wrn111" hidden="1">{#N/A,#N/A,FALSE,"One Pager";#N/A,#N/A,FALSE,"Technical"}</definedName>
    <definedName name="___________________wrn2" hidden="1">{#N/A,#N/A,TRUE,"Financials";#N/A,#N/A,TRUE,"Operating Statistics";#N/A,#N/A,TRUE,"Capex &amp; Depreciation";#N/A,#N/A,TRUE,"Debt"}</definedName>
    <definedName name="___________________wrn3" hidden="1">{#N/A,#N/A,FALSE,"One Pager";#N/A,#N/A,FALSE,"Technical"}</definedName>
    <definedName name="__________________2010">#REF!</definedName>
    <definedName name="__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__wrn111" hidden="1">{#N/A,#N/A,FALSE,"One Pager";#N/A,#N/A,FALSE,"Technical"}</definedName>
    <definedName name="__________________wrn2" hidden="1">{#N/A,#N/A,TRUE,"Financials";#N/A,#N/A,TRUE,"Operating Statistics";#N/A,#N/A,TRUE,"Capex &amp; Depreciation";#N/A,#N/A,TRUE,"Debt"}</definedName>
    <definedName name="__________________wrn3" hidden="1">{#N/A,#N/A,FALSE,"One Pager";#N/A,#N/A,FALSE,"Technical"}</definedName>
    <definedName name="_________________2010">#REF!</definedName>
    <definedName name="_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_wrn111" hidden="1">{#N/A,#N/A,FALSE,"One Pager";#N/A,#N/A,FALSE,"Technical"}</definedName>
    <definedName name="_________________wrn2" hidden="1">{#N/A,#N/A,TRUE,"Financials";#N/A,#N/A,TRUE,"Operating Statistics";#N/A,#N/A,TRUE,"Capex &amp; Depreciation";#N/A,#N/A,TRUE,"Debt"}</definedName>
    <definedName name="_________________wrn3" hidden="1">{#N/A,#N/A,FALSE,"One Pager";#N/A,#N/A,FALSE,"Technical"}</definedName>
    <definedName name="________________2010">#REF!</definedName>
    <definedName name="_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_wrn111" hidden="1">{#N/A,#N/A,FALSE,"One Pager";#N/A,#N/A,FALSE,"Technical"}</definedName>
    <definedName name="________________wrn2" hidden="1">{#N/A,#N/A,TRUE,"Financials";#N/A,#N/A,TRUE,"Operating Statistics";#N/A,#N/A,TRUE,"Capex &amp; Depreciation";#N/A,#N/A,TRUE,"Debt"}</definedName>
    <definedName name="________________wrn3" hidden="1">{#N/A,#N/A,FALSE,"One Pager";#N/A,#N/A,FALSE,"Technical"}</definedName>
    <definedName name="_______________2010">#REF!</definedName>
    <definedName name="_______________KY1">#REF!</definedName>
    <definedName name="_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_wrn111" hidden="1">{#N/A,#N/A,FALSE,"One Pager";#N/A,#N/A,FALSE,"Technical"}</definedName>
    <definedName name="_______________wrn2" hidden="1">{#N/A,#N/A,TRUE,"Financials";#N/A,#N/A,TRUE,"Operating Statistics";#N/A,#N/A,TRUE,"Capex &amp; Depreciation";#N/A,#N/A,TRUE,"Debt"}</definedName>
    <definedName name="_______________wrn3" hidden="1">{#N/A,#N/A,FALSE,"One Pager";#N/A,#N/A,FALSE,"Technical"}</definedName>
    <definedName name="______________2010">#REF!</definedName>
    <definedName name="______________KY1">#REF!</definedName>
    <definedName name="_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_wrn111" hidden="1">{#N/A,#N/A,FALSE,"One Pager";#N/A,#N/A,FALSE,"Technical"}</definedName>
    <definedName name="______________wrn2" hidden="1">{#N/A,#N/A,TRUE,"Financials";#N/A,#N/A,TRUE,"Operating Statistics";#N/A,#N/A,TRUE,"Capex &amp; Depreciation";#N/A,#N/A,TRUE,"Debt"}</definedName>
    <definedName name="______________wrn3" hidden="1">{#N/A,#N/A,FALSE,"One Pager";#N/A,#N/A,FALSE,"Technical"}</definedName>
    <definedName name="_____________2010">#REF!</definedName>
    <definedName name="_____________KY1">#REF!</definedName>
    <definedName name="_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_wrn111" hidden="1">{#N/A,#N/A,FALSE,"One Pager";#N/A,#N/A,FALSE,"Technical"}</definedName>
    <definedName name="_____________wrn2" hidden="1">{#N/A,#N/A,TRUE,"Financials";#N/A,#N/A,TRUE,"Operating Statistics";#N/A,#N/A,TRUE,"Capex &amp; Depreciation";#N/A,#N/A,TRUE,"Debt"}</definedName>
    <definedName name="_____________wrn3" hidden="1">{#N/A,#N/A,FALSE,"One Pager";#N/A,#N/A,FALSE,"Technical"}</definedName>
    <definedName name="____________2010">#REF!</definedName>
    <definedName name="____________dep08">#REF!</definedName>
    <definedName name="____________GD10" hidden="1">{#N/A,#N/A,FALSE,"summary"}</definedName>
    <definedName name="____________KY1">#REF!</definedName>
    <definedName name="____________LF12" hidden="1">#REF!</definedName>
    <definedName name="____________to020831">#REF!</definedName>
    <definedName name="_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_wrn111" hidden="1">{#N/A,#N/A,FALSE,"One Pager";#N/A,#N/A,FALSE,"Technical"}</definedName>
    <definedName name="____________wrn2" hidden="1">{#N/A,#N/A,TRUE,"Financials";#N/A,#N/A,TRUE,"Operating Statistics";#N/A,#N/A,TRUE,"Capex &amp; Depreciation";#N/A,#N/A,TRUE,"Debt"}</definedName>
    <definedName name="____________wrn3" hidden="1">{#N/A,#N/A,FALSE,"One Pager";#N/A,#N/A,FALSE,"Technical"}</definedName>
    <definedName name="____________x2">#REF!</definedName>
    <definedName name="____________X4">#REF!</definedName>
    <definedName name="___________2010">#REF!</definedName>
    <definedName name="___________dep08">#REF!</definedName>
    <definedName name="___________GD10" hidden="1">{#N/A,#N/A,FALSE,"summary"}</definedName>
    <definedName name="___________KY1">#REF!</definedName>
    <definedName name="___________LF12" hidden="1">#REF!</definedName>
    <definedName name="___________to020831">#REF!</definedName>
    <definedName name="_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_wrn111" hidden="1">{#N/A,#N/A,FALSE,"One Pager";#N/A,#N/A,FALSE,"Technical"}</definedName>
    <definedName name="___________wrn2" hidden="1">{#N/A,#N/A,TRUE,"Financials";#N/A,#N/A,TRUE,"Operating Statistics";#N/A,#N/A,TRUE,"Capex &amp; Depreciation";#N/A,#N/A,TRUE,"Debt"}</definedName>
    <definedName name="___________wrn3" hidden="1">{#N/A,#N/A,FALSE,"One Pager";#N/A,#N/A,FALSE,"Technical"}</definedName>
    <definedName name="___________x2">#REF!</definedName>
    <definedName name="___________X4">#REF!</definedName>
    <definedName name="__________2010">#REF!</definedName>
    <definedName name="__________dep08">#REF!</definedName>
    <definedName name="__________GD10" hidden="1">{#N/A,#N/A,FALSE,"summary"}</definedName>
    <definedName name="__________KY1">#REF!</definedName>
    <definedName name="__________LF12" hidden="1">#REF!</definedName>
    <definedName name="__________to020831">#REF!</definedName>
    <definedName name="_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_wrn111" hidden="1">{#N/A,#N/A,FALSE,"One Pager";#N/A,#N/A,FALSE,"Technical"}</definedName>
    <definedName name="__________wrn2" hidden="1">{#N/A,#N/A,TRUE,"Financials";#N/A,#N/A,TRUE,"Operating Statistics";#N/A,#N/A,TRUE,"Capex &amp; Depreciation";#N/A,#N/A,TRUE,"Debt"}</definedName>
    <definedName name="__________wrn3" hidden="1">{#N/A,#N/A,FALSE,"One Pager";#N/A,#N/A,FALSE,"Technical"}</definedName>
    <definedName name="__________x2">#REF!</definedName>
    <definedName name="__________X4">#REF!</definedName>
    <definedName name="_________2010">#REF!</definedName>
    <definedName name="_________dep08">#REF!</definedName>
    <definedName name="_________GD10" hidden="1">{#N/A,#N/A,FALSE,"summary"}</definedName>
    <definedName name="_________KY1">#REF!</definedName>
    <definedName name="_________LF12" hidden="1">#REF!</definedName>
    <definedName name="_________to020831">#REF!</definedName>
    <definedName name="_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_wrn111" hidden="1">{#N/A,#N/A,FALSE,"One Pager";#N/A,#N/A,FALSE,"Technical"}</definedName>
    <definedName name="_________wrn2" hidden="1">{#N/A,#N/A,TRUE,"Financials";#N/A,#N/A,TRUE,"Operating Statistics";#N/A,#N/A,TRUE,"Capex &amp; Depreciation";#N/A,#N/A,TRUE,"Debt"}</definedName>
    <definedName name="_________wrn3" hidden="1">{#N/A,#N/A,FALSE,"One Pager";#N/A,#N/A,FALSE,"Technical"}</definedName>
    <definedName name="_________x2">#REF!</definedName>
    <definedName name="_________X4">#REF!</definedName>
    <definedName name="________2010">#REF!</definedName>
    <definedName name="________dep08">#REF!</definedName>
    <definedName name="________GD10" hidden="1">{#N/A,#N/A,FALSE,"summary"}</definedName>
    <definedName name="________KY1">#REF!</definedName>
    <definedName name="________LF12" hidden="1">#REF!</definedName>
    <definedName name="________to020831">#REF!</definedName>
    <definedName name="_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_wrn111" hidden="1">{#N/A,#N/A,FALSE,"One Pager";#N/A,#N/A,FALSE,"Technical"}</definedName>
    <definedName name="________wrn2" hidden="1">{#N/A,#N/A,TRUE,"Financials";#N/A,#N/A,TRUE,"Operating Statistics";#N/A,#N/A,TRUE,"Capex &amp; Depreciation";#N/A,#N/A,TRUE,"Debt"}</definedName>
    <definedName name="________wrn3" hidden="1">{#N/A,#N/A,FALSE,"One Pager";#N/A,#N/A,FALSE,"Technical"}</definedName>
    <definedName name="________x2">#REF!</definedName>
    <definedName name="________X4">#REF!</definedName>
    <definedName name="_______2010">#REF!</definedName>
    <definedName name="_______dep08">#REF!</definedName>
    <definedName name="_______GD10" hidden="1">{#N/A,#N/A,FALSE,"summary"}</definedName>
    <definedName name="_______KY1">#REF!</definedName>
    <definedName name="_______LF12" hidden="1">#REF!</definedName>
    <definedName name="_______to020831">#REF!</definedName>
    <definedName name="_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_wrn111" hidden="1">{#N/A,#N/A,FALSE,"One Pager";#N/A,#N/A,FALSE,"Technical"}</definedName>
    <definedName name="_______wrn2" hidden="1">{#N/A,#N/A,TRUE,"Financials";#N/A,#N/A,TRUE,"Operating Statistics";#N/A,#N/A,TRUE,"Capex &amp; Depreciation";#N/A,#N/A,TRUE,"Debt"}</definedName>
    <definedName name="_______wrn3" hidden="1">{#N/A,#N/A,FALSE,"One Pager";#N/A,#N/A,FALSE,"Technical"}</definedName>
    <definedName name="_______x2">#REF!</definedName>
    <definedName name="_______X4">#REF!</definedName>
    <definedName name="______2010">#REF!</definedName>
    <definedName name="______dep08">#REF!</definedName>
    <definedName name="______GD10" hidden="1">{#N/A,#N/A,FALSE,"summary"}</definedName>
    <definedName name="______int1">#REF!</definedName>
    <definedName name="______int2">#REF!</definedName>
    <definedName name="______int3">#REF!</definedName>
    <definedName name="______int4">#REF!</definedName>
    <definedName name="______int5">#REF!</definedName>
    <definedName name="______int6">#REF!</definedName>
    <definedName name="______LF12" hidden="1">#REF!</definedName>
    <definedName name="______to020831">#REF!</definedName>
    <definedName name="_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_wrn111" hidden="1">{#N/A,#N/A,FALSE,"One Pager";#N/A,#N/A,FALSE,"Technical"}</definedName>
    <definedName name="______wrn2" hidden="1">{#N/A,#N/A,TRUE,"Financials";#N/A,#N/A,TRUE,"Operating Statistics";#N/A,#N/A,TRUE,"Capex &amp; Depreciation";#N/A,#N/A,TRUE,"Debt"}</definedName>
    <definedName name="______wrn3" hidden="1">{#N/A,#N/A,FALSE,"One Pager";#N/A,#N/A,FALSE,"Technical"}</definedName>
    <definedName name="______x2">#REF!</definedName>
    <definedName name="______X4">#REF!</definedName>
    <definedName name="_____11">#REF!</definedName>
    <definedName name="_____2010">#REF!</definedName>
    <definedName name="_____dep08">#REF!</definedName>
    <definedName name="_____GD10" hidden="1">{#N/A,#N/A,FALSE,"summary"}</definedName>
    <definedName name="_____int1">#REF!</definedName>
    <definedName name="_____int2">#REF!</definedName>
    <definedName name="_____int3">#REF!</definedName>
    <definedName name="_____int4">#REF!</definedName>
    <definedName name="_____int5">#REF!</definedName>
    <definedName name="_____int6">#REF!</definedName>
    <definedName name="_____KY1">#REF!</definedName>
    <definedName name="_____LF12" hidden="1">#REF!</definedName>
    <definedName name="_____LNE2">#REF!</definedName>
    <definedName name="_____t9" hidden="1">{#N/A,#N/A,FALSE,"UNIT";#N/A,#N/A,FALSE,"UNIT";#N/A,#N/A,FALSE,"계정"}</definedName>
    <definedName name="_____to020831">#REF!</definedName>
    <definedName name="_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_wrn111" hidden="1">{#N/A,#N/A,FALSE,"One Pager";#N/A,#N/A,FALSE,"Technical"}</definedName>
    <definedName name="_____wrn2" hidden="1">{#N/A,#N/A,TRUE,"Financials";#N/A,#N/A,TRUE,"Operating Statistics";#N/A,#N/A,TRUE,"Capex &amp; Depreciation";#N/A,#N/A,TRUE,"Debt"}</definedName>
    <definedName name="_____wrn3" hidden="1">{#N/A,#N/A,FALSE,"One Pager";#N/A,#N/A,FALSE,"Technical"}</definedName>
    <definedName name="_____x2">#REF!</definedName>
    <definedName name="_____X4">#REF!</definedName>
    <definedName name="____001338">#REF!</definedName>
    <definedName name="____11">#REF!</definedName>
    <definedName name="____2010">#REF!</definedName>
    <definedName name="____dep08">#REF!</definedName>
    <definedName name="____g1">bd&amp;"-"&amp;#REF!</definedName>
    <definedName name="____GD10" hidden="1">{#N/A,#N/A,FALSE,"summary"}</definedName>
    <definedName name="____int1">#REF!</definedName>
    <definedName name="____int2">#REF!</definedName>
    <definedName name="____int3">#REF!</definedName>
    <definedName name="____int4">#REF!</definedName>
    <definedName name="____int5">#REF!</definedName>
    <definedName name="____int6">#REF!</definedName>
    <definedName name="____KY1">#REF!</definedName>
    <definedName name="____l1">"31/12/"&amp;LEFT(dc,4)-1</definedName>
    <definedName name="____l2">LEFT(dc,4)-1&amp;"年12月31日"</definedName>
    <definedName name="____LF12" hidden="1">#REF!</definedName>
    <definedName name="____LNE2">#REF!</definedName>
    <definedName name="____lye1">"31/12/"&amp;LEFT(dc,4)-1</definedName>
    <definedName name="____lye2">LEFT(dc,4)-1&amp;"年12月31日"</definedName>
    <definedName name="____P1">bd&amp;"-"&amp;#REF!</definedName>
    <definedName name="____P12">bd&amp;"-"&amp;#REF!</definedName>
    <definedName name="____t9" hidden="1">{#N/A,#N/A,FALSE,"UNIT";#N/A,#N/A,FALSE,"UNIT";#N/A,#N/A,FALSE,"계정"}</definedName>
    <definedName name="____to020831">#REF!</definedName>
    <definedName name="_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_wrn111" hidden="1">{#N/A,#N/A,FALSE,"One Pager";#N/A,#N/A,FALSE,"Technical"}</definedName>
    <definedName name="____wrn2" hidden="1">{#N/A,#N/A,TRUE,"Financials";#N/A,#N/A,TRUE,"Operating Statistics";#N/A,#N/A,TRUE,"Capex &amp; Depreciation";#N/A,#N/A,TRUE,"Debt"}</definedName>
    <definedName name="____wrn3" hidden="1">{#N/A,#N/A,FALSE,"One Pager";#N/A,#N/A,FALSE,"Technical"}</definedName>
    <definedName name="____x2">#REF!</definedName>
    <definedName name="____X4">#REF!</definedName>
    <definedName name="___001338">#REF!</definedName>
    <definedName name="___11">#REF!</definedName>
    <definedName name="___2010">#REF!</definedName>
    <definedName name="___dep08">#REF!</definedName>
    <definedName name="___GD10" hidden="1">{#N/A,#N/A,FALSE,"summary"}</definedName>
    <definedName name="___int1">#REF!</definedName>
    <definedName name="___int2">#REF!</definedName>
    <definedName name="___int3">#REF!</definedName>
    <definedName name="___int4">#REF!</definedName>
    <definedName name="___int5">#REF!</definedName>
    <definedName name="___int6">#REF!</definedName>
    <definedName name="___KY1">#REF!</definedName>
    <definedName name="___L433" hidden="1">{#N/A,#N/A,FALSE,"summary"}</definedName>
    <definedName name="___LF12" hidden="1">#REF!</definedName>
    <definedName name="___LNE2">#REF!</definedName>
    <definedName name="___t9" hidden="1">{#N/A,#N/A,FALSE,"UNIT";#N/A,#N/A,FALSE,"UNIT";#N/A,#N/A,FALSE,"계정"}</definedName>
    <definedName name="___to020831">#REF!</definedName>
    <definedName name="_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wrn111" hidden="1">{#N/A,#N/A,FALSE,"One Pager";#N/A,#N/A,FALSE,"Technical"}</definedName>
    <definedName name="___wrn2" hidden="1">{#N/A,#N/A,TRUE,"Financials";#N/A,#N/A,TRUE,"Operating Statistics";#N/A,#N/A,TRUE,"Capex &amp; Depreciation";#N/A,#N/A,TRUE,"Debt"}</definedName>
    <definedName name="___wrn3" hidden="1">{#N/A,#N/A,FALSE,"One Pager";#N/A,#N/A,FALSE,"Technical"}</definedName>
    <definedName name="___x2">#REF!</definedName>
    <definedName name="___X4">#REF!</definedName>
    <definedName name="__001338">#REF!</definedName>
    <definedName name="__11">#REF!</definedName>
    <definedName name="__123Graph_A" localSheetId="0" hidden="1">#REF!</definedName>
    <definedName name="__123Graph_A" hidden="1">#REF!</definedName>
    <definedName name="__123Graph_ACHART7" localSheetId="0" hidden="1">#REF!</definedName>
    <definedName name="__123Graph_ACHART7" hidden="1">#REF!</definedName>
    <definedName name="__123Graph_ACURRENT" localSheetId="0" hidden="1">#REF!</definedName>
    <definedName name="__123Graph_ACURRENT" hidden="1">#REF!</definedName>
    <definedName name="__123Graph_APROFIT" localSheetId="0" hidden="1">#REF!</definedName>
    <definedName name="__123Graph_APROFIT" hidden="1">#REF!</definedName>
    <definedName name="__123Graph_B" localSheetId="0" hidden="1">#REF!</definedName>
    <definedName name="__123Graph_B" hidden="1">#REF!</definedName>
    <definedName name="__123Graph_BPROFIT" hidden="1">#REF!</definedName>
    <definedName name="__123Graph_BTURNOVER" hidden="1">#REF!</definedName>
    <definedName name="__123Graph_C" hidden="1">#REF!</definedName>
    <definedName name="__123Graph_CPROFIT" hidden="1">#REF!</definedName>
    <definedName name="__123Graph_CTURNOVER" hidden="1">#REF!</definedName>
    <definedName name="__123Graph_D" hidden="1">#REF!</definedName>
    <definedName name="__123Graph_DPROFIT" hidden="1">#REF!</definedName>
    <definedName name="__123Graph_DTURNOVER" hidden="1">#REF!</definedName>
    <definedName name="__123Graph_E" hidden="1">#REF!</definedName>
    <definedName name="__123Graph_F" hidden="1">#REF!</definedName>
    <definedName name="__123Graph_LBL_A" hidden="1">#REF!</definedName>
    <definedName name="__123Graph_LBL_C" hidden="1">#REF!</definedName>
    <definedName name="__123Graph_X" hidden="1">#REF!</definedName>
    <definedName name="__2010">#REF!</definedName>
    <definedName name="__6.1">#REF!</definedName>
    <definedName name="__A100" hidden="1">{#N/A,#N/A,FALSE,"Ocean";#N/A,#N/A,FALSE,"NewYork";#N/A,#N/A,FALSE,"Gateway";#N/A,#N/A,FALSE,"GVH";#N/A,#N/A,FALSE,"GVM";#N/A,#N/A,FALSE,"GVT"}</definedName>
    <definedName name="__A23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A4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B201" hidden="1">{#N/A,#N/A,FALSE,"Ocean";#N/A,#N/A,FALSE,"NewYork";#N/A,#N/A,FALSE,"Gateway";#N/A,#N/A,FALSE,"GVH";#N/A,#N/A,FALSE,"GVM";#N/A,#N/A,FALSE,"GVT"}</definedName>
    <definedName name="__dep08">#REF!</definedName>
    <definedName name="__FDS_HYPERLINK_TOGGLE_STATE__" hidden="1">"ON"</definedName>
    <definedName name="__g1">bd&amp;"-"&amp;#REF!</definedName>
    <definedName name="__G300" hidden="1">#REF!</definedName>
    <definedName name="__GD10" hidden="1">{#N/A,#N/A,FALSE,"summary"}</definedName>
    <definedName name="__int1">#REF!</definedName>
    <definedName name="__int2">#REF!</definedName>
    <definedName name="__int3">#REF!</definedName>
    <definedName name="__int4">#REF!</definedName>
    <definedName name="__int5">#REF!</definedName>
    <definedName name="__int6">#REF!</definedName>
    <definedName name="__KY1">#REF!</definedName>
    <definedName name="__l1">"31/12/"&amp;LEFT(dc,4)-1</definedName>
    <definedName name="__l2">LEFT(dc,4)-1&amp;"年12月31日"</definedName>
    <definedName name="__LF12" hidden="1">#REF!</definedName>
    <definedName name="__LNE2">#REF!</definedName>
    <definedName name="__lye1">"31/12/"&amp;LEFT(dc,4)-1</definedName>
    <definedName name="__lye2">LEFT(dc,4)-1&amp;"年12月31日"</definedName>
    <definedName name="__P1">bd&amp;"-"&amp;#REF!</definedName>
    <definedName name="__P12">bd&amp;"-"&amp;#REF!</definedName>
    <definedName name="__t9" hidden="1">{#N/A,#N/A,FALSE,"UNIT";#N/A,#N/A,FALSE,"UNIT";#N/A,#N/A,FALSE,"계정"}</definedName>
    <definedName name="__to020831">#REF!</definedName>
    <definedName name="_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wrn111" hidden="1">{#N/A,#N/A,FALSE,"One Pager";#N/A,#N/A,FALSE,"Technical"}</definedName>
    <definedName name="__wrn2" hidden="1">{#N/A,#N/A,TRUE,"Financials";#N/A,#N/A,TRUE,"Operating Statistics";#N/A,#N/A,TRUE,"Capex &amp; Depreciation";#N/A,#N/A,TRUE,"Debt"}</definedName>
    <definedName name="__wrn3" hidden="1">{#N/A,#N/A,FALSE,"One Pager";#N/A,#N/A,FALSE,"Technical"}</definedName>
    <definedName name="__x2">#REF!</definedName>
    <definedName name="__X4">#REF!</definedName>
    <definedName name="__ZF12" hidden="1">#REF!</definedName>
    <definedName name="_000">#REF!</definedName>
    <definedName name="_000.01.dbf">#REF!</definedName>
    <definedName name="_000.02.dbf">#REF!</definedName>
    <definedName name="_000爛">#REF!</definedName>
    <definedName name="_000管理.dbf">#REF!</definedName>
    <definedName name="_001">#REF!</definedName>
    <definedName name="_001338">#REF!</definedName>
    <definedName name="_001QTYS.dbf">#REF!</definedName>
    <definedName name="_001YSZK.dbf">#REF!</definedName>
    <definedName name="_001年">#REF!</definedName>
    <definedName name="_001年明细帐">#REF!</definedName>
    <definedName name="_001爛">#REF!</definedName>
    <definedName name="_002年">#REF!</definedName>
    <definedName name="_003年">#REF!</definedName>
    <definedName name="_004">#REF!</definedName>
    <definedName name="_00412">#REF!</definedName>
    <definedName name="_004年">#REF!</definedName>
    <definedName name="_005年">#REF!</definedName>
    <definedName name="_008">#REF!</definedName>
    <definedName name="_008年1月至5月">#REF!</definedName>
    <definedName name="_009">#REF!</definedName>
    <definedName name="_01.dbf">#REF!</definedName>
    <definedName name="_010">#REF!</definedName>
    <definedName name="_07_02_94">#REF!</definedName>
    <definedName name="_0900CT">#REF!</definedName>
    <definedName name="_1">#REF!</definedName>
    <definedName name="_1_?">#REF!</definedName>
    <definedName name="_1_001338">#REF!</definedName>
    <definedName name="_1_08">#REF!</definedName>
    <definedName name="_1_1月制造费">#REF!</definedName>
    <definedName name="_10">#REF!</definedName>
    <definedName name="_11">#REF!</definedName>
    <definedName name="_110001other">#REF!</definedName>
    <definedName name="_110003pension">#REF!</definedName>
    <definedName name="_1111">#REF!</definedName>
    <definedName name="_12">#REF!</definedName>
    <definedName name="_1231">#REF!</definedName>
    <definedName name="_123Graph_A" localSheetId="0" hidden="1">#REF!</definedName>
    <definedName name="_123Graph_A" hidden="1">#REF!</definedName>
    <definedName name="_1999BE6611">#REF!</definedName>
    <definedName name="_1999BE6621">#REF!</definedName>
    <definedName name="_1999BE6642">#REF!</definedName>
    <definedName name="_1999BE6651">#REF!</definedName>
    <definedName name="_1999BE6661">#REF!</definedName>
    <definedName name="_1999BE6671">#REF!</definedName>
    <definedName name="_1999BE8501">#REF!</definedName>
    <definedName name="_1E____ဠ0__큌〈Ř">#REF!</definedName>
    <definedName name="_1ÿ_0I">#REF!</definedName>
    <definedName name="_2">#REF!</definedName>
    <definedName name="_2.27">#REF!</definedName>
    <definedName name="_2_??????">#REF!</definedName>
    <definedName name="_2_001338">#REF!</definedName>
    <definedName name="_2_2月制造费">#REF!</definedName>
    <definedName name="_2000BE8501">#REF!</definedName>
    <definedName name="_2008">#REF!</definedName>
    <definedName name="_2010">#REF!</definedName>
    <definedName name="_2011">#REF!</definedName>
    <definedName name="_241103">#REF!</definedName>
    <definedName name="_251hk">#REF!</definedName>
    <definedName name="_271hk">#REF!</definedName>
    <definedName name="_2ÿ_0M">#REF!</definedName>
    <definedName name="_3">#REF!</definedName>
    <definedName name="_3_3月制造费">#REF!</definedName>
    <definedName name="_31190">+#REF!+#REF!+#REF!+#REF!+#REF!+#REF!+#REF!+#REF!+#REF!+#REF!+#REF!+#REF!+#REF!+#REF!+#REF!+#REF!+#REF!+#REF!+#REF!+#REF!+#REF!+#REF!+#REF!+#REF!+#REF!+#REF!+#REF!+#REF!</definedName>
    <definedName name="_3g1_">bd&amp;"-"&amp;Cover!d</definedName>
    <definedName name="_3JLK001">#REF!</definedName>
    <definedName name="_3JLK002">#REF!</definedName>
    <definedName name="_3JLK003">#REF!</definedName>
    <definedName name="_3JLK004">#REF!</definedName>
    <definedName name="_3ÿ_0Q">#REF!</definedName>
    <definedName name="_3审核95_1">#REF!</definedName>
    <definedName name="_4">#REF!</definedName>
    <definedName name="_4_4月制造费">#REF!</definedName>
    <definedName name="_4ÿ_0T">#REF!</definedName>
    <definedName name="_5">#REF!</definedName>
    <definedName name="_5_5月制造费">#REF!</definedName>
    <definedName name="_50109">#REF!</definedName>
    <definedName name="_55">#REF!</definedName>
    <definedName name="_5503">#REF!</definedName>
    <definedName name="_56">#REF!</definedName>
    <definedName name="_59">#REF!</definedName>
    <definedName name="_5l1_">"31/12/"&amp;LEFT(dc,4)-1</definedName>
    <definedName name="_5年10月到12月收发存">#REF!</definedName>
    <definedName name="_6">#REF!</definedName>
    <definedName name="_6_6月制造费">#REF!</definedName>
    <definedName name="_7">#REF!</definedName>
    <definedName name="_7_7月制造费">#REF!</definedName>
    <definedName name="_7l2_">LEFT(dc,4)-1&amp;"年12月31日"</definedName>
    <definedName name="_8">#REF!</definedName>
    <definedName name="_8_8月制造费">#REF!</definedName>
    <definedName name="_80100">#REF!</definedName>
    <definedName name="_88888">#REF!</definedName>
    <definedName name="_9">#REF!</definedName>
    <definedName name="_999">#REF!</definedName>
    <definedName name="_999年12月31日股份应收帐款.dbf">#REF!</definedName>
    <definedName name="_9P1_">bd&amp;"-"&amp;Cover!d</definedName>
    <definedName name="_a1" hidden="1">{#N/A,#N/A,TRUE,"Overall";#N/A,#N/A,TRUE,"Region Wise ";#N/A,#N/A,TRUE,"Client Wise"}</definedName>
    <definedName name="_A100" hidden="1">{#N/A,#N/A,FALSE,"Ocean";#N/A,#N/A,FALSE,"NewYork";#N/A,#N/A,FALSE,"Gateway";#N/A,#N/A,FALSE,"GVH";#N/A,#N/A,FALSE,"GVM";#N/A,#N/A,FALSE,"GVT"}</definedName>
    <definedName name="_A23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A4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B201" hidden="1">{#N/A,#N/A,FALSE,"Ocean";#N/A,#N/A,FALSE,"NewYork";#N/A,#N/A,FALSE,"Gateway";#N/A,#N/A,FALSE,"GVH";#N/A,#N/A,FALSE,"GVM";#N/A,#N/A,FALSE,"GVT"}</definedName>
    <definedName name="_bdm.4933B2B002A14CB28D5202ACD0E0D169.edm" hidden="1">#REF!</definedName>
    <definedName name="_bdm.832BBD2738664ACDA8A0490B0F0648CE.edm" hidden="1">#REF!</definedName>
    <definedName name="_bdm.ADA5E2B1E8CE42EFADE9EC66C687CBB9.edm" hidden="1">#REF!</definedName>
    <definedName name="_bdm.B35EE854F8714C29B80834AEC3E2096C.edm" hidden="1">#REF!</definedName>
    <definedName name="_bdm.DF8B2A720D6C4E00B423ABF362CE528F.edm" hidden="1">#REF!</definedName>
    <definedName name="_bdm.FastTrackBookmark.1_22_2022_3_29_53_PM.edm" hidden="1">#REF!</definedName>
    <definedName name="_bj1135">#REF!</definedName>
    <definedName name="_bj1261">#REF!</definedName>
    <definedName name="_bn1">#REF!</definedName>
    <definedName name="_BQ4.1" hidden="1">#REF!</definedName>
    <definedName name="_ccVersion">1.73</definedName>
    <definedName name="_cl1">#REF!</definedName>
    <definedName name="_Coname">OFFSET(#REF!,0,0,#REF!,1)</definedName>
    <definedName name="_CR1">#REF!</definedName>
    <definedName name="_Crociwacc">OFFSET(#REF!,0,0,#REF!,1)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9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p08">#REF!</definedName>
    <definedName name="_DIV01">#REF!</definedName>
    <definedName name="_DIV86">#REF!</definedName>
    <definedName name="_DIV87">#REF!</definedName>
    <definedName name="_DIV88">#REF!</definedName>
    <definedName name="_DIV89">#REF!</definedName>
    <definedName name="_DIV90">#REF!</definedName>
    <definedName name="_DIV91">#REF!</definedName>
    <definedName name="_DIV92">#REF!</definedName>
    <definedName name="_DIV93">#REF!</definedName>
    <definedName name="_DIV94">#REF!</definedName>
    <definedName name="_DIV95">#REF!</definedName>
    <definedName name="_DLX1.USE">#REF!</definedName>
    <definedName name="_dps01">#REF!</definedName>
    <definedName name="_dps98">#REF!</definedName>
    <definedName name="_dps99">#REF!</definedName>
    <definedName name="_EPS01">#REF!</definedName>
    <definedName name="_EPS02">#REF!</definedName>
    <definedName name="_eps03">#REF!</definedName>
    <definedName name="_EPS85">#REF!</definedName>
    <definedName name="_EPS86">#REF!</definedName>
    <definedName name="_EPS87">#REF!</definedName>
    <definedName name="_EPS88">#REF!</definedName>
    <definedName name="_EPS89">#REF!</definedName>
    <definedName name="_EPS90">#REF!</definedName>
    <definedName name="_EPS91">#REF!</definedName>
    <definedName name="_EPS92">#REF!</definedName>
    <definedName name="_EPS93">#REF!</definedName>
    <definedName name="_EPS94">#REF!</definedName>
    <definedName name="_EPS95">#REF!</definedName>
    <definedName name="_EPS96">#REF!</definedName>
    <definedName name="_EPS97">#REF!</definedName>
    <definedName name="_EPS98">#REF!</definedName>
    <definedName name="_EPS99">#REF!</definedName>
    <definedName name="_Evgci">OFFSET(#REF!,0,0,#REF!,1)</definedName>
    <definedName name="_exr99">115</definedName>
    <definedName name="_Fill" hidden="1">#REF!</definedName>
    <definedName name="_xlnm._FilterDatabase">#REF!</definedName>
    <definedName name="_FY2001">#REF!</definedName>
    <definedName name="_FY2002">#REF!</definedName>
    <definedName name="_G210">#REF!</definedName>
    <definedName name="_G300" hidden="1">#REF!</definedName>
    <definedName name="_GD10" hidden="1">{#N/A,#N/A,FALSE,"summary"}</definedName>
    <definedName name="_GL300100">#REF!</definedName>
    <definedName name="_GL310100">#REF!</definedName>
    <definedName name="_GL350100">#REF!</definedName>
    <definedName name="_GL360100">#REF!</definedName>
    <definedName name="_gop01">#REF!</definedName>
    <definedName name="_gop99">#REF!</definedName>
    <definedName name="_GOTO_EZ1_">#REF!</definedName>
    <definedName name="_int1">#REF!</definedName>
    <definedName name="_int2">#REF!</definedName>
    <definedName name="_int3">#REF!</definedName>
    <definedName name="_int4">#REF!</definedName>
    <definedName name="_int5">#REF!</definedName>
    <definedName name="_int6">#REF!</definedName>
    <definedName name="_KE8" hidden="1">#REF!</definedName>
    <definedName name="_Key1" hidden="1">#REF!</definedName>
    <definedName name="_key11" hidden="1">#REF!</definedName>
    <definedName name="_key12" hidden="1">#REF!</definedName>
    <definedName name="_KEY123" hidden="1">#REF!</definedName>
    <definedName name="_Key2" hidden="1">#REF!</definedName>
    <definedName name="_KEY3" hidden="1">#REF!</definedName>
    <definedName name="_KEY4" hidden="1">#REF!</definedName>
    <definedName name="_KEY5" hidden="1">#REF!</definedName>
    <definedName name="_KEY6" hidden="1">#REF!</definedName>
    <definedName name="_KEY7" hidden="1">#REF!</definedName>
    <definedName name="_key8" hidden="1">#REF!</definedName>
    <definedName name="_KEY90" hidden="1">#REF!</definedName>
    <definedName name="_KY1">#REF!</definedName>
    <definedName name="_L433" hidden="1">{#N/A,#N/A,FALSE,"summary"}</definedName>
    <definedName name="_LF12" hidden="1">#REF!</definedName>
    <definedName name="_lib94">6.8</definedName>
    <definedName name="_lib95">5.8</definedName>
    <definedName name="_LIB96">6</definedName>
    <definedName name="_LNE2">#REF!</definedName>
    <definedName name="_Long">OFFSET(#REF!,0,0,#REF!,1)</definedName>
    <definedName name="_lye1">"31/12/"&amp;LEFT(dc,4)-1</definedName>
    <definedName name="_lye2">LEFT(dc,4)-1&amp;"年12月31日"</definedName>
    <definedName name="_MatInverse_In" localSheetId="0" hidden="1">#REF!</definedName>
    <definedName name="_MatInverse_In" hidden="1">#REF!</definedName>
    <definedName name="_MatInverse_Out" localSheetId="0" hidden="1">#REF!</definedName>
    <definedName name="_MatInverse_Out" hidden="1">#REF!</definedName>
    <definedName name="_meta">#REF!</definedName>
    <definedName name="_mi01">#REF!</definedName>
    <definedName name="_mi99">#REF!</definedName>
    <definedName name="_net2000">870037</definedName>
    <definedName name="_net2001">979291</definedName>
    <definedName name="_new2" hidden="1">{#N/A,#N/A,FALSE,"One Pager";#N/A,#N/A,FALSE,"Technical"}</definedName>
    <definedName name="_NP01">#REF!</definedName>
    <definedName name="_NP86">#REF!</definedName>
    <definedName name="_NP87">#REF!</definedName>
    <definedName name="_NP88">#REF!</definedName>
    <definedName name="_NP89">#REF!</definedName>
    <definedName name="_NP90">#REF!</definedName>
    <definedName name="_NP91">#REF!</definedName>
    <definedName name="_NP92">#REF!</definedName>
    <definedName name="_NP93">#REF!</definedName>
    <definedName name="_NP94">#REF!</definedName>
    <definedName name="_NP95">#REF!</definedName>
    <definedName name="_NS01">#REF!</definedName>
    <definedName name="_NS86">#REF!</definedName>
    <definedName name="_NS87">#REF!</definedName>
    <definedName name="_NS88">#REF!</definedName>
    <definedName name="_NS89">#REF!</definedName>
    <definedName name="_NS90">#REF!</definedName>
    <definedName name="_NS91">#REF!</definedName>
    <definedName name="_NS92">#REF!</definedName>
    <definedName name="_NS93">#REF!</definedName>
    <definedName name="_NS94">#REF!</definedName>
    <definedName name="_NS95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c01">#REF!</definedName>
    <definedName name="_pc02">#REF!</definedName>
    <definedName name="_pc03">#REF!</definedName>
    <definedName name="_PL1">#REF!</definedName>
    <definedName name="_pri93">#REF!</definedName>
    <definedName name="_pri94">#REF!</definedName>
    <definedName name="_pri95">#REF!</definedName>
    <definedName name="_pri96">#REF!</definedName>
    <definedName name="_pri97">#REF!</definedName>
    <definedName name="_Regression_Int" hidden="1">1</definedName>
    <definedName name="_Regression_X" hidden="1">#REF!</definedName>
    <definedName name="_REV89">#REF!</definedName>
    <definedName name="_REV90">#REF!</definedName>
    <definedName name="_REV91">#REF!</definedName>
    <definedName name="_REV92">#REF!</definedName>
    <definedName name="_REV93">#REF!</definedName>
    <definedName name="_REV94">#REF!</definedName>
    <definedName name="_REV95">#REF!</definedName>
    <definedName name="_REV96">#REF!</definedName>
    <definedName name="_REV97">#REF!</definedName>
    <definedName name="_REV98">#REF!</definedName>
    <definedName name="_Scenario_new_change" hidden="1">#REF!</definedName>
    <definedName name="_scenchg_count" hidden="1">1</definedName>
    <definedName name="_scenchg1" hidden="1">#REF!</definedName>
    <definedName name="_Sort" hidden="1">#REF!</definedName>
    <definedName name="_Sort2" hidden="1">#REF!</definedName>
    <definedName name="_sss22" hidden="1">{#N/A,#N/A,TRUE,"Overall";#N/A,#N/A,TRUE,"Region Wise ";#N/A,#N/A,TRUE,"Client Wise"}</definedName>
    <definedName name="_t9" hidden="1">{#N/A,#N/A,FALSE,"UNIT";#N/A,#N/A,FALSE,"UNIT";#N/A,#N/A,FALSE,"계정"}</definedName>
    <definedName name="_tab4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x01">#REF!</definedName>
    <definedName name="_tax99">#REF!</definedName>
    <definedName name="_to020831">#REF!</definedName>
    <definedName name="_usd020531">8.2766</definedName>
    <definedName name="_vol93">#REF!</definedName>
    <definedName name="_vol94">#REF!</definedName>
    <definedName name="_vol95">#REF!</definedName>
    <definedName name="_vol96">#REF!</definedName>
    <definedName name="_vol97">#REF!</definedName>
    <definedName name="_WGT1">#REF!</definedName>
    <definedName name="_WGT2">#REF!</definedName>
    <definedName name="_WGT3">#REF!</definedName>
    <definedName name="_WGT4">#REF!</definedName>
    <definedName name="_WGT5">#REF!</definedName>
    <definedName name="_WGT6">#REF!</definedName>
    <definedName name="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wrn111" hidden="1">{#N/A,#N/A,FALSE,"One Pager";#N/A,#N/A,FALSE,"Technical"}</definedName>
    <definedName name="_wrn2" hidden="1">{#N/A,#N/A,TRUE,"Financials";#N/A,#N/A,TRUE,"Operating Statistics";#N/A,#N/A,TRUE,"Capex &amp; Depreciation";#N/A,#N/A,TRUE,"Debt"}</definedName>
    <definedName name="_wrn3" hidden="1">{#N/A,#N/A,FALSE,"One Pager";#N/A,#N/A,FALSE,"Technical"}</definedName>
    <definedName name="_x2">#REF!</definedName>
    <definedName name="_X4">#REF!</definedName>
    <definedName name="_YE01">#REF!</definedName>
    <definedName name="_ye02">#REF!</definedName>
    <definedName name="_ye03">#REF!</definedName>
    <definedName name="_ye04">#REF!</definedName>
    <definedName name="_ye05">#REF!</definedName>
    <definedName name="_ye06">#REF!</definedName>
    <definedName name="_ye07">#REF!</definedName>
    <definedName name="_ye08">#REF!</definedName>
    <definedName name="_YE85">#REF!</definedName>
    <definedName name="_YE86">#REF!</definedName>
    <definedName name="_YE87">#REF!</definedName>
    <definedName name="_YE88">#REF!</definedName>
    <definedName name="_YE89">#REF!</definedName>
    <definedName name="_YE90">#REF!</definedName>
    <definedName name="_YE91">#REF!</definedName>
    <definedName name="_YE92">#REF!</definedName>
    <definedName name="_YE93">#REF!</definedName>
    <definedName name="_YE94">#REF!</definedName>
    <definedName name="_YE95">#REF!</definedName>
    <definedName name="_YE96">#REF!</definedName>
    <definedName name="_YE97">#REF!</definedName>
    <definedName name="_YE98">#REF!</definedName>
    <definedName name="_YE99">#REF!</definedName>
    <definedName name="_ZF12" hidden="1">#REF!</definedName>
    <definedName name="_zh6">7.56</definedName>
    <definedName name="_月">#REF!</definedName>
    <definedName name="_月3月">#REF!</definedName>
    <definedName name="_月6月">#REF!</definedName>
    <definedName name="_月9月间">#REF!</definedName>
    <definedName name="_月完工产品成本">#REF!</definedName>
    <definedName name="_月末">#REF!</definedName>
    <definedName name="_月末在产">#REF!</definedName>
    <definedName name="_渤海1">#REF!</definedName>
    <definedName name="a">#REF!</definedName>
    <definedName name="a.dfafd">#N/A</definedName>
    <definedName name="A_1">#REF!</definedName>
    <definedName name="A_ALL_0325.HK">#REF!</definedName>
    <definedName name="A_ALL_0551.HK">#REF!</definedName>
    <definedName name="A_ALL_0551.HK_">#REF!</definedName>
    <definedName name="A_ALL_0787.HK">#REF!</definedName>
    <definedName name="A_ALL_1364.HK">#REF!</definedName>
    <definedName name="A_ALL_1368.HK">#REF!</definedName>
    <definedName name="A_ALL_1880.HK">#REF!</definedName>
    <definedName name="A_ALL_1880.HK_">#REF!</definedName>
    <definedName name="A_ALL_2097.HK" localSheetId="0">#REF!</definedName>
    <definedName name="A_ALL_2097.HK">#REF!</definedName>
    <definedName name="A_ALL_3813.HK">#REF!</definedName>
    <definedName name="A_ALL_6110.HK">#REF!</definedName>
    <definedName name="A_ALL_9922.HK">#REF!</definedName>
    <definedName name="A_ALL_CMG">#REF!</definedName>
    <definedName name="A_ALL_KEYWORDS_TYPE_ScalarContributed_EQTY_200002981">#REF!,#REF!</definedName>
    <definedName name="A_ALL_KEYWORDS_TYPE_ScalarContributed_EQTY_200007887">#REF!,#REF!</definedName>
    <definedName name="A_ALL_KEYWORDS_TYPE_ScalarContributed_EQTY_200010679">#REF!,#REF!</definedName>
    <definedName name="A_ALL_KEYWORDS_TYPE_ScalarContributed_EQTY_200010680">#REF!,#REF!</definedName>
    <definedName name="A_ALL_KEYWORDS_TYPE_ScalarContributed_EQTY_200011141">#REF!,#REF!</definedName>
    <definedName name="A_ALL_KEYWORDS_TYPE_ScalarContributed_EQTY_200019863">#REF!,#REF!,#REF!</definedName>
    <definedName name="A_ALL_KEYWORDS_TYPE_ScalarContributed_EQTY_200020904">#REF!,#REF!,#REF!</definedName>
    <definedName name="A_ALL_KEYWORDS_TYPE_ScalarContributed_EQTY_200021884">#REF!,#REF!,#REF!</definedName>
    <definedName name="A_ALL_KEYWORDS_TYPE_ScalarContributed_ISSR_208001031">#REF!,#REF!</definedName>
    <definedName name="A_ALL_KEYWORDS_TYPE_ScalarContributed_ISSR_208006123">#REF!,#REF!</definedName>
    <definedName name="A_ALL_KEYWORDS_TYPE_ScalarContributed_ISSR_208008188">#REF!,#REF!</definedName>
    <definedName name="A_ALL_KEYWORDS_TYPE_ScalarContributed_ISSR_208008530">#REF!,#REF!</definedName>
    <definedName name="A_ALL_KEYWORDS_TYPE_ScalarContributed_ISSR_208018549" localSheetId="0">#REF!,#REF!</definedName>
    <definedName name="A_ALL_KEYWORDS_TYPE_ScalarContributed_ISSR_208018549">#REF!,#REF!</definedName>
    <definedName name="A_ALL_KEYWORDS_TYPE_ScalarContributed_ISSR_208018627">#REF!,#REF!</definedName>
    <definedName name="A_ALL_KEYWORDS_TYPE_ScalarReference_EQTY_200010679">#REF!</definedName>
    <definedName name="A_ALL_KEYWORDS_TYPE_ScalarReference_ISSR_208008187">#REF!</definedName>
    <definedName name="A_ALL_KEYWORDS_TYPE_Vector_EQTY_200002981">#REF!,#REF!,#REF!,#REF!,#REF!</definedName>
    <definedName name="A_ALL_KEYWORDS_TYPE_Vector_EQTY_200007887">#REF!,#REF!,#REF!,#REF!,#REF!</definedName>
    <definedName name="A_ALL_KEYWORDS_TYPE_Vector_EQTY_200010679">#REF!,#REF!,#REF!,#REF!,#REF!</definedName>
    <definedName name="A_ALL_KEYWORDS_TYPE_Vector_EQTY_200010680">#REF!,#REF!,#REF!,#REF!,#REF!</definedName>
    <definedName name="A_ALL_KEYWORDS_TYPE_Vector_EQTY_200011141">#REF!,#REF!,#REF!,#REF!,#REF!</definedName>
    <definedName name="A_ALL_KEYWORDS_TYPE_Vector_EQTY_200019863" localSheetId="0">#REF!,#REF!,#REF!,#REF!,#REF!</definedName>
    <definedName name="A_ALL_KEYWORDS_TYPE_Vector_EQTY_200019863">#REF!,#REF!,#REF!,#REF!,#REF!</definedName>
    <definedName name="A_ALL_KEYWORDS_TYPE_Vector_EQTY_200019898">#REF!,#REF!,#REF!,#REF!,#REF!</definedName>
    <definedName name="A_ALL_KEYWORDS_TYPE_Vector_ISSR_208000417">#REF!,#REF!,#REF!,#REF!,#REF!,#REF!,#REF!,#REF!,#REF!,#REF!,#REF!,#REF!</definedName>
    <definedName name="A_ALL_KEYWORDS_TYPE_Vector_ISSR_208000897">#REF!,#REF!,#REF!,#REF!,#REF!,#REF!,#REF!,#REF!,#REF!,#REF!,#REF!</definedName>
    <definedName name="A_ALL_KEYWORDS_TYPE_Vector_ISSR_208001031">#REF!,#REF!,#REF!,#REF!,#REF!,#REF!,#REF!,#REF!,#REF!,#REF!,#REF!,#REF!,#REF!,#REF!,#REF!</definedName>
    <definedName name="A_ALL_KEYWORDS_TYPE_Vector_ISSR_208006123">#REF!,#REF!,#REF!,#REF!,#REF!,#REF!,#REF!,#REF!,#REF!,#REF!</definedName>
    <definedName name="A_ALL_KEYWORDS_TYPE_Vector_ISSR_208008187">#REF!,#REF!,#REF!,#REF!,#REF!,#REF!,#REF!,#REF!,#REF!</definedName>
    <definedName name="A_ALL_KEYWORDS_TYPE_Vector_ISSR_208008188">#REF!,#REF!,#REF!,#REF!,#REF!,#REF!,#REF!,#REF!,#REF!,#REF!,#REF!,#REF!,#REF!,#REF!,#REF!,#REF!</definedName>
    <definedName name="A_ALL_KEYWORDS_TYPE_Vector_ISSR_208008530">#REF!,#REF!,#REF!,#REF!,#REF!,#REF!,#REF!,#REF!,#REF!,#REF!,#REF!,#REF!,#REF!</definedName>
    <definedName name="A_ALL_KEYWORDS_TYPE_Vector_ISSR_208017184">#REF!,#REF!,#REF!,#REF!,#REF!,#REF!,#REF!,#REF!,#REF!,#REF!,#REF!,#REF!,#REF!</definedName>
    <definedName name="A_ALL_KEYWORDS_TYPE_Vector_ISSR_208018549" localSheetId="0">#REF!,#REF!,#REF!,#REF!,#REF!,#REF!,#REF!,#REF!,#REF!,#REF!,#REF!,#REF!,#REF!,#REF!</definedName>
    <definedName name="A_ALL_KEYWORDS_TYPE_Vector_ISSR_208018549">#REF!,#REF!,#REF!,#REF!,#REF!,#REF!,#REF!,#REF!,#REF!,#REF!,#REF!,#REF!,#REF!,#REF!</definedName>
    <definedName name="A_ALL_KEYWORDS_TYPE_Vector_ISSR_208018627">#REF!,#REF!,#REF!,#REF!,#REF!,#REF!,#REF!,#REF!,#REF!,#REF!,#REF!,#REF!,#REF!,#REF!,#REF!,#REF!,#REF!</definedName>
    <definedName name="A_ALL_MCD">#REF!</definedName>
    <definedName name="A_ALL_SECTION_KEYWORDS_EQTY_200010679_1314">#REF!</definedName>
    <definedName name="A_ALL_SECTION_KEYWORDS_EQTY_200010679_131E">#REF!</definedName>
    <definedName name="A_ALL_SECTION_KEYWORDS_EQTY_200010679_131O">#REF!</definedName>
    <definedName name="A_ALL_SECTION_KEYWORDS_EQTY_200010679_13A">#REF!</definedName>
    <definedName name="A_ALL_SECTION_KEYWORDS_EQTY_200010679_13K">#REF!</definedName>
    <definedName name="A_ALL_SECTION_KEYWORDS_EQTY_200010679_13U">#REF!</definedName>
    <definedName name="A_ALL_SECTION_KEYWORDS_EQTY_200010679_13V">#REF!</definedName>
    <definedName name="A_ALL_SECTION_KEYWORDS_EQTY_200010679_Reference_Data">#REF!</definedName>
    <definedName name="A_ALL_SECTION_KEYWORDS_ISSR_208000417_131O">#REF!,#REF!</definedName>
    <definedName name="A_ALL_SECTION_KEYWORDS_ISSR_208000897_131O">#REF!,#REF!</definedName>
    <definedName name="A_ALL_SECTION_KEYWORDS_ISSR_208000897_136E">#REF!,#REF!</definedName>
    <definedName name="A_ALL_SECTION_KEYWORDS_ISSR_208001031_136E">#REF!,#REF!</definedName>
    <definedName name="A_ALL_SECTION_KEYWORDS_ISSR_208001031_136J">#REF!,#REF!</definedName>
    <definedName name="A_ALL_SECTION_KEYWORDS_ISSR_208001031_13V">#REF!,#REF!</definedName>
    <definedName name="A_ALL_SECTION_KEYWORDS_ISSR_208006123_136E">#REF!,#REF!</definedName>
    <definedName name="A_ALL_SECTION_KEYWORDS_ISSR_208006123_136J">#REF!,#REF!</definedName>
    <definedName name="A_ALL_SECTION_KEYWORDS_ISSR_208008187_1314">#REF!</definedName>
    <definedName name="A_ALL_SECTION_KEYWORDS_ISSR_208008187_13168">#REF!</definedName>
    <definedName name="A_ALL_SECTION_KEYWORDS_ISSR_208008187_1316S">#REF!</definedName>
    <definedName name="A_ALL_SECTION_KEYWORDS_ISSR_208008187_1316T">#REF!</definedName>
    <definedName name="A_ALL_SECTION_KEYWORDS_ISSR_208008187_1316U">#REF!</definedName>
    <definedName name="A_ALL_SECTION_KEYWORDS_ISSR_208008187_1319">#REF!</definedName>
    <definedName name="A_ALL_SECTION_KEYWORDS_ISSR_208008187_131E">#REF!</definedName>
    <definedName name="A_ALL_SECTION_KEYWORDS_ISSR_208008187_131J">#REF!</definedName>
    <definedName name="A_ALL_SECTION_KEYWORDS_ISSR_208008187_131O">#REF!</definedName>
    <definedName name="A_ALL_SECTION_KEYWORDS_ISSR_208008187_136E">#REF!,#REF!</definedName>
    <definedName name="A_ALL_SECTION_KEYWORDS_ISSR_208008187_136J">#REF!,#REF!</definedName>
    <definedName name="A_ALL_SECTION_KEYWORDS_ISSR_208008187_13U">#REF!</definedName>
    <definedName name="A_ALL_SECTION_KEYWORDS_ISSR_208008187_13V">#REF!</definedName>
    <definedName name="A_ALL_SECTION_KEYWORDS_ISSR_208008187_Reference_Data">#REF!</definedName>
    <definedName name="A_ALL_SECTION_KEYWORDS_ISSR_208008530_136E">#REF!,#REF!</definedName>
    <definedName name="A_ALL_SECTION_KEYWORDS_ISSR_208008530_13V">#REF!,#REF!</definedName>
    <definedName name="A_ALL_SECTION_KEYWORDS_ISSR_208018549_13V" localSheetId="0">#REF!,#REF!</definedName>
    <definedName name="A_ALL_SECTION_KEYWORDS_ISSR_208018549_13V">#REF!,#REF!</definedName>
    <definedName name="A_ALL_SECTION_KEYWORDS_ISSR_208018627_13V">#REF!,#REF!</definedName>
    <definedName name="A_ALL_SECTIONS_EQTY_200002981">#REF!,#REF!,#REF!,#REF!,#REF!,#REF!,#REF!,#REF!</definedName>
    <definedName name="A_ALL_SECTIONS_EQTY_200007887">#REF!,#REF!,#REF!,#REF!,#REF!,#REF!,#REF!,#REF!</definedName>
    <definedName name="A_ALL_SECTIONS_EQTY_200010679">#REF!,#REF!,#REF!,#REF!,#REF!,#REF!,#REF!,#REF!</definedName>
    <definedName name="A_ALL_SECTIONS_EQTY_200010680">#REF!,#REF!,#REF!,#REF!,#REF!,#REF!,#REF!,#REF!</definedName>
    <definedName name="A_ALL_SECTIONS_ISSR_208006123">#REF!,#REF!,#REF!,#REF!,#REF!,#REF!,#REF!,#REF!,#REF!,#REF!</definedName>
    <definedName name="A_ALL_SECTIONS_ISSR_208008188">#REF!,#REF!,#REF!,#REF!,#REF!,#REF!,#REF!,#REF!,#REF!,#REF!</definedName>
    <definedName name="A_ALL_YUM">#REF!</definedName>
    <definedName name="A_CURRENCY_EQTY_200010679_PRI">#REF!</definedName>
    <definedName name="A_CURRENCY_EQTY_200010679_PUB">#REF!</definedName>
    <definedName name="A_CURRENCY_EQTY_200010679_REP">#REF!</definedName>
    <definedName name="A_CURRENCY_ISSR_208008187_REP">#REF!</definedName>
    <definedName name="A_KEYWORD_EQTY_200010679_AEJ_CONVICTION">#REF!</definedName>
    <definedName name="A_KEYWORD_EQTY_200010679_AEJ_LIST">#REF!</definedName>
    <definedName name="A_KEYWORD_EQTY_200010679_BETA_ANALYST">#REF!</definedName>
    <definedName name="A_KEYWORD_EQTY_200010679_BVPS">#REF!</definedName>
    <definedName name="A_KEYWORD_EQTY_200010679_BVPS_PUB">#REF!</definedName>
    <definedName name="A_KEYWORD_EQTY_200010679_CATALYST1_DATE">#REF!</definedName>
    <definedName name="A_KEYWORD_EQTY_200010679_CATALYST1_EVENT">#REF!</definedName>
    <definedName name="A_KEYWORD_EQTY_200010679_CATALYST2_DATE">#REF!</definedName>
    <definedName name="A_KEYWORD_EQTY_200010679_CATALYST2_EVENT">#REF!</definedName>
    <definedName name="A_KEYWORD_EQTY_200010679_CATALYST3_DATE">#REF!</definedName>
    <definedName name="A_KEYWORD_EQTY_200010679_CATALYST3_EVENT">#REF!</definedName>
    <definedName name="A_KEYWORD_EQTY_200010679_CATALYST4_DATE">#REF!</definedName>
    <definedName name="A_KEYWORD_EQTY_200010679_CATALYST4_EVENT">#REF!</definedName>
    <definedName name="A_KEYWORD_EQTY_200010679_CATALYST5_DATE">#REF!</definedName>
    <definedName name="A_KEYWORD_EQTY_200010679_CATALYST5_EVENT">#REF!</definedName>
    <definedName name="A_KEYWORD_EQTY_200010679_CF_NI_PRE_PREF">#REF!</definedName>
    <definedName name="A_KEYWORD_EQTY_200010679_COMMON_DIV_PAID">#REF!</definedName>
    <definedName name="A_KEYWORD_EQTY_200010679_CURRENCY_ISO">#REF!</definedName>
    <definedName name="A_KEYWORD_EQTY_200010679_DILUTE_SHARES">#REF!</definedName>
    <definedName name="A_KEYWORD_EQTY_200010679_DPS">#REF!</definedName>
    <definedName name="A_KEYWORD_EQTY_200010679_DPS_PUB">#REF!</definedName>
    <definedName name="A_KEYWORD_EQTY_200010679_EBIT_PUB">#REF!</definedName>
    <definedName name="A_KEYWORD_EQTY_200010679_EBITDA_PUB">#REF!</definedName>
    <definedName name="A_KEYWORD_EQTY_200010679_EPS">#REF!</definedName>
    <definedName name="A_KEYWORD_EQTY_200010679_EPS_CONS_PUB">#REF!</definedName>
    <definedName name="A_KEYWORD_EQTY_200010679_EPS_FUL_DIL">#REF!</definedName>
    <definedName name="A_KEYWORD_EQTY_200010679_EPS_POST_BASIC">#REF!</definedName>
    <definedName name="A_KEYWORD_EQTY_200010679_EPS_PUB">#REF!</definedName>
    <definedName name="A_KEYWORD_EQTY_200010679_EQ_PUB">#REF!</definedName>
    <definedName name="A_KEYWORD_EQTY_200010679_EV_ADJ_PUB">#REF!</definedName>
    <definedName name="A_KEYWORD_EQTY_200010679_FOREIGN_HOLDNG">#REF!</definedName>
    <definedName name="A_KEYWORD_EQTY_200010679_FREE_FLOAT">#REF!</definedName>
    <definedName name="A_KEYWORD_EQTY_200010679_FULLY_DIL_EPS">#REF!</definedName>
    <definedName name="A_KEYWORD_EQTY_200010679_INC_MINORITY">#REF!</definedName>
    <definedName name="A_KEYWORD_EQTY_200010679_Interim_Type">#REF!</definedName>
    <definedName name="A_KEYWORD_EQTY_200010679_LEGAL_RATING">#REF!</definedName>
    <definedName name="A_KEYWORD_EQTY_200010679_MARGIN_TAX_RATE">#REF!</definedName>
    <definedName name="A_KEYWORD_EQTY_200010679_MKT_EQ_RISK_PREM">#REF!</definedName>
    <definedName name="A_KEYWORD_EQTY_200010679_NET_DEBT_PUB">#REF!</definedName>
    <definedName name="A_KEYWORD_EQTY_200010679_NET_EARNING">#REF!</definedName>
    <definedName name="A_KEYWORD_EQTY_200010679_NET_INC">#REF!</definedName>
    <definedName name="A_KEYWORD_EQTY_200010679_NI_CONS">#REF!</definedName>
    <definedName name="A_KEYWORD_EQTY_200010679_NI_PRE_PREF">#REF!</definedName>
    <definedName name="A_KEYWORD_EQTY_200010679_NI_PUB">#REF!</definedName>
    <definedName name="A_KEYWORD_EQTY_200010679_NON_OP_ADD">#REF!</definedName>
    <definedName name="A_KEYWORD_EQTY_200010679_NUM_SH">#REF!</definedName>
    <definedName name="A_KEYWORD_EQTY_200010679_PREF_DIV">#REF!</definedName>
    <definedName name="A_KEYWORD_EQTY_200010679_PRI_TARG_METH">#REF!</definedName>
    <definedName name="A_KEYWORD_EQTY_200010679_PRI_TARG_MULT">#REF!</definedName>
    <definedName name="A_KEYWORD_EQTY_200010679_PRICE_CURRENCY_ISO">#REF!</definedName>
    <definedName name="A_KEYWORD_EQTY_200010679_PROV_INC_TAX">#REF!</definedName>
    <definedName name="A_KEYWORD_EQTY_200010679_PTP_PUB">#REF!</definedName>
    <definedName name="A_KEYWORD_EQTY_200010679_PUB_CURRENCY_ISO">#REF!</definedName>
    <definedName name="A_KEYWORD_EQTY_200010679_REVS_PUB">#REF!</definedName>
    <definedName name="A_KEYWORD_EQTY_200010679_RISK_FR_RATE">#REF!</definedName>
    <definedName name="A_KEYWORD_EQTY_200010679_Security_Name">#REF!</definedName>
    <definedName name="A_KEYWORD_EQTY_200010679_SH">#REF!</definedName>
    <definedName name="A_KEYWORD_EQTY_200010679_TARGET_PRICE">#REF!</definedName>
    <definedName name="A_KEYWORD_EQTY_200010679_TAX_EXC">#REF!</definedName>
    <definedName name="A_KEYWORD_EQTY_200010679_Ticker">#REF!</definedName>
    <definedName name="A_KEYWORD_EQTY_200010679_TP_PERIOD">#REF!</definedName>
    <definedName name="A_KEYWORD_ISSR_208008187_ACC_AMORT">#REF!</definedName>
    <definedName name="A_KEYWORD_ISSR_208008187_ACC_DDA">#REF!</definedName>
    <definedName name="A_KEYWORD_ISSR_208008187_ACC_END_DATE">#REF!</definedName>
    <definedName name="A_KEYWORD_ISSR_208008187_ACC_PAY_GQ">#REF!</definedName>
    <definedName name="A_KEYWORD_ISSR_208008187_ACQ">#REF!</definedName>
    <definedName name="A_KEYWORD_ISSR_208008187_ADJ_UNF_PENS_GOOD">#REF!</definedName>
    <definedName name="A_KEYWORD_ISSR_208008187_ASSOC_JV_ADDBK">#REF!</definedName>
    <definedName name="A_KEYWORD_ISSR_208008187_ASSOCIATE">#REF!</definedName>
    <definedName name="A_KEYWORD_ISSR_208008187_ASSOCIATE_OP">#REF!</definedName>
    <definedName name="A_KEYWORD_ISSR_208008187_BAL_MINO_INT">#REF!</definedName>
    <definedName name="A_KEYWORD_ISSR_208008187_CAP_LEASES">#REF!</definedName>
    <definedName name="A_KEYWORD_ISSR_208008187_CAPEX">#REF!</definedName>
    <definedName name="A_KEYWORD_ISSR_208008187_CAPEX_EXPANSION">#REF!</definedName>
    <definedName name="A_KEYWORD_ISSR_208008187_CAPEX_MAINTENANCE">#REF!</definedName>
    <definedName name="A_KEYWORD_ISSR_208008187_CASH_EQ">#REF!</definedName>
    <definedName name="A_KEYWORD_ISSR_208008187_CASH_INT_EXP">#REF!</definedName>
    <definedName name="A_KEYWORD_ISSR_208008187_CASH_TAX_EXP">#REF!</definedName>
    <definedName name="A_KEYWORD_ISSR_208008187_CF_FIN">#REF!</definedName>
    <definedName name="A_KEYWORD_ISSR_208008187_CF_INC_MINORITY">#REF!</definedName>
    <definedName name="A_KEYWORD_ISSR_208008187_CF_INV">#REF!</definedName>
    <definedName name="A_KEYWORD_ISSR_208008187_CF_OPS">#REF!</definedName>
    <definedName name="A_KEYWORD_ISSR_208008187_CHG_LT_DEBT">#REF!</definedName>
    <definedName name="A_KEYWORD_ISSR_208008187_CO_BOR_MARGIN">#REF!</definedName>
    <definedName name="A_KEYWORD_ISSR_208008187_CONTRIB_MARGIN_RATIO">#REF!</definedName>
    <definedName name="A_KEYWORD_ISSR_208008187_COST_GD_SD">#REF!</definedName>
    <definedName name="A_KEYWORD_ISSR_208008187_CUR_ASS">#REF!</definedName>
    <definedName name="A_KEYWORD_ISSR_208008187_CURRENCY_ISO">#REF!</definedName>
    <definedName name="A_KEYWORD_ISSR_208008187_DEBTORS">#REF!</definedName>
    <definedName name="A_KEYWORD_ISSR_208008187_DEF_INC_TAX">#REF!</definedName>
    <definedName name="A_KEYWORD_ISSR_208008187_DEPR_AMORT">#REF!</definedName>
    <definedName name="A_KEYWORD_ISSR_208008187_DEPREC">#REF!</definedName>
    <definedName name="A_KEYWORD_ISSR_208008187_DIV_PAID">#REF!</definedName>
    <definedName name="A_KEYWORD_ISSR_208008187_DIVDS_ASSOC_JV">#REF!</definedName>
    <definedName name="A_KEYWORD_ISSR_208008187_DIVDS_PD_MINORITIES">#REF!</definedName>
    <definedName name="A_KEYWORD_ISSR_208008187_DIVEST">#REF!</definedName>
    <definedName name="A_KEYWORD_ISSR_208008187_EBIT">#REF!</definedName>
    <definedName name="A_KEYWORD_ISSR_208008187_EBITDA_CALC">#REF!</definedName>
    <definedName name="A_KEYWORD_ISSR_208008187_EMPLOYEES">#REF!</definedName>
    <definedName name="A_KEYWORD_ISSR_208008187_EQ">#REF!</definedName>
    <definedName name="A_KEYWORD_ISSR_208008187_EXP_ALUMINIUM">#REF!</definedName>
    <definedName name="A_KEYWORD_ISSR_208008187_EXP_BEEF">#REF!</definedName>
    <definedName name="A_KEYWORD_ISSR_208008187_EXP_CHICKEN">#REF!</definedName>
    <definedName name="A_KEYWORD_ISSR_208008187_EXP_COCOA">#REF!</definedName>
    <definedName name="A_KEYWORD_ISSR_208008187_EXP_COFFEE">#REF!</definedName>
    <definedName name="A_KEYWORD_ISSR_208008187_EXP_COPPER">#REF!</definedName>
    <definedName name="A_KEYWORD_ISSR_208008187_EXP_CORN">#REF!</definedName>
    <definedName name="A_KEYWORD_ISSR_208008187_EXP_COTTON">#REF!</definedName>
    <definedName name="A_KEYWORD_ISSR_208008187_EXP_DAIRY">#REF!</definedName>
    <definedName name="A_KEYWORD_ISSR_208008187_EXP_DIAMONDS">#REF!</definedName>
    <definedName name="A_KEYWORD_ISSR_208008187_EXP_GOLD">#REF!</definedName>
    <definedName name="A_KEYWORD_ISSR_208008187_EXP_NUTS">#REF!</definedName>
    <definedName name="A_KEYWORD_ISSR_208008187_EXP_OIL_DERIV_NGLS_PLASTICS">#REF!</definedName>
    <definedName name="A_KEYWORD_ISSR_208008187_EXP_OIL_PETRO_FUEL">#REF!</definedName>
    <definedName name="A_KEYWORD_ISSR_208008187_EXP_OTH_COMMODITY">#REF!</definedName>
    <definedName name="A_KEYWORD_ISSR_208008187_EXP_OTH_COST">#REF!</definedName>
    <definedName name="A_KEYWORD_ISSR_208008187_EXP_PALM_OIL">#REF!</definedName>
    <definedName name="A_KEYWORD_ISSR_208008187_EXP_PAPER_PULP">#REF!</definedName>
    <definedName name="A_KEYWORD_ISSR_208008187_EXP_PLATINUM">#REF!</definedName>
    <definedName name="A_KEYWORD_ISSR_208008187_EXP_PORK">#REF!</definedName>
    <definedName name="A_KEYWORD_ISSR_208008187_EXP_SILVER">#REF!</definedName>
    <definedName name="A_KEYWORD_ISSR_208008187_EXP_SOYBEAN">#REF!</definedName>
    <definedName name="A_KEYWORD_ISSR_208008187_EXP_SUGAR">#REF!</definedName>
    <definedName name="A_KEYWORD_ISSR_208008187_EXP_TOBACCO_LEAF">#REF!</definedName>
    <definedName name="A_KEYWORD_ISSR_208008187_EXP_WATER">#REF!</definedName>
    <definedName name="A_KEYWORD_ISSR_208008187_EXP_WHEAT">#REF!</definedName>
    <definedName name="A_KEYWORD_ISSR_208008187_FIX_ASS_INV">#REF!</definedName>
    <definedName name="A_KEYWORD_ISSR_208008187_GCI_INFL">#REF!</definedName>
    <definedName name="A_KEYWORD_ISSR_208008187_GOODWILL_AMORT">#REF!</definedName>
    <definedName name="A_KEYWORD_ISSR_208008187_GR_FIX_ASS">#REF!</definedName>
    <definedName name="A_KEYWORD_ISSR_208008187_GR_INTANG">#REF!</definedName>
    <definedName name="A_KEYWORD_ISSR_208008187_INT_EXP_IND">#REF!</definedName>
    <definedName name="A_KEYWORD_ISSR_208008187_INT_INC_IND">#REF!</definedName>
    <definedName name="A_KEYWORD_ISSR_208008187_INV_SECUR">#REF!</definedName>
    <definedName name="A_KEYWORD_ISSR_208008187_Issuer_Name">#REF!</definedName>
    <definedName name="A_KEYWORD_ISSR_208008187_LEASE_DEEM_DEPR">#REF!</definedName>
    <definedName name="A_KEYWORD_ISSR_208008187_LEASE_DEEM_INT">#REF!</definedName>
    <definedName name="A_KEYWORD_ISSR_208008187_LEASE_PAY">#REF!</definedName>
    <definedName name="A_KEYWORD_ISSR_208008187_LT_DEBT">#REF!</definedName>
    <definedName name="A_KEYWORD_ISSR_208008187_MINORITIES">#REF!</definedName>
    <definedName name="A_KEYWORD_ISSR_208008187_MV_ASSOCIATES">#REF!</definedName>
    <definedName name="A_KEYWORD_ISSR_208008187_NET_DEBT">#REF!</definedName>
    <definedName name="A_KEYWORD_ISSR_208008187_NET_DEBT_ADJ">#REF!</definedName>
    <definedName name="A_KEYWORD_ISSR_208008187_NET_FIX_ASS">#REF!</definedName>
    <definedName name="A_KEYWORD_ISSR_208008187_NET_INT_CH">#REF!</definedName>
    <definedName name="A_KEYWORD_ISSR_208008187_NET_INT_EXP">#REF!</definedName>
    <definedName name="A_KEYWORD_ISSR_208008187_NET_INTANG">#REF!</definedName>
    <definedName name="A_KEYWORD_ISSR_208008187_NONPPE_CAPEX">#REF!</definedName>
    <definedName name="A_KEYWORD_ISSR_208008187_OP_COST">#REF!</definedName>
    <definedName name="A_KEYWORD_ISSR_208008187_ORD_SH_FUND">#REF!</definedName>
    <definedName name="A_KEYWORD_ISSR_208008187_OTH_COST_INC">#REF!</definedName>
    <definedName name="A_KEYWORD_ISSR_208008187_OTH_CUR_ASS">#REF!</definedName>
    <definedName name="A_KEYWORD_ISSR_208008187_OTH_CUR_LIABS">#REF!</definedName>
    <definedName name="A_KEYWORD_ISSR_208008187_OTH_DACF_ADJ">#REF!</definedName>
    <definedName name="A_KEYWORD_ISSR_208008187_OTH_FIN_CF">#REF!</definedName>
    <definedName name="A_KEYWORD_ISSR_208008187_OTH_GCI_ADJ">#REF!</definedName>
    <definedName name="A_KEYWORD_ISSR_208008187_OTH_INV_CF">#REF!</definedName>
    <definedName name="A_KEYWORD_ISSR_208008187_OTH_LT_ASS">#REF!</definedName>
    <definedName name="A_KEYWORD_ISSR_208008187_OTH_LT_CRED_GQ">#REF!</definedName>
    <definedName name="A_KEYWORD_ISSR_208008187_OTH_NONCASH_ADJ">#REF!</definedName>
    <definedName name="A_KEYWORD_ISSR_208008187_OTH_OP_CF">#REF!</definedName>
    <definedName name="A_KEYWORD_ISSR_208008187_OTH_OP_INC_EXP">#REF!</definedName>
    <definedName name="A_KEYWORD_ISSR_208008187_PERIOD_MILESTONE">#REF!</definedName>
    <definedName name="A_KEYWORD_ISSR_208008187_PERSONNEL">#REF!</definedName>
    <definedName name="A_KEYWORD_ISSR_208008187_PL_SALE_ASSETS">#REF!</definedName>
    <definedName name="A_KEYWORD_ISSR_208008187_PREF_SH">#REF!</definedName>
    <definedName name="A_KEYWORD_ISSR_208008187_PROFIT_ON_DISP">#REF!</definedName>
    <definedName name="A_KEYWORD_ISSR_208008187_PT_PROF">#REF!</definedName>
    <definedName name="A_KEYWORD_ISSR_208008187_RD_EXP">#REF!</definedName>
    <definedName name="A_KEYWORD_ISSR_208008187_SALES">#REF!</definedName>
    <definedName name="A_KEYWORD_ISSR_208008187_SALES_BRAZIL">#REF!</definedName>
    <definedName name="A_KEYWORD_ISSR_208008187_SALES_CEE">#REF!</definedName>
    <definedName name="A_KEYWORD_ISSR_208008187_SALES_CEMENT">#REF!</definedName>
    <definedName name="A_KEYWORD_ISSR_208008187_SALES_CHINA">#REF!</definedName>
    <definedName name="A_KEYWORD_ISSR_208008187_SALES_CONS">#REF!</definedName>
    <definedName name="A_KEYWORD_ISSR_208008187_SALES_EU_EX_UK">#REF!</definedName>
    <definedName name="A_KEYWORD_ISSR_208008187_SALES_FINAN">#REF!</definedName>
    <definedName name="A_KEYWORD_ISSR_208008187_SALES_FX_BRL">#REF!</definedName>
    <definedName name="A_KEYWORD_ISSR_208008187_SALES_FX_CNY">#REF!</definedName>
    <definedName name="A_KEYWORD_ISSR_208008187_SALES_FX_EUR">#REF!</definedName>
    <definedName name="A_KEYWORD_ISSR_208008187_SALES_FX_GPB">#REF!</definedName>
    <definedName name="A_KEYWORD_ISSR_208008187_SALES_FX_INR">#REF!</definedName>
    <definedName name="A_KEYWORD_ISSR_208008187_SALES_FX_KRW">#REF!</definedName>
    <definedName name="A_KEYWORD_ISSR_208008187_SALES_FX_OTH">#REF!</definedName>
    <definedName name="A_KEYWORD_ISSR_208008187_SALES_FX_RUB">#REF!</definedName>
    <definedName name="A_KEYWORD_ISSR_208008187_SALES_FX_TWD">#REF!</definedName>
    <definedName name="A_KEYWORD_ISSR_208008187_SALES_FX_USD">#REF!</definedName>
    <definedName name="A_KEYWORD_ISSR_208008187_SALES_FX_YEN">#REF!</definedName>
    <definedName name="A_KEYWORD_ISSR_208008187_SALES_GLASS">#REF!</definedName>
    <definedName name="A_KEYWORD_ISSR_208008187_SALES_GOV">#REF!</definedName>
    <definedName name="A_KEYWORD_ISSR_208008187_SALES_IND">#REF!</definedName>
    <definedName name="A_KEYWORD_ISSR_208008187_SALES_INDIA">#REF!</definedName>
    <definedName name="A_KEYWORD_ISSR_208008187_SALES_JAPAN">#REF!</definedName>
    <definedName name="A_KEYWORD_ISSR_208008187_SALES_LUMBER">#REF!</definedName>
    <definedName name="A_KEYWORD_ISSR_208008187_SALES_ME">#REF!</definedName>
    <definedName name="A_KEYWORD_ISSR_208008187_SALES_OIL_PETRO_FUEL">#REF!</definedName>
    <definedName name="A_KEYWORD_ISSR_208008187_SALES_OTH_AEJ">#REF!</definedName>
    <definedName name="A_KEYWORD_ISSR_208008187_SALES_OTH_AM">#REF!</definedName>
    <definedName name="A_KEYWORD_ISSR_208008187_SALES_OTH_COMMODITY">#REF!</definedName>
    <definedName name="A_KEYWORD_ISSR_208008187_SALES_OTH_EMEA">#REF!</definedName>
    <definedName name="A_KEYWORD_ISSR_208008187_SALES_OTH_SALES_SOURCES">#REF!</definedName>
    <definedName name="A_KEYWORD_ISSR_208008187_SALES_OTHER">#REF!</definedName>
    <definedName name="A_KEYWORD_ISSR_208008187_SALES_PAPER_PULP">#REF!</definedName>
    <definedName name="A_KEYWORD_ISSR_208008187_SALES_RUSSIA">#REF!</definedName>
    <definedName name="A_KEYWORD_ISSR_208008187_SALES_SK">#REF!</definedName>
    <definedName name="A_KEYWORD_ISSR_208008187_SALES_STEEL">#REF!</definedName>
    <definedName name="A_KEYWORD_ISSR_208008187_SALES_TAIWAN">#REF!</definedName>
    <definedName name="A_KEYWORD_ISSR_208008187_SALES_TOBACCO_LEAF">#REF!</definedName>
    <definedName name="A_KEYWORD_ISSR_208008187_SALES_TOT_AFRICA">#REF!</definedName>
    <definedName name="A_KEYWORD_ISSR_208008187_SALES_TOT_AM">#REF!</definedName>
    <definedName name="A_KEYWORD_ISSR_208008187_SALES_TOT_ASIA">#REF!</definedName>
    <definedName name="A_KEYWORD_ISSR_208008187_SALES_TOT_EMEA">#REF!</definedName>
    <definedName name="A_KEYWORD_ISSR_208008187_SALES_UK">#REF!</definedName>
    <definedName name="A_KEYWORD_ISSR_208008187_SALES_US">#REF!</definedName>
    <definedName name="A_KEYWORD_ISSR_208008187_SEL_GL_AD">#REF!</definedName>
    <definedName name="A_KEYWORD_ISSR_208008187_SH_REPUR">#REF!</definedName>
    <definedName name="A_KEYWORD_ISSR_208008187_SHORT_T_DEBT">#REF!</definedName>
    <definedName name="A_KEYWORD_ISSR_208008187_SHORT_TERM_LIABS">#REF!</definedName>
    <definedName name="A_KEYWORD_ISSR_208008187_STOCKS">#REF!</definedName>
    <definedName name="A_KEYWORD_ISSR_208008187_TOT_ASSET">#REF!</definedName>
    <definedName name="A_KEYWORD_ISSR_208008187_TOT_CF">#REF!</definedName>
    <definedName name="A_KEYWORD_ISSR_208008187_TOT_LIAB">#REF!</definedName>
    <definedName name="A_KEYWORD_ISSR_208008187_TOT_LIAB_EQ">#REF!</definedName>
    <definedName name="A_KEYWORD_ISSR_208008187_TOT_LT_LIAB">#REF!</definedName>
    <definedName name="A_KEYWORD_ISSR_208008187_TOT_OPS_EXP">#REF!</definedName>
    <definedName name="A_KEYWORD_ISSR_208008187_TOT_OPS_EXP_DDA">#REF!</definedName>
    <definedName name="A_KEYWORD_ISSR_208008187_UNF_PENS">#REF!</definedName>
    <definedName name="A_KEYWORD_ISSR_208008187_UNF_PENS_LIAB_OTH">#REF!</definedName>
    <definedName name="A_KEYWORD_ISSR_208008187_UNF_PENS_OFF">#REF!</definedName>
    <definedName name="A_KEYWORD_ISSR_208008187_WORK_CAP">#REF!</definedName>
    <definedName name="A_LIVEDATA_EQTY_200010679">#REF!</definedName>
    <definedName name="A_LIVEDATA_ISSR_208008187">#REF!</definedName>
    <definedName name="A_m">#REF!</definedName>
    <definedName name="A_PERIOD_1994">#REF!</definedName>
    <definedName name="A_PERIOD_1995">#REF!</definedName>
    <definedName name="A_PERIOD_1996">#REF!</definedName>
    <definedName name="A_PERIOD_1997">#REF!</definedName>
    <definedName name="A_PERIOD_1998">#REF!</definedName>
    <definedName name="A_PERIOD_1999">#REF!</definedName>
    <definedName name="A_PERIOD_2000">#REF!</definedName>
    <definedName name="A_PERIOD_2001">#REF!</definedName>
    <definedName name="A_PERIOD_2002">#REF!</definedName>
    <definedName name="A_PERIOD_2003">#REF!</definedName>
    <definedName name="A_PERIOD_2004">#REF!</definedName>
    <definedName name="A_PERIOD_2005">#REF!</definedName>
    <definedName name="A_PERIOD_2006">#REF!</definedName>
    <definedName name="A_PERIOD_2007">#REF!</definedName>
    <definedName name="A_PERIOD_2008">#REF!</definedName>
    <definedName name="A_PERIOD_2009">#REF!</definedName>
    <definedName name="A_PERIOD_2010">#REF!</definedName>
    <definedName name="A_PERIOD_2010_H1">#REF!</definedName>
    <definedName name="A_PERIOD_2010_H2">#REF!</definedName>
    <definedName name="A_PERIOD_2011">#REF!</definedName>
    <definedName name="A_PERIOD_2011_H1">#REF!</definedName>
    <definedName name="A_PERIOD_2011_H2">#REF!</definedName>
    <definedName name="A_PERIOD_2012">#REF!</definedName>
    <definedName name="A_PERIOD_2013">#REF!</definedName>
    <definedName name="A_PERIOD_2014">#REF!</definedName>
    <definedName name="A_PERIOD_2015">#REF!</definedName>
    <definedName name="A_SECTION_EQTY_200010679_1314">#REF!</definedName>
    <definedName name="A_SECTION_EQTY_200010679_131E">#REF!</definedName>
    <definedName name="A_SECTION_EQTY_200010679_131O">#REF!</definedName>
    <definedName name="A_SECTION_EQTY_200010679_13A">#REF!</definedName>
    <definedName name="A_SECTION_EQTY_200010679_13K">#REF!</definedName>
    <definedName name="A_SECTION_EQTY_200010679_13U">#REF!</definedName>
    <definedName name="A_SECTION_EQTY_200010679_13V">#REF!</definedName>
    <definedName name="A_SECTION_EQTY_200010679_Reference_Data">#REF!</definedName>
    <definedName name="A_SECTION_ISSR_208008187_1314">#REF!</definedName>
    <definedName name="A_SECTION_ISSR_208008187_13168">#REF!</definedName>
    <definedName name="A_SECTION_ISSR_208008187_1316S">#REF!</definedName>
    <definedName name="A_SECTION_ISSR_208008187_1316T">#REF!</definedName>
    <definedName name="A_SECTION_ISSR_208008187_1316U">#REF!</definedName>
    <definedName name="A_SECTION_ISSR_208008187_1319">#REF!</definedName>
    <definedName name="A_SECTION_ISSR_208008187_131E">#REF!</definedName>
    <definedName name="A_SECTION_ISSR_208008187_131J">#REF!</definedName>
    <definedName name="A_SECTION_ISSR_208008187_131O">#REF!</definedName>
    <definedName name="A_SECTION_ISSR_208008187_13U">#REF!</definedName>
    <definedName name="A_SECTION_ISSR_208008187_13V">#REF!</definedName>
    <definedName name="A_SECTION_ISSR_208008187_Reference_Data">#REF!</definedName>
    <definedName name="A64.">#REF!</definedName>
    <definedName name="aa" localSheetId="0">#REF!</definedName>
    <definedName name="aa">#REF!</definedName>
    <definedName name="AAA">#REF!</definedName>
    <definedName name="AAA_DOCTOPS" hidden="1">"AAA_SET"</definedName>
    <definedName name="AAA_duser" hidden="1">"OFF"</definedName>
    <definedName name="aaaa" hidden="1">{#N/A,#N/A,FALSE,"UNIT";#N/A,#N/A,FALSE,"UNIT";#N/A,#N/A,FALSE,"계정"}</definedName>
    <definedName name="aaaaa" hidden="1">{"summary",#N/A,FALSE,"2000 vs 1999";"detail",#N/A,FALSE,"2000 vs 1999"}</definedName>
    <definedName name="aaaaaa" hidden="1">{"Monthly6Q",#N/A,FALSE,"0614ESL"}</definedName>
    <definedName name="aaaaaaa" hidden="1">{"'Demand Units'!$Z$2:$AF$53"}</definedName>
    <definedName name="aaaaaaaaaaaaaa" hidden="1">{"Monthly6Q",#N/A,FALSE,"0614ESL"}</definedName>
    <definedName name="aaaaaaaaaaaaaaaaaaaaaaaaaaaaa">#REF!</definedName>
    <definedName name="aaaada">#REF!,#REF!</definedName>
    <definedName name="AAB_Addin5" hidden="1">"AAB_Description for addin 5,Description for addin 5,Description for addin 5,Description for addin 5,Description for addin 5,Description for addin 5"</definedName>
    <definedName name="ab">#REF!</definedName>
    <definedName name="AB1447\">#REF!</definedName>
    <definedName name="abbb">#REF!</definedName>
    <definedName name="ab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.xls" hidden="1">{"toptrial",#N/A,TRUE,"toptrial";"adjustment",#N/A,TRUE,"toptrial";"voucher",#N/A,TRUE,"toptrial"}</definedName>
    <definedName name="abcd" hidden="1">{"Monthly6Q",#N/A,FALSE,"0614ESL"}</definedName>
    <definedName name="abcdef">#REF!</definedName>
    <definedName name="abcdefg">#REF!</definedName>
    <definedName name="abdefc.xls" hidden="1">{"toptrial",#N/A,TRUE,"toptrial";"adjustment",#N/A,TRUE,"toptrial";"voucher",#N/A,TRUE,"toptrial"}</definedName>
    <definedName name="AC">#REF!</definedName>
    <definedName name="AC03_95">#REF!</definedName>
    <definedName name="AC12_92">#REF!</definedName>
    <definedName name="AC12_93">#REF!</definedName>
    <definedName name="AC12_94">#REF!</definedName>
    <definedName name="Acc_payable_growth_fore">#REF!</definedName>
    <definedName name="Acc_Rec_growth_fore">#REF!</definedName>
    <definedName name="accg_profit_loss">#REF!</definedName>
    <definedName name="account">#REF!</definedName>
    <definedName name="Account_Name">#REF!</definedName>
    <definedName name="ACCOUNTEDPERIODTYPE1">#REF!</definedName>
    <definedName name="ACCOUNTEDPERIODTYPE2">#REF!</definedName>
    <definedName name="accounts">#REF!</definedName>
    <definedName name="Accounts_payable">#REF!</definedName>
    <definedName name="Accrual_Query">#REF!</definedName>
    <definedName name="Accrued_compensation_growth_fore">#REF!</definedName>
    <definedName name="Accrued_expenses_growth_fore">#REF!</definedName>
    <definedName name="Accum_Cap_Expenses_growth_fore">#REF!</definedName>
    <definedName name="Accum_Goodwill_Amort_growth_fore">#REF!</definedName>
    <definedName name="acname">#REF!</definedName>
    <definedName name="Acquisition_divestments">#REF!</definedName>
    <definedName name="ACT_CURCF">#REF!</definedName>
    <definedName name="ACT_CURPL">#REF!</definedName>
    <definedName name="ACT_SUMBS">#REF!</definedName>
    <definedName name="ACT_SUMCF">#REF!</definedName>
    <definedName name="ACT_SUMPL">#REF!</definedName>
    <definedName name="activeCell">#REF!</definedName>
    <definedName name="Actuals">#REF!</definedName>
    <definedName name="AD">#REF!</definedName>
    <definedName name="adasdasdasdas" hidden="1">{#N/A,#N/A,FALSE,"summary"}</definedName>
    <definedName name="add">#REF!</definedName>
    <definedName name="ADDED_VALUE">#REF!</definedName>
    <definedName name="AddInfoCommentBox1">#REF!</definedName>
    <definedName name="AddInfoCommentBox2">#REF!</definedName>
    <definedName name="AddInfoName1">#REF!</definedName>
    <definedName name="AddInfoName2">#REF!</definedName>
    <definedName name="AddInfoTextBox1">#REF!</definedName>
    <definedName name="AddInfoTextBox2">#REF!</definedName>
    <definedName name="adf">#N/A</definedName>
    <definedName name="adflkajdlfjkad">#REF!</definedName>
    <definedName name="Adidas">#REF!</definedName>
    <definedName name="Adj_net_oper_fore">#REF!</definedName>
    <definedName name="Adj_Total">#REF!</definedName>
    <definedName name="Adj1999C">#REF!</definedName>
    <definedName name="Adj1999E">#REF!</definedName>
    <definedName name="Adj1999N">#REF!</definedName>
    <definedName name="Adj2000C">#REF!</definedName>
    <definedName name="Adj2000E">#REF!</definedName>
    <definedName name="Adj2000N">#REF!</definedName>
    <definedName name="adjts_to_prior_yrs">#REF!</definedName>
    <definedName name="Adjusted_EPS">#REF!</definedName>
    <definedName name="Adjusted_Net_Operating_Profit">#REF!</definedName>
    <definedName name="ads" hidden="1">{#N/A,#N/A,FALSE,"供料净化车间"}</definedName>
    <definedName name="Advance">#REF!</definedName>
    <definedName name="Advance04">#REF!</definedName>
    <definedName name="Advance05">#REF!</definedName>
    <definedName name="Advance06">#REF!</definedName>
    <definedName name="AE">#REF!</definedName>
    <definedName name="aesifja">#REF!</definedName>
    <definedName name="aewrfda" hidden="1">{#N/A,#N/A,FALSE,"Ocean";#N/A,#N/A,FALSE,"NewYork";#N/A,#N/A,FALSE,"Gateway";#N/A,#N/A,FALSE,"GVH";#N/A,#N/A,FALSE,"GVM";#N/A,#N/A,FALSE,"GVT"}</definedName>
    <definedName name="af" hidden="1">{#N/A,#N/A,FALSE,"Ocean";#N/A,#N/A,FALSE,"NewYork";#N/A,#N/A,FALSE,"Gateway";#N/A,#N/A,FALSE,"GVH";#N/A,#N/A,FALSE,"GVM";#N/A,#N/A,FALSE,"GVT"}</definedName>
    <definedName name="afaafafafaf">#REF!</definedName>
    <definedName name="afasf" hidden="1">{"summary",#N/A,FALSE,"2000 vs 1999";"detail",#N/A,FALSE,"2000 vs 1999"}</definedName>
    <definedName name="afd">#N/A</definedName>
    <definedName name="afdsaf" hidden="1">{"summary",#N/A,FALSE,"2000 vs 1999";"detail",#N/A,FALSE,"2000 vs 1999"}</definedName>
    <definedName name="afdsfa">#REF!</definedName>
    <definedName name="afeojaif">#REF!</definedName>
    <definedName name="afew" hidden="1">{"summary",#N/A,FALSE,"2000 vs 1999";"detail",#N/A,FALSE,"2000 vs 1999"}</definedName>
    <definedName name="afsd" hidden="1">{"summary",#N/A,FALSE,"2000 vs 1999";"detail",#N/A,FALSE,"2000 vs 1999"}</definedName>
    <definedName name="after_tax">#REF!</definedName>
    <definedName name="agag" hidden="1">{"adj95mult",#N/A,FALSE,"COMPCO";"adj95est",#N/A,FALSE,"COMPCO"}</definedName>
    <definedName name="agda">#N/A</definedName>
    <definedName name="AGEDDATABASE" hidden="1">{#N/A,#N/A,FALSE,"970301";#N/A,#N/A,FALSE,"970302";#N/A,#N/A,FALSE,"970303";#N/A,#N/A,FALSE,"970304";#N/A,#N/A,FALSE,"COM1";#N/A,#N/A,FALSE,"COM2"}</definedName>
    <definedName name="AgileDate">OFFSET(#REF!,0,0,COUNTA(#REF!)-47,1)</definedName>
    <definedName name="AgileDisc">OFFSET(#REF!,0,0,COUNTA(#REF!)-5,1)</definedName>
    <definedName name="AgilePrice">OFFSET(#REF!,0,0,COUNTA(#REF!)-3,1)</definedName>
    <definedName name="aging">#REF!</definedName>
    <definedName name="agrgqgrgga">#REF!</definedName>
    <definedName name="aha" hidden="1">{#N/A,#N/A,FALSE,"供料净化车间"}</definedName>
    <definedName name="ajd">#REF!</definedName>
    <definedName name="ajdjflkajgfjagjlkajl">#REF!</definedName>
    <definedName name="ajkd">#REF!</definedName>
    <definedName name="akfealf">#REF!</definedName>
    <definedName name="al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leton_Discount">#REF!</definedName>
    <definedName name="All_00_PS">#REF!</definedName>
    <definedName name="All_00_Rev">#REF!</definedName>
    <definedName name="All_97_PS">#REF!</definedName>
    <definedName name="All_97_Rev">#REF!</definedName>
    <definedName name="All_98_PS">#REF!</definedName>
    <definedName name="All_98_Rev">#REF!</definedName>
    <definedName name="All_99_PS">#REF!</definedName>
    <definedName name="All_99_Rev">#REF!</definedName>
    <definedName name="All_EPS_00">#REF!</definedName>
    <definedName name="All_EPS_98">#REF!</definedName>
    <definedName name="All_EPS_99">#REF!</definedName>
    <definedName name="All_Mkt_Cap">#REF!</definedName>
    <definedName name="All_Off_High">#REF!</definedName>
    <definedName name="All_Stocks">#REF!</definedName>
    <definedName name="Amort">#REF!</definedName>
    <definedName name="Amount">#REF!</definedName>
    <definedName name="AMOY_PROPERTIES__INVESTMENT_PROPERTY_SCHEDULE">#REF!</definedName>
    <definedName name="Amoy_Properties__Summary_Sheet">#REF!</definedName>
    <definedName name="an" hidden="1">{#N/A,#N/A,TRUE,"Overall";#N/A,#N/A,TRUE,"Region Wise ";#N/A,#N/A,TRUE,"Client Wise"}</definedName>
    <definedName name="anscount" hidden="1">1</definedName>
    <definedName name="Anta">#REF!</definedName>
    <definedName name="App">#REF!</definedName>
    <definedName name="Application">#REF!</definedName>
    <definedName name="APPSUSERNAME1">#REF!</definedName>
    <definedName name="APPSUSERNAME2">#REF!</definedName>
    <definedName name="Area_Analysis">#REF!</definedName>
    <definedName name="arg">#REF!</definedName>
    <definedName name="Argyle_Centre_Office_Sell">#REF!</definedName>
    <definedName name="Arial">#REF!</definedName>
    <definedName name="as" hidden="1">{#N/A,#N/A,TRUE,"Overall";#N/A,#N/A,TRUE,"Region Wise ";#N/A,#N/A,TRUE,"Client Wise"}</definedName>
    <definedName name="AS2DocOpenMode" hidden="1">"AS2DocumentEdit"</definedName>
    <definedName name="asas" hidden="1">5</definedName>
    <definedName name="asd" hidden="1">{#N/A,#N/A,TRUE,"Overall";#N/A,#N/A,TRUE,"Region Wise ";#N/A,#N/A,TRUE,"Client Wise"}</definedName>
    <definedName name="asdasdasdasdasda" hidden="1">{#N/A,#N/A,FALSE,"summary"}</definedName>
    <definedName name="asdasfasfaf" hidden="1">{#N/A,#N/A,FALSE,"summary"}</definedName>
    <definedName name="asdf">#REF!</definedName>
    <definedName name="asdfadas">#REF!</definedName>
    <definedName name="asdfg" hidden="1">{"Eilbericht_UBA",#N/A,FALSE,"EB"}</definedName>
    <definedName name="asdfghjkjlkl">#REF!</definedName>
    <definedName name="asdfsdf" hidden="1">{"summary",#N/A,FALSE,"2000 vs 1999";"detail",#N/A,FALSE,"2000 vs 1999"}</definedName>
    <definedName name="asdg">#REF!</definedName>
    <definedName name="asf" hidden="1">{"summary",#N/A,FALSE,"2000 vs 1999";"detail",#N/A,FALSE,"2000 vs 1999"}</definedName>
    <definedName name="asfdsdf" hidden="1">{"summary",#N/A,FALSE,"2000 vs 1999";"detail",#N/A,FALSE,"2000 vs 1999"}</definedName>
    <definedName name="asfsagd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asfsd" hidden="1">{"summary",#N/A,FALSE,"2000 vs 1999";"detail",#N/A,FALSE,"2000 vs 1999"}</definedName>
    <definedName name="asfsdsdf" hidden="1">{"summary",#N/A,FALSE,"2000 vs 1999";"detail",#N/A,FALSE,"2000 vs 1999"}</definedName>
    <definedName name="asgdagdsgfd" hidden="1">{"summary",#N/A,FALSE,"2000 vs 1999";"detail",#N/A,FALSE,"2000 vs 1999"}</definedName>
    <definedName name="asgfasga" hidden="1">{#N/A,#N/A,FALSE,"summary"}</definedName>
    <definedName name="asgsddgsa" hidden="1">{"summary",#N/A,FALSE,"2000 vs 1999";"detail",#N/A,FALSE,"2000 vs 1999"}</definedName>
    <definedName name="Asia">#REF!</definedName>
    <definedName name="Asia_Pacific_Big_Cap_conglomerates_valuation_summary_as_of_April_4__2007">"FrontCover_ValuationSummary"</definedName>
    <definedName name="Asia_w">#REF!</definedName>
    <definedName name="ass">#REF!</definedName>
    <definedName name="assess_income_loss">#REF!</definedName>
    <definedName name="Asset_Closing">#REF!</definedName>
    <definedName name="Associated_income">#REF!</definedName>
    <definedName name="assume_pc">#REF!</definedName>
    <definedName name="aud">#REF!</definedName>
    <definedName name="audnew">#REF!</definedName>
    <definedName name="audold">#REF!</definedName>
    <definedName name="Aug.">#REF!</definedName>
    <definedName name="AURABOOKMARK239">#REF!</definedName>
    <definedName name="AURABOOKMARK34">#REF!</definedName>
    <definedName name="AURABOOKMARK35">#REF!</definedName>
    <definedName name="AuraStyleDefaultsReset" hidden="1">#N/A</definedName>
    <definedName name="Aust">#REF!</definedName>
    <definedName name="Australia_Px_Last">#REF!:OFFSET(#REF!,MATCH(#REF!,"",-1)+1,0)</definedName>
    <definedName name="Average_invested_capital">#REF!</definedName>
    <definedName name="Average_invested_capital_DCF">#REF!</definedName>
    <definedName name="AvgExchangeRate2010">#REF!</definedName>
    <definedName name="AvgExchangeRate2011">#REF!</definedName>
    <definedName name="ayear">#REF!</definedName>
    <definedName name="b" hidden="1">{#N/A,#N/A,FALSE,"Gateway";#N/A,#N/A,FALSE,"NewYork";#N/A,#N/A,FALSE,"Ocean";#N/A,#N/A,FALSE,"GVH";#N/A,#N/A,FALSE,"GVM";#N/A,#N/A,FALSE,"GVT"}</definedName>
    <definedName name="B_m">#REF!</definedName>
    <definedName name="BA">#REF!</definedName>
    <definedName name="Back_to_back_borrowing">#REF!</definedName>
    <definedName name="backbone">#REF!</definedName>
    <definedName name="backto">#REF!</definedName>
    <definedName name="bad">#REF!</definedName>
    <definedName name="bae">#REF!</definedName>
    <definedName name="bahtnew">#REF!</definedName>
    <definedName name="bahtold">#REF!</definedName>
    <definedName name="BALANCE.dbf">#REF!</definedName>
    <definedName name="Balance_Sheet">#REF!</definedName>
    <definedName name="BalanceSheet">#REF!</definedName>
    <definedName name="BALFULL">#REF!</definedName>
    <definedName name="bao">#REF!</definedName>
    <definedName name="bap">#REF!</definedName>
    <definedName name="Base1">#REF!</definedName>
    <definedName name="bat">#REF!</definedName>
    <definedName name="bay">#REF!</definedName>
    <definedName name="BB">#REF!</definedName>
    <definedName name="bbb">#REF!</definedName>
    <definedName name="bbbb" hidden="1">{"summary",#N/A,FALSE,"2000 vs 1999";"detail",#N/A,FALSE,"2000 vs 1999"}</definedName>
    <definedName name="bbbbbb">#REF!</definedName>
    <definedName name="bbbbbbbbb">#REF!</definedName>
    <definedName name="bbbbbbbbbbbbb">#REF!</definedName>
    <definedName name="bbbbbbbbbbbbbbbbbbbbbbbbbbbbbbb">#REF!</definedName>
    <definedName name="BC">#REF!</definedName>
    <definedName name="bca">#REF!</definedName>
    <definedName name="bcb">#REF!</definedName>
    <definedName name="BCD" hidden="1">{#N/A,#N/A,FALSE,"One Pager";#N/A,#N/A,FALSE,"Technical"}</definedName>
    <definedName name="bce">#REF!</definedName>
    <definedName name="bcl">#REF!</definedName>
    <definedName name="bcm">#REF!</definedName>
    <definedName name="bcp">#REF!</definedName>
    <definedName name="bd">"1/1/2005"</definedName>
    <definedName name="bdc">"2005年1月1日"</definedName>
    <definedName name="bdp">#REF!</definedName>
    <definedName name="BE">#REF!</definedName>
    <definedName name="before_tax">#REF!</definedName>
    <definedName name="begcce">#REF!</definedName>
    <definedName name="bet">#REF!</definedName>
    <definedName name="bfc">#REF!</definedName>
    <definedName name="bfinancing">#REF!</definedName>
    <definedName name="bia">#REF!</definedName>
    <definedName name="bias">#REF!</definedName>
    <definedName name="bin">#REF!</definedName>
    <definedName name="bio">#REF!</definedName>
    <definedName name="bir">#REF!</definedName>
    <definedName name="bit">#REF!</definedName>
    <definedName name="BJDate">OFFSET(#REF!,0,0,COUNTA(#REF!),1)</definedName>
    <definedName name="BJGFA">OFFSET(#REF!,0,0,COUNTA(#REF!)-1,1)</definedName>
    <definedName name="BJPrice">OFFSET(#REF!,0,0,COUNTA(#REF!)-1,1)</definedName>
    <definedName name="BLA">#REF!</definedName>
    <definedName name="BlendedRate">#REF!</definedName>
    <definedName name="bll">#REF!</definedName>
    <definedName name="BLPB1" hidden="1">#REF!</definedName>
    <definedName name="BLPH1" hidden="1">#REF!</definedName>
    <definedName name="BLPH10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6" hidden="1">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hidden="1">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hidden="1">#REF!</definedName>
    <definedName name="BLPH200" hidden="1">#REF!</definedName>
    <definedName name="BLPH2008" hidden="1">#REF!</definedName>
    <definedName name="BLPH2009" hidden="1">#REF!</definedName>
    <definedName name="BLPH201" hidden="1">#REF!</definedName>
    <definedName name="BLPH2010" hidden="1">#REF!</definedName>
    <definedName name="BLPH2011" hidden="1">#REF!</definedName>
    <definedName name="BLPH2012" hidden="1">#REF!</definedName>
    <definedName name="BLPH2013" hidden="1">#REF!</definedName>
    <definedName name="BLPH2014" hidden="1">#REF!</definedName>
    <definedName name="BLPH2015" hidden="1">#REF!</definedName>
    <definedName name="BLPH2016" hidden="1">#REF!</definedName>
    <definedName name="BLPH2017" hidden="1">#REF!</definedName>
    <definedName name="BLPH2018" hidden="1">#REF!</definedName>
    <definedName name="BLPH2019" hidden="1">#REF!</definedName>
    <definedName name="BLPH202" hidden="1">#REF!</definedName>
    <definedName name="BLPH2020" hidden="1">#REF!</definedName>
    <definedName name="BLPH2021" hidden="1">#REF!</definedName>
    <definedName name="BLPH2022" hidden="1">#REF!</definedName>
    <definedName name="BLPH2023" hidden="1">#REF!</definedName>
    <definedName name="BLPH2024" hidden="1">#REF!</definedName>
    <definedName name="BLPH2025" hidden="1">#REF!</definedName>
    <definedName name="BLPH2026" hidden="1">#REF!</definedName>
    <definedName name="BLPH2027" hidden="1">#REF!</definedName>
    <definedName name="BLPH2028" hidden="1">#REF!</definedName>
    <definedName name="BLPH2029" hidden="1">#REF!</definedName>
    <definedName name="BLPH203" hidden="1">#REF!</definedName>
    <definedName name="BLPH2030" hidden="1">#REF!</definedName>
    <definedName name="BLPH2031" hidden="1">#REF!</definedName>
    <definedName name="BLPH2032" hidden="1">#REF!</definedName>
    <definedName name="BLPH2033" hidden="1">#REF!</definedName>
    <definedName name="BLPH2034" hidden="1">#REF!</definedName>
    <definedName name="BLPH2035" hidden="1">#REF!</definedName>
    <definedName name="BLPH2036" hidden="1">#REF!</definedName>
    <definedName name="BLPH2037" hidden="1">#REF!</definedName>
    <definedName name="BLPH2038" hidden="1">#REF!</definedName>
    <definedName name="BLPH2039" hidden="1">#REF!</definedName>
    <definedName name="BLPH204" hidden="1">#REF!</definedName>
    <definedName name="BLPH2040" hidden="1">#REF!</definedName>
    <definedName name="BLPH2041" hidden="1">#REF!</definedName>
    <definedName name="BLPH2042" hidden="1">#REF!</definedName>
    <definedName name="BLPH2043" hidden="1">#REF!</definedName>
    <definedName name="BLPH2044" hidden="1">#REF!</definedName>
    <definedName name="BLPH2045" hidden="1">#REF!</definedName>
    <definedName name="BLPH2046" hidden="1">#REF!</definedName>
    <definedName name="BLPH2047" hidden="1">#REF!</definedName>
    <definedName name="BLPH2048" hidden="1">#REF!</definedName>
    <definedName name="BLPH2049" hidden="1">#REF!</definedName>
    <definedName name="BLPH205" hidden="1">#REF!</definedName>
    <definedName name="BLPH2050" hidden="1">#REF!</definedName>
    <definedName name="BLPH2051" hidden="1">#REF!</definedName>
    <definedName name="BLPH2052" hidden="1">#REF!</definedName>
    <definedName name="BLPH2053" hidden="1">#REF!</definedName>
    <definedName name="BLPH2054" hidden="1">#REF!</definedName>
    <definedName name="BLPH2055" hidden="1">#REF!</definedName>
    <definedName name="BLPH2056" hidden="1">#REF!</definedName>
    <definedName name="BLPH2057" hidden="1">#REF!</definedName>
    <definedName name="BLPH2058" hidden="1">#REF!</definedName>
    <definedName name="BLPH2059" hidden="1">#REF!</definedName>
    <definedName name="BLPH206" hidden="1">#REF!</definedName>
    <definedName name="BLPH2060" hidden="1">#REF!</definedName>
    <definedName name="BLPH2061" hidden="1">#REF!</definedName>
    <definedName name="BLPH2062" hidden="1">#REF!</definedName>
    <definedName name="BLPH2063" hidden="1">#REF!</definedName>
    <definedName name="BLPH2064" hidden="1">#REF!</definedName>
    <definedName name="BLPH2065" hidden="1">#REF!</definedName>
    <definedName name="BLPH2066" hidden="1">#REF!</definedName>
    <definedName name="BLPH2067" hidden="1">#REF!</definedName>
    <definedName name="BLPH2068" hidden="1">#REF!</definedName>
    <definedName name="BLPH2069" hidden="1">#REF!</definedName>
    <definedName name="BLPH207" hidden="1">#REF!</definedName>
    <definedName name="BLPH2070" hidden="1">#REF!</definedName>
    <definedName name="BLPH2071" hidden="1">#REF!</definedName>
    <definedName name="BLPH2072" hidden="1">#REF!</definedName>
    <definedName name="BLPH2073" hidden="1">#REF!</definedName>
    <definedName name="BLPH2074" hidden="1">#REF!</definedName>
    <definedName name="BLPH2075" hidden="1">#REF!</definedName>
    <definedName name="BLPH2076" hidden="1">#REF!</definedName>
    <definedName name="BLPH2077" hidden="1">#REF!</definedName>
    <definedName name="BLPH2078" hidden="1">#REF!</definedName>
    <definedName name="BLPH2079" hidden="1">#REF!</definedName>
    <definedName name="BLPH208" hidden="1">#REF!</definedName>
    <definedName name="BLPH2080" hidden="1">#REF!</definedName>
    <definedName name="BLPH2081" hidden="1">#REF!</definedName>
    <definedName name="BLPH2082" hidden="1">#REF!</definedName>
    <definedName name="BLPH2083" hidden="1">#REF!</definedName>
    <definedName name="BLPH2084" hidden="1">#REF!</definedName>
    <definedName name="BLPH2085" hidden="1">#REF!</definedName>
    <definedName name="BLPH2086" hidden="1">#REF!</definedName>
    <definedName name="BLPH2087" hidden="1">#REF!</definedName>
    <definedName name="BLPH2088" hidden="1">#REF!</definedName>
    <definedName name="BLPH2089" hidden="1">#REF!</definedName>
    <definedName name="BLPH209" hidden="1">#REF!</definedName>
    <definedName name="BLPH2090" hidden="1">#REF!</definedName>
    <definedName name="BLPH2091" hidden="1">#REF!</definedName>
    <definedName name="BLPH2092" hidden="1">#REF!</definedName>
    <definedName name="BLPH2093" hidden="1">#REF!</definedName>
    <definedName name="BLPH2094" hidden="1">#REF!</definedName>
    <definedName name="BLPH2095" hidden="1">#REF!</definedName>
    <definedName name="BLPH2096" hidden="1">#REF!</definedName>
    <definedName name="BLPH2097" hidden="1">#REF!</definedName>
    <definedName name="BLPH2098" hidden="1">#REF!</definedName>
    <definedName name="BLPH2099" hidden="1">#REF!</definedName>
    <definedName name="BLPH21" hidden="1">#REF!</definedName>
    <definedName name="BLPH210" hidden="1">#REF!</definedName>
    <definedName name="BLPH2100" hidden="1">#REF!</definedName>
    <definedName name="BLPH2101" hidden="1">#REF!</definedName>
    <definedName name="BLPH2102" hidden="1">#REF!</definedName>
    <definedName name="BLPH2103" hidden="1">#REF!</definedName>
    <definedName name="BLPH2104" hidden="1">#REF!</definedName>
    <definedName name="BLPH2105" hidden="1">#REF!</definedName>
    <definedName name="BLPH2106" hidden="1">#REF!</definedName>
    <definedName name="BLPH2107" hidden="1">#REF!</definedName>
    <definedName name="BLPH2108" hidden="1">#REF!</definedName>
    <definedName name="BLPH2109" hidden="1">#REF!</definedName>
    <definedName name="BLPH211" hidden="1">#REF!</definedName>
    <definedName name="BLPH2110" hidden="1">#REF!</definedName>
    <definedName name="BLPH2111" hidden="1">#REF!</definedName>
    <definedName name="BLPH2112" hidden="1">#REF!</definedName>
    <definedName name="BLPH2113" hidden="1">#REF!</definedName>
    <definedName name="BLPH2114" hidden="1">#REF!</definedName>
    <definedName name="BLPH2115" hidden="1">#REF!</definedName>
    <definedName name="BLPH2116" hidden="1">#REF!</definedName>
    <definedName name="BLPH2117" hidden="1">#REF!</definedName>
    <definedName name="BLPH2118" hidden="1">#REF!</definedName>
    <definedName name="BLPH2119" hidden="1">#REF!</definedName>
    <definedName name="BLPH212" hidden="1">#REF!</definedName>
    <definedName name="BLPH2120" hidden="1">#REF!</definedName>
    <definedName name="BLPH2121" hidden="1">#REF!</definedName>
    <definedName name="BLPH2122" hidden="1">#REF!</definedName>
    <definedName name="BLPH2123" hidden="1">#REF!</definedName>
    <definedName name="BLPH2124" hidden="1">#REF!</definedName>
    <definedName name="BLPH2125" hidden="1">#REF!</definedName>
    <definedName name="BLPH2126" hidden="1">#REF!</definedName>
    <definedName name="BLPH2127" hidden="1">#REF!</definedName>
    <definedName name="BLPH2128" hidden="1">#REF!</definedName>
    <definedName name="BLPH2129" hidden="1">#REF!</definedName>
    <definedName name="BLPH213" hidden="1">#REF!</definedName>
    <definedName name="BLPH2130" hidden="1">#REF!</definedName>
    <definedName name="BLPH2131" hidden="1">#REF!</definedName>
    <definedName name="BLPH2132" hidden="1">#REF!</definedName>
    <definedName name="BLPH2133" hidden="1">#REF!</definedName>
    <definedName name="BLPH2134" hidden="1">#REF!</definedName>
    <definedName name="BLPH2135" hidden="1">#REF!</definedName>
    <definedName name="BLPH2136" hidden="1">#REF!</definedName>
    <definedName name="BLPH2137" hidden="1">#REF!</definedName>
    <definedName name="BLPH2138" hidden="1">#REF!</definedName>
    <definedName name="BLPH2139" hidden="1">#REF!</definedName>
    <definedName name="BLPH214" hidden="1">#REF!</definedName>
    <definedName name="BLPH2140" hidden="1">#REF!</definedName>
    <definedName name="BLPH2141" hidden="1">#REF!</definedName>
    <definedName name="BLPH2142" hidden="1">#REF!</definedName>
    <definedName name="BLPH2143" hidden="1">#REF!</definedName>
    <definedName name="BLPH2144" hidden="1">#REF!</definedName>
    <definedName name="BLPH2145" hidden="1">#REF!</definedName>
    <definedName name="BLPH2146" hidden="1">#REF!</definedName>
    <definedName name="BLPH2147" hidden="1">#REF!</definedName>
    <definedName name="BLPH2148" hidden="1">#REF!</definedName>
    <definedName name="BLPH2149" hidden="1">#REF!</definedName>
    <definedName name="BLPH215" hidden="1">#REF!</definedName>
    <definedName name="BLPH2150" hidden="1">#REF!</definedName>
    <definedName name="BLPH2151" hidden="1">#REF!</definedName>
    <definedName name="BLPH2152" hidden="1">#REF!</definedName>
    <definedName name="BLPH2153" hidden="1">#REF!</definedName>
    <definedName name="BLPH2154" hidden="1">#REF!</definedName>
    <definedName name="BLPH2155" hidden="1">#REF!</definedName>
    <definedName name="BLPH2156" hidden="1">#REF!</definedName>
    <definedName name="BLPH2157" hidden="1">#REF!</definedName>
    <definedName name="BLPH2158" hidden="1">#REF!</definedName>
    <definedName name="BLPH2159" hidden="1">#REF!</definedName>
    <definedName name="BLPH216" hidden="1">#REF!</definedName>
    <definedName name="BLPH2160" hidden="1">#REF!</definedName>
    <definedName name="BLPH2161" hidden="1">#REF!</definedName>
    <definedName name="BLPH2162" hidden="1">#REF!</definedName>
    <definedName name="BLPH2163" hidden="1">#REF!</definedName>
    <definedName name="BLPH2164" hidden="1">#REF!</definedName>
    <definedName name="BLPH2165" hidden="1">#REF!</definedName>
    <definedName name="BLPH2166" hidden="1">#REF!</definedName>
    <definedName name="BLPH2167" hidden="1">#REF!</definedName>
    <definedName name="BLPH2168" hidden="1">#REF!</definedName>
    <definedName name="BLPH2169" hidden="1">#REF!</definedName>
    <definedName name="BLPH217" hidden="1">#REF!</definedName>
    <definedName name="BLPH2170" hidden="1">#REF!</definedName>
    <definedName name="BLPH2171" hidden="1">#REF!</definedName>
    <definedName name="BLPH2172" hidden="1">#REF!</definedName>
    <definedName name="BLPH2173" hidden="1">#REF!</definedName>
    <definedName name="BLPH2174" hidden="1">#REF!</definedName>
    <definedName name="BLPH2175" hidden="1">#REF!</definedName>
    <definedName name="BLPH2176" hidden="1">#REF!</definedName>
    <definedName name="BLPH2177" hidden="1">#REF!</definedName>
    <definedName name="BLPH2178" hidden="1">#REF!</definedName>
    <definedName name="BLPH2179" hidden="1">#REF!</definedName>
    <definedName name="BLPH218" hidden="1">#REF!</definedName>
    <definedName name="BLPH2180" hidden="1">#REF!</definedName>
    <definedName name="BLPH2181" hidden="1">#REF!</definedName>
    <definedName name="BLPH2182" hidden="1">#REF!</definedName>
    <definedName name="BLPH2183" hidden="1">#REF!</definedName>
    <definedName name="BLPH2184" hidden="1">#REF!</definedName>
    <definedName name="BLPH2185" hidden="1">#REF!</definedName>
    <definedName name="BLPH2186" hidden="1">#REF!</definedName>
    <definedName name="BLPH2187" hidden="1">#REF!</definedName>
    <definedName name="BLPH2188" hidden="1">#REF!</definedName>
    <definedName name="BLPH2189" hidden="1">#REF!</definedName>
    <definedName name="BLPH219" hidden="1">#REF!</definedName>
    <definedName name="BLPH2190" hidden="1">#REF!</definedName>
    <definedName name="BLPH2191" hidden="1">#REF!</definedName>
    <definedName name="BLPH2192" hidden="1">#REF!</definedName>
    <definedName name="BLPH2193" hidden="1">#REF!</definedName>
    <definedName name="BLPH2194" hidden="1">#REF!</definedName>
    <definedName name="BLPH2195" hidden="1">#REF!</definedName>
    <definedName name="BLPH2196" hidden="1">#REF!</definedName>
    <definedName name="BLPH2197" hidden="1">#REF!</definedName>
    <definedName name="BLPH2198" hidden="1">#REF!</definedName>
    <definedName name="BLPH2199" hidden="1">#REF!</definedName>
    <definedName name="BLPH22" hidden="1">#REF!</definedName>
    <definedName name="BLPH220" hidden="1">#REF!</definedName>
    <definedName name="BLPH2200" hidden="1">#REF!</definedName>
    <definedName name="BLPH2201" hidden="1">#REF!</definedName>
    <definedName name="BLPH2202" hidden="1">#REF!</definedName>
    <definedName name="BLPH2203" hidden="1">#REF!</definedName>
    <definedName name="BLPH2204" hidden="1">#REF!</definedName>
    <definedName name="BLPH2205" hidden="1">#REF!</definedName>
    <definedName name="BLPH2206" hidden="1">#REF!</definedName>
    <definedName name="BLPH2207" hidden="1">#REF!</definedName>
    <definedName name="BLPH2208" hidden="1">#REF!</definedName>
    <definedName name="BLPH2209" hidden="1">#REF!</definedName>
    <definedName name="BLPH221" hidden="1">#REF!</definedName>
    <definedName name="BLPH2210" hidden="1">#REF!</definedName>
    <definedName name="BLPH2211" hidden="1">#REF!</definedName>
    <definedName name="BLPH2212" hidden="1">#REF!</definedName>
    <definedName name="BLPH2213" hidden="1">#REF!</definedName>
    <definedName name="BLPH2214" hidden="1">#REF!</definedName>
    <definedName name="BLPH2215" hidden="1">#REF!</definedName>
    <definedName name="BLPH2216" hidden="1">#REF!</definedName>
    <definedName name="BLPH2217" hidden="1">#REF!</definedName>
    <definedName name="BLPH2218" hidden="1">#REF!</definedName>
    <definedName name="BLPH2219" hidden="1">#REF!</definedName>
    <definedName name="BLPH222" hidden="1">#REF!</definedName>
    <definedName name="BLPH2220" hidden="1">#REF!</definedName>
    <definedName name="BLPH2221" hidden="1">#REF!</definedName>
    <definedName name="BLPH2222" hidden="1">#REF!</definedName>
    <definedName name="BLPH2223" hidden="1">#REF!</definedName>
    <definedName name="BLPH2224" hidden="1">#REF!</definedName>
    <definedName name="BLPH2225" hidden="1">#REF!</definedName>
    <definedName name="BLPH2226" hidden="1">#REF!</definedName>
    <definedName name="BLPH2227" hidden="1">#REF!</definedName>
    <definedName name="BLPH2228" hidden="1">#REF!</definedName>
    <definedName name="BLPH2229" hidden="1">#REF!</definedName>
    <definedName name="BLPH223" hidden="1">#REF!</definedName>
    <definedName name="BLPH2230" hidden="1">#REF!</definedName>
    <definedName name="BLPH2231" hidden="1">#REF!</definedName>
    <definedName name="BLPH2232" hidden="1">#REF!</definedName>
    <definedName name="BLPH2233" hidden="1">#REF!</definedName>
    <definedName name="BLPH2234" hidden="1">#REF!</definedName>
    <definedName name="BLPH2235" hidden="1">#REF!</definedName>
    <definedName name="BLPH2236" hidden="1">#REF!</definedName>
    <definedName name="BLPH2237" hidden="1">#REF!</definedName>
    <definedName name="BLPH2238" hidden="1">#REF!</definedName>
    <definedName name="BLPH2239" hidden="1">#REF!</definedName>
    <definedName name="BLPH224" hidden="1">#REF!</definedName>
    <definedName name="BLPH2240" hidden="1">#REF!</definedName>
    <definedName name="BLPH2241" hidden="1">#REF!</definedName>
    <definedName name="BLPH2242" hidden="1">#REF!</definedName>
    <definedName name="BLPH2243" hidden="1">#REF!</definedName>
    <definedName name="BLPH2244" hidden="1">#REF!</definedName>
    <definedName name="BLPH2245" hidden="1">#REF!</definedName>
    <definedName name="BLPH2246" hidden="1">#REF!</definedName>
    <definedName name="BLPH2247" hidden="1">#REF!</definedName>
    <definedName name="BLPH2248" hidden="1">#REF!</definedName>
    <definedName name="BLPH2249" hidden="1">#REF!</definedName>
    <definedName name="BLPH225" hidden="1">#REF!</definedName>
    <definedName name="BLPH2250" hidden="1">#REF!</definedName>
    <definedName name="BLPH2251" hidden="1">#REF!</definedName>
    <definedName name="BLPH2252" hidden="1">#REF!</definedName>
    <definedName name="BLPH2253" hidden="1">#REF!</definedName>
    <definedName name="BLPH2254" hidden="1">#REF!</definedName>
    <definedName name="BLPH2255" hidden="1">#REF!</definedName>
    <definedName name="BLPH2256" hidden="1">#REF!</definedName>
    <definedName name="BLPH2257" hidden="1">#REF!</definedName>
    <definedName name="BLPH2258" hidden="1">#REF!</definedName>
    <definedName name="BLPH2259" hidden="1">#REF!</definedName>
    <definedName name="BLPH226" hidden="1">#REF!</definedName>
    <definedName name="BLPH2260" hidden="1">#REF!</definedName>
    <definedName name="BLPH2261" hidden="1">#REF!</definedName>
    <definedName name="BLPH2262" hidden="1">#REF!</definedName>
    <definedName name="BLPH2263" hidden="1">#REF!</definedName>
    <definedName name="BLPH2264" hidden="1">#REF!</definedName>
    <definedName name="BLPH227" hidden="1">#REF!</definedName>
    <definedName name="BLPH228" hidden="1">#REF!</definedName>
    <definedName name="BLPH229" hidden="1">#REF!</definedName>
    <definedName name="BLPH23" hidden="1">#REF!</definedName>
    <definedName name="BLPH230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" hidden="1">#REF!</definedName>
    <definedName name="BLPH240" hidden="1">#REF!</definedName>
    <definedName name="BLPH241" hidden="1">#REF!</definedName>
    <definedName name="BLPH242" hidden="1">#REF!</definedName>
    <definedName name="BLPH243" hidden="1">#REF!</definedName>
    <definedName name="BLPH244" hidden="1">#REF!</definedName>
    <definedName name="BLPH245" hidden="1">#REF!</definedName>
    <definedName name="BLPH246" hidden="1">#REF!</definedName>
    <definedName name="BLPH247" hidden="1">#REF!</definedName>
    <definedName name="BLPH248" hidden="1">#REF!</definedName>
    <definedName name="BLPH249" hidden="1">#REF!</definedName>
    <definedName name="BLPH25" hidden="1">#REF!</definedName>
    <definedName name="BLPH250" hidden="1">#REF!</definedName>
    <definedName name="BLPH251" hidden="1">#REF!</definedName>
    <definedName name="BLPH252" hidden="1">#REF!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#REF!</definedName>
    <definedName name="BLPH258" hidden="1">#REF!</definedName>
    <definedName name="BLPH259" hidden="1">#REF!</definedName>
    <definedName name="BLPH26" hidden="1">#REF!</definedName>
    <definedName name="BLPH260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74" hidden="1">#REF!</definedName>
    <definedName name="BLPH375" hidden="1">#REF!</definedName>
    <definedName name="BLPH376" hidden="1">#REF!</definedName>
    <definedName name="BLPH377" hidden="1">#REF!</definedName>
    <definedName name="BLPH38" hidden="1">#REF!</definedName>
    <definedName name="BLPH380" hidden="1">#REF!</definedName>
    <definedName name="BLPH381" hidden="1">#REF!</definedName>
    <definedName name="BLPH382" hidden="1">#REF!</definedName>
    <definedName name="BLPH387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2" hidden="1">#REF!</definedName>
    <definedName name="BLPH53" hidden="1">#REF!</definedName>
    <definedName name="BLPH530" hidden="1">#REF!</definedName>
    <definedName name="BLPH531" hidden="1">#REF!</definedName>
    <definedName name="BLPH532" hidden="1">#REF!</definedName>
    <definedName name="BLPH533" hidden="1">#REF!</definedName>
    <definedName name="BLPH534" hidden="1">#REF!</definedName>
    <definedName name="BLPH54" hidden="1">#REF!</definedName>
    <definedName name="BLPH572" hidden="1">#REF!</definedName>
    <definedName name="BLPH573" hidden="1">#REF!</definedName>
    <definedName name="BLPH574" hidden="1">#REF!</definedName>
    <definedName name="BLPH575" hidden="1">#REF!</definedName>
    <definedName name="BLPH576" hidden="1">#REF!</definedName>
    <definedName name="BLPH577" hidden="1">#REF!</definedName>
    <definedName name="BLPH578" hidden="1">#REF!</definedName>
    <definedName name="BLPH579" hidden="1">#REF!</definedName>
    <definedName name="BLPH580" hidden="1">#REF!</definedName>
    <definedName name="BLPH581" hidden="1">#REF!</definedName>
    <definedName name="BLPH582" hidden="1">#REF!</definedName>
    <definedName name="BLPH583" hidden="1">#REF!</definedName>
    <definedName name="BLPH584" hidden="1">#REF!</definedName>
    <definedName name="BLPH585" hidden="1">#REF!</definedName>
    <definedName name="BLPH586" hidden="1">#REF!</definedName>
    <definedName name="BLPH587" hidden="1">#REF!</definedName>
    <definedName name="BLPH588" hidden="1">#REF!</definedName>
    <definedName name="BLPH589" hidden="1">#REF!</definedName>
    <definedName name="BLPH590" hidden="1">#REF!</definedName>
    <definedName name="BLPH591" hidden="1">#REF!</definedName>
    <definedName name="BLPH592" hidden="1">#REF!</definedName>
    <definedName name="BLPH593" hidden="1">#REF!</definedName>
    <definedName name="BLPH594" hidden="1">#REF!</definedName>
    <definedName name="BLPH595" hidden="1">#REF!</definedName>
    <definedName name="BLPH596" hidden="1">#REF!</definedName>
    <definedName name="BLPH597" hidden="1">#REF!</definedName>
    <definedName name="BLPH598" hidden="1">#REF!</definedName>
    <definedName name="BLPH599" hidden="1">#REF!</definedName>
    <definedName name="BLPH6" hidden="1">#REF!</definedName>
    <definedName name="BLPH600" hidden="1">#REF!</definedName>
    <definedName name="BLPH601" hidden="1">#REF!</definedName>
    <definedName name="BLPH602" hidden="1">#REF!</definedName>
    <definedName name="BLPH603" hidden="1">#REF!</definedName>
    <definedName name="BLPH636" hidden="1">#REF!</definedName>
    <definedName name="BLPH637" hidden="1">#REF!</definedName>
    <definedName name="BLPH638" hidden="1">#REF!</definedName>
    <definedName name="BLPH639" hidden="1">#REF!</definedName>
    <definedName name="BLPH642" hidden="1">#REF!</definedName>
    <definedName name="BLPH643" hidden="1">#REF!</definedName>
    <definedName name="BLPH644" hidden="1">#REF!</definedName>
    <definedName name="BLPH68" hidden="1">#REF!</definedName>
    <definedName name="BLPH681" hidden="1">#REF!</definedName>
    <definedName name="BLPH682" hidden="1">#REF!</definedName>
    <definedName name="BLPH683" hidden="1">#REF!</definedName>
    <definedName name="BLPH684" hidden="1">#REF!</definedName>
    <definedName name="BLPH685" hidden="1">#REF!</definedName>
    <definedName name="BLPH686" hidden="1">#REF!</definedName>
    <definedName name="BLPH687" hidden="1">#REF!</definedName>
    <definedName name="BLPH69" hidden="1">#REF!</definedName>
    <definedName name="BLPH691" hidden="1">#REF!</definedName>
    <definedName name="BLPH692" hidden="1">#REF!</definedName>
    <definedName name="BLPH697" hidden="1">#REF!</definedName>
    <definedName name="BLPH698" hidden="1">#REF!</definedName>
    <definedName name="BLPH699" hidden="1">#REF!</definedName>
    <definedName name="BLPH7" hidden="1">#REF!</definedName>
    <definedName name="BLPH70" hidden="1">#REF!</definedName>
    <definedName name="BLPH707" hidden="1">#REF!</definedName>
    <definedName name="BLPH71" hidden="1">#REF!</definedName>
    <definedName name="BLPH710" hidden="1">#REF!</definedName>
    <definedName name="BLPH716" hidden="1">#REF!</definedName>
    <definedName name="BLPH719" hidden="1">#REF!</definedName>
    <definedName name="BLPH72" hidden="1">#REF!</definedName>
    <definedName name="BLPH728" hidden="1">#REF!</definedName>
    <definedName name="BLPH731" hidden="1">#REF!</definedName>
    <definedName name="BLPH734" hidden="1">#REF!</definedName>
    <definedName name="BLPH75" hidden="1">#REF!</definedName>
    <definedName name="BLPH757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798" hidden="1">#REF!</definedName>
    <definedName name="BLPH799" hidden="1">#REF!</definedName>
    <definedName name="BLPH8" hidden="1">#REF!</definedName>
    <definedName name="BLPH80" hidden="1">#REF!</definedName>
    <definedName name="BLPH800" hidden="1">#REF!</definedName>
    <definedName name="BLPH801" hidden="1">#REF!</definedName>
    <definedName name="BLPH802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LQ">#REF!</definedName>
    <definedName name="blt">#REF!</definedName>
    <definedName name="bmi">#REF!</definedName>
    <definedName name="bnd">#REF!</definedName>
    <definedName name="bnf">#REF!</definedName>
    <definedName name="boc">#REF!</definedName>
    <definedName name="bol">#REF!</definedName>
    <definedName name="Bonus_Mar95_warrants">#REF!</definedName>
    <definedName name="Bonus_Oct94_warrants">#REF!</definedName>
    <definedName name="Book_NAV_">#REF!</definedName>
    <definedName name="bor">#REF!</definedName>
    <definedName name="Borrowing">#REF!</definedName>
    <definedName name="bot">#REF!</definedName>
    <definedName name="Bottom_Row">#REF!</definedName>
    <definedName name="BoxPlot">"BoxPlot"</definedName>
    <definedName name="bpp">#REF!</definedName>
    <definedName name="bpu">#REF!</definedName>
    <definedName name="bre">#REF!</definedName>
    <definedName name="break">#REF!</definedName>
    <definedName name="Breakdown" hidden="1">{"summary",#N/A,FALSE,"2000 vs 1999";"detail",#N/A,FALSE,"2000 vs 1999"}</definedName>
    <definedName name="BROADCASTING">#REF!</definedName>
    <definedName name="broadcasting1">#REF!</definedName>
    <definedName name="BS">#REF!</definedName>
    <definedName name="bsf">#REF!</definedName>
    <definedName name="BSMethod">2</definedName>
    <definedName name="BSR">#REF!</definedName>
    <definedName name="bst">#REF!</definedName>
    <definedName name="bt">#REF!</definedName>
    <definedName name="bta">#REF!</definedName>
    <definedName name="btd">#REF!</definedName>
    <definedName name="bte">#REF!</definedName>
    <definedName name="btl">#REF!</definedName>
    <definedName name="btp">#REF!</definedName>
    <definedName name="Bubble">"Bubble"</definedName>
    <definedName name="Budget01">#REF!</definedName>
    <definedName name="Bust">#REF!</definedName>
    <definedName name="BV_B">SUM(#REF!)</definedName>
    <definedName name="BV_E">SUM(#REF!)</definedName>
    <definedName name="BVPS">#REF!</definedName>
    <definedName name="BVPS00">#REF!</definedName>
    <definedName name="BVPS01">#REF!</definedName>
    <definedName name="BVPS99">#REF!</definedName>
    <definedName name="BVPSH00">#REF!</definedName>
    <definedName name="BVPSH01">#REF!</definedName>
    <definedName name="BVPSH86">#REF!</definedName>
    <definedName name="BVPSH87">#REF!</definedName>
    <definedName name="BVPSH88">#REF!</definedName>
    <definedName name="BVPSH89">#REF!</definedName>
    <definedName name="BVPSH90">#REF!</definedName>
    <definedName name="BVPSH91">#REF!</definedName>
    <definedName name="BVPSH92">#REF!</definedName>
    <definedName name="BVPSH93">#REF!</definedName>
    <definedName name="BVPSH94">#REF!</definedName>
    <definedName name="BVPSH95">#REF!</definedName>
    <definedName name="BVPSH96">#REF!</definedName>
    <definedName name="BVPSH97">#REF!</definedName>
    <definedName name="BVPSH98">#REF!</definedName>
    <definedName name="BVPSH99">#REF!</definedName>
    <definedName name="bx8000_disc">#REF!</definedName>
    <definedName name="bx9000_disc">#REF!</definedName>
    <definedName name="byear">#REF!</definedName>
    <definedName name="bzfdhfdzh" hidden="1">{#N/A,#N/A,FALSE,"summary"}</definedName>
    <definedName name="C_">#REF!</definedName>
    <definedName name="C_Year_Wanted">#REF!</definedName>
    <definedName name="CA">#REF!</definedName>
    <definedName name="cabinet_disc">#REF!</definedName>
    <definedName name="CABLE">#REF!</definedName>
    <definedName name="cable_disc">#REF!</definedName>
    <definedName name="cac">#REF!</definedName>
    <definedName name="cadnew">#REF!</definedName>
    <definedName name="cadold">#REF!</definedName>
    <definedName name="Calendar10Month">#REF!</definedName>
    <definedName name="Calendar10MonthOption">MATCH(Calendar10Month,月,0)</definedName>
    <definedName name="Calendar10Year">#REF!</definedName>
    <definedName name="Calendar11Month">#REF!</definedName>
    <definedName name="Calendar11MonthOption">MATCH(Calendar11Month,月,0)</definedName>
    <definedName name="Calendar11Year">#REF!</definedName>
    <definedName name="Calendar12Month">#REF!</definedName>
    <definedName name="Calendar12MonthOption">MATCH(Calendar12Month,月,0)</definedName>
    <definedName name="Calendar12Year">#REF!</definedName>
    <definedName name="Calendar1Month">#REF!</definedName>
    <definedName name="Calendar1MonthOption">MATCH(Calendar1Month,月,0)</definedName>
    <definedName name="Calendar1Year">#REF!</definedName>
    <definedName name="Calendar2Month">#REF!</definedName>
    <definedName name="Calendar2MonthOption">MATCH(Calendar2Month,月,0)</definedName>
    <definedName name="Calendar2Year">#REF!</definedName>
    <definedName name="Calendar3Month">#REF!</definedName>
    <definedName name="Calendar3MonthOption">MATCH(Calendar3Month,月,0)</definedName>
    <definedName name="Calendar3Year">#REF!</definedName>
    <definedName name="Calendar4Month">#REF!</definedName>
    <definedName name="Calendar4MonthOption">MATCH(Calendar4Month,月,0)</definedName>
    <definedName name="Calendar4Year">#REF!</definedName>
    <definedName name="Calendar5Month">#REF!</definedName>
    <definedName name="Calendar5MonthOption">MATCH(Calendar5Month,月,0)</definedName>
    <definedName name="Calendar5Year">#REF!</definedName>
    <definedName name="Calendar6Month">#REF!</definedName>
    <definedName name="Calendar6MonthOption">MATCH(Calendar6Month,月,0)</definedName>
    <definedName name="Calendar6Year">#REF!</definedName>
    <definedName name="Calendar7Month">#REF!</definedName>
    <definedName name="Calendar7MonthOption">MATCH(Calendar7Month,月,0)</definedName>
    <definedName name="Calendar7Year">#REF!</definedName>
    <definedName name="Calendar8Month">#REF!</definedName>
    <definedName name="Calendar8MonthOption">MATCH(Calendar8Month,月,0)</definedName>
    <definedName name="Calendar8Year">#REF!</definedName>
    <definedName name="Calendar9Month">#REF!</definedName>
    <definedName name="Calendar9MonthOption">MATCH(Calendar9Month,月,0)</definedName>
    <definedName name="Calendar9Year">#REF!</definedName>
    <definedName name="CalendarYear">#REF!</definedName>
    <definedName name="cam">#REF!</definedName>
    <definedName name="Camel_Korea2">#REF!</definedName>
    <definedName name="Camel_Korea3">#REF!</definedName>
    <definedName name="Camel_Korea4">#REF!</definedName>
    <definedName name="Camelot_korea">#REF!</definedName>
    <definedName name="Candlestick">"Candlestick"</definedName>
    <definedName name="cap">#REF!</definedName>
    <definedName name="CAPEX">#REF!</definedName>
    <definedName name="Capexp_92">#REF!</definedName>
    <definedName name="Capexp_93">#REF!</definedName>
    <definedName name="Capexp_94">#REF!</definedName>
    <definedName name="Capexp_95">#REF!</definedName>
    <definedName name="CAPEXP92">#REF!</definedName>
    <definedName name="CAPEXP93">#REF!</definedName>
    <definedName name="CAPEXP94">#REF!</definedName>
    <definedName name="CAPEXP95">#REF!</definedName>
    <definedName name="CAPEXP96">#REF!</definedName>
    <definedName name="CAPEXP97">#REF!</definedName>
    <definedName name="capita">#REF!</definedName>
    <definedName name="Capital_gains">#REF!</definedName>
    <definedName name="Capital_Reserves">#REF!</definedName>
    <definedName name="Capital_spending">#REF!</definedName>
    <definedName name="Capital_Spending_Budgets__estimated_by_Salomon_Smith_Barney">#REF!</definedName>
    <definedName name="Capitalization">#REF!</definedName>
    <definedName name="CapRate">#REF!</definedName>
    <definedName name="case1">#REF!</definedName>
    <definedName name="cash">#REF!</definedName>
    <definedName name="Cash___Liquid_assets">#REF!</definedName>
    <definedName name="Cash_and_cash_equivalents__现金及现金等价物">#REF!</definedName>
    <definedName name="Cash_Closing">#REF!</definedName>
    <definedName name="Cash_DCF">#REF!</definedName>
    <definedName name="Cash_Flow_Analysis">#REF!</definedName>
    <definedName name="Cash_fore">#REF!</definedName>
    <definedName name="Cash_growth_fore">#REF!</definedName>
    <definedName name="Cash_Operating_Taxes">#REF!</definedName>
    <definedName name="Cash_operating_taxes_fore">#REF!</definedName>
    <definedName name="Cashflow">#REF!</definedName>
    <definedName name="Catalog_Path">#REF!</definedName>
    <definedName name="Category">#REF!</definedName>
    <definedName name="CategoryTitle">#REF!</definedName>
    <definedName name="caution">#REF!</definedName>
    <definedName name="CB">#REF!</definedName>
    <definedName name="cbx500_disc">#REF!</definedName>
    <definedName name="cc">#REF!</definedName>
    <definedName name="cc_12mthRecom">#REF!</definedName>
    <definedName name="cc_3mthRecom">#REF!</definedName>
    <definedName name="cc_AdjInvestCapital">#REF!</definedName>
    <definedName name="cc_AdjNOPAT">#REF!</definedName>
    <definedName name="cc_AdjWeightShares">#REF!</definedName>
    <definedName name="cc_AmortGoodwill">#REF!</definedName>
    <definedName name="cc_AnalystUpdated">#REF!</definedName>
    <definedName name="cc_AorF">#REF!</definedName>
    <definedName name="cc_AssocDiv">#REF!</definedName>
    <definedName name="cc_AssocProfit">#REF!</definedName>
    <definedName name="cc_AttEarnings">#REF!</definedName>
    <definedName name="cc_AvgAdjInvestCapital">#REF!</definedName>
    <definedName name="cc_AvgCODebt">#REF!</definedName>
    <definedName name="cc_bkABVPS">#REF!</definedName>
    <definedName name="cc_bkAdjBV">#REF!</definedName>
    <definedName name="cc_bkAvgCoF">#REF!</definedName>
    <definedName name="cc_bkAvgGrossLoans">#REF!</definedName>
    <definedName name="cc_bkAvgIntBearingAsset">#REF!</definedName>
    <definedName name="cc_bkBills">#REF!</definedName>
    <definedName name="cc_bkCalAdjBV">#REF!</definedName>
    <definedName name="cc_bkCAR">#REF!</definedName>
    <definedName name="cc_bkCash">#REF!</definedName>
    <definedName name="cc_bkCheckPreAssoProfit">#REF!</definedName>
    <definedName name="cc_bkCheckSum">#REF!</definedName>
    <definedName name="cc_bkCommitConti">#REF!</definedName>
    <definedName name="cc_bkCumGenProvision">#REF!</definedName>
    <definedName name="cc_bkCumProvision">#REF!</definedName>
    <definedName name="cc_bkCumSpeProvision">#REF!</definedName>
    <definedName name="cc_bkCustDeposits">#REF!</definedName>
    <definedName name="cc_bkDeferTaxation">#REF!</definedName>
    <definedName name="cc_bkDividendsNII">#REF!</definedName>
    <definedName name="cc_bkExCapRaised_Eq">#REF!</definedName>
    <definedName name="cc_bkFeeCommission">#REF!</definedName>
    <definedName name="cc_bkFinalModelAdjBV">#REF!</definedName>
    <definedName name="cc_bkFixedAsset">#REF!</definedName>
    <definedName name="cc_bkForexIncome">#REF!</definedName>
    <definedName name="cc_bkFRCD">#REF!</definedName>
    <definedName name="cc_bkGPRatio">#REF!</definedName>
    <definedName name="cc_bkGrossLoans">#REF!</definedName>
    <definedName name="cc_bkGrossNPL">#REF!</definedName>
    <definedName name="cc_bkICG">#REF!</definedName>
    <definedName name="cc_bkIntangibleAssets">#REF!</definedName>
    <definedName name="cc_bkIntBearingAsset">#REF!</definedName>
    <definedName name="cc_bkInterbankDeposits">#REF!</definedName>
    <definedName name="cc_bkInterBankLoans">#REF!</definedName>
    <definedName name="cc_bkIntExpense">#REF!</definedName>
    <definedName name="cc_bkIntIncome">#REF!</definedName>
    <definedName name="cc_bkIntInSusp">#REF!</definedName>
    <definedName name="cc_bkInvestments">#REF!</definedName>
    <definedName name="cc_bkInvtAssoc">#REF!</definedName>
    <definedName name="cc_bkLending_ConCredit">#REF!</definedName>
    <definedName name="cc_bkLending_Housing">#REF!</definedName>
    <definedName name="cc_bkLending_Prop_Cons">#REF!</definedName>
    <definedName name="cc_bkLiabSHFundsMI">#REF!</definedName>
    <definedName name="cc_bkLoanLossProvision">#REF!</definedName>
    <definedName name="cc_bkLoans">#REF!</definedName>
    <definedName name="cc_bkLTBorrowings">#REF!</definedName>
    <definedName name="cc_bkMinoritiesBS">#REF!</definedName>
    <definedName name="cc_bkMinoritiesPL">#REF!</definedName>
    <definedName name="cc_bkMktRelatedInc_bankIncome">#REF!</definedName>
    <definedName name="cc_bkMktRelatedInc_PTProfit">#REF!</definedName>
    <definedName name="cc_bkModelAdjBV">#REF!</definedName>
    <definedName name="cc_bkNBV">#REF!</definedName>
    <definedName name="cc_bkNetIncome">#REF!</definedName>
    <definedName name="cc_bkNetInterest">#REF!</definedName>
    <definedName name="cc_bkNetIntMargin">#REF!</definedName>
    <definedName name="cc_bkNetIntSpread">#REF!</definedName>
    <definedName name="cc_bkNetProfit">#REF!</definedName>
    <definedName name="cc_bkNonIntIncome">#REF!</definedName>
    <definedName name="cc_bkNPL">#REF!</definedName>
    <definedName name="cc_bkObligRepo">#REF!</definedName>
    <definedName name="cc_bkOffBalSht">#REF!</definedName>
    <definedName name="cc_bkOp_Exp">#REF!</definedName>
    <definedName name="cc_bkOtherAssets">#REF!</definedName>
    <definedName name="cc_bkOtherLiab">#REF!</definedName>
    <definedName name="cc_bkOthersNII">#REF!</definedName>
    <definedName name="cc_bkPeakNPL">#REF!</definedName>
    <definedName name="cc_bkPreAssoProfit">#REF!</definedName>
    <definedName name="cc_bkReserves">#REF!</definedName>
    <definedName name="cc_bkRWA">#REF!</definedName>
    <definedName name="cc_bkSecPurchased">#REF!</definedName>
    <definedName name="cc_bkShareCap">#REF!</definedName>
    <definedName name="cc_bkSHFunds">#REF!</definedName>
    <definedName name="cc_bkSP_GrossLoans">#REF!</definedName>
    <definedName name="cc_bkSP_GrossNPL">#REF!</definedName>
    <definedName name="cc_bkStatRes">#REF!</definedName>
    <definedName name="cc_bkStatReserves">#REF!</definedName>
    <definedName name="cc_bkSTBorrowings">#REF!</definedName>
    <definedName name="cc_bkSTLiab_BorrFunds">#REF!</definedName>
    <definedName name="cc_bkSubObligation">#REF!</definedName>
    <definedName name="cc_bkTax">#REF!</definedName>
    <definedName name="cc_bkTier1Cap">#REF!</definedName>
    <definedName name="cc_bkTier1Ratio">#REF!</definedName>
    <definedName name="cc_bkTotalAsset">#REF!</definedName>
    <definedName name="cc_bkTotalIncome">#REF!</definedName>
    <definedName name="cc_bkTotalLiab">#REF!</definedName>
    <definedName name="cc_bkYieldonEarningsAsset">#REF!</definedName>
    <definedName name="cc_BuyAtPrice">#REF!</definedName>
    <definedName name="cc_BuyAtTargetPriceDate">#REF!</definedName>
    <definedName name="cc_CapEmp">#REF!</definedName>
    <definedName name="cc_CapEx">#REF!</definedName>
    <definedName name="cc_CapitalYield">#REF!</definedName>
    <definedName name="cc_Cash">#REF!</definedName>
    <definedName name="cc_CashFlowPS">#REF!</definedName>
    <definedName name="cc_CFAssocDiv">#REF!</definedName>
    <definedName name="cc_CFAssocProfit">#REF!</definedName>
    <definedName name="cc_CFCheckSum">#REF!</definedName>
    <definedName name="cc_CFDebtSTMktSecMove">#REF!</definedName>
    <definedName name="cc_CFDepreciation">#REF!</definedName>
    <definedName name="cc_CFDividends">#REF!</definedName>
    <definedName name="cc_CFExcepItems">#REF!</definedName>
    <definedName name="cc_CFFxValuationAdj">#REF!</definedName>
    <definedName name="cc_CFInvestments">#REF!</definedName>
    <definedName name="cc_CFOthers">#REF!</definedName>
    <definedName name="cc_CFProceedsFromDisposal">#REF!</definedName>
    <definedName name="cc_CFPTProfit">#REF!</definedName>
    <definedName name="cc_CFReconciliation">#REF!</definedName>
    <definedName name="cc_CFSharesIssues">#REF!</definedName>
    <definedName name="cc_ChangeWorkCap">#REF!</definedName>
    <definedName name="cc_CheckSum">#REF!</definedName>
    <definedName name="cc_ChginDeferredtax">#REF!</definedName>
    <definedName name="cc_COE">#REF!</definedName>
    <definedName name="cc_CostofBorrowings">#REF!</definedName>
    <definedName name="cc_CostPrefShares">#REF!</definedName>
    <definedName name="cc_CumAmortGoodwill">#REF!</definedName>
    <definedName name="cc_DeferTaxation">#REF!</definedName>
    <definedName name="cc_Depreciation">#REF!</definedName>
    <definedName name="cc_DividendPayable">#REF!</definedName>
    <definedName name="cc_DPSTaxRate">#REF!</definedName>
    <definedName name="cc_EBIT">#REF!</definedName>
    <definedName name="cc_EBITDA">#REF!</definedName>
    <definedName name="cc_EBITDAwithoutAssoc">#REF!</definedName>
    <definedName name="cc_EBITwithoutAssoc">#REF!</definedName>
    <definedName name="cc_EffectiveTaxRate">#REF!</definedName>
    <definedName name="cc_EnlgdGrossCashFlow">#REF!</definedName>
    <definedName name="cc_EnlgdNetProfit">#REF!</definedName>
    <definedName name="cc_EPSAdj">#REF!</definedName>
    <definedName name="cc_EPSDiluted">#REF!</definedName>
    <definedName name="cc_EVA">#REF!</definedName>
    <definedName name="cc_ExcepItems">#REF!</definedName>
    <definedName name="cc_ExcepItemsaftertax">#REF!</definedName>
    <definedName name="cc_ExtraItems">#REF!</definedName>
    <definedName name="cc_FDCFPS">#REF!</definedName>
    <definedName name="cc_FixedAssets">#REF!</definedName>
    <definedName name="cc_FutureLeasePayments">#REF!</definedName>
    <definedName name="cc_FYEnd">#REF!</definedName>
    <definedName name="cc_GEMRecommendation">#REF!</definedName>
    <definedName name="cc_GEMTargetPrice">#REF!</definedName>
    <definedName name="cc_GrossCashFlow">#REF!</definedName>
    <definedName name="cc_GrossDebt">#REF!</definedName>
    <definedName name="cc_GrossDPSUnadj">#REF!</definedName>
    <definedName name="cc_gsAvgstaffcost">#REF!</definedName>
    <definedName name="cc_gsCoreEarnings">#REF!</definedName>
    <definedName name="cc_gsCoreEPS">#REF!</definedName>
    <definedName name="cc_gsEmployees">#REF!</definedName>
    <definedName name="cc_gsEnlgdSHF">#REF!</definedName>
    <definedName name="cc_gsFXgainloss">#REF!</definedName>
    <definedName name="cc_gsIncperemployee">#REF!</definedName>
    <definedName name="cc_gsModelFDNBVPS">#REF!</definedName>
    <definedName name="cc_gsParValue">#REF!</definedName>
    <definedName name="cc_IntangibleAssets">#REF!</definedName>
    <definedName name="cc_InterestPaid">#REF!</definedName>
    <definedName name="cc_IntExpense">#REF!</definedName>
    <definedName name="cc_IntIncome">#REF!</definedName>
    <definedName name="cc_IntPVOperatingLease">#REF!</definedName>
    <definedName name="cc_InvestCapital">#REF!</definedName>
    <definedName name="cc_InvestInc">#REF!</definedName>
    <definedName name="cc_LTDebt">#REF!</definedName>
    <definedName name="cc_LTDebtRepay">#REF!</definedName>
    <definedName name="cc_MinoritiesBS">#REF!</definedName>
    <definedName name="cc_MinoritiesPL">#REF!</definedName>
    <definedName name="cc_ModifiedDate">#REF!</definedName>
    <definedName name="cc_NetCashDebtBSYE">#REF!</definedName>
    <definedName name="cc_NetCashDebtYE">#REF!</definedName>
    <definedName name="cc_NetCashFlow">#REF!</definedName>
    <definedName name="cc_NetDebt">#REF!</definedName>
    <definedName name="cc_NetDPS">#REF!</definedName>
    <definedName name="cc_NetInterest">#REF!</definedName>
    <definedName name="cc_NetProfit">#REF!</definedName>
    <definedName name="cc_NetProfit1H">#REF!</definedName>
    <definedName name="cc_NetProfit2H">#REF!</definedName>
    <definedName name="cc_non_op_inc">#REF!</definedName>
    <definedName name="cc_NonCashMovement">#REF!</definedName>
    <definedName name="cc_NOPAT">#REF!</definedName>
    <definedName name="cc_OtherAdj">#REF!</definedName>
    <definedName name="cc_OtherCreditors">#REF!</definedName>
    <definedName name="cc_OtherCurAssets">#REF!</definedName>
    <definedName name="cc_OtherCurLiabilities">#REF!</definedName>
    <definedName name="cc_OtherDebtors">#REF!</definedName>
    <definedName name="cc_OtherLTAssets">#REF!</definedName>
    <definedName name="cc_OtherLTLiabilities">#REF!</definedName>
    <definedName name="cc_Others">#REF!</definedName>
    <definedName name="cc_Overdraft">#REF!</definedName>
    <definedName name="cc_PostedDate">#REF!</definedName>
    <definedName name="cc_PrefDiv">#REF!</definedName>
    <definedName name="cc_PrefShares">#REF!</definedName>
    <definedName name="cc_PrevailingTaxRate">#REF!</definedName>
    <definedName name="cc_PTProfit">#REF!</definedName>
    <definedName name="cc_RDcosts">#REF!</definedName>
    <definedName name="cc_RDexp">#REF!</definedName>
    <definedName name="cc_RecommendDate">#REF!</definedName>
    <definedName name="cc_ReportCurrency">"HKD"</definedName>
    <definedName name="cc_ReportCurrencyUnit">"HK$"</definedName>
    <definedName name="cc_ReportCurrencyUnitFactor">1</definedName>
    <definedName name="cc_Reserves">#REF!</definedName>
    <definedName name="cc_RetainEarn">#REF!</definedName>
    <definedName name="cc_RetainedFreeCashFlow">#REF!</definedName>
    <definedName name="cc_RevalueReserve">#REF!</definedName>
    <definedName name="cc_RevNAV">#REF!</definedName>
    <definedName name="cc_RNBVPS">#REF!</definedName>
    <definedName name="cc_ROIC">#REF!</definedName>
    <definedName name="cc_ShareCap">#REF!</definedName>
    <definedName name="cc_SharePremium">#REF!</definedName>
    <definedName name="cc_SharesAtYE">#REF!</definedName>
    <definedName name="cc_SHFunds">#REF!</definedName>
    <definedName name="cc_STDebt">#REF!</definedName>
    <definedName name="cc_STDebtRepay">#REF!</definedName>
    <definedName name="cc_STMktSecurities">#REF!</definedName>
    <definedName name="cc_Stock">#REF!</definedName>
    <definedName name="cc_TargetPrice">#REF!</definedName>
    <definedName name="cc_Tax">#REF!</definedName>
    <definedName name="cc_TaxPaid">#REF!</definedName>
    <definedName name="cc_TaxPayable">#REF!</definedName>
    <definedName name="cc_tlAllincost">#REF!</definedName>
    <definedName name="cc_tlARPU">#REF!</definedName>
    <definedName name="cc_tlARPUCellular">#REF!</definedName>
    <definedName name="cc_tlARPUFixed">#REF!</definedName>
    <definedName name="cc_tlBasicfee_bus">#REF!</definedName>
    <definedName name="cc_tlBasicfee_res">#REF!</definedName>
    <definedName name="cc_tlCablefee">#REF!</definedName>
    <definedName name="cc_tlCapexpersubscriber">#REF!</definedName>
    <definedName name="cc_tlCellfee">#REF!</definedName>
    <definedName name="cc_tlCellMktShare">#REF!</definedName>
    <definedName name="cc_tlCellpenetration">#REF!</definedName>
    <definedName name="cc_tlCellrate_MOU">#REF!</definedName>
    <definedName name="cc_tlCellsubscribers">#REF!</definedName>
    <definedName name="cc_tlDigital">#REF!</definedName>
    <definedName name="cc_tlDLD">#REF!</definedName>
    <definedName name="cc_tlDLD_MOU">#REF!</definedName>
    <definedName name="cc_tlExchCap">#REF!</definedName>
    <definedName name="cc_tlFixedMktShare">#REF!</definedName>
    <definedName name="cc_tlFLpenetration">#REF!</definedName>
    <definedName name="cc_tlIDD">#REF!</definedName>
    <definedName name="cc_tlIDD_MOU">#REF!</definedName>
    <definedName name="cc_tlInstalBus">#REF!</definedName>
    <definedName name="cc_tlInstalRes">#REF!</definedName>
    <definedName name="cc_tlInternetsubscribers">#REF!</definedName>
    <definedName name="cc_tlLinesconnect">#REF!</definedName>
    <definedName name="cc_tlLinesinstall">#REF!</definedName>
    <definedName name="cc_tlLocal">#REF!</definedName>
    <definedName name="cc_tlLocal_MOU">#REF!</definedName>
    <definedName name="cc_tlMOU">#REF!</definedName>
    <definedName name="cc_tlRevCellular">#REF!</definedName>
    <definedName name="cc_tlRevFixed">#REF!</definedName>
    <definedName name="cc_tlRevIDD">#REF!</definedName>
    <definedName name="cc_tlRevMisc">#REF!</definedName>
    <definedName name="cc_tlSettle">#REF!</definedName>
    <definedName name="cc_TO">#REF!</definedName>
    <definedName name="cc_ToReserve">#REF!</definedName>
    <definedName name="cc_TotalAssets">#REF!</definedName>
    <definedName name="cc_TotalCurAssets">#REF!</definedName>
    <definedName name="cc_TotalCurLiabilities">#REF!</definedName>
    <definedName name="cc_TotalDebtRepay">#REF!</definedName>
    <definedName name="cc_TotalDivPL">#REF!</definedName>
    <definedName name="cc_TotalLiabSHFundsMI">#REF!</definedName>
    <definedName name="cc_TotalLTAssets">#REF!</definedName>
    <definedName name="cc_TotalLTLiabilities">#REF!</definedName>
    <definedName name="cc_TotalNotionalInterestSavings">#REF!</definedName>
    <definedName name="cc_TotalOutstandingShares">#REF!</definedName>
    <definedName name="cc_TradeCreditors">#REF!</definedName>
    <definedName name="cc_TradeDebtors">#REF!</definedName>
    <definedName name="cc_utAttCap">#REF!</definedName>
    <definedName name="cc_utFuelcost">#REF!</definedName>
    <definedName name="cc_utInstalCap">#REF!</definedName>
    <definedName name="cc_utKWh">#REF!</definedName>
    <definedName name="cc_utNewCap">#REF!</definedName>
    <definedName name="cc_utPowerpurchased">#REF!</definedName>
    <definedName name="cc_utTariff">#REF!</definedName>
    <definedName name="cc_WACC">#REF!</definedName>
    <definedName name="cc_WACCDebt">#REF!</definedName>
    <definedName name="cc_WACCEquity">#REF!</definedName>
    <definedName name="cc_WACCPrefShares">#REF!</definedName>
    <definedName name="cc_WeightEnlgdShCap">#REF!</definedName>
    <definedName name="cc_WorkingCapital">#REF!</definedName>
    <definedName name="CC_Yr1">#REF!</definedName>
    <definedName name="CC_Yr10">#REF!</definedName>
    <definedName name="CC_Yr11">#REF!</definedName>
    <definedName name="CC_Yr12">#REF!</definedName>
    <definedName name="CC_Yr13">#REF!</definedName>
    <definedName name="CC_Yr14">#REF!</definedName>
    <definedName name="CC_Yr15">#REF!</definedName>
    <definedName name="CC_Yr16">#REF!</definedName>
    <definedName name="CC_Yr17">#REF!</definedName>
    <definedName name="CC_Yr18">#REF!</definedName>
    <definedName name="CC_Yr2">#REF!</definedName>
    <definedName name="CC_Yr3">#REF!</definedName>
    <definedName name="CC_Yr4">#REF!</definedName>
    <definedName name="CC_Yr5">#REF!</definedName>
    <definedName name="CC_Yr6">#REF!</definedName>
    <definedName name="CC_Yr7">#REF!</definedName>
    <definedName name="CC_Yr8">#REF!</definedName>
    <definedName name="CC_Yr9">#REF!</definedName>
    <definedName name="ccc">#N/A</definedName>
    <definedName name="cccc">#REF!</definedName>
    <definedName name="ccccc">#REF!</definedName>
    <definedName name="ccccccc">#REF!</definedName>
    <definedName name="cccccccc">#REF!</definedName>
    <definedName name="ccccccccc">#REF!</definedName>
    <definedName name="ccccccccccc">#REF!</definedName>
    <definedName name="cccccccccccc">#REF!</definedName>
    <definedName name="ccccccccccccc">#REF!</definedName>
    <definedName name="ccccccccccccccc">#REF!</definedName>
    <definedName name="ccccccccccccccccccc">#REF!</definedName>
    <definedName name="ccccccccccccccccccccccccccccccccc">#REF!</definedName>
    <definedName name="cce">#REF!</definedName>
    <definedName name="ccn">#REF!</definedName>
    <definedName name="CCODE">#REF!</definedName>
    <definedName name="CD">#REF!</definedName>
    <definedName name="CD_10">#REF!</definedName>
    <definedName name="CD_11">#REF!</definedName>
    <definedName name="CD_13">#REF!</definedName>
    <definedName name="CD_14">#REF!</definedName>
    <definedName name="CD_15">#REF!</definedName>
    <definedName name="CD_16">#REF!</definedName>
    <definedName name="CD_17">#REF!</definedName>
    <definedName name="CD_18">#REF!</definedName>
    <definedName name="CD_19">#REF!</definedName>
    <definedName name="CD_192">#REF!</definedName>
    <definedName name="CD_2">#REF!</definedName>
    <definedName name="CD_20">#REF!</definedName>
    <definedName name="CD_21">#REF!</definedName>
    <definedName name="CD_22">#REF!</definedName>
    <definedName name="CD_24">#REF!</definedName>
    <definedName name="CD_25">#REF!</definedName>
    <definedName name="CD_26">#REF!</definedName>
    <definedName name="CD_27">#REF!</definedName>
    <definedName name="CD_28">#REF!</definedName>
    <definedName name="CD_291">#REF!</definedName>
    <definedName name="CD_292">#REF!</definedName>
    <definedName name="CD_3">#REF!</definedName>
    <definedName name="CD_30">#REF!</definedName>
    <definedName name="CD_311">#REF!</definedName>
    <definedName name="CD_312">#REF!</definedName>
    <definedName name="CD_4">#REF!</definedName>
    <definedName name="CD_6">#REF!</definedName>
    <definedName name="CD_8">#REF!</definedName>
    <definedName name="CD_9">#REF!</definedName>
    <definedName name="CDDate">OFFSET(#REF!,0,0,COUNTA(#REF!),1)</definedName>
    <definedName name="cde">#REF!</definedName>
    <definedName name="CDGFA">OFFSET(#REF!,0,0,COUNTA(#REF!)-1,1)</definedName>
    <definedName name="cdi">#REF!</definedName>
    <definedName name="cdp">#REF!</definedName>
    <definedName name="CDPrice">OFFSET(#REF!,0,0,COUNTA(#REF!)-1,1)</definedName>
    <definedName name="CE">#REF!</definedName>
    <definedName name="cellIsStratified">#REF!</definedName>
    <definedName name="CellPayrollEnd">#REF!</definedName>
    <definedName name="CellPayrollStart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ellular_Sub" hidden="1">{"Outputs",#N/A,TRUE,"North America";"Outputs",#N/A,TRUE,"Europe";"Outputs",#N/A,TRUE,"Asia Pacific";"Outputs",#N/A,TRUE,"Latin America";"Outputs",#N/A,TRUE,"Wireless"}</definedName>
    <definedName name="CFA">#REF!</definedName>
    <definedName name="cfc">#REF!</definedName>
    <definedName name="CFLFULL">#REF!</definedName>
    <definedName name="CFormats">#REF!</definedName>
    <definedName name="CFR">#REF!</definedName>
    <definedName name="cfx">#REF!</definedName>
    <definedName name="CGDate">OFFSET(#REF!,0,0,COUNTA(#REF!)-146,1)</definedName>
    <definedName name="CGDisc">OFFSET(#REF!,0,0,COUNTA(#REF!)-5,1)</definedName>
    <definedName name="CGPrice">OFFSET(#REF!,0,0,COUNTA(#REF!)-3,1)</definedName>
    <definedName name="CH">7.56</definedName>
    <definedName name="CHAMPION">#REF!</definedName>
    <definedName name="change">#REF!</definedName>
    <definedName name="Change_in_shareholders__funds">#REF!</definedName>
    <definedName name="ChangeInSHfunds">#REF!</definedName>
    <definedName name="Chart">"Chart"</definedName>
    <definedName name="chart_data">#REF!</definedName>
    <definedName name="chart_data_pd">#REF!</definedName>
    <definedName name="chart_index">#REF!</definedName>
    <definedName name="chart_name">#REF!</definedName>
    <definedName name="chart_range">#REF!</definedName>
    <definedName name="CHART1">"Chart 2"</definedName>
    <definedName name="Chart2">#REF!,#REF!,#REF!,#REF!</definedName>
    <definedName name="Chart3">#REF!</definedName>
    <definedName name="chart5">#REF!</definedName>
    <definedName name="ChartImage">"ChartImage"</definedName>
    <definedName name="CHARTOFACCOUNTSID1">#REF!</definedName>
    <definedName name="CHARTOFACCOUNTSID2">#REF!</definedName>
    <definedName name="chg">#REF!</definedName>
    <definedName name="China_map">#REF!</definedName>
    <definedName name="Choices">#N/A</definedName>
    <definedName name="Choices_Wrapper">#N/A</definedName>
    <definedName name="Chrysler_Highlighted">#REF!</definedName>
    <definedName name="churn1">#REF!</definedName>
    <definedName name="cii">#REF!</definedName>
    <definedName name="CIQWBGuid" hidden="1">"10a64912-ee77-4633-b14d-1ca741a52301"</definedName>
    <definedName name="circ">#REF!</definedName>
    <definedName name="CISCO_DISCOUNT">#REF!</definedName>
    <definedName name="CISCO_U">#REF!</definedName>
    <definedName name="civ">#REF!</definedName>
    <definedName name="CKH">#REF!</definedName>
    <definedName name="CL">#REF!</definedName>
    <definedName name="clah">#REF!</definedName>
    <definedName name="CLIENT_NAME">#REF!</definedName>
    <definedName name="Close_Confirm">#REF!</definedName>
    <definedName name="CloseDate">#REF!</definedName>
    <definedName name="closing_DT_provn">#REF!</definedName>
    <definedName name="closing_provn">#REF!</definedName>
    <definedName name="closing_tax_charge">#REF!</definedName>
    <definedName name="clz">#REF!</definedName>
    <definedName name="CMPDate">OFFSET(#REF!,0,0,COUNTA(#REF!)-47,1)</definedName>
    <definedName name="CMPDisc">OFFSET(#REF!,0,0,COUNTA(#REF!)-5,1)</definedName>
    <definedName name="CMPPrice">OFFSET(#REF!,0,0,COUNTA(#REF!)-3,1)</definedName>
    <definedName name="CNAME">#REF!</definedName>
    <definedName name="CNF">#REF!</definedName>
    <definedName name="cni">#REF!</definedName>
    <definedName name="co">#REF!</definedName>
    <definedName name="co_name">#REF!</definedName>
    <definedName name="coc">#REF!</definedName>
    <definedName name="Code">#REF!</definedName>
    <definedName name="codeDestination">#REF!</definedName>
    <definedName name="CODELK_Path">#REF!</definedName>
    <definedName name="COGS">#REF!</definedName>
    <definedName name="cogs_handsets">#REF!</definedName>
    <definedName name="cogs_internet">#REF!</definedName>
    <definedName name="cogs_mobile">#REF!</definedName>
    <definedName name="cogs_other">#REF!</definedName>
    <definedName name="COGS_基分">#REF!</definedName>
    <definedName name="COGSmarghigh">#REF!</definedName>
    <definedName name="COGSmarglow">#REF!</definedName>
    <definedName name="coi">#REF!</definedName>
    <definedName name="Col_Acc1">#REF!</definedName>
    <definedName name="Col_Acc2">#REF!</definedName>
    <definedName name="Col_Off">#REF!</definedName>
    <definedName name="Col_Template">#REF!</definedName>
    <definedName name="COLIDate">OFFSET(#REF!,0,0,COUNTA(#REF!)-2,1)</definedName>
    <definedName name="COLIDisc">OFFSET(#REF!,0,0,COUNTA(#REF!)-5,1)</definedName>
    <definedName name="COLIPrice">OFFSET(#REF!,0,0,COUNTA(#REF!)-3,1)</definedName>
    <definedName name="Coll" hidden="1">{#N/A,#N/A,FALSE,"970301";#N/A,#N/A,FALSE,"970302";#N/A,#N/A,FALSE,"970303";#N/A,#N/A,FALSE,"970304";#N/A,#N/A,FALSE,"COM1";#N/A,#N/A,FALSE,"COM2"}</definedName>
    <definedName name="column_start">#REF!</definedName>
    <definedName name="ColumnHeading">#REF!</definedName>
    <definedName name="ColumnRange">"ColumnRange"</definedName>
    <definedName name="CommentBox1a">#REF!</definedName>
    <definedName name="CommentBox1b">#REF!</definedName>
    <definedName name="CommentBox1c">#REF!</definedName>
    <definedName name="CommentCell51200" hidden="1">#REF!</definedName>
    <definedName name="CommentCell61923" hidden="1">#REF!</definedName>
    <definedName name="CommentCell71629" hidden="1">#REF!</definedName>
    <definedName name="CommentCell86409" hidden="1">#REF!</definedName>
    <definedName name="CommentCell96931" hidden="1">#REF!</definedName>
    <definedName name="Comments">#REF!</definedName>
    <definedName name="COMP">#REF!</definedName>
    <definedName name="Company">#REF!</definedName>
    <definedName name="Company_reported_exceptionals">#REF!</definedName>
    <definedName name="compiler">#REF!</definedName>
    <definedName name="Concap">#REF!</definedName>
    <definedName name="confirms">#REF!</definedName>
    <definedName name="Connection_Type">#REF!</definedName>
    <definedName name="CONNECTSTRING1">#REF!</definedName>
    <definedName name="CONNECTSTRING2">#REF!</definedName>
    <definedName name="Consensus" localSheetId="0">#REF!</definedName>
    <definedName name="Consensus">#REF!</definedName>
    <definedName name="Consolidated_Cash_Flow_Statement">#REF!</definedName>
    <definedName name="ConsultingDublin">#REF!</definedName>
    <definedName name="Continue">#REF!</definedName>
    <definedName name="Control_BS">#REF!</definedName>
    <definedName name="Control_Net_Income">#REF!</definedName>
    <definedName name="Convertibles_options">#REF!</definedName>
    <definedName name="cop">#REF!</definedName>
    <definedName name="Copy">#REF!</definedName>
    <definedName name="cost">#REF!</definedName>
    <definedName name="Cost_of_goods_sold">#REF!</definedName>
    <definedName name="Cost00">#REF!</definedName>
    <definedName name="Cost01">#REF!</definedName>
    <definedName name="cot">#REF!</definedName>
    <definedName name="COUNT">#REF!</definedName>
    <definedName name="Country">#REF!</definedName>
    <definedName name="Cov_00_PS">#REF!</definedName>
    <definedName name="Cov_00_Rev">#REF!</definedName>
    <definedName name="Cov_97_PS">#REF!</definedName>
    <definedName name="Cov_97_Rev">#REF!</definedName>
    <definedName name="Cov_98_PS">#REF!</definedName>
    <definedName name="Cov_98_Rev">#REF!</definedName>
    <definedName name="Cov_99_PS">#REF!</definedName>
    <definedName name="Cov_99_Rev">#REF!</definedName>
    <definedName name="Cov_EPS_00">#REF!</definedName>
    <definedName name="Cov_EPS_98">#REF!</definedName>
    <definedName name="Cov_EPS_99">#REF!</definedName>
    <definedName name="Cov_Mkt_Cap">#REF!</definedName>
    <definedName name="Cov_Off_High">#REF!</definedName>
    <definedName name="Cov_Perf_97">#REF!</definedName>
    <definedName name="Cov_Perf_98">#REF!</definedName>
    <definedName name="Cov_Perf_99">#REF!</definedName>
    <definedName name="cov_perf_99b">#REF!</definedName>
    <definedName name="Cov_Univ_Avg">#REF!</definedName>
    <definedName name="Cov_Univ_Total">#REF!</definedName>
    <definedName name="Cover">#REF!</definedName>
    <definedName name="CQDate">OFFSET(#REF!,0,0,COUNTA(#REF!),1)</definedName>
    <definedName name="CQGFA">OFFSET(#REF!,0,0,COUNTA(#REF!)-1,1)</definedName>
    <definedName name="CQPrice">OFFSET(#REF!,0,0,COUNTA(#REF!)-1,1)</definedName>
    <definedName name="cr_balance_sheet_reconciliation_28000">#REF!</definedName>
    <definedName name="CREATESUMMARYJNLS1">#REF!</definedName>
    <definedName name="CREATESUMMARYJNLS2">#REF!</definedName>
    <definedName name="_xlnm.Criteria">#REF!</definedName>
    <definedName name="CRITERIACOLUMN1">#REF!</definedName>
    <definedName name="CRITERIACOLUMN2">#REF!</definedName>
    <definedName name="CRLDate">OFFSET(#REF!,0,0,COUNTA(#REF!)-2,1)</definedName>
    <definedName name="CRLDisc">OFFSET(#REF!,0,0,COUNTA(#REF!)-5,1)</definedName>
    <definedName name="CRLPrice">OFFSET(#REF!,0,0,COUNTA(#REF!)-3,1)</definedName>
    <definedName name="CROCI_limit_down">#REF!</definedName>
    <definedName name="CROCI_limit_up">#REF!</definedName>
    <definedName name="CS_10">#REF!</definedName>
    <definedName name="CS_11">#REF!</definedName>
    <definedName name="CS_13">#REF!</definedName>
    <definedName name="CS_14">#REF!</definedName>
    <definedName name="CS_15">#REF!</definedName>
    <definedName name="CS_16">#REF!</definedName>
    <definedName name="CS_17">#REF!</definedName>
    <definedName name="CS_18">#REF!</definedName>
    <definedName name="CS_19">#REF!</definedName>
    <definedName name="CS_2">#REF!</definedName>
    <definedName name="CS_20">#REF!</definedName>
    <definedName name="CS_21">#REF!</definedName>
    <definedName name="CS_22">#REF!</definedName>
    <definedName name="CS_24">#REF!</definedName>
    <definedName name="CS_25">#REF!</definedName>
    <definedName name="CS_26">#REF!</definedName>
    <definedName name="CS_27">#REF!</definedName>
    <definedName name="CS_28">#REF!</definedName>
    <definedName name="CS_291">#REF!</definedName>
    <definedName name="CS_292">#REF!</definedName>
    <definedName name="CS_3">#REF!</definedName>
    <definedName name="CS_30">#REF!</definedName>
    <definedName name="CS_311">#REF!</definedName>
    <definedName name="CS_4">#REF!</definedName>
    <definedName name="CS_6">#REF!</definedName>
    <definedName name="CS_8">#REF!</definedName>
    <definedName name="CS_9">#REF!</definedName>
    <definedName name="csi">#REF!</definedName>
    <definedName name="cta">#REF!</definedName>
    <definedName name="CTopics">#REF!</definedName>
    <definedName name="currency">#REF!</definedName>
    <definedName name="current_asset">#REF!</definedName>
    <definedName name="Current_Assets">#REF!</definedName>
    <definedName name="current_charge">#REF!</definedName>
    <definedName name="Current_cost_adjusted_net_income">#REF!</definedName>
    <definedName name="Current_Forecast">#REF!</definedName>
    <definedName name="Current_Liabilities">#REF!</definedName>
    <definedName name="CURRENT_MONTH">#REF!</definedName>
    <definedName name="Current_period">#REF!</definedName>
    <definedName name="Current_plan">#REF!</definedName>
    <definedName name="Current_Status">#REF!</definedName>
    <definedName name="current_year_DT_rate">#REF!</definedName>
    <definedName name="current_year_movement">#REF!</definedName>
    <definedName name="current_years_tax_rate">#REF!</definedName>
    <definedName name="currentyear">#REF!</definedName>
    <definedName name="Customer_advances">#REF!</definedName>
    <definedName name="Customer_deposits_growth_fore">#REF!</definedName>
    <definedName name="cwo">#REF!</definedName>
    <definedName name="cwt">#REF!</definedName>
    <definedName name="cxvkjlkdjjl">#REF!</definedName>
    <definedName name="cyear">#REF!</definedName>
    <definedName name="d" localSheetId="0" hidden="1">{"FTSE100","COMPANIES",TRUE}</definedName>
    <definedName name="d" hidden="1">{"FTSE100","COMPANIES",TRUE}</definedName>
    <definedName name="DA">#REF!</definedName>
    <definedName name="daf">#REF!</definedName>
    <definedName name="dafa">#N/A</definedName>
    <definedName name="dafafdag">#N/A</definedName>
    <definedName name="dafd">#REF!</definedName>
    <definedName name="dagdgaeged">#N/A</definedName>
    <definedName name="dai">#REF!</definedName>
    <definedName name="DailyDate1">#REF!</definedName>
    <definedName name="DAmarghigh">#REF!</definedName>
    <definedName name="DAmarglow">#REF!</definedName>
    <definedName name="das">#REF!</definedName>
    <definedName name="dasda" hidden="1">{#N/A,#N/A,FALSE,"summary"}</definedName>
    <definedName name="Data">#REF!</definedName>
    <definedName name="Data___Borrower">#REF!</definedName>
    <definedName name="Data___Coll_Info">#REF!</definedName>
    <definedName name="Data___Coll_Scenario">#REF!</definedName>
    <definedName name="Data___Loan">#REF!</definedName>
    <definedName name="DATA1">#REF!</definedName>
    <definedName name="Data1.1">#REF!</definedName>
    <definedName name="Data1.2">#REF!</definedName>
    <definedName name="DATA10">#REF!</definedName>
    <definedName name="DATA11">#REF!</definedName>
    <definedName name="DATA2">#REF!</definedName>
    <definedName name="Data2.1">#REF!</definedName>
    <definedName name="Data2.2">#REF!</definedName>
    <definedName name="DATA3">#REF!</definedName>
    <definedName name="Data3.1">#REF!</definedName>
    <definedName name="Data3.2">#REF!</definedName>
    <definedName name="DATA4">#REF!</definedName>
    <definedName name="Data4.1">#REF!</definedName>
    <definedName name="Data4.2">#REF!</definedName>
    <definedName name="DATA5">#REF!</definedName>
    <definedName name="Data5.1">#REF!</definedName>
    <definedName name="Data5.2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acutoff" hidden="1">{#N/A,#N/A,FALSE,"Ocean";#N/A,#N/A,FALSE,"NewYork";#N/A,#N/A,FALSE,"Gateway";#N/A,#N/A,FALSE,"GVH";#N/A,#N/A,FALSE,"GVM";#N/A,#N/A,FALSE,"GVT"}</definedName>
    <definedName name="DataItem" localSheetId="0">#REF!</definedName>
    <definedName name="DataItem">#REF!</definedName>
    <definedName name="DataRDB">#REF!</definedName>
    <definedName name="DATE">#REF!</definedName>
    <definedName name="DateList">#REF!</definedName>
    <definedName name="david" hidden="1">{"summary",#N/A,FALSE,"2000 vs 1999";"detail",#N/A,FALSE,"2000 vs 1999"}</definedName>
    <definedName name="david1" hidden="1">{"summary",#N/A,FALSE,"2000 vs 1999";"detail",#N/A,FALSE,"2000 vs 1999"}</definedName>
    <definedName name="day">#REF!</definedName>
    <definedName name="DaysAndWeeks">{0,1,2,3,4,5,6}+{0;1;2;3;4;5}*7</definedName>
    <definedName name="DB">#REF!</definedName>
    <definedName name="db_lines">#REF!</definedName>
    <definedName name="DBNAME1">#REF!</definedName>
    <definedName name="DBNAME2">#REF!</definedName>
    <definedName name="DBUSERNAME1">#REF!</definedName>
    <definedName name="DBUSERNAME2">#REF!</definedName>
    <definedName name="dc">#REF!</definedName>
    <definedName name="DCF_EY1">#REF!</definedName>
    <definedName name="DCF_EY10">#REF!</definedName>
    <definedName name="DCF_EY14">#REF!</definedName>
    <definedName name="DCF_EY15">#REF!</definedName>
    <definedName name="DCF_EY2">#REF!</definedName>
    <definedName name="DCF_EY24">#REF!</definedName>
    <definedName name="DCF_EY25">#REF!</definedName>
    <definedName name="DCF_EY3">#REF!</definedName>
    <definedName name="DCF_EY4">#REF!</definedName>
    <definedName name="DCF_EY5">#REF!</definedName>
    <definedName name="DCF_EY9">#REF!</definedName>
    <definedName name="DCF_P">#REF!</definedName>
    <definedName name="dd">#REF!</definedName>
    <definedName name="DD_Curr">#REF!</definedName>
    <definedName name="ddd">#REF!</definedName>
    <definedName name="dddd">#REF!</definedName>
    <definedName name="ddddd">#REF!</definedName>
    <definedName name="ddddddd">#REF!</definedName>
    <definedName name="ddddddddd">#REF!</definedName>
    <definedName name="dddddddddddd" hidden="1">{"adj95mult",#N/A,FALSE,"COMPCO";"adj95est",#N/A,FALSE,"COMPCO"}</definedName>
    <definedName name="ddddddddddddd">#REF!</definedName>
    <definedName name="dddddddddddddddd">#REF!</definedName>
    <definedName name="dddddddddddddddddddddddddddddddd">#REF!</definedName>
    <definedName name="dddddddddz">#REF!</definedName>
    <definedName name="ddfodofe">#REF!</definedName>
    <definedName name="ddOK">#REF!</definedName>
    <definedName name="de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EBT">#REF!</definedName>
    <definedName name="Debt_growth">#REF!</definedName>
    <definedName name="DEBUG">#REF!</definedName>
    <definedName name="Decline">#REF!</definedName>
    <definedName name="def">#REF!</definedName>
    <definedName name="Deferred_tax_asset_growth_fore">#REF!</definedName>
    <definedName name="Deferred_tax_liability_growth_fore">#REF!</definedName>
    <definedName name="DELETELOGICTYPE1">#REF!</definedName>
    <definedName name="DELETELOGICTYPE2">#REF!</definedName>
    <definedName name="dep">#REF!</definedName>
    <definedName name="Dep_and_Amort">#REF!</definedName>
    <definedName name="Dep_margin_fore">#REF!</definedName>
    <definedName name="Depr">#REF!</definedName>
    <definedName name="Depreciation">#REF!</definedName>
    <definedName name="Depreciation_fore">#REF!</definedName>
    <definedName name="Depreciations">#REF!</definedName>
    <definedName name="deqq">#REF!</definedName>
    <definedName name="Description">#REF!</definedName>
    <definedName name="desktop">#REF!</definedName>
    <definedName name="DetailColumns">#REF!</definedName>
    <definedName name="dev_lb">#REF!</definedName>
    <definedName name="Developments">#REF!</definedName>
    <definedName name="df" hidden="1">{#N/A,#N/A,FALSE,"summary"}</definedName>
    <definedName name="dfaf">"31/12/"&amp;LEFT(#REF!,4)-1</definedName>
    <definedName name="dfd">#REF!</definedName>
    <definedName name="dfdfdf" hidden="1">{#N/A,#N/A,FALSE,"供料净化车间"}</definedName>
    <definedName name="dfg" hidden="1">{#N/A,#N/A,FALSE,"UNIT";#N/A,#N/A,FALSE,"UNIT";#N/A,#N/A,FALSE,"계정"}</definedName>
    <definedName name="dfgdsg" hidden="1">{"summary",#N/A,FALSE,"2000 vs 1999";"detail",#N/A,FALSE,"2000 vs 1999"}</definedName>
    <definedName name="dfksdkfadf">#REF!</definedName>
    <definedName name="DGDate">OFFSET(#REF!,0,0,COUNTA(#REF!),1)</definedName>
    <definedName name="dgdsfyh">#REF!</definedName>
    <definedName name="dgfdgs">#REF!</definedName>
    <definedName name="dgg">#REF!</definedName>
    <definedName name="DGGFA">OFFSET(#REF!,0,0,COUNTA(#REF!)-1,1)</definedName>
    <definedName name="DGPrice">OFFSET(#REF!,0,0,COUNTA(#REF!)-1,1)</definedName>
    <definedName name="di" hidden="1">{#N/A,#N/A,TRUE,"Overall";#N/A,#N/A,TRUE,"Region Wise ";#N/A,#N/A,TRUE,"Client Wise"}</definedName>
    <definedName name="DIA">#REF!</definedName>
    <definedName name="did">#REF!</definedName>
    <definedName name="DIODvAnalyst" hidden="1">#REF!</definedName>
    <definedName name="directors">#REF!</definedName>
    <definedName name="Dis_Rate">16%</definedName>
    <definedName name="DISA">#REF!</definedName>
    <definedName name="DISB">#REF!</definedName>
    <definedName name="DISC">#REF!</definedName>
    <definedName name="Discount">#REF!</definedName>
    <definedName name="Discount_factor">#REF!</definedName>
    <definedName name="DISD">#REF!</definedName>
    <definedName name="DISE">#REF!</definedName>
    <definedName name="DISR">#REF!</definedName>
    <definedName name="DISS">#REF!</definedName>
    <definedName name="District_analysis_Residential">#REF!</definedName>
    <definedName name="dItemsToTest">#REF!</definedName>
    <definedName name="DIVFULL">#REF!</definedName>
    <definedName name="Dividend_Analysis">#REF!</definedName>
    <definedName name="Dividend_paid">#REF!</definedName>
    <definedName name="Dividends">#REF!</definedName>
    <definedName name="Divisors">#REF!</definedName>
    <definedName name="DivisPaid">#REF!</definedName>
    <definedName name="DIVP00">#REF!</definedName>
    <definedName name="DIVP01">#REF!</definedName>
    <definedName name="DIVP86">#REF!</definedName>
    <definedName name="DIVP87">#REF!</definedName>
    <definedName name="DIVP88">#REF!</definedName>
    <definedName name="DIVP89">#REF!</definedName>
    <definedName name="DIVP90">#REF!</definedName>
    <definedName name="DIVP91">#REF!</definedName>
    <definedName name="DIVP92">#REF!</definedName>
    <definedName name="DIVP93">#REF!</definedName>
    <definedName name="DIVP94">#REF!</definedName>
    <definedName name="DIVP95">#REF!</definedName>
    <definedName name="DIVP96">#REF!</definedName>
    <definedName name="DIVP97">#REF!</definedName>
    <definedName name="DIVP98">#REF!</definedName>
    <definedName name="DIVP99">#REF!</definedName>
    <definedName name="DIVQA">#REF!</definedName>
    <definedName name="DIVQB">#REF!</definedName>
    <definedName name="DIVS00">#REF!</definedName>
    <definedName name="DIVS01">#REF!</definedName>
    <definedName name="DIVS86">#REF!</definedName>
    <definedName name="DIVS87">#REF!</definedName>
    <definedName name="DIVS88">#REF!</definedName>
    <definedName name="DIVS89">#REF!</definedName>
    <definedName name="DIVS90">#REF!</definedName>
    <definedName name="DIVS91">#REF!</definedName>
    <definedName name="DIVS92">#REF!</definedName>
    <definedName name="DIVS93">#REF!</definedName>
    <definedName name="DIVS94">#REF!</definedName>
    <definedName name="DIVS95">#REF!</definedName>
    <definedName name="DIVS96">#REF!</definedName>
    <definedName name="DIVS97">#REF!</definedName>
    <definedName name="DIVS98">#REF!</definedName>
    <definedName name="DIVS99">#REF!</definedName>
    <definedName name="DLD">#REF!</definedName>
    <definedName name="DLDate">OFFSET(#REF!,0,0,COUNTA(#REF!),1)</definedName>
    <definedName name="DLGFA">OFFSET(#REF!,0,0,COUNTA(#REF!)-1,1)</definedName>
    <definedName name="DLPrice">OFFSET(#REF!,0,0,COUNTA(#REF!)-1,1)</definedName>
    <definedName name="DnA_fore">#REF!</definedName>
    <definedName name="DnA_growth_fore">#REF!</definedName>
    <definedName name="dName">#REF!</definedName>
    <definedName name="doc_disc">#REF!</definedName>
    <definedName name="DocType">Years</definedName>
    <definedName name="Document_array">{"xsh1.xls","Sheet1"}</definedName>
    <definedName name="Documents_array">#REF!</definedName>
    <definedName name="DOLF">#REF!</definedName>
    <definedName name="DOLRMB">#REF!</definedName>
    <definedName name="DOMLD">#REF!</definedName>
    <definedName name="donation">#REF!</definedName>
    <definedName name="DoNotUncheckBoxes123456">#REF!</definedName>
    <definedName name="DownTrend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ps00">#REF!</definedName>
    <definedName name="dps00e">#REF!</definedName>
    <definedName name="dps01e">#REF!</definedName>
    <definedName name="dps98e">#REF!</definedName>
    <definedName name="dps99e">#REF!</definedName>
    <definedName name="driver">#REF!</definedName>
    <definedName name="dsafasdf">#REF!</definedName>
    <definedName name="dsafd">#N/A</definedName>
    <definedName name="dsafdg">#REF!</definedName>
    <definedName name="dSampleSize">#REF!</definedName>
    <definedName name="dsd">#REF!</definedName>
    <definedName name="DSDDE_Path">#REF!</definedName>
    <definedName name="DSDFSDF" hidden="1">{"summary",#N/A,FALSE,"2000 vs 1999";"detail",#N/A,FALSE,"2000 vs 1999"}</definedName>
    <definedName name="dsf">#REF!</definedName>
    <definedName name="dsfieu">#REF!</definedName>
    <definedName name="dsflkZ">#REF!</definedName>
    <definedName name="dssad" hidden="1">{"Monthly6Q",#N/A,FALSE,"0614ESL"}</definedName>
    <definedName name="dtd">#REF!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mbbell">"Dumbbell"</definedName>
    <definedName name="dw">#N/A</definedName>
    <definedName name="dwayne">#REF!</definedName>
    <definedName name="DYUJTIYTI" hidden="1">{"summary",#N/A,FALSE,"2000 vs 1999";"detail",#N/A,FALSE,"2000 vs 1999"}</definedName>
    <definedName name="e" hidden="1">{#N/A,#N/A,FALSE,"Ocean";#N/A,#N/A,FALSE,"NewYork";#N/A,#N/A,FALSE,"Gateway";#N/A,#N/A,FALSE,"GVH";#N/A,#N/A,FALSE,"GVM";#N/A,#N/A,FALSE,"GVT"}</definedName>
    <definedName name="E_ALL_0325.HK">#REF!</definedName>
    <definedName name="E_ALL_0494.HK">#REF!</definedName>
    <definedName name="E_ALL_0520.HK">#REF!</definedName>
    <definedName name="E_ALL_0551.HK">#REF!</definedName>
    <definedName name="E_ALL_0787.HK">#REF!</definedName>
    <definedName name="E_ALL_1364.HK">#REF!</definedName>
    <definedName name="E_ALL_1368.HK">#REF!</definedName>
    <definedName name="E_ALL_1579.HK">#REF!</definedName>
    <definedName name="E_ALL_1880.HK">#REF!</definedName>
    <definedName name="E_ALL_2020.HK">#REF!</definedName>
    <definedName name="E_ALL_2097.HK" localSheetId="0">#REF!</definedName>
    <definedName name="E_ALL_2097.HK">#REF!</definedName>
    <definedName name="E_ALL_2150.HK">#REF!</definedName>
    <definedName name="E_ALL_2313.HK">#REF!</definedName>
    <definedName name="E_ALL_2331.HK">#REF!</definedName>
    <definedName name="E_ALL_2723.TW" localSheetId="0">#REF!</definedName>
    <definedName name="E_ALL_2723.TW">#REF!</definedName>
    <definedName name="E_ALL_3813.HK">#REF!</definedName>
    <definedName name="E_ALL_6110.HK">#REF!</definedName>
    <definedName name="E_ALL_6862.HK" localSheetId="0">#REF!</definedName>
    <definedName name="E_ALL_6862.HK">#REF!</definedName>
    <definedName name="E_ALL_9869.HK">#REF!</definedName>
    <definedName name="E_ALL_9922.HK">#REF!</definedName>
    <definedName name="E_ALL_CMG">#REF!</definedName>
    <definedName name="E_ALL_DNKN">#REF!</definedName>
    <definedName name="E_ALL_KEYWORDS_TYPE_ScalarContributed_EQTY_200002981">#REF!,#REF!</definedName>
    <definedName name="E_ALL_KEYWORDS_TYPE_ScalarContributed_EQTY_200007887">#REF!,#REF!</definedName>
    <definedName name="E_ALL_KEYWORDS_TYPE_ScalarContributed_EQTY_200010679">#REF!,#REF!</definedName>
    <definedName name="E_ALL_KEYWORDS_TYPE_ScalarContributed_EQTY_200010680">#REF!,#REF!</definedName>
    <definedName name="E_ALL_KEYWORDS_TYPE_ScalarContributed_EQTY_200019863">#REF!,#REF!,#REF!</definedName>
    <definedName name="E_ALL_KEYWORDS_TYPE_ScalarContributed_ISSR_208001031">#REF!,#REF!</definedName>
    <definedName name="E_ALL_KEYWORDS_TYPE_ScalarContributed_ISSR_208006123">#REF!,#REF!</definedName>
    <definedName name="E_ALL_KEYWORDS_TYPE_ScalarContributed_ISSR_208008188">#REF!,#REF!</definedName>
    <definedName name="E_ALL_KEYWORDS_TYPE_ScalarContributed_ISSR_208008530">#REF!,#REF!</definedName>
    <definedName name="E_ALL_KEYWORDS_TYPE_ScalarContributed_ISSR_208018549" localSheetId="0">#REF!,#REF!</definedName>
    <definedName name="E_ALL_KEYWORDS_TYPE_ScalarContributed_ISSR_208018549">#REF!,#REF!</definedName>
    <definedName name="E_ALL_KEYWORDS_TYPE_ScalarReference_EQTY_200010679">#REF!</definedName>
    <definedName name="E_ALL_KEYWORDS_TYPE_ScalarReference_ISSR_208008187">#REF!</definedName>
    <definedName name="E_ALL_KEYWORDS_TYPE_Vector_EQTY_200002981">#REF!,#REF!,#REF!,#REF!,#REF!</definedName>
    <definedName name="E_ALL_KEYWORDS_TYPE_Vector_EQTY_200007887">#REF!,#REF!,#REF!,#REF!,#REF!</definedName>
    <definedName name="E_ALL_KEYWORDS_TYPE_Vector_EQTY_200010679">#REF!,#REF!,#REF!,#REF!,#REF!</definedName>
    <definedName name="E_ALL_KEYWORDS_TYPE_Vector_EQTY_200010680">#REF!,#REF!,#REF!,#REF!,#REF!</definedName>
    <definedName name="E_ALL_KEYWORDS_TYPE_Vector_EQTY_200011141">#REF!,#REF!,#REF!,#REF!,#REF!</definedName>
    <definedName name="E_ALL_KEYWORDS_TYPE_Vector_EQTY_200019863" localSheetId="0">#REF!,#REF!,#REF!,#REF!,#REF!</definedName>
    <definedName name="E_ALL_KEYWORDS_TYPE_Vector_EQTY_200019863">#REF!,#REF!,#REF!,#REF!,#REF!</definedName>
    <definedName name="E_ALL_KEYWORDS_TYPE_Vector_ISSR_208000897" localSheetId="0">#REF!,#REF!,#REF!,#REF!,#REF!,#REF!,#REF!,#REF!,#REF!,#REF!,#REF!,#REF!</definedName>
    <definedName name="E_ALL_KEYWORDS_TYPE_Vector_ISSR_208000897">#REF!,#REF!,#REF!,#REF!,#REF!,#REF!,#REF!,#REF!,#REF!,#REF!,#REF!,#REF!</definedName>
    <definedName name="E_ALL_KEYWORDS_TYPE_Vector_ISSR_208001031">#REF!,#REF!,#REF!,#REF!,#REF!,#REF!,#REF!,#REF!,#REF!,#REF!,#REF!,#REF!,#REF!,#REF!,#REF!</definedName>
    <definedName name="E_ALL_KEYWORDS_TYPE_Vector_ISSR_208006123">#REF!,#REF!,#REF!,#REF!,#REF!,#REF!,#REF!,#REF!,#REF!,#REF!</definedName>
    <definedName name="E_ALL_KEYWORDS_TYPE_Vector_ISSR_208008187">#REF!,#REF!,#REF!,#REF!,#REF!,#REF!,#REF!,#REF!,#REF!</definedName>
    <definedName name="E_ALL_KEYWORDS_TYPE_Vector_ISSR_208008188">#REF!,#REF!,#REF!,#REF!,#REF!,#REF!,#REF!,#REF!,#REF!,#REF!,#REF!,#REF!,#REF!,#REF!,#REF!,#REF!</definedName>
    <definedName name="E_ALL_KEYWORDS_TYPE_Vector_ISSR_208008530">#REF!,#REF!,#REF!,#REF!,#REF!,#REF!,#REF!,#REF!,#REF!,#REF!,#REF!,#REF!,#REF!</definedName>
    <definedName name="E_ALL_KEYWORDS_TYPE_Vector_ISSR_208018549" localSheetId="0">#REF!,#REF!,#REF!,#REF!,#REF!,#REF!,#REF!,#REF!,#REF!,#REF!,#REF!,#REF!,#REF!,#REF!</definedName>
    <definedName name="E_ALL_KEYWORDS_TYPE_Vector_ISSR_208018549">#REF!,#REF!,#REF!,#REF!,#REF!,#REF!,#REF!,#REF!,#REF!,#REF!,#REF!,#REF!,#REF!,#REF!</definedName>
    <definedName name="E_ALL_MCD">#REF!</definedName>
    <definedName name="E_ALL_MNSO">#REF!</definedName>
    <definedName name="E_ALL_SECTION_KEYWORDS_EQTY_200010679_1314">#REF!</definedName>
    <definedName name="E_ALL_SECTION_KEYWORDS_EQTY_200010679_131E">#REF!</definedName>
    <definedName name="E_ALL_SECTION_KEYWORDS_EQTY_200010679_131O">#REF!</definedName>
    <definedName name="E_ALL_SECTION_KEYWORDS_EQTY_200010679_13A">#REF!</definedName>
    <definedName name="E_ALL_SECTION_KEYWORDS_EQTY_200010679_13K">#REF!</definedName>
    <definedName name="E_ALL_SECTION_KEYWORDS_EQTY_200010679_13U">#REF!</definedName>
    <definedName name="E_ALL_SECTION_KEYWORDS_EQTY_200010679_13V">#REF!</definedName>
    <definedName name="E_ALL_SECTION_KEYWORDS_EQTY_200010679_Reference_Data">#REF!</definedName>
    <definedName name="E_ALL_SECTION_KEYWORDS_ISSR_208000897_131O" localSheetId="0">#REF!,#REF!</definedName>
    <definedName name="E_ALL_SECTION_KEYWORDS_ISSR_208000897_131O">#REF!,#REF!</definedName>
    <definedName name="E_ALL_SECTION_KEYWORDS_ISSR_208001031_13V">#REF!,#REF!</definedName>
    <definedName name="E_ALL_SECTION_KEYWORDS_ISSR_208006123_136J">#REF!,#REF!</definedName>
    <definedName name="E_ALL_SECTION_KEYWORDS_ISSR_208008187_1314">#REF!</definedName>
    <definedName name="E_ALL_SECTION_KEYWORDS_ISSR_208008187_13168">#REF!</definedName>
    <definedName name="E_ALL_SECTION_KEYWORDS_ISSR_208008187_1316S">#REF!</definedName>
    <definedName name="E_ALL_SECTION_KEYWORDS_ISSR_208008187_1316T">#REF!</definedName>
    <definedName name="E_ALL_SECTION_KEYWORDS_ISSR_208008187_1316U">#REF!</definedName>
    <definedName name="E_ALL_SECTION_KEYWORDS_ISSR_208008187_1319">#REF!</definedName>
    <definedName name="E_ALL_SECTION_KEYWORDS_ISSR_208008187_131E">#REF!</definedName>
    <definedName name="E_ALL_SECTION_KEYWORDS_ISSR_208008187_131J">#REF!</definedName>
    <definedName name="E_ALL_SECTION_KEYWORDS_ISSR_208008187_131O">#REF!</definedName>
    <definedName name="E_ALL_SECTION_KEYWORDS_ISSR_208008187_136E">#REF!,#REF!</definedName>
    <definedName name="E_ALL_SECTION_KEYWORDS_ISSR_208008187_13U">#REF!</definedName>
    <definedName name="E_ALL_SECTION_KEYWORDS_ISSR_208008187_13V">#REF!</definedName>
    <definedName name="E_ALL_SECTION_KEYWORDS_ISSR_208008187_Reference_Data">#REF!</definedName>
    <definedName name="E_ALL_SECTION_KEYWORDS_ISSR_208008530_136E">#REF!,#REF!</definedName>
    <definedName name="E_ALL_SECTION_KEYWORDS_ISSR_208008530_13V">#REF!,#REF!</definedName>
    <definedName name="E_ALL_SECTION_KEYWORDS_ISSR_208018549_13V" localSheetId="0">#REF!,#REF!</definedName>
    <definedName name="E_ALL_SECTION_KEYWORDS_ISSR_208018549_13V">#REF!,#REF!</definedName>
    <definedName name="E_ALL_SECTIONS_EQTY_200002981">#REF!,#REF!,#REF!,#REF!,#REF!,#REF!,#REF!,#REF!</definedName>
    <definedName name="E_ALL_SECTIONS_EQTY_200007887">#REF!,#REF!,#REF!,#REF!,#REF!,#REF!,#REF!,#REF!</definedName>
    <definedName name="E_ALL_SECTIONS_EQTY_200010679">#REF!,#REF!,#REF!,#REF!,#REF!,#REF!,#REF!,#REF!</definedName>
    <definedName name="E_ALL_SECTIONS_EQTY_200010680">#REF!,#REF!,#REF!,#REF!,#REF!,#REF!,#REF!,#REF!</definedName>
    <definedName name="E_ALL_SECTIONS_ISSR_208001031">#REF!,#REF!,#REF!,#REF!,#REF!,#REF!,#REF!,#REF!,#REF!,#REF!</definedName>
    <definedName name="E_ALL_SECTIONS_ISSR_208006123">#REF!,#REF!,#REF!,#REF!,#REF!,#REF!,#REF!,#REF!,#REF!,#REF!</definedName>
    <definedName name="E_ALL_SECTIONS_ISSR_208008188">#REF!,#REF!,#REF!,#REF!,#REF!,#REF!,#REF!,#REF!,#REF!,#REF!</definedName>
    <definedName name="E_ALL_YUM">#REF!</definedName>
    <definedName name="E_ALL_YUMC">#REF!</definedName>
    <definedName name="E_CURRENCY_EQTY_200002981_PRI">#REF!</definedName>
    <definedName name="E_CURRENCY_EQTY_200002981_PUB">#REF!</definedName>
    <definedName name="E_CURRENCY_EQTY_200002981_REP">#REF!</definedName>
    <definedName name="E_CURRENCY_EQTY_200007887_PRI">#REF!</definedName>
    <definedName name="E_CURRENCY_EQTY_200007887_PUB">#REF!</definedName>
    <definedName name="E_CURRENCY_EQTY_200007887_REP">#REF!</definedName>
    <definedName name="E_CURRENCY_EQTY_200010679_PRI">#REF!</definedName>
    <definedName name="E_CURRENCY_EQTY_200010679_PUB">#REF!</definedName>
    <definedName name="E_CURRENCY_EQTY_200010679_REP">#REF!</definedName>
    <definedName name="E_CURRENCY_EQTY_200010680_PRI">#REF!</definedName>
    <definedName name="E_CURRENCY_EQTY_200010680_PUB">#REF!</definedName>
    <definedName name="E_CURRENCY_EQTY_200010680_REP">#REF!</definedName>
    <definedName name="E_CURRENCY_ISSR_208001031_REP">#REF!</definedName>
    <definedName name="E_CURRENCY_ISSR_208006123_REP">#REF!</definedName>
    <definedName name="E_CURRENCY_ISSR_208008187_REP">#REF!</definedName>
    <definedName name="E_CURRENCY_ISSR_208008188_REP">#REF!</definedName>
    <definedName name="E_KEYWORD_EQTY_200010679_AEJ_CONVICTION">#REF!</definedName>
    <definedName name="E_KEYWORD_EQTY_200010679_AEJ_LIST">#REF!</definedName>
    <definedName name="E_KEYWORD_EQTY_200010679_BETA_ANALYST">#REF!</definedName>
    <definedName name="E_KEYWORD_EQTY_200010679_BVPS">#REF!</definedName>
    <definedName name="E_KEYWORD_EQTY_200010679_BVPS_PUB">#REF!</definedName>
    <definedName name="E_KEYWORD_EQTY_200010679_CATALYST1_DATE">#REF!</definedName>
    <definedName name="E_KEYWORD_EQTY_200010679_CATALYST1_EVENT">#REF!</definedName>
    <definedName name="E_KEYWORD_EQTY_200010679_CATALYST2_DATE">#REF!</definedName>
    <definedName name="E_KEYWORD_EQTY_200010679_CATALYST2_EVENT">#REF!</definedName>
    <definedName name="E_KEYWORD_EQTY_200010679_CATALYST3_DATE">#REF!</definedName>
    <definedName name="E_KEYWORD_EQTY_200010679_CATALYST3_EVENT">#REF!</definedName>
    <definedName name="E_KEYWORD_EQTY_200010679_CATALYST4_DATE">#REF!</definedName>
    <definedName name="E_KEYWORD_EQTY_200010679_CATALYST4_EVENT">#REF!</definedName>
    <definedName name="E_KEYWORD_EQTY_200010679_CATALYST5_DATE">#REF!</definedName>
    <definedName name="E_KEYWORD_EQTY_200010679_CATALYST5_EVENT">#REF!</definedName>
    <definedName name="E_KEYWORD_EQTY_200010679_CF_NI_PRE_PREF">#REF!</definedName>
    <definedName name="E_KEYWORD_EQTY_200010679_COMMON_DIV_PAID">#REF!</definedName>
    <definedName name="E_KEYWORD_EQTY_200010679_CURRENCY_ISO">#REF!</definedName>
    <definedName name="E_KEYWORD_EQTY_200010679_DILUTE_SHARES">#REF!</definedName>
    <definedName name="E_KEYWORD_EQTY_200010679_DPS">#REF!</definedName>
    <definedName name="E_KEYWORD_EQTY_200010679_DPS_PUB">#REF!</definedName>
    <definedName name="E_KEYWORD_EQTY_200010679_EBIT_PUB">#REF!</definedName>
    <definedName name="E_KEYWORD_EQTY_200010679_EBITDA_PUB">#REF!</definedName>
    <definedName name="E_KEYWORD_EQTY_200010679_EPS">#REF!</definedName>
    <definedName name="E_KEYWORD_EQTY_200010679_EPS_CONS_PUB">#REF!</definedName>
    <definedName name="E_KEYWORD_EQTY_200010679_EPS_FUL_DIL">#REF!</definedName>
    <definedName name="E_KEYWORD_EQTY_200010679_EPS_POST_BASIC">#REF!</definedName>
    <definedName name="E_KEYWORD_EQTY_200010679_EPS_PUB">#REF!</definedName>
    <definedName name="E_KEYWORD_EQTY_200010679_EQ_PUB">#REF!</definedName>
    <definedName name="E_KEYWORD_EQTY_200010679_EV_ADJ_PUB">#REF!</definedName>
    <definedName name="E_KEYWORD_EQTY_200010679_FOREIGN_HOLDNG">#REF!</definedName>
    <definedName name="E_KEYWORD_EQTY_200010679_FREE_FLOAT">#REF!</definedName>
    <definedName name="E_KEYWORD_EQTY_200010679_FULLY_DIL_EPS">#REF!</definedName>
    <definedName name="E_KEYWORD_EQTY_200010679_INC_MINORITY">#REF!</definedName>
    <definedName name="E_KEYWORD_EQTY_200010679_Interim_Type">#REF!</definedName>
    <definedName name="E_KEYWORD_EQTY_200010679_LEGAL_RATING">#REF!</definedName>
    <definedName name="E_KEYWORD_EQTY_200010679_MARGIN_TAX_RATE">#REF!</definedName>
    <definedName name="E_KEYWORD_EQTY_200010679_MKT_EQ_RISK_PREM">#REF!</definedName>
    <definedName name="E_KEYWORD_EQTY_200010679_NET_DEBT_PUB">#REF!</definedName>
    <definedName name="E_KEYWORD_EQTY_200010679_NET_EARNING">#REF!</definedName>
    <definedName name="E_KEYWORD_EQTY_200010679_NET_INC">#REF!</definedName>
    <definedName name="E_KEYWORD_EQTY_200010679_NI_CONS">#REF!</definedName>
    <definedName name="E_KEYWORD_EQTY_200010679_NI_PRE_PREF">#REF!</definedName>
    <definedName name="E_KEYWORD_EQTY_200010679_NI_PUB">#REF!</definedName>
    <definedName name="E_KEYWORD_EQTY_200010679_NON_OP_ADD">#REF!</definedName>
    <definedName name="E_KEYWORD_EQTY_200010679_NUM_SH">#REF!</definedName>
    <definedName name="E_KEYWORD_EQTY_200010679_PREF_DIV">#REF!</definedName>
    <definedName name="E_KEYWORD_EQTY_200010679_PRI_TARG_METH">#REF!</definedName>
    <definedName name="E_KEYWORD_EQTY_200010679_PRI_TARG_MULT">#REF!</definedName>
    <definedName name="E_KEYWORD_EQTY_200010679_PRICE_CURRENCY_ISO">#REF!</definedName>
    <definedName name="E_KEYWORD_EQTY_200010679_PROV_INC_TAX">#REF!</definedName>
    <definedName name="E_KEYWORD_EQTY_200010679_PTP_PUB">#REF!</definedName>
    <definedName name="E_KEYWORD_EQTY_200010679_PUB_CURRENCY_ISO">#REF!</definedName>
    <definedName name="E_KEYWORD_EQTY_200010679_REVS_PUB">#REF!</definedName>
    <definedName name="E_KEYWORD_EQTY_200010679_RISK_FR_RATE">#REF!</definedName>
    <definedName name="E_KEYWORD_EQTY_200010679_Security_Name">#REF!</definedName>
    <definedName name="E_KEYWORD_EQTY_200010679_SH">#REF!</definedName>
    <definedName name="E_KEYWORD_EQTY_200010679_TARGET_PRICE">#REF!</definedName>
    <definedName name="E_KEYWORD_EQTY_200010679_TAX_EXC">#REF!</definedName>
    <definedName name="E_KEYWORD_EQTY_200010679_Ticker">#REF!</definedName>
    <definedName name="E_KEYWORD_EQTY_200010679_TP_PERIOD">#REF!</definedName>
    <definedName name="E_KEYWORD_ISSR_208008187_ACC_AMORT">#REF!</definedName>
    <definedName name="E_KEYWORD_ISSR_208008187_ACC_DDA">#REF!</definedName>
    <definedName name="E_KEYWORD_ISSR_208008187_ACC_END_DATE">#REF!</definedName>
    <definedName name="E_KEYWORD_ISSR_208008187_ACC_PAY_GQ">#REF!</definedName>
    <definedName name="E_KEYWORD_ISSR_208008187_ACQ">#REF!</definedName>
    <definedName name="E_KEYWORD_ISSR_208008187_ADJ_UNF_PENS_GOOD">#REF!</definedName>
    <definedName name="E_KEYWORD_ISSR_208008187_ASSOC_JV_ADDBK">#REF!</definedName>
    <definedName name="E_KEYWORD_ISSR_208008187_ASSOCIATE">#REF!</definedName>
    <definedName name="E_KEYWORD_ISSR_208008187_ASSOCIATE_OP">#REF!</definedName>
    <definedName name="E_KEYWORD_ISSR_208008187_BAL_MINO_INT">#REF!</definedName>
    <definedName name="E_KEYWORD_ISSR_208008187_CAP_LEASES">#REF!</definedName>
    <definedName name="E_KEYWORD_ISSR_208008187_CAPEX">#REF!</definedName>
    <definedName name="E_KEYWORD_ISSR_208008187_CAPEX_EXPANSION">#REF!</definedName>
    <definedName name="E_KEYWORD_ISSR_208008187_CAPEX_MAINTENANCE">#REF!</definedName>
    <definedName name="E_KEYWORD_ISSR_208008187_CASH_EQ">#REF!</definedName>
    <definedName name="E_KEYWORD_ISSR_208008187_CASH_INT_EXP">#REF!</definedName>
    <definedName name="E_KEYWORD_ISSR_208008187_CASH_TAX_EXP">#REF!</definedName>
    <definedName name="E_KEYWORD_ISSR_208008187_CF_FIN">#REF!</definedName>
    <definedName name="E_KEYWORD_ISSR_208008187_CF_INC_MINORITY">#REF!</definedName>
    <definedName name="E_KEYWORD_ISSR_208008187_CF_INV">#REF!</definedName>
    <definedName name="E_KEYWORD_ISSR_208008187_CF_OPS">#REF!</definedName>
    <definedName name="E_KEYWORD_ISSR_208008187_CHG_LT_DEBT">#REF!</definedName>
    <definedName name="E_KEYWORD_ISSR_208008187_CO_BOR_MARGIN">#REF!</definedName>
    <definedName name="E_KEYWORD_ISSR_208008187_CONTRIB_MARGIN_RATIO">#REF!</definedName>
    <definedName name="E_KEYWORD_ISSR_208008187_COST_GD_SD">#REF!</definedName>
    <definedName name="E_KEYWORD_ISSR_208008187_CUR_ASS">#REF!</definedName>
    <definedName name="E_KEYWORD_ISSR_208008187_CURRENCY_ISO">#REF!</definedName>
    <definedName name="E_KEYWORD_ISSR_208008187_DEBTORS">#REF!</definedName>
    <definedName name="E_KEYWORD_ISSR_208008187_DEF_INC_TAX">#REF!</definedName>
    <definedName name="E_KEYWORD_ISSR_208008187_DEPR_AMORT">#REF!</definedName>
    <definedName name="E_KEYWORD_ISSR_208008187_DEPREC">#REF!</definedName>
    <definedName name="E_KEYWORD_ISSR_208008187_DIV_PAID">#REF!</definedName>
    <definedName name="E_KEYWORD_ISSR_208008187_DIVDS_ASSOC_JV">#REF!</definedName>
    <definedName name="E_KEYWORD_ISSR_208008187_DIVDS_PD_MINORITIES">#REF!</definedName>
    <definedName name="E_KEYWORD_ISSR_208008187_DIVEST">#REF!</definedName>
    <definedName name="E_KEYWORD_ISSR_208008187_EBIT">#REF!</definedName>
    <definedName name="E_KEYWORD_ISSR_208008187_EBITDA_CALC">#REF!</definedName>
    <definedName name="E_KEYWORD_ISSR_208008187_EMPLOYEES">#REF!</definedName>
    <definedName name="E_KEYWORD_ISSR_208008187_EQ">#REF!</definedName>
    <definedName name="E_KEYWORD_ISSR_208008187_EXP_ALUMINIUM">#REF!</definedName>
    <definedName name="E_KEYWORD_ISSR_208008187_EXP_BEEF">#REF!</definedName>
    <definedName name="E_KEYWORD_ISSR_208008187_EXP_CHICKEN">#REF!</definedName>
    <definedName name="E_KEYWORD_ISSR_208008187_EXP_COCOA">#REF!</definedName>
    <definedName name="E_KEYWORD_ISSR_208008187_EXP_COFFEE">#REF!</definedName>
    <definedName name="E_KEYWORD_ISSR_208008187_EXP_COPPER">#REF!</definedName>
    <definedName name="E_KEYWORD_ISSR_208008187_EXP_CORN">#REF!</definedName>
    <definedName name="E_KEYWORD_ISSR_208008187_EXP_COTTON">#REF!</definedName>
    <definedName name="E_KEYWORD_ISSR_208008187_EXP_DAIRY">#REF!</definedName>
    <definedName name="E_KEYWORD_ISSR_208008187_EXP_DIAMONDS">#REF!</definedName>
    <definedName name="E_KEYWORD_ISSR_208008187_EXP_GOLD">#REF!</definedName>
    <definedName name="E_KEYWORD_ISSR_208008187_EXP_NUTS">#REF!</definedName>
    <definedName name="E_KEYWORD_ISSR_208008187_EXP_OIL_DERIV_NGLS_PLASTICS">#REF!</definedName>
    <definedName name="E_KEYWORD_ISSR_208008187_EXP_OIL_PETRO_FUEL">#REF!</definedName>
    <definedName name="E_KEYWORD_ISSR_208008187_EXP_OTH_COMMODITY">#REF!</definedName>
    <definedName name="E_KEYWORD_ISSR_208008187_EXP_OTH_COST">#REF!</definedName>
    <definedName name="E_KEYWORD_ISSR_208008187_EXP_PALM_OIL">#REF!</definedName>
    <definedName name="E_KEYWORD_ISSR_208008187_EXP_PAPER_PULP">#REF!</definedName>
    <definedName name="E_KEYWORD_ISSR_208008187_EXP_PLATINUM">#REF!</definedName>
    <definedName name="E_KEYWORD_ISSR_208008187_EXP_PORK">#REF!</definedName>
    <definedName name="E_KEYWORD_ISSR_208008187_EXP_SILVER">#REF!</definedName>
    <definedName name="E_KEYWORD_ISSR_208008187_EXP_SOYBEAN">#REF!</definedName>
    <definedName name="E_KEYWORD_ISSR_208008187_EXP_SUGAR">#REF!</definedName>
    <definedName name="E_KEYWORD_ISSR_208008187_EXP_TOBACCO_LEAF">#REF!</definedName>
    <definedName name="E_KEYWORD_ISSR_208008187_EXP_WATER">#REF!</definedName>
    <definedName name="E_KEYWORD_ISSR_208008187_EXP_WHEAT">#REF!</definedName>
    <definedName name="E_KEYWORD_ISSR_208008187_FIX_ASS_INV">#REF!</definedName>
    <definedName name="E_KEYWORD_ISSR_208008187_GCI_INFL">#REF!</definedName>
    <definedName name="E_KEYWORD_ISSR_208008187_GOODWILL_AMORT">#REF!</definedName>
    <definedName name="E_KEYWORD_ISSR_208008187_GR_FIX_ASS">#REF!</definedName>
    <definedName name="E_KEYWORD_ISSR_208008187_GR_INTANG">#REF!</definedName>
    <definedName name="E_KEYWORD_ISSR_208008187_INT_EXP_IND">#REF!</definedName>
    <definedName name="E_KEYWORD_ISSR_208008187_INT_INC_IND">#REF!</definedName>
    <definedName name="E_KEYWORD_ISSR_208008187_INV_SECUR">#REF!</definedName>
    <definedName name="E_KEYWORD_ISSR_208008187_Issuer_Name">#REF!</definedName>
    <definedName name="E_KEYWORD_ISSR_208008187_LEASE_DEEM_DEPR">#REF!</definedName>
    <definedName name="E_KEYWORD_ISSR_208008187_LEASE_DEEM_INT">#REF!</definedName>
    <definedName name="E_KEYWORD_ISSR_208008187_LEASE_PAY">#REF!</definedName>
    <definedName name="E_KEYWORD_ISSR_208008187_LT_DEBT">#REF!</definedName>
    <definedName name="E_KEYWORD_ISSR_208008187_MINORITIES">#REF!</definedName>
    <definedName name="E_KEYWORD_ISSR_208008187_MV_ASSOCIATES">#REF!</definedName>
    <definedName name="E_KEYWORD_ISSR_208008187_NET_DEBT">#REF!</definedName>
    <definedName name="E_KEYWORD_ISSR_208008187_NET_DEBT_ADJ">#REF!</definedName>
    <definedName name="E_KEYWORD_ISSR_208008187_NET_FIX_ASS">#REF!</definedName>
    <definedName name="E_KEYWORD_ISSR_208008187_NET_INT_CH">#REF!</definedName>
    <definedName name="E_KEYWORD_ISSR_208008187_NET_INT_EXP">#REF!</definedName>
    <definedName name="E_KEYWORD_ISSR_208008187_NET_INTANG">#REF!</definedName>
    <definedName name="E_KEYWORD_ISSR_208008187_NONPPE_CAPEX">#REF!</definedName>
    <definedName name="E_KEYWORD_ISSR_208008187_OP_COST">#REF!</definedName>
    <definedName name="E_KEYWORD_ISSR_208008187_ORD_SH_FUND">#REF!</definedName>
    <definedName name="E_KEYWORD_ISSR_208008187_OTH_COST_INC">#REF!</definedName>
    <definedName name="E_KEYWORD_ISSR_208008187_OTH_CUR_ASS">#REF!</definedName>
    <definedName name="E_KEYWORD_ISSR_208008187_OTH_CUR_LIABS">#REF!</definedName>
    <definedName name="E_KEYWORD_ISSR_208008187_OTH_DACF_ADJ">#REF!</definedName>
    <definedName name="E_KEYWORD_ISSR_208008187_OTH_FIN_CF">#REF!</definedName>
    <definedName name="E_KEYWORD_ISSR_208008187_OTH_GCI_ADJ">#REF!</definedName>
    <definedName name="E_KEYWORD_ISSR_208008187_OTH_INV_CF">#REF!</definedName>
    <definedName name="E_KEYWORD_ISSR_208008187_OTH_LT_ASS">#REF!</definedName>
    <definedName name="E_KEYWORD_ISSR_208008187_OTH_LT_CRED_GQ">#REF!</definedName>
    <definedName name="E_KEYWORD_ISSR_208008187_OTH_NONCASH_ADJ">#REF!</definedName>
    <definedName name="E_KEYWORD_ISSR_208008187_OTH_OP_CF">#REF!</definedName>
    <definedName name="E_KEYWORD_ISSR_208008187_OTH_OP_INC_EXP">#REF!</definedName>
    <definedName name="E_KEYWORD_ISSR_208008187_PERIOD_MILESTONE">#REF!</definedName>
    <definedName name="E_KEYWORD_ISSR_208008187_PERSONNEL">#REF!</definedName>
    <definedName name="E_KEYWORD_ISSR_208008187_PL_SALE_ASSETS">#REF!</definedName>
    <definedName name="E_KEYWORD_ISSR_208008187_PREF_SH">#REF!</definedName>
    <definedName name="E_KEYWORD_ISSR_208008187_PROFIT_ON_DISP">#REF!</definedName>
    <definedName name="E_KEYWORD_ISSR_208008187_PT_PROF">#REF!</definedName>
    <definedName name="E_KEYWORD_ISSR_208008187_RD_EXP">#REF!</definedName>
    <definedName name="E_KEYWORD_ISSR_208008187_SALES">#REF!</definedName>
    <definedName name="E_KEYWORD_ISSR_208008187_SALES_BRAZIL">#REF!</definedName>
    <definedName name="E_KEYWORD_ISSR_208008187_SALES_CEE">#REF!</definedName>
    <definedName name="E_KEYWORD_ISSR_208008187_SALES_CEMENT">#REF!</definedName>
    <definedName name="E_KEYWORD_ISSR_208008187_SALES_CHINA">#REF!</definedName>
    <definedName name="E_KEYWORD_ISSR_208008187_SALES_CONS">#REF!</definedName>
    <definedName name="E_KEYWORD_ISSR_208008187_SALES_EU_EX_UK">#REF!</definedName>
    <definedName name="E_KEYWORD_ISSR_208008187_SALES_FINAN">#REF!</definedName>
    <definedName name="E_KEYWORD_ISSR_208008187_SALES_FX_BRL">#REF!</definedName>
    <definedName name="E_KEYWORD_ISSR_208008187_SALES_FX_CNY">#REF!</definedName>
    <definedName name="E_KEYWORD_ISSR_208008187_SALES_FX_EUR">#REF!</definedName>
    <definedName name="E_KEYWORD_ISSR_208008187_SALES_FX_GPB">#REF!</definedName>
    <definedName name="E_KEYWORD_ISSR_208008187_SALES_FX_INR">#REF!</definedName>
    <definedName name="E_KEYWORD_ISSR_208008187_SALES_FX_KRW">#REF!</definedName>
    <definedName name="E_KEYWORD_ISSR_208008187_SALES_FX_OTH">#REF!</definedName>
    <definedName name="E_KEYWORD_ISSR_208008187_SALES_FX_RUB">#REF!</definedName>
    <definedName name="E_KEYWORD_ISSR_208008187_SALES_FX_TWD">#REF!</definedName>
    <definedName name="E_KEYWORD_ISSR_208008187_SALES_FX_USD">#REF!</definedName>
    <definedName name="E_KEYWORD_ISSR_208008187_SALES_FX_YEN">#REF!</definedName>
    <definedName name="E_KEYWORD_ISSR_208008187_SALES_GLASS">#REF!</definedName>
    <definedName name="E_KEYWORD_ISSR_208008187_SALES_GOV">#REF!</definedName>
    <definedName name="E_KEYWORD_ISSR_208008187_SALES_IND">#REF!</definedName>
    <definedName name="E_KEYWORD_ISSR_208008187_SALES_INDIA">#REF!</definedName>
    <definedName name="E_KEYWORD_ISSR_208008187_SALES_JAPAN">#REF!</definedName>
    <definedName name="E_KEYWORD_ISSR_208008187_SALES_LUMBER">#REF!</definedName>
    <definedName name="E_KEYWORD_ISSR_208008187_SALES_ME">#REF!</definedName>
    <definedName name="E_KEYWORD_ISSR_208008187_SALES_OIL_PETRO_FUEL">#REF!</definedName>
    <definedName name="E_KEYWORD_ISSR_208008187_SALES_OTH_AEJ">#REF!</definedName>
    <definedName name="E_KEYWORD_ISSR_208008187_SALES_OTH_AM">#REF!</definedName>
    <definedName name="E_KEYWORD_ISSR_208008187_SALES_OTH_COMMODITY">#REF!</definedName>
    <definedName name="E_KEYWORD_ISSR_208008187_SALES_OTH_EMEA">#REF!</definedName>
    <definedName name="E_KEYWORD_ISSR_208008187_SALES_OTH_SALES_SOURCES">#REF!</definedName>
    <definedName name="E_KEYWORD_ISSR_208008187_SALES_OTHER">#REF!</definedName>
    <definedName name="E_KEYWORD_ISSR_208008187_SALES_PAPER_PULP">#REF!</definedName>
    <definedName name="E_KEYWORD_ISSR_208008187_SALES_RUSSIA">#REF!</definedName>
    <definedName name="E_KEYWORD_ISSR_208008187_SALES_SK">#REF!</definedName>
    <definedName name="E_KEYWORD_ISSR_208008187_SALES_STEEL">#REF!</definedName>
    <definedName name="E_KEYWORD_ISSR_208008187_SALES_TAIWAN">#REF!</definedName>
    <definedName name="E_KEYWORD_ISSR_208008187_SALES_TOBACCO_LEAF">#REF!</definedName>
    <definedName name="E_KEYWORD_ISSR_208008187_SALES_TOT_AFRICA">#REF!</definedName>
    <definedName name="E_KEYWORD_ISSR_208008187_SALES_TOT_AM">#REF!</definedName>
    <definedName name="E_KEYWORD_ISSR_208008187_SALES_TOT_ASIA">#REF!</definedName>
    <definedName name="E_KEYWORD_ISSR_208008187_SALES_TOT_EMEA">#REF!</definedName>
    <definedName name="E_KEYWORD_ISSR_208008187_SALES_UK">#REF!</definedName>
    <definedName name="E_KEYWORD_ISSR_208008187_SALES_US">#REF!</definedName>
    <definedName name="E_KEYWORD_ISSR_208008187_SEL_GL_AD">#REF!</definedName>
    <definedName name="E_KEYWORD_ISSR_208008187_SH_REPUR">#REF!</definedName>
    <definedName name="E_KEYWORD_ISSR_208008187_SHORT_T_DEBT">#REF!</definedName>
    <definedName name="E_KEYWORD_ISSR_208008187_SHORT_TERM_LIABS">#REF!</definedName>
    <definedName name="E_KEYWORD_ISSR_208008187_STOCKS">#REF!</definedName>
    <definedName name="E_KEYWORD_ISSR_208008187_TOT_ASSET">#REF!</definedName>
    <definedName name="E_KEYWORD_ISSR_208008187_TOT_CF">#REF!</definedName>
    <definedName name="E_KEYWORD_ISSR_208008187_TOT_LIAB">#REF!</definedName>
    <definedName name="E_KEYWORD_ISSR_208008187_TOT_LIAB_EQ">#REF!</definedName>
    <definedName name="E_KEYWORD_ISSR_208008187_TOT_LT_LIAB">#REF!</definedName>
    <definedName name="E_KEYWORD_ISSR_208008187_TOT_OPS_EXP">#REF!</definedName>
    <definedName name="E_KEYWORD_ISSR_208008187_TOT_OPS_EXP_DDA">#REF!</definedName>
    <definedName name="E_KEYWORD_ISSR_208008187_UNF_PENS">#REF!</definedName>
    <definedName name="E_KEYWORD_ISSR_208008187_UNF_PENS_LIAB_OTH">#REF!</definedName>
    <definedName name="E_KEYWORD_ISSR_208008187_UNF_PENS_OFF">#REF!</definedName>
    <definedName name="E_KEYWORD_ISSR_208008187_WORK_CAP">#REF!</definedName>
    <definedName name="E_LIVEDATA_EQTY_200010679">#REF!</definedName>
    <definedName name="E_LIVEDATA_ISSR_208008187">#REF!</definedName>
    <definedName name="E_PERIOD_1994">#REF!</definedName>
    <definedName name="E_PERIOD_1995">#REF!</definedName>
    <definedName name="E_PERIOD_1996">#REF!</definedName>
    <definedName name="E_PERIOD_1997">#REF!</definedName>
    <definedName name="E_PERIOD_1998">#REF!</definedName>
    <definedName name="E_PERIOD_1999">#REF!</definedName>
    <definedName name="E_PERIOD_2000">#REF!</definedName>
    <definedName name="E_PERIOD_2001">#REF!</definedName>
    <definedName name="E_PERIOD_2002">#REF!</definedName>
    <definedName name="E_PERIOD_2003">#REF!</definedName>
    <definedName name="E_PERIOD_2004">#REF!</definedName>
    <definedName name="E_PERIOD_2005">#REF!</definedName>
    <definedName name="E_PERIOD_2006">#REF!</definedName>
    <definedName name="E_PERIOD_2007">#REF!</definedName>
    <definedName name="E_PERIOD_2008">#REF!</definedName>
    <definedName name="E_PERIOD_2009">#REF!</definedName>
    <definedName name="E_PERIOD_2010">#REF!</definedName>
    <definedName name="E_PERIOD_2010_H1">#REF!</definedName>
    <definedName name="E_PERIOD_2010_H2">#REF!</definedName>
    <definedName name="E_PERIOD_2011">#REF!</definedName>
    <definedName name="E_PERIOD_2011_H1">#REF!</definedName>
    <definedName name="E_PERIOD_2011_H2">#REF!</definedName>
    <definedName name="E_PERIOD_2012">#REF!</definedName>
    <definedName name="E_PERIOD_2013">#REF!</definedName>
    <definedName name="E_PERIOD_2014">#REF!</definedName>
    <definedName name="E_PERIOD_2015">#REF!</definedName>
    <definedName name="E_SECTION_EQTY_200010679_1314">#REF!</definedName>
    <definedName name="E_SECTION_EQTY_200010679_131E">#REF!</definedName>
    <definedName name="E_SECTION_EQTY_200010679_131O">#REF!</definedName>
    <definedName name="E_SECTION_EQTY_200010679_13A">#REF!</definedName>
    <definedName name="E_SECTION_EQTY_200010679_13K">#REF!</definedName>
    <definedName name="E_SECTION_EQTY_200010679_13U">#REF!</definedName>
    <definedName name="E_SECTION_EQTY_200010679_13V">#REF!</definedName>
    <definedName name="E_SECTION_EQTY_200010679_Reference_Data">#REF!</definedName>
    <definedName name="E_SECTION_ISSR_208008187_1314">#REF!</definedName>
    <definedName name="E_SECTION_ISSR_208008187_13168">#REF!</definedName>
    <definedName name="E_SECTION_ISSR_208008187_1316S">#REF!</definedName>
    <definedName name="E_SECTION_ISSR_208008187_1316T">#REF!</definedName>
    <definedName name="E_SECTION_ISSR_208008187_1316U">#REF!</definedName>
    <definedName name="E_SECTION_ISSR_208008187_1319">#REF!</definedName>
    <definedName name="E_SECTION_ISSR_208008187_131E">#REF!</definedName>
    <definedName name="E_SECTION_ISSR_208008187_131J">#REF!</definedName>
    <definedName name="E_SECTION_ISSR_208008187_131O">#REF!</definedName>
    <definedName name="E_SECTION_ISSR_208008187_13U">#REF!</definedName>
    <definedName name="E_SECTION_ISSR_208008187_13V">#REF!</definedName>
    <definedName name="E_SECTION_ISSR_208008187_Reference_Data">#REF!</definedName>
    <definedName name="E1888\">#REF!</definedName>
    <definedName name="e1dq">#REF!</definedName>
    <definedName name="EA">#REF!</definedName>
    <definedName name="eaa">#REF!</definedName>
    <definedName name="EAGLE">#REF!</definedName>
    <definedName name="eap">#REF!</definedName>
    <definedName name="earniing">#REF!</definedName>
    <definedName name="Earnings_Forecast">#REF!</definedName>
    <definedName name="eat">#REF!</definedName>
    <definedName name="EB">#REF!</definedName>
    <definedName name="ebit">#REF!</definedName>
    <definedName name="EBIT_fore">#REF!</definedName>
    <definedName name="EBIT_margin">#REF!</definedName>
    <definedName name="EBIT_margin_fore">#REF!</definedName>
    <definedName name="EBITA">#REF!</definedName>
    <definedName name="EBITA_fore">#REF!</definedName>
    <definedName name="EBITDA">#REF!</definedName>
    <definedName name="EBITDA_DCF">#REF!</definedName>
    <definedName name="EBITDA_fore">#REF!</definedName>
    <definedName name="EBITDA_growth_avg">#REF!</definedName>
    <definedName name="EBITDA_margin">#REF!</definedName>
    <definedName name="EBITDA_margin_fore">#REF!</definedName>
    <definedName name="EBITDA_Share">#REF!</definedName>
    <definedName name="EBITDAhigh">#REF!</definedName>
    <definedName name="EBITDAlow">#REF!</definedName>
    <definedName name="EBITDAmarghigh">#REF!</definedName>
    <definedName name="EBITDAmarglow">#REF!</definedName>
    <definedName name="ec">#REF!</definedName>
    <definedName name="echo">#REF!</definedName>
    <definedName name="EcoIndic">#REF!</definedName>
    <definedName name="ecom_costs">#REF!</definedName>
    <definedName name="ecom_gm">#REF!</definedName>
    <definedName name="ecom_gp">#REF!</definedName>
    <definedName name="ecom_revs">#REF!</definedName>
    <definedName name="ED">#REF!</definedName>
    <definedName name="ED_Q">#REF!</definedName>
    <definedName name="edps00">#REF!</definedName>
    <definedName name="edps01">#REF!</definedName>
    <definedName name="edps98">#REF!</definedName>
    <definedName name="edps99">#REF!</definedName>
    <definedName name="EDRTUERUTY" hidden="1">{"summary",#N/A,FALSE,"2000 vs 1999";"detail",#N/A,FALSE,"2000 vs 1999"}</definedName>
    <definedName name="ee">#REF!</definedName>
    <definedName name="eee" hidden="1">{"Graphic",#N/A,TRUE,"Graphic"}</definedName>
    <definedName name="eeee" hidden="1">{#N/A,#N/A,FALSE,"UNIT";#N/A,#N/A,FALSE,"UNIT";#N/A,#N/A,FALSE,"계정"}</definedName>
    <definedName name="eeeeeeeeeeeeeeeee">#REF!</definedName>
    <definedName name="eeeeeeeeeeeeeeeeeeeeeeeeeeeeeeeee">#REF!</definedName>
    <definedName name="eepsfd00">#REF!</definedName>
    <definedName name="eepsfd01">#REF!</definedName>
    <definedName name="eepsfd98">#REF!</definedName>
    <definedName name="eepsfd99">#REF!</definedName>
    <definedName name="Effect_Spin_off">#REF!</definedName>
    <definedName name="EG_DPS">#REF!</definedName>
    <definedName name="EG_Net_Profit">#REF!</definedName>
    <definedName name="ela">#REF!</definedName>
    <definedName name="EML">#N/A</definedName>
    <definedName name="emma">#REF!</definedName>
    <definedName name="ENC6A">#REF!</definedName>
    <definedName name="ENC6B">#REF!</definedName>
    <definedName name="ENC6C">#REF!</definedName>
    <definedName name="ENC6D">#REF!</definedName>
    <definedName name="ENC9A">#REF!</definedName>
    <definedName name="ENC9B">#REF!</definedName>
    <definedName name="ENC9C">#REF!</definedName>
    <definedName name="ENC9D">#REF!</definedName>
    <definedName name="ENC9E">#REF!</definedName>
    <definedName name="ENC9F">#REF!</definedName>
    <definedName name="end">#REF!</definedName>
    <definedName name="endcce">#REF!</definedName>
    <definedName name="enetinc00">#REF!</definedName>
    <definedName name="enetinc01">#REF!</definedName>
    <definedName name="enetinc98">#REF!</definedName>
    <definedName name="enetinc99">#REF!</definedName>
    <definedName name="enp">#REF!</definedName>
    <definedName name="Ent">#REF!</definedName>
    <definedName name="enterprise_value">#REF!</definedName>
    <definedName name="Entitynumbers">#REF!</definedName>
    <definedName name="epa">#REF!</definedName>
    <definedName name="epc">#REF!</definedName>
    <definedName name="EPMWorkbookOptions_2" hidden="1">"y/uJ4CLopLobuqevWkl7R5/B5dY2W/LgzJljFGxq4ELcxXACSTwDMiShfG340G0Pv3flzhPghi8rJ1d3Ro7h6K7hMjNkIddmDHt2J4oCyZV0sqSX/TV8aSsdpa/67v4/Q5KWa5torPuZkZaJbrpw81di/fS2ydYdx0SGvgP26KTXMegoO80rFrVQTqEUliy3eHNsbNcjGo+h1UAzaLlBwvGm22RdyoZY9af2YhNDtk0b1zw8hxIb0XHINRhF"</definedName>
    <definedName name="EPMWorkbookOptions_3" hidden="1">"hOfe6FaOBIIH370H/c3GyCN5BXtk6bzXF/J/RK9Tk/x6fWgSzcHxI4JYx8YUbeMctDkinweEXW9nQNH9oUCbUccDP9Zq125goX/mMCAp17XmD7X3LLFRvYeCLHchKSNFDggVsBMgaucGvioeQ1zjJHb5ITK665j6RxfbDsTeRw0US8UJHE0KxdJYLIj8pFqoFCEscDrkxfGoLJZHgr9l2isicEt3N3uuDWcjUhgjzGiVRxoQk6X/DqaXNcVf"</definedName>
    <definedName name="EPMWorkbookOptions_4" hidden="1">"zAv5qcvaoN4ixWDPMCbgWkofW9McKcB3FjLv875k8qG5eHinHucrsYeHKrHHMNvZ7WfT6N/Duiyrg472eZFynFjhuOM1CtKn0Q1FotBuvdfsaI/AF+v3PgC8f4QWkq7Ys5HhMzJhMkknclXVbdBQNK1XV1qfLnCCUCyKonh8geNTWeA2IGm9NpROd6AlXbLn4jJs9roZmz02mqplJ3ExaX6qzBGyivb5C41SGXCVSvn4EiekscQtIdJSJWe3"</definedName>
    <definedName name="EPMWorkbookOptions_5" hidden="1">"1aQL9eREbvhsNoZIJSMSIlLMiOwS8a91MiK0Rm75qjhSI1wxO9aE6wjIiFAaAVllpYk0SSFJ/OH3mq4lHlrq0/+5G1wqCcIf3A4W03gp4TOkZfpQveHaHoFjmN0DOPG8VTpasyerF3zaWEzj1F1hpOWqDDtqp5l0tZ4cSirm8KmpVKvVYTX51f6aSltb6cvggoWtlMbCFkCktdoGN17XopkA4ZYvO2OY3PCD+mgiqTj4XVuV5y9Y5ctprfJ8"</definedName>
    <definedName name="EPMWorkbookOptions_6" hidden="1">"SKt8VuUjmGTz9wzzV7jg/K2kdf4KIa0KqZi/1yTVXleTBz1CWL7kt7OraRTsDkpati056Yo9AxS585x0Ktc0j/uy2m1ecAaDFL5gsaJI6/RHKg45p0WShgeNpyZyy0+jYzRSSjqRayrwmtK+aH1P5ctJPsTwV414juESr9TTIgFV5pbvcsappJwhCSEBN/xVzjiV3PB5QGQtqTDZ/cWTngu0m/X+oNfsX/JsIIVv8q0xLl+nf9YamUL/xIjK"</definedName>
    <definedName name="EPMWorkbookOptions_7" hidden="1">"JtaIsrFnDkksZu0PiY1agYRqXccmm95ft2W3cX+tF6kHJxi6U9VSHWitl9ugGwM72YQ69oOqVl9/g2vLcHNgu17UhozMC5ivrfc7aPvFeDV0SXF/6hjpIxO2IX7dRthr//plG3a1iE7tX5bSBO5/RwAA"</definedName>
    <definedName name="epretax00">#REF!</definedName>
    <definedName name="epretax01">#REF!</definedName>
    <definedName name="epretax98">#REF!</definedName>
    <definedName name="epretax99">#REF!</definedName>
    <definedName name="EPS">#REF!</definedName>
    <definedName name="EPS_Growth">#REF!</definedName>
    <definedName name="EPS_growth_avg">#REF!</definedName>
    <definedName name="EPS00">#REF!</definedName>
    <definedName name="epsfd00">#REF!</definedName>
    <definedName name="epsfd00e">#REF!</definedName>
    <definedName name="epsfd01">#REF!</definedName>
    <definedName name="epsfd98">#REF!</definedName>
    <definedName name="epsfd98e">#REF!</definedName>
    <definedName name="epsfd99">#REF!</definedName>
    <definedName name="epsfd99e">#REF!</definedName>
    <definedName name="EPSQ195">#REF!</definedName>
    <definedName name="EPSQ196">#REF!</definedName>
    <definedName name="EPSQ197">#REF!</definedName>
    <definedName name="EPSQ295">#REF!</definedName>
    <definedName name="EPSQ296">#REF!</definedName>
    <definedName name="EPSQ297">#REF!</definedName>
    <definedName name="EPSQ395">#REF!</definedName>
    <definedName name="EPSQ396">#REF!</definedName>
    <definedName name="EPSQ397">#REF!</definedName>
    <definedName name="EPSQ495">#REF!</definedName>
    <definedName name="EPSQ496">#REF!</definedName>
    <definedName name="EPSQ497">#REF!</definedName>
    <definedName name="EPSTable">#REF!</definedName>
    <definedName name="epw">#REF!</definedName>
    <definedName name="epx">#REF!</definedName>
    <definedName name="eqer">#REF!</definedName>
    <definedName name="EqGrwth">#REF!</definedName>
    <definedName name="Equity_increase">#REF!</definedName>
    <definedName name="ererererytyyy" hidden="1">#REF!</definedName>
    <definedName name="erg" hidden="1">{"summary",#N/A,FALSE,"2000 vs 1999";"detail",#N/A,FALSE,"2000 vs 1999"}</definedName>
    <definedName name="ergerg" hidden="1">{"summary",#N/A,FALSE,"2000 vs 1999";"detail",#N/A,FALSE,"2000 vs 1999"}</definedName>
    <definedName name="eric">#REF!</definedName>
    <definedName name="Err_Box_AddSamp">#REF!</definedName>
    <definedName name="Err_Box_Rej">#REF!</definedName>
    <definedName name="Err_CellComments">#REF!</definedName>
    <definedName name="Err_SampErr">#REF!</definedName>
    <definedName name="ErrorCheck">#REF!</definedName>
    <definedName name="ertert" hidden="1">{"summary",#N/A,FALSE,"2000 vs 1999";"detail",#N/A,FALSE,"2000 vs 1999"}</definedName>
    <definedName name="erterter" hidden="1">{"summary",#N/A,FALSE,"2000 vs 1999";"detail",#N/A,FALSE,"2000 vs 1999"}</definedName>
    <definedName name="ertwtre" hidden="1">{"summary",#N/A,FALSE,"2000 vs 1999";"detail",#N/A,FALSE,"2000 vs 1999"}</definedName>
    <definedName name="esnrc100c1_values" localSheetId="0" hidden="1">{"FTSE100","COMPANIES",TRUE}</definedName>
    <definedName name="esnrc100c1_values" hidden="1">{"FTSE100","COMPANIES",TRUE}</definedName>
    <definedName name="esnrc33c1_values" localSheetId="0" hidden="1">{"EUMOT","COMPANIES",TRUE}</definedName>
    <definedName name="esnrc33c1_values" hidden="1">{"EUMOT","COMPANIES",TRUE}</definedName>
    <definedName name="esnrc56c1_values" localSheetId="0" hidden="1">{"ASCONGRP","COMPANIES",TRUE}</definedName>
    <definedName name="esnrc56c1_values" hidden="1">{"ASCONGRP","COMPANIES",TRUE}</definedName>
    <definedName name="esnrc63c1_values" localSheetId="0" hidden="1">{"EUUTIGRP","COMPANIES",TRUE}</definedName>
    <definedName name="esnrc63c1_values" hidden="1">{"EUUTIGRP","COMPANIES",TRUE}</definedName>
    <definedName name="esnrc91c1_values" localSheetId="0" hidden="1">{"EUUTI","COMPANIES",TRUE}</definedName>
    <definedName name="esnrc91c1_values" hidden="1">{"EUUTI","COMPANIES",TRUE}</definedName>
    <definedName name="esnrc91c2_values" localSheetId="0" hidden="1">{"EUUTI","COMPANIES",TRUE}</definedName>
    <definedName name="esnrc91c2_values" hidden="1">{"EUUTI","COMPANIES",TRUE}</definedName>
    <definedName name="EssOptions">"110000000001000_"</definedName>
    <definedName name="est" hidden="1">{"EVA",#N/A,FALSE,"EVA";"WACC",#N/A,FALSE,"WACC"}</definedName>
    <definedName name="ESTTEMP">#REF!</definedName>
    <definedName name="etaxrate00">#REF!</definedName>
    <definedName name="etaxrate01">#REF!</definedName>
    <definedName name="etaxrate98">#REF!</definedName>
    <definedName name="etaxrate99">#REF!</definedName>
    <definedName name="etc">#REF!</definedName>
    <definedName name="etotrev00">#REF!</definedName>
    <definedName name="etotrev01">#REF!</definedName>
    <definedName name="etotrev98">#REF!</definedName>
    <definedName name="etotrev99">#REF!</definedName>
    <definedName name="etyyuiytrf" hidden="1">#REF!</definedName>
    <definedName name="EU" hidden="1">{"cfsum",#N/A,FALSE,"CashFlow"}</definedName>
    <definedName name="eurnew">#REF!</definedName>
    <definedName name="eurold">#REF!</definedName>
    <definedName name="Europe_excl._Sweden">#REF!</definedName>
    <definedName name="Europe_excl._Sweden_w">#REF!</definedName>
    <definedName name="EV__LASTREFTIME__" hidden="1">38810.7012384259</definedName>
    <definedName name="Eval_btn_Ans">#REF!</definedName>
    <definedName name="Eval_MR">#REF!</definedName>
    <definedName name="ew">#REF!</definedName>
    <definedName name="ewqe">#REF!</definedName>
    <definedName name="ewrgt" hidden="1">{"summary",#N/A,FALSE,"2000 vs 1999";"detail",#N/A,FALSE,"2000 vs 1999"}</definedName>
    <definedName name="ewrt" hidden="1">{#N/A,#N/A,FALSE,"UNIT";#N/A,#N/A,FALSE,"UNIT";#N/A,#N/A,FALSE,"계정"}</definedName>
    <definedName name="ewteert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ewterwtre" hidden="1">{"summary",#N/A,FALSE,"2000 vs 1999";"detail",#N/A,FALSE,"2000 vs 1999"}</definedName>
    <definedName name="ex">110</definedName>
    <definedName name="Ex_Rate">#REF!</definedName>
    <definedName name="Ex_Shares">2500</definedName>
    <definedName name="Excel_Version">#REF!</definedName>
    <definedName name="Except">#REF!</definedName>
    <definedName name="Exceptionals">#REF!</definedName>
    <definedName name="Exceptions">#REF!</definedName>
    <definedName name="Excess_cash">#REF!</definedName>
    <definedName name="exch">#REF!</definedName>
    <definedName name="exh">#REF!</definedName>
    <definedName name="ExhibitOutput17630" hidden="1">#REF!</definedName>
    <definedName name="ExhibitOutput68773" hidden="1">#REF!</definedName>
    <definedName name="EXP_ALL_TOTAL">#REF!</definedName>
    <definedName name="Expl_forecast_1st_yr">#REF!</definedName>
    <definedName name="Expl_forecast_2nd_yr">#REF!</definedName>
    <definedName name="Expl_forecast_3rd_yr">#REF!</definedName>
    <definedName name="exr">1.1</definedName>
    <definedName name="exrate">#REF!</definedName>
    <definedName name="exrate1">100</definedName>
    <definedName name="ExRateHKD">#REF!</definedName>
    <definedName name="ExRateNTD">#REF!</definedName>
    <definedName name="ExRateRMB">#REF!</definedName>
    <definedName name="ext">#REF!</definedName>
    <definedName name="ExtFiles">#REF!</definedName>
    <definedName name="_xlnm.Extract">#REF!</definedName>
    <definedName name="eydke" hidden="1">{#N/A,#N/A,FALSE,"970301";#N/A,#N/A,FALSE,"970302";#N/A,#N/A,FALSE,"970303";#N/A,#N/A,FALSE,"970304";#N/A,#N/A,FALSE,"COM1";#N/A,#N/A,FALSE,"COM2"}</definedName>
    <definedName name="f">#REF!</definedName>
    <definedName name="F_AFLCFM1">#REF!</definedName>
    <definedName name="F_AFLCFM2">#REF!</definedName>
    <definedName name="F_AFLPEM3">#REF!</definedName>
    <definedName name="F_AFLPEM4">#REF!</definedName>
    <definedName name="F_AFLPEMb">#REF!</definedName>
    <definedName name="F_AFLSD1">#REF!</definedName>
    <definedName name="F_AFLSD2">#REF!</definedName>
    <definedName name="F_Book_value_per_share">#REF!</definedName>
    <definedName name="FA.lead">#REF!</definedName>
    <definedName name="factset">#REF!</definedName>
    <definedName name="fadag">#N/A</definedName>
    <definedName name="fadfasdf">#REF!</definedName>
    <definedName name="fadflaerf">#REF!</definedName>
    <definedName name="fads">#REF!</definedName>
    <definedName name="fafdfdgga">#REF!</definedName>
    <definedName name="Fai">#REF!</definedName>
    <definedName name="fajflewrjalfjasdlgjhsg">#N/A</definedName>
    <definedName name="fall">#REF!</definedName>
    <definedName name="FAMERangeDJ_BALAL28">#REF!</definedName>
    <definedName name="FAMERangeDJ_BALAM28">#REF!</definedName>
    <definedName name="FAMERangeDJ_BALAN28">#REF!</definedName>
    <definedName name="FAMERangeGCI_BALD62">#REF!</definedName>
    <definedName name="FAMERangeGCI_BALD63">#REF!</definedName>
    <definedName name="FAMERangeGCI_ISD88">#REF!</definedName>
    <definedName name="FAMERangeKRI_BALAL99">#REF!</definedName>
    <definedName name="FAMERangeKRI_BALAM99">#REF!</definedName>
    <definedName name="FAMERangeKRI_BALAN99">#REF!</definedName>
    <definedName name="FAMERangeraw_dataB36">#REF!</definedName>
    <definedName name="FAMERangeraw_dataB37">#REF!</definedName>
    <definedName name="FAMERangeraw_dataB38">#REF!</definedName>
    <definedName name="FAMERangeraw_dataB39">#REF!</definedName>
    <definedName name="FAMERangeraw_dataB40">#REF!</definedName>
    <definedName name="FAMERangeraw_dataB45">#REF!</definedName>
    <definedName name="FAMERangeraw_dataB51">#REF!</definedName>
    <definedName name="FAMERangeraw_dataB52">#REF!</definedName>
    <definedName name="FAMERangeraw_dataB54">#REF!</definedName>
    <definedName name="FAMERangeraw_dataB55">#REF!</definedName>
    <definedName name="FAMERangeraw_dataB57">#REF!</definedName>
    <definedName name="FAMERangeraw_dataB58">#REF!</definedName>
    <definedName name="FAMERangeraw_dataB59">#REF!</definedName>
    <definedName name="FAMERangeraw_dataB60">#REF!</definedName>
    <definedName name="FAMERangeraw_dataB62">#REF!</definedName>
    <definedName name="FAMERangeraw_dataB63">#REF!</definedName>
    <definedName name="FAMERangeraw_dataB64">#REF!</definedName>
    <definedName name="FAMERangeraw_dataB65">#REF!</definedName>
    <definedName name="FAMERangeraw_dataB68">#REF!</definedName>
    <definedName name="FAMERangeraw_dataC34">#REF!</definedName>
    <definedName name="FAMERangeraw_dataC44">#REF!</definedName>
    <definedName name="FAMERangeraw_dataC45">#REF!</definedName>
    <definedName name="FAMERangeraw_dataC51">#REF!</definedName>
    <definedName name="FAMERangeraw_dataC52">#REF!</definedName>
    <definedName name="FAMERangeraw_dataC54">#REF!</definedName>
    <definedName name="FAMERangeraw_dataC55">#REF!</definedName>
    <definedName name="FAMERangeraw_dataC57">#REF!</definedName>
    <definedName name="FAMERangeraw_dataC58">#REF!</definedName>
    <definedName name="FAMERangeraw_dataC59">#REF!</definedName>
    <definedName name="FAMERangeraw_dataC60">#REF!</definedName>
    <definedName name="FAMERangeraw_dataC62">#REF!</definedName>
    <definedName name="FAMERangeraw_dataC63">#REF!</definedName>
    <definedName name="FAMERangeraw_dataC71">#REF!</definedName>
    <definedName name="FAMERangeraw_dataD34">#REF!</definedName>
    <definedName name="FAMERangeraw_dataD44">#REF!</definedName>
    <definedName name="FAMERangeraw_dataD45">#REF!</definedName>
    <definedName name="FAMERangeraw_dataD62">#REF!</definedName>
    <definedName name="FAMERangeraw_dataD71">#REF!</definedName>
    <definedName name="FAMERangeraw_dataE44">#REF!</definedName>
    <definedName name="FAMERangeraw_dataE45">#REF!</definedName>
    <definedName name="FAMERangeraw_dataE63">#REF!</definedName>
    <definedName name="FAMERangeraw_dataE64">#REF!</definedName>
    <definedName name="FAMERangeraw_dataE65">#REF!</definedName>
    <definedName name="FAMERangeraw_dataE71">#REF!</definedName>
    <definedName name="FAMERangeraw_dataG40">#REF!</definedName>
    <definedName name="FAMERangeraw_dataG41">#REF!</definedName>
    <definedName name="FAMERangeraw_dataH40">#REF!</definedName>
    <definedName name="FAMERangeraw_dataH41">#REF!</definedName>
    <definedName name="FAMERangeraw_dataI40">#REF!</definedName>
    <definedName name="fasfew" hidden="1">{"summary",#N/A,FALSE,"2000 vs 1999";"detail",#N/A,FALSE,"2000 vs 1999"}</definedName>
    <definedName name="Faster_Faller">#REF!</definedName>
    <definedName name="Faster_Riser">#REF!</definedName>
    <definedName name="fayear">#REF!</definedName>
    <definedName name="FC" hidden="1">#REF!</definedName>
    <definedName name="fcdafda">#REF!</definedName>
    <definedName name="fd" hidden="1">{#N/A,#N/A,FALSE,"Ocean";#N/A,#N/A,FALSE,"NewYork";#N/A,#N/A,FALSE,"Gateway";#N/A,#N/A,FALSE,"GVH";#N/A,#N/A,FALSE,"GVM";#N/A,#N/A,FALSE,"GVT"}</definedName>
    <definedName name="fdafda">#REF!</definedName>
    <definedName name="fdcperiod">#REF!</definedName>
    <definedName name="fdgdfg" hidden="1">{"summary",#N/A,FALSE,"2000 vs 1999";"detail",#N/A,FALSE,"2000 vs 1999"}</definedName>
    <definedName name="FDP_0_1_aUrv" hidden="1">#REF!</definedName>
    <definedName name="FDP_1_1_aUrv" hidden="1">#REF!</definedName>
    <definedName name="FDP_10_1_aU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Srv" hidden="1">#REF!</definedName>
    <definedName name="FDP_108_1_aSrv" hidden="1">#REF!</definedName>
    <definedName name="FDP_109_1_aU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Urv" hidden="1">#REF!</definedName>
    <definedName name="FDP_120_1_aSrv" hidden="1">#REF!</definedName>
    <definedName name="FDP_121_1_aSrv" hidden="1">#REF!</definedName>
    <definedName name="FDP_122_1_aUrv" hidden="1">#REF!</definedName>
    <definedName name="FDP_123_1_aU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Srv" hidden="1">#REF!</definedName>
    <definedName name="FDP_13_1_aUrv" hidden="1">#REF!</definedName>
    <definedName name="FDP_130_1_aUrv" hidden="1">#REF!</definedName>
    <definedName name="FDP_131_1_aU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Urv" hidden="1">#REF!</definedName>
    <definedName name="FDP_137_1_aSrv" hidden="1">#REF!</definedName>
    <definedName name="FDP_138_1_aSrv" hidden="1">#REF!</definedName>
    <definedName name="FDP_139_1_aUrv" hidden="1">#REF!</definedName>
    <definedName name="FDP_14_1_aSrv" hidden="1">#REF!</definedName>
    <definedName name="FDP_140_1_aUrv" hidden="1">#REF!</definedName>
    <definedName name="FDP_141_1_aSrv" hidden="1">#REF!</definedName>
    <definedName name="FDP_142_1_aUrv" hidden="1">#REF!</definedName>
    <definedName name="FDP_143_1_aSrv" hidden="1">#REF!</definedName>
    <definedName name="FDP_144_1_aSrv" hidden="1">#REF!</definedName>
    <definedName name="FDP_145_1_aSrv" hidden="1">#REF!</definedName>
    <definedName name="FDP_146_1_aUrv" hidden="1">#REF!</definedName>
    <definedName name="FDP_147_1_aUrv" hidden="1">#REF!</definedName>
    <definedName name="FDP_148_1_aUrv" hidden="1">#REF!</definedName>
    <definedName name="FDP_149_1_aSrv" hidden="1">#REF!</definedName>
    <definedName name="FDP_15_1_aUrv" hidden="1">#REF!</definedName>
    <definedName name="FDP_150_1_aUrv" hidden="1">#REF!</definedName>
    <definedName name="FDP_151_1_aUrv" hidden="1">#REF!</definedName>
    <definedName name="FDP_152_1_aUrv" hidden="1">#REF!</definedName>
    <definedName name="FDP_153_1_aUrv" hidden="1">#REF!</definedName>
    <definedName name="FDP_154_1_aUrv" hidden="1">#REF!</definedName>
    <definedName name="FDP_155_1_aUrv" hidden="1">#REF!</definedName>
    <definedName name="FDP_156_1_aUrv" hidden="1">#REF!</definedName>
    <definedName name="FDP_157_1_aUrv" hidden="1">#REF!</definedName>
    <definedName name="FDP_158_1_aUrv" hidden="1">#REF!</definedName>
    <definedName name="FDP_159_1_aUrv" hidden="1">#REF!</definedName>
    <definedName name="FDP_16_1_aUrv" hidden="1">#REF!</definedName>
    <definedName name="FDP_160_1_aUrv" hidden="1">#REF!</definedName>
    <definedName name="FDP_161_1_aUrv" hidden="1">#REF!</definedName>
    <definedName name="FDP_162_1_aUrv" hidden="1">#REF!</definedName>
    <definedName name="FDP_163_1_aUrv" hidden="1">#REF!</definedName>
    <definedName name="FDP_164_1_aUrv" hidden="1">#REF!</definedName>
    <definedName name="FDP_165_1_aUrv" hidden="1">#REF!</definedName>
    <definedName name="FDP_166_1_aUrv" hidden="1">#REF!</definedName>
    <definedName name="FDP_167_1_aUrv" hidden="1">#REF!</definedName>
    <definedName name="FDP_168_1_aSrv" hidden="1">#REF!</definedName>
    <definedName name="FDP_169_1_aUrv" hidden="1">#REF!</definedName>
    <definedName name="FDP_17_1_aUrv" hidden="1">#REF!</definedName>
    <definedName name="FDP_170_1_aSrv" hidden="1">#REF!</definedName>
    <definedName name="FDP_171_1_aUrv" hidden="1">#REF!</definedName>
    <definedName name="FDP_172_1_aUrv" hidden="1">#REF!</definedName>
    <definedName name="FDP_173_1_aUrv" hidden="1">#REF!</definedName>
    <definedName name="FDP_174_1_aUrv" hidden="1">#REF!</definedName>
    <definedName name="FDP_175_1_aUrv" hidden="1">#REF!</definedName>
    <definedName name="FDP_176_1_aUrv" hidden="1">#REF!</definedName>
    <definedName name="FDP_177_1_aSrv" hidden="1">#REF!</definedName>
    <definedName name="FDP_178_1_aSrv" hidden="1">#REF!</definedName>
    <definedName name="FDP_179_1_aUrv" hidden="1">#REF!</definedName>
    <definedName name="FDP_18_1_aUrv" hidden="1">#REF!</definedName>
    <definedName name="FDP_180_1_aSrv" hidden="1">#REF!</definedName>
    <definedName name="FDP_181_1_aUrv" hidden="1">#REF!</definedName>
    <definedName name="FDP_182_1_aUrv" hidden="1">#REF!</definedName>
    <definedName name="FDP_183_1_aSrv" hidden="1">#REF!</definedName>
    <definedName name="FDP_184_1_aUrv" hidden="1">#REF!</definedName>
    <definedName name="FDP_185_1_aUrv" hidden="1">#REF!</definedName>
    <definedName name="FDP_186_1_aSrv" hidden="1">#REF!</definedName>
    <definedName name="FDP_187_1_aUrv" hidden="1">#REF!</definedName>
    <definedName name="FDP_188_1_aUrv" hidden="1">#REF!</definedName>
    <definedName name="FDP_189_1_aSrv" hidden="1">#REF!</definedName>
    <definedName name="FDP_19_1_aUrv" hidden="1">#REF!</definedName>
    <definedName name="FDP_190_1_aUrv" hidden="1">#REF!</definedName>
    <definedName name="FDP_191_1_aSrv" hidden="1">#REF!</definedName>
    <definedName name="FDP_192_1_aUrv" hidden="1">#REF!</definedName>
    <definedName name="FDP_193_1_aUrv" hidden="1">#REF!</definedName>
    <definedName name="FDP_194_1_aSrv" hidden="1">#REF!</definedName>
    <definedName name="FDP_195_1_aUrv" hidden="1">#REF!</definedName>
    <definedName name="FDP_196_1_aUrv" hidden="1">#REF!</definedName>
    <definedName name="FDP_197_1_aUrv" hidden="1">#REF!</definedName>
    <definedName name="FDP_198_1_aUrv" hidden="1">#REF!</definedName>
    <definedName name="FDP_199_1_aUrv" hidden="1">#REF!</definedName>
    <definedName name="FDP_2_1_aUrv" hidden="1">#REF!</definedName>
    <definedName name="FDP_20_1_aDrv" hidden="1">#REF!</definedName>
    <definedName name="FDP_200_1_aUrv" hidden="1">#REF!</definedName>
    <definedName name="FDP_201_1_aUrv" hidden="1">#REF!</definedName>
    <definedName name="FDP_202_1_aUrv" hidden="1">#REF!</definedName>
    <definedName name="FDP_203_1_aUrv" hidden="1">#REF!</definedName>
    <definedName name="FDP_204_1_aUrv" hidden="1">#REF!</definedName>
    <definedName name="FDP_205_1_aUrv" hidden="1">#REF!</definedName>
    <definedName name="FDP_206_1_aSrv" hidden="1">#REF!</definedName>
    <definedName name="FDP_207_1_aUrv" hidden="1">#REF!</definedName>
    <definedName name="FDP_208_1_aUrv" hidden="1">#REF!</definedName>
    <definedName name="FDP_209_1_aUrv" hidden="1">#REF!</definedName>
    <definedName name="FDP_21_1_aSrv" hidden="1">#REF!</definedName>
    <definedName name="FDP_210_1_aUrv" hidden="1">#REF!</definedName>
    <definedName name="FDP_211_1_aUrv" hidden="1">#REF!</definedName>
    <definedName name="FDP_212_1_aUrv" hidden="1">#REF!</definedName>
    <definedName name="FDP_213_1_aUrv" hidden="1">#REF!</definedName>
    <definedName name="FDP_214_1_aUrv" hidden="1">#REF!</definedName>
    <definedName name="FDP_215_1_aUrv" hidden="1">#REF!</definedName>
    <definedName name="FDP_216_1_aUrv" hidden="1">#REF!</definedName>
    <definedName name="FDP_217_1_aUrv" hidden="1">#REF!</definedName>
    <definedName name="FDP_218_1_aUrv" hidden="1">#REF!</definedName>
    <definedName name="FDP_219_1_aUrv" hidden="1">#REF!</definedName>
    <definedName name="FDP_22_1_aSrv" hidden="1">#REF!</definedName>
    <definedName name="FDP_220_1_aUrv" hidden="1">#REF!</definedName>
    <definedName name="FDP_221_1_aUrv" hidden="1">#REF!</definedName>
    <definedName name="FDP_222_1_aUrv" hidden="1">#REF!</definedName>
    <definedName name="FDP_223_1_aUrv" hidden="1">#REF!</definedName>
    <definedName name="FDP_224_1_aUrv" hidden="1">#REF!</definedName>
    <definedName name="FDP_225_1_aSrv" hidden="1">#REF!</definedName>
    <definedName name="FDP_226_1_aUrv" hidden="1">#REF!</definedName>
    <definedName name="FDP_227_1_aUrv" hidden="1">#REF!</definedName>
    <definedName name="FDP_228_1_aUrv" hidden="1">#REF!</definedName>
    <definedName name="FDP_229_1_aUrv" hidden="1">#REF!</definedName>
    <definedName name="FDP_23_1_aUrv" hidden="1">#REF!</definedName>
    <definedName name="FDP_230_1_aUrv" hidden="1">#REF!</definedName>
    <definedName name="FDP_231_1_aUrv" hidden="1">#REF!</definedName>
    <definedName name="FDP_232_1_aUrv" hidden="1">#REF!</definedName>
    <definedName name="FDP_233_1_aUrv" hidden="1">#REF!</definedName>
    <definedName name="FDP_234_1_aSrv" hidden="1">#REF!</definedName>
    <definedName name="FDP_235_1_aSrv" hidden="1">#REF!</definedName>
    <definedName name="FDP_236_1_aSrv" hidden="1">#REF!</definedName>
    <definedName name="FDP_237_1_aSrv" hidden="1">#REF!</definedName>
    <definedName name="FDP_238_1_aSrv" hidden="1">#REF!</definedName>
    <definedName name="FDP_239_1_aSrv" hidden="1">#REF!</definedName>
    <definedName name="FDP_24_1_aUrv" hidden="1">#REF!</definedName>
    <definedName name="FDP_240_1_aSrv" hidden="1">#REF!</definedName>
    <definedName name="FDP_241_1_aSrv" hidden="1">#REF!</definedName>
    <definedName name="FDP_242_1_aS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_1_aU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_1_aUrv" hidden="1">#REF!</definedName>
    <definedName name="FDP_260_1_aSrv" hidden="1">#REF!</definedName>
    <definedName name="FDP_261_1_aSrv" hidden="1">#REF!</definedName>
    <definedName name="FDP_262_1_aSrv" hidden="1">#REF!</definedName>
    <definedName name="FDP_263_1_aSrv" hidden="1">#REF!</definedName>
    <definedName name="FDP_264_1_aSrv" hidden="1">#REF!</definedName>
    <definedName name="FDP_265_1_aSrv" hidden="1">#REF!</definedName>
    <definedName name="FDP_266_1_aSrv" hidden="1">#REF!</definedName>
    <definedName name="FDP_267_1_aSrv" hidden="1">#REF!</definedName>
    <definedName name="FDP_268_1_aSrv" hidden="1">#REF!</definedName>
    <definedName name="FDP_269_1_aSrv" hidden="1">#REF!</definedName>
    <definedName name="FDP_27_1_aUrv" hidden="1">#REF!</definedName>
    <definedName name="FDP_270_1_aSrv" hidden="1">#REF!</definedName>
    <definedName name="FDP_271_1_aSrv" hidden="1">#REF!</definedName>
    <definedName name="FDP_272_1_aSrv" hidden="1">#REF!</definedName>
    <definedName name="FDP_273_1_aSrv" hidden="1">#REF!</definedName>
    <definedName name="FDP_274_1_aSrv" hidden="1">#REF!</definedName>
    <definedName name="FDP_275_1_aSrv" hidden="1">#REF!</definedName>
    <definedName name="FDP_276_1_aSrv" hidden="1">#REF!</definedName>
    <definedName name="FDP_277_1_aSrv" hidden="1">#REF!</definedName>
    <definedName name="FDP_278_1_aSrv" hidden="1">#REF!</definedName>
    <definedName name="FDP_279_1_aS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284_1_aSrv" hidden="1">#REF!</definedName>
    <definedName name="FDP_285_1_aSrv" hidden="1">#REF!</definedName>
    <definedName name="FDP_286_1_aSrv" hidden="1">#REF!</definedName>
    <definedName name="FDP_287_1_aSrv" hidden="1">#REF!</definedName>
    <definedName name="FDP_288_1_aSrv" hidden="1">#REF!</definedName>
    <definedName name="FDP_289_1_aSrv" hidden="1">#REF!</definedName>
    <definedName name="FDP_29_1_aUrv" hidden="1">#REF!</definedName>
    <definedName name="FDP_290_1_aSrv" hidden="1">#REF!</definedName>
    <definedName name="FDP_291_1_aSrv" hidden="1">#REF!</definedName>
    <definedName name="FDP_292_1_aSrv" hidden="1">#REF!</definedName>
    <definedName name="FDP_293_1_aSrv" hidden="1">#REF!</definedName>
    <definedName name="FDP_294_1_aSrv" hidden="1">#REF!</definedName>
    <definedName name="FDP_295_1_aSrv" hidden="1">#REF!</definedName>
    <definedName name="FDP_296_1_aSrv" hidden="1">#REF!</definedName>
    <definedName name="FDP_297_1_aSrv" hidden="1">#REF!</definedName>
    <definedName name="FDP_298_1_aSrv" hidden="1">#REF!</definedName>
    <definedName name="FDP_299_1_aSrv" hidden="1">#REF!</definedName>
    <definedName name="FDP_3_1_aUrv" hidden="1">#REF!</definedName>
    <definedName name="FDP_30_1_aUrv" hidden="1">#REF!</definedName>
    <definedName name="FDP_300_1_aSrv" hidden="1">#REF!</definedName>
    <definedName name="FDP_301_1_aSrv" hidden="1">#REF!</definedName>
    <definedName name="FDP_302_1_aSrv" hidden="1">#REF!</definedName>
    <definedName name="FDP_303_1_aSrv" hidden="1">#REF!</definedName>
    <definedName name="FDP_304_1_aSrv" hidden="1">#REF!</definedName>
    <definedName name="FDP_305_1_aSrv" hidden="1">#REF!</definedName>
    <definedName name="FDP_306_1_aSrv" hidden="1">#REF!</definedName>
    <definedName name="FDP_307_1_aSrv" hidden="1">#REF!</definedName>
    <definedName name="FDP_308_1_aSrv" hidden="1">#REF!</definedName>
    <definedName name="FDP_309_1_aSrv" hidden="1">#REF!</definedName>
    <definedName name="FDP_31_1_aUrv" hidden="1">#REF!</definedName>
    <definedName name="FDP_310_1_aSrv" hidden="1">#REF!</definedName>
    <definedName name="FDP_311_1_aSrv" hidden="1">#REF!</definedName>
    <definedName name="FDP_312_1_aSrv" hidden="1">#REF!</definedName>
    <definedName name="FDP_313_1_aSrv" hidden="1">#REF!</definedName>
    <definedName name="FDP_314_1_aSrv" hidden="1">#REF!</definedName>
    <definedName name="FDP_315_1_aSrv" hidden="1">#REF!</definedName>
    <definedName name="FDP_316_1_aSrv" hidden="1">#REF!</definedName>
    <definedName name="FDP_317_1_aSrv" hidden="1">#REF!</definedName>
    <definedName name="FDP_318_1_aSrv" hidden="1">#REF!</definedName>
    <definedName name="FDP_319_1_aSrv" hidden="1">#REF!</definedName>
    <definedName name="FDP_32_1_aUrv" hidden="1">#REF!</definedName>
    <definedName name="FDP_320_1_aSrv" hidden="1">#REF!</definedName>
    <definedName name="FDP_321_1_aSrv" hidden="1">#REF!</definedName>
    <definedName name="FDP_322_1_aSrv" hidden="1">#REF!</definedName>
    <definedName name="FDP_323_1_aSrv" hidden="1">#REF!</definedName>
    <definedName name="FDP_324_1_aSrv" hidden="1">#REF!</definedName>
    <definedName name="FDP_325_1_aSrv" hidden="1">#REF!</definedName>
    <definedName name="FDP_326_1_aSrv" hidden="1">#REF!</definedName>
    <definedName name="FDP_327_1_aSrv" hidden="1">#REF!</definedName>
    <definedName name="FDP_328_1_aSrv" hidden="1">#REF!</definedName>
    <definedName name="FDP_329_1_aSrv" hidden="1">#REF!</definedName>
    <definedName name="FDP_33_1_aUrv" hidden="1">#REF!</definedName>
    <definedName name="FDP_330_1_aSrv" hidden="1">#REF!</definedName>
    <definedName name="FDP_331_1_aSrv" hidden="1">#REF!</definedName>
    <definedName name="FDP_332_1_aSrv" hidden="1">#REF!</definedName>
    <definedName name="FDP_333_1_aSrv" hidden="1">#REF!</definedName>
    <definedName name="FDP_334_1_aSrv" hidden="1">#REF!</definedName>
    <definedName name="FDP_335_1_aSrv" hidden="1">#REF!</definedName>
    <definedName name="FDP_336_1_aSrv" hidden="1">#REF!</definedName>
    <definedName name="FDP_337_1_aSrv" hidden="1">#REF!</definedName>
    <definedName name="FDP_338_1_aSrv" hidden="1">#REF!</definedName>
    <definedName name="FDP_339_1_aSrv" hidden="1">#REF!</definedName>
    <definedName name="FDP_34_1_aUrv" hidden="1">#REF!</definedName>
    <definedName name="FDP_340_1_aSrv" hidden="1">#REF!</definedName>
    <definedName name="FDP_341_1_aSrv" hidden="1">#REF!</definedName>
    <definedName name="FDP_342_1_aSrv" hidden="1">#REF!</definedName>
    <definedName name="FDP_343_1_aDrv" hidden="1">#REF!</definedName>
    <definedName name="FDP_344_1_aDrv" hidden="1">#REF!</definedName>
    <definedName name="FDP_345_1_aUrv" hidden="1">#REF!</definedName>
    <definedName name="FDP_346_1_aUrv" hidden="1">#REF!</definedName>
    <definedName name="FDP_347_1_aUrv" hidden="1">#REF!</definedName>
    <definedName name="FDP_348_1_aUrv" hidden="1">#REF!</definedName>
    <definedName name="FDP_349_1_aDrv" hidden="1">#REF!</definedName>
    <definedName name="FDP_35_1_aUrv" hidden="1">#REF!</definedName>
    <definedName name="FDP_350_1_aUrv" hidden="1">#REF!</definedName>
    <definedName name="FDP_351_1_aUrv" hidden="1">#REF!</definedName>
    <definedName name="FDP_352_1_aUrv" hidden="1">#REF!</definedName>
    <definedName name="FDP_353_1_aUrv" hidden="1">#REF!</definedName>
    <definedName name="FDP_354_1_aUrv" hidden="1">#REF!</definedName>
    <definedName name="FDP_355_1_aUrv" hidden="1">#REF!</definedName>
    <definedName name="FDP_356_1_aUrv" hidden="1">#REF!</definedName>
    <definedName name="FDP_357_1_aUrv" hidden="1">#REF!</definedName>
    <definedName name="FDP_358_1_aUrv" hidden="1">#REF!</definedName>
    <definedName name="FDP_359_1_aUrv" hidden="1">#REF!</definedName>
    <definedName name="FDP_36_1_aUrv" hidden="1">#REF!</definedName>
    <definedName name="FDP_360_1_aSrv" hidden="1">#REF!</definedName>
    <definedName name="FDP_361_1_aSrv" hidden="1">#REF!</definedName>
    <definedName name="FDP_362_1_aDrv" hidden="1">#REF!</definedName>
    <definedName name="FDP_363_1_aUrv" hidden="1">#REF!</definedName>
    <definedName name="FDP_364_1_aUrv" hidden="1">#REF!</definedName>
    <definedName name="FDP_365_1_aSrv" hidden="1">#REF!</definedName>
    <definedName name="FDP_366_1_aUrv" hidden="1">#REF!</definedName>
    <definedName name="FDP_367_1_aUrv" hidden="1">#REF!</definedName>
    <definedName name="FDP_368_1_aUrv" hidden="1">#REF!</definedName>
    <definedName name="FDP_369_1_aUrv" hidden="1">#REF!</definedName>
    <definedName name="FDP_37_1_aUrv" hidden="1">#REF!</definedName>
    <definedName name="FDP_370_1_aUrv" hidden="1">#REF!</definedName>
    <definedName name="FDP_371_1_aUrv" hidden="1">#REF!</definedName>
    <definedName name="FDP_372_1_aUrv" hidden="1">#REF!</definedName>
    <definedName name="FDP_373_1_aUrv" hidden="1">#REF!</definedName>
    <definedName name="FDP_374_1_aUrv" hidden="1">#REF!</definedName>
    <definedName name="FDP_375_1_aUrv" hidden="1">#REF!</definedName>
    <definedName name="FDP_376_1_aUrv" hidden="1">#REF!</definedName>
    <definedName name="FDP_377_1_aUrv" hidden="1">#REF!</definedName>
    <definedName name="FDP_378_1_aSrv" hidden="1">#REF!</definedName>
    <definedName name="FDP_379_1_aSrv" hidden="1">#REF!</definedName>
    <definedName name="FDP_38_1_aUrv" hidden="1">#REF!</definedName>
    <definedName name="FDP_380_1_aUrv" hidden="1">#REF!</definedName>
    <definedName name="FDP_381_1_aUrv" hidden="1">#REF!</definedName>
    <definedName name="FDP_382_1_aUrv" hidden="1">#REF!</definedName>
    <definedName name="FDP_383_1_aUrv" hidden="1">#REF!</definedName>
    <definedName name="FDP_384_1_aUrv" hidden="1">#REF!</definedName>
    <definedName name="FDP_385_1_aUrv" hidden="1">#REF!</definedName>
    <definedName name="FDP_386_1_aUrv" hidden="1">#REF!</definedName>
    <definedName name="FDP_387_1_aSrv" hidden="1">#REF!</definedName>
    <definedName name="FDP_388_1_aUrv" hidden="1">#REF!</definedName>
    <definedName name="FDP_389_1_aUrv" hidden="1">#REF!</definedName>
    <definedName name="FDP_39_1_aUrv" hidden="1">#REF!</definedName>
    <definedName name="FDP_390_1_aUrv" hidden="1">#REF!</definedName>
    <definedName name="FDP_391_1_aUrv" hidden="1">#REF!</definedName>
    <definedName name="FDP_392_1_aUrv" hidden="1">#REF!</definedName>
    <definedName name="FDP_393_1_aUrv" hidden="1">#REF!</definedName>
    <definedName name="FDP_394_1_aUrv" hidden="1">#REF!</definedName>
    <definedName name="FDP_395_1_aUrv" hidden="1">#REF!</definedName>
    <definedName name="FDP_396_1_aUrv" hidden="1">#REF!</definedName>
    <definedName name="FDP_397_1_aUrv" hidden="1">#REF!</definedName>
    <definedName name="FDP_398_1_aUrv" hidden="1">#REF!</definedName>
    <definedName name="FDP_399_1_aUrv" hidden="1">#REF!</definedName>
    <definedName name="FDP_4_1_aUrv" hidden="1">#REF!</definedName>
    <definedName name="FDP_40_1_aSrv" hidden="1">#REF!</definedName>
    <definedName name="FDP_400_1_aSrv" hidden="1">#REF!</definedName>
    <definedName name="FDP_401_1_aSrv" hidden="1">#REF!</definedName>
    <definedName name="FDP_402_1_aUdv" hidden="1">#REF!</definedName>
    <definedName name="FDP_403_1_aUdv" hidden="1">#REF!</definedName>
    <definedName name="FDP_404_1_aUdv" hidden="1">#REF!</definedName>
    <definedName name="FDP_405_1_aUdv" hidden="1">#REF!</definedName>
    <definedName name="FDP_406_1_aSrv" hidden="1">#REF!</definedName>
    <definedName name="FDP_407_1_aSrv" hidden="1">#REF!</definedName>
    <definedName name="FDP_408_1_aUrv" hidden="1">#REF!</definedName>
    <definedName name="FDP_409_1_aUrv" hidden="1">#REF!</definedName>
    <definedName name="FDP_41_1_aUrv" hidden="1">#REF!</definedName>
    <definedName name="FDP_410_1_aSrv" hidden="1">#REF!</definedName>
    <definedName name="FDP_411_1_aUrv" hidden="1">#REF!</definedName>
    <definedName name="FDP_412_1_aUdv" hidden="1">#REF!</definedName>
    <definedName name="FDP_413_1_aUdv" hidden="1">#REF!</definedName>
    <definedName name="FDP_414_1_aUdv" hidden="1">#REF!</definedName>
    <definedName name="FDP_415_1_aUdv" hidden="1">#REF!</definedName>
    <definedName name="FDP_416_1_aSrv" hidden="1">#REF!</definedName>
    <definedName name="FDP_417_1_aUrv" hidden="1">#REF!</definedName>
    <definedName name="FDP_418_1_aSrv" hidden="1">#REF!</definedName>
    <definedName name="FDP_419_1_aUrv" hidden="1">#REF!</definedName>
    <definedName name="FDP_42_1_aUrv" hidden="1">#REF!</definedName>
    <definedName name="FDP_420_1_aUrv" hidden="1">#REF!</definedName>
    <definedName name="FDP_421_1_aUrv" hidden="1">#REF!</definedName>
    <definedName name="FDP_422_1_aDdv" hidden="1">#REF!</definedName>
    <definedName name="FDP_423_1_aDdv" hidden="1">#REF!</definedName>
    <definedName name="FDP_424_1_aDdv" hidden="1">#REF!</definedName>
    <definedName name="FDP_425_1_aDdv" hidden="1">#REF!</definedName>
    <definedName name="FDP_426_1_aUrv" hidden="1">#REF!</definedName>
    <definedName name="FDP_427_1_aUrv" hidden="1">#REF!</definedName>
    <definedName name="FDP_428_1_aSrv" hidden="1">#REF!</definedName>
    <definedName name="FDP_429_1_aUrv" hidden="1">#REF!</definedName>
    <definedName name="FDP_43_1_aUrv" hidden="1">#REF!</definedName>
    <definedName name="FDP_430_1_aUrv" hidden="1">#REF!</definedName>
    <definedName name="FDP_431_1_aSrv" hidden="1">#REF!</definedName>
    <definedName name="FDP_432_1_aUrv" hidden="1">#REF!</definedName>
    <definedName name="FDP_433_1_aUdv" hidden="1">#REF!</definedName>
    <definedName name="FDP_434_1_aUdv" hidden="1">#REF!</definedName>
    <definedName name="FDP_435_1_aUdv" hidden="1">#REF!</definedName>
    <definedName name="FDP_436_1_aUrv" hidden="1">#REF!</definedName>
    <definedName name="FDP_437_1_aUrv" hidden="1">#REF!</definedName>
    <definedName name="FDP_438_1_aSrv" hidden="1">#REF!</definedName>
    <definedName name="FDP_439_1_aUrv" hidden="1">#REF!</definedName>
    <definedName name="FDP_44_1_aUrv" hidden="1">#REF!</definedName>
    <definedName name="FDP_440_1_aSrv" hidden="1">#REF!</definedName>
    <definedName name="FDP_441_1_aUdv" hidden="1">#REF!</definedName>
    <definedName name="FDP_442_1_aUdv" hidden="1">#REF!</definedName>
    <definedName name="FDP_443_1_aUdv" hidden="1">#REF!</definedName>
    <definedName name="FDP_444_1_aUdv" hidden="1">#REF!</definedName>
    <definedName name="FDP_445_1_aUrv" hidden="1">#REF!</definedName>
    <definedName name="FDP_446_1_aUrv" hidden="1">#REF!</definedName>
    <definedName name="FDP_447_1_aSrv" hidden="1">#REF!</definedName>
    <definedName name="FDP_448_1_aDrv" hidden="1">#REF!</definedName>
    <definedName name="FDP_449_1_aSrv" hidden="1">#REF!</definedName>
    <definedName name="FDP_45_1_aUrv" hidden="1">#REF!</definedName>
    <definedName name="FDP_450_1_aUrv" hidden="1">#REF!</definedName>
    <definedName name="FDP_451_1_aUrv" hidden="1">#REF!</definedName>
    <definedName name="FDP_452_1_aUrv" hidden="1">#REF!</definedName>
    <definedName name="FDP_453_1_aUrv" hidden="1">#REF!</definedName>
    <definedName name="FDP_454_1_aUrv" hidden="1">#REF!</definedName>
    <definedName name="FDP_455_1_aUrv" hidden="1">#REF!</definedName>
    <definedName name="FDP_456_1_aUrv" hidden="1">#REF!</definedName>
    <definedName name="FDP_457_1_aUrv" hidden="1">#REF!</definedName>
    <definedName name="FDP_458_1_aUrv" hidden="1">#REF!</definedName>
    <definedName name="FDP_459_1_aUrv" hidden="1">#REF!</definedName>
    <definedName name="FDP_46_1_aUrv" hidden="1">#REF!</definedName>
    <definedName name="FDP_460_1_aUrv" hidden="1">#REF!</definedName>
    <definedName name="FDP_461_1_aUrv" hidden="1">#REF!</definedName>
    <definedName name="FDP_462_1_aUrv" hidden="1">#REF!</definedName>
    <definedName name="FDP_463_1_aUrv" hidden="1">#REF!</definedName>
    <definedName name="FDP_464_1_aUrv" hidden="1">#REF!</definedName>
    <definedName name="FDP_465_1_aUrv" hidden="1">#REF!</definedName>
    <definedName name="FDP_466_1_aUrv" hidden="1">#REF!</definedName>
    <definedName name="FDP_467_1_aUrv" hidden="1">#REF!</definedName>
    <definedName name="FDP_468_1_aUrv" hidden="1">#REF!</definedName>
    <definedName name="FDP_469_1_aUrv" hidden="1">#REF!</definedName>
    <definedName name="FDP_47_1_aUrv" hidden="1">#REF!</definedName>
    <definedName name="FDP_470_1_aUrv" hidden="1">#REF!</definedName>
    <definedName name="FDP_471_1_aUrv" hidden="1">#REF!</definedName>
    <definedName name="FDP_472_1_aUrv" hidden="1">#REF!</definedName>
    <definedName name="FDP_473_1_aUrv" hidden="1">#REF!</definedName>
    <definedName name="FDP_474_1_aUrv" hidden="1">#REF!</definedName>
    <definedName name="FDP_475_1_aUrv" hidden="1">#REF!</definedName>
    <definedName name="FDP_476_1_aUrv" hidden="1">#REF!</definedName>
    <definedName name="FDP_477_1_aUrv" hidden="1">#REF!</definedName>
    <definedName name="FDP_478_1_aUrv" hidden="1">#REF!</definedName>
    <definedName name="FDP_479_1_aUrv" hidden="1">#REF!</definedName>
    <definedName name="FDP_48_1_aUrv" hidden="1">#REF!</definedName>
    <definedName name="FDP_480_1_aUrv" hidden="1">#REF!</definedName>
    <definedName name="FDP_481_1_aUrv" hidden="1">#REF!</definedName>
    <definedName name="FDP_482_1_aUrv" hidden="1">#REF!</definedName>
    <definedName name="FDP_483_1_aUrv" hidden="1">#REF!</definedName>
    <definedName name="FDP_484_1_aUrv" hidden="1">#REF!</definedName>
    <definedName name="FDP_485_1_aUrv" hidden="1">#REF!</definedName>
    <definedName name="FDP_486_1_aUrv" hidden="1">#REF!</definedName>
    <definedName name="FDP_487_1_aUrv" hidden="1">#REF!</definedName>
    <definedName name="FDP_488_1_aUrv" hidden="1">#REF!</definedName>
    <definedName name="FDP_489_1_aUrv" hidden="1">#REF!</definedName>
    <definedName name="FDP_49_1_aUrv" hidden="1">#REF!</definedName>
    <definedName name="FDP_490_1_aSrv" hidden="1">#REF!</definedName>
    <definedName name="FDP_491_1_aUrv" hidden="1">#REF!</definedName>
    <definedName name="FDP_492_1_aUrv" hidden="1">#REF!</definedName>
    <definedName name="FDP_493_1_aUrv" hidden="1">#REF!</definedName>
    <definedName name="FDP_494_1_aSrv" hidden="1">#REF!</definedName>
    <definedName name="FDP_495_1_aUrv" hidden="1">#REF!</definedName>
    <definedName name="FDP_496_1_aUrv" hidden="1">#REF!</definedName>
    <definedName name="FDP_497_1_aUrv" hidden="1">#REF!</definedName>
    <definedName name="FDP_498_1_aSrv" hidden="1">#REF!</definedName>
    <definedName name="FDP_499_1_aUrv" hidden="1">#REF!</definedName>
    <definedName name="FDP_5_1_aUrv" hidden="1">#REF!</definedName>
    <definedName name="FDP_50_1_aUrv" hidden="1">#REF!</definedName>
    <definedName name="FDP_500_1_aUrv" hidden="1">#REF!</definedName>
    <definedName name="FDP_501_1_aUrv" hidden="1">#REF!</definedName>
    <definedName name="FDP_502_1_aSrv" hidden="1">#REF!</definedName>
    <definedName name="FDP_503_1_aSrv" hidden="1">#REF!</definedName>
    <definedName name="FDP_504_1_aSrv" hidden="1">#REF!</definedName>
    <definedName name="FDP_505_1_aSrv" hidden="1">#REF!</definedName>
    <definedName name="FDP_506_1_aSrv" hidden="1">#REF!</definedName>
    <definedName name="FDP_507_1_aSrv" hidden="1">#REF!</definedName>
    <definedName name="FDP_508_1_aSrv" hidden="1">#REF!</definedName>
    <definedName name="FDP_509_1_aSrv" hidden="1">#REF!</definedName>
    <definedName name="FDP_51_1_aUrv" hidden="1">#REF!</definedName>
    <definedName name="FDP_510_1_aSrv" hidden="1">#REF!</definedName>
    <definedName name="FDP_511_1_aSrv" hidden="1">#REF!</definedName>
    <definedName name="FDP_512_1_aSrv" hidden="1">#REF!</definedName>
    <definedName name="FDP_513_1_aSrv" hidden="1">#REF!</definedName>
    <definedName name="FDP_514_1_aSrv" hidden="1">#REF!</definedName>
    <definedName name="FDP_515_1_aSrv" hidden="1">#REF!</definedName>
    <definedName name="FDP_516_1_aSrv" hidden="1">#REF!</definedName>
    <definedName name="FDP_517_1_aSrv" hidden="1">#REF!</definedName>
    <definedName name="FDP_518_1_aSrv" hidden="1">#REF!</definedName>
    <definedName name="FDP_519_1_aSrv" hidden="1">#REF!</definedName>
    <definedName name="FDP_52_1_aUrv" hidden="1">#REF!</definedName>
    <definedName name="FDP_520_1_aSrv" hidden="1">#REF!</definedName>
    <definedName name="FDP_521_1_aSrv" hidden="1">#REF!</definedName>
    <definedName name="FDP_522_1_aSrv" hidden="1">#REF!</definedName>
    <definedName name="FDP_523_1_aSrv" hidden="1">#REF!</definedName>
    <definedName name="FDP_524_1_aSrv" hidden="1">#REF!</definedName>
    <definedName name="FDP_525_1_aSrv" hidden="1">#REF!</definedName>
    <definedName name="FDP_526_1_aSrv" hidden="1">#REF!</definedName>
    <definedName name="FDP_527_1_aSrv" hidden="1">#REF!</definedName>
    <definedName name="FDP_528_1_aUdv" hidden="1">#REF!</definedName>
    <definedName name="FDP_529_1_aSrv" hidden="1">#REF!</definedName>
    <definedName name="FDP_53_1_aSrv" hidden="1">#REF!</definedName>
    <definedName name="FDP_530_1_aSrv" hidden="1">#REF!</definedName>
    <definedName name="FDP_531_1_aSrv" hidden="1">#REF!</definedName>
    <definedName name="FDP_532_1_aSrv" hidden="1">#REF!</definedName>
    <definedName name="FDP_533_1_aSrv" hidden="1">#REF!</definedName>
    <definedName name="FDP_534_1_aSrv" hidden="1">#REF!</definedName>
    <definedName name="FDP_535_1_aSrv" hidden="1">#REF!</definedName>
    <definedName name="FDP_536_1_aSrv" hidden="1">#REF!</definedName>
    <definedName name="FDP_537_1_aSrv" hidden="1">#REF!</definedName>
    <definedName name="FDP_538_1_aSrv" hidden="1">#REF!</definedName>
    <definedName name="FDP_539_1_aSrv" hidden="1">#REF!</definedName>
    <definedName name="FDP_54_1_aSrv" hidden="1">#REF!</definedName>
    <definedName name="FDP_540_1_aSrv" hidden="1">#REF!</definedName>
    <definedName name="FDP_541_1_aSrv" hidden="1">#REF!</definedName>
    <definedName name="FDP_542_1_aSrv" hidden="1">#REF!</definedName>
    <definedName name="FDP_543_1_aSrv" hidden="1">#REF!</definedName>
    <definedName name="FDP_544_1_aSrv" hidden="1">#REF!</definedName>
    <definedName name="FDP_545_1_aSrv" hidden="1">#REF!</definedName>
    <definedName name="FDP_546_1_aSrv" hidden="1">#REF!</definedName>
    <definedName name="FDP_547_1_aSrv" hidden="1">#REF!</definedName>
    <definedName name="FDP_548_1_aSrv" hidden="1">#REF!</definedName>
    <definedName name="FDP_549_1_aSrv" hidden="1">#REF!</definedName>
    <definedName name="FDP_55_1_aUrv" hidden="1">#REF!</definedName>
    <definedName name="FDP_550_1_aSrv" hidden="1">#REF!</definedName>
    <definedName name="FDP_551_1_aSrv" hidden="1">#REF!</definedName>
    <definedName name="FDP_552_1_aSrv" hidden="1">#REF!</definedName>
    <definedName name="FDP_553_1_aSrv" hidden="1">#REF!</definedName>
    <definedName name="FDP_554_1_aSrv" hidden="1">#REF!</definedName>
    <definedName name="FDP_555_1_aSrv" hidden="1">#REF!</definedName>
    <definedName name="FDP_556_1_aSrv" hidden="1">#REF!</definedName>
    <definedName name="FDP_557_1_aSrv" hidden="1">#REF!</definedName>
    <definedName name="FDP_558_1_aSrv" hidden="1">#REF!</definedName>
    <definedName name="FDP_559_1_aSrv" hidden="1">#REF!</definedName>
    <definedName name="FDP_56_1_aUrv" hidden="1">#REF!</definedName>
    <definedName name="FDP_560_1_aSrv" hidden="1">#REF!</definedName>
    <definedName name="FDP_561_1_aSrv" hidden="1">#REF!</definedName>
    <definedName name="FDP_562_1_aSrv" hidden="1">#REF!</definedName>
    <definedName name="FDP_563_1_aSrv" hidden="1">#REF!</definedName>
    <definedName name="FDP_564_1_aSrv" hidden="1">#REF!</definedName>
    <definedName name="FDP_565_1_aSrv" hidden="1">#REF!</definedName>
    <definedName name="FDP_566_1_aSrv" hidden="1">#REF!</definedName>
    <definedName name="FDP_567_1_aSrv" hidden="1">#REF!</definedName>
    <definedName name="FDP_568_1_aSrv" hidden="1">#REF!</definedName>
    <definedName name="FDP_569_1_aSrv" hidden="1">#REF!</definedName>
    <definedName name="FDP_57_1_aUrv" hidden="1">#REF!</definedName>
    <definedName name="FDP_570_1_aSrv" hidden="1">#REF!</definedName>
    <definedName name="FDP_571_1_aSrv" hidden="1">#REF!</definedName>
    <definedName name="FDP_572_1_aSrv" hidden="1">#REF!</definedName>
    <definedName name="FDP_573_1_aSrv" hidden="1">#REF!</definedName>
    <definedName name="FDP_574_1_aSrv" hidden="1">#REF!</definedName>
    <definedName name="FDP_575_1_aSrv" hidden="1">#REF!</definedName>
    <definedName name="FDP_576_1_aSrv" hidden="1">#REF!</definedName>
    <definedName name="FDP_577_1_aSrv" hidden="1">#REF!</definedName>
    <definedName name="FDP_578_1_aSrv" hidden="1">#REF!</definedName>
    <definedName name="FDP_579_1_aSrv" hidden="1">#REF!</definedName>
    <definedName name="FDP_58_1_aUrv" hidden="1">#REF!</definedName>
    <definedName name="FDP_580_1_aSrv" hidden="1">#REF!</definedName>
    <definedName name="FDP_581_1_aSrv" hidden="1">#REF!</definedName>
    <definedName name="FDP_582_1_aSrv" hidden="1">#REF!</definedName>
    <definedName name="FDP_583_1_aSrv" hidden="1">#REF!</definedName>
    <definedName name="FDP_584_1_aSrv" hidden="1">#REF!</definedName>
    <definedName name="FDP_585_1_aSrv" hidden="1">#REF!</definedName>
    <definedName name="FDP_586_1_aSrv" hidden="1">#REF!</definedName>
    <definedName name="FDP_587_1_aSrv" hidden="1">#REF!</definedName>
    <definedName name="FDP_588_1_aSrv" hidden="1">#REF!</definedName>
    <definedName name="FDP_589_1_aSrv" hidden="1">#REF!</definedName>
    <definedName name="FDP_59_1_aUrv" hidden="1">#REF!</definedName>
    <definedName name="FDP_590_1_aSrv" hidden="1">#REF!</definedName>
    <definedName name="FDP_591_1_aSrv" hidden="1">#REF!</definedName>
    <definedName name="FDP_592_1_aSrv" hidden="1">#REF!</definedName>
    <definedName name="FDP_593_1_aSrv" hidden="1">#REF!</definedName>
    <definedName name="FDP_594_1_aSrv" hidden="1">#REF!</definedName>
    <definedName name="FDP_595_1_aSrv" hidden="1">#REF!</definedName>
    <definedName name="FDP_596_1_aSrv" hidden="1">#REF!</definedName>
    <definedName name="FDP_597_1_aSrv" hidden="1">#REF!</definedName>
    <definedName name="FDP_598_1_aSrv" hidden="1">#REF!</definedName>
    <definedName name="FDP_599_1_aSrv" hidden="1">#REF!</definedName>
    <definedName name="FDP_6_1_aUrv" hidden="1">#REF!</definedName>
    <definedName name="FDP_60_1_aSrv" hidden="1">#REF!</definedName>
    <definedName name="FDP_600_1_aSrv" hidden="1">#REF!</definedName>
    <definedName name="FDP_601_1_aSrv" hidden="1">#REF!</definedName>
    <definedName name="FDP_602_1_aSrv" hidden="1">#REF!</definedName>
    <definedName name="FDP_603_1_aSrv" hidden="1">#REF!</definedName>
    <definedName name="FDP_604_1_aSrv" hidden="1">#REF!</definedName>
    <definedName name="FDP_605_1_aSrv" hidden="1">#REF!</definedName>
    <definedName name="FDP_606_1_aSrv" hidden="1">#REF!</definedName>
    <definedName name="FDP_607_1_aSrv" hidden="1">#REF!</definedName>
    <definedName name="FDP_608_1_aSrv" hidden="1">#REF!</definedName>
    <definedName name="FDP_609_1_aSrv" hidden="1">#REF!</definedName>
    <definedName name="FDP_61_1_aUrv" hidden="1">#REF!</definedName>
    <definedName name="FDP_610_1_aSrv" hidden="1">#REF!</definedName>
    <definedName name="FDP_611_1_aSrv" hidden="1">#REF!</definedName>
    <definedName name="FDP_612_1_aSrv" hidden="1">#REF!</definedName>
    <definedName name="FDP_613_1_aSrv" hidden="1">#REF!</definedName>
    <definedName name="FDP_614_1_aSrv" hidden="1">#REF!</definedName>
    <definedName name="FDP_615_1_aSrv" hidden="1">#REF!</definedName>
    <definedName name="FDP_616_1_aSrv" hidden="1">#REF!</definedName>
    <definedName name="FDP_617_1_aSrv" hidden="1">#REF!</definedName>
    <definedName name="FDP_618_1_aSrv" hidden="1">#REF!</definedName>
    <definedName name="FDP_619_1_aSrv" hidden="1">#REF!</definedName>
    <definedName name="FDP_62_1_aSrv" hidden="1">#REF!</definedName>
    <definedName name="FDP_620_1_aSrv" hidden="1">#REF!</definedName>
    <definedName name="FDP_621_1_aSrv" hidden="1">#REF!</definedName>
    <definedName name="FDP_622_1_aSrv" hidden="1">#REF!</definedName>
    <definedName name="FDP_623_1_aSrv" hidden="1">#REF!</definedName>
    <definedName name="FDP_624_1_aSrv" hidden="1">#REF!</definedName>
    <definedName name="FDP_625_1_aSrv" hidden="1">#REF!</definedName>
    <definedName name="FDP_626_1_aSrv" hidden="1">#REF!</definedName>
    <definedName name="FDP_627_1_aSrv" hidden="1">#REF!</definedName>
    <definedName name="FDP_63_1_aUrv" hidden="1">#REF!</definedName>
    <definedName name="FDP_64_1_aUrv" hidden="1">#REF!</definedName>
    <definedName name="FDP_65_1_aUrv" hidden="1">#REF!</definedName>
    <definedName name="FDP_66_1_aUrv" hidden="1">#REF!</definedName>
    <definedName name="FDP_67_1_aUrv" hidden="1">#REF!</definedName>
    <definedName name="FDP_68_1_aSrv" hidden="1">#REF!</definedName>
    <definedName name="FDP_69_1_aUrv" hidden="1">#REF!</definedName>
    <definedName name="FDP_7_1_aUrv" hidden="1">#REF!</definedName>
    <definedName name="FDP_7_1_rUrv" hidden="1">#REF!</definedName>
    <definedName name="FDP_70_1_aSrv" hidden="1">#REF!</definedName>
    <definedName name="FDP_71_1_aUrv" hidden="1">#REF!</definedName>
    <definedName name="FDP_72_1_aSrv" hidden="1">#REF!</definedName>
    <definedName name="FDP_73_1_aSrv" hidden="1">#REF!</definedName>
    <definedName name="FDP_74_1_aUrv" hidden="1">#REF!</definedName>
    <definedName name="FDP_75_1_aUrv" hidden="1">#REF!</definedName>
    <definedName name="FDP_76_1_aSrv" hidden="1">#REF!</definedName>
    <definedName name="FDP_77_1_aUrv" hidden="1">#REF!</definedName>
    <definedName name="FDP_78_1_aSrv" hidden="1">#REF!</definedName>
    <definedName name="FDP_79_1_aUrv" hidden="1">#REF!</definedName>
    <definedName name="FDP_8_1_aUrv" hidden="1">#REF!</definedName>
    <definedName name="FDP_80_1_aSrv" hidden="1">#REF!</definedName>
    <definedName name="FDP_81_1_aSrv" hidden="1">#REF!</definedName>
    <definedName name="FDP_82_1_aDrv" hidden="1">#REF!</definedName>
    <definedName name="FDP_83_1_aUrv" hidden="1">#REF!</definedName>
    <definedName name="FDP_84_1_aUrv" hidden="1">#REF!</definedName>
    <definedName name="FDP_85_1_aUrv" hidden="1">#REF!</definedName>
    <definedName name="FDP_86_1_aUrv" hidden="1">#REF!</definedName>
    <definedName name="FDP_87_1_aUrv" hidden="1">#REF!</definedName>
    <definedName name="FDP_88_1_aUrv" hidden="1">#REF!</definedName>
    <definedName name="FDP_89_1_aUrv" hidden="1">#REF!</definedName>
    <definedName name="FDP_9_1_aUrv" hidden="1">#REF!</definedName>
    <definedName name="FDP_90_1_aUrv" hidden="1">#REF!</definedName>
    <definedName name="FDP_91_1_aUrv" hidden="1">#REF!</definedName>
    <definedName name="FDP_92_1_aUrv" hidden="1">#REF!</definedName>
    <definedName name="FDP_93_1_aUrv" hidden="1">#REF!</definedName>
    <definedName name="FDP_94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Drv" hidden="1">#REF!</definedName>
    <definedName name="feew" hidden="1">{"summary",#N/A,FALSE,"2000 vs 1999";"detail",#N/A,FALSE,"2000 vs 1999"}</definedName>
    <definedName name="fefefearq">#REF!</definedName>
    <definedName name="fendyear">#REF!</definedName>
    <definedName name="ff" hidden="1">{"adj95mult",#N/A,FALSE,"COMPCO";"adj95est",#N/A,FALSE,"COMPCO"}</definedName>
    <definedName name="FFAPPCOLNAME1_1">#REF!</definedName>
    <definedName name="FFAPPCOLNAME1_2">#REF!</definedName>
    <definedName name="FFAPPCOLNAME2_1">#REF!</definedName>
    <definedName name="FFAPPCOLNAME2_2">#REF!</definedName>
    <definedName name="FFAPPCOLNAME3_1">#REF!</definedName>
    <definedName name="FFAPPCOLNAME3_2">#REF!</definedName>
    <definedName name="FFAPPCOLNAME4_1">#REF!</definedName>
    <definedName name="FFAPPCOLNAME4_2">#REF!</definedName>
    <definedName name="FFAPPCOLNAME5_1">#REF!</definedName>
    <definedName name="FFAPPCOLNAME5_2">#REF!</definedName>
    <definedName name="FFAPPCOLNAME6_1">#REF!</definedName>
    <definedName name="FFAPPCOLNAME6_2">#REF!</definedName>
    <definedName name="FFAPPCOLNAME7_1">#REF!</definedName>
    <definedName name="FFAPPCOLNAME7_2">#REF!</definedName>
    <definedName name="ffefe" hidden="1">{"adj95mult",#N/A,FALSE,"COMPCO";"adj95est",#N/A,FALSE,"COMPCO"}</definedName>
    <definedName name="fff" hidden="1">{"summary",#N/A,FALSE,"2000 vs 1999";"detail",#N/A,FALSE,"2000 vs 1999"}</definedName>
    <definedName name="fffff">#REF!</definedName>
    <definedName name="ffffffffffff">#REF!</definedName>
    <definedName name="ffffffffffffffff">#REF!</definedName>
    <definedName name="ffffffffffffffffffffffffffffffff">#REF!</definedName>
    <definedName name="ffffffffsd">#REF!</definedName>
    <definedName name="ffgg">#REF!</definedName>
    <definedName name="FFSEGMENT1_1">#REF!</definedName>
    <definedName name="FFSEGMENT1_2">#REF!</definedName>
    <definedName name="FFSEGMENT2_1">#REF!</definedName>
    <definedName name="FFSEGMENT2_2">#REF!</definedName>
    <definedName name="FFSEGMENT3_1">#REF!</definedName>
    <definedName name="FFSEGMENT3_2">#REF!</definedName>
    <definedName name="FFSEGMENT4_1">#REF!</definedName>
    <definedName name="FFSEGMENT4_2">#REF!</definedName>
    <definedName name="FFSEGMENT5_1">#REF!</definedName>
    <definedName name="FFSEGMENT5_2">#REF!</definedName>
    <definedName name="FFSEGMENT6_1">#REF!</definedName>
    <definedName name="FFSEGMENT6_2">#REF!</definedName>
    <definedName name="FFSEGMENT7_1">#REF!</definedName>
    <definedName name="FFSEGMENT7_2">#REF!</definedName>
    <definedName name="FFSEGSEPARATOR1">#REF!</definedName>
    <definedName name="FFSEGSEPARATOR2">#REF!</definedName>
    <definedName name="ffyear">#REF!</definedName>
    <definedName name="fg">#REF!</definedName>
    <definedName name="fgas">#N/A</definedName>
    <definedName name="fgfdfgd" hidden="1">{"summary",#N/A,FALSE,"2000 vs 1999";"detail",#N/A,FALSE,"2000 vs 1999"}</definedName>
    <definedName name="Fia">#REF!</definedName>
    <definedName name="field">0.3951</definedName>
    <definedName name="FIELDNAMECOLUMN1">#REF!</definedName>
    <definedName name="FIELDNAMECOLUMN2">#REF!</definedName>
    <definedName name="FIELDNAMEROW1">#REF!</definedName>
    <definedName name="FIELDNAMEROW2">#REF!</definedName>
    <definedName name="Fig__CAP_ON_TREASURY_ASSETS">#REF!</definedName>
    <definedName name="FIGrwth">#REF!</definedName>
    <definedName name="FILL">#REF!</definedName>
    <definedName name="fina">#REF!</definedName>
    <definedName name="Finance_costs">#REF!</definedName>
    <definedName name="financing">#REF!</definedName>
    <definedName name="FINCriteriaRange">#REF!</definedName>
    <definedName name="FINCriteriaType">1</definedName>
    <definedName name="FINExtractRange">#REF!</definedName>
    <definedName name="FINOptions">"0,0,1,1,1,0,0,-1,0,0,2,0,"</definedName>
    <definedName name="First_Entity">#REF!</definedName>
    <definedName name="FIRSTDATAROW1">#REF!</definedName>
    <definedName name="FIRSTDATAROW2">#REF!</definedName>
    <definedName name="FiscalYear" localSheetId="0">#REF!</definedName>
    <definedName name="FiscalYear">#REF!</definedName>
    <definedName name="five">#REF!</definedName>
    <definedName name="Fixed_assests">#REF!</definedName>
    <definedName name="Fixed_asset_turns">#REF!</definedName>
    <definedName name="Fixed_asset_turns_fore">#REF!</definedName>
    <definedName name="Fixed_line">#REF!</definedName>
    <definedName name="FJFGJJH" hidden="1">{"summary",#N/A,FALSE,"2000 vs 1999";"detail",#N/A,FALSE,"2000 vs 1999"}</definedName>
    <definedName name="fkjaslfnds">#REF!</definedName>
    <definedName name="Flag_index">#REF!</definedName>
    <definedName name="Flag_index_all">#REF!</definedName>
    <definedName name="FNDNAM1">#REF!</definedName>
    <definedName name="FNDNAM2">#REF!</definedName>
    <definedName name="FNDUSERID1">#REF!</definedName>
    <definedName name="FNDUSERID2">#REF!</definedName>
    <definedName name="Footnotes">#REF!</definedName>
    <definedName name="FootwearGP">#REF!</definedName>
    <definedName name="FootwearSales">#REF!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3">#REF!</definedName>
    <definedName name="Foreearn">#REF!</definedName>
    <definedName name="Forex_differences">#REF!</definedName>
    <definedName name="form">#REF!</definedName>
    <definedName name="Form10q_pg1">#REF!</definedName>
    <definedName name="Form10q_pg2">#REF!</definedName>
    <definedName name="Formats">#REF!</definedName>
    <definedName name="ForteDate">OFFSET(#REF!,0,0,COUNTA(#REF!)-2,1)</definedName>
    <definedName name="ForteDisc">OFFSET(#REF!,0,0,COUNTA(#REF!)-5,1)</definedName>
    <definedName name="FortePrice">OFFSET(#REF!,0,0,COUNTA(#REF!)-3,1)</definedName>
    <definedName name="FORTUNE">#REF!</definedName>
    <definedName name="four_lows">#REF!</definedName>
    <definedName name="FR_CODE_COPY_LINK">" "</definedName>
    <definedName name="FR_CODE_DOWNLOAD_START">" "</definedName>
    <definedName name="FR_CODE_STOCK_LINK">" "</definedName>
    <definedName name="FR_COM_ABBR">"0066.HK"</definedName>
    <definedName name="FR_COM_AGG">0</definedName>
    <definedName name="FR_COU_ABBR">"hon"</definedName>
    <definedName name="FR_COU_NAME_LINK">" "</definedName>
    <definedName name="FR_DATABOX_DOWNLOAD">"N"</definedName>
    <definedName name="FR_DISP_HIDDEN">TRUE</definedName>
    <definedName name="FR_END_DATE">"'31 Dec 2001"</definedName>
    <definedName name="FR_LINKS_OVERRUN">TRUE</definedName>
    <definedName name="FR_LOG_END_DATE">"'"</definedName>
    <definedName name="FR_LOG_START_DATE">"'"</definedName>
    <definedName name="FR_PROTECT">"TRUE"</definedName>
    <definedName name="FR_RATIO_ABBR">"VDF_RATIO_BUNDLE"</definedName>
    <definedName name="FR_RATIO_COM_ABBR">"WMI"</definedName>
    <definedName name="FR_RATIO_COU_ABBR">"usa"</definedName>
    <definedName name="FR_RATIO_IGNORE_PROT_FLAG">TRUE</definedName>
    <definedName name="FR_RATIO_RECALC_FLAG">TRUE</definedName>
    <definedName name="FR_REPORT_TYPE">""</definedName>
    <definedName name="FR_RPT_AREA_LINK">" "</definedName>
    <definedName name="FR_RPT_FOOTER_LINK">" "</definedName>
    <definedName name="FR_RPT_HEADER_LINK">" "</definedName>
    <definedName name="FR_RPT_LINE_SPACING">1</definedName>
    <definedName name="FR_RPT_PAGE_BREAK">0</definedName>
    <definedName name="FR_SDS_KEY">1</definedName>
    <definedName name="FR_SHOW_LINK_MARKER">FALSE</definedName>
    <definedName name="FR_START_DATE">"'1 Jan 2001"</definedName>
    <definedName name="FR_SYBASE_SERVER">"PTKFBVDF01"</definedName>
    <definedName name="FR_TEMPLATE_KEY">"98499|1"</definedName>
    <definedName name="FR_USE_BILLIONS">TRUE</definedName>
    <definedName name="FR_USE_DIMFAC">TRUE</definedName>
    <definedName name="FR_USE_LOCAL_CCY">FALSE</definedName>
    <definedName name="FR_USE_SCALE_FLAG">TRUE</definedName>
    <definedName name="FR_WORKBOOK">"K:\Rsh\Natalie\Client &amp; Internal\HSBC\GFM\GFM.xls"</definedName>
    <definedName name="France">#REF!</definedName>
    <definedName name="France_w">#REF!</definedName>
    <definedName name="FranshionDate">OFFSET(#REF!,0,0,COUNTA(#REF!)-156,1)</definedName>
    <definedName name="FranshionDisc">OFFSET(#REF!,0,0,COUNTA(#REF!)-5,1)</definedName>
    <definedName name="FranshionPrice">OFFSET(#REF!,0,0,COUNTA(#REF!)-3,1)</definedName>
    <definedName name="free">#REF!</definedName>
    <definedName name="free_of_charge">#REF!</definedName>
    <definedName name="Freq">#REF!</definedName>
    <definedName name="FREQS">#REF!</definedName>
    <definedName name="FS">#REF!</definedName>
    <definedName name="fsfg" hidden="1">{#N/A,#N/A,FALSE,"summary"}</definedName>
    <definedName name="ft">#REF!</definedName>
    <definedName name="FUNCTIONALCURRENCY1">#REF!</definedName>
    <definedName name="FUNCTIONALCURRENCY2">#REF!</definedName>
    <definedName name="FVPEbank">#REF!</definedName>
    <definedName name="Fx_Col">#REF!</definedName>
    <definedName name="Fx_r">#REF!</definedName>
    <definedName name="fxa">#REF!</definedName>
    <definedName name="fxe">#REF!</definedName>
    <definedName name="fxlookup">#REF!</definedName>
    <definedName name="FY_93">#REF!</definedName>
    <definedName name="FY_94">#REF!</definedName>
    <definedName name="FY_95">#REF!</definedName>
    <definedName name="FY_96">#REF!</definedName>
    <definedName name="FY_97">#REF!</definedName>
    <definedName name="FY00_rate">#REF!</definedName>
    <definedName name="FY01_rate">#REF!</definedName>
    <definedName name="FY02_rate">#REF!</definedName>
    <definedName name="FY1993_">#REF!</definedName>
    <definedName name="FY1994_">#REF!</definedName>
    <definedName name="FY1995_">#REF!</definedName>
    <definedName name="FY1996_">#REF!</definedName>
    <definedName name="FY1997_">#REF!</definedName>
    <definedName name="FY1998_">#REF!</definedName>
    <definedName name="FY1999_">#REF!</definedName>
    <definedName name="FY2000_">#REF!</definedName>
    <definedName name="FY2001_">#REF!</definedName>
    <definedName name="FY2002_">#REF!</definedName>
    <definedName name="FY2003_">#REF!</definedName>
    <definedName name="FY2004_">#REF!</definedName>
    <definedName name="FY2005_">#REF!</definedName>
    <definedName name="FY93_interim">#REF!</definedName>
    <definedName name="FY98_rate">#REF!</definedName>
    <definedName name="FY99_rate">#REF!</definedName>
    <definedName name="fyear">#REF!</definedName>
    <definedName name="fyear2">#REF!</definedName>
    <definedName name="FYROW1">#REF!</definedName>
    <definedName name="g">#REF!</definedName>
    <definedName name="galfaejf">#REF!</definedName>
    <definedName name="gbpnew">#REF!</definedName>
    <definedName name="gbpold">#REF!</definedName>
    <definedName name="gc">#REF!</definedName>
    <definedName name="gdk" hidden="1">#REF!</definedName>
    <definedName name="GDZC">#REF!</definedName>
    <definedName name="gdzch">#REF!</definedName>
    <definedName name="general" hidden="1">#REF!</definedName>
    <definedName name="GEOG">#REF!</definedName>
    <definedName name="george1">#REF!</definedName>
    <definedName name="george2">#REF!</definedName>
    <definedName name="Germany">#REF!</definedName>
    <definedName name="Germany_w">#REF!</definedName>
    <definedName name="gfegawe">#REF!</definedName>
    <definedName name="gg" hidden="1">{#N/A,#N/A,FALSE,"UNIT";#N/A,#N/A,FALSE,"UNIT";#N/A,#N/A,FALSE,"계정"}</definedName>
    <definedName name="ggg">#REF!</definedName>
    <definedName name="ggggg" hidden="1">{"summary",#N/A,FALSE,"2000 vs 1999";"detail",#N/A,FALSE,"2000 vs 1999"}</definedName>
    <definedName name="ggggggggggggg" hidden="1">{"Ergebnisbericht_UBA",#N/A,FALSE,"MB"}</definedName>
    <definedName name="ghjkghk">#REF!</definedName>
    <definedName name="Global_Tables">#REF!,#REF!,#REF!</definedName>
    <definedName name="gls_ACT_EST_ROW" hidden="1">#REF!</definedName>
    <definedName name="gls_ACT_FORM_OFFSET" hidden="1">#REF!</definedName>
    <definedName name="gls_ADMIN" hidden="1">#REF!</definedName>
    <definedName name="gls_ALLOW_BOTH_PC" hidden="1">#REF!</definedName>
    <definedName name="gls_ALLOW_PARENT_OR_CONSOLIDATED" hidden="1">#REF!</definedName>
    <definedName name="gls_ALLOW_PUBLISH" hidden="1">#REF!</definedName>
    <definedName name="gls_AnalystEmpNoHeading" hidden="1">#REF!</definedName>
    <definedName name="gls_AnalystNameHeading" hidden="1">#REF!</definedName>
    <definedName name="gls_CF_BEGINS" hidden="1">#REF!</definedName>
    <definedName name="gls_CFD_CHANGEACT" hidden="1">#REF!</definedName>
    <definedName name="gls_CFD_CHANGEEST" hidden="1">#REF!</definedName>
    <definedName name="gls_CFD_FIRSTAVAIL" hidden="1">#REF!</definedName>
    <definedName name="gls_CFD_LISTAVAIL" hidden="1">#REF!</definedName>
    <definedName name="gls_CFD_SELECTED" hidden="1">#REF!</definedName>
    <definedName name="gls_CHANGED_NAMES" hidden="1">#REF!</definedName>
    <definedName name="gls_CHG_KEY_USER" hidden="1">#REF!</definedName>
    <definedName name="gls_CHG_SEL_ONLY" hidden="1">#REF!</definedName>
    <definedName name="gls_COMPANY_WORKBOOK_ID" hidden="1">#REF!</definedName>
    <definedName name="gls_DELETED_PERIODS" hidden="1">#REF!</definedName>
    <definedName name="gls_EST_FORM_OFFSET" hidden="1">#REF!</definedName>
    <definedName name="gls_EXC_NOT_EXT" hidden="1">#REF!</definedName>
    <definedName name="gls_EXISTING_PERIODS" hidden="1">#REF!</definedName>
    <definedName name="gls_EXT_BELOW_PBT" hidden="1">#REF!</definedName>
    <definedName name="gls_EXT_LINK_GLOSS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AdditionalInfo" hidden="1">#REF!</definedName>
    <definedName name="gls_GenComments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EPSComment" hidden="1">#REF!</definedName>
    <definedName name="gls_GenHomeRegion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NoteComment" hidden="1">#REF!</definedName>
    <definedName name="gls_GenProfile" hidden="1">#REF!</definedName>
    <definedName name="gls_GenRecComment" hidden="1">#REF!</definedName>
    <definedName name="gls_GenSaleslineInfo" hidden="1">#REF!</definedName>
    <definedName name="gls_GenSalesSplitByRegion" hidden="1">#REF!</definedName>
    <definedName name="gls_GenSalesSplitHeading" hidden="1">#REF!</definedName>
    <definedName name="gls_GenSheetVersion" hidden="1">#REF!</definedName>
    <definedName name="gls_genStockCore" hidden="1">#REF!</definedName>
    <definedName name="gls_genStockRec" hidden="1">#REF!</definedName>
    <definedName name="gls_GLOSS_MONTHS" hidden="1">#REF!</definedName>
    <definedName name="gls_GW_IN" hidden="1">#REF!</definedName>
    <definedName name="gls_IIAA_IN" hidden="1">#REF!</definedName>
    <definedName name="gls_InterimValue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LANGUAGE" hidden="1">#REF!</definedName>
    <definedName name="gls_NEXT_PK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PROFILE_NAME" hidden="1">#REF!</definedName>
    <definedName name="gls_SASS5HistEPSGrowth" hidden="1">#REF!</definedName>
    <definedName name="gls_SASS5ProjEPSGrowth" hidden="1">#REF!</definedName>
    <definedName name="gls_SASSDirectorHoldings" hidden="1">#REF!</definedName>
    <definedName name="gls_SASSEPS45AGR" hidden="1">#REF!</definedName>
    <definedName name="gls_SASSIsInterimLastAnnounce" hidden="1">#REF!</definedName>
    <definedName name="gls_SASSLastAnnounce" hidden="1">#REF!</definedName>
    <definedName name="gls_SASSNETDIV45AGR" hidden="1">#REF!</definedName>
    <definedName name="gls_SaveBeforePublish" hidden="1">#REF!</definedName>
    <definedName name="gls_SaveWkbForNewPeriodCode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HOW_CONTROL_VALUE" hidden="1">#REF!</definedName>
    <definedName name="gls_SHOW_KEY_VAL_COLUMN" hidden="1">#REF!</definedName>
    <definedName name="gls_SHOW_KEY_VALUES" hidden="1">#REF!</definedName>
    <definedName name="gls_SHOW_LINKED_ITEMS" hidden="1">#REF!</definedName>
    <definedName name="gls_SHOW_LOCAL_NAMES" hidden="1">#REF!</definedName>
    <definedName name="gls_SHOW_MULTIPLIERS" hidden="1">#REF!</definedName>
    <definedName name="gls_SHOW_PK_COLUMN" hidden="1">#REF!</definedName>
    <definedName name="gls_SHOW_STATUS_INFORMATION" hidden="1">#REF!</definedName>
    <definedName name="gls_SHOW_UNITS" hidden="1">#REF!</definedName>
    <definedName name="gls_SPARE_YEARS" hidden="1">#REF!</definedName>
    <definedName name="gls_SPECIAL_DIALOG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StockTicker" hidden="1">#REF!</definedName>
    <definedName name="gls_TEMP_PERIOD_CODE" hidden="1">#REF!</definedName>
    <definedName name="gls_THISWORKBOOK_NAME" hidden="1">#REF!</definedName>
    <definedName name="gls_UNUSUAL_POS" hidden="1">#REF!</definedName>
    <definedName name="gls_USER_CELL_FORMAT" hidden="1">#REF!</definedName>
    <definedName name="gls_USING_CONSOLIDATED" hidden="1">#REF!</definedName>
    <definedName name="gls_YEAR_AE_CONTROL" hidden="1">#REF!</definedName>
    <definedName name="gls_YEAR_END_ROW" hidden="1">#REF!</definedName>
    <definedName name="gls_YetToRunStartupWizard" hidden="1">#REF!</definedName>
    <definedName name="Goodwill">#REF!</definedName>
    <definedName name="Goodwill_growth_fore">#REF!</definedName>
    <definedName name="gop00">#REF!</definedName>
    <definedName name="Goto_main_page">#REF!</definedName>
    <definedName name="Goto_profit_loss">#REF!</definedName>
    <definedName name="GPY">#N/A</definedName>
    <definedName name="gqegqrgrg">#REF!</definedName>
    <definedName name="gqegqrrg">#REF!</definedName>
    <definedName name="gqgfdga">#REF!</definedName>
    <definedName name="gqgqregqrgr" hidden="1">#REF!</definedName>
    <definedName name="gqgrgr">#REF!</definedName>
    <definedName name="gqgrqgr">#REF!</definedName>
    <definedName name="gqregqregqrgr">#REF!</definedName>
    <definedName name="gqrgergq">#REF!</definedName>
    <definedName name="gqrgrgrg">#REF!</definedName>
    <definedName name="Graph_CoC">OFFSET(#REF!,0,0,1,#REF!)</definedName>
    <definedName name="Graph_Frequency">OFFSET(#REF!,0,MATCH(99.9999,#REF!,-1)-1,1,COUNT(#REF!)-(MATCH(99.9999,#REF!,-1)-1))</definedName>
    <definedName name="Graph_Frequency_Titles">OFFSET(#REF!,-1,MATCH(99.9999,#REF!,-1)-1,1,COUNT(#REF!)-(MATCH(99.9999,#REF!,-1)-1))</definedName>
    <definedName name="Graph_MarginalROE">OFFSET(#REF!,0,0,1,#REF!)</definedName>
    <definedName name="Graph_Phase">OFFSET(#REF!,0,0,1,#REF!)</definedName>
    <definedName name="Graph_PVRI">OFFSET(#REF!,0,0,1,#REF!)</definedName>
    <definedName name="Graph_ROE">OFFSET(#REF!,0,0,1,#REF!)</definedName>
    <definedName name="GraphData">#REF!,#REF!</definedName>
    <definedName name="GraphTitle">#REF!</definedName>
    <definedName name="gre" hidden="1">{"summary",#N/A,FALSE,"2000 vs 1999";"detail",#N/A,FALSE,"2000 vs 1999"}</definedName>
    <definedName name="GreentownDate">OFFSET(#REF!,0,0,COUNTA(#REF!)-47,1)</definedName>
    <definedName name="GreentownDisc">OFFSET(#REF!,0,0,COUNTA(#REF!)-5,1)</definedName>
    <definedName name="GreentownPrice">OFFSET(#REF!,0,0,COUNTA(#REF!)-3,1)</definedName>
    <definedName name="grf400_disc">#REF!</definedName>
    <definedName name="grgkfhlsdhfjld" hidden="1">#REF!</definedName>
    <definedName name="Gross_Attributable_Rental_Growth">#REF!</definedName>
    <definedName name="Gross_Capex">#REF!</definedName>
    <definedName name="Gross_inc_growth">#REF!</definedName>
    <definedName name="Gross_income">#REF!</definedName>
    <definedName name="Gross_income_fore">#REF!</definedName>
    <definedName name="Gross_income_growth_avg">#REF!</definedName>
    <definedName name="Gross_margin_fore">#REF!</definedName>
    <definedName name="Group">#REF!</definedName>
    <definedName name="group_offsets">#REF!</definedName>
    <definedName name="Growth">#REF!</definedName>
    <definedName name="Growth_97">#REF!</definedName>
    <definedName name="Growth_98">#REF!</definedName>
    <definedName name="Growth_99">#REF!</definedName>
    <definedName name="growth_margin">#REF!=#REF!</definedName>
    <definedName name="grqgqrg">#REF!</definedName>
    <definedName name="grr">"31/12/"&amp;LEFT(dc,4)-1</definedName>
    <definedName name="GS_Camelot">#REF!</definedName>
    <definedName name="GSCAMELOT">#REF!</definedName>
    <definedName name="GSEstAnnlNOI">#REF!</definedName>
    <definedName name="GST_TOTAL">#REF!</definedName>
    <definedName name="GT_BP_Allocations">#REF!</definedName>
    <definedName name="GT_BP_Sales_Profit">#REF!</definedName>
    <definedName name="guiyang">#REF!</definedName>
    <definedName name="gwgrtth">#REF!</definedName>
    <definedName name="gwn">#REF!</definedName>
    <definedName name="GWYUID1">#REF!</definedName>
    <definedName name="GWYUID2">#REF!</definedName>
    <definedName name="gx550_disc">#REF!</definedName>
    <definedName name="gy" hidden="1">{#N/A,#N/A,FALSE,"Ocean";#N/A,#N/A,FALSE,"NewYork";#N/A,#N/A,FALSE,"Gateway";#N/A,#N/A,FALSE,"GVH";#N/A,#N/A,FALSE,"GVM";#N/A,#N/A,FALSE,"GVT"}</definedName>
    <definedName name="GZDate">OFFSET(#REF!,0,0,COUNTA(#REF!),1)</definedName>
    <definedName name="GZF">#REF!</definedName>
    <definedName name="GZGFA">OFFSET(#REF!,0,0,COUNTA(#REF!)-1,1)</definedName>
    <definedName name="GZI">#REF!</definedName>
    <definedName name="GZPrice">OFFSET(#REF!,0,0,COUNTA(#REF!)-1,1)</definedName>
    <definedName name="h">#REF!</definedName>
    <definedName name="H2.1">#REF!</definedName>
    <definedName name="H2.2">#REF!</definedName>
    <definedName name="H2.3">#REF!</definedName>
    <definedName name="H3.1">#REF!</definedName>
    <definedName name="H3.2">#REF!</definedName>
    <definedName name="H6.4">#REF!</definedName>
    <definedName name="H6.5">#REF!</definedName>
    <definedName name="H6.6">#REF!</definedName>
    <definedName name="H7.1">#REF!</definedName>
    <definedName name="H7.2">#REF!</definedName>
    <definedName name="H7.3">#REF!</definedName>
    <definedName name="Hamount">#REF!</definedName>
    <definedName name="Handset_revs">#REF!</definedName>
    <definedName name="HANG_LUNG_DEVELOPMENT_SCHEDULE">#REF!</definedName>
    <definedName name="hc">#REF!</definedName>
    <definedName name="Hcomplete">#REF!</definedName>
    <definedName name="HEAD">#REF!</definedName>
    <definedName name="head1">#REF!</definedName>
    <definedName name="HEADER">#REF!</definedName>
    <definedName name="heading">#REF!</definedName>
    <definedName name="Heatmap">"Heatmap"</definedName>
    <definedName name="Hello">#REF!</definedName>
    <definedName name="henry" hidden="1">{#N/A,#N/A,FALSE,"Ocean";#N/A,#N/A,FALSE,"NewYork";#N/A,#N/A,FALSE,"Gateway";#N/A,#N/A,FALSE,"GVH";#N/A,#N/A,FALSE,"GVM";#N/A,#N/A,FALSE,"GVT"}</definedName>
    <definedName name="hh" hidden="1">{#N/A,#N/A,FALSE,"UNIT";#N/A,#N/A,FALSE,"UNIT";#N/A,#N/A,FALSE,"계정"}</definedName>
    <definedName name="hhh" hidden="1">{#N/A,#N/A,TRUE,"Overall";#N/A,#N/A,TRUE,"Region Wise ";#N/A,#N/A,TRUE,"Client Wise"}</definedName>
    <definedName name="hhhhh" hidden="1">{"summary",#N/A,FALSE,"2000 vs 1999";"detail",#N/A,FALSE,"2000 vs 1999"}</definedName>
    <definedName name="highend">#REF!</definedName>
    <definedName name="hij">#REF!</definedName>
    <definedName name="Histogram">"Histogram"</definedName>
    <definedName name="hjh">#REF!</definedName>
    <definedName name="HK">#REF!</definedName>
    <definedName name="HK_sensitivity">#REF!</definedName>
    <definedName name="hkdnew">#REF!</definedName>
    <definedName name="hkdold">#REF!</definedName>
    <definedName name="HKL">#REF!</definedName>
    <definedName name="HLD">#REF!</definedName>
    <definedName name="HLG">#REF!</definedName>
    <definedName name="HLP">#REF!</definedName>
    <definedName name="Holding">#REF!</definedName>
    <definedName name="HOME">#REF!</definedName>
    <definedName name="Horizon_Year">#REF!</definedName>
    <definedName name="Horizon_Year_2">#REF!</definedName>
    <definedName name="housing">#REF!</definedName>
    <definedName name="HPEC">"哈尔滨动力设备股份有限公司"</definedName>
    <definedName name="HS_10">#REF!</definedName>
    <definedName name="HS_11">#REF!</definedName>
    <definedName name="HS_13">#REF!</definedName>
    <definedName name="HS_14">#REF!</definedName>
    <definedName name="HS_15">#REF!</definedName>
    <definedName name="HS_16">#REF!</definedName>
    <definedName name="HS_17">#REF!</definedName>
    <definedName name="HS_18">#REF!</definedName>
    <definedName name="HS_19">#REF!</definedName>
    <definedName name="HS_192">#REF!</definedName>
    <definedName name="HS_2">#REF!</definedName>
    <definedName name="HS_20">#REF!</definedName>
    <definedName name="HS_21">#REF!</definedName>
    <definedName name="HS_22">#REF!</definedName>
    <definedName name="HS_24">#REF!</definedName>
    <definedName name="HS_25">#REF!</definedName>
    <definedName name="HS_26">#REF!</definedName>
    <definedName name="HS_27">#REF!</definedName>
    <definedName name="HS_28">#REF!</definedName>
    <definedName name="HS_291">#REF!</definedName>
    <definedName name="HS_292">#REF!</definedName>
    <definedName name="HS_3">#REF!</definedName>
    <definedName name="HS_30">#REF!</definedName>
    <definedName name="HS_311">#REF!</definedName>
    <definedName name="HS_312">#REF!</definedName>
    <definedName name="HS_4">#REF!</definedName>
    <definedName name="HS_6">#REF!</definedName>
    <definedName name="HS_8">#REF!</definedName>
    <definedName name="HS_9">#REF!</definedName>
    <definedName name="hscurrent">#REF!</definedName>
    <definedName name="hsdhsdh" hidden="1">{#N/A,#N/A,FALSE,"summary"}</definedName>
    <definedName name="hsprevious">#REF!</definedName>
    <definedName name="html">{"'Sheet1'!$A$1:$J$57","'Sheet1'!$F$32:$F$35","'Sheet1'!$F$32:$F$36"}</definedName>
    <definedName name="HTML_CodePage" hidden="1">1252</definedName>
    <definedName name="HTML_Control" hidden="1">{"'Valuation I'!$A$3:$AT$50"}</definedName>
    <definedName name="HTML_Description" hidden="1">""</definedName>
    <definedName name="HTML_Email" hidden="1">""</definedName>
    <definedName name="HTML_Header" hidden="1">"Valuation I"</definedName>
    <definedName name="HTML_LastUpdate" hidden="1">"3/5/2001"</definedName>
    <definedName name="HTML_LineAfter" hidden="1">FALSE</definedName>
    <definedName name="HTML_LineBefore" hidden="1">FALSE</definedName>
    <definedName name="HTML_Name" hidden="1">"Remi Antonini"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"Z:\My Documents\MyHTML.htm"</definedName>
    <definedName name="HTML_PathTemplate" hidden="1">"C:\WINNT\Profiles\Andrew_Mason\Desktop\MyHTML.htm"</definedName>
    <definedName name="HTML_Title" hidden="1">"Real Estate Valuation sheet 010501 remi"</definedName>
    <definedName name="HTML1_1" hidden="1">"[firstpacpg59withformula.xls]Sheet1!$A$1:$G$23"</definedName>
    <definedName name="HTML1_10" hidden="1">""</definedName>
    <definedName name="HTML1_11" hidden="1">1</definedName>
    <definedName name="HTML1_12" hidden="1">"C:\Irasia\mactopc\firstpachk\webpages\page 58 p and l 0713c.htm"</definedName>
    <definedName name="HTML1_2" hidden="1">-4146</definedName>
    <definedName name="HTML1_3" hidden="1">"C:\Irasia\mactopc\firstpachk\webpages\page 58 p and l 0713b.htm"</definedName>
    <definedName name="HTML1_4" hidden="1">"Germany"</definedName>
    <definedName name="HTML1_5" hidden="1">""</definedName>
    <definedName name="HTML1_6" hidden="1">-4146</definedName>
    <definedName name="HTML1_7" hidden="1">-4146</definedName>
    <definedName name="HTML1_8" hidden="1">"8/31/96"</definedName>
    <definedName name="HTML1_9" hidden="1">""</definedName>
    <definedName name="HTML2_1" hidden="1">"[firstpacpg58.xls]Sheet1!$A$1:$F$15"</definedName>
    <definedName name="HTML2_10" hidden="1">""</definedName>
    <definedName name="HTML2_11" hidden="1">1</definedName>
    <definedName name="HTML2_12" hidden="1">"C:\Irasia\mactopc\firstpachk\webpages\page 58 p and l 0713b.htm"</definedName>
    <definedName name="HTML2_2" hidden="1">-4146</definedName>
    <definedName name="HTML2_3" hidden="1">"C:\Irasia\mactopc\firstpachk\webpages\page 58 p and l 0713.htm"</definedName>
    <definedName name="HTML2_4" hidden="1">""</definedName>
    <definedName name="HTML2_5" hidden="1">""</definedName>
    <definedName name="HTML2_6" hidden="1">1</definedName>
    <definedName name="HTML2_7" hidden="1">1</definedName>
    <definedName name="HTML2_8" hidden="1">""</definedName>
    <definedName name="HTML2_9" hidden="1">""</definedName>
    <definedName name="HTML3_1" hidden="1">"'[$Isrs609.xls]Sheet2'!$A$1:$F$66"</definedName>
    <definedName name="HTML3_10">""</definedName>
    <definedName name="HTML3_11">1</definedName>
    <definedName name="HTML3_12">"C:\Web\MyHTML.htm"</definedName>
    <definedName name="HTML3_2">1</definedName>
    <definedName name="HTML3_3">""</definedName>
    <definedName name="HTML3_4">""</definedName>
    <definedName name="HTML3_5">""</definedName>
    <definedName name="HTML3_6">-4146</definedName>
    <definedName name="HTML3_7">-4146</definedName>
    <definedName name="HTML3_8">"11/14/96"</definedName>
    <definedName name="HTML3_9">"Michel Mercier"</definedName>
    <definedName name="HTML4_1" hidden="1">"'[$Isrs609.xls]Sheet2'!$A$1:$D$62"</definedName>
    <definedName name="HTML4_10">""</definedName>
    <definedName name="HTML4_11">1</definedName>
    <definedName name="HTML4_12">"C:\Web\MyHTML.htm"</definedName>
    <definedName name="HTML4_2">1</definedName>
    <definedName name="HTML4_3">""</definedName>
    <definedName name="HTML4_4">"RANKING OF I/S ENTITIES"</definedName>
    <definedName name="HTML4_5">"L indicates a Large Operating Entity with Sales &gt; $150 million
M indicates a Medium Operating Entity with Sales &lt; $150 million
S indicates a Small Operating Entity with Sales &lt; $50 million"</definedName>
    <definedName name="HTML4_6">-4146</definedName>
    <definedName name="HTML4_7">-4146</definedName>
    <definedName name="HTML4_8">"11/14/96"</definedName>
    <definedName name="HTML4_9">"Michel Mercier"</definedName>
    <definedName name="HTML5_1" hidden="1">"'[$Isrs609.xls]Sheet2'!$A$1:$D$66"</definedName>
    <definedName name="HTML5_10">""</definedName>
    <definedName name="HTML5_11">1</definedName>
    <definedName name="HTML5_12">"C:\Web\MyHTML.htm"</definedName>
    <definedName name="HTML5_2">1</definedName>
    <definedName name="HTML5_3">"Ranking IS Entities"</definedName>
    <definedName name="HTML5_4">"RANKING OF I/S ENTITIES"</definedName>
    <definedName name="HTML5_5">""</definedName>
    <definedName name="HTML5_6">1</definedName>
    <definedName name="HTML5_7">1</definedName>
    <definedName name="HTML5_8">"11/14/96"</definedName>
    <definedName name="HTML5_9">"Michel Mercier"</definedName>
    <definedName name="HTML6_1" hidden="1">"'[$Isrs609.xls]Sheet2'!$A$1:$D$65"</definedName>
    <definedName name="HTML6_10">""</definedName>
    <definedName name="HTML6_11">1</definedName>
    <definedName name="HTML6_12">"C:\Web\MyHTML.htm"</definedName>
    <definedName name="HTML6_2">1</definedName>
    <definedName name="HTML6_3">"Ranking IS Entities"</definedName>
    <definedName name="HTML6_4">"RANKING OF I/S ENTITIES"</definedName>
    <definedName name="HTML6_5">""</definedName>
    <definedName name="HTML6_6">-4146</definedName>
    <definedName name="HTML6_7">-4146</definedName>
    <definedName name="HTML6_8">"11/14/96"</definedName>
    <definedName name="HTML6_9">"Michel Mercier"</definedName>
    <definedName name="HTMLCount" hidden="1">1</definedName>
    <definedName name="hu">#REF!</definedName>
    <definedName name="HUI">#REF!</definedName>
    <definedName name="hutch951H">#REF!</definedName>
    <definedName name="hutch952H">#REF!</definedName>
    <definedName name="hutch9602">#REF!</definedName>
    <definedName name="hutch9603">#REF!</definedName>
    <definedName name="hwld" hidden="1">{"Monthly6Q",#N/A,FALSE,"0614ESL"}</definedName>
    <definedName name="HWSheet">1</definedName>
    <definedName name="HYSAN">#REF!</definedName>
    <definedName name="HZ_10">#REF!</definedName>
    <definedName name="HZ_11">#REF!</definedName>
    <definedName name="HZ_13">#REF!</definedName>
    <definedName name="HZ_14">#REF!</definedName>
    <definedName name="HZ_15">#REF!</definedName>
    <definedName name="HZ_16">#REF!</definedName>
    <definedName name="HZ_17">#REF!</definedName>
    <definedName name="HZ_18">#REF!</definedName>
    <definedName name="HZ_19">#REF!</definedName>
    <definedName name="HZ_192">#REF!</definedName>
    <definedName name="HZ_2">#REF!</definedName>
    <definedName name="HZ_20">#REF!</definedName>
    <definedName name="HZ_21">#REF!</definedName>
    <definedName name="HZ_22">#REF!</definedName>
    <definedName name="HZ_24">#REF!</definedName>
    <definedName name="HZ_25">#REF!</definedName>
    <definedName name="HZ_26">#REF!</definedName>
    <definedName name="HZ_27">#REF!</definedName>
    <definedName name="HZ_28">#REF!</definedName>
    <definedName name="HZ_291">#REF!</definedName>
    <definedName name="HZ_292">#REF!</definedName>
    <definedName name="HZ_3">#REF!</definedName>
    <definedName name="HZ_30">#REF!</definedName>
    <definedName name="HZ_311">#REF!</definedName>
    <definedName name="HZ_312">#REF!</definedName>
    <definedName name="HZ_4">#REF!</definedName>
    <definedName name="HZ_6">#REF!</definedName>
    <definedName name="HZ_8">#REF!</definedName>
    <definedName name="HZ_9">#REF!</definedName>
    <definedName name="HZDate">OFFSET(#REF!,0,0,COUNTA(#REF!),1)</definedName>
    <definedName name="HZGFA">OFFSET(#REF!,0,0,COUNTA(#REF!)-1,1)</definedName>
    <definedName name="HZPrice">OFFSET(#REF!,0,0,COUNTA(#REF!)-1,1)</definedName>
    <definedName name="I">#REF!</definedName>
    <definedName name="ian">#REF!</definedName>
    <definedName name="IB">#REF!</definedName>
    <definedName name="IB_all">#REF!</definedName>
    <definedName name="ibc">#REF!</definedName>
    <definedName name="ibf">#REF!</definedName>
    <definedName name="IC_1">#REF!</definedName>
    <definedName name="IC_2">#REF!</definedName>
    <definedName name="IC_P">#REF!</definedName>
    <definedName name="IC_P1">#REF!</definedName>
    <definedName name="IC_P2">#REF!</definedName>
    <definedName name="IC_P3">#REF!</definedName>
    <definedName name="icd">#REF!</definedName>
    <definedName name="ICP">0</definedName>
    <definedName name="ict">#REF!</definedName>
    <definedName name="icu">#REF!</definedName>
    <definedName name="ida">#REF!</definedName>
    <definedName name="idrnew">#REF!</definedName>
    <definedName name="idrold">#REF!</definedName>
    <definedName name="iex">#REF!</definedName>
    <definedName name="ifd">#REF!</definedName>
    <definedName name="iff">#REF!</definedName>
    <definedName name="ifl">#REF!</definedName>
    <definedName name="ifn">#REF!</definedName>
    <definedName name="ifo">#REF!</definedName>
    <definedName name="IFRS">#REF!</definedName>
    <definedName name="ifsl">#REF!</definedName>
    <definedName name="ihd">#REF!</definedName>
    <definedName name="iii" hidden="1">{#N/A,#N/A,TRUE,"Overall";#N/A,#N/A,TRUE,"Region Wise ";#N/A,#N/A,TRUE,"Client Wise"}</definedName>
    <definedName name="IIT">#REF!</definedName>
    <definedName name="ime">#REF!</definedName>
    <definedName name="Img_Charts" hidden="1">"IMG_10"</definedName>
    <definedName name="Img_ML_1c3d1n6n" hidden="1">"IMG_10"</definedName>
    <definedName name="Img_ML_1e1k9n5y" hidden="1">"IMG_10"</definedName>
    <definedName name="Img_ML_1k4g9u7k" hidden="1">"IMG_18"</definedName>
    <definedName name="Img_ML_1t5s6u1f" hidden="1">"IMG_10"</definedName>
    <definedName name="Img_ML_1y7a6c1t" hidden="1">"IMG_11"</definedName>
    <definedName name="Img_ML_2b2b8h8h" hidden="1">"IMG_12"</definedName>
    <definedName name="Img_ML_2b5e9i4d" hidden="1">"IMG_4"</definedName>
    <definedName name="Img_ML_2e1r5p2m" hidden="1">"IMG_18"</definedName>
    <definedName name="Img_ML_2i4d6c2r" hidden="1">"IMG_11"</definedName>
    <definedName name="Img_ML_2j4h5d5y" hidden="1">"IMG_11"</definedName>
    <definedName name="Img_ML_2j6i5k6b" hidden="1">"IMG_18"</definedName>
    <definedName name="Img_ML_2m9t4m5q" hidden="1">"IMG_10"</definedName>
    <definedName name="Img_ML_2x1b8j5c" hidden="1">"IMG_10"</definedName>
    <definedName name="Img_ML_3b3j3x9k" hidden="1">"IMG_11"</definedName>
    <definedName name="Img_ML_3b5m6a3d" hidden="1">"IMG_18"</definedName>
    <definedName name="Img_ML_3c6e9c4g" hidden="1">"IMG_18"</definedName>
    <definedName name="Img_ML_3c7g1a7g" hidden="1">"IMG_12"</definedName>
    <definedName name="Img_ML_3e2q4k7i" hidden="1">"IMG_11"</definedName>
    <definedName name="Img_ML_3h2n3p4v" hidden="1">"IMG_10"</definedName>
    <definedName name="Img_ML_3p5d9q5j" hidden="1">"IMG_11"</definedName>
    <definedName name="Img_ML_3y1j4m2m" hidden="1">"IMG_18"</definedName>
    <definedName name="Img_ML_4d2b6f6f" hidden="1">"IMG_12"</definedName>
    <definedName name="Img_ML_4k8k7q4x" hidden="1">"IMG_6"</definedName>
    <definedName name="Img_ML_4m3p5r8j" hidden="1">"IMG_18"</definedName>
    <definedName name="Img_ML_4s4r5e3c" hidden="1">"IMG_18"</definedName>
    <definedName name="Img_ML_5d3i8b5s" hidden="1">"IMG_18"</definedName>
    <definedName name="Img_ML_5e6f9i8h" hidden="1">"IMG_4"</definedName>
    <definedName name="Img_ML_5e7g5e5e" hidden="1">"IMG_12"</definedName>
    <definedName name="Img_ML_5e7s6t2u" hidden="1">"IMG_6"</definedName>
    <definedName name="Img_ML_5e9m1k3s" hidden="1">"IMG_11"</definedName>
    <definedName name="Img_ML_5f9d1i5x" hidden="1">"IMG_18"</definedName>
    <definedName name="Img_ML_5f9x9u4u" hidden="1">"IMG_6"</definedName>
    <definedName name="Img_ML_5h6q3g8u" hidden="1">"IMG_12"</definedName>
    <definedName name="Img_ML_5k1g6v5e" hidden="1">"IMG_11"</definedName>
    <definedName name="Img_ML_5k7e4n8n" hidden="1">"IMG_18"</definedName>
    <definedName name="Img_ML_5k8u7s9i" hidden="1">"IMG_18"</definedName>
    <definedName name="Img_ML_6a6y1x1h" hidden="1">"IMG_18"</definedName>
    <definedName name="Img_ML_6f2p1m9g" hidden="1">"IMG_11"</definedName>
    <definedName name="Img_ML_6j4v6x5i" hidden="1">"IMG_10"</definedName>
    <definedName name="Img_ML_6p2b6u6k" hidden="1">"IMG_18"</definedName>
    <definedName name="Img_ML_6r9u1n9k" hidden="1">"IMG_18"</definedName>
    <definedName name="Img_ML_6w6m7b7r" hidden="1">"IMG_10"</definedName>
    <definedName name="Img_ML_6y9f7y3n" hidden="1">"IMG_10"</definedName>
    <definedName name="Img_ML_7g4k9d6i" hidden="1">"IMG_10"</definedName>
    <definedName name="Img_ML_7g5e5e2b" hidden="1">"IMG_12"</definedName>
    <definedName name="Img_ML_7m5m4k3b" hidden="1">"IMG_18"</definedName>
    <definedName name="Img_ML_7n6h3t1t" hidden="1">"IMG_18"</definedName>
    <definedName name="Img_ML_7s4w7c6r" hidden="1">"IMG_18"</definedName>
    <definedName name="Img_ML_8b9j5t1p" hidden="1">"IMG_11"</definedName>
    <definedName name="Img_ML_8c2q5i2r" hidden="1">"IMG_18"</definedName>
    <definedName name="Img_ML_8g3e4a7v" hidden="1">"IMG_11"</definedName>
    <definedName name="Img_ML_8h3m3i1m" hidden="1">"IMG_18"</definedName>
    <definedName name="Img_ML_8h5e9i3c" hidden="1">"IMG_12"</definedName>
    <definedName name="Img_ML_8h7g3c9i" hidden="1">"IMG_12"</definedName>
    <definedName name="Img_ML_8h7g4d4d" hidden="1">"IMG_12"</definedName>
    <definedName name="Img_ML_8i9u7w8k" hidden="1">"IMG_18"</definedName>
    <definedName name="Img_ML_8j3w6p4c" hidden="1">"IMG_18"</definedName>
    <definedName name="Img_ML_8r1k8t4y" hidden="1">"IMG_18"</definedName>
    <definedName name="Img_ML_8r9f4n4f" hidden="1">"IMG_18"</definedName>
    <definedName name="Img_ML_8s3q3c1i" hidden="1">"IMG_6"</definedName>
    <definedName name="Img_ML_8t3m5u6f" hidden="1">"IMG_18"</definedName>
    <definedName name="Img_ML_9h6h8h8e" hidden="1">"IMG_18"</definedName>
    <definedName name="Img_ML_9j3t2m3v" hidden="1">"IMG_11"</definedName>
    <definedName name="Img_ML_9n1s4m5f" hidden="1">"IMG_18"</definedName>
    <definedName name="Img_ML_9u2c1d4e" hidden="1">"IMG_11"</definedName>
    <definedName name="Img_ML_9v6s2g1u" hidden="1">"IMG_11"</definedName>
    <definedName name="Img_NAV_chart" hidden="1">"IMG_50"</definedName>
    <definedName name="Img_Office_S_vs_Rental" hidden="1">"IMG_10"</definedName>
    <definedName name="Immediate_Holding_Current">#REF!</definedName>
    <definedName name="Immediate_Holding_Prior">#REF!</definedName>
    <definedName name="Implied_Intrinsic_Value">#REF!</definedName>
    <definedName name="IMPORTDFF1">#REF!</definedName>
    <definedName name="IMPORTDFF2">#REF!</definedName>
    <definedName name="INC">#REF!</definedName>
    <definedName name="Inc_cap_RnD_fore">#REF!</definedName>
    <definedName name="incce">#REF!</definedName>
    <definedName name="income">#REF!</definedName>
    <definedName name="Income_before_taxes">#REF!</definedName>
    <definedName name="Income_equivalents">#REF!</definedName>
    <definedName name="Income_equivalents_fore">#REF!</definedName>
    <definedName name="Income_form_uncons_subs_fore">#REF!</definedName>
    <definedName name="Income_from_Unconsolidated_Subs">#REF!</definedName>
    <definedName name="Income_tax">#REF!</definedName>
    <definedName name="Income_tax_expense__所得税费用">#REF!</definedName>
    <definedName name="Income_tax_fore">#REF!</definedName>
    <definedName name="Income_tax_growth_fore">#REF!</definedName>
    <definedName name="Income_taxes_payable_growth_fore">#REF!</definedName>
    <definedName name="Incr_customer_advance">#REF!</definedName>
    <definedName name="Incr_inventories">#REF!</definedName>
    <definedName name="Incr_payables_creditors">#REF!</definedName>
    <definedName name="Incr_receivables_debtors">#REF!</definedName>
    <definedName name="Increase_cap_RnD_fore">#REF!</definedName>
    <definedName name="Increase_Capitalized_R_D_net">#REF!</definedName>
    <definedName name="Increase_in_other_liabilities">#REF!</definedName>
    <definedName name="Increase_net_other_assets">#REF!</definedName>
    <definedName name="index">#REF!</definedName>
    <definedName name="inm">#REF!</definedName>
    <definedName name="input">#REF!</definedName>
    <definedName name="input_AIRTOUCH">#REF!,#REF!,#REF!,#REF!,#REF!,#REF!,#REF!,#REF!,#REF!,#REF!,#REF!,#REF!,#REF!,#REF!,#REF!</definedName>
    <definedName name="input_BritishTelecom">#REF!,#REF!,#REF!,#REF!,#REF!,#REF!,#REF!,#REF!,#REF!,#REF!,#REF!,#REF!,#REF!,#REF!,#REF!</definedName>
    <definedName name="input_CableWireless">#REF!,#REF!,#REF!,#REF!,#REF!,#REF!,#REF!,#REF!,#REF!,#REF!,#REF!,#REF!,#REF!,#REF!,#REF!</definedName>
    <definedName name="input_CELLNET">#REF!,#REF!,#REF!,#REF!,#REF!,#REF!,#REF!,#REF!,#REF!,#REF!,#REF!,#REF!,#REF!,#REF!,#REF!,#REF!,#REF!,#REF!,#REF!,#REF!,#REF!,#REF!,#REF!,#REF!,#REF!</definedName>
    <definedName name="input_Colt">#REF!,#REF!,#REF!,#REF!,#REF!,#REF!,#REF!,#REF!,#REF!,#REF!,#REF!,#REF!,#REF!,#REF!,#REF!</definedName>
    <definedName name="input_CRK">#REF!,#REF!,#REF!,#REF!,#REF!,#REF!,#REF!,#REF!,#REF!,#REF!,#REF!,#REF!,#REF!,#REF!,#REF!,#REF!,#REF!,#REF!</definedName>
    <definedName name="input_CWComms">#REF!,#REF!,#REF!,#REF!,#REF!,#REF!,#REF!,#REF!,#REF!,#REF!,#REF!,#REF!,#REF!,#REF!,#REF!</definedName>
    <definedName name="input_DeutscheTelekom">#REF!,#REF!,#REF!,#REF!,#REF!,#REF!,#REF!,#REF!,#REF!,#REF!,#REF!,#REF!,#REF!,#REF!,#REF!</definedName>
    <definedName name="input_Energis">#REF!,#REF!,#REF!,#REF!,#REF!,#REF!,#REF!,#REF!,#REF!,#REF!,#REF!,#REF!,#REF!,#REF!,#REF!</definedName>
    <definedName name="input_EQUANT">#REF!,#REF!,#REF!,#REF!,#REF!,#REF!,#REF!,#REF!,#REF!,#REF!,#REF!,#REF!,#REF!,#REF!,#REF!</definedName>
    <definedName name="input_ESPRIT">#REF!,#REF!,#REF!,#REF!,#REF!,#REF!,#REF!,#REF!,#REF!,#REF!,#REF!,#REF!,#REF!,#REF!,#REF!</definedName>
    <definedName name="input_Europolitan">#REF!,#REF!,#REF!,#REF!,#REF!,#REF!,#REF!,#REF!,#REF!,#REF!,#REF!,#REF!,#REF!,#REF!,#REF!</definedName>
    <definedName name="input_FranceTelecom">#REF!,#REF!,#REF!,#REF!,#REF!,#REF!,#REF!,#REF!,#REF!,#REF!,#REF!,#REF!,#REF!,#REF!,#REF!</definedName>
    <definedName name="input_GlobalTeleSystems">#REF!,#REF!,#REF!,#REF!,#REF!,#REF!,#REF!,#REF!,#REF!,#REF!,#REF!,#REF!,#REF!,#REF!,#REF!</definedName>
    <definedName name="input_KPNUSGAAP">#REF!,#REF!,#REF!,#REF!,#REF!,#REF!,#REF!,#REF!,#REF!,#REF!,#REF!,#REF!,#REF!,#REF!,#REF!</definedName>
    <definedName name="input_Mannesmann">#REF!,#REF!,#REF!,#REF!,#REF!,#REF!,#REF!,#REF!,#REF!,#REF!,#REF!,#REF!,#REF!,#REF!,#REF!</definedName>
    <definedName name="input_MATAVUSD">#REF!,#REF!,#REF!,#REF!,#REF!,#REF!,#REF!,#REF!,#REF!,#REF!,#REF!,#REF!,#REF!,#REF!,#REF!</definedName>
    <definedName name="input_Mobistar">#REF!,#REF!,#REF!,#REF!,#REF!,#REF!,#REF!,#REF!,#REF!,#REF!,#REF!,#REF!,#REF!,#REF!,#REF!</definedName>
    <definedName name="input_NETCOMa">#REF!,#REF!,#REF!,#REF!,#REF!,#REF!,#REF!,#REF!,#REF!,#REF!,#REF!,#REF!,#REF!,#REF!,#REF!</definedName>
    <definedName name="input_Olivetti">#REF!,#REF!,#REF!,#REF!,#REF!,#REF!,#REF!,#REF!,#REF!,#REF!,#REF!,#REF!,#REF!,#REF!,#REF!</definedName>
    <definedName name="input_ORANGE">#REF!,#REF!,#REF!,#REF!,#REF!,#REF!,#REF!,#REF!,#REF!,#REF!,#REF!,#REF!,#REF!,#REF!,#REF!</definedName>
    <definedName name="input_OTDUSD">#REF!,#REF!,#REF!,#REF!,#REF!,#REF!,#REF!,#REF!,#REF!,#REF!,#REF!,#REF!,#REF!,#REF!,#REF!</definedName>
    <definedName name="input_PTUSGAAP">#REF!,#REF!,#REF!,#REF!,#REF!,#REF!,#REF!,#REF!,#REF!,#REF!,#REF!,#REF!,#REF!,#REF!,#REF!</definedName>
    <definedName name="input_Sonera">#REF!,#REF!,#REF!,#REF!,#REF!,#REF!,#REF!,#REF!,#REF!,#REF!,#REF!,#REF!,#REF!,#REF!,#REF!</definedName>
    <definedName name="input_SPTUSD">#REF!,#REF!,#REF!,#REF!,#REF!,#REF!,#REF!,#REF!,#REF!,#REF!,#REF!,#REF!,#REF!,#REF!,#REF!</definedName>
    <definedName name="INPUT_StetHallas">#REF!,#REF!,#REF!,#REF!,#REF!,#REF!,#REF!,#REF!,#REF!,#REF!,#REF!,#REF!,#REF!,#REF!,#REF!</definedName>
    <definedName name="input_Swisscom">#REF!,#REF!,#REF!,#REF!,#REF!,#REF!,#REF!,#REF!,#REF!,#REF!,#REF!,#REF!,#REF!,#REF!,#REF!</definedName>
    <definedName name="input_TELECEL">#REF!,#REF!,#REF!,#REF!,#REF!,#REF!,#REF!,#REF!,#REF!,#REF!,#REF!,#REF!,#REF!,#REF!,#REF!</definedName>
    <definedName name="input_TelecomItalia">#REF!,#REF!,#REF!,#REF!,#REF!,#REF!,#REF!,#REF!,#REF!,#REF!,#REF!,#REF!,#REF!,#REF!,#REF!</definedName>
    <definedName name="input_Teledanmark">#REF!,#REF!,#REF!,#REF!,#REF!,#REF!,#REF!,#REF!,#REF!,#REF!,#REF!,#REF!,#REF!,#REF!,#REF!</definedName>
    <definedName name="input_TelefonicaUSGAAP">#REF!,#REF!,#REF!,#REF!,#REF!,#REF!,#REF!,#REF!,#REF!,#REF!,#REF!,#REF!,#REF!,#REF!,#REF!</definedName>
    <definedName name="input_TeleWest">#REF!,#REF!,#REF!,#REF!,#REF!,#REF!,#REF!,#REF!,#REF!,#REF!,#REF!,#REF!,#REF!,#REF!,#REF!</definedName>
    <definedName name="input_TIM">#REF!,#REF!,#REF!,#REF!,#REF!,#REF!,#REF!,#REF!,#REF!,#REF!,#REF!,#REF!,#REF!,#REF!,#REF!</definedName>
    <definedName name="input_VEBA">#REF!,#REF!,#REF!,#REF!,#REF!,#REF!,#REF!,#REF!,#REF!,#REF!,#REF!,#REF!,#REF!,#REF!,#REF!</definedName>
    <definedName name="input_Vivendi">#REF!,#REF!,#REF!,#REF!,#REF!,#REF!,#REF!,#REF!,#REF!,#REF!,#REF!,#REF!,#REF!,#REF!,#REF!</definedName>
    <definedName name="input_Vodafone">#REF!,#REF!,#REF!,#REF!,#REF!,#REF!,#REF!,#REF!,#REF!,#REF!,#REF!,#REF!,#REF!,#REF!,#REF!</definedName>
    <definedName name="INPUTGRID">#REF!</definedName>
    <definedName name="InputPL">#REF!</definedName>
    <definedName name="inrnew">#REF!</definedName>
    <definedName name="inrold">#REF!</definedName>
    <definedName name="INSTAL">#REF!</definedName>
    <definedName name="install_roolingplan">#REF!</definedName>
    <definedName name="installback_list">#REF!</definedName>
    <definedName name="InstallDate">#REF!</definedName>
    <definedName name="Int">#REF!</definedName>
    <definedName name="IntangiblesAmortisation">#REF!</definedName>
    <definedName name="Inter" hidden="1">#REF!</definedName>
    <definedName name="interco">#REF!</definedName>
    <definedName name="Interest">#REF!</definedName>
    <definedName name="interest_01">#REF!</definedName>
    <definedName name="interest_02">#REF!</definedName>
    <definedName name="interest_03">#REF!</definedName>
    <definedName name="interest_97">#REF!</definedName>
    <definedName name="Interest_exp_growth_fore">#REF!</definedName>
    <definedName name="Interest_exp_inc_fore">#REF!</definedName>
    <definedName name="interest_expense">#REF!</definedName>
    <definedName name="Interest_expense_income">#REF!</definedName>
    <definedName name="interest_income">#REF!</definedName>
    <definedName name="Interest_income_bd">#REF!</definedName>
    <definedName name="Interest_on_convertibles___options">#REF!</definedName>
    <definedName name="InterestExp">#REF!</definedName>
    <definedName name="INTLD">#REF!</definedName>
    <definedName name="inv">#REF!</definedName>
    <definedName name="inv_lb">#REF!</definedName>
    <definedName name="inv_print">#REF!</definedName>
    <definedName name="Inventories">#REF!</definedName>
    <definedName name="Inventory_growth_fore">#REF!</definedName>
    <definedName name="Invested_capital">#REF!</definedName>
    <definedName name="Invested_capital_DCF">#REF!</definedName>
    <definedName name="Invested_capital_growth_fore">#REF!</definedName>
    <definedName name="Invested_capital_turns">#REF!</definedName>
    <definedName name="Invested_capital_turns_DCF">#REF!</definedName>
    <definedName name="Invested_capital_turns_fore">#REF!</definedName>
    <definedName name="investing">#REF!</definedName>
    <definedName name="Investment_in_fixed_assets">#REF!</definedName>
    <definedName name="Investment_Intelligence">#REF!</definedName>
    <definedName name="Investments">#REF!</definedName>
    <definedName name="InvoiceNoDetails">"InvoiceDetails[Invoice No]"</definedName>
    <definedName name="ios">#REF!</definedName>
    <definedName name="iouye" hidden="1">#REF!</definedName>
    <definedName name="IP_disc">#REF!</definedName>
    <definedName name="ip1_">#REF!</definedName>
    <definedName name="ip2_">#REF!</definedName>
    <definedName name="ip3_">#REF!</definedName>
    <definedName name="ip4_">#REF!</definedName>
    <definedName name="ip5_">#REF!</definedName>
    <definedName name="ipr">#REF!</definedName>
    <definedName name="ipu">#REF!</definedName>
    <definedName name="ipv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"dvsshoes"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44000.3790625</definedName>
    <definedName name="IQ_NAV_ACT_OR_EST" hidden="1">"c2225"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39120.4035185185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"iQShowAnnual"</definedName>
    <definedName name="irc">#REF!</definedName>
    <definedName name="ire">#REF!</definedName>
    <definedName name="irf">#REF!</definedName>
    <definedName name="irg">#REF!</definedName>
    <definedName name="irp">#REF!</definedName>
    <definedName name="IS">#REF!</definedName>
    <definedName name="is_holdbin">#REF!</definedName>
    <definedName name="is1_">#REF!</definedName>
    <definedName name="is2_">#REF!</definedName>
    <definedName name="is3_">#REF!</definedName>
    <definedName name="is4_">#REF!</definedName>
    <definedName name="is5_">#REF!</definedName>
    <definedName name="isb">#REF!</definedName>
    <definedName name="isc">#REF!</definedName>
    <definedName name="ise">#REF!</definedName>
    <definedName name="isf">#REF!</definedName>
    <definedName name="isi">#REF!</definedName>
    <definedName name="isl">#REF!</definedName>
    <definedName name="ISMethod">1</definedName>
    <definedName name="ISS_DISCOUNT">#REF!</definedName>
    <definedName name="ISS_U">#REF!</definedName>
    <definedName name="ist">#REF!</definedName>
    <definedName name="Italy">#REF!</definedName>
    <definedName name="Italy_w">#REF!</definedName>
    <definedName name="iueoreorioqw" hidden="1">#REF!</definedName>
    <definedName name="iva">#REF!</definedName>
    <definedName name="j" hidden="1">{#N/A,#N/A,FALSE,"inopert";#N/A,#N/A,FALSE,"electrified";#N/A,#N/A,FALSE,"network"}</definedName>
    <definedName name="JD_sports">#REF!</definedName>
    <definedName name="JH">#REF!</definedName>
    <definedName name="jih" hidden="1">#REF!</definedName>
    <definedName name="jim" hidden="1">{"'Directory'!$A$72:$E$91"}</definedName>
    <definedName name="jiuyeoppou" hidden="1">#REF!</definedName>
    <definedName name="JJ">#REF!</definedName>
    <definedName name="jjj" hidden="1">{#N/A,#N/A,TRUE,"Overall";#N/A,#N/A,TRUE,"Region Wise ";#N/A,#N/A,TRUE,"Client Wise"}</definedName>
    <definedName name="JJJJ">#REF!</definedName>
    <definedName name="jjjjj" hidden="1">#REF!</definedName>
    <definedName name="jk" hidden="1">{#N/A,#N/A,FALSE,"inopert";#N/A,#N/A,FALSE,"electrified";#N/A,#N/A,FALSE,"network"}</definedName>
    <definedName name="jkj" hidden="1">{"mult96",#N/A,FALSE,"PETCOMP";"est96",#N/A,FALSE,"PETCOMP";"mult95",#N/A,FALSE,"PETCOMP";"est95",#N/A,FALSE,"PETCOMP";"multltm",#N/A,FALSE,"PETCOMP";"resultltm",#N/A,FALSE,"PETCOMP"}</definedName>
    <definedName name="jlklkjkl">#REF!</definedName>
    <definedName name="jpynew">#REF!</definedName>
    <definedName name="jpyold">#REF!</definedName>
    <definedName name="jsk" hidden="1">{#N/A,#N/A,FALSE,"UNIT";#N/A,#N/A,FALSE,"UNIT";#N/A,#N/A,FALSE,"계정"}</definedName>
    <definedName name="k" hidden="1">#REF!</definedName>
    <definedName name="kajfejfaerf">#REF!</definedName>
    <definedName name="Kd">#REF!</definedName>
    <definedName name="KDC">#REF!</definedName>
    <definedName name="kdjflasd">#REF!</definedName>
    <definedName name="Ke">#REF!</definedName>
    <definedName name="KERP">#REF!</definedName>
    <definedName name="Key_Data">#REF!</definedName>
    <definedName name="KEYY" hidden="1">#REF!</definedName>
    <definedName name="khlfdfadsf">#REF!</definedName>
    <definedName name="kjk">#REF!</definedName>
    <definedName name="kjs" hidden="1">{#N/A,#N/A,FALSE,"UNIT";#N/A,#N/A,FALSE,"UNIT";#N/A,#N/A,FALSE,"계정"}</definedName>
    <definedName name="KK">#REF!</definedName>
    <definedName name="kkk" hidden="1">{#N/A,#N/A,FALSE,"UNIT";#N/A,#N/A,FALSE,"UNIT";#N/A,#N/A,FALSE,"계정"}</definedName>
    <definedName name="kkkk" hidden="1">{#N/A,#N/A,FALSE,"UNIT";#N/A,#N/A,FALSE,"UNIT";#N/A,#N/A,FALSE,"계정"}</definedName>
    <definedName name="kl" hidden="1">{"'Demand Units'!$Z$2:$AF$53"}</definedName>
    <definedName name="kospifxfactor">#REF!</definedName>
    <definedName name="kospinew">#REF!</definedName>
    <definedName name="kospiold">#REF!</definedName>
    <definedName name="kp" hidden="1">{"'Demand Units'!$Z$2:$AF$53"}</definedName>
    <definedName name="kpmg">#REF!</definedName>
    <definedName name="KPMG_2">#REF!</definedName>
    <definedName name="krwnew">#REF!</definedName>
    <definedName name="krwold">#REF!</definedName>
    <definedName name="ksdks">#REF!</definedName>
    <definedName name="KWGDate">OFFSET(#REF!,0,0,COUNTA(#REF!)-109,1)</definedName>
    <definedName name="KWGDisc">OFFSET(#REF!,0,0,COUNTA(#REF!)-5,1)</definedName>
    <definedName name="KWGPrice">OFFSET(#REF!,0,0,COUNTA(#REF!)-3,1)</definedName>
    <definedName name="L">6</definedName>
    <definedName name="L_ALL_0325.HK">#REF!</definedName>
    <definedName name="L_ALL_0494.HK">#REF!</definedName>
    <definedName name="L_ALL_0520.HK">#REF!</definedName>
    <definedName name="L_ALL_0551.HK">#REF!</definedName>
    <definedName name="L_ALL_0551.HK_">#REF!</definedName>
    <definedName name="L_ALL_0787.HK">#REF!</definedName>
    <definedName name="L_ALL_1364.HK">#REF!</definedName>
    <definedName name="L_ALL_1368.HK">#REF!</definedName>
    <definedName name="L_ALL_1579.HK">#REF!</definedName>
    <definedName name="L_ALL_1880.HK">#REF!</definedName>
    <definedName name="L_ALL_1880.HK_">#REF!</definedName>
    <definedName name="L_ALL_2020.HK">#REF!</definedName>
    <definedName name="L_ALL_2097.HK" localSheetId="0">#REF!</definedName>
    <definedName name="L_ALL_2097.HK">#REF!</definedName>
    <definedName name="L_ALL_2150.HK">#REF!</definedName>
    <definedName name="L_ALL_2313.HK">#REF!</definedName>
    <definedName name="L_ALL_2331.HK">#REF!</definedName>
    <definedName name="L_ALL_2723.TW" localSheetId="0">#REF!</definedName>
    <definedName name="L_ALL_2723.TW">#REF!</definedName>
    <definedName name="L_ALL_3813.HK">#REF!</definedName>
    <definedName name="L_ALL_6110.HK">#REF!</definedName>
    <definedName name="L_ALL_6862.HK" localSheetId="0">#REF!</definedName>
    <definedName name="L_ALL_6862.HK">#REF!</definedName>
    <definedName name="L_ALL_9922.HK">#REF!</definedName>
    <definedName name="L_ALL_CMG">#REF!</definedName>
    <definedName name="L_ALL_DNKN">#REF!</definedName>
    <definedName name="L_ALL_KEYWORDS_TYPE_ScalarContributed_EQTY_200002981">#REF!,#REF!</definedName>
    <definedName name="L_ALL_KEYWORDS_TYPE_ScalarContributed_EQTY_200007887">#REF!,#REF!</definedName>
    <definedName name="L_ALL_KEYWORDS_TYPE_ScalarContributed_EQTY_200010679">#REF!,#REF!</definedName>
    <definedName name="L_ALL_KEYWORDS_TYPE_ScalarContributed_EQTY_200010680">#REF!,#REF!</definedName>
    <definedName name="L_ALL_KEYWORDS_TYPE_ScalarContributed_EQTY_200011141">#REF!,#REF!</definedName>
    <definedName name="L_ALL_KEYWORDS_TYPE_ScalarContributed_EQTY_200019863">#REF!,#REF!,#REF!</definedName>
    <definedName name="L_ALL_KEYWORDS_TYPE_ScalarContributed_EQTY_200020904">#REF!,#REF!,#REF!</definedName>
    <definedName name="L_ALL_KEYWORDS_TYPE_ScalarContributed_EQTY_200021884">#REF!,#REF!,#REF!</definedName>
    <definedName name="L_ALL_KEYWORDS_TYPE_ScalarContributed_ISSR_208001031">#REF!,#REF!</definedName>
    <definedName name="L_ALL_KEYWORDS_TYPE_ScalarContributed_ISSR_208006123">#REF!,#REF!</definedName>
    <definedName name="L_ALL_KEYWORDS_TYPE_ScalarContributed_ISSR_208008188">#REF!,#REF!</definedName>
    <definedName name="L_ALL_KEYWORDS_TYPE_ScalarContributed_ISSR_208008530">#REF!,#REF!</definedName>
    <definedName name="L_ALL_KEYWORDS_TYPE_ScalarContributed_ISSR_208018549" localSheetId="0">#REF!,#REF!</definedName>
    <definedName name="L_ALL_KEYWORDS_TYPE_ScalarContributed_ISSR_208018549">#REF!,#REF!</definedName>
    <definedName name="L_ALL_KEYWORDS_TYPE_ScalarContributed_ISSR_208018627">#REF!,#REF!</definedName>
    <definedName name="L_ALL_KEYWORDS_TYPE_ScalarReference_EQTY_200010679">#REF!</definedName>
    <definedName name="L_ALL_KEYWORDS_TYPE_ScalarReference_ISSR_208008187">#REF!</definedName>
    <definedName name="L_ALL_KEYWORDS_TYPE_Vector_EQTY_200002981">#REF!,#REF!,#REF!,#REF!,#REF!</definedName>
    <definedName name="L_ALL_KEYWORDS_TYPE_Vector_EQTY_200007887">#REF!,#REF!,#REF!,#REF!,#REF!</definedName>
    <definedName name="L_ALL_KEYWORDS_TYPE_Vector_EQTY_200010679">#REF!,#REF!,#REF!,#REF!,#REF!</definedName>
    <definedName name="L_ALL_KEYWORDS_TYPE_Vector_EQTY_200010680">#REF!,#REF!,#REF!,#REF!,#REF!</definedName>
    <definedName name="L_ALL_KEYWORDS_TYPE_Vector_EQTY_200011141">#REF!,#REF!,#REF!,#REF!,#REF!</definedName>
    <definedName name="L_ALL_KEYWORDS_TYPE_Vector_EQTY_200019863" localSheetId="0">#REF!,#REF!,#REF!,#REF!,#REF!</definedName>
    <definedName name="L_ALL_KEYWORDS_TYPE_Vector_EQTY_200019863">#REF!,#REF!,#REF!,#REF!,#REF!</definedName>
    <definedName name="L_ALL_KEYWORDS_TYPE_Vector_EQTY_200019898">#REF!,#REF!,#REF!,#REF!,#REF!</definedName>
    <definedName name="L_ALL_KEYWORDS_TYPE_Vector_ISSR_208000417">#REF!,#REF!,#REF!,#REF!,#REF!,#REF!,#REF!,#REF!,#REF!,#REF!,#REF!,#REF!</definedName>
    <definedName name="L_ALL_KEYWORDS_TYPE_Vector_ISSR_208000897">#REF!,#REF!,#REF!,#REF!,#REF!,#REF!,#REF!,#REF!,#REF!,#REF!,#REF!</definedName>
    <definedName name="L_ALL_KEYWORDS_TYPE_Vector_ISSR_208001031">#REF!,#REF!,#REF!,#REF!,#REF!,#REF!,#REF!,#REF!,#REF!,#REF!,#REF!,#REF!,#REF!,#REF!,#REF!</definedName>
    <definedName name="L_ALL_KEYWORDS_TYPE_Vector_ISSR_208006123">#REF!,#REF!,#REF!,#REF!,#REF!,#REF!,#REF!,#REF!,#REF!,#REF!</definedName>
    <definedName name="L_ALL_KEYWORDS_TYPE_Vector_ISSR_208008187">#REF!,#REF!,#REF!,#REF!,#REF!,#REF!,#REF!,#REF!,#REF!</definedName>
    <definedName name="L_ALL_KEYWORDS_TYPE_Vector_ISSR_208008188">#REF!,#REF!,#REF!,#REF!,#REF!,#REF!,#REF!,#REF!,#REF!,#REF!,#REF!,#REF!,#REF!,#REF!,#REF!,#REF!</definedName>
    <definedName name="L_ALL_KEYWORDS_TYPE_Vector_ISSR_208008530">#REF!,#REF!,#REF!,#REF!,#REF!,#REF!,#REF!,#REF!,#REF!,#REF!,#REF!,#REF!,#REF!</definedName>
    <definedName name="L_ALL_KEYWORDS_TYPE_Vector_ISSR_208017184">#REF!,#REF!,#REF!,#REF!,#REF!,#REF!,#REF!,#REF!,#REF!,#REF!,#REF!,#REF!,#REF!</definedName>
    <definedName name="L_ALL_KEYWORDS_TYPE_Vector_ISSR_208018549" localSheetId="0">#REF!,#REF!,#REF!,#REF!,#REF!,#REF!,#REF!,#REF!,#REF!,#REF!,#REF!,#REF!,#REF!,#REF!</definedName>
    <definedName name="L_ALL_KEYWORDS_TYPE_Vector_ISSR_208018549">#REF!,#REF!,#REF!,#REF!,#REF!,#REF!,#REF!,#REF!,#REF!,#REF!,#REF!,#REF!,#REF!,#REF!</definedName>
    <definedName name="L_ALL_KEYWORDS_TYPE_Vector_ISSR_208018627">#REF!,#REF!,#REF!,#REF!,#REF!,#REF!,#REF!,#REF!,#REF!,#REF!,#REF!,#REF!,#REF!,#REF!,#REF!,#REF!,#REF!</definedName>
    <definedName name="L_ALL_MCD">#REF!</definedName>
    <definedName name="L_ALL_MNSO">#REF!</definedName>
    <definedName name="L_ALL_SECTION_KEYWORDS_EQTY_200010679_1314">#REF!</definedName>
    <definedName name="L_ALL_SECTION_KEYWORDS_EQTY_200010679_131E">#REF!</definedName>
    <definedName name="L_ALL_SECTION_KEYWORDS_EQTY_200010679_131O">#REF!</definedName>
    <definedName name="L_ALL_SECTION_KEYWORDS_EQTY_200010679_13A">#REF!</definedName>
    <definedName name="L_ALL_SECTION_KEYWORDS_EQTY_200010679_13K">#REF!</definedName>
    <definedName name="L_ALL_SECTION_KEYWORDS_EQTY_200010679_13U">#REF!</definedName>
    <definedName name="L_ALL_SECTION_KEYWORDS_EQTY_200010679_13V">#REF!</definedName>
    <definedName name="L_ALL_SECTION_KEYWORDS_EQTY_200010679_Reference_Data">#REF!</definedName>
    <definedName name="L_ALL_SECTION_KEYWORDS_ISSR_208000417_131O">#REF!,#REF!</definedName>
    <definedName name="L_ALL_SECTION_KEYWORDS_ISSR_208000897_131O">#REF!,#REF!</definedName>
    <definedName name="L_ALL_SECTION_KEYWORDS_ISSR_208000897_136E">#REF!,#REF!</definedName>
    <definedName name="L_ALL_SECTION_KEYWORDS_ISSR_208001031_136E">#REF!,#REF!</definedName>
    <definedName name="L_ALL_SECTION_KEYWORDS_ISSR_208001031_136J">#REF!,#REF!</definedName>
    <definedName name="L_ALL_SECTION_KEYWORDS_ISSR_208001031_13V">#REF!,#REF!</definedName>
    <definedName name="L_ALL_SECTION_KEYWORDS_ISSR_208006123_136E">#REF!,#REF!</definedName>
    <definedName name="L_ALL_SECTION_KEYWORDS_ISSR_208006123_136J">#REF!,#REF!</definedName>
    <definedName name="L_ALL_SECTION_KEYWORDS_ISSR_208008187_1314">#REF!</definedName>
    <definedName name="L_ALL_SECTION_KEYWORDS_ISSR_208008187_13168">#REF!</definedName>
    <definedName name="L_ALL_SECTION_KEYWORDS_ISSR_208008187_1316S">#REF!</definedName>
    <definedName name="L_ALL_SECTION_KEYWORDS_ISSR_208008187_1316T">#REF!</definedName>
    <definedName name="L_ALL_SECTION_KEYWORDS_ISSR_208008187_1316U">#REF!</definedName>
    <definedName name="L_ALL_SECTION_KEYWORDS_ISSR_208008187_1319">#REF!</definedName>
    <definedName name="L_ALL_SECTION_KEYWORDS_ISSR_208008187_131E">#REF!</definedName>
    <definedName name="L_ALL_SECTION_KEYWORDS_ISSR_208008187_131J">#REF!</definedName>
    <definedName name="L_ALL_SECTION_KEYWORDS_ISSR_208008187_131O">#REF!</definedName>
    <definedName name="L_ALL_SECTION_KEYWORDS_ISSR_208008187_136E">#REF!,#REF!</definedName>
    <definedName name="L_ALL_SECTION_KEYWORDS_ISSR_208008187_136J">#REF!,#REF!</definedName>
    <definedName name="L_ALL_SECTION_KEYWORDS_ISSR_208008187_13U">#REF!</definedName>
    <definedName name="L_ALL_SECTION_KEYWORDS_ISSR_208008187_13V">#REF!</definedName>
    <definedName name="L_ALL_SECTION_KEYWORDS_ISSR_208008187_Reference_Data">#REF!</definedName>
    <definedName name="L_ALL_SECTION_KEYWORDS_ISSR_208008530_136E">#REF!,#REF!</definedName>
    <definedName name="L_ALL_SECTION_KEYWORDS_ISSR_208008530_13V">#REF!,#REF!</definedName>
    <definedName name="L_ALL_SECTION_KEYWORDS_ISSR_208018549_13V" localSheetId="0">#REF!,#REF!</definedName>
    <definedName name="L_ALL_SECTION_KEYWORDS_ISSR_208018549_13V">#REF!,#REF!</definedName>
    <definedName name="L_ALL_SECTION_KEYWORDS_ISSR_208018627_13V">#REF!,#REF!</definedName>
    <definedName name="L_ALL_SECTIONS_EQTY_200002981">#REF!,#REF!,#REF!,#REF!,#REF!,#REF!,#REF!,#REF!</definedName>
    <definedName name="L_ALL_SECTIONS_EQTY_200007887">#REF!,#REF!,#REF!,#REF!,#REF!,#REF!,#REF!,#REF!</definedName>
    <definedName name="L_ALL_SECTIONS_EQTY_200010679">#REF!,#REF!,#REF!,#REF!,#REF!,#REF!,#REF!,#REF!</definedName>
    <definedName name="L_ALL_SECTIONS_EQTY_200010680">#REF!,#REF!,#REF!,#REF!,#REF!,#REF!,#REF!,#REF!</definedName>
    <definedName name="L_ALL_SECTIONS_ISSR_208006123">#REF!,#REF!,#REF!,#REF!,#REF!,#REF!,#REF!,#REF!,#REF!,#REF!</definedName>
    <definedName name="L_ALL_SECTIONS_ISSR_208008188">#REF!,#REF!,#REF!,#REF!,#REF!,#REF!,#REF!,#REF!,#REF!,#REF!</definedName>
    <definedName name="L_ALL_YUM">#REF!</definedName>
    <definedName name="L_ALL_YUMC">#REF!</definedName>
    <definedName name="L_CURRENCY_EQTY_200002981_PRI">#REF!</definedName>
    <definedName name="L_CURRENCY_EQTY_200002981_PUB">#REF!</definedName>
    <definedName name="L_CURRENCY_EQTY_200002981_REP">#REF!</definedName>
    <definedName name="L_CURRENCY_EQTY_200007887_PRI">#REF!</definedName>
    <definedName name="L_CURRENCY_EQTY_200007887_PUB">#REF!</definedName>
    <definedName name="L_CURRENCY_EQTY_200007887_REP">#REF!</definedName>
    <definedName name="L_CURRENCY_EQTY_200010679_PRI">#REF!</definedName>
    <definedName name="L_CURRENCY_EQTY_200010679_PUB">#REF!</definedName>
    <definedName name="L_CURRENCY_EQTY_200010679_REP">#REF!</definedName>
    <definedName name="L_CURRENCY_EQTY_200010680_PRI">#REF!</definedName>
    <definedName name="L_CURRENCY_EQTY_200010680_PUB">#REF!</definedName>
    <definedName name="L_CURRENCY_EQTY_200010680_REP">#REF!</definedName>
    <definedName name="L_CURRENCY_ISSR_208001031_REP">#REF!</definedName>
    <definedName name="L_CURRENCY_ISSR_208006123_REP">#REF!</definedName>
    <definedName name="L_CURRENCY_ISSR_208008187_REP">#REF!</definedName>
    <definedName name="L_CURRENCY_ISSR_208008188_REP">#REF!</definedName>
    <definedName name="L_KEYWORD_EQTY_200010679_AEJ_CONVICTION">#REF!</definedName>
    <definedName name="L_KEYWORD_EQTY_200010679_AEJ_LIST">#REF!</definedName>
    <definedName name="L_KEYWORD_EQTY_200010679_BETA_ANALYST">#REF!</definedName>
    <definedName name="L_KEYWORD_EQTY_200010679_BVPS">#REF!</definedName>
    <definedName name="L_KEYWORD_EQTY_200010679_BVPS_PUB">#REF!</definedName>
    <definedName name="L_KEYWORD_EQTY_200010679_CATALYST1_DATE">#REF!</definedName>
    <definedName name="L_KEYWORD_EQTY_200010679_CATALYST1_EVENT">#REF!</definedName>
    <definedName name="L_KEYWORD_EQTY_200010679_CATALYST2_DATE">#REF!</definedName>
    <definedName name="L_KEYWORD_EQTY_200010679_CATALYST2_EVENT">#REF!</definedName>
    <definedName name="L_KEYWORD_EQTY_200010679_CATALYST3_DATE">#REF!</definedName>
    <definedName name="L_KEYWORD_EQTY_200010679_CATALYST3_EVENT">#REF!</definedName>
    <definedName name="L_KEYWORD_EQTY_200010679_CATALYST4_DATE">#REF!</definedName>
    <definedName name="L_KEYWORD_EQTY_200010679_CATALYST4_EVENT">#REF!</definedName>
    <definedName name="L_KEYWORD_EQTY_200010679_CATALYST5_DATE">#REF!</definedName>
    <definedName name="L_KEYWORD_EQTY_200010679_CATALYST5_EVENT">#REF!</definedName>
    <definedName name="L_KEYWORD_EQTY_200010679_CF_NI_PRE_PREF">#REF!</definedName>
    <definedName name="L_KEYWORD_EQTY_200010679_COMMON_DIV_PAID">#REF!</definedName>
    <definedName name="L_KEYWORD_EQTY_200010679_CURRENCY_ISO">#REF!</definedName>
    <definedName name="L_KEYWORD_EQTY_200010679_DILUTE_SHARES">#REF!</definedName>
    <definedName name="L_KEYWORD_EQTY_200010679_DPS">#REF!</definedName>
    <definedName name="L_KEYWORD_EQTY_200010679_DPS_PUB">#REF!</definedName>
    <definedName name="L_KEYWORD_EQTY_200010679_EBIT_PUB">#REF!</definedName>
    <definedName name="L_KEYWORD_EQTY_200010679_EBITDA_PUB">#REF!</definedName>
    <definedName name="L_KEYWORD_EQTY_200010679_EPS">#REF!</definedName>
    <definedName name="L_KEYWORD_EQTY_200010679_EPS_CONS_PUB">#REF!</definedName>
    <definedName name="L_KEYWORD_EQTY_200010679_EPS_FUL_DIL">#REF!</definedName>
    <definedName name="L_KEYWORD_EQTY_200010679_EPS_POST_BASIC">#REF!</definedName>
    <definedName name="L_KEYWORD_EQTY_200010679_EPS_PUB">#REF!</definedName>
    <definedName name="L_KEYWORD_EQTY_200010679_EQ_PUB">#REF!</definedName>
    <definedName name="L_KEYWORD_EQTY_200010679_EV_ADJ_PUB">#REF!</definedName>
    <definedName name="L_KEYWORD_EQTY_200010679_FOREIGN_HOLDNG">#REF!</definedName>
    <definedName name="L_KEYWORD_EQTY_200010679_FREE_FLOAT">#REF!</definedName>
    <definedName name="L_KEYWORD_EQTY_200010679_FULLY_DIL_EPS">#REF!</definedName>
    <definedName name="L_KEYWORD_EQTY_200010679_INC_MINORITY">#REF!</definedName>
    <definedName name="L_KEYWORD_EQTY_200010679_Interim_Type">#REF!</definedName>
    <definedName name="L_KEYWORD_EQTY_200010679_LEGAL_RATING">#REF!</definedName>
    <definedName name="L_KEYWORD_EQTY_200010679_MARGIN_TAX_RATE">#REF!</definedName>
    <definedName name="L_KEYWORD_EQTY_200010679_MKT_EQ_RISK_PREM">#REF!</definedName>
    <definedName name="L_KEYWORD_EQTY_200010679_NET_DEBT_PUB">#REF!</definedName>
    <definedName name="L_KEYWORD_EQTY_200010679_NET_EARNING">#REF!</definedName>
    <definedName name="L_KEYWORD_EQTY_200010679_NET_INC">#REF!</definedName>
    <definedName name="L_KEYWORD_EQTY_200010679_NI_CONS">#REF!</definedName>
    <definedName name="L_KEYWORD_EQTY_200010679_NI_PRE_PREF">#REF!</definedName>
    <definedName name="L_KEYWORD_EQTY_200010679_NI_PUB">#REF!</definedName>
    <definedName name="L_KEYWORD_EQTY_200010679_NON_OP_ADD">#REF!</definedName>
    <definedName name="L_KEYWORD_EQTY_200010679_NUM_SH">#REF!</definedName>
    <definedName name="L_KEYWORD_EQTY_200010679_PREF_DIV">#REF!</definedName>
    <definedName name="L_KEYWORD_EQTY_200010679_PRI_TARG_METH">#REF!</definedName>
    <definedName name="L_KEYWORD_EQTY_200010679_PRI_TARG_MULT">#REF!</definedName>
    <definedName name="L_KEYWORD_EQTY_200010679_PRICE_CURRENCY_ISO">#REF!</definedName>
    <definedName name="L_KEYWORD_EQTY_200010679_PROV_INC_TAX">#REF!</definedName>
    <definedName name="L_KEYWORD_EQTY_200010679_PTP_PUB">#REF!</definedName>
    <definedName name="L_KEYWORD_EQTY_200010679_PUB_CURRENCY_ISO">#REF!</definedName>
    <definedName name="L_KEYWORD_EQTY_200010679_REVS_PUB">#REF!</definedName>
    <definedName name="L_KEYWORD_EQTY_200010679_RISK_FR_RATE">#REF!</definedName>
    <definedName name="L_KEYWORD_EQTY_200010679_Security_Name">#REF!</definedName>
    <definedName name="L_KEYWORD_EQTY_200010679_SH">#REF!</definedName>
    <definedName name="L_KEYWORD_EQTY_200010679_TARGET_PRICE">#REF!</definedName>
    <definedName name="L_KEYWORD_EQTY_200010679_TAX_EXC">#REF!</definedName>
    <definedName name="L_KEYWORD_EQTY_200010679_Ticker">#REF!</definedName>
    <definedName name="L_KEYWORD_EQTY_200010679_TP_PERIOD">#REF!</definedName>
    <definedName name="L_KEYWORD_ISSR_208008187_ACC_AMORT">#REF!</definedName>
    <definedName name="L_KEYWORD_ISSR_208008187_ACC_DDA">#REF!</definedName>
    <definedName name="L_KEYWORD_ISSR_208008187_ACC_END_DATE">#REF!</definedName>
    <definedName name="L_KEYWORD_ISSR_208008187_ACC_PAY_GQ">#REF!</definedName>
    <definedName name="L_KEYWORD_ISSR_208008187_ACQ">#REF!</definedName>
    <definedName name="L_KEYWORD_ISSR_208008187_ADJ_UNF_PENS_GOOD">#REF!</definedName>
    <definedName name="L_KEYWORD_ISSR_208008187_ASSOC_JV_ADDBK">#REF!</definedName>
    <definedName name="L_KEYWORD_ISSR_208008187_ASSOCIATE">#REF!</definedName>
    <definedName name="L_KEYWORD_ISSR_208008187_ASSOCIATE_OP">#REF!</definedName>
    <definedName name="L_KEYWORD_ISSR_208008187_BAL_MINO_INT">#REF!</definedName>
    <definedName name="L_KEYWORD_ISSR_208008187_CAP_LEASES">#REF!</definedName>
    <definedName name="L_KEYWORD_ISSR_208008187_CAPEX">#REF!</definedName>
    <definedName name="L_KEYWORD_ISSR_208008187_CAPEX_EXPANSION">#REF!</definedName>
    <definedName name="L_KEYWORD_ISSR_208008187_CAPEX_MAINTENANCE">#REF!</definedName>
    <definedName name="L_KEYWORD_ISSR_208008187_CASH_EQ">#REF!</definedName>
    <definedName name="L_KEYWORD_ISSR_208008187_CASH_INT_EXP">#REF!</definedName>
    <definedName name="L_KEYWORD_ISSR_208008187_CASH_TAX_EXP">#REF!</definedName>
    <definedName name="L_KEYWORD_ISSR_208008187_CF_FIN">#REF!</definedName>
    <definedName name="L_KEYWORD_ISSR_208008187_CF_INC_MINORITY">#REF!</definedName>
    <definedName name="L_KEYWORD_ISSR_208008187_CF_INV">#REF!</definedName>
    <definedName name="L_KEYWORD_ISSR_208008187_CF_OPS">#REF!</definedName>
    <definedName name="L_KEYWORD_ISSR_208008187_CHG_LT_DEBT">#REF!</definedName>
    <definedName name="L_KEYWORD_ISSR_208008187_CO_BOR_MARGIN">#REF!</definedName>
    <definedName name="L_KEYWORD_ISSR_208008187_CONTRIB_MARGIN_RATIO">#REF!</definedName>
    <definedName name="L_KEYWORD_ISSR_208008187_COST_GD_SD">#REF!</definedName>
    <definedName name="L_KEYWORD_ISSR_208008187_CUR_ASS">#REF!</definedName>
    <definedName name="L_KEYWORD_ISSR_208008187_CURRENCY_ISO">#REF!</definedName>
    <definedName name="L_KEYWORD_ISSR_208008187_DEBTORS">#REF!</definedName>
    <definedName name="L_KEYWORD_ISSR_208008187_DEF_INC_TAX">#REF!</definedName>
    <definedName name="L_KEYWORD_ISSR_208008187_DEPR_AMORT">#REF!</definedName>
    <definedName name="L_KEYWORD_ISSR_208008187_DEPREC">#REF!</definedName>
    <definedName name="L_KEYWORD_ISSR_208008187_DIV_PAID">#REF!</definedName>
    <definedName name="L_KEYWORD_ISSR_208008187_DIVDS_ASSOC_JV">#REF!</definedName>
    <definedName name="L_KEYWORD_ISSR_208008187_DIVDS_PD_MINORITIES">#REF!</definedName>
    <definedName name="L_KEYWORD_ISSR_208008187_DIVEST">#REF!</definedName>
    <definedName name="L_KEYWORD_ISSR_208008187_EBIT">#REF!</definedName>
    <definedName name="L_KEYWORD_ISSR_208008187_EBITDA_CALC">#REF!</definedName>
    <definedName name="L_KEYWORD_ISSR_208008187_EMPLOYEES">#REF!</definedName>
    <definedName name="L_KEYWORD_ISSR_208008187_EQ">#REF!</definedName>
    <definedName name="L_KEYWORD_ISSR_208008187_EXP_ALUMINIUM">#REF!</definedName>
    <definedName name="L_KEYWORD_ISSR_208008187_EXP_BEEF">#REF!</definedName>
    <definedName name="L_KEYWORD_ISSR_208008187_EXP_CHICKEN">#REF!</definedName>
    <definedName name="L_KEYWORD_ISSR_208008187_EXP_COCOA">#REF!</definedName>
    <definedName name="L_KEYWORD_ISSR_208008187_EXP_COFFEE">#REF!</definedName>
    <definedName name="L_KEYWORD_ISSR_208008187_EXP_COPPER">#REF!</definedName>
    <definedName name="L_KEYWORD_ISSR_208008187_EXP_CORN">#REF!</definedName>
    <definedName name="L_KEYWORD_ISSR_208008187_EXP_COTTON">#REF!</definedName>
    <definedName name="L_KEYWORD_ISSR_208008187_EXP_DAIRY">#REF!</definedName>
    <definedName name="L_KEYWORD_ISSR_208008187_EXP_DIAMONDS">#REF!</definedName>
    <definedName name="L_KEYWORD_ISSR_208008187_EXP_GOLD">#REF!</definedName>
    <definedName name="L_KEYWORD_ISSR_208008187_EXP_NUTS">#REF!</definedName>
    <definedName name="L_KEYWORD_ISSR_208008187_EXP_OIL_DERIV_NGLS_PLASTICS">#REF!</definedName>
    <definedName name="L_KEYWORD_ISSR_208008187_EXP_OIL_PETRO_FUEL">#REF!</definedName>
    <definedName name="L_KEYWORD_ISSR_208008187_EXP_OTH_COMMODITY">#REF!</definedName>
    <definedName name="L_KEYWORD_ISSR_208008187_EXP_OTH_COST">#REF!</definedName>
    <definedName name="L_KEYWORD_ISSR_208008187_EXP_PALM_OIL">#REF!</definedName>
    <definedName name="L_KEYWORD_ISSR_208008187_EXP_PAPER_PULP">#REF!</definedName>
    <definedName name="L_KEYWORD_ISSR_208008187_EXP_PLATINUM">#REF!</definedName>
    <definedName name="L_KEYWORD_ISSR_208008187_EXP_PORK">#REF!</definedName>
    <definedName name="L_KEYWORD_ISSR_208008187_EXP_SILVER">#REF!</definedName>
    <definedName name="L_KEYWORD_ISSR_208008187_EXP_SOYBEAN">#REF!</definedName>
    <definedName name="L_KEYWORD_ISSR_208008187_EXP_SUGAR">#REF!</definedName>
    <definedName name="L_KEYWORD_ISSR_208008187_EXP_TOBACCO_LEAF">#REF!</definedName>
    <definedName name="L_KEYWORD_ISSR_208008187_EXP_WATER">#REF!</definedName>
    <definedName name="L_KEYWORD_ISSR_208008187_EXP_WHEAT">#REF!</definedName>
    <definedName name="L_KEYWORD_ISSR_208008187_FIX_ASS_INV">#REF!</definedName>
    <definedName name="L_KEYWORD_ISSR_208008187_GCI_INFL">#REF!</definedName>
    <definedName name="L_KEYWORD_ISSR_208008187_GOODWILL_AMORT">#REF!</definedName>
    <definedName name="L_KEYWORD_ISSR_208008187_GR_FIX_ASS">#REF!</definedName>
    <definedName name="L_KEYWORD_ISSR_208008187_GR_INTANG">#REF!</definedName>
    <definedName name="L_KEYWORD_ISSR_208008187_INT_EXP_IND">#REF!</definedName>
    <definedName name="L_KEYWORD_ISSR_208008187_INT_INC_IND">#REF!</definedName>
    <definedName name="L_KEYWORD_ISSR_208008187_INV_SECUR">#REF!</definedName>
    <definedName name="L_KEYWORD_ISSR_208008187_Issuer_Name">#REF!</definedName>
    <definedName name="L_KEYWORD_ISSR_208008187_LEASE_DEEM_DEPR">#REF!</definedName>
    <definedName name="L_KEYWORD_ISSR_208008187_LEASE_DEEM_INT">#REF!</definedName>
    <definedName name="L_KEYWORD_ISSR_208008187_LEASE_PAY">#REF!</definedName>
    <definedName name="L_KEYWORD_ISSR_208008187_LT_DEBT">#REF!</definedName>
    <definedName name="L_KEYWORD_ISSR_208008187_MINORITIES">#REF!</definedName>
    <definedName name="L_KEYWORD_ISSR_208008187_MV_ASSOCIATES">#REF!</definedName>
    <definedName name="L_KEYWORD_ISSR_208008187_NET_DEBT">#REF!</definedName>
    <definedName name="L_KEYWORD_ISSR_208008187_NET_DEBT_ADJ">#REF!</definedName>
    <definedName name="L_KEYWORD_ISSR_208008187_NET_FIX_ASS">#REF!</definedName>
    <definedName name="L_KEYWORD_ISSR_208008187_NET_INT_CH">#REF!</definedName>
    <definedName name="L_KEYWORD_ISSR_208008187_NET_INT_EXP">#REF!</definedName>
    <definedName name="L_KEYWORD_ISSR_208008187_NET_INTANG">#REF!</definedName>
    <definedName name="L_KEYWORD_ISSR_208008187_NONPPE_CAPEX">#REF!</definedName>
    <definedName name="L_KEYWORD_ISSR_208008187_OP_COST">#REF!</definedName>
    <definedName name="L_KEYWORD_ISSR_208008187_ORD_SH_FUND">#REF!</definedName>
    <definedName name="L_KEYWORD_ISSR_208008187_OTH_COST_INC">#REF!</definedName>
    <definedName name="L_KEYWORD_ISSR_208008187_OTH_CUR_ASS">#REF!</definedName>
    <definedName name="L_KEYWORD_ISSR_208008187_OTH_CUR_LIABS">#REF!</definedName>
    <definedName name="L_KEYWORD_ISSR_208008187_OTH_DACF_ADJ">#REF!</definedName>
    <definedName name="L_KEYWORD_ISSR_208008187_OTH_FIN_CF">#REF!</definedName>
    <definedName name="L_KEYWORD_ISSR_208008187_OTH_GCI_ADJ">#REF!</definedName>
    <definedName name="L_KEYWORD_ISSR_208008187_OTH_INV_CF">#REF!</definedName>
    <definedName name="L_KEYWORD_ISSR_208008187_OTH_LT_ASS">#REF!</definedName>
    <definedName name="L_KEYWORD_ISSR_208008187_OTH_LT_CRED_GQ">#REF!</definedName>
    <definedName name="L_KEYWORD_ISSR_208008187_OTH_NONCASH_ADJ">#REF!</definedName>
    <definedName name="L_KEYWORD_ISSR_208008187_OTH_OP_CF">#REF!</definedName>
    <definedName name="L_KEYWORD_ISSR_208008187_OTH_OP_INC_EXP">#REF!</definedName>
    <definedName name="L_KEYWORD_ISSR_208008187_PERIOD_MILESTONE">#REF!</definedName>
    <definedName name="L_KEYWORD_ISSR_208008187_PERSONNEL">#REF!</definedName>
    <definedName name="L_KEYWORD_ISSR_208008187_PL_SALE_ASSETS">#REF!</definedName>
    <definedName name="L_KEYWORD_ISSR_208008187_PREF_SH">#REF!</definedName>
    <definedName name="L_KEYWORD_ISSR_208008187_PROFIT_ON_DISP">#REF!</definedName>
    <definedName name="L_KEYWORD_ISSR_208008187_PT_PROF">#REF!</definedName>
    <definedName name="L_KEYWORD_ISSR_208008187_RD_EXP">#REF!</definedName>
    <definedName name="L_KEYWORD_ISSR_208008187_SALES">#REF!</definedName>
    <definedName name="L_KEYWORD_ISSR_208008187_SALES_BRAZIL">#REF!</definedName>
    <definedName name="L_KEYWORD_ISSR_208008187_SALES_CEE">#REF!</definedName>
    <definedName name="L_KEYWORD_ISSR_208008187_SALES_CEMENT">#REF!</definedName>
    <definedName name="L_KEYWORD_ISSR_208008187_SALES_CHINA">#REF!</definedName>
    <definedName name="L_KEYWORD_ISSR_208008187_SALES_CONS">#REF!</definedName>
    <definedName name="L_KEYWORD_ISSR_208008187_SALES_EU_EX_UK">#REF!</definedName>
    <definedName name="L_KEYWORD_ISSR_208008187_SALES_FINAN">#REF!</definedName>
    <definedName name="L_KEYWORD_ISSR_208008187_SALES_FX_BRL">#REF!</definedName>
    <definedName name="L_KEYWORD_ISSR_208008187_SALES_FX_CNY">#REF!</definedName>
    <definedName name="L_KEYWORD_ISSR_208008187_SALES_FX_EUR">#REF!</definedName>
    <definedName name="L_KEYWORD_ISSR_208008187_SALES_FX_GPB">#REF!</definedName>
    <definedName name="L_KEYWORD_ISSR_208008187_SALES_FX_INR">#REF!</definedName>
    <definedName name="L_KEYWORD_ISSR_208008187_SALES_FX_KRW">#REF!</definedName>
    <definedName name="L_KEYWORD_ISSR_208008187_SALES_FX_OTH">#REF!</definedName>
    <definedName name="L_KEYWORD_ISSR_208008187_SALES_FX_RUB">#REF!</definedName>
    <definedName name="L_KEYWORD_ISSR_208008187_SALES_FX_TWD">#REF!</definedName>
    <definedName name="L_KEYWORD_ISSR_208008187_SALES_FX_USD">#REF!</definedName>
    <definedName name="L_KEYWORD_ISSR_208008187_SALES_FX_YEN">#REF!</definedName>
    <definedName name="L_KEYWORD_ISSR_208008187_SALES_GLASS">#REF!</definedName>
    <definedName name="L_KEYWORD_ISSR_208008187_SALES_GOV">#REF!</definedName>
    <definedName name="L_KEYWORD_ISSR_208008187_SALES_IND">#REF!</definedName>
    <definedName name="L_KEYWORD_ISSR_208008187_SALES_INDIA">#REF!</definedName>
    <definedName name="L_KEYWORD_ISSR_208008187_SALES_JAPAN">#REF!</definedName>
    <definedName name="L_KEYWORD_ISSR_208008187_SALES_LUMBER">#REF!</definedName>
    <definedName name="L_KEYWORD_ISSR_208008187_SALES_ME">#REF!</definedName>
    <definedName name="L_KEYWORD_ISSR_208008187_SALES_OIL_PETRO_FUEL">#REF!</definedName>
    <definedName name="L_KEYWORD_ISSR_208008187_SALES_OTH_AEJ">#REF!</definedName>
    <definedName name="L_KEYWORD_ISSR_208008187_SALES_OTH_AM">#REF!</definedName>
    <definedName name="L_KEYWORD_ISSR_208008187_SALES_OTH_COMMODITY">#REF!</definedName>
    <definedName name="L_KEYWORD_ISSR_208008187_SALES_OTH_EMEA">#REF!</definedName>
    <definedName name="L_KEYWORD_ISSR_208008187_SALES_OTH_SALES_SOURCES">#REF!</definedName>
    <definedName name="L_KEYWORD_ISSR_208008187_SALES_OTHER">#REF!</definedName>
    <definedName name="L_KEYWORD_ISSR_208008187_SALES_PAPER_PULP">#REF!</definedName>
    <definedName name="L_KEYWORD_ISSR_208008187_SALES_RUSSIA">#REF!</definedName>
    <definedName name="L_KEYWORD_ISSR_208008187_SALES_SK">#REF!</definedName>
    <definedName name="L_KEYWORD_ISSR_208008187_SALES_STEEL">#REF!</definedName>
    <definedName name="L_KEYWORD_ISSR_208008187_SALES_TAIWAN">#REF!</definedName>
    <definedName name="L_KEYWORD_ISSR_208008187_SALES_TOBACCO_LEAF">#REF!</definedName>
    <definedName name="L_KEYWORD_ISSR_208008187_SALES_TOT_AFRICA">#REF!</definedName>
    <definedName name="L_KEYWORD_ISSR_208008187_SALES_TOT_AM">#REF!</definedName>
    <definedName name="L_KEYWORD_ISSR_208008187_SALES_TOT_ASIA">#REF!</definedName>
    <definedName name="L_KEYWORD_ISSR_208008187_SALES_TOT_EMEA">#REF!</definedName>
    <definedName name="L_KEYWORD_ISSR_208008187_SALES_UK">#REF!</definedName>
    <definedName name="L_KEYWORD_ISSR_208008187_SALES_US">#REF!</definedName>
    <definedName name="L_KEYWORD_ISSR_208008187_SEL_GL_AD">#REF!</definedName>
    <definedName name="L_KEYWORD_ISSR_208008187_SH_REPUR">#REF!</definedName>
    <definedName name="L_KEYWORD_ISSR_208008187_SHORT_T_DEBT">#REF!</definedName>
    <definedName name="L_KEYWORD_ISSR_208008187_SHORT_TERM_LIABS">#REF!</definedName>
    <definedName name="L_KEYWORD_ISSR_208008187_STOCKS">#REF!</definedName>
    <definedName name="L_KEYWORD_ISSR_208008187_TOT_ASSET">#REF!</definedName>
    <definedName name="L_KEYWORD_ISSR_208008187_TOT_CF">#REF!</definedName>
    <definedName name="L_KEYWORD_ISSR_208008187_TOT_LIAB">#REF!</definedName>
    <definedName name="L_KEYWORD_ISSR_208008187_TOT_LIAB_EQ">#REF!</definedName>
    <definedName name="L_KEYWORD_ISSR_208008187_TOT_LT_LIAB">#REF!</definedName>
    <definedName name="L_KEYWORD_ISSR_208008187_TOT_OPS_EXP">#REF!</definedName>
    <definedName name="L_KEYWORD_ISSR_208008187_TOT_OPS_EXP_DDA">#REF!</definedName>
    <definedName name="L_KEYWORD_ISSR_208008187_UNF_PENS">#REF!</definedName>
    <definedName name="L_KEYWORD_ISSR_208008187_UNF_PENS_LIAB_OTH">#REF!</definedName>
    <definedName name="L_KEYWORD_ISSR_208008187_UNF_PENS_OFF">#REF!</definedName>
    <definedName name="L_KEYWORD_ISSR_208008187_WORK_CAP">#REF!</definedName>
    <definedName name="L_LIVEDATA_EQTY_200010679">#REF!</definedName>
    <definedName name="L_LIVEDATA_ISSR_208008187">#REF!</definedName>
    <definedName name="L_PERIOD_1994">#REF!</definedName>
    <definedName name="L_PERIOD_1995">#REF!</definedName>
    <definedName name="L_PERIOD_1996">#REF!</definedName>
    <definedName name="L_PERIOD_1997">#REF!</definedName>
    <definedName name="L_PERIOD_1998">#REF!</definedName>
    <definedName name="L_PERIOD_1999">#REF!</definedName>
    <definedName name="L_PERIOD_2000">#REF!</definedName>
    <definedName name="L_PERIOD_2001">#REF!</definedName>
    <definedName name="L_PERIOD_2002">#REF!</definedName>
    <definedName name="L_PERIOD_2003">#REF!</definedName>
    <definedName name="L_PERIOD_2004">#REF!</definedName>
    <definedName name="L_PERIOD_2005">#REF!</definedName>
    <definedName name="L_PERIOD_2006">#REF!</definedName>
    <definedName name="L_PERIOD_2007">#REF!</definedName>
    <definedName name="L_PERIOD_2008">#REF!</definedName>
    <definedName name="L_PERIOD_2009">#REF!</definedName>
    <definedName name="L_PERIOD_2010">#REF!</definedName>
    <definedName name="L_PERIOD_2010_H1">#REF!</definedName>
    <definedName name="L_PERIOD_2010_H2">#REF!</definedName>
    <definedName name="L_PERIOD_2011">#REF!</definedName>
    <definedName name="L_PERIOD_2011_H1">#REF!</definedName>
    <definedName name="L_PERIOD_2011_H2">#REF!</definedName>
    <definedName name="L_PERIOD_2012">#REF!</definedName>
    <definedName name="L_PERIOD_2013">#REF!</definedName>
    <definedName name="L_PERIOD_2014">#REF!</definedName>
    <definedName name="L_PERIOD_2015">#REF!</definedName>
    <definedName name="L_SECTION_EQTY_200010679_1314">#REF!</definedName>
    <definedName name="L_SECTION_EQTY_200010679_131E">#REF!</definedName>
    <definedName name="L_SECTION_EQTY_200010679_131O">#REF!</definedName>
    <definedName name="L_SECTION_EQTY_200010679_13A">#REF!</definedName>
    <definedName name="L_SECTION_EQTY_200010679_13K">#REF!</definedName>
    <definedName name="L_SECTION_EQTY_200010679_13U">#REF!</definedName>
    <definedName name="L_SECTION_EQTY_200010679_13V">#REF!</definedName>
    <definedName name="L_SECTION_EQTY_200010679_Reference_Data">#REF!</definedName>
    <definedName name="L_SECTION_ISSR_208008187_1314">#REF!</definedName>
    <definedName name="L_SECTION_ISSR_208008187_13168">#REF!</definedName>
    <definedName name="L_SECTION_ISSR_208008187_1316S">#REF!</definedName>
    <definedName name="L_SECTION_ISSR_208008187_1316T">#REF!</definedName>
    <definedName name="L_SECTION_ISSR_208008187_1316U">#REF!</definedName>
    <definedName name="L_SECTION_ISSR_208008187_1319">#REF!</definedName>
    <definedName name="L_SECTION_ISSR_208008187_131E">#REF!</definedName>
    <definedName name="L_SECTION_ISSR_208008187_131J">#REF!</definedName>
    <definedName name="L_SECTION_ISSR_208008187_131O">#REF!</definedName>
    <definedName name="L_SECTION_ISSR_208008187_13U">#REF!</definedName>
    <definedName name="L_SECTION_ISSR_208008187_13V">#REF!</definedName>
    <definedName name="L_SECTION_ISSR_208008187_Reference_Data">#REF!</definedName>
    <definedName name="l0" hidden="1">{"'毛利比较'!$A$4:$P$26"}</definedName>
    <definedName name="LABELTEXTCOLUMN1">#REF!</definedName>
    <definedName name="LABELTEXTCOLUMN2">#REF!</definedName>
    <definedName name="LABELTEXTROW1">#REF!</definedName>
    <definedName name="LABELTEXTROW2">#REF!</definedName>
    <definedName name="Land_Exchange">#REF!</definedName>
    <definedName name="landareasqm">#REF!</definedName>
    <definedName name="Last_BS">1998</definedName>
    <definedName name="Last_Entity">#REF!</definedName>
    <definedName name="Last_Update">#REF!</definedName>
    <definedName name="last_year_DT_rate">#REF!</definedName>
    <definedName name="LASTCOLUMNCELL">#REF!</definedName>
    <definedName name="LastLine">#REF!</definedName>
    <definedName name="LastListUpdate">0</definedName>
    <definedName name="LastOpenedWorkSheet">#REF!</definedName>
    <definedName name="LastRefreshed" localSheetId="0">#REF!</definedName>
    <definedName name="LastRefreshed">#REF!</definedName>
    <definedName name="lastyear">#REF!</definedName>
    <definedName name="lb">#REF!</definedName>
    <definedName name="LC_Entity">#REF!</definedName>
    <definedName name="Lce_其他入库序时簿">#REF!</definedName>
    <definedName name="Lce_委外加工入库序时簿">#REF!</definedName>
    <definedName name="lead">#REF!</definedName>
    <definedName name="LedgerBudget_T_AccountNum">#REF!</definedName>
    <definedName name="LedgerBudget_T_Active">#REF!</definedName>
    <definedName name="LedgerBudget_T_AllocateMethod">#REF!</definedName>
    <definedName name="LedgerBudget_T_Amount">#REF!</definedName>
    <definedName name="LedgerBudget_T_AssetBookId">#REF!</definedName>
    <definedName name="LedgerBudget_T_AssetId">#REF!</definedName>
    <definedName name="LedgerBudget_T_AssetTransType">#REF!</definedName>
    <definedName name="LedgerBudget_T_Comment">#REF!</definedName>
    <definedName name="LedgerBudget_T_Cov">#REF!</definedName>
    <definedName name="LedgerBudget_T_CovStatus">#REF!</definedName>
    <definedName name="LedgerBudget_T_Crediting">#REF!</definedName>
    <definedName name="LedgerBudget_T_Currency">#REF!</definedName>
    <definedName name="LedgerBudget_T_Dimension">#REF!</definedName>
    <definedName name="LedgerBudget_T_EndDate">#REF!</definedName>
    <definedName name="LedgerBudget_T_ForecastModelId">#REF!</definedName>
    <definedName name="LedgerBudget_T_Freq">#REF!</definedName>
    <definedName name="LedgerBudget_T_FreqCode">#REF!</definedName>
    <definedName name="LedgerBudget_T_Key">#REF!</definedName>
    <definedName name="LedgerBudget_T_ModelNum">#REF!</definedName>
    <definedName name="LedgerBudget_T_Price">#REF!</definedName>
    <definedName name="LedgerBudget_T_Qty">#REF!</definedName>
    <definedName name="LedgerBudget_T_StartDate">#REF!</definedName>
    <definedName name="LedgerBudget_T_Stop">#REF!</definedName>
    <definedName name="LedgerBudget_T_TaxGroup">#REF!</definedName>
    <definedName name="lf" hidden="1">#REF!</definedName>
    <definedName name="LI">5.3</definedName>
    <definedName name="Li_Ning">#REF!</definedName>
    <definedName name="liability" hidden="1">{#N/A,#N/A,FALSE,"PRESS ADVERTISEMENT (SEBI)";#N/A,#N/A,FALSE,"US GAAP (not printed)"}</definedName>
    <definedName name="Liability_Closing">#REF!</definedName>
    <definedName name="Lib">5.8</definedName>
    <definedName name="Liberalization">#REF!</definedName>
    <definedName name="library">#REF!</definedName>
    <definedName name="library_ds">#REF!</definedName>
    <definedName name="library_name">#REF!</definedName>
    <definedName name="LicenseeSales">#REF!</definedName>
    <definedName name="liea">#REF!</definedName>
    <definedName name="LINK">#REF!</definedName>
    <definedName name="Links">#REF!</definedName>
    <definedName name="List">#REF!</definedName>
    <definedName name="List_ARPopulation">#REF!</definedName>
    <definedName name="List_Curr">#REF!</definedName>
    <definedName name="List_ExpandedTesting">#REF!</definedName>
    <definedName name="List_Level_Assr">#REF!</definedName>
    <definedName name="List_LevelAssurance">#REF!</definedName>
    <definedName name="List_Number_of_Exceptions_Identified">#REF!</definedName>
    <definedName name="List_NumberTolerableExceptions">#REF!</definedName>
    <definedName name="List_Proj_Meth">#REF!</definedName>
    <definedName name="List_Samp_Sel">#REF!</definedName>
    <definedName name="List_SampleSelectionMethod">#REF!</definedName>
    <definedName name="ListOffset" hidden="1">1</definedName>
    <definedName name="LiveReqs">#REF!</definedName>
    <definedName name="lj" hidden="1">{#N/A,#N/A,FALSE,"summary"}</definedName>
    <definedName name="LJKGB" hidden="1">{"Monthly6Q",#N/A,FALSE,"0614ESL"}</definedName>
    <definedName name="LK_Ref">#REF!</definedName>
    <definedName name="LKHBKJ" hidden="1">{"Monthly6Q",#N/A,FALSE,"0614ESL"}</definedName>
    <definedName name="lkjh">#REF!</definedName>
    <definedName name="lkjk" hidden="1">{#N/A,#N/A,FALSE,"summary"}</definedName>
    <definedName name="LL">#REF!</definedName>
    <definedName name="llll" hidden="1">{#N/A,#N/A,FALSE,"UNIT";#N/A,#N/A,FALSE,"UNIT";#N/A,#N/A,FALSE,"계정"}</definedName>
    <definedName name="LNE">#REF!</definedName>
    <definedName name="Loan_Loss_Provision_fore">#REF!</definedName>
    <definedName name="LOCAL">#REF!</definedName>
    <definedName name="local_costs">#REF!</definedName>
    <definedName name="local_gm">#REF!</definedName>
    <definedName name="local_gp">#REF!</definedName>
    <definedName name="local_revs">#REF!</definedName>
    <definedName name="Long_term_debt">#REF!</definedName>
    <definedName name="Long_term_investment">#REF!</definedName>
    <definedName name="losses_bf_recog">#REF!</definedName>
    <definedName name="losses_bf_total">IF(#REF!="",0,#REF!)</definedName>
    <definedName name="losses_bf_unrecog">#REF!</definedName>
    <definedName name="losses_bf_utilised">#REF!</definedName>
    <definedName name="losses_cf_not_recog">#REF!</definedName>
    <definedName name="losses_cf_recog">#REF!</definedName>
    <definedName name="lptl">"ld"</definedName>
    <definedName name="LT">#REF!</definedName>
    <definedName name="LT_debt_growth_fore">#REF!</definedName>
    <definedName name="LT_int_bearing_assets">#REF!</definedName>
    <definedName name="LT_rate">#REF!</definedName>
    <definedName name="ltd">#REF!</definedName>
    <definedName name="LTG">#REF!</definedName>
    <definedName name="Lululemon">#REF!</definedName>
    <definedName name="lye">"31/12/"&amp;LEFT(dc,4)-1</definedName>
    <definedName name="lyec">LEFT(dc,4)-1&amp;"年12月31日"</definedName>
    <definedName name="m">#REF!</definedName>
    <definedName name="M_PlaceofPath" hidden="1">"\\SNYCEQT0100\HOME\LZURLO\DATA\TELMEX\Models\tmx_vdf.xls"</definedName>
    <definedName name="M1至10">#REF!</definedName>
    <definedName name="Macau_costs">#REF!</definedName>
    <definedName name="Macau_revenues">#REF!</definedName>
    <definedName name="macro">#REF!</definedName>
    <definedName name="Macro1">#REF!</definedName>
    <definedName name="Macro11">#REF!</definedName>
    <definedName name="Macro12">#N/A</definedName>
    <definedName name="Macro3">#N/A</definedName>
    <definedName name="Macro4">#REF!</definedName>
    <definedName name="Macro8">#REF!</definedName>
    <definedName name="MACROS">#REF!</definedName>
    <definedName name="Main_Competitor">#REF!</definedName>
    <definedName name="Map">"Map"</definedName>
    <definedName name="Margin_multiple">#REF!</definedName>
    <definedName name="MaritalStat">#REF!</definedName>
    <definedName name="mark" hidden="1">{"summary",#N/A,FALSE,"2000 vs 1999";"detail",#N/A,FALSE,"2000 vs 1999"}</definedName>
    <definedName name="Market_capitalization">#REF!</definedName>
    <definedName name="Marketing___Admin._costs">#REF!</definedName>
    <definedName name="MarketValue">#REF!</definedName>
    <definedName name="markval">#REF!</definedName>
    <definedName name="Master_RNK_index">#REF!</definedName>
    <definedName name="mat1q95eps">#REF!</definedName>
    <definedName name="mat1q96eps">#REF!</definedName>
    <definedName name="mat1q97eps">#REF!</definedName>
    <definedName name="mat2q95eps">#REF!</definedName>
    <definedName name="mat2q96eps">#REF!</definedName>
    <definedName name="mat2q97eps">#REF!</definedName>
    <definedName name="mat3q95eps">#REF!</definedName>
    <definedName name="mat3q96eps">#REF!</definedName>
    <definedName name="mat3q97eps">#REF!</definedName>
    <definedName name="mat4q95eps">#REF!</definedName>
    <definedName name="mat4q96eps">#REF!</definedName>
    <definedName name="mat4q97eps">#REF!</definedName>
    <definedName name="mat5YEARROE">#REF!</definedName>
    <definedName name="mat5YREPS">#REF!</definedName>
    <definedName name="mat95bookvalshare">#REF!</definedName>
    <definedName name="mat95casheps">#REF!</definedName>
    <definedName name="mat95roe">#REF!</definedName>
    <definedName name="mat96bookvalshare">#REF!</definedName>
    <definedName name="mat96casheps">#REF!</definedName>
    <definedName name="mat96roe">#REF!</definedName>
    <definedName name="mat97bookvalshare">#REF!</definedName>
    <definedName name="mat97casheps">#REF!</definedName>
    <definedName name="mat97roe">#REF!</definedName>
    <definedName name="matcomments">#REF!</definedName>
    <definedName name="matNORMORE">#REF!</definedName>
    <definedName name="matNORMROE">#REF!</definedName>
    <definedName name="matROE">#REF!</definedName>
    <definedName name="Mattel__Inc.">#REF!</definedName>
    <definedName name="MATURITY">#REF!</definedName>
    <definedName name="medical">#REF!</definedName>
    <definedName name="MemFree">#REF!</definedName>
    <definedName name="MemTotal">#REF!</definedName>
    <definedName name="menu">#REF!</definedName>
    <definedName name="METROPAC">#REF!,#REF!</definedName>
    <definedName name="MFG">#REF!</definedName>
    <definedName name="mgmt">#REF!</definedName>
    <definedName name="Mgmt_A_C">#REF!</definedName>
    <definedName name="mi00">#REF!</definedName>
    <definedName name="mil">1000000</definedName>
    <definedName name="MINIMAX">#REF!</definedName>
    <definedName name="minorities">#REF!</definedName>
    <definedName name="Minority">#REF!</definedName>
    <definedName name="Minority_interests">#REF!</definedName>
    <definedName name="ML_1s3s8k2q">#REF!</definedName>
    <definedName name="ML_4d2b6f6f">#REF!</definedName>
    <definedName name="ML_9u8s8t5w">#REF!</definedName>
    <definedName name="mm" hidden="1">{"adj95mult",#N/A,FALSE,"COMPCO";"adj95est",#N/A,FALSE,"COMPCO"}</definedName>
    <definedName name="month">#REF!</definedName>
    <definedName name="month1">#REF!</definedName>
    <definedName name="month2">#REF!</definedName>
    <definedName name="Monthlies_title">#N/A</definedName>
    <definedName name="Months">#REF!</definedName>
    <definedName name="MSSH">#REF!</definedName>
    <definedName name="MSUS">#REF!</definedName>
    <definedName name="MTSH">#REF!</definedName>
    <definedName name="MTSZ">#REF!</definedName>
    <definedName name="MTTW">#REF!</definedName>
    <definedName name="MV_B">SUM(#REF!)</definedName>
    <definedName name="MV_E">SUM(#REF!)</definedName>
    <definedName name="n">#REF!</definedName>
    <definedName name="N0000">#REF!</definedName>
    <definedName name="N225current">#REF!</definedName>
    <definedName name="N225previous">#REF!</definedName>
    <definedName name="na">#REF!</definedName>
    <definedName name="NAI_DISCOUNT">#REF!</definedName>
    <definedName name="NAI_U">#REF!</definedName>
    <definedName name="name" hidden="1">#REF!</definedName>
    <definedName name="Name1a">#REF!</definedName>
    <definedName name="Name1b">#REF!</definedName>
    <definedName name="Name1c">#REF!</definedName>
    <definedName name="Name1d">#REF!</definedName>
    <definedName name="Name1e">#REF!</definedName>
    <definedName name="Name1f">#REF!</definedName>
    <definedName name="Name1g">#REF!</definedName>
    <definedName name="Name2a">#REF!</definedName>
    <definedName name="Name2b">#REF!</definedName>
    <definedName name="nas">#REF!</definedName>
    <definedName name="natsustROE">#REF!</definedName>
    <definedName name="nav">#REF!</definedName>
    <definedName name="NAV_breakdown">#REF!</definedName>
    <definedName name="NAV_Calculations">#REF!</definedName>
    <definedName name="NAVchg">#REF!</definedName>
    <definedName name="NAVest.">#REF!</definedName>
    <definedName name="NAVhistory">#REF!</definedName>
    <definedName name="NAVsensitivity">#REF!</definedName>
    <definedName name="nbd">#REF!</definedName>
    <definedName name="nbn">#REF!</definedName>
    <definedName name="Nbr_of_employees__avg">#REF!</definedName>
    <definedName name="Nbr_of_employees__Y_E">#REF!</definedName>
    <definedName name="Nbr_of_employees_comp_units_Y_E">#REF!</definedName>
    <definedName name="NCKH">#REF!</definedName>
    <definedName name="ndxnew">#REF!</definedName>
    <definedName name="ndxprevious">#REF!</definedName>
    <definedName name="net">#REF!</definedName>
    <definedName name="Net_adj_for_capitalized_expenses">#REF!</definedName>
    <definedName name="Net_debt">#REF!</definedName>
    <definedName name="Net_Income">#REF!</definedName>
    <definedName name="Net_income_fore">#REF!</definedName>
    <definedName name="Net_income_growth_avg">#REF!</definedName>
    <definedName name="Net_margin">#REF!</definedName>
    <definedName name="Net_margin_fore">#REF!</definedName>
    <definedName name="Net_non_recurring_items">#REF!</definedName>
    <definedName name="Net_PPE_growth_fore">#REF!</definedName>
    <definedName name="net_profit_1997">#REF!</definedName>
    <definedName name="Net_Profit_97">#REF!</definedName>
    <definedName name="net_profit_98">#REF!</definedName>
    <definedName name="Net_Profit_Breakdown">#REF!</definedName>
    <definedName name="Net_Profit_growth_1997">#REF!</definedName>
    <definedName name="Net_Profit_growth_97">#REF!</definedName>
    <definedName name="Net_sales">#REF!</definedName>
    <definedName name="Net_sales_DCF">#REF!</definedName>
    <definedName name="Net_sales_fore">#REF!</definedName>
    <definedName name="Net_sales_growth_fore">#REF!</definedName>
    <definedName name="Net_working_capital_turns">#REF!</definedName>
    <definedName name="NetCash">#REF!</definedName>
    <definedName name="netdebt">#REF!</definedName>
    <definedName name="NetDebt_02">#REF!</definedName>
    <definedName name="NetDebt_95">#REF!</definedName>
    <definedName name="NetDebt_96">#REF!</definedName>
    <definedName name="NetDebtPerShare">#REF!</definedName>
    <definedName name="netinc00">#REF!</definedName>
    <definedName name="netinc01">#REF!</definedName>
    <definedName name="netinc98">#REF!</definedName>
    <definedName name="netinc99">#REF!</definedName>
    <definedName name="NetIncome">#REF!</definedName>
    <definedName name="NetIncome_00">#REF!</definedName>
    <definedName name="NetIncome_01">#REF!</definedName>
    <definedName name="NetIncome_02">#REF!</definedName>
    <definedName name="NetIncome_03">#REF!</definedName>
    <definedName name="NetIncome_04">#REF!</definedName>
    <definedName name="NetIncome_05">#REF!</definedName>
    <definedName name="NetIncome_06">#REF!</definedName>
    <definedName name="NetIncome_07">#REF!</definedName>
    <definedName name="NetIncome_08">#REF!</definedName>
    <definedName name="NetIncome_96">#REF!</definedName>
    <definedName name="NetIncome_97">#REF!</definedName>
    <definedName name="NetIncome_98">#REF!</definedName>
    <definedName name="NetIncome_99">#REF!</definedName>
    <definedName name="NetIncomePostGW">#REF!</definedName>
    <definedName name="NetIncomePreGW">#REF!</definedName>
    <definedName name="NetIncometocommon">#REF!</definedName>
    <definedName name="NetProfit_00">#REF!</definedName>
    <definedName name="NetProfit_01">#REF!</definedName>
    <definedName name="NetProfit_92">#REF!</definedName>
    <definedName name="NetProfit_93">#REF!</definedName>
    <definedName name="NetProfit_94">#REF!</definedName>
    <definedName name="NetProfit_95">#REF!</definedName>
    <definedName name="NetProfit_96">#REF!</definedName>
    <definedName name="NetProfit_97">#REF!</definedName>
    <definedName name="NetProfit_98">#REF!</definedName>
    <definedName name="NetProfit_99">#REF!</definedName>
    <definedName name="NETSCREEN_DISCOUNT">50%</definedName>
    <definedName name="NetWC_turns_fore">#REF!</definedName>
    <definedName name="new" hidden="1">{"Graphic",#N/A,TRUE,"Graphic"}</definedName>
    <definedName name="new_chart_index">#REF!</definedName>
    <definedName name="new_chart_range">#REF!</definedName>
    <definedName name="new_table">#REF!</definedName>
    <definedName name="newbel" hidden="1">{"'Directory'!$A$72:$E$91"}</definedName>
    <definedName name="newbls" hidden="1">{"'Directory'!$A$72:$E$91"}</definedName>
    <definedName name="NewInt1">#REF!</definedName>
    <definedName name="NewInt2">#REF!</definedName>
    <definedName name="NewInt3">#REF!</definedName>
    <definedName name="NewInt4">#REF!</definedName>
    <definedName name="NewInt5">#REF!</definedName>
    <definedName name="NewInt6">#REF!</definedName>
    <definedName name="newlib_ds">#REF!</definedName>
    <definedName name="newlib_sedol">#REF!</definedName>
    <definedName name="newname">#REF!</definedName>
    <definedName name="NewPRCGAAP">#REF!</definedName>
    <definedName name="NewPrint_Area">#REF!</definedName>
    <definedName name="NewPrint_Title">#REF!</definedName>
    <definedName name="NEWSPAPERS">#REF!</definedName>
    <definedName name="newt" hidden="1">{"'Directory'!$A$72:$E$91"}</definedName>
    <definedName name="newwcom" hidden="1">{"'Directory'!$A$72:$E$91"}</definedName>
    <definedName name="Next_year">#REF!</definedName>
    <definedName name="nfafa">#REF!</definedName>
    <definedName name="NHKL">#REF!</definedName>
    <definedName name="NHLD">#REF!</definedName>
    <definedName name="NHLG">#REF!</definedName>
    <definedName name="NHLP">#REF!</definedName>
    <definedName name="NHYSAN">#REF!</definedName>
    <definedName name="Nike">#REF!</definedName>
    <definedName name="NJDate">OFFSET(#REF!,0,0,COUNTA(#REF!),1)</definedName>
    <definedName name="NJGFA">OFFSET(#REF!,0,0,COUNTA(#REF!)-1,1)</definedName>
    <definedName name="NJPrice">OFFSET(#REF!,0,0,COUNTA(#REF!)-1,1)</definedName>
    <definedName name="NKERP">#REF!</definedName>
    <definedName name="NKYcurrent">#REF!</definedName>
    <definedName name="NKYprevious">#REF!</definedName>
    <definedName name="Nms_disc">#REF!</definedName>
    <definedName name="NNWD">#REF!</definedName>
    <definedName name="no">#REF!</definedName>
    <definedName name="No.Shares__m">#REF!</definedName>
    <definedName name="no_disc">#REF!</definedName>
    <definedName name="nod">#REF!</definedName>
    <definedName name="nod_pd">#REF!</definedName>
    <definedName name="Non_current_Assets">#REF!</definedName>
    <definedName name="Non_current_Liabilities">#REF!</definedName>
    <definedName name="Non_recurring_costs">#REF!</definedName>
    <definedName name="Non_recurring_income">#REF!</definedName>
    <definedName name="Non_usage">#REF!</definedName>
    <definedName name="NONREG">#REF!</definedName>
    <definedName name="NOOFFFSEGMENTS1">#REF!</definedName>
    <definedName name="NOOFFFSEGMENTS2">#REF!</definedName>
    <definedName name="NOPAT">#REF!</definedName>
    <definedName name="NOPAT_DCF">#REF!</definedName>
    <definedName name="NOPAT_fore">#REF!</definedName>
    <definedName name="NOPAT_growth_avg">#REF!</definedName>
    <definedName name="NOPAT_margin">#REF!</definedName>
    <definedName name="NOPAT_margin_fore">#REF!</definedName>
    <definedName name="NOPAT_Share">#REF!</definedName>
    <definedName name="NOPBT">#REF!</definedName>
    <definedName name="NOPBT_fore">#REF!</definedName>
    <definedName name="Norm_forecast_11_15">#REF!</definedName>
    <definedName name="Norm_forecast_16_25">#REF!</definedName>
    <definedName name="Norm_forecast_4_5">#REF!</definedName>
    <definedName name="Norm_forecast_6_10">#REF!</definedName>
    <definedName name="north">#REF!</definedName>
    <definedName name="North_America">#REF!</definedName>
    <definedName name="North_America_w">#REF!</definedName>
    <definedName name="NOSH">#REF!</definedName>
    <definedName name="NoShares">#REF!</definedName>
    <definedName name="notes">#REF!</definedName>
    <definedName name="NPT_1">#REF!</definedName>
    <definedName name="NPT_2">#REF!</definedName>
    <definedName name="NPT_P">#REF!</definedName>
    <definedName name="NSHKP">#REF!</definedName>
    <definedName name="NSINO">#REF!</definedName>
    <definedName name="NSProjectionMethodIndex">#REF!</definedName>
    <definedName name="NSRequiredLevelOfEvidenceItems">#REF!</definedName>
    <definedName name="NSTargetedTestingItems">#REF!</definedName>
    <definedName name="NSTolerableMisstatementEqual">#REF!</definedName>
    <definedName name="NSWIRE">#REF!</definedName>
    <definedName name="nt">#REF!</definedName>
    <definedName name="NTAC">#N/A</definedName>
    <definedName name="NUM_DOCS">#REF!</definedName>
    <definedName name="Number_ordinary_shares">#REF!</definedName>
    <definedName name="NUMBEROFDETAILFIELDS1">#REF!</definedName>
    <definedName name="NUMBEROFDETAILFIELDS2">#REF!</definedName>
    <definedName name="NUMBEROFHEADERFIELDS1">#REF!</definedName>
    <definedName name="NUMBEROFHEADERFIELDS2">#REF!</definedName>
    <definedName name="NWD">#REF!</definedName>
    <definedName name="NWHARF">#REF!</definedName>
    <definedName name="nzdnew">#REF!</definedName>
    <definedName name="nzdold">#REF!</definedName>
    <definedName name="o">#REF!</definedName>
    <definedName name="OCF">#REF!</definedName>
    <definedName name="och">#REF!</definedName>
    <definedName name="Off_B_S_Income">#REF!</definedName>
    <definedName name="Off_B_S_Income_DCF">#REF!</definedName>
    <definedName name="Off_B_S_Income_fore">#REF!</definedName>
    <definedName name="Off_B_S_Income_growth_fore">#REF!</definedName>
    <definedName name="Off_High_Cov">#REF!</definedName>
    <definedName name="OffDate">OFFSET(#REF!,0,0,COUNTA(#REF!)-2,1)</definedName>
    <definedName name="OffDisc">OFFSET(#REF!,0,0,COUNTA(#REF!)-6,1)</definedName>
    <definedName name="Office">#REF!</definedName>
    <definedName name="Office_address">#REF!</definedName>
    <definedName name="Office_address_CN">#REF!</definedName>
    <definedName name="Office_name_CN">#REF!</definedName>
    <definedName name="Office_name_EN">#REF!</definedName>
    <definedName name="Office_sch">#REF!</definedName>
    <definedName name="official_ARPU">#REF!</definedName>
    <definedName name="OffPrice">OFFSET(#REF!,0,0,COUNTA(#REF!)-5,1)</definedName>
    <definedName name="OHLC">"OHLC"</definedName>
    <definedName name="oierior" hidden="1">#REF!</definedName>
    <definedName name="ok" hidden="1">#REF!</definedName>
    <definedName name="OL_1">#REF!</definedName>
    <definedName name="OL_P">#REF!</definedName>
    <definedName name="Old_LC_Entity">#REF!</definedName>
    <definedName name="Old_USD_Entity">#REF!</definedName>
    <definedName name="OldData">#REF!</definedName>
    <definedName name="OLE_LINK1">#REF!</definedName>
    <definedName name="OnDate">OFFSET(#REF!,0,0,COUNTA(#REF!)-12,1)</definedName>
    <definedName name="OnDisc">OFFSET(#REF!,0,0,COUNTA(#REF!)-6,1)</definedName>
    <definedName name="one" hidden="1">{"adj95mult",#N/A,FALSE,"COMPCO";"adj95est",#N/A,FALSE,"COMPCO"}</definedName>
    <definedName name="OnPrice">OFFSET(#REF!,0,0,COUNTA(#REF!)-5,1)</definedName>
    <definedName name="ons">#REF!</definedName>
    <definedName name="ooa">#REF!</definedName>
    <definedName name="ooo" hidden="1">{"Graphic",#N/A,TRUE,"Graphic"}</definedName>
    <definedName name="ooooo" hidden="1">{#N/A,#N/A,FALSE,"Ocean";#N/A,#N/A,FALSE,"NewYork";#N/A,#N/A,FALSE,"Gateway";#N/A,#N/A,FALSE,"GVH";#N/A,#N/A,FALSE,"GVM";#N/A,#N/A,FALSE,"GVT"}</definedName>
    <definedName name="oot">#REF!</definedName>
    <definedName name="op">#REF!</definedName>
    <definedName name="OpDay_printarea">#N/A</definedName>
    <definedName name="opening_DT_provn">#REF!</definedName>
    <definedName name="opening_provn">#REF!</definedName>
    <definedName name="operating">#REF!</definedName>
    <definedName name="operating.act">#REF!</definedName>
    <definedName name="operating_act">#REF!</definedName>
    <definedName name="Operating_expenses">#REF!</definedName>
    <definedName name="Operating_income_fore">#REF!</definedName>
    <definedName name="Operating_Lease_Expense">#REF!</definedName>
    <definedName name="Operating_Lease_Expense_fore">#REF!</definedName>
    <definedName name="Operating_Sys">#REF!</definedName>
    <definedName name="Opex">#REF!</definedName>
    <definedName name="opex_customer_retention">#REF!</definedName>
    <definedName name="opex_network">#REF!</definedName>
    <definedName name="opex_other">#REF!</definedName>
    <definedName name="opex_rental">#REF!</definedName>
    <definedName name="opex_salaries">#REF!</definedName>
    <definedName name="opex_sales_marketing">#REF!</definedName>
    <definedName name="or_bad_debt">#REF!</definedName>
    <definedName name="Order_backlog">#REF!</definedName>
    <definedName name="Order_intake">#REF!</definedName>
    <definedName name="OTHER">#REF!</definedName>
    <definedName name="Other_asset_turns">#REF!</definedName>
    <definedName name="Other_asset_turns_fore">#REF!</definedName>
    <definedName name="Other_assets">#REF!</definedName>
    <definedName name="Other_current_assets_growth_fore">#REF!</definedName>
    <definedName name="Other_current_liabilities_growth_fore">#REF!</definedName>
    <definedName name="Other_Debtors_Current">#REF!</definedName>
    <definedName name="Other_Debtors_Prior">#REF!</definedName>
    <definedName name="Other_dividends">#REF!</definedName>
    <definedName name="Other_Europe">#REF!</definedName>
    <definedName name="Other_Europe_w">#REF!</definedName>
    <definedName name="Other_Expenses">#REF!</definedName>
    <definedName name="Other_Expenses_fore">#REF!</definedName>
    <definedName name="Other_expenses_gains">#REF!</definedName>
    <definedName name="Other_expenses_gains_fore">#REF!</definedName>
    <definedName name="Other_expenses_growth_fore">#REF!</definedName>
    <definedName name="Other_fixed_asset_turns_fore">#REF!</definedName>
    <definedName name="Other_fixed_assets_growth_fore">#REF!</definedName>
    <definedName name="Other_growth_fore">#REF!</definedName>
    <definedName name="Other_inc_exp_fore">#REF!</definedName>
    <definedName name="Other_Income">#REF!</definedName>
    <definedName name="Other_income_growth_fore">#REF!</definedName>
    <definedName name="Other_Intangibles">#REF!</definedName>
    <definedName name="Other_investments">#REF!</definedName>
    <definedName name="Other_liabilities_growth_fore">#REF!</definedName>
    <definedName name="Other_long_term_liabilities">#REF!</definedName>
    <definedName name="Other_LT_assets">#REF!</definedName>
    <definedName name="Other_Reserves">#REF!</definedName>
    <definedName name="Other_revenue_其他收入_for_IFRS">#REF!</definedName>
    <definedName name="Other_Segment_Revenues">#REF!</definedName>
    <definedName name="OtherCA">#REF!</definedName>
    <definedName name="OtherIntangibles">#REF!</definedName>
    <definedName name="ots">#REF!</definedName>
    <definedName name="ott">#REF!</definedName>
    <definedName name="OUTPUT">#REF!</definedName>
    <definedName name="outvat">#REF!</definedName>
    <definedName name="OWN">#REF!</definedName>
    <definedName name="Owner_equity">#REF!</definedName>
    <definedName name="owners_equity">#REF!</definedName>
    <definedName name="P">#REF!</definedName>
    <definedName name="P_and_L">#REF!</definedName>
    <definedName name="P_Link">#REF!</definedName>
    <definedName name="P_Product">#REF!</definedName>
    <definedName name="P_Tear">#REF!</definedName>
    <definedName name="P1_Col">#REF!</definedName>
    <definedName name="P1_Row">#REF!</definedName>
    <definedName name="P2_Col">#REF!</definedName>
    <definedName name="P2_Row">#REF!</definedName>
    <definedName name="Page1">#REF!</definedName>
    <definedName name="Page10">#REF!</definedName>
    <definedName name="page14">#REF!</definedName>
    <definedName name="page15">#REF!</definedName>
    <definedName name="Page16">#REF!</definedName>
    <definedName name="Page1A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7a">#REF!</definedName>
    <definedName name="PAGE8">#REF!</definedName>
    <definedName name="Page9">#REF!</definedName>
    <definedName name="pai">#REF!</definedName>
    <definedName name="Paid_tax">#REF!</definedName>
    <definedName name="Pamount">#REF!</definedName>
    <definedName name="pandl">#REF!</definedName>
    <definedName name="Part_Number">#REF!</definedName>
    <definedName name="PARTNERS_INITIALS">#REF!</definedName>
    <definedName name="past" hidden="1">{"Monthly6Q",#N/A,FALSE,"0614ESL"}</definedName>
    <definedName name="pat">#REF!</definedName>
    <definedName name="Payable04">#REF!</definedName>
    <definedName name="Payable05">#REF!</definedName>
    <definedName name="Payable06">#REF!</definedName>
    <definedName name="Payout">#REF!</definedName>
    <definedName name="Payout_ratio_on_underlying">#REF!</definedName>
    <definedName name="PayVAT">#REF!</definedName>
    <definedName name="pbd">#REF!</definedName>
    <definedName name="PBT">#REF!</definedName>
    <definedName name="pco">#REF!</definedName>
    <definedName name="Pcomplete">#REF!</definedName>
    <definedName name="pcx">#REF!</definedName>
    <definedName name="PD">#REF!</definedName>
    <definedName name="pd_best">#REF!</definedName>
    <definedName name="pd_down">#REF!</definedName>
    <definedName name="PD_Q">#REF!</definedName>
    <definedName name="PD_RNK_index">#REF!</definedName>
    <definedName name="pd_sd_per">#REF!</definedName>
    <definedName name="PD_UD_index">#REF!</definedName>
    <definedName name="pd_up">#REF!</definedName>
    <definedName name="pd_worst">#REF!</definedName>
    <definedName name="pde">#REF!</definedName>
    <definedName name="pdl">#REF!</definedName>
    <definedName name="pdp">#REF!</definedName>
    <definedName name="PE">OFFSET(#REF!,0,0,COUNT(#REF!),1)</definedName>
    <definedName name="peb">#REF!</definedName>
    <definedName name="pei">#REF!</definedName>
    <definedName name="pension">#REF!</definedName>
    <definedName name="Pension_provisions">#REF!</definedName>
    <definedName name="Per">#REF!</definedName>
    <definedName name="percent">#REF!</definedName>
    <definedName name="perf">#REF!</definedName>
    <definedName name="Perf_97">#REF!</definedName>
    <definedName name="Perf_98">#REF!</definedName>
    <definedName name="Perf_99">#REF!</definedName>
    <definedName name="Performance">#REF!</definedName>
    <definedName name="PerformanceDPS">#REF!</definedName>
    <definedName name="Period">12</definedName>
    <definedName name="Period_data">#REF!</definedName>
    <definedName name="PERIOD_END">#REF!</definedName>
    <definedName name="period_ended">#REF!</definedName>
    <definedName name="PERIOD_ENDING">#REF!</definedName>
    <definedName name="periodending">#REF!</definedName>
    <definedName name="PERIODSETNAME1">#REF!</definedName>
    <definedName name="PERIODSETNAME2">#REF!</definedName>
    <definedName name="Perpetuity">#REF!</definedName>
    <definedName name="pet">#REF!</definedName>
    <definedName name="pfc">#REF!</definedName>
    <definedName name="pfx">#REF!</definedName>
    <definedName name="pga">#REF!</definedName>
    <definedName name="pgp">#REF!</definedName>
    <definedName name="pgv">#REF!</definedName>
    <definedName name="pie">#REF!</definedName>
    <definedName name="PieChart">"PieChart"</definedName>
    <definedName name="pii">#REF!</definedName>
    <definedName name="pik">#REF!</definedName>
    <definedName name="pin">#REF!</definedName>
    <definedName name="piracy">#REF!</definedName>
    <definedName name="pl">#REF!</definedName>
    <definedName name="PL_Closing">#REF!</definedName>
    <definedName name="PL12_95">#REF!</definedName>
    <definedName name="PLA">#REF!</definedName>
    <definedName name="Plant____Eqipment">#REF!</definedName>
    <definedName name="Player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LFULL">#REF!</definedName>
    <definedName name="PLN">#REF!</definedName>
    <definedName name="PLQ">#REF!</definedName>
    <definedName name="PLR">#REF!</definedName>
    <definedName name="plus">#REF!</definedName>
    <definedName name="pmi">#REF!</definedName>
    <definedName name="pmp">#REF!</definedName>
    <definedName name="pni">#REF!</definedName>
    <definedName name="PNL_extraordinary_items">#REF!</definedName>
    <definedName name="PNL_other_income">#REF!</definedName>
    <definedName name="pno">#REF!</definedName>
    <definedName name="pnp">#REF!</definedName>
    <definedName name="pof">#REF!</definedName>
    <definedName name="poi">#REF!</definedName>
    <definedName name="POLYTEC">#REF!</definedName>
    <definedName name="poo">#REF!</definedName>
    <definedName name="pop">#REF!</definedName>
    <definedName name="Pop_Sig_T">#REF!</definedName>
    <definedName name="Post_tax_stock_gains_losses">#REF!</definedName>
    <definedName name="POSTERRORSTOSUSP1">#REF!</definedName>
    <definedName name="POSTERRORSTOSUSP2">#REF!</definedName>
    <definedName name="Pou_sheng">#REF!</definedName>
    <definedName name="pov">#REF!</definedName>
    <definedName name="pox">#REF!</definedName>
    <definedName name="pp">#REF!</definedName>
    <definedName name="PPnE_turns_fore">#REF!</definedName>
    <definedName name="ppp" hidden="1">{"DCF","UPSIDE CASE",FALSE,"Sheet1";"DCF","BASE CASE",FALSE,"Sheet1";"DCF","DOWNSIDE CASE",FALSE,"Sheet1"}</definedName>
    <definedName name="ppr">#REF!</definedName>
    <definedName name="ppt">#REF!</definedName>
    <definedName name="pptdev">#REF!</definedName>
    <definedName name="pptinv">#REF!</definedName>
    <definedName name="ppty_invt_Investment_portfolio">#REF!</definedName>
    <definedName name="pra">#REF!</definedName>
    <definedName name="PRCGAAP">#REF!</definedName>
    <definedName name="PRDATA">#REF!</definedName>
    <definedName name="pre">#REF!</definedName>
    <definedName name="Preferred_stock_growth_fore">#REF!</definedName>
    <definedName name="PREL00">#REF!</definedName>
    <definedName name="PREL01">#REF!</definedName>
    <definedName name="prel4">#REF!</definedName>
    <definedName name="PREL86">#REF!</definedName>
    <definedName name="PREL87">#REF!</definedName>
    <definedName name="PREL88">#REF!</definedName>
    <definedName name="PREL89">#REF!</definedName>
    <definedName name="PREL90">#REF!</definedName>
    <definedName name="PREL91">#REF!</definedName>
    <definedName name="PREL92">#REF!</definedName>
    <definedName name="PREL93">#REF!</definedName>
    <definedName name="PREL94">#REF!</definedName>
    <definedName name="PREL95">#REF!</definedName>
    <definedName name="PREL98">#REF!</definedName>
    <definedName name="PREL99">#REF!</definedName>
    <definedName name="PRENL01">#REF!</definedName>
    <definedName name="PRENL86">#REF!</definedName>
    <definedName name="PRENL87">#REF!</definedName>
    <definedName name="PRENL88">#REF!</definedName>
    <definedName name="PRENL89">#REF!</definedName>
    <definedName name="PRENL90">#REF!</definedName>
    <definedName name="PRENL91">#REF!</definedName>
    <definedName name="PRENL92">#REF!</definedName>
    <definedName name="PRENL93">#REF!</definedName>
    <definedName name="PRENL94">#REF!</definedName>
    <definedName name="PRENL95">#REF!</definedName>
    <definedName name="PRENL98">#REF!</definedName>
    <definedName name="PREPARED_BY">#REF!</definedName>
    <definedName name="PREPARED_DATE">#REF!</definedName>
    <definedName name="PREPAY">#REF!</definedName>
    <definedName name="Present_Value_Oper_lease">#REF!</definedName>
    <definedName name="Pretax_income">#REF!</definedName>
    <definedName name="Pretax_income_fore">#REF!</definedName>
    <definedName name="Pretax_profit">#REF!</definedName>
    <definedName name="pretax00">#REF!</definedName>
    <definedName name="pretax01">#REF!</definedName>
    <definedName name="pretax98">#REF!</definedName>
    <definedName name="pretax98e">#REF!</definedName>
    <definedName name="pretax99">#REF!</definedName>
    <definedName name="Price">#REF!</definedName>
    <definedName name="price_assumpt">#REF!</definedName>
    <definedName name="Price_Gap">#REF!</definedName>
    <definedName name="Price_Implied_Cost_of_Equity">#REF!</definedName>
    <definedName name="Price_Perf_f">#REF!</definedName>
    <definedName name="priceperf">#REF!</definedName>
    <definedName name="print">#REF!</definedName>
    <definedName name="_xlnm.Print_Area">#REF!</definedName>
    <definedName name="Print_Area_MI">#REF!</definedName>
    <definedName name="Print_Area_MI1">#REF!</definedName>
    <definedName name="Print_Area1">#REF!</definedName>
    <definedName name="Print_Area2">#REF!</definedName>
    <definedName name="Print_Area3">#REF!</definedName>
    <definedName name="Print_Area4">#REF!</definedName>
    <definedName name="print_title">#REF!</definedName>
    <definedName name="_xlnm.Print_Titles">#REF!</definedName>
    <definedName name="PRINT_TITLES_MI">#REF!</definedName>
    <definedName name="Print_Titles_MI1">#REF!</definedName>
    <definedName name="printarea">#REF!</definedName>
    <definedName name="PrintZone">#REF!,#REF!,#REF!,#REF!</definedName>
    <definedName name="Prior_plan">#REF!</definedName>
    <definedName name="Probability_of_Sale">#REF!</definedName>
    <definedName name="prod." hidden="1">{"summary",#N/A,FALSE,"2000 vs 1999";"detail",#N/A,FALSE,"2000 vs 1999"}</definedName>
    <definedName name="prod2000">5445341</definedName>
    <definedName name="prod2001">5032306</definedName>
    <definedName name="profit">#REF!</definedName>
    <definedName name="Profit_aft_net_finance">#REF!</definedName>
    <definedName name="Profit_and_Loss">#REF!</definedName>
    <definedName name="ProfitBeforeTax">#REF!</definedName>
    <definedName name="Projections">#REF!</definedName>
    <definedName name="ProjectName">{"Client Name or Project Name"}</definedName>
    <definedName name="PropGrwth">#REF!</definedName>
    <definedName name="PROSP">#REF!</definedName>
    <definedName name="PROSPER">#REF!</definedName>
    <definedName name="prov00">#REF!</definedName>
    <definedName name="prov01">#REF!</definedName>
    <definedName name="prov99">#REF!</definedName>
    <definedName name="Province">#REF!</definedName>
    <definedName name="Provisions">#REF!</definedName>
    <definedName name="pse">#REF!</definedName>
    <definedName name="pta">#REF!</definedName>
    <definedName name="pto">#REF!</definedName>
    <definedName name="Pub_Web">#REF!</definedName>
    <definedName name="PUBLISH1998_Print_Area">#REF!</definedName>
    <definedName name="Puma">#REF!</definedName>
    <definedName name="Purchases">#REF!</definedName>
    <definedName name="Purchases04">#REF!</definedName>
    <definedName name="Purchases05">#REF!</definedName>
    <definedName name="Purchases06">#REF!</definedName>
    <definedName name="q" hidden="1">{"Qtr Op Mgd Q2",#N/A,FALSE,"Qtr-Op (Mng)";"Qtr Op Rpt Q2",#N/A,FALSE,"Qtr-Op (Rpt)";"Operating Vs Reported",#N/A,FALSE,"Rpt-Op Inc"}</definedName>
    <definedName name="q_1993">#REF!</definedName>
    <definedName name="q_1994">#REF!</definedName>
    <definedName name="q_1995">#REF!</definedName>
    <definedName name="q_1996">#REF!</definedName>
    <definedName name="q1_93">#REF!</definedName>
    <definedName name="q1_94">#REF!</definedName>
    <definedName name="q1_95">#REF!</definedName>
    <definedName name="q1_96">#REF!</definedName>
    <definedName name="q2_93">#REF!</definedName>
    <definedName name="q2_94">#REF!</definedName>
    <definedName name="q2_95">#REF!</definedName>
    <definedName name="q2_96">#REF!</definedName>
    <definedName name="q2c">#REF!</definedName>
    <definedName name="q3_93">#REF!</definedName>
    <definedName name="q3_94">#REF!</definedName>
    <definedName name="q3_95">#REF!</definedName>
    <definedName name="q3_96">#REF!</definedName>
    <definedName name="Q3vsSeg" hidden="1">{"Monthly6Q",#N/A,FALSE,"0614ESL"}</definedName>
    <definedName name="q4_93">#REF!</definedName>
    <definedName name="q4_94">#REF!</definedName>
    <definedName name="q4_95">#REF!</definedName>
    <definedName name="q4_96">#REF!</definedName>
    <definedName name="qe" hidden="1">{"toptrial",#N/A,TRUE,"toptrial";"adjustment",#N/A,TRUE,"toptrial";"voucher",#N/A,TRUE,"toptrial"}</definedName>
    <definedName name="qegrgqr">#REF!</definedName>
    <definedName name="QITAYINGSHOU">#REF!</definedName>
    <definedName name="qq" hidden="1">{#N/A,#N/A,FALSE,"JANLN2"}</definedName>
    <definedName name="qqq">#REF!</definedName>
    <definedName name="qqqqqq">#REF!</definedName>
    <definedName name="qqqqqqqq">#REF!</definedName>
    <definedName name="qqqqqqqqq">#REF!</definedName>
    <definedName name="qqqqqqqqqq">#REF!</definedName>
    <definedName name="qqqqqqqqqqqqqqqq">#REF!</definedName>
    <definedName name="qrgrqgrg">#REF!</definedName>
    <definedName name="qryEstimateSet">#REF!</definedName>
    <definedName name="qryTicker">#REF!</definedName>
    <definedName name="QUARTERS">#REF!</definedName>
    <definedName name="Question1">#REF!</definedName>
    <definedName name="Question10">#REF!</definedName>
    <definedName name="Question11">#REF!</definedName>
    <definedName name="Question12">#REF!</definedName>
    <definedName name="Question13">#REF!</definedName>
    <definedName name="Question14">#REF!</definedName>
    <definedName name="Question2">#REF!</definedName>
    <definedName name="question20">#REF!</definedName>
    <definedName name="Question3">#REF!</definedName>
    <definedName name="Question4">#REF!</definedName>
    <definedName name="Question5">#REF!</definedName>
    <definedName name="Question6">#REF!</definedName>
    <definedName name="Question7">#REF!</definedName>
    <definedName name="Question8">#REF!</definedName>
    <definedName name="Question9">#REF!</definedName>
    <definedName name="Quoted_investments">#REF!</definedName>
    <definedName name="QuoteSheet">#REF!</definedName>
    <definedName name="qwd">#REF!</definedName>
    <definedName name="QWE" hidden="1">{"Monthly6Q",#N/A,FALSE,"0614ESL"}</definedName>
    <definedName name="qwwww">#REF!</definedName>
    <definedName name="R_D">#REF!</definedName>
    <definedName name="R_D_amort_years">#REF!</definedName>
    <definedName name="R_D_Amortization">#REF!</definedName>
    <definedName name="R_D_expense">#REF!</definedName>
    <definedName name="rad">#REF!</definedName>
    <definedName name="raise">#REF!</definedName>
    <definedName name="RANGE">#REF!</definedName>
    <definedName name="RANGEO">#REF!</definedName>
    <definedName name="RANGET">#REF!</definedName>
    <definedName name="RAT">#REF!</definedName>
    <definedName name="rate011">#REF!</definedName>
    <definedName name="rate012">#REF!</definedName>
    <definedName name="rate01a">#REF!</definedName>
    <definedName name="rate021">#REF!</definedName>
    <definedName name="rate022">#REF!</definedName>
    <definedName name="rate02a">#REF!</definedName>
    <definedName name="rate02b">#REF!</definedName>
    <definedName name="rate031">#REF!</definedName>
    <definedName name="rate032">#REF!</definedName>
    <definedName name="rate03a">#REF!</definedName>
    <definedName name="rate03b">#REF!</definedName>
    <definedName name="rate041">#REF!</definedName>
    <definedName name="rate042">#REF!</definedName>
    <definedName name="rate051">#REF!</definedName>
    <definedName name="rate052">#REF!</definedName>
    <definedName name="rate061">#REF!</definedName>
    <definedName name="rate062">#REF!</definedName>
    <definedName name="rate071">#REF!</definedName>
    <definedName name="rate072">#REF!</definedName>
    <definedName name="rate081">#REF!</definedName>
    <definedName name="rate082">#REF!</definedName>
    <definedName name="rate091">#REF!</definedName>
    <definedName name="rate092">#REF!</definedName>
    <definedName name="rate1001">#REF!</definedName>
    <definedName name="rate1002">#REF!</definedName>
    <definedName name="rate101">#REF!</definedName>
    <definedName name="rate102">#REF!</definedName>
    <definedName name="rate11">#REF!</definedName>
    <definedName name="rate1101">#REF!</definedName>
    <definedName name="rate1102">#REF!</definedName>
    <definedName name="rate111">#REF!</definedName>
    <definedName name="rate112">#REF!</definedName>
    <definedName name="rate12">#REF!</definedName>
    <definedName name="rate1201">#REF!</definedName>
    <definedName name="rate1202">#REF!</definedName>
    <definedName name="rate121">#REF!</definedName>
    <definedName name="rate122">#REF!</definedName>
    <definedName name="rate21">#REF!</definedName>
    <definedName name="rate22">#REF!</definedName>
    <definedName name="rate31">#REF!</definedName>
    <definedName name="rate32">#REF!</definedName>
    <definedName name="rate41">#REF!</definedName>
    <definedName name="rate42">#REF!</definedName>
    <definedName name="rate51">#REF!</definedName>
    <definedName name="rate52">#REF!</definedName>
    <definedName name="rate61">#REF!</definedName>
    <definedName name="rate62">#REF!</definedName>
    <definedName name="rate71">#REF!</definedName>
    <definedName name="rate72">#REF!</definedName>
    <definedName name="rate81">#REF!</definedName>
    <definedName name="rate82">#REF!</definedName>
    <definedName name="rate91">#REF!</definedName>
    <definedName name="rate92">#REF!</definedName>
    <definedName name="RATES">#REF!</definedName>
    <definedName name="RATES2">#REF!</definedName>
    <definedName name="Ratio_Data">#REF!</definedName>
    <definedName name="RatioAnalyses">#REF!</definedName>
    <definedName name="RATIOFULL">#REF!</definedName>
    <definedName name="RATIOS">#REF!</definedName>
    <definedName name="Ratoc_Num">#REF!</definedName>
    <definedName name="rce">#REF!</definedName>
    <definedName name="rcr">#REF!</definedName>
    <definedName name="rdbms">#REF!</definedName>
    <definedName name="rdbms2">#REF!</definedName>
    <definedName name="rde">#REF!</definedName>
    <definedName name="re">#REF!</definedName>
    <definedName name="Reason_for_Win_Loss">#REF!</definedName>
    <definedName name="rec">#REF!</definedName>
    <definedName name="Rec.Asset_Debt">0</definedName>
    <definedName name="recap">#REF!</definedName>
    <definedName name="Receivables">#REF!</definedName>
    <definedName name="reconciliation" hidden="1">{#N/A,#N/A,FALSE,"供料净化车间"}</definedName>
    <definedName name="_xlnm.Recorder">#REF!</definedName>
    <definedName name="REEXYTDCG">#N/A</definedName>
    <definedName name="ref">#REF!</definedName>
    <definedName name="Ref_Data">#REF!</definedName>
    <definedName name="Ref_Hdr">#REF!</definedName>
    <definedName name="REGAL">#REF!</definedName>
    <definedName name="region">#REF!</definedName>
    <definedName name="Region_code">#REF!</definedName>
    <definedName name="Related_Co_Current">#REF!</definedName>
    <definedName name="Related_Co_Prior">#REF!</definedName>
    <definedName name="Related_Parties_Current">#REF!</definedName>
    <definedName name="Related_Parties_Prior">#REF!</definedName>
    <definedName name="rep" hidden="1">{#N/A,#N/A,FALSE,"COVER";#N/A,#N/A,FALSE,"VALUATION";#N/A,#N/A,FALSE,"FORECAST";#N/A,#N/A,FALSE,"FY ANALYSIS ";#N/A,#N/A,FALSE," HY ANALYSIS"}</definedName>
    <definedName name="Report">#REF!</definedName>
    <definedName name="Reported_net_income">#REF!</definedName>
    <definedName name="REPORTED_PRETAX_PROFIT">#REF!</definedName>
    <definedName name="ReportTable">#REF!</definedName>
    <definedName name="reqdetails">#REF!</definedName>
    <definedName name="Required_cash_percent">#REF!</definedName>
    <definedName name="resincome">#REF!</definedName>
    <definedName name="RESPONSIBILITYAPPLICATIONID1">#REF!</definedName>
    <definedName name="RESPONSIBILITYAPPLICATIONID2">#REF!</definedName>
    <definedName name="RESPONSIBILITYID1">#REF!</definedName>
    <definedName name="RESPONSIBILITYID2">#REF!</definedName>
    <definedName name="RESPONSIBILITYNAME1">#REF!</definedName>
    <definedName name="RESPONSIBILITYNAME2">#REF!</definedName>
    <definedName name="RestatedSales_01">#REF!</definedName>
    <definedName name="Restricted_equity">#REF!</definedName>
    <definedName name="Restructuring">#REF!</definedName>
    <definedName name="Restructuring_charges">#REF!</definedName>
    <definedName name="Restructuring_charges_growth_fore">#REF!</definedName>
    <definedName name="Results">#REF!</definedName>
    <definedName name="Retained_Earnings">#REF!</definedName>
    <definedName name="retertw" hidden="1">{"summary",#N/A,FALSE,"2000 vs 1999";"detail",#N/A,FALSE,"2000 vs 1999"}</definedName>
    <definedName name="returns">#REF!</definedName>
    <definedName name="rev">#REF!</definedName>
    <definedName name="rev_92">#REF!</definedName>
    <definedName name="rev_93">#REF!</definedName>
    <definedName name="rev_94">#REF!</definedName>
    <definedName name="rev_95">#REF!</definedName>
    <definedName name="Revaluation_Reserves">#REF!</definedName>
    <definedName name="Revenue">#REF!</definedName>
    <definedName name="Revenue_2">#REF!</definedName>
    <definedName name="Revenues">#REF!</definedName>
    <definedName name="Revlon" localSheetId="0" hidden="1">{"ASCONGRP","COMPANIES",TRUE}</definedName>
    <definedName name="Revlon" hidden="1">{"ASCONGRP","COMPANIES",TRUE}</definedName>
    <definedName name="RevLow">#REF!</definedName>
    <definedName name="REVQ191">#REF!</definedName>
    <definedName name="REVQ192">#REF!</definedName>
    <definedName name="REVQ193">#REF!</definedName>
    <definedName name="REVQ194">#REF!</definedName>
    <definedName name="REVQ195">#REF!</definedName>
    <definedName name="REVQ196">#REF!</definedName>
    <definedName name="REVQ197">#REF!</definedName>
    <definedName name="REVQ291">#REF!</definedName>
    <definedName name="REVQ292">#REF!</definedName>
    <definedName name="REVQ293">#REF!</definedName>
    <definedName name="REVQ294">#REF!</definedName>
    <definedName name="REVQ295">#REF!</definedName>
    <definedName name="REVQ296">#REF!</definedName>
    <definedName name="REVQ297">#REF!</definedName>
    <definedName name="REVQ391">#REF!</definedName>
    <definedName name="REVQ392">#REF!</definedName>
    <definedName name="REVQ393">#REF!</definedName>
    <definedName name="REVQ394">#REF!</definedName>
    <definedName name="REVQ395">#REF!</definedName>
    <definedName name="REVQ396">#REF!</definedName>
    <definedName name="REVQ397">#REF!</definedName>
    <definedName name="REVQ490">#REF!</definedName>
    <definedName name="REVQ491">#REF!</definedName>
    <definedName name="REVQ492">#REF!</definedName>
    <definedName name="REVQ493">#REF!</definedName>
    <definedName name="REVQ494">#REF!</definedName>
    <definedName name="REVQ495">#REF!</definedName>
    <definedName name="REVQ496">#REF!</definedName>
    <definedName name="REVQ497">#REF!</definedName>
    <definedName name="revs_cellular_total">#REF!</definedName>
    <definedName name="revs_internet">#REF!</definedName>
    <definedName name="revs_other">#REF!</definedName>
    <definedName name="REXYT">#N/A</definedName>
    <definedName name="rfa">#REF!</definedName>
    <definedName name="RFDate">OFFSET(#REF!,0,0,COUNTA(#REF!)-22,1)</definedName>
    <definedName name="RFDisc">OFFSET(#REF!,0,0,COUNTA(#REF!)-5,1)</definedName>
    <definedName name="RFPrice">OFFSET(#REF!,0,0,COUNTA(#REF!)-3,1)</definedName>
    <definedName name="rfs">#REF!</definedName>
    <definedName name="rmcCategory">"PLAN*"</definedName>
    <definedName name="rmcFrequency">"YTD*"</definedName>
    <definedName name="RMCOptions">"*100000000000000"</definedName>
    <definedName name="RnD_expense">#REF!</definedName>
    <definedName name="RnD_expense_fore">#REF!</definedName>
    <definedName name="RnD_expense_growth_fore">#REF!</definedName>
    <definedName name="RnD_expenses_fore">#REF!</definedName>
    <definedName name="rnf">#REF!</definedName>
    <definedName name="rngInvoice">#REF!</definedName>
    <definedName name="RNK_index">#REF!</definedName>
    <definedName name="rns">#REF!</definedName>
    <definedName name="roce01">#REF!</definedName>
    <definedName name="roce02">#REF!</definedName>
    <definedName name="roce03">#REF!</definedName>
    <definedName name="roce04">#REF!</definedName>
    <definedName name="rot">#REF!</definedName>
    <definedName name="row">#REF!</definedName>
    <definedName name="Row_Acc1">#REF!</definedName>
    <definedName name="Row_Acc2">#REF!</definedName>
    <definedName name="RoW_w">#REF!</definedName>
    <definedName name="rowheight">#REF!</definedName>
    <definedName name="ROWSTOUPLOAD1">#REF!</definedName>
    <definedName name="ROWSTOUPLOAD2">#REF!</definedName>
    <definedName name="Royalties">#REF!</definedName>
    <definedName name="rq">#N/A</definedName>
    <definedName name="rr">#REF!</definedName>
    <definedName name="rre">#REF!</definedName>
    <definedName name="rrr">#REF!</definedName>
    <definedName name="rrrevenue">#REF!</definedName>
    <definedName name="rrrr" hidden="1">{#N/A,#N/A,FALSE,"UNIT";#N/A,#N/A,FALSE,"UNIT";#N/A,#N/A,FALSE,"계정"}</definedName>
    <definedName name="rrrrrrrrrrrrrrrr">#REF!</definedName>
    <definedName name="rs">#REF!</definedName>
    <definedName name="RS_10">#REF!</definedName>
    <definedName name="RS_11">#REF!</definedName>
    <definedName name="RS_13">#REF!</definedName>
    <definedName name="RS_14">#REF!</definedName>
    <definedName name="RS_15">#REF!</definedName>
    <definedName name="RS_16">#REF!</definedName>
    <definedName name="RS_17">#REF!</definedName>
    <definedName name="RS_18">#REF!</definedName>
    <definedName name="RS_19">#REF!</definedName>
    <definedName name="RS_192">#REF!</definedName>
    <definedName name="RS_2">#REF!</definedName>
    <definedName name="RS_20">#REF!</definedName>
    <definedName name="RS_21">#REF!</definedName>
    <definedName name="RS_22">#REF!</definedName>
    <definedName name="RS_24">#REF!</definedName>
    <definedName name="RS_25">#REF!</definedName>
    <definedName name="RS_26">#REF!</definedName>
    <definedName name="RS_27">#REF!</definedName>
    <definedName name="RS_28">#REF!</definedName>
    <definedName name="RS_291">#REF!</definedName>
    <definedName name="RS_292">#REF!</definedName>
    <definedName name="RS_3">#REF!</definedName>
    <definedName name="RS_30">#REF!</definedName>
    <definedName name="RS_311">#REF!</definedName>
    <definedName name="RS_312">#REF!</definedName>
    <definedName name="RS_4">#REF!</definedName>
    <definedName name="RS_6">#REF!</definedName>
    <definedName name="RS_8">#REF!</definedName>
    <definedName name="RS_9">#REF!</definedName>
    <definedName name="RSA_CARD">#REF!</definedName>
    <definedName name="RSA_DISCOUNT">#REF!</definedName>
    <definedName name="rtwe" hidden="1">{"summary",#N/A,FALSE,"2000 vs 1999";"detail",#N/A,FALSE,"2000 vs 1999"}</definedName>
    <definedName name="RTYRYRT" hidden="1">{#N/A,#N/A,FALSE,"JANLN2"}</definedName>
    <definedName name="RTYRYTRY" hidden="1">{"summary",#N/A,FALSE,"2000 vs 1999";"detail",#N/A,FALSE,"2000 vs 1999"}</definedName>
    <definedName name="rtyui">#REF!</definedName>
    <definedName name="Rupee">#REF!</definedName>
    <definedName name="rus">#REF!</definedName>
    <definedName name="rw">#REF!</definedName>
    <definedName name="rwc">#REF!</definedName>
    <definedName name="rwt">#REF!</definedName>
    <definedName name="ry">#REF!</definedName>
    <definedName name="RYRTYRT" hidden="1">{#N/A,#N/A,FALSE,"JANLN2"}</definedName>
    <definedName name="RYRYRTY" hidden="1">{"summary",#N/A,FALSE,"2000 vs 1999";"detail",#N/A,FALSE,"2000 vs 1999"}</definedName>
    <definedName name="RYTR" hidden="1">{"summary",#N/A,FALSE,"2000 vs 1999";"detail",#N/A,FALSE,"2000 vs 1999"}</definedName>
    <definedName name="RYTRTYTY" hidden="1">{"summary",#N/A,FALSE,"2000 vs 1999";"detail",#N/A,FALSE,"2000 vs 1999"}</definedName>
    <definedName name="RZ_10">#REF!</definedName>
    <definedName name="RZ_11">#REF!</definedName>
    <definedName name="RZ_13">#REF!</definedName>
    <definedName name="RZ_14">#REF!</definedName>
    <definedName name="RZ_15">#REF!</definedName>
    <definedName name="RZ_16">#REF!</definedName>
    <definedName name="RZ_17">#REF!</definedName>
    <definedName name="RZ_18">#REF!</definedName>
    <definedName name="RZ_19">#REF!</definedName>
    <definedName name="RZ_192">#REF!</definedName>
    <definedName name="RZ_2">#REF!</definedName>
    <definedName name="RZ_20">#REF!</definedName>
    <definedName name="RZ_21">#REF!</definedName>
    <definedName name="RZ_22">#REF!</definedName>
    <definedName name="RZ_24">#REF!</definedName>
    <definedName name="RZ_25">#REF!</definedName>
    <definedName name="RZ_26">#REF!</definedName>
    <definedName name="RZ_27">#REF!</definedName>
    <definedName name="RZ_28">#REF!</definedName>
    <definedName name="RZ_291">#REF!</definedName>
    <definedName name="RZ_292">#REF!</definedName>
    <definedName name="RZ_3">#REF!</definedName>
    <definedName name="RZ_30">#REF!</definedName>
    <definedName name="RZ_311">#REF!</definedName>
    <definedName name="RZ_312">#REF!</definedName>
    <definedName name="RZ_4">#REF!</definedName>
    <definedName name="RZ_6">#REF!</definedName>
    <definedName name="RZ_8">#REF!</definedName>
    <definedName name="RZ_9">#REF!</definedName>
    <definedName name="s" hidden="1">#REF!</definedName>
    <definedName name="s_Pro." hidden="1">{#N/A,#N/A,FALSE,"UNIT";#N/A,#N/A,FALSE,"UNIT";#N/A,#N/A,FALSE,"계정"}</definedName>
    <definedName name="sa100_disc">#REF!</definedName>
    <definedName name="sad">#REF!</definedName>
    <definedName name="sadas">#REF!</definedName>
    <definedName name="sadf">#REF!</definedName>
    <definedName name="sadjfklj">#REF!</definedName>
    <definedName name="saf">#REF!</definedName>
    <definedName name="safds" hidden="1">{"summary",#N/A,FALSE,"2000 vs 1999";"detail",#N/A,FALSE,"2000 vs 1999"}</definedName>
    <definedName name="safdsagsa" hidden="1">{"summary",#N/A,FALSE,"2000 vs 1999";"detail",#N/A,FALSE,"2000 vs 1999"}</definedName>
    <definedName name="safdsg" hidden="1">{"summary",#N/A,FALSE,"2000 vs 1999";"detail",#N/A,FALSE,"2000 vs 1999"}</definedName>
    <definedName name="sag">#N/A</definedName>
    <definedName name="sagdsgds" hidden="1">{"summary",#N/A,FALSE,"2000 vs 1999";"detail",#N/A,FALSE,"2000 vs 1999"}</definedName>
    <definedName name="sagfdsgads" hidden="1">{"summary",#N/A,FALSE,"2000 vs 1999";"detail",#N/A,FALSE,"2000 vs 1999"}</definedName>
    <definedName name="sal">#REF!</definedName>
    <definedName name="Sales">#REF!,#REF!,#REF!,#REF!</definedName>
    <definedName name="Sales_00">#REF!</definedName>
    <definedName name="Sales_01">#REF!</definedName>
    <definedName name="Sales_02">#REF!</definedName>
    <definedName name="Sales_03">#REF!</definedName>
    <definedName name="Sales_04">#REF!</definedName>
    <definedName name="Sales_05">#REF!</definedName>
    <definedName name="Sales_06">#REF!</definedName>
    <definedName name="Sales_07">#REF!</definedName>
    <definedName name="Sales_08">#REF!</definedName>
    <definedName name="sales_1997">#REF!</definedName>
    <definedName name="sales_2001">#REF!</definedName>
    <definedName name="sales_2002">#REF!</definedName>
    <definedName name="sales_2003">#REF!</definedName>
    <definedName name="sales_2004">#REF!</definedName>
    <definedName name="Sales_92">#REF!</definedName>
    <definedName name="Sales_93">#REF!</definedName>
    <definedName name="Sales_94">#REF!</definedName>
    <definedName name="Sales_95">#REF!</definedName>
    <definedName name="Sales_96">#REF!</definedName>
    <definedName name="Sales_97">#REF!</definedName>
    <definedName name="Sales_98">#REF!</definedName>
    <definedName name="Sales_99">#REF!</definedName>
    <definedName name="sales_eu_01">#REF!</definedName>
    <definedName name="sales_eu_02">#REF!</definedName>
    <definedName name="sales_eu_03">#REF!</definedName>
    <definedName name="sales_eu_04">#REF!</definedName>
    <definedName name="sales_growth_1997">#REF!</definedName>
    <definedName name="sales_growth_97">#REF!</definedName>
    <definedName name="Sales_growth_avg">#REF!</definedName>
    <definedName name="SALES_TRANSACTION_TEST_DETAILS">#REF!</definedName>
    <definedName name="sales_volume">#REF!</definedName>
    <definedName name="sales01">#REF!</definedName>
    <definedName name="sales02">#REF!</definedName>
    <definedName name="sales03">#REF!</definedName>
    <definedName name="sales04">#REF!</definedName>
    <definedName name="SAPBEXrevision" hidden="1">2</definedName>
    <definedName name="SAPBEXsysID" hidden="1">"BP0"</definedName>
    <definedName name="SAPBEXwbID" hidden="1">"3VW2QXS9UBU3SPGWH531QKIIM"</definedName>
    <definedName name="sas">#REF!</definedName>
    <definedName name="Scatter">"Scatter"</definedName>
    <definedName name="scen_change" hidden="1">#REF!</definedName>
    <definedName name="scen_date1" hidden="1">34337.506400463</definedName>
    <definedName name="scen_name1" hidden="1">"/tar"</definedName>
    <definedName name="scen_num" hidden="1">1</definedName>
    <definedName name="scen_user1" hidden="1">"Williams Eileen"</definedName>
    <definedName name="scen_value1" hidden="1">"NM"</definedName>
    <definedName name="Scenario">#REF!</definedName>
    <definedName name="ScenarioList">#REF!</definedName>
    <definedName name="Schedule">#REF!</definedName>
    <definedName name="SCHEDULE_10_K_15">"print title"</definedName>
    <definedName name="ScheduleTemplateRange">#REF!</definedName>
    <definedName name="Schematic">#REF!</definedName>
    <definedName name="Schroder_exceptionals">#REF!</definedName>
    <definedName name="Score_ED">#REF!</definedName>
    <definedName name="Score_PD">#REF!</definedName>
    <definedName name="Score_Val">#REF!</definedName>
    <definedName name="sd">#REF!</definedName>
    <definedName name="sda" hidden="1">#REF!</definedName>
    <definedName name="sdagds" hidden="1">{"summary",#N/A,FALSE,"2000 vs 1999";"detail",#N/A,FALSE,"2000 vs 1999"}</definedName>
    <definedName name="sddd" hidden="1">{"summary",#N/A,FALSE,"2000 vs 1999";"detail",#N/A,FALSE,"2000 vs 1999"}</definedName>
    <definedName name="sdf" hidden="1">{#N/A,#N/A,FALSE,"summary"}</definedName>
    <definedName name="sdfafjkeawjoagiarg">#REF!</definedName>
    <definedName name="sdffs">MONTH(#REF!)</definedName>
    <definedName name="sdfgsdfg" hidden="1">{#N/A,#N/A,FALSE,"UNIT";#N/A,#N/A,FALSE,"UNIT";#N/A,#N/A,FALSE,"계정"}</definedName>
    <definedName name="sdfjadf">#REF!</definedName>
    <definedName name="sdfsadgds" hidden="1">{"summary",#N/A,FALSE,"2000 vs 1999";"detail",#N/A,FALSE,"2000 vs 1999"}</definedName>
    <definedName name="sdfwfdes" hidden="1">{"summary",#N/A,FALSE,"2000 vs 1999";"detail",#N/A,FALSE,"2000 vs 1999"}</definedName>
    <definedName name="sdgdsfg" hidden="1">{"summary",#N/A,FALSE,"2000 vs 1999";"detail",#N/A,FALSE,"2000 vs 1999"}</definedName>
    <definedName name="sdgdsgs" hidden="1">{"summary",#N/A,FALSE,"2000 vs 1999";"detail",#N/A,FALSE,"2000 vs 1999"}</definedName>
    <definedName name="sdggjg">#REF!</definedName>
    <definedName name="sdgsdg" hidden="1">{"summary",#N/A,FALSE,"2000 vs 1999";"detail",#N/A,FALSE,"2000 vs 1999"}</definedName>
    <definedName name="sds">#REF!</definedName>
    <definedName name="sdsd">#REF!</definedName>
    <definedName name="SE">#REF!</definedName>
    <definedName name="Sector">#REF!</definedName>
    <definedName name="Sector_index">#REF!</definedName>
    <definedName name="Segment1_income">#REF!</definedName>
    <definedName name="Segment1_income_DCF">#REF!</definedName>
    <definedName name="Segment1_income_fore">#REF!</definedName>
    <definedName name="Segment1_income_growth_fore">#REF!</definedName>
    <definedName name="Segment2_income">#REF!</definedName>
    <definedName name="Segment2_income_DCF">#REF!</definedName>
    <definedName name="Segment2_income_fore">#REF!</definedName>
    <definedName name="Segment2_income_growth_fore">#REF!</definedName>
    <definedName name="Select_model">#REF!</definedName>
    <definedName name="seller">#REF!</definedName>
    <definedName name="sencount" hidden="1">1</definedName>
    <definedName name="sergrh">#REF!</definedName>
    <definedName name="Series">"Series"</definedName>
    <definedName name="Service">#REF!</definedName>
    <definedName name="SETOFBOOKSID1">#REF!</definedName>
    <definedName name="SETOFBOOKSID2">#REF!</definedName>
    <definedName name="SETOFBOOKSNAME1">#REF!</definedName>
    <definedName name="SETOFBOOKSNAME2">#REF!</definedName>
    <definedName name="Setup">#REF!</definedName>
    <definedName name="sf" hidden="1">#REF!</definedName>
    <definedName name="sfasgdf" hidden="1">{"summary",#N/A,FALSE,"2000 vs 1999";"detail",#N/A,FALSE,"2000 vs 1999"}</definedName>
    <definedName name="sfasgds" hidden="1">{"summary",#N/A,FALSE,"2000 vs 1999";"detail",#N/A,FALSE,"2000 vs 1999"}</definedName>
    <definedName name="SFD" hidden="1">{"summary",#N/A,FALSE,"2000 vs 1999";"detail",#N/A,FALSE,"2000 vs 1999"}</definedName>
    <definedName name="sfdasgdg" hidden="1">{#N/A,#N/A,FALSE,"JANLN2"}</definedName>
    <definedName name="SFDS" hidden="1">{"summary",#N/A,FALSE,"2000 vs 1999";"detail",#N/A,FALSE,"2000 vs 1999"}</definedName>
    <definedName name="sfdsf" hidden="1">{"summary",#N/A,FALSE,"2000 vs 1999";"detail",#N/A,FALSE,"2000 vs 1999"}</definedName>
    <definedName name="sfghtj" hidden="1">{#N/A,#N/A,FALSE,"UNIT";#N/A,#N/A,FALSE,"UNIT";#N/A,#N/A,FALSE,"계정"}</definedName>
    <definedName name="sFormat">#REF!</definedName>
    <definedName name="sFreq">#REF!</definedName>
    <definedName name="sfsd" hidden="1">{"summary",#N/A,FALSE,"2000 vs 1999";"detail",#N/A,FALSE,"2000 vs 1999"}</definedName>
    <definedName name="SGA">#REF!</definedName>
    <definedName name="SGA_fore">#REF!</definedName>
    <definedName name="SGA_growth">#REF!</definedName>
    <definedName name="SGA_growth_avg">#REF!</definedName>
    <definedName name="SGA_growth_fore">#REF!</definedName>
    <definedName name="SGA_margin_fore">#REF!</definedName>
    <definedName name="sgasgds" hidden="1">{"summary",#N/A,FALSE,"2000 vs 1999";"detail",#N/A,FALSE,"2000 vs 1999"}</definedName>
    <definedName name="sgdfagdsgd" hidden="1">{"summary",#N/A,FALSE,"2000 vs 1999";"detail",#N/A,FALSE,"2000 vs 1999"}</definedName>
    <definedName name="sgdnew">#REF!</definedName>
    <definedName name="sgdold">#REF!</definedName>
    <definedName name="sgdsagd" hidden="1">{"summary",#N/A,FALSE,"2000 vs 1999";"detail",#N/A,FALSE,"2000 vs 1999"}</definedName>
    <definedName name="sgdsgsg" hidden="1">{"summary",#N/A,FALSE,"2000 vs 1999";"detail",#N/A,FALSE,"2000 vs 1999"}</definedName>
    <definedName name="sha" hidden="1">{#N/A,#N/A,FALSE,"供料净化车间"}</definedName>
    <definedName name="SHAO01">#REF!</definedName>
    <definedName name="SHAO86">#REF!</definedName>
    <definedName name="SHAO87">#REF!</definedName>
    <definedName name="SHAO88">#REF!</definedName>
    <definedName name="SHAO89">#REF!</definedName>
    <definedName name="SHAO90">#REF!</definedName>
    <definedName name="SHAO91">#REF!</definedName>
    <definedName name="SHAO92">#REF!</definedName>
    <definedName name="SHAO93">#REF!</definedName>
    <definedName name="SHAO94">#REF!</definedName>
    <definedName name="SHAO95">#REF!</definedName>
    <definedName name="SHAP00">#REF!</definedName>
    <definedName name="SHAP01">#REF!</definedName>
    <definedName name="SHAP86">#REF!</definedName>
    <definedName name="SHAP87">#REF!</definedName>
    <definedName name="SHAP88">#REF!</definedName>
    <definedName name="SHAP89">#REF!</definedName>
    <definedName name="SHAP90">#REF!</definedName>
    <definedName name="SHAP91">#REF!</definedName>
    <definedName name="SHAP92">#REF!</definedName>
    <definedName name="SHAP93">#REF!</definedName>
    <definedName name="SHAP94">#REF!</definedName>
    <definedName name="SHAP95">#REF!</definedName>
    <definedName name="SHAP96">#REF!</definedName>
    <definedName name="SHAP97">#REF!</definedName>
    <definedName name="SHAP98">#REF!</definedName>
    <definedName name="SHAP99">#REF!</definedName>
    <definedName name="Share_Capital">#REF!</definedName>
    <definedName name="Share_Data">#REF!</definedName>
    <definedName name="Share_Premium">#REF!</definedName>
    <definedName name="Share_price">#REF!</definedName>
    <definedName name="Share_Transactions">#REF!</definedName>
    <definedName name="Share_Transactions_HL_buying_Amoy">#REF!</definedName>
    <definedName name="Shareholder_Current">#REF!</definedName>
    <definedName name="Shareholder_Prior">#REF!</definedName>
    <definedName name="Shares">#REF!</definedName>
    <definedName name="shares_01">#REF!</definedName>
    <definedName name="shares_02">#REF!</definedName>
    <definedName name="shares_03">#REF!</definedName>
    <definedName name="shares_04">#REF!</definedName>
    <definedName name="Shares_DCF">#REF!</definedName>
    <definedName name="Shares_fore">#REF!</definedName>
    <definedName name="Shares_growth">#REF!</definedName>
    <definedName name="Shares_growth_fore">#REF!</definedName>
    <definedName name="shares_plc_00">#REF!</definedName>
    <definedName name="Shares_repurchase_liability">#REF!</definedName>
    <definedName name="SHARES00">#REF!,#REF!</definedName>
    <definedName name="SHARES98">#REF!,#REF!</definedName>
    <definedName name="SHARES99">#REF!,#REF!</definedName>
    <definedName name="sharesav00">#REF!</definedName>
    <definedName name="sharesav01">#REF!</definedName>
    <definedName name="sharesav99">#REF!</definedName>
    <definedName name="Sharesfd">#REF!</definedName>
    <definedName name="shareswtd">#REF!</definedName>
    <definedName name="SHAS00">#REF!</definedName>
    <definedName name="SHAS01">#REF!</definedName>
    <definedName name="SHAS86">#REF!</definedName>
    <definedName name="SHAS87">#REF!</definedName>
    <definedName name="SHAS88">#REF!</definedName>
    <definedName name="SHAS89">#REF!</definedName>
    <definedName name="SHAS90">#REF!</definedName>
    <definedName name="SHAS91">#REF!</definedName>
    <definedName name="SHAS92">#REF!</definedName>
    <definedName name="SHAS93">#REF!</definedName>
    <definedName name="SHAS94">#REF!</definedName>
    <definedName name="SHAS95">#REF!</definedName>
    <definedName name="SHAS96">#REF!</definedName>
    <definedName name="SHAS97">#REF!</definedName>
    <definedName name="SHAS98">#REF!</definedName>
    <definedName name="SHAS99">#REF!</definedName>
    <definedName name="SHDate">OFFSET(#REF!,0,0,COUNTA(#REF!),1)</definedName>
    <definedName name="Sheet">#REF!</definedName>
    <definedName name="sheet_name">#REF!</definedName>
    <definedName name="Sheet1">#REF!</definedName>
    <definedName name="sheet100">#REF!</definedName>
    <definedName name="sheet1001">#REF!</definedName>
    <definedName name="sheet1002">#REF!</definedName>
    <definedName name="Sheet2">#REF!</definedName>
    <definedName name="Sheet3">#REF!</definedName>
    <definedName name="Sheet4">#REF!</definedName>
    <definedName name="Sheet5">#REF!</definedName>
    <definedName name="Sheet57">#REF!</definedName>
    <definedName name="Sheet59">#REF!</definedName>
    <definedName name="Sheet6">#REF!</definedName>
    <definedName name="Sheet60">#REF!</definedName>
    <definedName name="Sheet63">#REF!</definedName>
    <definedName name="Sheet64">#REF!</definedName>
    <definedName name="Sheet65">#REF!</definedName>
    <definedName name="Sheet66">#REF!</definedName>
    <definedName name="Sheet67">#REF!</definedName>
    <definedName name="Sheet68">#REF!</definedName>
    <definedName name="Sheet7">#REF!</definedName>
    <definedName name="Sheet70">#REF!</definedName>
    <definedName name="Sheet71">#REF!</definedName>
    <definedName name="Sheet73">#REF!</definedName>
    <definedName name="Sheet74">#REF!</definedName>
    <definedName name="Sheet75">#REF!</definedName>
    <definedName name="Sheet76">#REF!</definedName>
    <definedName name="Sheet77">#REF!</definedName>
    <definedName name="Sheet78">#REF!</definedName>
    <definedName name="Sheet79">#REF!</definedName>
    <definedName name="Sheet8">#REF!</definedName>
    <definedName name="Sheet80">#REF!</definedName>
    <definedName name="Sheet81">#REF!</definedName>
    <definedName name="Sheet82">#REF!</definedName>
    <definedName name="Sheet83">#REF!</definedName>
    <definedName name="Sheet84">#REF!</definedName>
    <definedName name="Sheet85">#REF!</definedName>
    <definedName name="Sheet87">#REF!</definedName>
    <definedName name="Sheet88">#REF!</definedName>
    <definedName name="Sheet89">#REF!</definedName>
    <definedName name="Sheet9">#REF!</definedName>
    <definedName name="shene">#REF!</definedName>
    <definedName name="sheq">#REF!</definedName>
    <definedName name="SHGFA">OFFSET(#REF!,0,0,COUNTA(#REF!)-1,1)</definedName>
    <definedName name="ShimaoDate">OFFSET(#REF!,0,0,COUNTA(#REF!)-37,1)</definedName>
    <definedName name="ShimaoDisc">OFFSET(#REF!,0,0,COUNTA(#REF!)-5,1)</definedName>
    <definedName name="ShimaoPrice">OFFSET(#REF!,0,0,COUNTA(#REF!)-3,1)</definedName>
    <definedName name="shipment">#REF!</definedName>
    <definedName name="shishi">#REF!</definedName>
    <definedName name="SHKP">#REF!</definedName>
    <definedName name="ShNo_Cell">#REF!</definedName>
    <definedName name="ShNo_ColOff">#REF!</definedName>
    <definedName name="ShNo_RowOff">#REF!</definedName>
    <definedName name="SholdersEquity">#REF!</definedName>
    <definedName name="Short_term\">#REF!</definedName>
    <definedName name="Short_term_debt">#REF!</definedName>
    <definedName name="Short_term_liability">#REF!</definedName>
    <definedName name="ShowDetails">#REF!</definedName>
    <definedName name="SHPrice">OFFSET(#REF!,0,0,COUNTA(#REF!)-1,1)</definedName>
    <definedName name="SHRF">#N/A</definedName>
    <definedName name="SHRFULL">#REF!</definedName>
    <definedName name="SHUNTAK">#REF!</definedName>
    <definedName name="singmscifxfactor">#REF!</definedName>
    <definedName name="singmscinew">#REF!</definedName>
    <definedName name="singmsciold">#REF!</definedName>
    <definedName name="SINO">#REF!</definedName>
    <definedName name="SinoOceanDate">OFFSET(#REF!,0,0,COUNTA(#REF!)-109,1)</definedName>
    <definedName name="SinoOceanDisc">OFFSET(#REF!,0,0,COUNTA(#REF!)-5,1)</definedName>
    <definedName name="SinoOceanPrice">OFFSET(#REF!,0,0,COUNTA(#REF!)-3,1)</definedName>
    <definedName name="SIVP98">#REF!</definedName>
    <definedName name="sk">#REF!</definedName>
    <definedName name="sName">#N/A</definedName>
    <definedName name="soho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OHODate">OFFSET(#REF!,0,0,COUNTA(#REF!)-107,1)</definedName>
    <definedName name="SOHODisc">OFFSET(#REF!,0,0,COUNTA(#REF!)-5,1)</definedName>
    <definedName name="SOHOPrice">OFFSET(#REF!,0,0,COUNTA(#REF!)-3,1)</definedName>
    <definedName name="SOLDate">OFFSET(#REF!,0,0,COUNTA(#REF!)-156,1)</definedName>
    <definedName name="SOLDisc">OFFSET(#REF!,0,0,COUNTA(#REF!)-5,1)</definedName>
    <definedName name="SOLPrice">OFFSET(#REF!,0,0,COUNTA(#REF!)-3,1)</definedName>
    <definedName name="solver_lin" hidden="1">0</definedName>
    <definedName name="solver_num" hidden="1">0</definedName>
    <definedName name="solver_typ" hidden="1">3</definedName>
    <definedName name="solver_val" hidden="1">0</definedName>
    <definedName name="sort_start">#REF!</definedName>
    <definedName name="Source">#REF!</definedName>
    <definedName name="Source_F5">#REF!</definedName>
    <definedName name="Source_HK">#REF!</definedName>
    <definedName name="South_America">#REF!</definedName>
    <definedName name="South_America_w">#REF!</definedName>
    <definedName name="sp">6</definedName>
    <definedName name="sps">#REF!</definedName>
    <definedName name="srefcongm3" hidden="1">#REF!</definedName>
    <definedName name="SRSDTRST">#N/A</definedName>
    <definedName name="ss">#REF!</definedName>
    <definedName name="sss">#REF!</definedName>
    <definedName name="sssd" hidden="1">{"summary",#N/A,FALSE,"2000 vs 1999";"detail",#N/A,FALSE,"2000 vs 1999"}</definedName>
    <definedName name="ssss" hidden="1">{"summary",#N/A,FALSE,"2000 vs 1999";"detail",#N/A,FALSE,"2000 vs 1999"}</definedName>
    <definedName name="ssssdsdsada" hidden="1">{#N/A,#N/A,TRUE,"Overall";#N/A,#N/A,TRUE,"Region Wise ";#N/A,#N/A,TRUE,"Client Wise"}</definedName>
    <definedName name="sssss">#REF!</definedName>
    <definedName name="ssssss">#REF!</definedName>
    <definedName name="ssssssss">#REF!</definedName>
    <definedName name="sssssssssss">#REF!</definedName>
    <definedName name="sssssssssssss">#REF!</definedName>
    <definedName name="ssssssssssssss">#REF!</definedName>
    <definedName name="ssssssssssssssssssss">#REF!</definedName>
    <definedName name="ssv" hidden="1">{#N/A,#N/A,FALSE,"summary"}</definedName>
    <definedName name="ST">#REF!</definedName>
    <definedName name="ST_debt_growth_fore">#REF!</definedName>
    <definedName name="ST_rate">#REF!</definedName>
    <definedName name="sTable">#REF!</definedName>
    <definedName name="start">#REF!</definedName>
    <definedName name="STARTJOURNALIMPORT1">#REF!</definedName>
    <definedName name="STARTJOURNALIMPORT2">#REF!</definedName>
    <definedName name="StartPosition" localSheetId="0">#REF!</definedName>
    <definedName name="StartPosition">#REF!</definedName>
    <definedName name="Status">#REF!</definedName>
    <definedName name="STLoans">#REF!</definedName>
    <definedName name="Stock_dividend">0</definedName>
    <definedName name="Stock_location">#REF!</definedName>
    <definedName name="StockData">#REF!</definedName>
    <definedName name="sTopic">#REF!</definedName>
    <definedName name="Stress_test">#REF!</definedName>
    <definedName name="Stripe">"Stripe"</definedName>
    <definedName name="Structured_deposits__Available_for_sale_financial_assets_结构性存款理财产品_可供出售金融资产_仅适用于IFRS">#REF!</definedName>
    <definedName name="sty_beta">#REF!</definedName>
    <definedName name="sty_div">#REF!</definedName>
    <definedName name="sty_evebitda">#REF!</definedName>
    <definedName name="sty_evsales">#REF!</definedName>
    <definedName name="sty_gear">#REF!</definedName>
    <definedName name="sty_mv">#REF!</definedName>
    <definedName name="sty_pb">#REF!</definedName>
    <definedName name="sty_pcf">#REF!</definedName>
    <definedName name="sty_pe">#REF!</definedName>
    <definedName name="sty_peg">#REF!</definedName>
    <definedName name="sty_roa">#REF!</definedName>
    <definedName name="sty_roce">#REF!</definedName>
    <definedName name="sty_roe">#REF!</definedName>
    <definedName name="sty_vfo">#REF!</definedName>
    <definedName name="Sub_Current">#REF!</definedName>
    <definedName name="Sub_Prior">#REF!</definedName>
    <definedName name="subdisc">#REF!</definedName>
    <definedName name="Subs_total">#REF!</definedName>
    <definedName name="Subs_total_annavge">#REF!</definedName>
    <definedName name="subventions">#REF!</definedName>
    <definedName name="sum">#REF!</definedName>
    <definedName name="summary2">#N/A</definedName>
    <definedName name="SUMMOD">#REF!</definedName>
    <definedName name="Sumpage1" hidden="1">{#N/A,#N/A,FALSE,"JAN195"}</definedName>
    <definedName name="Sumpage2" hidden="1">{#N/A,#N/A,FALSE,"JAN195"}</definedName>
    <definedName name="SUN_DISCOUNT">#REF!</definedName>
    <definedName name="SUN_U">#REF!</definedName>
    <definedName name="sustroe">#REF!</definedName>
    <definedName name="SuZDate">OFFSET(#REF!,0,0,COUNTA(#REF!),1)</definedName>
    <definedName name="SuZGFA">OFFSET(#REF!,0,0,COUNTA(#REF!)-1,1)</definedName>
    <definedName name="SuZPrice">OFFSET(#REF!,0,0,COUNTA(#REF!)-1,1)</definedName>
    <definedName name="swa">#REF!</definedName>
    <definedName name="Sweden">#REF!</definedName>
    <definedName name="Sweden_w">#REF!</definedName>
    <definedName name="swgf" hidden="1">{#N/A,#N/A,FALSE,"UNIT";#N/A,#N/A,FALSE,"UNIT";#N/A,#N/A,FALSE,"계정"}</definedName>
    <definedName name="SWIRE">#REF!</definedName>
    <definedName name="swl">#REF!</definedName>
    <definedName name="sws">#REF!</definedName>
    <definedName name="SYDate">OFFSET(#REF!,0,0,COUNTA(#REF!),1)</definedName>
    <definedName name="sYesNo">#REF!</definedName>
    <definedName name="SYGFA">OFFSET(#REF!,0,0,COUNTA(#REF!)-1,1)</definedName>
    <definedName name="Symbol">#REF!</definedName>
    <definedName name="SYPrice">OFFSET(#REF!,0,0,COUNTA(#REF!)-1,1)</definedName>
    <definedName name="SZDate">OFFSET(#REF!,0,0,COUNTA(#REF!),1)</definedName>
    <definedName name="SZGFA">OFFSET(#REF!,0,0,COUNTA(#REF!)-1,1)</definedName>
    <definedName name="SZIDate">OFFSET(#REF!,0,0,COUNTA(#REF!)-141,1)</definedName>
    <definedName name="SZIDisc">OFFSET(#REF!,0,0,COUNTA(#REF!)-5,1)</definedName>
    <definedName name="SZIPrice">OFFSET(#REF!,0,0,COUNTA(#REF!)-3,1)</definedName>
    <definedName name="SZPrice">OFFSET(#REF!,0,0,COUNTA(#REF!)-1,1)</definedName>
    <definedName name="t" hidden="1">{#N/A,#N/A,FALSE,"UNIT";#N/A,#N/A,FALSE,"UNIT";#N/A,#N/A,FALSE,"계정"}</definedName>
    <definedName name="T_Borr">#REF!</definedName>
    <definedName name="T_Dis">16%</definedName>
    <definedName name="T_growth">6%</definedName>
    <definedName name="T_Pay">#REF!</definedName>
    <definedName name="T03001_A">#REF!</definedName>
    <definedName name="T03001_CZ">#REF!</definedName>
    <definedName name="T03025_A">#REF!</definedName>
    <definedName name="T03025_C">#REF!</definedName>
    <definedName name="T03026Z">#REF!</definedName>
    <definedName name="T03027Z">#REF!</definedName>
    <definedName name="T03028_A">#REF!</definedName>
    <definedName name="T03030_A">#REF!</definedName>
    <definedName name="T03030Z">#REF!</definedName>
    <definedName name="T03033_A">#REF!</definedName>
    <definedName name="T03033_CZ">#REF!</definedName>
    <definedName name="T03068Z">#REF!</definedName>
    <definedName name="T03074Z">#REF!</definedName>
    <definedName name="T03075Z">#REF!</definedName>
    <definedName name="T03079Z">#REF!</definedName>
    <definedName name="T04021_CZ">#REF!</definedName>
    <definedName name="T04026Z">#REF!</definedName>
    <definedName name="T04028Z">#REF!</definedName>
    <definedName name="T04029Z">#REF!</definedName>
    <definedName name="T12007_SUM">#REF!</definedName>
    <definedName name="T12008_SUM">#REF!</definedName>
    <definedName name="T12050_SUM">#REF!</definedName>
    <definedName name="T1Sumry">#REF!</definedName>
    <definedName name="T2_rpt0297">#REF!</definedName>
    <definedName name="T4f">#REF!</definedName>
    <definedName name="T6_rpt0297">#REF!</definedName>
    <definedName name="TAB">#REF!</definedName>
    <definedName name="tab1Camelot">#REF!</definedName>
    <definedName name="Tab7SBI_Disct">#REF!</definedName>
    <definedName name="tab8_Adjustng">#REF!</definedName>
    <definedName name="tab9_Implied">#REF!</definedName>
    <definedName name="TABA1_2">#N/A</definedName>
    <definedName name="TABA3">#N/A</definedName>
    <definedName name="TABB1_2">#N/A</definedName>
    <definedName name="Table" localSheetId="0">#REF!</definedName>
    <definedName name="Table">"Table"</definedName>
    <definedName name="TABLE_1">#REF!</definedName>
    <definedName name="TABLE_2">#REF!</definedName>
    <definedName name="TABLE_3">#REF!</definedName>
    <definedName name="TABLE_4">#REF!</definedName>
    <definedName name="table_name">#REF!</definedName>
    <definedName name="Table1">"Picture 162"</definedName>
    <definedName name="table10">#REF!</definedName>
    <definedName name="table100">#REF!</definedName>
    <definedName name="table1000">#REF!</definedName>
    <definedName name="table1001">#REF!</definedName>
    <definedName name="table11">#REF!</definedName>
    <definedName name="table12">#REF!</definedName>
    <definedName name="table13">#REF!</definedName>
    <definedName name="table14">#REF!</definedName>
    <definedName name="table15">#REF!</definedName>
    <definedName name="table16">#REF!</definedName>
    <definedName name="table17">#REF!</definedName>
    <definedName name="table18">#REF!</definedName>
    <definedName name="table19">#REF!</definedName>
    <definedName name="Table2">"Picture 163"</definedName>
    <definedName name="table20">#REF!</definedName>
    <definedName name="table21">#REF!</definedName>
    <definedName name="table22">#REF!</definedName>
    <definedName name="table23">#REF!</definedName>
    <definedName name="table24">#REF!</definedName>
    <definedName name="Table3">"Picture 164"</definedName>
    <definedName name="table300">#REF!</definedName>
    <definedName name="Table4">"Picture 165"</definedName>
    <definedName name="Table5">"Picture 166"</definedName>
    <definedName name="Table6">"Picture 167"</definedName>
    <definedName name="Table7">"Picture 168"</definedName>
    <definedName name="Table8">"Picture 169"</definedName>
    <definedName name="tablea">#REF!</definedName>
    <definedName name="TableContents">#REF!</definedName>
    <definedName name="TableName">#REF!</definedName>
    <definedName name="TableTitle">#REF!</definedName>
    <definedName name="Target_debt_to_capital">#REF!</definedName>
    <definedName name="tariff">#REF!</definedName>
    <definedName name="Tax">#REF!</definedName>
    <definedName name="Tax_expense">#REF!</definedName>
    <definedName name="tax_payments">#REF!</definedName>
    <definedName name="Tax_rate_for_WACC">#REF!</definedName>
    <definedName name="tax00">#REF!</definedName>
    <definedName name="taxable_income">#REF!</definedName>
    <definedName name="taxation">#REF!</definedName>
    <definedName name="Taxes_paid">#REF!</definedName>
    <definedName name="TaxPaid">#REF!</definedName>
    <definedName name="Taxrate_00">#REF!</definedName>
    <definedName name="Taxrate_97">#REF!</definedName>
    <definedName name="Taxrate_98">#REF!</definedName>
    <definedName name="Taxrate_99">#REF!</definedName>
    <definedName name="taxrate00">#REF!</definedName>
    <definedName name="taxrate01">#REF!</definedName>
    <definedName name="taxrate98">#REF!</definedName>
    <definedName name="taxrate99">#REF!</definedName>
    <definedName name="tci">#REF!</definedName>
    <definedName name="tcs">#REF!</definedName>
    <definedName name="TECH">#REF!</definedName>
    <definedName name="Template.WIRE">"DBACCESS"</definedName>
    <definedName name="TEMPLATENUMBER1">#REF!</definedName>
    <definedName name="TEMPLATENUMBER2">#REF!</definedName>
    <definedName name="TEMPLATESTYLE1">#REF!</definedName>
    <definedName name="TEMPLATESTYLE2">#REF!</definedName>
    <definedName name="TEMPLATETYPE1">#REF!</definedName>
    <definedName name="TEMPLATETYPE2">#REF!</definedName>
    <definedName name="Terminal_dividend_payout">#REF!</definedName>
    <definedName name="Terminal_ROE">#REF!</definedName>
    <definedName name="TerminalYear">#REF!</definedName>
    <definedName name="test">#REF!</definedName>
    <definedName name="Test_Targ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Add">"Test RefersTo1"</definedName>
    <definedName name="TESTHKEY">#REF!</definedName>
    <definedName name="testing">#REF!</definedName>
    <definedName name="TESTKEYS">#REF!</definedName>
    <definedName name="TESTVKEY">#REF!</definedName>
    <definedName name="tev">#REF!</definedName>
    <definedName name="TextBox1a">#REF!</definedName>
    <definedName name="TextBox1b">#REF!</definedName>
    <definedName name="TextBox1c">#REF!</definedName>
    <definedName name="TextRefCopy1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RangeCount" hidden="1">4</definedName>
    <definedName name="textToday" localSheetId="0">#REF!</definedName>
    <definedName name="textToday">#REF!</definedName>
    <definedName name="tfc">#REF!</definedName>
    <definedName name="tfd">#REF!</definedName>
    <definedName name="tfo">#REF!</definedName>
    <definedName name="tfr">#REF!</definedName>
    <definedName name="thbnew">#REF!</definedName>
    <definedName name="thbold">#REF!</definedName>
    <definedName name="This_year">#REF!</definedName>
    <definedName name="threeg">#REF!</definedName>
    <definedName name="Tigr_Exhibit0061982a_0f75_4b8b_bfc5_7e16bbfb270b" hidden="1">#REF!</definedName>
    <definedName name="Tigr_Exhibit025b11c3_9b32_41cc_85fa_54342a127dcf" localSheetId="0" hidden="1">#REF!</definedName>
    <definedName name="Tigr_Exhibit025b11c3_9b32_41cc_85fa_54342a127dcf" hidden="1">#REF!</definedName>
    <definedName name="Tigr_Exhibit03aa5c75_66a2_49ee_8354_5bd4979edafb" localSheetId="0" hidden="1">#REF!</definedName>
    <definedName name="Tigr_Exhibit03aa5c75_66a2_49ee_8354_5bd4979edafb" hidden="1">#REF!</definedName>
    <definedName name="Tigr_Exhibit03d2271d_37c1_4837_98d6_9ccef449eb26" hidden="1">#REF!</definedName>
    <definedName name="Tigr_Exhibit044667a6_6cc7_4ad4_84bc_c470ffa1f6f5" hidden="1">#REF!</definedName>
    <definedName name="Tigr_Exhibit04db926a_e324_48bf_804e_6e4d4057b84d" localSheetId="0" hidden="1">#REF!</definedName>
    <definedName name="Tigr_Exhibit04db926a_e324_48bf_804e_6e4d4057b84d" hidden="1">#REF!</definedName>
    <definedName name="Tigr_Exhibit05aa8596_6ae5_4346_be37_2fa0ba239139" hidden="1">#REF!</definedName>
    <definedName name="Tigr_Exhibit0639132e_b03c_4071_b640_d90e5fbc3396" localSheetId="0" hidden="1">#REF!</definedName>
    <definedName name="Tigr_Exhibit0639132e_b03c_4071_b640_d90e5fbc3396" hidden="1">#REF!</definedName>
    <definedName name="Tigr_Exhibit0780b2a6_ca4b_4ec9_89b6_7067719f5d07" hidden="1">#REF!</definedName>
    <definedName name="Tigr_Exhibit08570759_300d_450b_b47d_26d5eda02822" localSheetId="0" hidden="1">#REF!</definedName>
    <definedName name="Tigr_Exhibit08570759_300d_450b_b47d_26d5eda02822" hidden="1">#REF!</definedName>
    <definedName name="Tigr_Exhibit0916d06d_0197_40f1_ab48_cb0e570b516e" hidden="1">#REF!</definedName>
    <definedName name="Tigr_Exhibit096615a8_0cd1_404a_9670_896d18670e35" hidden="1">#REF!</definedName>
    <definedName name="Tigr_Exhibit09b798d5_148f_4601_bd70_fdfe2411ed68" hidden="1">#REF!</definedName>
    <definedName name="Tigr_Exhibit0ac99342_3ccd_4e51_b0aa_1c8ac69e8933" hidden="1">#REF!</definedName>
    <definedName name="Tigr_Exhibit0ba70b97_744b_48bd_a92f_d1dc353a98fa" hidden="1">#REF!</definedName>
    <definedName name="Tigr_Exhibit0ca78e18_1716_419b_8f7e_de75874d64a9" hidden="1">#REF!</definedName>
    <definedName name="Tigr_Exhibit0d9d8f99_91a9_48cf_a193_01aa1239396b" hidden="1">#REF!</definedName>
    <definedName name="Tigr_Exhibit0db646cd_d77f_4388_954e_77c97b080cec" localSheetId="0" hidden="1">#REF!</definedName>
    <definedName name="Tigr_Exhibit0db646cd_d77f_4388_954e_77c97b080cec" hidden="1">#REF!</definedName>
    <definedName name="Tigr_Exhibit0dd5830f_8256_48fc_b1d7_aef2ec94f777" hidden="1">#REF!</definedName>
    <definedName name="Tigr_Exhibit0e41cfbd_8239_4efc_a7e2_8fd6187d98d9" hidden="1">#REF!</definedName>
    <definedName name="Tigr_Exhibit0e834be5_0681_4048_b41a_d7ef5dc28088" hidden="1">#REF!</definedName>
    <definedName name="Tigr_Exhibit0f9565cb_8643_455a_ae61_aa9f1798f113" hidden="1">#REF!</definedName>
    <definedName name="Tigr_Exhibit0fd26a1e_e810_4892_8011_710be845fbc1" hidden="1">#REF!</definedName>
    <definedName name="Tigr_Exhibit0fd579dc_4c81_4b17_a318_53cf2e4b60ed" hidden="1">#REF!</definedName>
    <definedName name="Tigr_Exhibit10c683a5_7640_4cc4_ae7c_f42971acdc9e" hidden="1">#REF!</definedName>
    <definedName name="Tigr_Exhibit113b5542_b821_46ac_961d_cacbd5a4f53c" hidden="1">#REF!</definedName>
    <definedName name="Tigr_Exhibit11a377ca_19b8_4a88_b452_672bec02f2c4" hidden="1">#REF!</definedName>
    <definedName name="Tigr_Exhibit11b6ce17_deed_4f89_a07e_f0b50acc5198" hidden="1">#REF!</definedName>
    <definedName name="Tigr_Exhibit12155600_ada3_4a3b_ab98_b248959cc77b" hidden="1">#REF!</definedName>
    <definedName name="Tigr_Exhibit1224644b_a528_432f_98d7_a0650d559402" hidden="1">#REF!</definedName>
    <definedName name="Tigr_Exhibit1255c2d1_d348_4422_a4e8_48728fe2f2af" hidden="1">#REF!</definedName>
    <definedName name="Tigr_Exhibit1278439e_e476_4961_b365_6dd93669ddd8" hidden="1">#REF!</definedName>
    <definedName name="Tigr_Exhibit140b7e1f_5f49_457e_8d03_c6463a504c3d" hidden="1">#REF!</definedName>
    <definedName name="Tigr_Exhibit15373336_0c90_4817_9f6c_064da5eb5476" hidden="1">#REF!</definedName>
    <definedName name="Tigr_Exhibit159f6ac8_4887_4351_a327_fb7638455378" hidden="1">#REF!</definedName>
    <definedName name="Tigr_Exhibit15fa603a_7dda_4adb_b0c6_5ce05cd74ced" hidden="1">#REF!</definedName>
    <definedName name="Tigr_Exhibit1673dbc1_4931_474b_8805_7e5cfaa7122f" hidden="1">#REF!</definedName>
    <definedName name="Tigr_Exhibit1755b368_1d42_49d5_8b9e_b9eeb74e5ed3" hidden="1">#REF!</definedName>
    <definedName name="Tigr_Exhibit1773e16d_1b8d_4716_b831_1d917e1b12ec" hidden="1">#REF!</definedName>
    <definedName name="Tigr_Exhibit183df52d_f842_4c64_a7ce_cd2ea586dc05" hidden="1">#REF!</definedName>
    <definedName name="Tigr_Exhibit18f97020_65b6_4a89_8c3f_9a842baf4090" hidden="1">#REF!</definedName>
    <definedName name="Tigr_Exhibit1a9fce95_367f_4451_a0fc_b364e3817ec2" hidden="1">#REF!</definedName>
    <definedName name="Tigr_Exhibit1ac8a524_e489_4ff9_8dad_9c125c823c59" hidden="1">#REF!</definedName>
    <definedName name="Tigr_Exhibit1b113617_3511_4183_9d66_00bdfc5e3576" hidden="1">#REF!</definedName>
    <definedName name="Tigr_Exhibit1bf96c06_d7f9_491d_b577_80828def49e2" hidden="1">#REF!</definedName>
    <definedName name="Tigr_Exhibit1c562048_a6a8_4255_a5da_9cda0095e1fa" hidden="1">#REF!</definedName>
    <definedName name="Tigr_Exhibit1d312958_a62a_4884_b465_2cafe7fccebe" hidden="1">#REF!</definedName>
    <definedName name="Tigr_Exhibit1d5d6921_67c9_4eaa_bb62_350392954fae" hidden="1">#REF!</definedName>
    <definedName name="Tigr_Exhibit1dabc449_c6ce_478f_af39_171b80b501b3" hidden="1">#REF!</definedName>
    <definedName name="Tigr_Exhibit1eae4c5f_fd21_4dc8_bfd7_c52f2413a55b" hidden="1">#REF!</definedName>
    <definedName name="Tigr_Exhibit1fbb9dce_3183_43d9_953c_1a6a0ba2d5d5" localSheetId="0" hidden="1">#REF!</definedName>
    <definedName name="Tigr_Exhibit1fbb9dce_3183_43d9_953c_1a6a0ba2d5d5" hidden="1">#REF!</definedName>
    <definedName name="Tigr_Exhibit1fdd7c5c_6435_4b67_a86b_71178ee6ba12" hidden="1">#REF!</definedName>
    <definedName name="Tigr_Exhibit20e1cbe8_f0b3_4db4_8786_1a26db84d889" hidden="1">#REF!</definedName>
    <definedName name="Tigr_Exhibit2347946f_dfd1_4ad4_b9c9_cb08ad483321" hidden="1">#REF!</definedName>
    <definedName name="Tigr_Exhibit238f4e1a_66f8_4562_b13a_f860fe06a9eb" hidden="1">#REF!</definedName>
    <definedName name="Tigr_Exhibit246f2d62_cf29_4160_b759_04dd52807820" hidden="1">#REF!</definedName>
    <definedName name="Tigr_Exhibit2473c171_0902_4cd9_8e3d_eeb3384bb9f8" hidden="1">#REF!</definedName>
    <definedName name="Tigr_Exhibit2516a985_47de_4147_8c68_aea22d5ffd0c" localSheetId="0" hidden="1">#REF!</definedName>
    <definedName name="Tigr_Exhibit2516a985_47de_4147_8c68_aea22d5ffd0c" hidden="1">#REF!</definedName>
    <definedName name="Tigr_Exhibit257abbd3_221d_4825_b7b7_40707a0a68e1" hidden="1">#REF!</definedName>
    <definedName name="Tigr_Exhibit26187bf4_ad66_4526_a639_e96b86bfd461" hidden="1">#REF!</definedName>
    <definedName name="Tigr_Exhibit27d2efb2_9be8_41a6_bcc5_55830cdacab0" hidden="1">#REF!</definedName>
    <definedName name="Tigr_Exhibit27f3d75a_0aae_4138_af96_631f24cdd002" hidden="1">#REF!</definedName>
    <definedName name="Tigr_Exhibit27fd6e75_9aed_40a8_8cf4_d95a4ffdf004" hidden="1">#REF!</definedName>
    <definedName name="Tigr_Exhibit2845dae5_833c_45ad_9c25_88bc4ea9278f" localSheetId="0" hidden="1">#REF!</definedName>
    <definedName name="Tigr_Exhibit2845dae5_833c_45ad_9c25_88bc4ea9278f" hidden="1">#REF!</definedName>
    <definedName name="Tigr_Exhibit28df51b2_4a3d_46d9_8874_58a6d22872ec" hidden="1">#REF!</definedName>
    <definedName name="Tigr_Exhibit29d58d12_9c0a_4fdd_a83e_208bf4149659" hidden="1">#REF!</definedName>
    <definedName name="Tigr_Exhibit29dc24f8_90ac_4a81_9ec5_08d1d2abb4a3" localSheetId="0" hidden="1">#REF!</definedName>
    <definedName name="Tigr_Exhibit29dc24f8_90ac_4a81_9ec5_08d1d2abb4a3" hidden="1">#REF!</definedName>
    <definedName name="Tigr_Exhibit2a67b0fa_f019_43af_a8a4_3079074b8d12" hidden="1">#REF!</definedName>
    <definedName name="Tigr_Exhibit2ba5abf3_21ea_4ce0_ac8b_9448fb383f1d" hidden="1">#REF!</definedName>
    <definedName name="Tigr_Exhibit2c6d5383_c001_4aaf_82fb_7ccc215b06cc" hidden="1">#REF!</definedName>
    <definedName name="Tigr_Exhibit2ce066d0_d914_491a_a09d_f141ee310758" hidden="1">#REF!</definedName>
    <definedName name="Tigr_Exhibit2dc490ef_87fb_434a_9a8f_19eba3fea482" hidden="1">#REF!</definedName>
    <definedName name="Tigr_Exhibit2e18f5c0_3ecc_4a27_ad0d_8e65ca780283" hidden="1">#REF!</definedName>
    <definedName name="Tigr_Exhibit2e267eca_0ea5_4e62_b660_6534d13922cb" hidden="1">#REF!</definedName>
    <definedName name="Tigr_Exhibit2ee1458c_2f99_4d03_b668_d8232d7f64c2" localSheetId="0" hidden="1">#REF!</definedName>
    <definedName name="Tigr_Exhibit2ee1458c_2f99_4d03_b668_d8232d7f64c2" hidden="1">#REF!</definedName>
    <definedName name="Tigr_Exhibit2f8d8eac_a3d5_49f7_b973_4d38bb881f36" localSheetId="0" hidden="1">#REF!</definedName>
    <definedName name="Tigr_Exhibit2f8d8eac_a3d5_49f7_b973_4d38bb881f36" hidden="1">#REF!</definedName>
    <definedName name="Tigr_Exhibit3334510e_30e3_474d_884f_14edccf34648" hidden="1">#REF!</definedName>
    <definedName name="Tigr_Exhibit3343a709_7c8d_44a9_a6c7_c77c96f1fcce" hidden="1">#REF!</definedName>
    <definedName name="Tigr_Exhibit33bf7a53_11e4_456c_ad37_557e312cab5c" hidden="1">#REF!</definedName>
    <definedName name="Tigr_Exhibit3465512d_4b8b_41bb_b003_0fc35a1bcfed" hidden="1">#REF!</definedName>
    <definedName name="Tigr_Exhibit36364405_db04_432e_a2ae_45371af630cb" hidden="1">#REF!</definedName>
    <definedName name="Tigr_Exhibit364fb249_b24e_40d9_bfe6_6e08a1de92c8" hidden="1">#REF!</definedName>
    <definedName name="Tigr_Exhibit37f917c9_ef95_4464_b9b7_19160121f8f4" hidden="1">#REF!</definedName>
    <definedName name="Tigr_Exhibit382da252_1a73_40f2_b170_70122d33b1ab" hidden="1">#REF!</definedName>
    <definedName name="Tigr_Exhibit38862cbc_3ed5_41ed_9054_94b31f7df5ae" hidden="1">#REF!</definedName>
    <definedName name="Tigr_Exhibit38f400f5_28d3_4e82_ab82_f9af9524b814" hidden="1">#REF!</definedName>
    <definedName name="Tigr_Exhibit395ccb97_0f8e_4887_ba25_2542f73fd1df" hidden="1">#REF!</definedName>
    <definedName name="Tigr_Exhibit39aba9a1_d2e8_4089_bee3_a973ea05bdbc" hidden="1">#REF!</definedName>
    <definedName name="Tigr_Exhibit3a6e0ef8_f694_4cdd_8ce1_11dbd65ea811" hidden="1">#REF!</definedName>
    <definedName name="Tigr_Exhibit3a74fb95_dba5_4046_bae6_44f953effba2" localSheetId="0" hidden="1">#REF!</definedName>
    <definedName name="Tigr_Exhibit3a74fb95_dba5_4046_bae6_44f953effba2" hidden="1">#REF!</definedName>
    <definedName name="Tigr_Exhibit3ab7caae_4dd4_43e8_9c02_b90cbae19c0c" hidden="1">#REF!</definedName>
    <definedName name="Tigr_Exhibit3b1d2720_0305_42c6_8e0e_4185b1723f61" hidden="1">#REF!</definedName>
    <definedName name="Tigr_Exhibit3c71b85c_c684_4888_b89c_11481e620174" hidden="1">#REF!</definedName>
    <definedName name="Tigr_Exhibit3ce1fb67_ef60_4bd2_ae2f_d8da3b261364" hidden="1">#REF!</definedName>
    <definedName name="Tigr_Exhibit3d0fb044_7762_4471_a5e2_4c1a6098e5e7" hidden="1">#REF!</definedName>
    <definedName name="Tigr_Exhibit3dda92a6_8c3c_45a7_8cf3_eb7319b1d0f3" hidden="1">#REF!</definedName>
    <definedName name="Tigr_Exhibit3e2009df_850e_448d_826d_6d70709f7827" hidden="1">#REF!</definedName>
    <definedName name="Tigr_Exhibit3ed99aac_9e14_466a_aa2a_865755d89c3d" hidden="1">#REF!</definedName>
    <definedName name="Tigr_Exhibit3f4255cd_c9a9_4080_a445_52b04ee9045a" hidden="1">#REF!</definedName>
    <definedName name="Tigr_Exhibit3fd90620_d49f_40e6_8ab9_e2097e0ce343" hidden="1">#REF!</definedName>
    <definedName name="Tigr_Exhibit3feb7506_984c_4502_9638_96b0d0eae063" hidden="1">#REF!</definedName>
    <definedName name="Tigr_Exhibit40193033_d956_4f10_af99_83eb737441d2" localSheetId="0" hidden="1">#REF!</definedName>
    <definedName name="Tigr_Exhibit40193033_d956_4f10_af99_83eb737441d2" hidden="1">#REF!</definedName>
    <definedName name="Tigr_Exhibit408e59fc_f96f_4b58_a967_c77880393485" hidden="1">#REF!</definedName>
    <definedName name="Tigr_Exhibit40b23e54_9fac_4a9c_9b7c_963635c10917" hidden="1">#REF!</definedName>
    <definedName name="Tigr_Exhibit40e8ac24_4dfd_44f3_ab3a_48f88b60c365" hidden="1">#REF!</definedName>
    <definedName name="Tigr_Exhibit4247d457_bccc_4a86_af16_23ae11048517" hidden="1">#REF!</definedName>
    <definedName name="Tigr_Exhibit42738d9d_ccd9_4402_bc58_9a5ce87aa5db" hidden="1">#REF!</definedName>
    <definedName name="Tigr_Exhibit431bbb50_eee1_4f9d_b2ab_abceb646bd20" hidden="1">#REF!</definedName>
    <definedName name="Tigr_Exhibit43341251_7afb_4d85_a55a_eda5f23964c7" hidden="1">#REF!</definedName>
    <definedName name="Tigr_Exhibit4349989b_a472_40c3_be83_6fd1f81f77e9" hidden="1">#REF!</definedName>
    <definedName name="Tigr_Exhibit43e75eb4_fa0d_4e05_a56e_ef3b356a0052" hidden="1">#REF!</definedName>
    <definedName name="Tigr_Exhibit43ec414a_0ca5_4b3b_a1d2_e2d37c827a6a" hidden="1">#REF!</definedName>
    <definedName name="Tigr_Exhibit44cb013c_f045_4229_9499_f8ec797786c9" hidden="1">#REF!</definedName>
    <definedName name="Tigr_Exhibit47b57ec6_ffcf_4ae7_8c8e_e2ae6fe9cc0e" localSheetId="0" hidden="1">#REF!</definedName>
    <definedName name="Tigr_Exhibit47b57ec6_ffcf_4ae7_8c8e_e2ae6fe9cc0e" hidden="1">#REF!</definedName>
    <definedName name="Tigr_Exhibit47f30c97_5a86_42fa_8c17_f46809a8d09f" hidden="1">#REF!</definedName>
    <definedName name="Tigr_Exhibit481020b6_04b4_4de9_991a_fe7b39a64077" hidden="1">#REF!</definedName>
    <definedName name="Tigr_Exhibit48ab6dad_751b_4ad9_ae7c_32026a50d636" hidden="1">#REF!</definedName>
    <definedName name="Tigr_Exhibit494ba73d_0c83_499f_a280_369c7f0b1c11" hidden="1">#REF!</definedName>
    <definedName name="Tigr_Exhibit496e6035_fd44_4a8a_8dec_a265f6c4dc79" hidden="1">#REF!</definedName>
    <definedName name="Tigr_Exhibit49add8fd_3eec_4c52_861b_894ca0e9d4a5" hidden="1">#REF!</definedName>
    <definedName name="Tigr_Exhibit4a1a83b5_0898_4836_8d8b_b4daa6126893" hidden="1">#REF!</definedName>
    <definedName name="Tigr_Exhibit4ae05ddc_d946_4999_9cd4_64b74fed78a5" localSheetId="0" hidden="1">#REF!</definedName>
    <definedName name="Tigr_Exhibit4ae05ddc_d946_4999_9cd4_64b74fed78a5" hidden="1">#REF!</definedName>
    <definedName name="Tigr_Exhibit4c06d26a_4d52_4b43_bd0d_8f1ac252b917" hidden="1">#REF!</definedName>
    <definedName name="Tigr_Exhibit4d0b6196_e402_47ae_8ae5_a3c007b458d4" hidden="1">#REF!</definedName>
    <definedName name="Tigr_Exhibit4d82c099_0828_4e43_9ed4_b1824a69575e" localSheetId="0" hidden="1">#REF!</definedName>
    <definedName name="Tigr_Exhibit4d82c099_0828_4e43_9ed4_b1824a69575e" hidden="1">#REF!</definedName>
    <definedName name="Tigr_Exhibit4ee4ee6b_6867_44f6_ab64_e4a21b0cda9b" hidden="1">#REF!</definedName>
    <definedName name="Tigr_Exhibit4f574a15_9775_404c_9158_25095536ebaf" hidden="1">#REF!</definedName>
    <definedName name="Tigr_Exhibit4fa0d80b_215d_47e4_97b9_cf7efac414e7" hidden="1">#REF!</definedName>
    <definedName name="Tigr_Exhibit4fc6ee6a_7116_433e_ba77_324ccdd3d875" hidden="1">#REF!</definedName>
    <definedName name="Tigr_Exhibit5093d4d1_cd37_47e5_9a8b_ba07aafae10f" hidden="1">#REF!</definedName>
    <definedName name="Tigr_Exhibit51275f04_6a76_4ef9_b776_ff9228499ccb" hidden="1">#REF!</definedName>
    <definedName name="Tigr_Exhibit5273a047_342c_407a_a556_a5e4b8289089" hidden="1">#REF!</definedName>
    <definedName name="Tigr_Exhibit52e39287_0be0_4a2b_93bb_14f1bf2f3828" localSheetId="0" hidden="1">#REF!</definedName>
    <definedName name="Tigr_Exhibit52e39287_0be0_4a2b_93bb_14f1bf2f3828" hidden="1">#REF!</definedName>
    <definedName name="Tigr_Exhibit52fb0b3e_00a7_4793_917d_89e6d7ae990b" hidden="1">#REF!</definedName>
    <definedName name="Tigr_Exhibit539177a6_3a48_42c1_8313_fbdc59a6d5ce" hidden="1">#REF!</definedName>
    <definedName name="Tigr_Exhibit53c3a746_2896_4d15_a29c_64cfdc501654" hidden="1">#REF!</definedName>
    <definedName name="Tigr_Exhibit565b2a44_c423_4685_b7c1_24b1ce029f9d" hidden="1">#REF!</definedName>
    <definedName name="Tigr_Exhibit567f3d81_a4b1_4359_b059_8215e92e72bb" hidden="1">#REF!</definedName>
    <definedName name="Tigr_Exhibit5bc4e021_90aa_46bd_82bc_1e7ca8074395" hidden="1">#REF!</definedName>
    <definedName name="Tigr_Exhibit5c07eb32_a844_4e1a_8c56_59a4126b0d5b" hidden="1">#REF!</definedName>
    <definedName name="Tigr_Exhibit5c1a5b1c_baf6_4ad7_a3d6_b5e294ce2cd8" hidden="1">#REF!</definedName>
    <definedName name="Tigr_Exhibit5c8b5cee_fec3_41c4_811c_f5f9d630e8cf" hidden="1">#REF!</definedName>
    <definedName name="Tigr_Exhibit5cc8d3aa_bab1_499b_b56f_1eccbc9769a0" hidden="1">#REF!</definedName>
    <definedName name="Tigr_Exhibit6026c0f7_4cd2_4640_928a_18537a5cba91" hidden="1">#REF!</definedName>
    <definedName name="Tigr_Exhibit62be7444_45f6_4d8a_b082_2be38b0670c9" hidden="1">#REF!</definedName>
    <definedName name="Tigr_Exhibit6440050d_394e_420d_8710_e8d1a9c784b7" hidden="1">#REF!</definedName>
    <definedName name="Tigr_Exhibit65868059_8dee_48cc_9304_19f09b278d16" hidden="1">#REF!</definedName>
    <definedName name="Tigr_Exhibit65f7f58e_a91d_4fdf_97ad_b762ac06abee" localSheetId="0" hidden="1">#REF!</definedName>
    <definedName name="Tigr_Exhibit65f7f58e_a91d_4fdf_97ad_b762ac06abee" hidden="1">#REF!</definedName>
    <definedName name="Tigr_Exhibit6611062f_fc7c_4520_95cb_523f8d1baeec" hidden="1">#REF!</definedName>
    <definedName name="Tigr_Exhibit66713db2_cb6b_498e_9d76_d70848a6a9b7" hidden="1">#REF!</definedName>
    <definedName name="Tigr_Exhibit66b1c142_8f50_4d06_b99e_04d4c05c418b" hidden="1">#REF!</definedName>
    <definedName name="Tigr_Exhibit67987045_d4d8_4310_a1bf_6b53397d52ca" hidden="1">#REF!</definedName>
    <definedName name="Tigr_Exhibit67f7b1d6_8c33_4ca6_a637_b6754b09846a" hidden="1">#REF!</definedName>
    <definedName name="Tigr_Exhibit695403da_a914_4e3f_a36a_6871a69e1243" hidden="1">#REF!</definedName>
    <definedName name="Tigr_Exhibit6a919284_ab19_4a64_8dc4_132ae3bb7d97" hidden="1">#REF!</definedName>
    <definedName name="Tigr_Exhibit6adf334f_f9fd_411f_86f6_5189ab47bcd9" hidden="1">#REF!</definedName>
    <definedName name="Tigr_Exhibit6b2d7881_9a18_4f8f_830b_bb8f9b04976a" hidden="1">#REF!</definedName>
    <definedName name="Tigr_Exhibit6b48f024_dcd7_418c_a99f_5e4f9ece2b6b" hidden="1">#REF!</definedName>
    <definedName name="Tigr_Exhibit6b828516_0943_4142_b771_5571fe77626f" hidden="1">#REF!</definedName>
    <definedName name="Tigr_Exhibit6c684411_899f_44bc_813c_62df05c23337" hidden="1">#REF!</definedName>
    <definedName name="Tigr_Exhibit6c9b1222_5ec5_4266_a695_abb1ab66bcfe" hidden="1">#REF!</definedName>
    <definedName name="Tigr_Exhibit6d3bb7d6_b050_46dc_9057_11ed52c14d6a" hidden="1">#REF!</definedName>
    <definedName name="Tigr_Exhibit6d7ab8f6_e315_411d_954b_c55384d02027" hidden="1">#REF!</definedName>
    <definedName name="Tigr_Exhibit6dc89c53_785f_4f29_af2b_8bf7f8d802c4" localSheetId="0" hidden="1">#REF!</definedName>
    <definedName name="Tigr_Exhibit6dc89c53_785f_4f29_af2b_8bf7f8d802c4" hidden="1">#REF!</definedName>
    <definedName name="Tigr_Exhibit6e6a48b0_1522_4e9b_bb16_fb7384b4805a" hidden="1">#REF!</definedName>
    <definedName name="Tigr_Exhibit6e8d1966_f0d3_49a7_a575_b0c6cca4f59a" hidden="1">#REF!</definedName>
    <definedName name="Tigr_Exhibit6eb385c9_adf8_4fbd_8cb5_db1469d28817" hidden="1">#REF!</definedName>
    <definedName name="Tigr_Exhibit6edd244c_558f_425d_b77f_486418212623" hidden="1">#REF!</definedName>
    <definedName name="Tigr_Exhibit6f51d164_eef7_4ced_8dc9_a2f77b762762" hidden="1">#REF!</definedName>
    <definedName name="Tigr_Exhibit70428fa9_6f11_4439_808c_9bb60fe5fcc0" hidden="1">#REF!</definedName>
    <definedName name="Tigr_Exhibit7048b911_2179_4205_b863_5b3f6952c024" hidden="1">#REF!</definedName>
    <definedName name="Tigr_Exhibit709ecbde_491b_46e7_b7ca_5b061a8dd269" hidden="1">#REF!</definedName>
    <definedName name="Tigr_Exhibit70a71c84_9e0a_4aa4_8c36_1bac45db3581" hidden="1">#REF!</definedName>
    <definedName name="Tigr_Exhibit70b10551_a45b_4a09_8b90_214f9c9d5c5f" hidden="1">#REF!</definedName>
    <definedName name="Tigr_Exhibit7191c8f2_2e48_448e_a071_98686f66a3ff" hidden="1">#REF!</definedName>
    <definedName name="Tigr_Exhibit720cd0a7_5627_409d_9aa4_bfa60b00dd2a" hidden="1">#REF!</definedName>
    <definedName name="Tigr_Exhibit7266a7d1_8ddc_4124_b627_740ac4abb0b2" hidden="1">#REF!</definedName>
    <definedName name="Tigr_Exhibit727be83c_f343_4f06_bffd_02505cf25fae" hidden="1">#REF!</definedName>
    <definedName name="Tigr_Exhibit72bf87e2_bbfa_4cae_b877_a1466a3b9549" localSheetId="0" hidden="1">#REF!</definedName>
    <definedName name="Tigr_Exhibit72bf87e2_bbfa_4cae_b877_a1466a3b9549" hidden="1">#REF!</definedName>
    <definedName name="Tigr_Exhibit7429caf6_1dd6_4b98_bbc0_18dcd12540ca" hidden="1">#REF!</definedName>
    <definedName name="Tigr_Exhibit74827e31_e3b6_4d36_8aa5_37d8c39d9d63" hidden="1">#REF!</definedName>
    <definedName name="Tigr_Exhibit74a68e8a_29b5_4e27_9b4a_c24c9433a0f0" localSheetId="0" hidden="1">#REF!</definedName>
    <definedName name="Tigr_Exhibit74a68e8a_29b5_4e27_9b4a_c24c9433a0f0" hidden="1">#REF!</definedName>
    <definedName name="Tigr_Exhibit76c0c21d_0157_4899_975e_b91e986047e5" hidden="1">#REF!</definedName>
    <definedName name="Tigr_Exhibit76f3bc89_a377_4096_a9be_8995f303d047" hidden="1">#REF!</definedName>
    <definedName name="Tigr_Exhibit776c3f55_a457_4248_947a_d30addcc7b59" hidden="1">#REF!</definedName>
    <definedName name="Tigr_Exhibit7823cec1_68a0_4c86_ad82_34332a7e308f" hidden="1">#REF!</definedName>
    <definedName name="Tigr_Exhibit7845a485_4e19_48be_9235_d51b5dde0b47" hidden="1">#REF!</definedName>
    <definedName name="Tigr_Exhibit7878cf10_24fb_4be3_88c4_41def8fe7e7b" hidden="1">#REF!</definedName>
    <definedName name="Tigr_Exhibit789a3087_8fce_4286_a48d_cad06c7fbb18" hidden="1">#REF!</definedName>
    <definedName name="Tigr_Exhibit7a18f3b1_91c0_466e_97fb_b3697aba27b4" hidden="1">#REF!</definedName>
    <definedName name="Tigr_Exhibit7c520032_5f63_4744_88b6_a2366ba52ce7" hidden="1">#REF!</definedName>
    <definedName name="Tigr_Exhibit7cd312fb_0b55_4700_9ac5_5da21d4ec13a" localSheetId="0" hidden="1">#REF!</definedName>
    <definedName name="Tigr_Exhibit7cd312fb_0b55_4700_9ac5_5da21d4ec13a" hidden="1">#REF!</definedName>
    <definedName name="Tigr_Exhibit7f0fb0c5_eee8_4083_99a9_5e5b579b48f3" hidden="1">#REF!</definedName>
    <definedName name="Tigr_Exhibit7fb58f4e_27bf_41f9_8813_33a93a64c42f" hidden="1">#REF!</definedName>
    <definedName name="Tigr_Exhibit80cb8b49_072a_4da4_9091_9d8a3741d9b0" localSheetId="0" hidden="1">#REF!</definedName>
    <definedName name="Tigr_Exhibit80cb8b49_072a_4da4_9091_9d8a3741d9b0" hidden="1">#REF!</definedName>
    <definedName name="Tigr_Exhibit8123412a_695f_4dd0_b47c_b9d4ab96a18f" localSheetId="0" hidden="1">#REF!</definedName>
    <definedName name="Tigr_Exhibit8123412a_695f_4dd0_b47c_b9d4ab96a18f" hidden="1">#REF!</definedName>
    <definedName name="Tigr_Exhibit812a54ae_cdf8_4e11_bfae_9bc949299fab" hidden="1">#REF!</definedName>
    <definedName name="Tigr_Exhibit840fd90a_684a_4834_8b1f_246a48c08365" hidden="1">#REF!</definedName>
    <definedName name="Tigr_Exhibit84d300e9_71a7_4cb1_b8d9_7e8ffd393cf0" hidden="1">#REF!</definedName>
    <definedName name="Tigr_Exhibit851bf921_e7ba_4e53_84e1_c35ab605783b" hidden="1">#REF!</definedName>
    <definedName name="Tigr_Exhibit853c9fd4_8d2b_410c_b188_fb29264d6f94" hidden="1">#REF!</definedName>
    <definedName name="Tigr_Exhibit87258b03_417c_49f1_8c06_6326f25ca34b" hidden="1">#REF!</definedName>
    <definedName name="Tigr_Exhibit887af2ba_dd37_414b_b2f2_83e81d2a0e7a" hidden="1">#REF!</definedName>
    <definedName name="Tigr_Exhibit8b324fa7_ddf4_4ad1_b436_90cb19501c03" hidden="1">#REF!</definedName>
    <definedName name="Tigr_Exhibit8b7432f3_4a6d_4cbe_8746_28b8289abff7" localSheetId="0" hidden="1">#REF!</definedName>
    <definedName name="Tigr_Exhibit8b7432f3_4a6d_4cbe_8746_28b8289abff7" hidden="1">#REF!</definedName>
    <definedName name="Tigr_Exhibit8c37ce3d_0b47_49b5_9b20_fe8d23a633cb" hidden="1">#REF!</definedName>
    <definedName name="Tigr_Exhibit8c94909e_c9c9_4d35_af19_cfb20bbcbd38" hidden="1">#REF!</definedName>
    <definedName name="Tigr_Exhibit8dd3ff35_304d_495a_96fe_ec4503930378" hidden="1">#REF!</definedName>
    <definedName name="Tigr_Exhibit8e43148f_a519_442a_bad0_4630c6dc31fe" hidden="1">#REF!</definedName>
    <definedName name="Tigr_Exhibit8ebea176_3dee_439a_b8e3_5ed5f472f1bc" hidden="1">#REF!</definedName>
    <definedName name="Tigr_Exhibit8f92d558_aff2_4229_a92e_519d8949714f" hidden="1">#REF!</definedName>
    <definedName name="Tigr_Exhibit9091f140_5b6e_47d3_8ec3_5fa9b082c5d6" hidden="1">#REF!</definedName>
    <definedName name="Tigr_Exhibit9133ee00_341a_465e_a249_bd7786f832db" hidden="1">#REF!</definedName>
    <definedName name="Tigr_Exhibit9203a61c_90c3_4dd7_8e38_a4b5dc1c9c71" localSheetId="0" hidden="1">#REF!</definedName>
    <definedName name="Tigr_Exhibit9203a61c_90c3_4dd7_8e38_a4b5dc1c9c71" hidden="1">#REF!</definedName>
    <definedName name="Tigr_Exhibit924ee06f_bd59_4034_a30f_a6d43f9f0592" hidden="1">#REF!</definedName>
    <definedName name="Tigr_Exhibit93e5e62c_f0fb_4d8b_9cbd_58017d488380" localSheetId="0" hidden="1">#REF!</definedName>
    <definedName name="Tigr_Exhibit93e5e62c_f0fb_4d8b_9cbd_58017d488380" hidden="1">#REF!</definedName>
    <definedName name="Tigr_Exhibit94395497_cc73_42fa_b112_6af7158e6da0" hidden="1">#REF!</definedName>
    <definedName name="Tigr_Exhibit969b3631_71f6_467e_a4ad_a639e75e1207" hidden="1">#REF!</definedName>
    <definedName name="Tigr_Exhibit97214838_7ef8_4b38_bb97_39282c2625fa" hidden="1">#REF!</definedName>
    <definedName name="Tigr_Exhibit9812710d_5725_42b8_8df7_5f8160089f15" hidden="1">#REF!</definedName>
    <definedName name="Tigr_Exhibit984ceaf1_de52_45f9_8ba5_112ed1386d0e" hidden="1">#REF!</definedName>
    <definedName name="Tigr_Exhibit98758301_5e03_4206_b1b4_a1f5725cb728" hidden="1">#REF!</definedName>
    <definedName name="Tigr_Exhibit988b1f0d_9d47_4ac1_a17a_26315cc2dc2f" hidden="1">#REF!</definedName>
    <definedName name="Tigr_Exhibit992542f3_fc9b_43ed_ae32_c07ed6296071" hidden="1">#REF!</definedName>
    <definedName name="Tigr_Exhibit99345016_a93b_4aba_abdd_4ccd01befb86" hidden="1">#REF!</definedName>
    <definedName name="Tigr_Exhibit99af42a8_b296_458f_ab4f_1dc182b56ddd" hidden="1">#REF!</definedName>
    <definedName name="Tigr_Exhibit9b0628c0_fdfc_40c4_976c_70fcde4de598" hidden="1">#REF!</definedName>
    <definedName name="Tigr_Exhibit9b488d64_9268_412a_a8c5_da77256691b2" hidden="1">#REF!</definedName>
    <definedName name="Tigr_Exhibit9b76ebb7_27cc_496d_82b2_fb47f3f1507b" localSheetId="0" hidden="1">#REF!</definedName>
    <definedName name="Tigr_Exhibit9b76ebb7_27cc_496d_82b2_fb47f3f1507b" hidden="1">#REF!</definedName>
    <definedName name="Tigr_Exhibit9d90a28e_fd7c_416e_8835_13e13ba1e4cb" hidden="1">#REF!</definedName>
    <definedName name="Tigr_Exhibit9e3c0f4f_961f_481a_8c79_65616e8a344e" hidden="1">#REF!</definedName>
    <definedName name="Tigr_Exhibit9f32c80f_80b7_499f_aea6_d22f177e3d73" hidden="1">#REF!</definedName>
    <definedName name="Tigr_Exhibita077f21e_e807_4ba1_b2b4_0301a5ef1ed6" hidden="1">#REF!</definedName>
    <definedName name="Tigr_Exhibita0cb7d4e_5a2f_43c2_8589_649866e9cae6" localSheetId="0" hidden="1">#REF!</definedName>
    <definedName name="Tigr_Exhibita0cb7d4e_5a2f_43c2_8589_649866e9cae6" hidden="1">#REF!</definedName>
    <definedName name="Tigr_Exhibita2251d1c_f76e_46b7_a0b8_045add49fca6" hidden="1">#REF!</definedName>
    <definedName name="Tigr_Exhibita262e2ad_0083_4eaf_b265_12805ce23115" hidden="1">#REF!</definedName>
    <definedName name="Tigr_Exhibita2fbd5f2_9e6a_46c9_bcac_8b186baf7e86" hidden="1">#REF!</definedName>
    <definedName name="Tigr_Exhibita32e977f_b045_46af_9d10_c314d9ebde9a" hidden="1">#REF!</definedName>
    <definedName name="Tigr_Exhibita48a015e_3a0e_4542_aec7_9452c7efc697" hidden="1">#REF!</definedName>
    <definedName name="Tigr_Exhibita52fb89c_c9bd_48be_b2e3_3fe39412f6f4" hidden="1">#REF!</definedName>
    <definedName name="Tigr_Exhibita5773abb_40b6_4e2b_9578_7eee9e6a8a8a" hidden="1">#REF!</definedName>
    <definedName name="Tigr_Exhibita596c0b1_52d3_4e9e_990c_75a12146fb6e" hidden="1">#REF!</definedName>
    <definedName name="Tigr_Exhibita5b5dcee_90df_4644_821b_bb43f73ff769" localSheetId="0" hidden="1">#REF!</definedName>
    <definedName name="Tigr_Exhibita5b5dcee_90df_4644_821b_bb43f73ff769" hidden="1">#REF!</definedName>
    <definedName name="Tigr_Exhibita6444c54_1be1_4c0b_a21f_024db5e9d41d" hidden="1">#REF!</definedName>
    <definedName name="Tigr_Exhibita8576a5b_14e7_476e_b64a_640c66f1c271" localSheetId="0" hidden="1">#REF!</definedName>
    <definedName name="Tigr_Exhibita8576a5b_14e7_476e_b64a_640c66f1c271" hidden="1">#REF!</definedName>
    <definedName name="Tigr_Exhibita89ca846_c171_456e_95e5_99779f30dac8" hidden="1">#REF!</definedName>
    <definedName name="Tigr_Exhibita8cb134c_0b85_40c1_a683_08ee07a9430d" hidden="1">#REF!</definedName>
    <definedName name="Tigr_Exhibita90a2057_e3b9_4161_96c4_3519dff01a56" hidden="1">#REF!</definedName>
    <definedName name="Tigr_Exhibitaa01892b_50fc_43e4_bfac_347f01a44ec4" hidden="1">#REF!</definedName>
    <definedName name="Tigr_Exhibitaab1c67d_eb9e_4670_8bb3_8ed3a7a8c3d8" hidden="1">#REF!</definedName>
    <definedName name="Tigr_Exhibitacb8a144_b2e7_4dcb_b7f3_71841f28af9e" hidden="1">#REF!</definedName>
    <definedName name="Tigr_Exhibitae7e00bc_1392_4f31_a60e_9468c21eb959" hidden="1">#REF!</definedName>
    <definedName name="Tigr_Exhibitaf618373_c6ed_4d02_a751_1d7bf479033a" hidden="1">#REF!</definedName>
    <definedName name="Tigr_Exhibitaf7594eb_e93a_4b31_81ec_581c5a62d15e" localSheetId="0" hidden="1">#REF!</definedName>
    <definedName name="Tigr_Exhibitaf7594eb_e93a_4b31_81ec_581c5a62d15e" hidden="1">#REF!</definedName>
    <definedName name="Tigr_Exhibitafb3ad4b_e0e9_4794_afa9_3511799fbbf7" hidden="1">#REF!</definedName>
    <definedName name="Tigr_Exhibitafea35dc_9583_4a28_938d_0876100db5ce" hidden="1">#REF!</definedName>
    <definedName name="Tigr_Exhibitb02a929a_1501_4c3c_92e8_2b60587e1ca7" localSheetId="0" hidden="1">#REF!</definedName>
    <definedName name="Tigr_Exhibitb02a929a_1501_4c3c_92e8_2b60587e1ca7" hidden="1">#REF!</definedName>
    <definedName name="Tigr_Exhibitb164369b_e616_460a_8363_ba1f1b34e394" localSheetId="0" hidden="1">#REF!</definedName>
    <definedName name="Tigr_Exhibitb164369b_e616_460a_8363_ba1f1b34e394" hidden="1">#REF!</definedName>
    <definedName name="Tigr_Exhibitb1ad1007_80cd_4b0e_96d3_1662c6b9b4fe" hidden="1">#REF!</definedName>
    <definedName name="Tigr_Exhibitb276cc23_09ba_4e21_841c_e96fcf67a42a" hidden="1">#REF!</definedName>
    <definedName name="Tigr_Exhibitb27dc55e_4c49_4e36_bf93_b5f803e27d1f" hidden="1">#REF!</definedName>
    <definedName name="Tigr_Exhibitb28e3a6c_4fee_4db4_a22f_f7497ce66995" hidden="1">#REF!</definedName>
    <definedName name="Tigr_Exhibitb34fea93_d672_4c73_8c6c_e7aa9e3cde94" localSheetId="0" hidden="1">#REF!</definedName>
    <definedName name="Tigr_Exhibitb34fea93_d672_4c73_8c6c_e7aa9e3cde94" hidden="1">#REF!</definedName>
    <definedName name="Tigr_Exhibitb3a826e5_cd2d_41ec_b79f_fe9ded91ae55" hidden="1">#REF!</definedName>
    <definedName name="Tigr_Exhibitb457cc3d_b6fc_46f5_8c7d_0d5c76aa8515" hidden="1">#REF!</definedName>
    <definedName name="Tigr_Exhibitb50b9d24_83db_47f0_8d9e_80de62ca06b7" hidden="1">#REF!</definedName>
    <definedName name="Tigr_Exhibitb62559a7_9735_4daa_860c_7e0dac8cb91b" hidden="1">#REF!</definedName>
    <definedName name="Tigr_Exhibitb639d899_7981_4036_a49d_78140991d61f" localSheetId="0" hidden="1">#REF!</definedName>
    <definedName name="Tigr_Exhibitb639d899_7981_4036_a49d_78140991d61f" hidden="1">#REF!</definedName>
    <definedName name="Tigr_Exhibitb6e68220_d4d8_4853_bfb5_21140b8a6abe" hidden="1">#REF!</definedName>
    <definedName name="Tigr_Exhibitb8bbce9a_e399_49aa_bc1c_1cacb59a8030" hidden="1">#REF!</definedName>
    <definedName name="Tigr_Exhibitbae8d664_a6d5_4121_a05e_04f7719b46cb" localSheetId="0" hidden="1">#REF!</definedName>
    <definedName name="Tigr_Exhibitbae8d664_a6d5_4121_a05e_04f7719b46cb" hidden="1">#REF!</definedName>
    <definedName name="Tigr_Exhibitbb444602_bdff_4996_ae80_511dbe9665e6" hidden="1">#REF!</definedName>
    <definedName name="Tigr_Exhibitbbb40d1e_851b_43e3_bce8_3f5f6dbd5281" hidden="1">#REF!</definedName>
    <definedName name="Tigr_Exhibitbdc6995f_1e57_48a6_afba_31b1dc164224" hidden="1">#REF!</definedName>
    <definedName name="Tigr_Exhibitbe61e58f_6a6e_4944_b28c_1903d54206ad" hidden="1">#REF!</definedName>
    <definedName name="Tigr_Exhibitbfa22bdc_f7a7_45b1_a332_cdd740ea57ae" hidden="1">#REF!</definedName>
    <definedName name="Tigr_Exhibitbfd645dd_598b_4ae9_b046_fa4214e6de6b" hidden="1">#REF!</definedName>
    <definedName name="Tigr_Exhibitbfe14f72_c94b_4b9b_baf1_3d28bf2dbdbd" hidden="1">#REF!</definedName>
    <definedName name="Tigr_Exhibitc15afe61_9c69_487a_b302_f09e0ad220bd" localSheetId="0" hidden="1">#REF!</definedName>
    <definedName name="Tigr_Exhibitc15afe61_9c69_487a_b302_f09e0ad220bd" hidden="1">#REF!</definedName>
    <definedName name="Tigr_Exhibitc2a265e0_0f8b_4f8b_9f75_a1a59a8eae78" hidden="1">#REF!</definedName>
    <definedName name="Tigr_Exhibitc310eefe_f289_43e1_b38b_894e9ea696bc" hidden="1">#REF!</definedName>
    <definedName name="Tigr_Exhibitc4c92952_7b93_4c02_ace7_97f07732cd63" hidden="1">#REF!</definedName>
    <definedName name="Tigr_Exhibitc5bfc762_31b2_409a_9dc1_9a00a33e5d8f" hidden="1">#REF!</definedName>
    <definedName name="Tigr_Exhibitc6a07a4c_afd8_4146_b989_eee8961728b8" hidden="1">#REF!</definedName>
    <definedName name="Tigr_Exhibitc784566e_1c8b_46e5_9150_5c23247828d2" hidden="1">#REF!</definedName>
    <definedName name="Tigr_Exhibitc9043b92_8544_480b_85c4_db6444ff2af8" hidden="1">#REF!</definedName>
    <definedName name="Tigr_Exhibitc90ac7e8_5436_4766_be94_3192ab7cccd0" hidden="1">#REF!</definedName>
    <definedName name="Tigr_Exhibitc9452248_7ee1_4f0a_81cb_3c1c369d69e9" hidden="1">#REF!</definedName>
    <definedName name="Tigr_Exhibitc9d526fe_e1cb_435d_943f_8c721ad0c85b" hidden="1">#REF!</definedName>
    <definedName name="Tigr_Exhibitca3df10b_17d8_474b_a95a_3e461b557e08" hidden="1">#REF!</definedName>
    <definedName name="Tigr_Exhibitca683d90_eeb5_498c_a01b_656225044b75" hidden="1">#REF!</definedName>
    <definedName name="Tigr_Exhibitcab2b78c_512d_4c67_8b73_b0c2d0848899" hidden="1">#REF!</definedName>
    <definedName name="Tigr_Exhibitcc8b9acb_23a0_4943_bf21_22a50a6de74e" localSheetId="0" hidden="1">#REF!</definedName>
    <definedName name="Tigr_Exhibitcc8b9acb_23a0_4943_bf21_22a50a6de74e" hidden="1">#REF!</definedName>
    <definedName name="Tigr_Exhibitcd25950e_37e6_4b3a_b339_7840d1eda958" localSheetId="0" hidden="1">#REF!</definedName>
    <definedName name="Tigr_Exhibitcd25950e_37e6_4b3a_b339_7840d1eda958" hidden="1">#REF!</definedName>
    <definedName name="Tigr_Exhibitcd3365fa_5960_4856_830b_0ffe795104ec" hidden="1">#REF!</definedName>
    <definedName name="Tigr_Exhibitcd49e4cd_4cac_4a2d_92cf_32ef6aec4338" hidden="1">#REF!</definedName>
    <definedName name="Tigr_Exhibitcd74b2cc_1468_45ad_bed7_410ea6c3f322" hidden="1">#REF!</definedName>
    <definedName name="Tigr_Exhibitcea0312c_25eb_42c3_9965_63d79dd6edb7" hidden="1">#REF!</definedName>
    <definedName name="Tigr_Exhibitcf265f15_b595_44f8_9542_13c4b4e2d3b7" hidden="1">#REF!</definedName>
    <definedName name="Tigr_Exhibitd0851d21_12bb_43be_aa6f_fb3db44a621e" hidden="1">#REF!</definedName>
    <definedName name="Tigr_Exhibitd1d4f86b_39ae_41cd_9ce9_71cf19d173e3" hidden="1">#REF!</definedName>
    <definedName name="Tigr_Exhibitd286e066_310d_4e0d_a3af_ddd74aec977e" hidden="1">#REF!</definedName>
    <definedName name="Tigr_Exhibitd2beee5a_b824_425f_ac5b_5ead13e96566" hidden="1">#REF!</definedName>
    <definedName name="Tigr_Exhibitd4122907_7ad8_46db_9861_3831518d6e2c" hidden="1">#REF!</definedName>
    <definedName name="Tigr_Exhibitd42841ad_f272_4ee4_9139_42f2b1021f1c" hidden="1">#REF!</definedName>
    <definedName name="Tigr_Exhibitd45f8f1e_539f_4d1c_9ba7_bc3dfc0c8408" hidden="1">#REF!</definedName>
    <definedName name="Tigr_Exhibitd4e82962_d359_4e3b_8637_ce5b93c8889b" hidden="1">#REF!</definedName>
    <definedName name="Tigr_Exhibitd5366692_2beb_4c21_90f5_846593997659" localSheetId="0" hidden="1">#REF!</definedName>
    <definedName name="Tigr_Exhibitd5366692_2beb_4c21_90f5_846593997659" hidden="1">#REF!</definedName>
    <definedName name="Tigr_Exhibitd561b456_ae87_43cc_80a9_605dd4cecadd" hidden="1">#REF!</definedName>
    <definedName name="Tigr_Exhibitd5ff8394_40e7_4214_adb6_76333f7e61e1" hidden="1">#REF!</definedName>
    <definedName name="Tigr_Exhibitd6d9cd19_7b68_48ec_a8a9_3455ce90ae59" localSheetId="0" hidden="1">#REF!</definedName>
    <definedName name="Tigr_Exhibitd6d9cd19_7b68_48ec_a8a9_3455ce90ae59" hidden="1">#REF!</definedName>
    <definedName name="Tigr_Exhibitd7e33a68_e8f9_4b13_8073_33581ee571ea" hidden="1">#REF!</definedName>
    <definedName name="Tigr_Exhibitd8038c55_43cd_4ac7_bfe6_773bc92a7406" localSheetId="0" hidden="1">#REF!</definedName>
    <definedName name="Tigr_Exhibitd8038c55_43cd_4ac7_bfe6_773bc92a7406" hidden="1">#REF!</definedName>
    <definedName name="Tigr_Exhibitda039493_4b21_444f_96cc_5fef8dc4fb02" hidden="1">#REF!</definedName>
    <definedName name="Tigr_Exhibitdab43b1c_67a5_4991_af53_6768621aa6b2" hidden="1">#REF!</definedName>
    <definedName name="Tigr_Exhibitdb1c5217_c7c3_4cf5_840b_eb9cbb0e2b3c" localSheetId="0" hidden="1">#REF!</definedName>
    <definedName name="Tigr_Exhibitdb1c5217_c7c3_4cf5_840b_eb9cbb0e2b3c" hidden="1">#REF!</definedName>
    <definedName name="Tigr_Exhibitdb41f672_c9ec_4014_82e2_679534230452" localSheetId="0" hidden="1">#REF!</definedName>
    <definedName name="Tigr_Exhibitdb41f672_c9ec_4014_82e2_679534230452" hidden="1">#REF!</definedName>
    <definedName name="Tigr_Exhibitdc27ee83_53ec_4f67_8563_0c7e08f0d2a3" hidden="1">#REF!</definedName>
    <definedName name="Tigr_Exhibitde2b3ffa_7fd6_4215_b327_90fd7b11993a" hidden="1">#REF!</definedName>
    <definedName name="Tigr_Exhibitdf212eab_a45d_4a45_85a8_ba08960e2f2f" hidden="1">#REF!</definedName>
    <definedName name="Tigr_Exhibite0bd7b24_a257_4a05_a83f_d427e6c8a1c8" localSheetId="0" hidden="1">#REF!</definedName>
    <definedName name="Tigr_Exhibite0bd7b24_a257_4a05_a83f_d427e6c8a1c8" hidden="1">#REF!</definedName>
    <definedName name="Tigr_Exhibite1813598_f71b_42ae_a013_cad366996630" hidden="1">#REF!</definedName>
    <definedName name="Tigr_Exhibite18e9a9e_7baf_4ede_8995_ce2dbb541c83" hidden="1">#REF!</definedName>
    <definedName name="Tigr_Exhibite2b395ee_e13e_471e_9e5f_956ce20768d7" hidden="1">#REF!</definedName>
    <definedName name="Tigr_Exhibite3317e43_61d5_4d5b_b722_9af6296b4b02" hidden="1">#REF!</definedName>
    <definedName name="Tigr_Exhibite3b0e9c9_b753_4b75_92e8_41dc7aa61ac5" hidden="1">#REF!</definedName>
    <definedName name="Tigr_Exhibite48ad90f_db16_4b51_9eb0_b62ba8a235ef" hidden="1">#REF!</definedName>
    <definedName name="Tigr_Exhibite55d534b_14a1_43da_aa69_22c8b079c4d4" localSheetId="0" hidden="1">#REF!</definedName>
    <definedName name="Tigr_Exhibite55d534b_14a1_43da_aa69_22c8b079c4d4" hidden="1">#REF!</definedName>
    <definedName name="Tigr_Exhibite64e4164_f220_4416_99a8_03c078a936aa" hidden="1">#REF!</definedName>
    <definedName name="Tigr_Exhibite655e966_ddc9_435f_b813_a15655af2dbb" hidden="1">#REF!</definedName>
    <definedName name="Tigr_Exhibite6e20c9e_c9bf_4949_b6a4_f40eeae35e9f" localSheetId="0" hidden="1">#REF!</definedName>
    <definedName name="Tigr_Exhibite6e20c9e_c9bf_4949_b6a4_f40eeae35e9f" hidden="1">#REF!</definedName>
    <definedName name="Tigr_Exhibite762e8f5_243d_4bee_b2c9_d81ef284e532" hidden="1">#REF!</definedName>
    <definedName name="Tigr_Exhibite783c254_5fa5_4fa7_a131_f1b6574e5e34" hidden="1">#REF!</definedName>
    <definedName name="Tigr_Exhibite7d68f2f_eb36_4cfd_b510_bdbc982a986f" hidden="1">#REF!</definedName>
    <definedName name="Tigr_Exhibite7e8201f_4f83_449c_b516_acb0fe5a6ea8" localSheetId="0" hidden="1">#REF!</definedName>
    <definedName name="Tigr_Exhibite7e8201f_4f83_449c_b516_acb0fe5a6ea8" hidden="1">#REF!</definedName>
    <definedName name="Tigr_Exhibite8868162_70c7_449b_8d26_f91817af2ca4" hidden="1">#REF!</definedName>
    <definedName name="Tigr_Exhibite89bf580_82d0_4f6f_aa1b_ada14748584c" hidden="1">#REF!</definedName>
    <definedName name="Tigr_Exhibite8c1081c_572a_4f21_b507_87b4cc579475" hidden="1">#REF!</definedName>
    <definedName name="Tigr_Exhibite93c0e99_0525_4caa_a79f_96a870a5bc3a" localSheetId="0" hidden="1">#REF!</definedName>
    <definedName name="Tigr_Exhibite93c0e99_0525_4caa_a79f_96a870a5bc3a" hidden="1">#REF!</definedName>
    <definedName name="Tigr_Exhibite93f1af6_7844_4ec9_8d61_9b91ef8cdf0e" hidden="1">#REF!</definedName>
    <definedName name="Tigr_Exhibite9dec75d_cd89_483e_ae92_13ca4cec026d" hidden="1">#REF!</definedName>
    <definedName name="Tigr_Exhibitea3cb974_30b4_439b_86fa_a927c3c3d524" hidden="1">#REF!</definedName>
    <definedName name="Tigr_Exhibitea618776_1fb6_4b2d_83af_99277734fdb2" localSheetId="0" hidden="1">#REF!</definedName>
    <definedName name="Tigr_Exhibitea618776_1fb6_4b2d_83af_99277734fdb2" hidden="1">#REF!</definedName>
    <definedName name="Tigr_Exhibitea63c191_130f_4d04_b9d2_2d12fa873035" hidden="1">#REF!</definedName>
    <definedName name="Tigr_Exhibitedfe9d66_47c2_4b14_b466_f22753f72953" hidden="1">#REF!</definedName>
    <definedName name="Tigr_Exhibitee0f3b5c_8fe8_4eee_b472_1d32aba115e0" localSheetId="0" hidden="1">#REF!</definedName>
    <definedName name="Tigr_Exhibitee0f3b5c_8fe8_4eee_b472_1d32aba115e0" hidden="1">#REF!</definedName>
    <definedName name="Tigr_Exhibitee4f5936_29e2_4173_8da0_99b670ac48a0" localSheetId="0" hidden="1">#REF!</definedName>
    <definedName name="Tigr_Exhibitee4f5936_29e2_4173_8da0_99b670ac48a0" hidden="1">#REF!</definedName>
    <definedName name="Tigr_Exhibitee53a7a2_16c9_41e0_bfd8_bc23dae29183" localSheetId="0" hidden="1">#REF!</definedName>
    <definedName name="Tigr_Exhibitee53a7a2_16c9_41e0_bfd8_bc23dae29183" hidden="1">#REF!</definedName>
    <definedName name="Tigr_Exhibitefdd94ae_ca7e_4f7b_8bfe_b9b3448a2c30" hidden="1">#REF!</definedName>
    <definedName name="Tigr_Exhibitf026c0c5_deee_4094_9d69_0d393785c060" localSheetId="0" hidden="1">#REF!</definedName>
    <definedName name="Tigr_Exhibitf026c0c5_deee_4094_9d69_0d393785c060" hidden="1">#REF!</definedName>
    <definedName name="Tigr_Exhibitf0431a00_643c_4581_9d54_9c91a9ccba9a" hidden="1">#REF!</definedName>
    <definedName name="Tigr_Exhibitf061499a_8cd1_48ea_9a29_5b5c617aae3a" hidden="1">#REF!</definedName>
    <definedName name="Tigr_Exhibitf0848be4_7a46_4858_9a0b_21906822db79" localSheetId="0" hidden="1">#REF!</definedName>
    <definedName name="Tigr_Exhibitf0848be4_7a46_4858_9a0b_21906822db79" hidden="1">#REF!</definedName>
    <definedName name="Tigr_Exhibitf139141f_59e0_46fa_8845_57715aebe16b" hidden="1">#REF!</definedName>
    <definedName name="Tigr_Exhibitf17b826a_a234_4e30_a0c3_832229275018" hidden="1">#REF!</definedName>
    <definedName name="Tigr_Exhibitf5da86ef_28e6_47c4_8cf9_696bf300c1b2" hidden="1">#REF!</definedName>
    <definedName name="Tigr_Exhibitf66cdb42_307a_41f9_8e44_7ec1cf371f97" hidden="1">#REF!</definedName>
    <definedName name="Tigr_Exhibitf74da466_60b5_463c_92ca_c2f3bba4f447" localSheetId="0" hidden="1">#REF!</definedName>
    <definedName name="Tigr_Exhibitf74da466_60b5_463c_92ca_c2f3bba4f447" hidden="1">#REF!</definedName>
    <definedName name="Tigr_Exhibitf7779a40_636a_4238_9a19_ebfe87681103" hidden="1">#REF!</definedName>
    <definedName name="Tigr_Exhibitf81d8145_c09e_4f55_a4a7_5e7e6ac45bde" hidden="1">#REF!</definedName>
    <definedName name="Tigr_Exhibitfab43622_69f5_4ab4_b0e8_6c811f431981" hidden="1">#REF!</definedName>
    <definedName name="Tigr_Exhibitfb60bcd0_321a_4cce_bac6_e209949d3977" hidden="1">#REF!</definedName>
    <definedName name="Tigr_Exhibitfc7cb3f1_032e_4243_8edd_a0588a8b11fc" hidden="1">#REF!</definedName>
    <definedName name="Tigr_Exhibitfd8da8ac_a334_4a68_b00b_af43818df8f7" hidden="1">#REF!</definedName>
    <definedName name="Tigr_Exhibitff44ba6d_a651_46f4_b373_3324a704724e" hidden="1">#REF!</definedName>
    <definedName name="tim">#REF!</definedName>
    <definedName name="tin">#REF!</definedName>
    <definedName name="Title">#REF!</definedName>
    <definedName name="Title_Date">#REF!</definedName>
    <definedName name="Title_F5">#REF!</definedName>
    <definedName name="Title_HK">#REF!</definedName>
    <definedName name="TJDate">OFFSET(#REF!,0,0,COUNTA(#REF!),1)</definedName>
    <definedName name="TJGFA">OFFSET(#REF!,0,0,COUNTA(#REF!)-1,1)</definedName>
    <definedName name="TJPrice">OFFSET(#REF!,0,0,COUNTA(#REF!)-1,1)</definedName>
    <definedName name="tnd">#REF!</definedName>
    <definedName name="Topics">#REF!</definedName>
    <definedName name="Topsports">#REF!</definedName>
    <definedName name="total_addbacks">#REF!</definedName>
    <definedName name="Total_amort_fore">#REF!</definedName>
    <definedName name="Total_Amortization">#REF!</definedName>
    <definedName name="Total_Amortization_fore">#REF!</definedName>
    <definedName name="Total_Assets">#REF!</definedName>
    <definedName name="Total_COS">#REF!</definedName>
    <definedName name="Total_COS_fore">#REF!</definedName>
    <definedName name="Total_COS_growth_fore">#REF!</definedName>
    <definedName name="Total_COS_net_DnA_fore">#REF!</definedName>
    <definedName name="Total_debt">#REF!</definedName>
    <definedName name="Total_debt_DCF">#REF!</definedName>
    <definedName name="Total_debt_fore">#REF!</definedName>
    <definedName name="Total_debt_growth_fore">#REF!</definedName>
    <definedName name="total_deductions">#REF!</definedName>
    <definedName name="Total_Increase_in_EEs_fore">#REF!</definedName>
    <definedName name="Total_Liabilities">#REF!</definedName>
    <definedName name="TotalReqs">#REF!</definedName>
    <definedName name="TOTALS">#REF!</definedName>
    <definedName name="TotalSholdersEquity">#REF!</definedName>
    <definedName name="TotalTime">#REF!</definedName>
    <definedName name="totass">#REF!</definedName>
    <definedName name="totcap">#REF!</definedName>
    <definedName name="totinc00">#REF!</definedName>
    <definedName name="totinc01">#REF!</definedName>
    <definedName name="totinc98">#REF!</definedName>
    <definedName name="totinc99">#REF!</definedName>
    <definedName name="TP">#REF!</definedName>
    <definedName name="TPnew">#REF!</definedName>
    <definedName name="tpo">#REF!</definedName>
    <definedName name="tq3t4t">#REF!</definedName>
    <definedName name="tqtrtrehth">#REF!</definedName>
    <definedName name="Trace">FALSE</definedName>
    <definedName name="transaction">#REF!</definedName>
    <definedName name="Transactions">#REF!</definedName>
    <definedName name="Travelsky">#REF!</definedName>
    <definedName name="tre">#REF!</definedName>
    <definedName name="Treasury_Net_Assets_Est">#REF!</definedName>
    <definedName name="Treasury_Operations">#REF!</definedName>
    <definedName name="TreeMap">"TreeMap"</definedName>
    <definedName name="TREND1" hidden="1">#REF!</definedName>
    <definedName name="TREND10" hidden="1">#REF!</definedName>
    <definedName name="TREND11" hidden="1">#REF!</definedName>
    <definedName name="TREND2" hidden="1">#REF!</definedName>
    <definedName name="TREND3" hidden="1">#REF!</definedName>
    <definedName name="TREND4" hidden="1">#REF!</definedName>
    <definedName name="TREND5" hidden="1">#REF!</definedName>
    <definedName name="TREND6" hidden="1">#REF!</definedName>
    <definedName name="TREND7" hidden="1">#REF!</definedName>
    <definedName name="trend8" hidden="1">#REF!</definedName>
    <definedName name="TREND9" hidden="1">#REF!</definedName>
    <definedName name="TRNR_170fe17b54014d08896289d6dc6abf1b_523_4" hidden="1">#REF!</definedName>
    <definedName name="TRNR_1851107a36604f8498318c9275d21de2_523_3" hidden="1">#REF!</definedName>
    <definedName name="TRNR_1af2f2fa5262403eb49906e65c027fdc_523_4" hidden="1">#REF!</definedName>
    <definedName name="TRNR_1fb9d68ec8df40e495d4bc373475b6c4_4280_4" hidden="1">#REF!</definedName>
    <definedName name="TRNR_1fbded85e4af43bb8d173ea3b3e23fce_3914_2" hidden="1">#REF!</definedName>
    <definedName name="TRNR_24e5359159494d4093cef7b5452c3010_4249_7" hidden="1">#REF!</definedName>
    <definedName name="TRNR_2f3bdd65bf614947a29ed25054e0dcf8_3915_6" hidden="1">#REF!</definedName>
    <definedName name="TRNR_4a008be9269c41198384e037a1c30bb7_523_13" hidden="1">#REF!</definedName>
    <definedName name="TRNR_5316efca802541b084385bd9ee98415c_4175_7" hidden="1">#REF!</definedName>
    <definedName name="TRNR_5a09faec819840ed8e749c53592a64ff_4280_2" hidden="1">#REF!</definedName>
    <definedName name="TRNR_6768e2079c8f4f6896f9bb849cad673c_3913_5" hidden="1">#REF!</definedName>
    <definedName name="TRNR_6d829c847b334443a8740ce4bbf2c018_523_5" hidden="1">#REF!</definedName>
    <definedName name="TRNR_80a8e44ab78d419bb7c21ec55e9c73d5_4249_4" hidden="1">#REF!</definedName>
    <definedName name="TRNR_8be7d60c34bf48d7905041998750c391_523_5" hidden="1">#REF!</definedName>
    <definedName name="TRNR_93114eaa270748a08fab4a428acc4c0a_4280_4" hidden="1">#REF!</definedName>
    <definedName name="TRNR_9be1f0120d684ea4995e034ad97acfe0_4280_2" hidden="1">#REF!</definedName>
    <definedName name="TRNR_9ea0665585cd4f668cca3be16903b24f_523_3" hidden="1">#REF!</definedName>
    <definedName name="TRNR_9fb93094ba88466d8118db0b93a2739d_4249_4" hidden="1">#REF!</definedName>
    <definedName name="TRNR_a19432c5304243b1add14eaba07a51a9_3913_3" hidden="1">#REF!</definedName>
    <definedName name="TRNR_a4d63b27d570499bae59ac5540dd1802_3_8" hidden="1">#REF!</definedName>
    <definedName name="TRNR_a894bb9d91da4b3593c74d728d0ef328_523_2" hidden="1">#REF!</definedName>
    <definedName name="TRNR_a8b9f0aa03c94e3f84db6254480408ce_4249_2" hidden="1">#REF!</definedName>
    <definedName name="TRNR_a8c370bedc5049679a2b72079eb73540_523_7" hidden="1">#REF!</definedName>
    <definedName name="TRNR_aa92ffe70954478cb737559ce1e968c5_1_7" hidden="1">#REF!</definedName>
    <definedName name="TRNR_abd57c87a7024c869ec3243fe2aa4892_523_9" hidden="1">#REF!</definedName>
    <definedName name="TRNR_c36a0012f0e74ee9897f23e6adeb85b6_3913_5" hidden="1">#REF!</definedName>
    <definedName name="TRNR_c52e9237c58245489381158e9e009403_523_11" hidden="1">#REF!</definedName>
    <definedName name="TRNR_d8559b5d4f724d9ab742e2181da7d71c_523_19" hidden="1">#REF!</definedName>
    <definedName name="TRNR_dc19f0f73f1d4cf0b7f7a6f662adef77_4175_7" hidden="1">#REF!</definedName>
    <definedName name="tt">{"xsh1.xls","Sheet1"}</definedName>
    <definedName name="TTDesiredLevelOfEvidenceItems">#REF!</definedName>
    <definedName name="tte">LEFT(dc,4)-1&amp;"年12月31日"</definedName>
    <definedName name="TTRUR" hidden="1">{"summary",#N/A,FALSE,"2000 vs 1999";"detail",#N/A,FALSE,"2000 vs 1999"}</definedName>
    <definedName name="ttt" hidden="1">{#N/A,#N/A,FALSE,"Tobacco Rolls, Fine Cut Dom.";#N/A,#N/A,FALSE,"Eco-Cigarillos Dom.";#N/A,#N/A,FALSE,"Other Cigars Cigarillos";#N/A,#N/A,FALSE,"Filter Tubes";#N/A,#N/A,FALSE,"Other Business";#N/A,#N/A,FALSE,"Total Industrial Business"}</definedName>
    <definedName name="tttt" hidden="1">{"summary",#N/A,FALSE,"2000 vs 1999";"detail",#N/A,FALSE,"2000 vs 1999"}</definedName>
    <definedName name="tttttttt" hidden="1">{"Eilbericht_UBA",#N/A,FALSE,"EB"}</definedName>
    <definedName name="tttttttttttttttt">#REF!</definedName>
    <definedName name="Turnover">#REF!</definedName>
    <definedName name="twdnew">#REF!</definedName>
    <definedName name="twdold">#REF!</definedName>
    <definedName name="Two_years_ago">#REF!</definedName>
    <definedName name="TwoStepMisstatementIdentified">#REF!</definedName>
    <definedName name="TwoStepTolerableEstMisstmtCalc">#REF!</definedName>
    <definedName name="Tx_Rate">16%</definedName>
    <definedName name="TYUTU" hidden="1">{"summary",#N/A,FALSE,"2000 vs 1999";"detail",#N/A,FALSE,"2000 vs 1999"}</definedName>
    <definedName name="TYUTY" hidden="1">{"summary",#N/A,FALSE,"2000 vs 1999";"detail",#N/A,FALSE,"2000 vs 1999"}</definedName>
    <definedName name="TYUTYUYT" hidden="1">{"summary",#N/A,FALSE,"2000 vs 1999";"detail",#N/A,FALSE,"2000 vs 1999"}</definedName>
    <definedName name="u" hidden="1">{#N/A,#N/A,FALSE,"Ocean";#N/A,#N/A,FALSE,"NewYork";#N/A,#N/A,FALSE,"Gateway";#N/A,#N/A,FALSE,"GVH";#N/A,#N/A,FALSE,"GVM";#N/A,#N/A,FALSE,"GVT"}</definedName>
    <definedName name="UD_index">#REF!</definedName>
    <definedName name="UFO">#REF!</definedName>
    <definedName name="UFPrn20000427131853">#REF!</definedName>
    <definedName name="UFPrn20000830133623">#REF!</definedName>
    <definedName name="UFPrn20001009084409">#REF!</definedName>
    <definedName name="UFPrn20001009092810">#REF!</definedName>
    <definedName name="UFPrn20001009094140">#REF!</definedName>
    <definedName name="UFPrn20001009111302">#REF!</definedName>
    <definedName name="UFPrn20001027133702">#REF!</definedName>
    <definedName name="UFPrn20001027134409">#REF!</definedName>
    <definedName name="UFPrn20001027134709">#REF!</definedName>
    <definedName name="UFPrn20001106134155">#REF!</definedName>
    <definedName name="UFPrn20001106134233">#REF!</definedName>
    <definedName name="UFPrn20001107110532">#REF!</definedName>
    <definedName name="UFPrn20001107110546">#REF!</definedName>
    <definedName name="UFPrn20001107120258">#REF!</definedName>
    <definedName name="UFPrn20001107120604">#REF!</definedName>
    <definedName name="UFPrn20001107140811">#REF!</definedName>
    <definedName name="UFPrn20001107141006">#REF!</definedName>
    <definedName name="UFPrn20001107141053">#REF!</definedName>
    <definedName name="UFPrn20001107144350">#REF!</definedName>
    <definedName name="UFPrn20001107144412">#REF!</definedName>
    <definedName name="UFPrn20001107144453">#REF!</definedName>
    <definedName name="UFPrn20001107144524">#REF!</definedName>
    <definedName name="UFPrn20001107144559">#REF!</definedName>
    <definedName name="UFPrn20001107152736">#REF!</definedName>
    <definedName name="UFPrn20001108094039">#REF!</definedName>
    <definedName name="UFPrn20001108094115">#REF!</definedName>
    <definedName name="UFPrn20001108101505">#REF!</definedName>
    <definedName name="UFPrn20001108120357">#REF!</definedName>
    <definedName name="UFPrn20001108120418">#REF!</definedName>
    <definedName name="UFPrn20001108122559">#REF!</definedName>
    <definedName name="UFPrn20001129111535">#REF!</definedName>
    <definedName name="UFPrn20001207135944">#REF!</definedName>
    <definedName name="UFPrn20001207172028">#REF!</definedName>
    <definedName name="UFPrn20001207172142">#REF!</definedName>
    <definedName name="UFPrn20001207205901">#REF!</definedName>
    <definedName name="UFPrn20001207211455">#REF!</definedName>
    <definedName name="UFPrn20001207211627">#REF!</definedName>
    <definedName name="UFPrn20001207211653">#REF!</definedName>
    <definedName name="UFPrn20001207211727">#REF!</definedName>
    <definedName name="UFPrn20001207212506">#REF!</definedName>
    <definedName name="UFPrn20001207214932">#REF!</definedName>
    <definedName name="UFPrn20001207214950">#REF!</definedName>
    <definedName name="UFPrn20001226163640">#REF!</definedName>
    <definedName name="UFPrn20001229184314">#REF!</definedName>
    <definedName name="UFPrn20010228171907">#REF!</definedName>
    <definedName name="UFPrn20010228173256">#REF!</definedName>
    <definedName name="UFPrn20010228175158">#REF!</definedName>
    <definedName name="UFPrn20010807094723">#REF!</definedName>
    <definedName name="UFPrn20010903124012">#REF!</definedName>
    <definedName name="UFPrn20010915174130">#REF!</definedName>
    <definedName name="UFPrn20010920174603">#REF!</definedName>
    <definedName name="UFPrn20010924143724">#REF!</definedName>
    <definedName name="UFPrn20011011110721">#REF!</definedName>
    <definedName name="UFPrn20011018162559">#REF!</definedName>
    <definedName name="UFPrn20011109085629">#REF!</definedName>
    <definedName name="UFPrn20011119193218">#REF!</definedName>
    <definedName name="UFPrn20011121144933">#REF!</definedName>
    <definedName name="UFPrn20020110094055">#REF!</definedName>
    <definedName name="UFPrn20020110141252">#REF!</definedName>
    <definedName name="UFPrn20020110141330">#REF!</definedName>
    <definedName name="UFPrn20020110141403">#REF!</definedName>
    <definedName name="UFPrn20020321085941">#REF!</definedName>
    <definedName name="UFPrn20020328170706">#REF!</definedName>
    <definedName name="UFPrn20020403093608">#REF!</definedName>
    <definedName name="UFPrn20020426154224">#REF!</definedName>
    <definedName name="UFPrn20020427185731">#REF!</definedName>
    <definedName name="UFPrn20020506123255">#REF!</definedName>
    <definedName name="UFPrn20020509110613">#REF!</definedName>
    <definedName name="UFPrn20020509114150">#REF!</definedName>
    <definedName name="UFPrn20020509152045">#REF!</definedName>
    <definedName name="UFPrn20020605155817">#REF!</definedName>
    <definedName name="UFPrn20020614084457">#REF!</definedName>
    <definedName name="UFPrn20020614120424">#REF!</definedName>
    <definedName name="UFPrn20020805171403">#REF!</definedName>
    <definedName name="UFPrn20021016171944">#REF!</definedName>
    <definedName name="UFPrn20021016172137">#REF!</definedName>
    <definedName name="UFPrn20021026175250">#REF!</definedName>
    <definedName name="UFPrn20021028092249">#REF!</definedName>
    <definedName name="UFPrn20021028092610">#REF!</definedName>
    <definedName name="UFPrn20021028092859">#REF!</definedName>
    <definedName name="UFPrn20021028093009">#REF!</definedName>
    <definedName name="UFPrn20021028143418">#REF!</definedName>
    <definedName name="UFPrn20021028143648">#REF!</definedName>
    <definedName name="UFPrn20021028144351">#REF!</definedName>
    <definedName name="UFPrn20021106141134">#REF!</definedName>
    <definedName name="UFPrn20021113143035">#REF!</definedName>
    <definedName name="UFPrn20021114165359">#REF!</definedName>
    <definedName name="UFPrn20021114183543">#REF!</definedName>
    <definedName name="UFPrn20021121104326">#REF!</definedName>
    <definedName name="UFPrn20021125141957">#REF!</definedName>
    <definedName name="UFPrn20021125145344">#REF!</definedName>
    <definedName name="UFPrn20021125153258">#REF!</definedName>
    <definedName name="UFPrn20021125155713">#REF!</definedName>
    <definedName name="UFPrn20021125161844">#REF!</definedName>
    <definedName name="UFPrn20021231152614">#REF!</definedName>
    <definedName name="UFPrn20021231175805">#REF!</definedName>
    <definedName name="UFPrn20030113165002">#REF!</definedName>
    <definedName name="UFPrn20030114100913">#REF!</definedName>
    <definedName name="UFPrn20030114101241">#REF!</definedName>
    <definedName name="UFPrn20030601095743">#REF!</definedName>
    <definedName name="UFPrn20030601095853">#REF!</definedName>
    <definedName name="UFPrn20031104154602">#REF!</definedName>
    <definedName name="UFPrn20031114092718">#REF!</definedName>
    <definedName name="UFPrn20031114093058">#REF!</definedName>
    <definedName name="UFPrn20031114093206">#REF!</definedName>
    <definedName name="UFPrn20031114095248">#REF!</definedName>
    <definedName name="UFPrn20031114095309">#REF!</definedName>
    <definedName name="UFPrn20031114095331">#REF!</definedName>
    <definedName name="UFPrn20031114095348">#REF!</definedName>
    <definedName name="UFPrn20031114100104">#REF!</definedName>
    <definedName name="UFPrn20031229191755">#REF!</definedName>
    <definedName name="UFPrn20031229194320">#REF!</definedName>
    <definedName name="UFPrn20031231094857">#REF!</definedName>
    <definedName name="UFPrn20031231095016">#REF!</definedName>
    <definedName name="UFPrn20031231095321">#REF!</definedName>
    <definedName name="UFPrn20040115173939">#REF!</definedName>
    <definedName name="UFPrn20040115174507">#REF!</definedName>
    <definedName name="UFPrn20040116092904">#REF!</definedName>
    <definedName name="UFPrn20040131194705">#REF!</definedName>
    <definedName name="UFPrn20040217135607">#REF!</definedName>
    <definedName name="UFPrn20040217135643">#REF!</definedName>
    <definedName name="UFPrn20040302115001">#REF!</definedName>
    <definedName name="UFPrn20040302115220">#REF!</definedName>
    <definedName name="UFPrn20040302131247">#REF!</definedName>
    <definedName name="UFPrn20040302144045">#REF!</definedName>
    <definedName name="UFPrn20040303125953">#REF!</definedName>
    <definedName name="UFPrn20040303130919">#REF!</definedName>
    <definedName name="UFPrn20040303131437">#REF!</definedName>
    <definedName name="UFPrn20040330152438">#REF!</definedName>
    <definedName name="UFPrn20040330152645">#REF!</definedName>
    <definedName name="UFPrn20040330152822">#REF!</definedName>
    <definedName name="UFPrn20040330152907">#REF!</definedName>
    <definedName name="UFPrn20040330152942">#REF!</definedName>
    <definedName name="UFPrn20040407111404">#REF!</definedName>
    <definedName name="UFPrn20040407111423">#REF!</definedName>
    <definedName name="UFPrn20040422164214">#REF!</definedName>
    <definedName name="UFPrn20040614152229">#REF!</definedName>
    <definedName name="UFPrn20040614163726">#REF!</definedName>
    <definedName name="UFPrn20040614163746">#REF!</definedName>
    <definedName name="UFPrn20040614163806">#REF!</definedName>
    <definedName name="UFPrn20040614164352">#REF!</definedName>
    <definedName name="UFPrn20040615102354">#REF!</definedName>
    <definedName name="UFPrn20040615102412">#REF!</definedName>
    <definedName name="UFPrn20040615102427">#REF!</definedName>
    <definedName name="UFPrn20040615110604">#REF!</definedName>
    <definedName name="UFPrn20040617135456">#REF!</definedName>
    <definedName name="UFPrn20040701084443">#REF!</definedName>
    <definedName name="UFPrn20040705161421">#REF!</definedName>
    <definedName name="UFPrn20040705164608">#REF!</definedName>
    <definedName name="UFPrn20040705164806">#REF!</definedName>
    <definedName name="UFPrn20040903173044">#REF!</definedName>
    <definedName name="UFPrn20040905152909">#REF!</definedName>
    <definedName name="UFPrn20041011165312">#REF!</definedName>
    <definedName name="UFPrn20041011173530">#REF!</definedName>
    <definedName name="UFPrn20041011181050">#REF!</definedName>
    <definedName name="UFPrn20041029135551">#REF!</definedName>
    <definedName name="UFPrn20041030092922">#REF!</definedName>
    <definedName name="UFPrn20041102171041">#REF!</definedName>
    <definedName name="UFPrn20041103102638">#REF!</definedName>
    <definedName name="UFPrn20041110160512">#REF!</definedName>
    <definedName name="UFPrn20041110161334">#REF!</definedName>
    <definedName name="UFPrn20041110161759">#REF!</definedName>
    <definedName name="UFPrn20041110161908">#REF!</definedName>
    <definedName name="UFPrn20041123190600">#REF!</definedName>
    <definedName name="UFPrn20041220105007">#REF!</definedName>
    <definedName name="UFPrn20041220105344">#REF!</definedName>
    <definedName name="UFPrn20041220105412">#REF!</definedName>
    <definedName name="UFPrn20041220105436">#REF!</definedName>
    <definedName name="UFPrn20041220105515">#REF!</definedName>
    <definedName name="UFPrn20050104221552">#REF!</definedName>
    <definedName name="UFPrn20050112084458">#REF!</definedName>
    <definedName name="UFPrn20050114102532">#REF!</definedName>
    <definedName name="UFPrn20050117111838">#REF!</definedName>
    <definedName name="UFPrn20050119083800">#REF!</definedName>
    <definedName name="UFPrn20050127090703">#REF!</definedName>
    <definedName name="UFPrn20050127161608">#REF!</definedName>
    <definedName name="UFPrn20050127171236">#REF!</definedName>
    <definedName name="UFPrn20050127171531">#REF!</definedName>
    <definedName name="UFPrn20050127174743">#REF!</definedName>
    <definedName name="UFPrn20050201090943">#REF!</definedName>
    <definedName name="UFPrn20050202213417">#REF!</definedName>
    <definedName name="UFPrn20050224222422">#REF!</definedName>
    <definedName name="UFPrn20050301142054">#REF!</definedName>
    <definedName name="UFPrn20050304113607">#REF!</definedName>
    <definedName name="UFPrn20050314191939">#REF!</definedName>
    <definedName name="UFPrn20050314192325">#REF!</definedName>
    <definedName name="UFPrn20050315081019">#REF!</definedName>
    <definedName name="UFPrn20050318150333">#REF!</definedName>
    <definedName name="UFPrn20050319181942">#REF!</definedName>
    <definedName name="UFPrn20050321082858">#REF!</definedName>
    <definedName name="UFPrn20050323095452">#REF!</definedName>
    <definedName name="UFPrn20050323205851">#REF!</definedName>
    <definedName name="UFPrn20050324104113">#REF!</definedName>
    <definedName name="UFPrn20050324133532">#REF!</definedName>
    <definedName name="UFPrn20050330114809">#REF!</definedName>
    <definedName name="UFPrn20050405124431">#REF!</definedName>
    <definedName name="UFPrn20050405124452">#REF!</definedName>
    <definedName name="UFPrn20050407224009">#REF!</definedName>
    <definedName name="UFPrn20050407224028">#REF!</definedName>
    <definedName name="UFPrn20050415090422">#REF!</definedName>
    <definedName name="UFPrn20050418162206">#REF!</definedName>
    <definedName name="UFPrn20050420152955">#REF!</definedName>
    <definedName name="UFPrn20050427111131">#REF!</definedName>
    <definedName name="UFPrn20050427111243">#REF!</definedName>
    <definedName name="UFPrn20050427112345">#REF!</definedName>
    <definedName name="UFPrn20050428184301">#REF!</definedName>
    <definedName name="UFPrn20050523105119">#REF!</definedName>
    <definedName name="UFPrn20050523113750">#REF!</definedName>
    <definedName name="UFPrn20050523114319">#REF!</definedName>
    <definedName name="UFPrn20050607154721">#REF!</definedName>
    <definedName name="UFPrn20050610180210">#REF!</definedName>
    <definedName name="UFPrn20050612135338">#REF!</definedName>
    <definedName name="UFPrn20050711174742">#REF!</definedName>
    <definedName name="UFPrn20050711174940">#REF!</definedName>
    <definedName name="UFPrn20050715085844">#REF!</definedName>
    <definedName name="UFPrn20050715141250">#REF!</definedName>
    <definedName name="UFPrn20050720163120">#REF!</definedName>
    <definedName name="UFPrn20050720164651">#REF!</definedName>
    <definedName name="UFPrn20050818142129">#REF!</definedName>
    <definedName name="UFPrn20050819164459">#REF!</definedName>
    <definedName name="UFPrn20050819170911">#REF!</definedName>
    <definedName name="UFPrn20050819171915">#REF!</definedName>
    <definedName name="UFPrn20050819171931">#REF!</definedName>
    <definedName name="UFPrn20051007152841">#REF!</definedName>
    <definedName name="UFPrn20051008114512">#REF!</definedName>
    <definedName name="UFPrn20051011153753">#REF!</definedName>
    <definedName name="UFPrn20051021131348">#REF!</definedName>
    <definedName name="UFPrn20051021131520">#REF!</definedName>
    <definedName name="UFPrn20051026155112">#REF!</definedName>
    <definedName name="UFPrn20051102152330">#REF!</definedName>
    <definedName name="UFPrn20051102152504">#REF!</definedName>
    <definedName name="UFPrn20051114132631">#REF!</definedName>
    <definedName name="UFPrn20051114132922">#REF!</definedName>
    <definedName name="UFPrn20051124153533">#REF!</definedName>
    <definedName name="UFPrn20051129091738">#REF!</definedName>
    <definedName name="UFPrn20051215091131">#REF!</definedName>
    <definedName name="UFPrn20051215091332">#REF!</definedName>
    <definedName name="UFPrn20051215091527">#REF!</definedName>
    <definedName name="UFPrn20051215110006">#REF!</definedName>
    <definedName name="UFPrn20051216093553">#REF!</definedName>
    <definedName name="UFPrn20051216093620">#REF!</definedName>
    <definedName name="UFPrn20051216093640">#REF!</definedName>
    <definedName name="UFPrn20051216094225">#REF!</definedName>
    <definedName name="UFPrn20051216094244">#REF!</definedName>
    <definedName name="UFPrn20051216094304">#REF!</definedName>
    <definedName name="UFPrn20060105164325">#REF!</definedName>
    <definedName name="UFPrn20060109130004">#REF!</definedName>
    <definedName name="UFPrn20060111101849">#REF!</definedName>
    <definedName name="UFPrn20060112092414">#REF!</definedName>
    <definedName name="UFPrn20060112134317">#REF!</definedName>
    <definedName name="UFPrn20060112143227">#REF!</definedName>
    <definedName name="UFPrn20060112160125">#REF!</definedName>
    <definedName name="UFPrn20060114155907">#REF!</definedName>
    <definedName name="UFPrn20060115121305">#REF!</definedName>
    <definedName name="UFPrn20060116154245">#REF!</definedName>
    <definedName name="UFPrn20060117143059">#REF!</definedName>
    <definedName name="UFPrn20060220140743">#REF!</definedName>
    <definedName name="UFPrn20060227143526">#REF!</definedName>
    <definedName name="UFPrn20060315115427">#REF!</definedName>
    <definedName name="UFPrn20060315152047">#REF!</definedName>
    <definedName name="UFPrn20060411094853">#REF!</definedName>
    <definedName name="UFPrn20060411102130">#REF!</definedName>
    <definedName name="UFPrn20060411102154">#REF!</definedName>
    <definedName name="UFPrn20060411102205">#REF!</definedName>
    <definedName name="UFPrn20060411102215">#REF!</definedName>
    <definedName name="UFPrn20060411102224">#REF!</definedName>
    <definedName name="UFPrn20060412152226">#REF!</definedName>
    <definedName name="UFPrn20060415092910">#REF!</definedName>
    <definedName name="UFPrn20060415100614">#REF!</definedName>
    <definedName name="UFPrn20060606100152">#REF!</definedName>
    <definedName name="UFPrn20060606100413">#REF!</definedName>
    <definedName name="UFPrn20060606100533">#REF!</definedName>
    <definedName name="UFPrn20060606113430">#REF!</definedName>
    <definedName name="UFPrn20060606125851">#REF!</definedName>
    <definedName name="UFPrn20060606130305">#REF!</definedName>
    <definedName name="UFPrn20060706110338">#REF!</definedName>
    <definedName name="UFPrn20060919164109">#REF!</definedName>
    <definedName name="UFPrn20061120155123">#REF!</definedName>
    <definedName name="UFPrn20070112194705">#REF!</definedName>
    <definedName name="UFPrn20070207144729">#REF!</definedName>
    <definedName name="UFPrn20070207150004">#REF!</definedName>
    <definedName name="UFPrn20070207150235">#REF!</definedName>
    <definedName name="UFPrn20070307154049">#REF!</definedName>
    <definedName name="UFPrn20071007140313">#REF!</definedName>
    <definedName name="UFPrn20080213154023">#REF!</definedName>
    <definedName name="UFPrn20080701085243">#REF!</definedName>
    <definedName name="UFPrn20080901133537">#REF!</definedName>
    <definedName name="UFPrn20080926120329">#REF!</definedName>
    <definedName name="UFPrn20081010081150">#REF!</definedName>
    <definedName name="UFPrn20081014103258">#REF!</definedName>
    <definedName name="UFPrn20081014153013">#REF!</definedName>
    <definedName name="UFPrn20081031162825">#REF!</definedName>
    <definedName name="UFPrn20081031163119">#REF!</definedName>
    <definedName name="UFPrn20081103093513">#REF!</definedName>
    <definedName name="UFPrn20081201112511">#REF!</definedName>
    <definedName name="UFPrn20081201112534">#REF!</definedName>
    <definedName name="UFPrn20090203142642">#REF!</definedName>
    <definedName name="UFPrn20090203150051">#REF!</definedName>
    <definedName name="UFPrn20090203163748">#REF!</definedName>
    <definedName name="UFPrn20090203164104">#REF!</definedName>
    <definedName name="UFPrn20090204130929">#REF!</definedName>
    <definedName name="UFPrn20090302132855">#REF!</definedName>
    <definedName name="UFPrn20090515115536">#REF!</definedName>
    <definedName name="UFPrn20090515164301">#REF!</definedName>
    <definedName name="UFPrn20100915154202">#REF!</definedName>
    <definedName name="UFPrn20100915154239">#REF!</definedName>
    <definedName name="UFPrn20101002120458">#REF!</definedName>
    <definedName name="UFPrn20101002120517">#REF!</definedName>
    <definedName name="UFPrn20101104131543">#REF!</definedName>
    <definedName name="UFPrn20101110141833">#REF!</definedName>
    <definedName name="UFPrn20101110142606">#REF!</definedName>
    <definedName name="UFPrn20101206105645">#REF!</definedName>
    <definedName name="UFPrn20110108154322">#REF!</definedName>
    <definedName name="UFPrn20110305095516">#REF!</definedName>
    <definedName name="UFPrn20110330155556">#REF!</definedName>
    <definedName name="UFPrn20110330163232">#REF!</definedName>
    <definedName name="UFPrn20110330164043">#REF!</definedName>
    <definedName name="UFPrn20110330164117">#REF!</definedName>
    <definedName name="UFPrn20110331150249">#REF!</definedName>
    <definedName name="UFPrn20110331150449">#REF!</definedName>
    <definedName name="UFPrn20110407095811">#REF!</definedName>
    <definedName name="UFPrn20110411131801">#REF!</definedName>
    <definedName name="UFPrn20110503171721">#REF!</definedName>
    <definedName name="UFPrn20110503173642">#REF!</definedName>
    <definedName name="UFPrn20110505181223">#REF!</definedName>
    <definedName name="UFPrn20110506113508">#REF!</definedName>
    <definedName name="UFPrn20110506134947">#REF!</definedName>
    <definedName name="UFPrn20110516093731">#REF!</definedName>
    <definedName name="UFPrn20110516094025">#REF!</definedName>
    <definedName name="UFPrn20110516094156">#REF!</definedName>
    <definedName name="UFPrn20110516094227">#REF!</definedName>
    <definedName name="UFPrn20110516094253">#REF!</definedName>
    <definedName name="UFPrn20110516095535">#REF!</definedName>
    <definedName name="UFPrn20110516095602">#REF!</definedName>
    <definedName name="UFPrn20110516095630">#REF!</definedName>
    <definedName name="UFPrn20110516095657">#REF!</definedName>
    <definedName name="UFPrn20110516095755">#REF!</definedName>
    <definedName name="UFPrn20110516095819">#REF!</definedName>
    <definedName name="UFPrn20110516100151">#REF!</definedName>
    <definedName name="UFPrn20110524150935">#REF!</definedName>
    <definedName name="UFPrn20110524151029">#REF!</definedName>
    <definedName name="UFPrn20110530102446">#REF!</definedName>
    <definedName name="UFPrn20110530102649">#REF!</definedName>
    <definedName name="UFPrn20110604092152">#REF!</definedName>
    <definedName name="UFPrn20110604151908">#REF!</definedName>
    <definedName name="UFPrn20110707114520">#REF!</definedName>
    <definedName name="UFPrn20111101141530">#REF!</definedName>
    <definedName name="UFPrn20111227180838">#REF!</definedName>
    <definedName name="UFPrn20111227180958">#REF!</definedName>
    <definedName name="UFPrn20111227181111">#REF!</definedName>
    <definedName name="UFPrn20111227181223">#REF!</definedName>
    <definedName name="UFPrn20111227181334">#REF!</definedName>
    <definedName name="UFPrn20111227181437">#REF!</definedName>
    <definedName name="UFPrn20120221162159">#REF!</definedName>
    <definedName name="UFPrn20120221162358">#REF!</definedName>
    <definedName name="UFPrn20120222140604">#REF!</definedName>
    <definedName name="UFPrn20120507154444">#REF!</definedName>
    <definedName name="UFPrn20120702114707">#REF!</definedName>
    <definedName name="UFPrn20120702141530">#REF!</definedName>
    <definedName name="UFPrn20120725114342">#REF!</definedName>
    <definedName name="UFPrn20120727173002">#REF!</definedName>
    <definedName name="UFPrn20121122175402">#REF!</definedName>
    <definedName name="UFPrn20130130144613">#REF!</definedName>
    <definedName name="UFPrn20130130144709">#REF!</definedName>
    <definedName name="UFPrn20130802154919">#REF!</definedName>
    <definedName name="UFPrn20130802173031">#REF!</definedName>
    <definedName name="UFPrn20141118165157">#REF!</definedName>
    <definedName name="UFPrn20150113101703">#REF!</definedName>
    <definedName name="ufprnieie9437">#REF!</definedName>
    <definedName name="uhuhuh">#REF!</definedName>
    <definedName name="UK">#REF!</definedName>
    <definedName name="UK_w">#REF!</definedName>
    <definedName name="Ultimate_Holding_Current">#REF!</definedName>
    <definedName name="Ultimate_Holding_Prior">#REF!</definedName>
    <definedName name="UniqueRange_0">#REF!</definedName>
    <definedName name="UniqueRange_1">#REF!</definedName>
    <definedName name="unit">#REF!</definedName>
    <definedName name="UnitName">#REF!</definedName>
    <definedName name="UnitNo">#REF!</definedName>
    <definedName name="Units_Analysis">#REF!</definedName>
    <definedName name="Unrestricted_equity">#REF!</definedName>
    <definedName name="Untaxed_reserves">#REF!</definedName>
    <definedName name="UpgradeVersion">"v3.54"</definedName>
    <definedName name="ups">{"'Sheet1'!$A$1:$J$57","'Sheet1'!$F$32:$F$35","'Sheet1'!$F$32:$F$36"}</definedName>
    <definedName name="UpTrend">#REF!</definedName>
    <definedName name="US.HK">7.755</definedName>
    <definedName name="US_Value_Tables">#REF!,#REF!</definedName>
    <definedName name="Usage">#REF!</definedName>
    <definedName name="USBS">#REF!</definedName>
    <definedName name="USD">#REF!</definedName>
    <definedName name="USD_Entity">#REF!</definedName>
    <definedName name="Use_payout_ratios">#REF!</definedName>
    <definedName name="Useful_Ratios">#REF!</definedName>
    <definedName name="user1">#REF!</definedName>
    <definedName name="user2">#REF!</definedName>
    <definedName name="USIS">#REF!</definedName>
    <definedName name="usis1">#REF!</definedName>
    <definedName name="uuuu" hidden="1">{#N/A,#N/A,FALSE,"Ocean";#N/A,#N/A,FALSE,"NewYork";#N/A,#N/A,FALSE,"Gateway";#N/A,#N/A,FALSE,"GVH";#N/A,#N/A,FALSE,"GVM";#N/A,#N/A,FALSE,"GVT"}</definedName>
    <definedName name="UYI" hidden="1">{"summary",#N/A,FALSE,"2000 vs 1999";"detail",#N/A,FALSE,"2000 vs 1999"}</definedName>
    <definedName name="UYIYU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v">#REF!</definedName>
    <definedName name="V_ALL_0325.HK">#REF!</definedName>
    <definedName name="V_ALL_0494.HK">#REF!</definedName>
    <definedName name="V_ALL_0520.HK">#REF!</definedName>
    <definedName name="V_ALL_0551.HK">#REF!</definedName>
    <definedName name="V_ALL_0551.HK_">#REF!</definedName>
    <definedName name="V_ALL_0787.HK">#REF!</definedName>
    <definedName name="V_ALL_1364.HK">#REF!</definedName>
    <definedName name="V_ALL_1368.HK">#REF!</definedName>
    <definedName name="V_ALL_1579.HK">#REF!</definedName>
    <definedName name="V_ALL_1880.HK">#REF!</definedName>
    <definedName name="V_ALL_1880.HK_">#REF!</definedName>
    <definedName name="V_ALL_2020.HK">#REF!</definedName>
    <definedName name="V_ALL_2097.HK" localSheetId="0">#REF!</definedName>
    <definedName name="V_ALL_2097.HK">#REF!</definedName>
    <definedName name="V_ALL_2150.HK">#REF!</definedName>
    <definedName name="V_ALL_2313.HK">#REF!</definedName>
    <definedName name="V_ALL_2331.HK">#REF!</definedName>
    <definedName name="V_ALL_2723.TW" localSheetId="0">#REF!</definedName>
    <definedName name="V_ALL_2723.TW">#REF!</definedName>
    <definedName name="V_ALL_3813.HK">#REF!</definedName>
    <definedName name="V_ALL_6110.HK">#REF!</definedName>
    <definedName name="V_ALL_6862.HK" localSheetId="0">#REF!</definedName>
    <definedName name="V_ALL_6862.HK">#REF!</definedName>
    <definedName name="V_ALL_9922.HK">#REF!</definedName>
    <definedName name="V_ALL_CMG">#REF!</definedName>
    <definedName name="V_ALL_DNKN">#REF!</definedName>
    <definedName name="V_ALL_KEYWORDS_TYPE_ScalarContributed_EQTY_200002981">#REF!,#REF!</definedName>
    <definedName name="V_ALL_KEYWORDS_TYPE_ScalarContributed_EQTY_200007887">#REF!,#REF!</definedName>
    <definedName name="V_ALL_KEYWORDS_TYPE_ScalarContributed_EQTY_200010679">#REF!,#REF!</definedName>
    <definedName name="V_ALL_KEYWORDS_TYPE_ScalarContributed_EQTY_200010680">#REF!,#REF!</definedName>
    <definedName name="V_ALL_KEYWORDS_TYPE_ScalarContributed_EQTY_200011141">#REF!,#REF!</definedName>
    <definedName name="V_ALL_KEYWORDS_TYPE_ScalarContributed_EQTY_200019863">#REF!,#REF!,#REF!</definedName>
    <definedName name="V_ALL_KEYWORDS_TYPE_ScalarContributed_EQTY_200020904">#REF!,#REF!,#REF!</definedName>
    <definedName name="V_ALL_KEYWORDS_TYPE_ScalarContributed_EQTY_200021884">#REF!,#REF!,#REF!</definedName>
    <definedName name="V_ALL_KEYWORDS_TYPE_ScalarContributed_ISSR_208001031">#REF!,#REF!</definedName>
    <definedName name="V_ALL_KEYWORDS_TYPE_ScalarContributed_ISSR_208006123">#REF!,#REF!</definedName>
    <definedName name="V_ALL_KEYWORDS_TYPE_ScalarContributed_ISSR_208008188">#REF!,#REF!</definedName>
    <definedName name="V_ALL_KEYWORDS_TYPE_ScalarContributed_ISSR_208008530">#REF!,#REF!</definedName>
    <definedName name="V_ALL_KEYWORDS_TYPE_ScalarContributed_ISSR_208018549" localSheetId="0">#REF!,#REF!</definedName>
    <definedName name="V_ALL_KEYWORDS_TYPE_ScalarContributed_ISSR_208018549">#REF!,#REF!</definedName>
    <definedName name="V_ALL_KEYWORDS_TYPE_ScalarContributed_ISSR_208018627">#REF!,#REF!</definedName>
    <definedName name="V_ALL_KEYWORDS_TYPE_ScalarReference_EQTY_200010679">#REF!</definedName>
    <definedName name="V_ALL_KEYWORDS_TYPE_ScalarReference_ISSR_208008187">#REF!</definedName>
    <definedName name="V_ALL_KEYWORDS_TYPE_Vector_EQTY_200002981">#REF!,#REF!,#REF!,#REF!,#REF!</definedName>
    <definedName name="V_ALL_KEYWORDS_TYPE_Vector_EQTY_200007887">#REF!,#REF!,#REF!,#REF!,#REF!</definedName>
    <definedName name="V_ALL_KEYWORDS_TYPE_Vector_EQTY_200010679">#REF!,#REF!,#REF!,#REF!,#REF!</definedName>
    <definedName name="V_ALL_KEYWORDS_TYPE_Vector_EQTY_200010680">#REF!,#REF!,#REF!,#REF!,#REF!</definedName>
    <definedName name="V_ALL_KEYWORDS_TYPE_Vector_EQTY_200011141">#REF!,#REF!,#REF!,#REF!,#REF!</definedName>
    <definedName name="V_ALL_KEYWORDS_TYPE_Vector_EQTY_200019863" localSheetId="0">#REF!,#REF!,#REF!,#REF!,#REF!</definedName>
    <definedName name="V_ALL_KEYWORDS_TYPE_Vector_EQTY_200019863">#REF!,#REF!,#REF!,#REF!,#REF!</definedName>
    <definedName name="V_ALL_KEYWORDS_TYPE_Vector_EQTY_200019898">#REF!,#REF!,#REF!,#REF!,#REF!</definedName>
    <definedName name="V_ALL_KEYWORDS_TYPE_Vector_ISSR_208000417">#REF!,#REF!,#REF!,#REF!,#REF!,#REF!,#REF!,#REF!,#REF!,#REF!,#REF!,#REF!</definedName>
    <definedName name="V_ALL_KEYWORDS_TYPE_Vector_ISSR_208000897">#REF!,#REF!,#REF!,#REF!,#REF!,#REF!,#REF!,#REF!,#REF!,#REF!,#REF!</definedName>
    <definedName name="V_ALL_KEYWORDS_TYPE_Vector_ISSR_208001031">#REF!,#REF!,#REF!,#REF!,#REF!,#REF!,#REF!,#REF!,#REF!,#REF!,#REF!,#REF!,#REF!,#REF!,#REF!</definedName>
    <definedName name="V_ALL_KEYWORDS_TYPE_Vector_ISSR_208006123">#REF!,#REF!,#REF!,#REF!,#REF!,#REF!,#REF!,#REF!,#REF!,#REF!</definedName>
    <definedName name="V_ALL_KEYWORDS_TYPE_Vector_ISSR_208008187">#REF!,#REF!,#REF!,#REF!,#REF!,#REF!,#REF!,#REF!,#REF!</definedName>
    <definedName name="V_ALL_KEYWORDS_TYPE_Vector_ISSR_208008188">#REF!,#REF!,#REF!,#REF!,#REF!,#REF!,#REF!,#REF!,#REF!,#REF!,#REF!,#REF!,#REF!,#REF!,#REF!,#REF!</definedName>
    <definedName name="V_ALL_KEYWORDS_TYPE_Vector_ISSR_208008530">#REF!,#REF!,#REF!,#REF!,#REF!,#REF!,#REF!,#REF!,#REF!,#REF!,#REF!,#REF!,#REF!</definedName>
    <definedName name="V_ALL_KEYWORDS_TYPE_Vector_ISSR_208017184">#REF!,#REF!,#REF!,#REF!,#REF!,#REF!,#REF!,#REF!,#REF!,#REF!,#REF!,#REF!,#REF!</definedName>
    <definedName name="V_ALL_KEYWORDS_TYPE_Vector_ISSR_208018549" localSheetId="0">#REF!,#REF!,#REF!,#REF!,#REF!,#REF!,#REF!,#REF!,#REF!,#REF!,#REF!,#REF!,#REF!,#REF!</definedName>
    <definedName name="V_ALL_KEYWORDS_TYPE_Vector_ISSR_208018549">#REF!,#REF!,#REF!,#REF!,#REF!,#REF!,#REF!,#REF!,#REF!,#REF!,#REF!,#REF!,#REF!,#REF!</definedName>
    <definedName name="V_ALL_KEYWORDS_TYPE_Vector_ISSR_208018627">#REF!,#REF!,#REF!,#REF!,#REF!,#REF!,#REF!,#REF!,#REF!,#REF!,#REF!,#REF!,#REF!,#REF!,#REF!,#REF!,#REF!</definedName>
    <definedName name="V_ALL_MCD">#REF!</definedName>
    <definedName name="V_ALL_MNSO">#REF!</definedName>
    <definedName name="V_ALL_SECTION_KEYWORDS_EQTY_200010679_1314">#REF!</definedName>
    <definedName name="V_ALL_SECTION_KEYWORDS_EQTY_200010679_131E">#REF!</definedName>
    <definedName name="V_ALL_SECTION_KEYWORDS_EQTY_200010679_131O">#REF!</definedName>
    <definedName name="V_ALL_SECTION_KEYWORDS_EQTY_200010679_13A">#REF!</definedName>
    <definedName name="V_ALL_SECTION_KEYWORDS_EQTY_200010679_13K">#REF!</definedName>
    <definedName name="V_ALL_SECTION_KEYWORDS_EQTY_200010679_13U">#REF!</definedName>
    <definedName name="V_ALL_SECTION_KEYWORDS_EQTY_200010679_13V">#REF!</definedName>
    <definedName name="V_ALL_SECTION_KEYWORDS_EQTY_200010679_Reference_Data">#REF!</definedName>
    <definedName name="V_ALL_SECTION_KEYWORDS_ISSR_208000417_131O">#REF!,#REF!</definedName>
    <definedName name="V_ALL_SECTION_KEYWORDS_ISSR_208000897_131O">#REF!,#REF!</definedName>
    <definedName name="V_ALL_SECTION_KEYWORDS_ISSR_208000897_136E">#REF!,#REF!</definedName>
    <definedName name="V_ALL_SECTION_KEYWORDS_ISSR_208001031_136E">#REF!,#REF!</definedName>
    <definedName name="V_ALL_SECTION_KEYWORDS_ISSR_208001031_136J">#REF!,#REF!</definedName>
    <definedName name="V_ALL_SECTION_KEYWORDS_ISSR_208001031_13V">#REF!,#REF!</definedName>
    <definedName name="V_ALL_SECTION_KEYWORDS_ISSR_208006123_136E">#REF!,#REF!</definedName>
    <definedName name="V_ALL_SECTION_KEYWORDS_ISSR_208006123_136J">#REF!,#REF!</definedName>
    <definedName name="V_ALL_SECTION_KEYWORDS_ISSR_208008187_1314">#REF!</definedName>
    <definedName name="V_ALL_SECTION_KEYWORDS_ISSR_208008187_13168">#REF!</definedName>
    <definedName name="V_ALL_SECTION_KEYWORDS_ISSR_208008187_1316S">#REF!</definedName>
    <definedName name="V_ALL_SECTION_KEYWORDS_ISSR_208008187_1316T">#REF!</definedName>
    <definedName name="V_ALL_SECTION_KEYWORDS_ISSR_208008187_1316U">#REF!</definedName>
    <definedName name="V_ALL_SECTION_KEYWORDS_ISSR_208008187_1319">#REF!</definedName>
    <definedName name="V_ALL_SECTION_KEYWORDS_ISSR_208008187_131E">#REF!</definedName>
    <definedName name="V_ALL_SECTION_KEYWORDS_ISSR_208008187_131J">#REF!</definedName>
    <definedName name="V_ALL_SECTION_KEYWORDS_ISSR_208008187_131O">#REF!</definedName>
    <definedName name="V_ALL_SECTION_KEYWORDS_ISSR_208008187_136E">#REF!,#REF!</definedName>
    <definedName name="V_ALL_SECTION_KEYWORDS_ISSR_208008187_136J">#REF!,#REF!</definedName>
    <definedName name="V_ALL_SECTION_KEYWORDS_ISSR_208008187_13U">#REF!</definedName>
    <definedName name="V_ALL_SECTION_KEYWORDS_ISSR_208008187_13V">#REF!</definedName>
    <definedName name="V_ALL_SECTION_KEYWORDS_ISSR_208008187_Reference_Data">#REF!</definedName>
    <definedName name="V_ALL_SECTION_KEYWORDS_ISSR_208008530_136E">#REF!,#REF!</definedName>
    <definedName name="V_ALL_SECTION_KEYWORDS_ISSR_208008530_13V">#REF!,#REF!</definedName>
    <definedName name="V_ALL_SECTION_KEYWORDS_ISSR_208018549_13V" localSheetId="0">#REF!,#REF!</definedName>
    <definedName name="V_ALL_SECTION_KEYWORDS_ISSR_208018549_13V">#REF!,#REF!</definedName>
    <definedName name="V_ALL_SECTION_KEYWORDS_ISSR_208018627_13V">#REF!,#REF!</definedName>
    <definedName name="V_ALL_SECTIONS_EQTY_200002981">#REF!,#REF!,#REF!,#REF!,#REF!,#REF!,#REF!,#REF!</definedName>
    <definedName name="V_ALL_SECTIONS_EQTY_200007887">#REF!,#REF!,#REF!,#REF!,#REF!,#REF!,#REF!,#REF!</definedName>
    <definedName name="V_ALL_SECTIONS_EQTY_200010679">#REF!,#REF!,#REF!,#REF!,#REF!,#REF!,#REF!,#REF!</definedName>
    <definedName name="V_ALL_SECTIONS_EQTY_200010680">#REF!,#REF!,#REF!,#REF!,#REF!,#REF!,#REF!,#REF!</definedName>
    <definedName name="V_ALL_SECTIONS_ISSR_208006123">#REF!,#REF!,#REF!,#REF!,#REF!,#REF!,#REF!,#REF!,#REF!,#REF!</definedName>
    <definedName name="V_ALL_SECTIONS_ISSR_208008188">#REF!,#REF!,#REF!,#REF!,#REF!,#REF!,#REF!,#REF!,#REF!,#REF!</definedName>
    <definedName name="V_ALL_YUM">#REF!</definedName>
    <definedName name="V_ALL_YUMC">#REF!</definedName>
    <definedName name="V_CURRENCY_EQTY_200010679_PRI">#REF!</definedName>
    <definedName name="V_CURRENCY_EQTY_200010679_PUB">#REF!</definedName>
    <definedName name="V_CURRENCY_EQTY_200010679_REP">#REF!</definedName>
    <definedName name="V_CURRENCY_ISSR_208008187_REP">#REF!</definedName>
    <definedName name="V_KEYWORD_EQTY_200010679_AEJ_CONVICTION">#REF!</definedName>
    <definedName name="V_KEYWORD_EQTY_200010679_AEJ_LIST">#REF!</definedName>
    <definedName name="V_KEYWORD_EQTY_200010679_BETA_ANALYST">#REF!</definedName>
    <definedName name="V_KEYWORD_EQTY_200010679_BVPS">#REF!</definedName>
    <definedName name="V_KEYWORD_EQTY_200010679_BVPS_PUB">#REF!</definedName>
    <definedName name="V_KEYWORD_EQTY_200010679_CATALYST1_DATE">#REF!</definedName>
    <definedName name="V_KEYWORD_EQTY_200010679_CATALYST1_EVENT">#REF!</definedName>
    <definedName name="V_KEYWORD_EQTY_200010679_CATALYST2_DATE">#REF!</definedName>
    <definedName name="V_KEYWORD_EQTY_200010679_CATALYST2_EVENT">#REF!</definedName>
    <definedName name="V_KEYWORD_EQTY_200010679_CATALYST3_DATE">#REF!</definedName>
    <definedName name="V_KEYWORD_EQTY_200010679_CATALYST3_EVENT">#REF!</definedName>
    <definedName name="V_KEYWORD_EQTY_200010679_CATALYST4_DATE">#REF!</definedName>
    <definedName name="V_KEYWORD_EQTY_200010679_CATALYST4_EVENT">#REF!</definedName>
    <definedName name="V_KEYWORD_EQTY_200010679_CATALYST5_DATE">#REF!</definedName>
    <definedName name="V_KEYWORD_EQTY_200010679_CATALYST5_EVENT">#REF!</definedName>
    <definedName name="V_KEYWORD_EQTY_200010679_CF_NI_PRE_PREF">#REF!</definedName>
    <definedName name="V_KEYWORD_EQTY_200010679_COMMON_DIV_PAID">#REF!</definedName>
    <definedName name="V_KEYWORD_EQTY_200010679_CURRENCY_ISO">#REF!</definedName>
    <definedName name="V_KEYWORD_EQTY_200010679_DILUTE_SHARES">#REF!</definedName>
    <definedName name="V_KEYWORD_EQTY_200010679_DPS">#REF!</definedName>
    <definedName name="V_KEYWORD_EQTY_200010679_DPS_PUB">#REF!</definedName>
    <definedName name="V_KEYWORD_EQTY_200010679_EBIT_PUB">#REF!</definedName>
    <definedName name="V_KEYWORD_EQTY_200010679_EBITDA_PUB">#REF!</definedName>
    <definedName name="V_KEYWORD_EQTY_200010679_EPS">#REF!</definedName>
    <definedName name="V_KEYWORD_EQTY_200010679_EPS_CONS_PUB">#REF!</definedName>
    <definedName name="V_KEYWORD_EQTY_200010679_EPS_FUL_DIL">#REF!</definedName>
    <definedName name="V_KEYWORD_EQTY_200010679_EPS_POST_BASIC">#REF!</definedName>
    <definedName name="V_KEYWORD_EQTY_200010679_EPS_PUB">#REF!</definedName>
    <definedName name="V_KEYWORD_EQTY_200010679_EQ_PUB">#REF!</definedName>
    <definedName name="V_KEYWORD_EQTY_200010679_EV_ADJ_PUB">#REF!</definedName>
    <definedName name="V_KEYWORD_EQTY_200010679_FOREIGN_HOLDNG">#REF!</definedName>
    <definedName name="V_KEYWORD_EQTY_200010679_FREE_FLOAT">#REF!</definedName>
    <definedName name="V_KEYWORD_EQTY_200010679_FULLY_DIL_EPS">#REF!</definedName>
    <definedName name="V_KEYWORD_EQTY_200010679_INC_MINORITY">#REF!</definedName>
    <definedName name="V_KEYWORD_EQTY_200010679_Interim_Type">#REF!</definedName>
    <definedName name="V_KEYWORD_EQTY_200010679_LEGAL_RATING">#REF!</definedName>
    <definedName name="V_KEYWORD_EQTY_200010679_MARGIN_TAX_RATE">#REF!</definedName>
    <definedName name="V_KEYWORD_EQTY_200010679_MKT_EQ_RISK_PREM">#REF!</definedName>
    <definedName name="V_KEYWORD_EQTY_200010679_NET_DEBT_PUB">#REF!</definedName>
    <definedName name="V_KEYWORD_EQTY_200010679_NET_EARNING">#REF!</definedName>
    <definedName name="V_KEYWORD_EQTY_200010679_NET_INC">#REF!</definedName>
    <definedName name="V_KEYWORD_EQTY_200010679_NI_CONS">#REF!</definedName>
    <definedName name="V_KEYWORD_EQTY_200010679_NI_PRE_PREF">#REF!</definedName>
    <definedName name="V_KEYWORD_EQTY_200010679_NI_PUB">#REF!</definedName>
    <definedName name="V_KEYWORD_EQTY_200010679_NON_OP_ADD">#REF!</definedName>
    <definedName name="V_KEYWORD_EQTY_200010679_NUM_SH">#REF!</definedName>
    <definedName name="V_KEYWORD_EQTY_200010679_PREF_DIV">#REF!</definedName>
    <definedName name="V_KEYWORD_EQTY_200010679_PRI_TARG_METH">#REF!</definedName>
    <definedName name="V_KEYWORD_EQTY_200010679_PRI_TARG_MULT">#REF!</definedName>
    <definedName name="V_KEYWORD_EQTY_200010679_PRICE_CURRENCY_ISO">#REF!</definedName>
    <definedName name="V_KEYWORD_EQTY_200010679_PROV_INC_TAX">#REF!</definedName>
    <definedName name="V_KEYWORD_EQTY_200010679_PTP_PUB">#REF!</definedName>
    <definedName name="V_KEYWORD_EQTY_200010679_PUB_CURRENCY_ISO">#REF!</definedName>
    <definedName name="V_KEYWORD_EQTY_200010679_REVS_PUB">#REF!</definedName>
    <definedName name="V_KEYWORD_EQTY_200010679_RISK_FR_RATE">#REF!</definedName>
    <definedName name="V_KEYWORD_EQTY_200010679_Security_Name">#REF!</definedName>
    <definedName name="V_KEYWORD_EQTY_200010679_SH">#REF!</definedName>
    <definedName name="V_KEYWORD_EQTY_200010679_TARGET_PRICE">#REF!</definedName>
    <definedName name="V_KEYWORD_EQTY_200010679_TAX_EXC">#REF!</definedName>
    <definedName name="V_KEYWORD_EQTY_200010679_Ticker">#REF!</definedName>
    <definedName name="V_KEYWORD_EQTY_200010679_TP_PERIOD">#REF!</definedName>
    <definedName name="V_KEYWORD_ISSR_208008187_ACC_AMORT">#REF!</definedName>
    <definedName name="V_KEYWORD_ISSR_208008187_ACC_DDA">#REF!</definedName>
    <definedName name="V_KEYWORD_ISSR_208008187_ACC_END_DATE">#REF!</definedName>
    <definedName name="V_KEYWORD_ISSR_208008187_ACC_PAY_GQ">#REF!</definedName>
    <definedName name="V_KEYWORD_ISSR_208008187_ACQ">#REF!</definedName>
    <definedName name="V_KEYWORD_ISSR_208008187_ADJ_UNF_PENS_GOOD">#REF!</definedName>
    <definedName name="V_KEYWORD_ISSR_208008187_ASSOC_JV_ADDBK">#REF!</definedName>
    <definedName name="V_KEYWORD_ISSR_208008187_ASSOCIATE">#REF!</definedName>
    <definedName name="V_KEYWORD_ISSR_208008187_ASSOCIATE_OP">#REF!</definedName>
    <definedName name="V_KEYWORD_ISSR_208008187_BAL_MINO_INT">#REF!</definedName>
    <definedName name="V_KEYWORD_ISSR_208008187_CAP_LEASES">#REF!</definedName>
    <definedName name="V_KEYWORD_ISSR_208008187_CAPEX">#REF!</definedName>
    <definedName name="V_KEYWORD_ISSR_208008187_CAPEX_EXPANSION">#REF!</definedName>
    <definedName name="V_KEYWORD_ISSR_208008187_CAPEX_MAINTENANCE">#REF!</definedName>
    <definedName name="V_KEYWORD_ISSR_208008187_CASH_EQ">#REF!</definedName>
    <definedName name="V_KEYWORD_ISSR_208008187_CASH_INT_EXP">#REF!</definedName>
    <definedName name="V_KEYWORD_ISSR_208008187_CASH_TAX_EXP">#REF!</definedName>
    <definedName name="V_KEYWORD_ISSR_208008187_CF_FIN">#REF!</definedName>
    <definedName name="V_KEYWORD_ISSR_208008187_CF_INC_MINORITY">#REF!</definedName>
    <definedName name="V_KEYWORD_ISSR_208008187_CF_INV">#REF!</definedName>
    <definedName name="V_KEYWORD_ISSR_208008187_CF_OPS">#REF!</definedName>
    <definedName name="V_KEYWORD_ISSR_208008187_CHG_LT_DEBT">#REF!</definedName>
    <definedName name="V_KEYWORD_ISSR_208008187_CO_BOR_MARGIN">#REF!</definedName>
    <definedName name="V_KEYWORD_ISSR_208008187_CONTRIB_MARGIN_RATIO">#REF!</definedName>
    <definedName name="V_KEYWORD_ISSR_208008187_COST_GD_SD">#REF!</definedName>
    <definedName name="V_KEYWORD_ISSR_208008187_CUR_ASS">#REF!</definedName>
    <definedName name="V_KEYWORD_ISSR_208008187_CURRENCY_ISO">#REF!</definedName>
    <definedName name="V_KEYWORD_ISSR_208008187_DEBTORS">#REF!</definedName>
    <definedName name="V_KEYWORD_ISSR_208008187_DEF_INC_TAX">#REF!</definedName>
    <definedName name="V_KEYWORD_ISSR_208008187_DEPR_AMORT">#REF!</definedName>
    <definedName name="V_KEYWORD_ISSR_208008187_DEPREC">#REF!</definedName>
    <definedName name="V_KEYWORD_ISSR_208008187_DIV_PAID">#REF!</definedName>
    <definedName name="V_KEYWORD_ISSR_208008187_DIVDS_ASSOC_JV">#REF!</definedName>
    <definedName name="V_KEYWORD_ISSR_208008187_DIVDS_PD_MINORITIES">#REF!</definedName>
    <definedName name="V_KEYWORD_ISSR_208008187_DIVEST">#REF!</definedName>
    <definedName name="V_KEYWORD_ISSR_208008187_EBIT">#REF!</definedName>
    <definedName name="V_KEYWORD_ISSR_208008187_EBITDA_CALC">#REF!</definedName>
    <definedName name="V_KEYWORD_ISSR_208008187_EMPLOYEES">#REF!</definedName>
    <definedName name="V_KEYWORD_ISSR_208008187_EQ">#REF!</definedName>
    <definedName name="V_KEYWORD_ISSR_208008187_EXP_ALUMINIUM">#REF!</definedName>
    <definedName name="V_KEYWORD_ISSR_208008187_EXP_BEEF">#REF!</definedName>
    <definedName name="V_KEYWORD_ISSR_208008187_EXP_CHICKEN">#REF!</definedName>
    <definedName name="V_KEYWORD_ISSR_208008187_EXP_COCOA">#REF!</definedName>
    <definedName name="V_KEYWORD_ISSR_208008187_EXP_COFFEE">#REF!</definedName>
    <definedName name="V_KEYWORD_ISSR_208008187_EXP_COPPER">#REF!</definedName>
    <definedName name="V_KEYWORD_ISSR_208008187_EXP_CORN">#REF!</definedName>
    <definedName name="V_KEYWORD_ISSR_208008187_EXP_COTTON">#REF!</definedName>
    <definedName name="V_KEYWORD_ISSR_208008187_EXP_DAIRY">#REF!</definedName>
    <definedName name="V_KEYWORD_ISSR_208008187_EXP_DIAMONDS">#REF!</definedName>
    <definedName name="V_KEYWORD_ISSR_208008187_EXP_GOLD">#REF!</definedName>
    <definedName name="V_KEYWORD_ISSR_208008187_EXP_NUTS">#REF!</definedName>
    <definedName name="V_KEYWORD_ISSR_208008187_EXP_OIL_DERIV_NGLS_PLASTICS">#REF!</definedName>
    <definedName name="V_KEYWORD_ISSR_208008187_EXP_OIL_PETRO_FUEL">#REF!</definedName>
    <definedName name="V_KEYWORD_ISSR_208008187_EXP_OTH_COMMODITY">#REF!</definedName>
    <definedName name="V_KEYWORD_ISSR_208008187_EXP_OTH_COST">#REF!</definedName>
    <definedName name="V_KEYWORD_ISSR_208008187_EXP_PALM_OIL">#REF!</definedName>
    <definedName name="V_KEYWORD_ISSR_208008187_EXP_PAPER_PULP">#REF!</definedName>
    <definedName name="V_KEYWORD_ISSR_208008187_EXP_PLATINUM">#REF!</definedName>
    <definedName name="V_KEYWORD_ISSR_208008187_EXP_PORK">#REF!</definedName>
    <definedName name="V_KEYWORD_ISSR_208008187_EXP_SILVER">#REF!</definedName>
    <definedName name="V_KEYWORD_ISSR_208008187_EXP_SOYBEAN">#REF!</definedName>
    <definedName name="V_KEYWORD_ISSR_208008187_EXP_SUGAR">#REF!</definedName>
    <definedName name="V_KEYWORD_ISSR_208008187_EXP_TOBACCO_LEAF">#REF!</definedName>
    <definedName name="V_KEYWORD_ISSR_208008187_EXP_WATER">#REF!</definedName>
    <definedName name="V_KEYWORD_ISSR_208008187_EXP_WHEAT">#REF!</definedName>
    <definedName name="V_KEYWORD_ISSR_208008187_FIX_ASS_INV">#REF!</definedName>
    <definedName name="V_KEYWORD_ISSR_208008187_GCI_INFL">#REF!</definedName>
    <definedName name="V_KEYWORD_ISSR_208008187_GOODWILL_AMORT">#REF!</definedName>
    <definedName name="V_KEYWORD_ISSR_208008187_GR_FIX_ASS">#REF!</definedName>
    <definedName name="V_KEYWORD_ISSR_208008187_GR_INTANG">#REF!</definedName>
    <definedName name="V_KEYWORD_ISSR_208008187_INT_EXP_IND">#REF!</definedName>
    <definedName name="V_KEYWORD_ISSR_208008187_INT_INC_IND">#REF!</definedName>
    <definedName name="V_KEYWORD_ISSR_208008187_INV_SECUR">#REF!</definedName>
    <definedName name="V_KEYWORD_ISSR_208008187_Issuer_Name">#REF!</definedName>
    <definedName name="V_KEYWORD_ISSR_208008187_LEASE_DEEM_DEPR">#REF!</definedName>
    <definedName name="V_KEYWORD_ISSR_208008187_LEASE_DEEM_INT">#REF!</definedName>
    <definedName name="V_KEYWORD_ISSR_208008187_LEASE_PAY">#REF!</definedName>
    <definedName name="V_KEYWORD_ISSR_208008187_LT_DEBT">#REF!</definedName>
    <definedName name="V_KEYWORD_ISSR_208008187_MINORITIES">#REF!</definedName>
    <definedName name="V_KEYWORD_ISSR_208008187_MV_ASSOCIATES">#REF!</definedName>
    <definedName name="V_KEYWORD_ISSR_208008187_NET_DEBT">#REF!</definedName>
    <definedName name="V_KEYWORD_ISSR_208008187_NET_DEBT_ADJ">#REF!</definedName>
    <definedName name="V_KEYWORD_ISSR_208008187_NET_FIX_ASS">#REF!</definedName>
    <definedName name="V_KEYWORD_ISSR_208008187_NET_INT_CH">#REF!</definedName>
    <definedName name="V_KEYWORD_ISSR_208008187_NET_INT_EXP">#REF!</definedName>
    <definedName name="V_KEYWORD_ISSR_208008187_NET_INTANG">#REF!</definedName>
    <definedName name="V_KEYWORD_ISSR_208008187_NONPPE_CAPEX">#REF!</definedName>
    <definedName name="V_KEYWORD_ISSR_208008187_OP_COST">#REF!</definedName>
    <definedName name="V_KEYWORD_ISSR_208008187_ORD_SH_FUND">#REF!</definedName>
    <definedName name="V_KEYWORD_ISSR_208008187_OTH_COST_INC">#REF!</definedName>
    <definedName name="V_KEYWORD_ISSR_208008187_OTH_CUR_ASS">#REF!</definedName>
    <definedName name="V_KEYWORD_ISSR_208008187_OTH_CUR_LIABS">#REF!</definedName>
    <definedName name="V_KEYWORD_ISSR_208008187_OTH_DACF_ADJ">#REF!</definedName>
    <definedName name="V_KEYWORD_ISSR_208008187_OTH_FIN_CF">#REF!</definedName>
    <definedName name="V_KEYWORD_ISSR_208008187_OTH_GCI_ADJ">#REF!</definedName>
    <definedName name="V_KEYWORD_ISSR_208008187_OTH_INV_CF">#REF!</definedName>
    <definedName name="V_KEYWORD_ISSR_208008187_OTH_LT_ASS">#REF!</definedName>
    <definedName name="V_KEYWORD_ISSR_208008187_OTH_LT_CRED_GQ">#REF!</definedName>
    <definedName name="V_KEYWORD_ISSR_208008187_OTH_NONCASH_ADJ">#REF!</definedName>
    <definedName name="V_KEYWORD_ISSR_208008187_OTH_OP_CF">#REF!</definedName>
    <definedName name="V_KEYWORD_ISSR_208008187_OTH_OP_INC_EXP">#REF!</definedName>
    <definedName name="V_KEYWORD_ISSR_208008187_PERIOD_MILESTONE">#REF!</definedName>
    <definedName name="V_KEYWORD_ISSR_208008187_PERSONNEL">#REF!</definedName>
    <definedName name="V_KEYWORD_ISSR_208008187_PL_SALE_ASSETS">#REF!</definedName>
    <definedName name="V_KEYWORD_ISSR_208008187_PREF_SH">#REF!</definedName>
    <definedName name="V_KEYWORD_ISSR_208008187_PROFIT_ON_DISP">#REF!</definedName>
    <definedName name="V_KEYWORD_ISSR_208008187_PT_PROF">#REF!</definedName>
    <definedName name="V_KEYWORD_ISSR_208008187_RD_EXP">#REF!</definedName>
    <definedName name="V_KEYWORD_ISSR_208008187_SALES">#REF!</definedName>
    <definedName name="V_KEYWORD_ISSR_208008187_SALES_BRAZIL">#REF!</definedName>
    <definedName name="V_KEYWORD_ISSR_208008187_SALES_CEE">#REF!</definedName>
    <definedName name="V_KEYWORD_ISSR_208008187_SALES_CEMENT">#REF!</definedName>
    <definedName name="V_KEYWORD_ISSR_208008187_SALES_CHINA">#REF!</definedName>
    <definedName name="V_KEYWORD_ISSR_208008187_SALES_CONS">#REF!</definedName>
    <definedName name="V_KEYWORD_ISSR_208008187_SALES_EU_EX_UK">#REF!</definedName>
    <definedName name="V_KEYWORD_ISSR_208008187_SALES_FINAN">#REF!</definedName>
    <definedName name="V_KEYWORD_ISSR_208008187_SALES_FX_BRL">#REF!</definedName>
    <definedName name="V_KEYWORD_ISSR_208008187_SALES_FX_CNY">#REF!</definedName>
    <definedName name="V_KEYWORD_ISSR_208008187_SALES_FX_EUR">#REF!</definedName>
    <definedName name="V_KEYWORD_ISSR_208008187_SALES_FX_GPB">#REF!</definedName>
    <definedName name="V_KEYWORD_ISSR_208008187_SALES_FX_INR">#REF!</definedName>
    <definedName name="V_KEYWORD_ISSR_208008187_SALES_FX_KRW">#REF!</definedName>
    <definedName name="V_KEYWORD_ISSR_208008187_SALES_FX_OTH">#REF!</definedName>
    <definedName name="V_KEYWORD_ISSR_208008187_SALES_FX_RUB">#REF!</definedName>
    <definedName name="V_KEYWORD_ISSR_208008187_SALES_FX_TWD">#REF!</definedName>
    <definedName name="V_KEYWORD_ISSR_208008187_SALES_FX_USD">#REF!</definedName>
    <definedName name="V_KEYWORD_ISSR_208008187_SALES_FX_YEN">#REF!</definedName>
    <definedName name="V_KEYWORD_ISSR_208008187_SALES_GLASS">#REF!</definedName>
    <definedName name="V_KEYWORD_ISSR_208008187_SALES_GOV">#REF!</definedName>
    <definedName name="V_KEYWORD_ISSR_208008187_SALES_IND">#REF!</definedName>
    <definedName name="V_KEYWORD_ISSR_208008187_SALES_INDIA">#REF!</definedName>
    <definedName name="V_KEYWORD_ISSR_208008187_SALES_JAPAN">#REF!</definedName>
    <definedName name="V_KEYWORD_ISSR_208008187_SALES_LUMBER">#REF!</definedName>
    <definedName name="V_KEYWORD_ISSR_208008187_SALES_ME">#REF!</definedName>
    <definedName name="V_KEYWORD_ISSR_208008187_SALES_OIL_PETRO_FUEL">#REF!</definedName>
    <definedName name="V_KEYWORD_ISSR_208008187_SALES_OTH_AEJ">#REF!</definedName>
    <definedName name="V_KEYWORD_ISSR_208008187_SALES_OTH_AM">#REF!</definedName>
    <definedName name="V_KEYWORD_ISSR_208008187_SALES_OTH_COMMODITY">#REF!</definedName>
    <definedName name="V_KEYWORD_ISSR_208008187_SALES_OTH_EMEA">#REF!</definedName>
    <definedName name="V_KEYWORD_ISSR_208008187_SALES_OTH_SALES_SOURCES">#REF!</definedName>
    <definedName name="V_KEYWORD_ISSR_208008187_SALES_OTHER">#REF!</definedName>
    <definedName name="V_KEYWORD_ISSR_208008187_SALES_PAPER_PULP">#REF!</definedName>
    <definedName name="V_KEYWORD_ISSR_208008187_SALES_RUSSIA">#REF!</definedName>
    <definedName name="V_KEYWORD_ISSR_208008187_SALES_SK">#REF!</definedName>
    <definedName name="V_KEYWORD_ISSR_208008187_SALES_STEEL">#REF!</definedName>
    <definedName name="V_KEYWORD_ISSR_208008187_SALES_TAIWAN">#REF!</definedName>
    <definedName name="V_KEYWORD_ISSR_208008187_SALES_TOBACCO_LEAF">#REF!</definedName>
    <definedName name="V_KEYWORD_ISSR_208008187_SALES_TOT_AFRICA">#REF!</definedName>
    <definedName name="V_KEYWORD_ISSR_208008187_SALES_TOT_AM">#REF!</definedName>
    <definedName name="V_KEYWORD_ISSR_208008187_SALES_TOT_ASIA">#REF!</definedName>
    <definedName name="V_KEYWORD_ISSR_208008187_SALES_TOT_EMEA">#REF!</definedName>
    <definedName name="V_KEYWORD_ISSR_208008187_SALES_UK">#REF!</definedName>
    <definedName name="V_KEYWORD_ISSR_208008187_SALES_US">#REF!</definedName>
    <definedName name="V_KEYWORD_ISSR_208008187_SEL_GL_AD">#REF!</definedName>
    <definedName name="V_KEYWORD_ISSR_208008187_SH_REPUR">#REF!</definedName>
    <definedName name="V_KEYWORD_ISSR_208008187_SHORT_T_DEBT">#REF!</definedName>
    <definedName name="V_KEYWORD_ISSR_208008187_SHORT_TERM_LIABS">#REF!</definedName>
    <definedName name="V_KEYWORD_ISSR_208008187_STOCKS">#REF!</definedName>
    <definedName name="V_KEYWORD_ISSR_208008187_TOT_ASSET">#REF!</definedName>
    <definedName name="V_KEYWORD_ISSR_208008187_TOT_CF">#REF!</definedName>
    <definedName name="V_KEYWORD_ISSR_208008187_TOT_LIAB">#REF!</definedName>
    <definedName name="V_KEYWORD_ISSR_208008187_TOT_LIAB_EQ">#REF!</definedName>
    <definedName name="V_KEYWORD_ISSR_208008187_TOT_LT_LIAB">#REF!</definedName>
    <definedName name="V_KEYWORD_ISSR_208008187_TOT_OPS_EXP">#REF!</definedName>
    <definedName name="V_KEYWORD_ISSR_208008187_TOT_OPS_EXP_DDA">#REF!</definedName>
    <definedName name="V_KEYWORD_ISSR_208008187_UNF_PENS">#REF!</definedName>
    <definedName name="V_KEYWORD_ISSR_208008187_UNF_PENS_LIAB_OTH">#REF!</definedName>
    <definedName name="V_KEYWORD_ISSR_208008187_UNF_PENS_OFF">#REF!</definedName>
    <definedName name="V_KEYWORD_ISSR_208008187_WORK_CAP">#REF!</definedName>
    <definedName name="V_LIVEDATA_EQTY_200010679">#REF!</definedName>
    <definedName name="V_LIVEDATA_ISSR_208008187">#REF!</definedName>
    <definedName name="V_PERIOD_1994">#REF!</definedName>
    <definedName name="V_PERIOD_1995">#REF!</definedName>
    <definedName name="V_PERIOD_1996">#REF!</definedName>
    <definedName name="V_PERIOD_1997">#REF!</definedName>
    <definedName name="V_PERIOD_1998">#REF!</definedName>
    <definedName name="V_PERIOD_1999">#REF!</definedName>
    <definedName name="V_PERIOD_2000">#REF!</definedName>
    <definedName name="V_PERIOD_2001">#REF!</definedName>
    <definedName name="V_PERIOD_2002">#REF!</definedName>
    <definedName name="V_PERIOD_2003">#REF!</definedName>
    <definedName name="V_PERIOD_2004">#REF!</definedName>
    <definedName name="V_PERIOD_2005">#REF!</definedName>
    <definedName name="V_PERIOD_2006">#REF!</definedName>
    <definedName name="V_PERIOD_2007">#REF!</definedName>
    <definedName name="V_PERIOD_2008">#REF!</definedName>
    <definedName name="V_PERIOD_2009">#REF!</definedName>
    <definedName name="V_PERIOD_2010">#REF!</definedName>
    <definedName name="V_PERIOD_2010_H1">#REF!</definedName>
    <definedName name="V_PERIOD_2010_H2">#REF!</definedName>
    <definedName name="V_PERIOD_2011">#REF!</definedName>
    <definedName name="V_PERIOD_2011_H1">#REF!</definedName>
    <definedName name="V_PERIOD_2011_H2">#REF!</definedName>
    <definedName name="V_PERIOD_2012">#REF!</definedName>
    <definedName name="V_PERIOD_2013">#REF!</definedName>
    <definedName name="V_PERIOD_2014">#REF!</definedName>
    <definedName name="V_PERIOD_2015">#REF!</definedName>
    <definedName name="V_SECTION_EQTY_200010679_1314">#REF!</definedName>
    <definedName name="V_SECTION_EQTY_200010679_131E">#REF!</definedName>
    <definedName name="V_SECTION_EQTY_200010679_131O">#REF!</definedName>
    <definedName name="V_SECTION_EQTY_200010679_13A">#REF!</definedName>
    <definedName name="V_SECTION_EQTY_200010679_13K">#REF!</definedName>
    <definedName name="V_SECTION_EQTY_200010679_13U">#REF!</definedName>
    <definedName name="V_SECTION_EQTY_200010679_13V">#REF!</definedName>
    <definedName name="V_SECTION_EQTY_200010679_Reference_Data">#REF!</definedName>
    <definedName name="V_SECTION_ISSR_208008187_1314">#REF!</definedName>
    <definedName name="V_SECTION_ISSR_208008187_13168">#REF!</definedName>
    <definedName name="V_SECTION_ISSR_208008187_1316S">#REF!</definedName>
    <definedName name="V_SECTION_ISSR_208008187_1316T">#REF!</definedName>
    <definedName name="V_SECTION_ISSR_208008187_1316U">#REF!</definedName>
    <definedName name="V_SECTION_ISSR_208008187_1319">#REF!</definedName>
    <definedName name="V_SECTION_ISSR_208008187_131E">#REF!</definedName>
    <definedName name="V_SECTION_ISSR_208008187_131J">#REF!</definedName>
    <definedName name="V_SECTION_ISSR_208008187_131O">#REF!</definedName>
    <definedName name="V_SECTION_ISSR_208008187_13U">#REF!</definedName>
    <definedName name="V_SECTION_ISSR_208008187_13V">#REF!</definedName>
    <definedName name="V_SECTION_ISSR_208008187_Reference_Data">#REF!</definedName>
    <definedName name="vae">#REF!</definedName>
    <definedName name="vafdfadfd">#REF!</definedName>
    <definedName name="VAL">#REF!</definedName>
    <definedName name="VAL_Q">#REF!</definedName>
    <definedName name="val_UD_index">#REF!</definedName>
    <definedName name="valid">#REF!</definedName>
    <definedName name="VALID_FORMATS" localSheetId="0">#REF!</definedName>
    <definedName name="VALID_FORMATS">#REF!</definedName>
    <definedName name="VALID01234">#REF!,#REF!</definedName>
    <definedName name="valu">#REF!</definedName>
    <definedName name="Valuation">#REF!</definedName>
    <definedName name="ValuationPE_Yield">#REF!,#REF!,#REF!,#REF!,#REF!,#REF!</definedName>
    <definedName name="Value_RNK_index">#REF!</definedName>
    <definedName name="Value_Score">#REF!</definedName>
    <definedName name="ValueTitle">#REF!</definedName>
    <definedName name="valuevx">42.314159</definedName>
    <definedName name="VankeDate">OFFSET(#REF!,0,0,COUNTA(#REF!)-12,1)</definedName>
    <definedName name="VankeDisc">OFFSET(#REF!,0,0,COUNTA(#REF!)-5,1)</definedName>
    <definedName name="VankePrice">OFFSET(#REF!,0,0,COUNTA(#REF!)-3,1)</definedName>
    <definedName name="VAR_IE">#REF!</definedName>
    <definedName name="VAR_ME">#REF!</definedName>
    <definedName name="VAR_MP">#REF!</definedName>
    <definedName name="VAR_NE">#REF!</definedName>
    <definedName name="VAR_NOE">#REF!</definedName>
    <definedName name="VAR_NOEIA">#REF!</definedName>
    <definedName name="VAR_NPFI">#REF!</definedName>
    <definedName name="VAR_OE">#REF!</definedName>
    <definedName name="VAR_PE">#REF!</definedName>
    <definedName name="VAR_PFI">#REF!</definedName>
    <definedName name="VAR_PS">#REF!</definedName>
    <definedName name="VAR_SE">#REF!</definedName>
    <definedName name="VAT">OFFSET(#REF!,,#REF!-1)-OFFSET(#REF!,,#REF!-2)</definedName>
    <definedName name="VATPAY">#REF!</definedName>
    <definedName name="vay">#REF!</definedName>
    <definedName name="vbv">#REF!</definedName>
    <definedName name="vcf">#REF!</definedName>
    <definedName name="vdp">#REF!</definedName>
    <definedName name="vdvd" hidden="1">{#N/A,#N/A,FALSE,"summary"}</definedName>
    <definedName name="veb">#REF!</definedName>
    <definedName name="veg">#REF!</definedName>
    <definedName name="vep">#REF!</definedName>
    <definedName name="Version.WIRE">1</definedName>
    <definedName name="vev">#REF!</definedName>
    <definedName name="vey">#REF!</definedName>
    <definedName name="vfa">#REF!</definedName>
    <definedName name="via">#REF!</definedName>
    <definedName name="vio">#REF!</definedName>
    <definedName name="vlookup">#REF!</definedName>
    <definedName name="vmv">#REF!</definedName>
    <definedName name="vnd">#REF!</definedName>
    <definedName name="VOL">#REF!</definedName>
    <definedName name="vpx">#REF!</definedName>
    <definedName name="vrn">#REF!</definedName>
    <definedName name="vs">1</definedName>
    <definedName name="vsdgarhe" hidden="1">{#N/A,#N/A,FALSE,"summary"}</definedName>
    <definedName name="vsp">#REF!</definedName>
    <definedName name="VTM_1" hidden="1">#REF!</definedName>
    <definedName name="VTM_10" hidden="1">#REF!</definedName>
    <definedName name="VTM_11" hidden="1">#REF!,#REF!</definedName>
    <definedName name="VTM_12" hidden="1">#REF!</definedName>
    <definedName name="VTM_13" hidden="1">#REF!,#REF!</definedName>
    <definedName name="VTM_14" hidden="1">#REF!,#REF!</definedName>
    <definedName name="VTM_15" hidden="1">#REF!</definedName>
    <definedName name="VTM_16" hidden="1">#REF!</definedName>
    <definedName name="VTM_17" hidden="1">#REF!,#REF!</definedName>
    <definedName name="VTM_18" hidden="1">#REF!</definedName>
    <definedName name="VTM_19" hidden="1">#REF!</definedName>
    <definedName name="VTM_2" hidden="1">#REF!</definedName>
    <definedName name="VTM_20" hidden="1">#REF!</definedName>
    <definedName name="VTM_25" hidden="1">#REF!</definedName>
    <definedName name="VTM_29" hidden="1">#REF!</definedName>
    <definedName name="VTM_3" hidden="1">#REF!,#REF!,#REF!,#REF!,#REF!,#REF!,#REF!</definedName>
    <definedName name="VTM_4" hidden="1">#REF!,#REF!,#REF!,#REF!,#REF!,#REF!,#REF!</definedName>
    <definedName name="VTM_5" hidden="1">#REF!,#REF!,#REF!,#REF!,#REF!,#REF!</definedName>
    <definedName name="VTM_6" hidden="1">#REF!,#REF!,#REF!,#REF!,#REF!,#REF!,#REF!</definedName>
    <definedName name="VTM_7" hidden="1">#REF!,#REF!,#REF!,#REF!,#REF!,#REF!</definedName>
    <definedName name="VTM_8" hidden="1">#REF!</definedName>
    <definedName name="VTM_9" hidden="1">#REF!,#REF!</definedName>
    <definedName name="vva">#REF!</definedName>
    <definedName name="vvv" hidden="1">{"DCF","UPSIDE CASE",FALSE,"Sheet1";"DCF","BASE CASE",FALSE,"Sheet1";"DCF","DOWNSIDE CASE",FALSE,"Sheet1"}</definedName>
    <definedName name="w" hidden="1">{#N/A,#N/A,FALSE,"One Pager";#N/A,#N/A,FALSE,"Technical"}</definedName>
    <definedName name="w1A501">#REF!</definedName>
    <definedName name="w1B137">#REF!</definedName>
    <definedName name="w1D13">#REF!</definedName>
    <definedName name="w1D501">#REF!</definedName>
    <definedName name="w1D514">#REF!</definedName>
    <definedName name="w1D7">#REF!</definedName>
    <definedName name="w1D8">#REF!</definedName>
    <definedName name="w1DD271">#REF!</definedName>
    <definedName name="w1DD7">#REF!</definedName>
    <definedName name="WACC">#REF!</definedName>
    <definedName name="WACC_fore">#REF!</definedName>
    <definedName name="WACC_P">#REF!</definedName>
    <definedName name="WACC_P_1">#REF!</definedName>
    <definedName name="WACC_P_8">#REF!</definedName>
    <definedName name="Wages_incl_soc.costs">#REF!</definedName>
    <definedName name="Warrants">#REF!</definedName>
    <definedName name="watch_delta">#REF!</definedName>
    <definedName name="watch_delta_sd">#REF!</definedName>
    <definedName name="watch_name">#REF!</definedName>
    <definedName name="watch_sd">#REF!</definedName>
    <definedName name="watch_sign">#REF!</definedName>
    <definedName name="Waterfall">"Waterfall"</definedName>
    <definedName name="wc10cy">#REF!</definedName>
    <definedName name="wc10diff">#REF!</definedName>
    <definedName name="wc10ly">#REF!</definedName>
    <definedName name="wc10name">#REF!</definedName>
    <definedName name="wc11cy">#REF!</definedName>
    <definedName name="wc11diff">#REF!</definedName>
    <definedName name="wc11ly">#REF!</definedName>
    <definedName name="wc11name">#REF!</definedName>
    <definedName name="wc12cy">#REF!</definedName>
    <definedName name="wc12name">#REF!</definedName>
    <definedName name="wc13cy">#REF!</definedName>
    <definedName name="wc13diff">#REF!</definedName>
    <definedName name="wc13ly">#REF!</definedName>
    <definedName name="wc13name">#REF!</definedName>
    <definedName name="wc15cy">#REF!</definedName>
    <definedName name="wc15diff">#REF!</definedName>
    <definedName name="wc15ly">#REF!</definedName>
    <definedName name="wc15name">#REF!</definedName>
    <definedName name="wc1cy">#REF!</definedName>
    <definedName name="wc1diff">#REF!</definedName>
    <definedName name="wc1ly">#REF!</definedName>
    <definedName name="wc1name">#REF!</definedName>
    <definedName name="wc2cy">#REF!</definedName>
    <definedName name="wc2diff">#REF!</definedName>
    <definedName name="wc2ly">#REF!</definedName>
    <definedName name="wc2name">#REF!</definedName>
    <definedName name="wc3cy">#REF!</definedName>
    <definedName name="wc3diff">#REF!</definedName>
    <definedName name="wc3ly">#REF!</definedName>
    <definedName name="wc3name">#REF!</definedName>
    <definedName name="wc4cy">#REF!</definedName>
    <definedName name="wc4diff">#REF!</definedName>
    <definedName name="wc4ly">#REF!</definedName>
    <definedName name="wc4name">#REF!</definedName>
    <definedName name="wc5cy">#REF!</definedName>
    <definedName name="wc5diff">#REF!</definedName>
    <definedName name="wc5ly">#REF!</definedName>
    <definedName name="wc5name">#REF!</definedName>
    <definedName name="wc6cy">#REF!</definedName>
    <definedName name="wc6diff">#REF!</definedName>
    <definedName name="wc6ly">#REF!</definedName>
    <definedName name="wc6name">#REF!</definedName>
    <definedName name="wc7cy">#REF!</definedName>
    <definedName name="wc7diff">#REF!</definedName>
    <definedName name="wc7ly">#REF!</definedName>
    <definedName name="wc7name">#REF!</definedName>
    <definedName name="wc8cy">#REF!</definedName>
    <definedName name="wc8diff">#REF!</definedName>
    <definedName name="wc8ly">#REF!</definedName>
    <definedName name="wc8name">#REF!</definedName>
    <definedName name="wc9cy">#REF!</definedName>
    <definedName name="wc9diff">#REF!</definedName>
    <definedName name="wc9ly">#REF!</definedName>
    <definedName name="wc9name">#REF!</definedName>
    <definedName name="Wcapchgoth">#REF!</definedName>
    <definedName name="Wcapchng">#REF!</definedName>
    <definedName name="we" hidden="1">{"Monthly6Q",#N/A,FALSE,"0614ESL"}</definedName>
    <definedName name="WeekdayOption">MATCH(WeekStart,工作日,0)+10</definedName>
    <definedName name="WeekStart">#REF!</definedName>
    <definedName name="WeekStartValue">IF(WeekStart="星期一",2,1)</definedName>
    <definedName name="wei_beta">#REF!</definedName>
    <definedName name="wei_div">#REF!</definedName>
    <definedName name="wei_evebitda">#REF!</definedName>
    <definedName name="wei_evsales">#REF!</definedName>
    <definedName name="wei_gear">#REF!</definedName>
    <definedName name="wei_mv">#REF!</definedName>
    <definedName name="wei_pb">#REF!</definedName>
    <definedName name="wei_pcf">#REF!</definedName>
    <definedName name="wei_pe">#REF!</definedName>
    <definedName name="wei_peg">#REF!</definedName>
    <definedName name="wei_roa">#REF!</definedName>
    <definedName name="wei_roce">#REF!</definedName>
    <definedName name="wei_roe">#REF!</definedName>
    <definedName name="wei_vfo">#REF!</definedName>
    <definedName name="wendy" hidden="1">{#N/A,#N/A,TRUE,"Financials";#N/A,#N/A,TRUE,"Operating Statistics";#N/A,#N/A,TRUE,"Capex &amp; Depreciation";#N/A,#N/A,TRUE,"Debt"}</definedName>
    <definedName name="werew" hidden="1">{"summary",#N/A,FALSE,"2000 vs 1999";"detail",#N/A,FALSE,"2000 vs 1999"}</definedName>
    <definedName name="werewewa" hidden="1">{"summary",#N/A,FALSE,"2000 vs 1999";"detail",#N/A,FALSE,"2000 vs 1999"}</definedName>
    <definedName name="wertwertwy" hidden="1">{#N/A,#N/A,FALSE,"UNIT";#N/A,#N/A,FALSE,"UNIT";#N/A,#N/A,FALSE,"계정"}</definedName>
    <definedName name="west">#REF!</definedName>
    <definedName name="WEuropeSales">#REF!</definedName>
    <definedName name="wfeww" hidden="1">{#N/A,#N/A,FALSE,"JANLN2"}</definedName>
    <definedName name="wfrewwras" hidden="1">{#N/A,#N/A,FALSE,"JANLN2"}</definedName>
    <definedName name="WGT_PD1">#REF!</definedName>
    <definedName name="WGT_PD2">#REF!</definedName>
    <definedName name="WGT_PD3">#REF!</definedName>
    <definedName name="WHARF">#REF!</definedName>
    <definedName name="WHDate">OFFSET(#REF!,0,0,COUNTA(#REF!),1)</definedName>
    <definedName name="WHGFA">OFFSET(#REF!,0,0,COUNTA(#REF!)-1,1)</definedName>
    <definedName name="WHPrice">OFFSET(#REF!,0,0,COUNTA(#REF!)-1,1)</definedName>
    <definedName name="whyerty" hidden="1">{#N/A,#N/A,FALSE,"UNIT";#N/A,#N/A,FALSE,"UNIT";#N/A,#N/A,FALSE,"계정"}</definedName>
    <definedName name="wk">#REF!</definedName>
    <definedName name="wl_p1">#REF!</definedName>
    <definedName name="wl_p3">#REF!</definedName>
    <definedName name="wo">#REF!</definedName>
    <definedName name="Work_Program_By_Area_List">#REF!</definedName>
    <definedName name="workcap">#REF!</definedName>
    <definedName name="WorkingCapitalChg">#REF!</definedName>
    <definedName name="WPI">#REF!</definedName>
    <definedName name="wq" hidden="1">{#N/A,#N/A,FALSE,"UNIT";#N/A,#N/A,FALSE,"UNIT";#N/A,#N/A,FALSE,"계정"}</definedName>
    <definedName name="wqw">#REF!</definedName>
    <definedName name="Wrapper">#N/A</definedName>
    <definedName name="wretwert" hidden="1">{#N/A,#N/A,FALSE,"UNIT";#N/A,#N/A,FALSE,"UNIT";#N/A,#N/A,FALSE,"계정"}</definedName>
    <definedName name="wrn.2._.pagers." hidden="1">{"Cover",#N/A,FALSE,"Cover";"Summary",#N/A,FALSE,"Summarpage"}</definedName>
    <definedName name="wrn.aa." hidden="1">{#N/A,#N/A,FALSE,"UNIT";#N/A,#N/A,FALSE,"UNIT";#N/A,#N/A,FALSE,"계정"}</definedName>
    <definedName name="wrn.adj95." hidden="1">{"adj95mult",#N/A,FALSE,"COMPCO";"adj95est",#N/A,FALSE,"COMPCO"}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pages." hidden="1">{#N/A,#N/A,TRUE,"Historicals";#N/A,#N/A,TRUE,"Charts";#N/A,#N/A,TRUE,"Forecasts"}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BalShtSum." hidden="1">{"balshtsum",#N/A,FALSE,"BalSht"}</definedName>
    <definedName name="wrn.BIS." hidden="1">{#N/A,#N/A,FALSE,"Tobacco Rolls, Fine Cut Dom.";#N/A,#N/A,FALSE,"Eco-Cigarillos Dom.";#N/A,#N/A,FALSE,"Other Cigars Cigarillos";#N/A,#N/A,FALSE,"Filter Tubes";#N/A,#N/A,FALSE,"Other Business";#N/A,#N/A,FALSE,"Total Industrial Business"}</definedName>
    <definedName name="wrn.CFSum." hidden="1">{"cfsum",#N/A,FALSE,"CashFlow"}</definedName>
    <definedName name="wrn.Client._.cfbs." hidden="1">{"client cfbs",#N/A,FALSE,"Client"}</definedName>
    <definedName name="wrn.Client._.is." hidden="1">{"Client is",#N/A,FALSE,"Client"}</definedName>
    <definedName name="wrn.Client._.stats." hidden="1">{"Client stats",#N/A,FALSE,"Client"}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redit._.Check._.for._.Year._.1997." hidden="1">{#N/A,#N/A,FALSE,"Sheet1"}</definedName>
    <definedName name="wrn.Economic._.Value._.Added._.Analysis." hidden="1">{"EVA",#N/A,FALSE,"EVA";"WACC",#N/A,FALSE,"WACC"}</definedName>
    <definedName name="wrn.Eilbericht_UBA." hidden="1">{"Eilbericht_UBA",#N/A,FALSE,"EB"}</definedName>
    <definedName name="wrn.Eilbericht2_UBA" hidden="1">{"Eilbericht_UBA",#N/A,FALSE,"EB"}</definedName>
    <definedName name="wrn.Ergebnisbericht_UBA." hidden="1">{"Ergebnisbericht_UBA",#N/A,FALSE,"MB"}</definedName>
    <definedName name="wrn.Ergebnisbericht2_UBA" hidden="1">{"Ergebnisbericht_UBA",#N/A,FALSE,"MB"}</definedName>
    <definedName name="wrn.esl." hidden="1">{"Monthly6Q",#N/A,FALSE,"0614ESL"}</definedName>
    <definedName name="wrn.Financial." hidden="1">{"IncStmt",#N/A,FALSE,"IncStmt";"BalSht",#N/A,FALSE,"BalSht";"IncStmtDet",#N/A,FALSE,"IncStmt";"CashFlow",#N/A,FALSE,"CashFlow";"Ratio",#N/A,FALSE,"Ratio Analysis";"GrMarg",#N/A,FALSE,"IncStmt"}</definedName>
    <definedName name="wrn.flifted." hidden="1">{#N/A,#N/A,FALSE,"Summary";#N/A,#N/A,FALSE,"road";#N/A,#N/A,FALSE,"raillifted";#N/A,#N/A,FALSE,"inlandwaterway";#N/A,#N/A,FALSE,"seagoing";#N/A,#N/A,FALSE,"pipeline"}</definedName>
    <definedName name="wrn.fmoved." hidden="1">{#N/A,#N/A,FALSE,"road";#N/A,#N/A,FALSE,"inlandwaterway";#N/A,#N/A,FALSE,"seagoing";#N/A,#N/A,FALSE,"pipeline"}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m." hidden="1">{#N/A,#N/A,FALSE,"OffAdvance";#N/A,#N/A,FALSE,"OffExpRprt";#N/A,#N/A,FALSE,"Entertmnt";#N/A,#N/A,FALSE,"Promotion";#N/A,#N/A,FALSE,"Travelling"}</definedName>
    <definedName name="wrn.Full._.Financials." hidden="1">{#N/A,#N/A,TRUE,"Financials";#N/A,#N/A,TRUE,"Operating Statistics";#N/A,#N/A,TRUE,"Capex &amp; Depreciation";#N/A,#N/A,TRUE,"Debt"}</definedName>
    <definedName name="wrn.full._.financials1." hidden="1">{#N/A,#N/A,TRUE,"Financials";#N/A,#N/A,TRUE,"Operating Statistics";#N/A,#N/A,TRUE,"Capex &amp; Depreciation";#N/A,#N/A,TRUE,"Debt"}</definedName>
    <definedName name="wrn.Full._.Report." hidden="1">{#N/A,#N/A,FALSE,"COVER";#N/A,#N/A,FALSE,"VALUATION";#N/A,#N/A,FALSE,"FORECAST";#N/A,#N/A,FALSE,"FY ANALYSIS ";#N/A,#N/A,FALSE," HY ANALYSIS"}</definedName>
    <definedName name="wrn.FW._.Summary.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wrn.Gesamtausdruck." hidden="1">{#N/A,#N/A,FALSE,"Cont.";#N/A,#N/A,FALSE,"Blatt 1.3 ";#N/A,#N/A,FALSE,"Blatt 2 ";#N/A,#N/A,FALSE,"Blatt 3.1";#N/A,#N/A,FALSE,"Blatt 3.2";#N/A,#N/A,FALSE,"Blatt 3.3";#N/A,#N/A,FALSE,"Blatt 4.1";#N/A,#N/A,FALSE,"Blatt 4.2";#N/A,#N/A,FALSE,"Blatt 4.3";#N/A,#N/A,FALSE,"Blatt 4.6";#N/A,#N/A,FALSE,"Blatt 4.7";#N/A,#N/A,FALSE,"Blatt 4.8";#N/A,#N/A,FALSE,"Blatt 5";#N/A,#N/A,FALSE,"Blatt 6";#N/A,#N/A,FALSE,"Blatt 7";#N/A,#N/A,FALSE,"Blatt 8";#N/A,#N/A,FALSE,"Blatt 9";#N/A,#N/A,FALSE,"Blatt 10 ";#N/A,#N/A,FALSE,"Blatt 11";#N/A,#N/A,FALSE,"Blatt 12";#N/A,#N/A,FALSE,"Blatt 13"}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M." hidden="1">{"capacity",#N/A,FALSE,"Guangzhou";"Volume",#N/A,FALSE,"Guangmei"}</definedName>
    <definedName name="wrn.GZ." hidden="1">{"Volume",#N/A,FALSE,"Guangzhou";"capacity",#N/A,FALSE,"Guangzhou"}</definedName>
    <definedName name="wrn.HF." hidden="1">{"capacity",#N/A,FALSE,"Hefei";"Volume",#N/A,FALSE,"Hefei"}</definedName>
    <definedName name="wrn.HZ." hidden="1">{"capacity",#N/A,FALSE,"Hangzhou";"volume",#N/A,FALSE,"Hangzhou"}</definedName>
    <definedName name="wrn.Income._.Stmt." hidden="1">{"Income Stmt",#N/A,FALSE,"Model"}</definedName>
    <definedName name="wrn.IncStmt." hidden="1">{"gr_margin",#N/A,FALSE,"IncStmt";"incstmt",#N/A,FALSE,"IncStmt";"incstmtdet",#N/A,FALSE,"IncStmt"}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puts." hidden="1">{"Inputs",#N/A,TRUE,"North America";"Inputs",#N/A,TRUE,"Europe";"Inputs",#N/A,TRUE,"Asia Pacific";"Inputs",#N/A,TRUE,"Latin America";"Inputs",#N/A,TRUE,"Wireless"}</definedName>
    <definedName name="wrn.Internal._.is." hidden="1">{"Internal is",#N/A,FALSE,"Model"}</definedName>
    <definedName name="wrn.inventory._.aging." hidden="1">{#N/A,#N/A,FALSE,"PLEDGE";#N/A,#N/A,FALSE,"GLADE";#N/A,#N/A,FALSE,"GREEN BIRD";#N/A,#N/A,FALSE,"MR. MUSCLE";#N/A,#N/A,FALSE,"TOILET DUCK";#N/A,#N/A,FALSE,"Other Home Care";#N/A,#N/A,FALSE,"RED BIRD";#N/A,#N/A,FALSE,"SHANGHAI";#N/A,#N/A,FALSE,"RAID";#N/A,#N/A,FALSE,"OFF";#N/A,#N/A,FALSE,"SEAGULL";#N/A,#N/A,FALSE,"HALSA";#N/A,#N/A,FALSE,"SOFT SENSE";#N/A,#N/A,FALSE,"TOTAL"}</definedName>
    <definedName name="wrn.jan95.xls." hidden="1">{#N/A,#N/A,FALSE,"JAN195"}</definedName>
    <definedName name="wrn.Leases.xls." hidden="1">{#N/A,#N/A,FALSE,"Initial Year";#N/A,#N/A,FALSE,"Historical";#N/A,#N/A,FALSE,"balsheet";#N/A,#N/A,FALSE,"incstate";#N/A,#N/A,FALSE,"Fleet"}</definedName>
    <definedName name="wrn.Level._.4." localSheetId="0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MIS._.Report._.for._.Sept01." hidden="1">{"YTD Profitability",#N/A,FALSE,"Dash Board";"Manpower-Sept",#N/A,FALSE,"Dash Board";"Consolidated-Q2",#N/A,FALSE,"Dash Board"}</definedName>
    <definedName name="wrn.Model._.Level._.3." localSheetId="0" hidden="1">{"Income (All hidden)",#N/A,FALSE,"Income";"EPS (All Hidden)",#N/A,FALSE,"EPS";"EPS (All Hidden)",#N/A,FALSE,"CashFlow";"Quarterly (Last, Current and Next)",#N/A,FALSE,"Quarterly"}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ly._.Report." hidden="1">{#N/A,#N/A,FALSE,"Monthly";#N/A,#N/A,FALSE,"Hong Kong";#N/A,#N/A,FALSE,"New York";#N/A,#N/A,FALSE,"London";#N/A,#N/A,FALSE,"Singapore";#N/A,#N/A,FALSE,"Australia";#N/A,#N/A,FALSE,"Korea"}</definedName>
    <definedName name="wrn.NJ." hidden="1">{"Volume",#N/A,FALSE,"Nanjing";"capacity",#N/A,FALSE,"Nanjing"}</definedName>
    <definedName name="wrn.Office." hidden="1">{#N/A,#N/A,FALSE,"OffAdvance";#N/A,#N/A,FALSE,"OffExpRprt";#N/A,#N/A,FALSE,"Travelling";#N/A,#N/A,FALSE,"Entertmnt";#N/A,#N/A,FALSE,"Promotion"}</definedName>
    <definedName name="wrn.One._.Pager._.plus._.Technicals." hidden="1">{#N/A,#N/A,FALSE,"One Pager";#N/A,#N/A,FALSE,"Technical"}</definedName>
    <definedName name="wrn.OUTPUT." hidden="1">{"DCF","UPSIDE CASE",FALSE,"Sheet1";"DCF","BASE CASE",FALSE,"Sheet1";"DCF","DOWNSIDE CASE",FALSE,"Sheet1"}</definedName>
    <definedName name="wrn.PEWC1." hidden="1">{"Graphic",#N/A,TRUE,"Graphic"}</definedName>
    <definedName name="wrn.pl." hidden="1">{#N/A,#N/A,FALSE,"summary"}</definedName>
    <definedName name="wrn.Portrait._.IS." hidden="1">{"Portrait letter is",#N/A,FALSE,"Model"}</definedName>
    <definedName name="wrn.Portrait._.letter._.is." hidden="1">{"Portrait letter is",#N/A,FALSE,"Model"}</definedName>
    <definedName name="wrn.print._.all." hidden="1">{#N/A,#N/A,FALSE,"Gateway";#N/A,#N/A,FALSE,"NewYork";#N/A,#N/A,FALSE,"Ocean";#N/A,#N/A,FALSE,"GVH";#N/A,#N/A,FALSE,"GVM";#N/A,#N/A,FALSE,"GVT"}</definedName>
    <definedName name="wrn.Pulp." hidden="1">{"Pulp Production",#N/A,FALSE,"Pulp";"Pulp Earnings",#N/A,FALSE,"Pulp"}</definedName>
    <definedName name="wrn.Qtr._.Op._.Q1." hidden="1">{"Qtr Op Mgd Q1",#N/A,FALSE,"Qtr-Op (Mng)";"Qtr Op Rpt Q1",#N/A,FALSE,"Qtr-Op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_.Op._.Q4." hidden="1">{"Qtr Op Mgd Q3",#N/A,FALSE,"Qtr-Op (Mng)";"Qtr Op Rpt Q4",#N/A,FALSE,"Qtr-Op (Rpt)";"Operating Vs Reported",#N/A,FALSE,"Rpt-Op Inc"}</definedName>
    <definedName name="wrn.rail." hidden="1">{#N/A,#N/A,FALSE,"inopert";#N/A,#N/A,FALSE,"electrified";#N/A,#N/A,FALSE,"network"}</definedName>
    <definedName name="wrn.REE._.Bericht._.Prognose._.2000." hidden="1">{#N/A,#N/A,FALSE,"Cover";#N/A,#N/A,FALSE,"Content";#N/A,#N/A,FALSE,"KeyFig.";#N/A,#N/A,FALSE,"Pr. Progn.";#N/A,#N/A,FALSE,"IncSt Progn. DM";#N/A,#N/A,FALSE,"VA_DM"}</definedName>
    <definedName name="wrn.Report." hidden="1">{#N/A,#N/A,FALSE,"COVER";#N/A,#N/A,FALSE,"FORECAST";#N/A,#N/A,FALSE,"VALUATION";#N/A,#N/A,FALSE,"FY ANALYSIS ";#N/A,#N/A,FALSE," HY ANALYSIS"}</definedName>
    <definedName name="wrn.report.1" hidden="1">{"summary",#N/A,FALSE,"2000 vs 1999";"detail",#N/A,FALSE,"2000 vs 1999"}</definedName>
    <definedName name="wrn.report.2" hidden="1">{"summary",#N/A,FALSE,"2000 vs 1999";"detail",#N/A,FALSE,"2000 vs 1999"}</definedName>
    <definedName name="wrn.report.3" hidden="1">{"summary",#N/A,FALSE,"2000 vs 1999";"detail",#N/A,FALSE,"2000 vs 1999"}</definedName>
    <definedName name="wrn.report.4" hidden="1">{"summary",#N/A,FALSE,"2000 vs 1999";"detail",#N/A,FALSE,"2000 vs 1999"}</definedName>
    <definedName name="wrn.report.5" hidden="1">{"summary",#N/A,FALSE,"2000 vs 1999";"detail",#N/A,FALSE,"2000 vs 1999"}</definedName>
    <definedName name="wrn.report.6" hidden="1">{"summary",#N/A,FALSE,"2000 vs 1999";"detail",#N/A,FALSE,"2000 vs 1999"}</definedName>
    <definedName name="wrn.report.new" hidden="1">{"summary",#N/A,FALSE,"2000 vs 1999";"detail",#N/A,FALSE,"2000 vs 1999"}</definedName>
    <definedName name="wrn.report.new.1" hidden="1">{"summary",#N/A,FALSE,"2000 vs 1999";"detail",#N/A,FALSE,"2000 vs 1999"}</definedName>
    <definedName name="wrn.report.new.5" hidden="1">{"summary",#N/A,FALSE,"2000 vs 1999";"detail",#N/A,FALSE,"2000 vs 1999"}</definedName>
    <definedName name="wrn.report.new1" hidden="1">{"summary",#N/A,FALSE,"2000 vs 1999";"detail",#N/A,FALSE,"2000 vs 1999"}</definedName>
    <definedName name="wrn.report.new2" hidden="1">{"summary",#N/A,FALSE,"2000 vs 1999";"detail",#N/A,FALSE,"2000 vs 1999"}</definedName>
    <definedName name="wrn.report1" hidden="1">{"summary",#N/A,FALSE,"2000 vs 1999";"detail",#N/A,FALSE,"2000 vs 1999"}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Sales." hidden="1">{#N/A,#N/A,FALSE,"Marketing";#N/A,#N/A,FALSE,"Selling";#N/A,#N/A,FALSE,"Promotional";#N/A,#N/A,FALSE,"Advertising"}</definedName>
    <definedName name="wrn.SFS.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wrn.SHIPMENTS." hidden="1">{#N/A,#N/A,FALSE,"JANLN2"}</definedName>
    <definedName name="wrn.Summary." hidden="1">{"Section 1",#N/A,TRUE,"Summary";"Section 2",#N/A,TRUE,"Summary";"Section 3",#N/A,TRUE,"Summary";"Section 4",#N/A,TRUE,"Summary"}</definedName>
    <definedName name="wrn.Telstra._.Inputs." hidden="1">{"Inputs",#N/A,FALSE,"US_FL";"Inputs",#N/A,FALSE,"EUROPE_FL";"Inputs",#N/A,FALSE,"ASIA_FL"}</definedName>
    <definedName name="wrn.Telstra._.Output." hidden="1">{"Output",#N/A,FALSE,"US_FL";"Output",#N/A,FALSE,"EUROPE_FL";"Output",#N/A,FALSE,"ASIA_FL"}</definedName>
    <definedName name="wrn.toptrial." hidden="1">{"toptrial",#N/A,TRUE,"toptrial";"adjustment",#N/A,TRUE,"toptrial";"voucher",#N/A,TRUE,"toptrial"}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Variance._.3." hidden="1">{"Variance Q3",#N/A,FALSE,"Var"}</definedName>
    <definedName name="wrn.Variance._.Q1." hidden="1">{"Variance Q1",#N/A,FALSE,"Var"}</definedName>
    <definedName name="wrn.Variance._.Q2." hidden="1">{"Variance Q2",#N/A,FALSE,"Var"}</definedName>
    <definedName name="wrn.Variance._.Q3." hidden="1">{"Variance Q3",#N/A,FALSE,"Var"}</definedName>
    <definedName name="wrn.Variance._.Q4" hidden="1">{"Variance Q4",#N/A,FALSE,"Var"}</definedName>
    <definedName name="wrn.Variance._.Q4." hidden="1">{"Variance Q4",#N/A,FALSE,"Var"}</definedName>
    <definedName name="wrn.voucher9703." hidden="1">{#N/A,#N/A,FALSE,"970301";#N/A,#N/A,FALSE,"970302";#N/A,#N/A,FALSE,"970303";#N/A,#N/A,FALSE,"970304";#N/A,#N/A,FALSE,"COM1";#N/A,#N/A,FALSE,"COM2"}</definedName>
    <definedName name="wrn.Xa." hidden="1">{"capcity",#N/A,FALSE,"Xiamen (chn)";"volume",#N/A,FALSE,"Xiamen (chn)"}</definedName>
    <definedName name="wrn.XN." hidden="1">{"capacity",#N/A,FALSE,"Xian";"Volume",#N/A,FALSE,"Xian"}</definedName>
    <definedName name="wrn.ZZ." hidden="1">{"Volume",#N/A,FALSE,"Zhengzhou";"capacity",#N/A,FALSE,"Zhengzhou"}</definedName>
    <definedName name="wrn.供料净化车间固定资产." hidden="1">{#N/A,#N/A,FALSE,"供料净化车间"}</definedName>
    <definedName name="wrn1.all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u">"31/12/"&amp;LEFT(dc,4)-1</definedName>
    <definedName name="ww">#REF!</definedName>
    <definedName name="WWc7ceb1d0a22b4398926a9ebc0eda7ba0_634344890342528032" hidden="1">#REF!</definedName>
    <definedName name="www" hidden="1">{"DCF","UPSIDE CASE",FALSE,"Sheet1";"DCF","BASE CASE",FALSE,"Sheet1";"DCF","DOWNSIDE CASE",FALSE,"Sheet1"}</definedName>
    <definedName name="wwww" hidden="1">{#N/A,#N/A,FALSE,"UNIT";#N/A,#N/A,FALSE,"UNIT";#N/A,#N/A,FALSE,"계정"}</definedName>
    <definedName name="wwwwwww" hidden="1">#REF!</definedName>
    <definedName name="wwwwwwwwww">{#N/A,#N/A,FALSE,"summary"}</definedName>
    <definedName name="wwwwwwwwwwwwwwww">#REF!</definedName>
    <definedName name="x" localSheetId="0" hidden="1">{"EUUTI","COMPANIES",TRUE}</definedName>
    <definedName name="x" hidden="1">{"EUUTI","COMPANIES",TRUE}</definedName>
    <definedName name="XADate">OFFSET(#REF!,0,0,COUNTA(#REF!),1)</definedName>
    <definedName name="XAGFA">OFFSET(#REF!,0,0,COUNTA(#REF!)-1,1)</definedName>
    <definedName name="XAPrice">OFFSET(#REF!,0,0,COUNTA(#REF!)-1,1)</definedName>
    <definedName name="XC">#REF!</definedName>
    <definedName name="xData1.2">#REF!</definedName>
    <definedName name="xer">#REF!</definedName>
    <definedName name="xfx">#REF!</definedName>
    <definedName name="xitem">#REF!</definedName>
    <definedName name="XMDate">OFFSET(#REF!,0,0,COUNTA(#REF!),1)</definedName>
    <definedName name="XMGFA">OFFSET(#REF!,0,0,COUNTA(#REF!)-1,1)</definedName>
    <definedName name="XMPrice">OFFSET(#REF!,0,0,COUNTA(#REF!)-1,1)</definedName>
    <definedName name="xoe">#REF!</definedName>
    <definedName name="xpr">#REF!</definedName>
    <definedName name="XRATE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2" hidden="1">#REF!</definedName>
    <definedName name="XRefCopy13" hidden="1">#REF!</definedName>
    <definedName name="XRefCopy14" hidden="1">#REF!</definedName>
    <definedName name="XRefCopy15" hidden="1">#REF!</definedName>
    <definedName name="XRefCopy16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6" hidden="1">#REF!</definedName>
    <definedName name="XRefCopy6Row" hidden="1">#REF!</definedName>
    <definedName name="XRefCopy7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2</definedName>
    <definedName name="XRefPaste1" hidden="1">#REF!</definedName>
    <definedName name="XRefPaste10" hidden="1">#REF!</definedName>
    <definedName name="XRefPaste11" hidden="1">#REF!</definedName>
    <definedName name="XRefPaste12" hidden="1">#REF!</definedName>
    <definedName name="XRefPaste13" hidden="1">#REF!</definedName>
    <definedName name="XRefPaste14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5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15</definedName>
    <definedName name="Xtep">#REF!</definedName>
    <definedName name="XTEST" hidden="1">{#N/A,#N/A,FALSE,"JANLN2"}</definedName>
    <definedName name="xunits">#REF!</definedName>
    <definedName name="XX">#REF!</definedName>
    <definedName name="XXX" hidden="1">{#N/A,#N/A,TRUE,"Overall";#N/A,#N/A,TRUE,"Region Wise ";#N/A,#N/A,TRUE,"Client Wise"}</definedName>
    <definedName name="xxxxxxxxxx">#REF!</definedName>
    <definedName name="xz_ED">#REF!</definedName>
    <definedName name="xz_PD">#REF!</definedName>
    <definedName name="y" hidden="1">{#N/A,#N/A,FALSE,"Ocean";#N/A,#N/A,FALSE,"NewYork";#N/A,#N/A,FALSE,"Gateway";#N/A,#N/A,FALSE,"GVH";#N/A,#N/A,FALSE,"GVM";#N/A,#N/A,FALSE,"GVT"}</definedName>
    <definedName name="YanlordDate">OFFSET(#REF!,0,0,COUNTA(#REF!)-70,1)</definedName>
    <definedName name="YanlordDisc">OFFSET(#REF!,0,0,COUNTA(#REF!)-5,1)</definedName>
    <definedName name="YanlordPrice">OFFSET(#REF!,0,0,COUNTA(#REF!)-3,1)</definedName>
    <definedName name="ye" hidden="1">#REF!</definedName>
    <definedName name="YE00">#REF!</definedName>
    <definedName name="YEAR">#REF!</definedName>
    <definedName name="Year_Ago">#REF!</definedName>
    <definedName name="year_end">"June"</definedName>
    <definedName name="YearQtr_title">#N/A</definedName>
    <definedName name="Years">"A1:v1"</definedName>
    <definedName name="Yeat_Dec.">#REF!</definedName>
    <definedName name="yen">110</definedName>
    <definedName name="yen020531">6.6616</definedName>
    <definedName name="yes">#REF!</definedName>
    <definedName name="YesNo">#REF!</definedName>
    <definedName name="yingfu2">#REF!</definedName>
    <definedName name="yingfu3">#REF!</definedName>
    <definedName name="yingfu4">#REF!</definedName>
    <definedName name="yingfu5">#REF!</definedName>
    <definedName name="yingfu7">#REF!</definedName>
    <definedName name="yingshou2">#REF!</definedName>
    <definedName name="YTD_data">#REF!</definedName>
    <definedName name="YTJUTYUT" hidden="1">{"summary",#N/A,FALSE,"2000 vs 1999";"detail",#N/A,FALSE,"2000 vs 1999"}</definedName>
    <definedName name="YUIYU" hidden="1">{"summary",#N/A,FALSE,"2000 vs 1999";"detail",#N/A,FALSE,"2000 vs 1999"}</definedName>
    <definedName name="YUTYT" hidden="1">{"summary",#N/A,FALSE,"2000 vs 1999";"detail",#N/A,FALSE,"2000 vs 1999"}</definedName>
    <definedName name="yuyert" hidden="1">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Y" hidden="1">#REF!</definedName>
    <definedName name="ÿÿÿw">#REF!,#REF!,#REF!,#REF!,#REF!,#REF!,#REF!,#REF!,#REF!,#REF!,#REF!,#REF!,#REF!,#REF!,#REF!,#REF!,#REF!,#REF!,#REF!,#REF!,#REF!,#REF!,#REF!,#REF!,#REF!,#REF!,#REF!,#REF!</definedName>
    <definedName name="YYYY" hidden="1">{"summary",#N/A,FALSE,"2000 vs 1999";"detail",#N/A,FALSE,"2000 vs 1999"}</definedName>
    <definedName name="z">#REF!</definedName>
    <definedName name="Z_202C0F07_4573_454B_9D06_164BEC8E9314_.wvu.Cols" hidden="1">#REF!,#REF!</definedName>
    <definedName name="Z_202C0F07_4573_454B_9D06_164BEC8E9314_.wvu.FilterData" hidden="1">#REF!</definedName>
    <definedName name="Z_202C0F07_4573_454B_9D06_164BEC8E9314_.wvu.PrintArea" hidden="1">#REF!</definedName>
    <definedName name="Z_202C0F07_4573_454B_9D06_164BEC8E9314_.wvu.PrintTitles" hidden="1">#REF!</definedName>
    <definedName name="Z_202C0F07_4573_454B_9D06_164BEC8E9314_.wvu.Rows" hidden="1">#REF!,#REF!,#REF!,#REF!,#REF!,#REF!,#REF!,#REF!,#REF!,#REF!,#REF!,#REF!,#REF!,#REF!,#REF!,#REF!,#REF!,#REF!,#REF!,#REF!,#REF!,#REF!,#REF!,#REF!,#REF!</definedName>
    <definedName name="Z_41189362_3BA2_11D8_A45B_0050BAD0AF27_.wvu.FilterData" hidden="1">#REF!</definedName>
    <definedName name="Z_5203AD1A_7B30_4D23_8BAB_574B465F009B_.wvu.Cols" hidden="1">#REF!</definedName>
    <definedName name="Z_5203AD1A_7B30_4D23_8BAB_574B465F009B_.wvu.FilterData" hidden="1">#REF!</definedName>
    <definedName name="Z_5203AD1A_7B30_4D23_8BAB_574B465F009B_.wvu.PrintArea" hidden="1">#REF!</definedName>
    <definedName name="Z_5203AD1A_7B30_4D23_8BAB_574B465F009B_.wvu.PrintTitles" hidden="1">#REF!</definedName>
    <definedName name="Z_5203AD1A_7B30_4D23_8BAB_574B465F009B_.wvu.Rows" hidden="1">#REF!,#REF!,#REF!,#REF!,#REF!,#REF!,#REF!,#REF!,#REF!,#REF!,#REF!,#REF!,#REF!,#REF!,#REF!</definedName>
    <definedName name="Z_5A7E9228_36DE_4D21_B97D_BD0079B3A721_.wvu.Cols">#REF!</definedName>
    <definedName name="Z_677C6337_708E_11D3_B400_0000E21227E8_.wvu.Rows" hidden="1">#REF!</definedName>
    <definedName name="Z_6CDF3C5E_2C32_494C_95E8_E36984EAC7F7_.wvu.Cols" hidden="1">#REF!,#REF!</definedName>
    <definedName name="Z_6CDF3C5E_2C32_494C_95E8_E36984EAC7F7_.wvu.FilterData" hidden="1">#REF!</definedName>
    <definedName name="Z_6CDF3C5E_2C32_494C_95E8_E36984EAC7F7_.wvu.PrintArea" hidden="1">#REF!</definedName>
    <definedName name="Z_6CDF3C5E_2C32_494C_95E8_E36984EAC7F7_.wvu.PrintTitles" hidden="1">#REF!</definedName>
    <definedName name="Z_6CDF3C5E_2C32_494C_95E8_E36984EAC7F7_.wvu.Rows" hidden="1">#REF!,#REF!,#REF!,#REF!,#REF!,#REF!,#REF!,#REF!,#REF!,#REF!,#REF!,#REF!,#REF!,#REF!,#REF!,#REF!,#REF!,#REF!,#REF!,#REF!</definedName>
    <definedName name="Z_71FF8D21_BA76_4880_91E4_8FFF6735AE26_.wvu.FilterData" hidden="1">#REF!</definedName>
    <definedName name="Z_71FF8D21_BA76_4880_91E4_8FFF6735AE26_.wvu.PrintArea" hidden="1">#REF!</definedName>
    <definedName name="Z_84B64A4E_3B93_11D8_A9FA_000795A76771_.wvu.FilterData" hidden="1">#REF!</definedName>
    <definedName name="Z_84B64A4E_3B93_11D8_A9FA_000795A76771_.wvu.PrintArea" hidden="1">#REF!</definedName>
    <definedName name="Z_A9E730FD_F7C4_4F57_BF28_E6E30695CEEF_.wvu.Cols" hidden="1">#REF!,#REF!</definedName>
    <definedName name="Z_A9E730FD_F7C4_4F57_BF28_E6E30695CEEF_.wvu.FilterData" hidden="1">#REF!</definedName>
    <definedName name="Z_A9E730FD_F7C4_4F57_BF28_E6E30695CEEF_.wvu.PrintArea" hidden="1">#REF!</definedName>
    <definedName name="Z_A9E730FD_F7C4_4F57_BF28_E6E30695CEEF_.wvu.PrintTitles" hidden="1">#REF!</definedName>
    <definedName name="Z_A9E730FD_F7C4_4F57_BF28_E6E30695CEEF_.wvu.Rows" hidden="1">#REF!,#REF!,#REF!,#REF!,#REF!,#REF!,#REF!,#REF!,#REF!,#REF!,#REF!,#REF!,#REF!,#REF!,#REF!,#REF!,#REF!,#REF!,#REF!,#REF!,#REF!,#REF!,#REF!,#REF!,#REF!</definedName>
    <definedName name="Z_B9384B7B_3BC5_11D8_8753_00D009C9A5D3_.wvu.Cols" hidden="1">#REF!</definedName>
    <definedName name="Z_B9384B7B_3BC5_11D8_8753_00D009C9A5D3_.wvu.FilterData" hidden="1">#REF!</definedName>
    <definedName name="Z_B9384B7B_3BC5_11D8_8753_00D009C9A5D3_.wvu.PrintTitles" hidden="1">#REF!</definedName>
    <definedName name="Z_ED32C521_2B6F_11D6_9967_009027BE6DFE_.wvu.Rows" hidden="1">#REF!,#REF!,#REF!,#REF!,#REF!,#REF!,#REF!</definedName>
    <definedName name="Z_FEE6BE2E_889C_47B5_9B7C_1F3765569960_.wvu.FilterData" hidden="1">#REF!</definedName>
    <definedName name="Zara_Stores_France_as_Percentage_of_Total_Stores">#REF!</definedName>
    <definedName name="Zara_Stores_Germany_as_Percentage_of_Total_Stores">#REF!</definedName>
    <definedName name="Zara_Stores_Spain_as_Percentage_of_Total_Stores">#REF!</definedName>
    <definedName name="Zara_Stores_UK_as_Percentage_of_Total_Stores">#REF!</definedName>
    <definedName name="Zara_Stores_USA_as_Percentage_of_Total_Stores">#REF!</definedName>
    <definedName name="Zone2">#REF!</definedName>
    <definedName name="ZY">#REF!</definedName>
    <definedName name="zz" localSheetId="0" hidden="1">{"EUMOT","COMPANIES",TRUE}</definedName>
    <definedName name="zz" hidden="1">{"EUMOT","COMPANIES",TRUE}</definedName>
    <definedName name="zzz">#REF!</definedName>
    <definedName name="ㄷㄷㄷ" hidden="1">{#N/A,#N/A,FALSE,"UNIT";#N/A,#N/A,FALSE,"UNIT";#N/A,#N/A,FALSE,"계정"}</definedName>
    <definedName name="ㅁ" hidden="1">{#N/A,#N/A,FALSE,"UNIT";#N/A,#N/A,FALSE,"UNIT";#N/A,#N/A,FALSE,"계정"}</definedName>
    <definedName name="ㅁㅁㅁㅁ" hidden="1">{#N/A,#N/A,FALSE,"UNIT";#N/A,#N/A,FALSE,"UNIT";#N/A,#N/A,FALSE,"계정"}</definedName>
    <definedName name="ㅁㅁㅁㅁㅁ" hidden="1">{#N/A,#N/A,FALSE,"UNIT";#N/A,#N/A,FALSE,"UNIT";#N/A,#N/A,FALSE,"계정"}</definedName>
    <definedName name="매출">#REF!</definedName>
    <definedName name="상반기">#N/A</definedName>
    <definedName name="손익3" hidden="1">{#N/A,#N/A,FALSE,"UNIT";#N/A,#N/A,FALSE,"UNIT";#N/A,#N/A,FALSE,"계정"}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ㅇㅇ" hidden="1">{#N/A,#N/A,FALSE,"UNIT";#N/A,#N/A,FALSE,"UNIT";#N/A,#N/A,FALSE,"계정"}</definedName>
    <definedName name="오" hidden="1">{#N/A,#N/A,FALSE,"UNIT";#N/A,#N/A,FALSE,"UNIT";#N/A,#N/A,FALSE,"계정"}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인쇄01">#REF!</definedName>
    <definedName name="자" hidden="1">{#N/A,#N/A,FALSE,"UNIT";#N/A,#N/A,FALSE,"UNIT";#N/A,#N/A,FALSE,"계정"}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저저" hidden="1">{#N/A,#N/A,FALSE,"UNIT";#N/A,#N/A,FALSE,"UNIT";#N/A,#N/A,FALSE,"계정"}</definedName>
    <definedName name="전">#REF!</definedName>
    <definedName name="정" hidden="1">{#N/A,#N/A,FALSE,"UNIT";#N/A,#N/A,FALSE,"UNIT";#N/A,#N/A,FALSE,"계정"}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주차계획" hidden="1">{#N/A,#N/A,FALSE,"UNIT";#N/A,#N/A,FALSE,"UNIT";#N/A,#N/A,FALSE,"계정"}</definedName>
    <definedName name="주택사업본부">#REF!</definedName>
    <definedName name="중계젖_누계_">#N/A</definedName>
    <definedName name="중계젖_당월_">#N/A</definedName>
    <definedName name="차." hidden="1">{#N/A,#N/A,FALSE,"UNIT";#N/A,#N/A,FALSE,"UNIT";#N/A,#N/A,FALSE,"계정"}</definedName>
    <definedName name="차량SVC" hidden="1">{#N/A,#N/A,FALSE,"UNIT";#N/A,#N/A,FALSE,"UNIT";#N/A,#N/A,FALSE,"계정"}</definedName>
    <definedName name="철구사업본부">#REF!</definedName>
    <definedName name="팀별계획" hidden="1">{#N/A,#N/A,FALSE,"UNIT";#N/A,#N/A,FALSE,"UNIT";#N/A,#N/A,FALSE,"계정"}</definedName>
    <definedName name="하반기">#N/A</definedName>
    <definedName name="一">#REF!</definedName>
    <definedName name="一周开始之日">#REF!</definedName>
    <definedName name="一年内到期的长期负债_Current_portion_of_long_term_liabilities">#REF!</definedName>
    <definedName name="一年内到期的长期资产_Current_portion_of_long_term_asset">#REF!</definedName>
    <definedName name="一级功能部门描述">#REF!</definedName>
    <definedName name="一级功能部门编码">#REF!</definedName>
    <definedName name="与上月比较">HLOOKUP(MID(#REF!,1,6),#REF!,(ROW(#REF!)-ROW(#REF!))+1,0)-HLOOKUP(RIGHT(#REF!,6),#REF!,(ROW(#REF!)-ROW(#REF!))+1,0)</definedName>
    <definedName name="与年初比较">HLOOKUP(MID(#REF!,1,6),#REF!,(ROW(#REF!)-ROW(#REF!))+1,0)-HLOOKUP(RIGHT(#REF!,6),#REF!,(ROW(#REF!)-ROW(#REF!))+1,0)</definedName>
    <definedName name="与担保方关系">#REF!</definedName>
    <definedName name="专业">#REF!</definedName>
    <definedName name="专业大类">#REF!</definedName>
    <definedName name="专业大类2">#REF!</definedName>
    <definedName name="专项应付款_Long_term_payable_for_specific_projects">#REF!</definedName>
    <definedName name="专项应付款04年">#REF!</definedName>
    <definedName name="专项应付款余额表">#REF!</definedName>
    <definedName name="专项应付款明细帐">#REF!</definedName>
    <definedName name="个人借款">#REF!</definedName>
    <definedName name="个人描述类型">#REF!</definedName>
    <definedName name="中行">#REF!</definedName>
    <definedName name="主营业务成本_金额__Sales_amount">#REF!</definedName>
    <definedName name="主营业务收入">#REF!</definedName>
    <definedName name="主营业务收入_金额__Sales_amount">#REF!</definedName>
    <definedName name="主营业务收入与成本明细表">#REF!</definedName>
    <definedName name="主营业务税金及附加明细表">#REF!</definedName>
    <definedName name="二零零三年10知12月">#REF!</definedName>
    <definedName name="二零零三年1知9月">#REF!</definedName>
    <definedName name="二零零四年10知12月">#REF!</definedName>
    <definedName name="二零零四年1知9月">#REF!</definedName>
    <definedName name="二零零四年9月份余额">#REF!</definedName>
    <definedName name="产成品">#REF!</definedName>
    <definedName name="人事子范围">#REF!</definedName>
    <definedName name="人事范围">#REF!</definedName>
    <definedName name="人民币户">#REF!</definedName>
    <definedName name="从" hidden="1">{#N/A,#N/A,FALSE,"供料净化车间"}</definedName>
    <definedName name="代号">#REF!</definedName>
    <definedName name="以公允价值计量且其变动计入当期损益的金融负债_现金及现金等价物">#REF!</definedName>
    <definedName name="以公允价值计量且其变动计入当期损益的金融资产_现金及现金等价物">#REF!</definedName>
    <definedName name="任务类型">#REF!</definedName>
    <definedName name="任务类型二">#REF!</definedName>
    <definedName name="任职">#REF!</definedName>
    <definedName name="任职\任职原因">#REF!</definedName>
    <definedName name="任职模式">#REF!</definedName>
    <definedName name="休假类型">#REF!</definedName>
    <definedName name="会计分录序时簿">#REF!</definedName>
    <definedName name="会计期间">#REF!</definedName>
    <definedName name="会计科目">#REF!</definedName>
    <definedName name="住房周转金明细表">#REF!</definedName>
    <definedName name="余额表">#REF!</definedName>
    <definedName name="保养未到期">#REF!</definedName>
    <definedName name="保函押金">#REF!</definedName>
    <definedName name="信用额度">#REF!</definedName>
    <definedName name="借或贷序列">#REF!</definedName>
    <definedName name="借款" hidden="1">{#N/A,#N/A,FALSE,"970301";#N/A,#N/A,FALSE,"970302";#N/A,#N/A,FALSE,"970303";#N/A,#N/A,FALSE,"970304";#N/A,#N/A,FALSE,"COM1";#N/A,#N/A,FALSE,"COM2"}</definedName>
    <definedName name="健康状况">#REF!</definedName>
    <definedName name="儿女">#REF!</definedName>
    <definedName name="免职信息">#REF!</definedName>
    <definedName name="免职信息\免职原因">#REF!</definedName>
    <definedName name="免职信息\免职模式">#REF!</definedName>
    <definedName name="入公司途径">#REF!</definedName>
    <definedName name="公允价值变动损益_Subsidy_income">#REF!</definedName>
    <definedName name="公司发展阶段">#REF!</definedName>
    <definedName name="公司间应付北京">#REF!</definedName>
    <definedName name="公司间应付帐款RMB香">#REF!</definedName>
    <definedName name="公司间应付帐款USD香">#REF!</definedName>
    <definedName name="公司间应付帐款其他">#REF!</definedName>
    <definedName name="公司间应收帐款RMB其">#REF!</definedName>
    <definedName name="公司间应收帐款RMB深">#REF!</definedName>
    <definedName name="公司间应收帐款USD大">#REF!</definedName>
    <definedName name="公司间应收帐款USD香">#REF!</definedName>
    <definedName name="关注">#REF!</definedName>
    <definedName name="关系类型">#REF!</definedName>
    <definedName name="关系类型22">#REF!</definedName>
    <definedName name="关联关系">#REF!</definedName>
    <definedName name="关联性质">#REF!</definedName>
    <definedName name="其他">#REF!</definedName>
    <definedName name="其他业务利润明细表">#REF!</definedName>
    <definedName name="其他应交款_Other_compulsory_payable">#REF!</definedName>
    <definedName name="其他应付">#REF!</definedName>
    <definedName name="其他应付款">#REF!</definedName>
    <definedName name="其他应付款_only_for_IFRS">#REF!</definedName>
    <definedName name="其他应付款RMB其他">#REF!</definedName>
    <definedName name="其他应付款USD其他">#REF!</definedName>
    <definedName name="其他应付款分析">#REF!</definedName>
    <definedName name="其他应付款明细表">#REF!</definedName>
    <definedName name="其他应付款澳元">#REF!</definedName>
    <definedName name="其他应付美元户">#REF!</definedName>
    <definedName name="其他应收">#REF!</definedName>
    <definedName name="其他应收余额表04年">#REF!</definedName>
    <definedName name="其他应收保证金RMB">#REF!</definedName>
    <definedName name="其他应收保证金USD">#REF!</definedName>
    <definedName name="其他应收其他RMB">#REF!</definedName>
    <definedName name="其他应收分析">#REF!</definedName>
    <definedName name="其他应收员工个人">#REF!</definedName>
    <definedName name="其他应收员工借款">#REF!</definedName>
    <definedName name="其他应收款">#REF!</definedName>
    <definedName name="其他应收款_Other_receivables">#REF!</definedName>
    <definedName name="其他应收款_仅适用于IFRS_Other_receivables">#REF!</definedName>
    <definedName name="其他应收款其他RMB">#REF!</definedName>
    <definedName name="其他应收款分析">#REF!</definedName>
    <definedName name="其他应收款明细表">#REF!</definedName>
    <definedName name="其他应收款附加表">#REF!</definedName>
    <definedName name="其他未交款明细表">#REF!</definedName>
    <definedName name="其他流动资产_Other_current_asset">#REF!</definedName>
    <definedName name="其他职务职务类别">#REF!</definedName>
    <definedName name="其他設備">#REF!</definedName>
    <definedName name="其他货币资金明细表">#REF!</definedName>
    <definedName name="其他长期债权投资明细表">#REF!</definedName>
    <definedName name="其他长期股权投资明细表_成本法_">#REF!</definedName>
    <definedName name="其他长期负债明细表">#REF!</definedName>
    <definedName name="其他长期资产">#REF!</definedName>
    <definedName name="其他非流动资产_Other_non_current_asset">#REF!</definedName>
    <definedName name="其它">#REF!</definedName>
    <definedName name="其它业务利润__亏损__Other_operating_profit___loss">#REF!</definedName>
    <definedName name="内容">#REF!</definedName>
    <definedName name="内部往来DL设备款">#REF!</definedName>
    <definedName name="军衔">#REF!</definedName>
    <definedName name="净_利_润93">#REF!</definedName>
    <definedName name="净_利_润94">#REF!</definedName>
    <definedName name="净_利_润95">#REF!</definedName>
    <definedName name="净资产合计93期初">#REF!</definedName>
    <definedName name="净资产合计93期末">#REF!</definedName>
    <definedName name="净资产合计94期初">#REF!</definedName>
    <definedName name="净资产合计94期末">#REF!</definedName>
    <definedName name="净资产合计95期初">#REF!</definedName>
    <definedName name="净资产合计95期末">#REF!</definedName>
    <definedName name="出国目的">#REF!</definedName>
    <definedName name="出境登记备案人员">#REF!</definedName>
    <definedName name="出生省份">#REF!</definedName>
    <definedName name="刊物级别">#REF!</definedName>
    <definedName name="刊物级别22">#REF!</definedName>
    <definedName name="利_润_总_额93">#REF!</definedName>
    <definedName name="利_润_总_额94">#REF!</definedName>
    <definedName name="利_润_总_额95">#REF!</definedName>
    <definedName name="利息总额">#REF!</definedName>
    <definedName name="利息支出">#REF!</definedName>
    <definedName name="利手">#REF!</definedName>
    <definedName name="利润">#REF!</definedName>
    <definedName name="利润表" hidden="1">#REF!</definedName>
    <definedName name="利润表_P_L">#REF!</definedName>
    <definedName name="利率类型">#REF!</definedName>
    <definedName name="制本月">OFFSET(#REF!,0,MONTH(#REF!)-1)</definedName>
    <definedName name="制累计">SUM(#REF!:OFFSET(#REF!,0,MONTH(#REF!)-1))</definedName>
    <definedName name="制造费Q4">#REF!</definedName>
    <definedName name="北京盈视云图">#REF!</definedName>
    <definedName name="区域编码">#REF!</definedName>
    <definedName name="华南一部费用表" hidden="1">{"'毛利比较'!$A$4:$P$26"}</definedName>
    <definedName name="华夏银行">#REF!</definedName>
    <definedName name="单位">#REF!</definedName>
    <definedName name="原店">OFFSET(#REF!,0,1,1,12)</definedName>
    <definedName name="原材料1">#REF!</definedName>
    <definedName name="发大">#REF!</definedName>
    <definedName name="发票序时簿">#REF!</definedName>
    <definedName name="可供出售金融资产_Long_term_equity_investment">#REF!</definedName>
    <definedName name="可能性">#REF!</definedName>
    <definedName name="合同期限类型">#REF!</definedName>
    <definedName name="合同状态">#REF!</definedName>
    <definedName name="合同类型">#REF!</definedName>
    <definedName name="合同编号">#REF!</definedName>
    <definedName name="合并价差明细表">#REF!</definedName>
    <definedName name="名称">#REF!</definedName>
    <definedName name="员工子组">#REF!</definedName>
    <definedName name="员工组">#REF!</definedName>
    <definedName name="商品进销存报表">#REF!</definedName>
    <definedName name="商行672352">#REF!</definedName>
    <definedName name="商誉_Goodwill">#REF!</definedName>
    <definedName name="啊2">#REF!</definedName>
    <definedName name="啊啊6">#REF!</definedName>
    <definedName name="固定">#REF!</definedName>
    <definedName name="固定资产">#REF!</definedName>
    <definedName name="固定资产_合计_Fixed_assets_Total">#REF!</definedName>
    <definedName name="固定资产_土地使用权_Fixed_assets__land_use_right">#REF!</definedName>
    <definedName name="固定资产1">#REF!</definedName>
    <definedName name="固定资产卡片">#REF!</definedName>
    <definedName name="固定资产原值明细表">#REF!</definedName>
    <definedName name="固定资产折旧表">#REF!</definedName>
    <definedName name="固定资产清单">#REF!</definedName>
    <definedName name="固定资产清理_Fixed_assets_pending_for_disposal">#REF!</definedName>
    <definedName name="国家代码">#REF!</definedName>
    <definedName name="国家代码1">#REF!</definedName>
    <definedName name="国家代码2">#REF!</definedName>
    <definedName name="国家干部级别">#REF!</definedName>
    <definedName name="国籍">#REF!</definedName>
    <definedName name="在建工程_Construction_in_progress">#REF!</definedName>
    <definedName name="在建工程明细表">#REF!</definedName>
    <definedName name="地址子类型">#REF!</definedName>
    <definedName name="坏帐准备明细表">#REF!</definedName>
    <definedName name="培训渠道">#REF!</definedName>
    <definedName name="培训类型">#REF!</definedName>
    <definedName name="备用" hidden="1">{#N/A,#N/A,FALSE,"OffAdvance";#N/A,#N/A,FALSE,"OffExpRprt";#N/A,#N/A,FALSE,"Entertmnt";#N/A,#N/A,FALSE,"Promotion";#N/A,#N/A,FALSE,"Travelling"}</definedName>
    <definedName name="外购入库序时簿">#REF!</definedName>
    <definedName name="多">#REF!</definedName>
    <definedName name="大多数">#REF!</definedName>
    <definedName name="大客户部">#REF!</definedName>
    <definedName name="大法师">#REF!</definedName>
    <definedName name="大连规划局">#REF!</definedName>
    <definedName name="奖励大类">#REF!</definedName>
    <definedName name="奖励种类">#REF!</definedName>
    <definedName name="奖励类型">#REF!</definedName>
    <definedName name="奖励级别">#REF!</definedName>
    <definedName name="奖励级别1">#REF!</definedName>
    <definedName name="委托加工">#REF!</definedName>
    <definedName name="婚姻状况">#REF!</definedName>
    <definedName name="子类型">#REF!</definedName>
    <definedName name="孕产类型">#REF!</definedName>
    <definedName name="存货">#REF!</definedName>
    <definedName name="存货_Inventory">#REF!</definedName>
    <definedName name="存货93期初">#REF!</definedName>
    <definedName name="存货93期末">#REF!</definedName>
    <definedName name="存货94期初">#REF!</definedName>
    <definedName name="存货94期末">#REF!</definedName>
    <definedName name="存货95期初">#REF!</definedName>
    <definedName name="存货95期末">#REF!</definedName>
    <definedName name="存货收发存汇总表">#REF!</definedName>
    <definedName name="存货明细_乙">#REF!</definedName>
    <definedName name="存货明细表">#REF!</definedName>
    <definedName name="季度1">#REF!</definedName>
    <definedName name="季度表">OR(MONTH(#REF!)=3,MONTH(#REF!)=6,MONTH(#REF!)=9)</definedName>
    <definedName name="学位名称">#REF!</definedName>
    <definedName name="学历">#REF!</definedName>
    <definedName name="学历类型">#REF!</definedName>
    <definedName name="安全培训总价">#REF!</definedName>
    <definedName name="安装未到期">#REF!</definedName>
    <definedName name="安装质保未到期">#REF!</definedName>
    <definedName name="安装费到期">#REF!</definedName>
    <definedName name="完工产品">#REF!</definedName>
    <definedName name="完美" hidden="1">{#N/A,#N/A,FALSE,"Marketing";#N/A,#N/A,FALSE,"Selling";#N/A,#N/A,FALSE,"Promotional";#N/A,#N/A,FALSE,"Advertising"}</definedName>
    <definedName name="客户科目明细帐">#REF!</definedName>
    <definedName name="对">#REF!</definedName>
    <definedName name="对应的工资类型">#REF!</definedName>
    <definedName name="对象类型">#REF!</definedName>
    <definedName name="就会" hidden="1">{"'Demand Units'!$Z$2:$AF$53"}</definedName>
    <definedName name="属性">#REF!</definedName>
    <definedName name="峨峨阿" hidden="1">{#N/A,#N/A,FALSE,"供料净化车间"}</definedName>
    <definedName name="巍">#REF!</definedName>
    <definedName name="工2000.dbf">#REF!</definedName>
    <definedName name="工作日">{"星期一","星期二","星期三","星期四","星期五","星期六","星期日"}</definedName>
    <definedName name="工程公司">#REF!</definedName>
    <definedName name="工程物资明细表">#REF!</definedName>
    <definedName name="工程类型">#REF!</definedName>
    <definedName name="工资范围">#REF!</definedName>
    <definedName name="年初应收票据">#REF!</definedName>
    <definedName name="年初短期投资">#REF!</definedName>
    <definedName name="年初货币资金">#REF!</definedName>
    <definedName name="广发">#REF!</definedName>
    <definedName name="广发银行">#REF!</definedName>
    <definedName name="序号">#REF!</definedName>
    <definedName name="应交税金_Tax_payable">#REF!</definedName>
    <definedName name="应交税金明细表">#REF!</definedName>
    <definedName name="应付LGOTIS美金">#REF!</definedName>
    <definedName name="应付予付分析">#REF!</definedName>
    <definedName name="应付借方">#REF!</definedName>
    <definedName name="应付债券明细表">#REF!</definedName>
    <definedName name="应付利息_Interest_payable">#REF!</definedName>
    <definedName name="应付工资、奖金、津贴和补贴_Salary_payable">#REF!</definedName>
    <definedName name="应付帐款分析">#REF!</definedName>
    <definedName name="应付帐款咨询费">#REF!</definedName>
    <definedName name="应付帐款明细表">#REF!</definedName>
    <definedName name="应付票据_Bills_payable">#REF!</definedName>
    <definedName name="应付票据明细表">#REF!</definedName>
    <definedName name="应付福利费_Staff_welfare_payable">#REF!</definedName>
    <definedName name="应付类描述">#REF!</definedName>
    <definedName name="应付职工薪酬">#REF!</definedName>
    <definedName name="应付职工薪酬_Staff_cost_payable">#REF!</definedName>
    <definedName name="应付股利_Dividend_payable">#REF!</definedName>
    <definedName name="应付股利明细表">#REF!</definedName>
    <definedName name="应付账款">#REF!</definedName>
    <definedName name="应付账款_Accounts_Payable">#REF!</definedName>
    <definedName name="应付贷">#REF!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应收_付关联方款_Amount_due_from_due_to_RPT">#REF!</definedName>
    <definedName name="应收予收分析">#REF!</definedName>
    <definedName name="应收利息">#REF!</definedName>
    <definedName name="应收利息_Interest_receivable">#REF!</definedName>
    <definedName name="应收利息明细表">#REF!</definedName>
    <definedName name="应收到期">#REF!</definedName>
    <definedName name="应收味道">#REF!</definedName>
    <definedName name="应收安装费未到期">#REF!</definedName>
    <definedName name="应收帐款">#REF!</definedName>
    <definedName name="应收帐款93期初">#REF!</definedName>
    <definedName name="应收帐款93期末">#REF!</definedName>
    <definedName name="应收帐款94期初">#REF!</definedName>
    <definedName name="应收帐款94期末">#REF!</definedName>
    <definedName name="应收帐款95期初">#REF!</definedName>
    <definedName name="应收帐款95期末">#REF!</definedName>
    <definedName name="应收帐款分析">#REF!</definedName>
    <definedName name="应收帐款安装费到期">#REF!</definedName>
    <definedName name="应收帐款明细表">#REF!</definedName>
    <definedName name="应收票据明细表">#REF!</definedName>
    <definedName name="应收类描述">#REF!</definedName>
    <definedName name="应收维护保养到期">#REF!</definedName>
    <definedName name="应收维护保养未到期">#REF!</definedName>
    <definedName name="应收股利_Dividend_receivable">#REF!</definedName>
    <definedName name="应收股利明细表">#REF!</definedName>
    <definedName name="应收补贴款_Subsidy_receivable">#REF!</definedName>
    <definedName name="应收补贴款明细表">#REF!</definedName>
    <definedName name="应收账款_Accounts_receivable">#REF!</definedName>
    <definedName name="应收账款人民币户借">#REF!</definedName>
    <definedName name="应收账款美元户借">#REF!</definedName>
    <definedName name="应收项目设备款">#REF!</definedName>
    <definedName name="庫存成" hidden="1">#REF!</definedName>
    <definedName name="开办费明细表">#REF!</definedName>
    <definedName name="开间费">#REF!</definedName>
    <definedName name="式">#REF!</definedName>
    <definedName name="当前明细账">#REF!</definedName>
    <definedName name="待处理固定资产净损失明细表">#REF!</definedName>
    <definedName name="待处理流动资产净损失明细表">#REF!</definedName>
    <definedName name="待摊费用_Deferred_expenses">#REF!</definedName>
    <definedName name="待摊费用明细表">#REF!</definedName>
    <definedName name="性别">#REF!</definedName>
    <definedName name="总帐.dbf">#REF!</definedName>
    <definedName name="总账">#REF!</definedName>
    <definedName name="惩罚类型">#REF!</definedName>
    <definedName name="成本差" hidden="1">#REF!</definedName>
    <definedName name="成本计算单_汇总显示_">#REF!</definedName>
    <definedName name="成果类型">#REF!</definedName>
    <definedName name="成果级别">#REF!</definedName>
    <definedName name="我">#REF!</definedName>
    <definedName name="戴尔">#REF!</definedName>
    <definedName name="户口类别">#REF!</definedName>
    <definedName name="户口类别1">#REF!</definedName>
    <definedName name="才撒放dfadgf">#REF!</definedName>
    <definedName name="执照级别">#REF!</definedName>
    <definedName name="投资收益_Investment_income">#REF!</definedName>
    <definedName name="投资收益明细表">#REF!</definedName>
    <definedName name="折让">#REF!</definedName>
    <definedName name="报表层级">#REF!</definedName>
    <definedName name="拓展">#REF!</definedName>
    <definedName name="招海">#REF!</definedName>
    <definedName name="招聘成绩子类型">#REF!</definedName>
    <definedName name="招行">#REF!</definedName>
    <definedName name="招行北苑">#REF!</definedName>
    <definedName name="损益">#REF!</definedName>
    <definedName name="控制柜1">#REF!</definedName>
    <definedName name="控制柜2">#REF!</definedName>
    <definedName name="支出">#REF!</definedName>
    <definedName name="收入1">#REF!</definedName>
    <definedName name="收入明细表">#REF!</definedName>
    <definedName name="收入明细表2">#REF!</definedName>
    <definedName name="政治面貌">#REF!</definedName>
    <definedName name="政治面貌2">#REF!</definedName>
    <definedName name="教育方式">#REF!</definedName>
    <definedName name="数量金额总账">#REF!</definedName>
    <definedName name="数量金额明细账">#REF!</definedName>
    <definedName name="文化程度">#REF!</definedName>
    <definedName name="新">#REF!</definedName>
    <definedName name="新目录3" hidden="1">{"'Demand Units'!$Z$2:$AF$53"}</definedName>
    <definedName name="方法">#REF!</definedName>
    <definedName name="无对应明细表的报表项目">#REF!</definedName>
    <definedName name="无形资产">#REF!</definedName>
    <definedName name="无形资产.dbf">#REF!</definedName>
    <definedName name="无形资产_土地使用权_Intangible_assets_land_use_right">#REF!</definedName>
    <definedName name="无形资产余额表05年">#REF!</definedName>
    <definedName name="无形资产合计_Total_intangible_assets">#REF!</definedName>
    <definedName name="无形资产明细表">#REF!</definedName>
    <definedName name="无货源号">#REF!</definedName>
    <definedName name="日">{0,1,2,3,4,5,6}</definedName>
    <definedName name="日期类型">#REF!</definedName>
    <definedName name="明细分类账">#REF!</definedName>
    <definedName name="明细表">#REF!</definedName>
    <definedName name="星讯8月费用">#REF!</definedName>
    <definedName name="星讯9月费用明细">#REF!</definedName>
    <definedName name="星讯人工费">#REF!</definedName>
    <definedName name="星讯实施费">#REF!</definedName>
    <definedName name="星讯材料费">#REF!</definedName>
    <definedName name="是否">#REF!</definedName>
    <definedName name="是否1003">#REF!</definedName>
    <definedName name="是否初始学位">#REF!</definedName>
    <definedName name="是否初始学历">#REF!</definedName>
    <definedName name="是否在编">#REF!</definedName>
    <definedName name="是否审核">#REF!</definedName>
    <definedName name="是否最高学位">#REF!</definedName>
    <definedName name="是否最高学历">#REF!</definedName>
    <definedName name="是否紧急联络人">#REF!</definedName>
    <definedName name="是或否序列">#REF!</definedName>
    <definedName name="更改原因">#REF!</definedName>
    <definedName name="更改原因0532">#REF!</definedName>
    <definedName name="最低学历">#REF!</definedName>
    <definedName name="月">{"1月","2月","3月","4月","5月","6月","7月","8月","9月","10月","11月","12月"}</definedName>
    <definedName name="月份">MONTH(#REF!)</definedName>
    <definedName name="月底">#REF!</definedName>
    <definedName name="月度确认">#N/A</definedName>
    <definedName name="有效税率2017">#REF!</definedName>
    <definedName name="期初在产品成本">#REF!</definedName>
    <definedName name="期货会员资格投资明细表">#REF!</definedName>
    <definedName name="未交税金明细表">#REF!</definedName>
    <definedName name="未完工合同成本其他">#REF!</definedName>
    <definedName name="本年利润">#REF!</definedName>
    <definedName name="本月">OFFSET(#REF!,,月份-1)-OFFSET(#REF!,,月份-2)</definedName>
    <definedName name="本月内部交易">OFFSET(#REF!,0,MONTH(#REF!)-1)</definedName>
    <definedName name="本月内部其他交易">OFFSET(#REF!,0,MONTH(#REF!)-1)</definedName>
    <definedName name="本月威尚交易">OFFSET(#REF!,0,MONTH(#REF!)-1)</definedName>
    <definedName name="本月威尚其他交易">OFFSET(#REF!,0,MONTH(#REF!)-1)</definedName>
    <definedName name="来广核途径">#REF!</definedName>
    <definedName name="来日">#REF!</definedName>
    <definedName name="枯" hidden="1">#REF!</definedName>
    <definedName name="核电站">#REF!</definedName>
    <definedName name="核算项目余额表">#REF!</definedName>
    <definedName name="核算项目明细表">#REF!</definedName>
    <definedName name="核算项目明细账">#REF!</definedName>
    <definedName name="核算项目汇总表">#REF!</definedName>
    <definedName name="档案存放单位">#REF!</definedName>
    <definedName name="档案类别">#REF!</definedName>
    <definedName name="梅兰日兰UPS">{"'Sheet1'!$A$1:$J$57","'Sheet1'!$F$32:$F$35","'Sheet1'!$F$32:$F$36"}</definedName>
    <definedName name="棕" hidden="1">{"'毛利比较'!$A$4:$P$26"}</definedName>
    <definedName name="機器設備">#REF!</definedName>
    <definedName name="欧时力">#REF!</definedName>
    <definedName name="母语语种">#REF!</definedName>
    <definedName name="每月确认">#N/A</definedName>
    <definedName name="比例">#REF!</definedName>
    <definedName name="比较">#REF!</definedName>
    <definedName name="毛冷盤點">#REF!</definedName>
    <definedName name="民族">#REF!</definedName>
    <definedName name="民族2">#REF!</definedName>
    <definedName name="民生银行">#REF!</definedName>
    <definedName name="汇众05年摊消房租">#REF!</definedName>
    <definedName name="汇率">#REF!</definedName>
    <definedName name="沈玉环">#REF!</definedName>
    <definedName name="活动总结" hidden="1">#REF!</definedName>
    <definedName name="流_动_资_产93">#REF!</definedName>
    <definedName name="流_动_资_产94">#REF!</definedName>
    <definedName name="流_动_资_产95">#REF!</definedName>
    <definedName name="流动负债93期末">#REF!</definedName>
    <definedName name="流动负债94期末">#REF!</definedName>
    <definedName name="流动负债95期末">#REF!</definedName>
    <definedName name="淨額差" hidden="1">#REF!</definedName>
    <definedName name="灵图WINCE电子地图软">#REF!</definedName>
    <definedName name="灵图人工成本">#REF!</definedName>
    <definedName name="灵图免税产品成本">#REF!</definedName>
    <definedName name="灵图商品成本">#REF!</definedName>
    <definedName name="灵图商品收入">#REF!</definedName>
    <definedName name="灵图实施成本">#REF!</definedName>
    <definedName name="灵图技术服务收入">#REF!</definedName>
    <definedName name="灵图收入">#REF!</definedName>
    <definedName name="灵图材料费用">#REF!</definedName>
    <definedName name="灵图软件">#REF!</definedName>
    <definedName name="灵图退税收入">#REF!</definedName>
    <definedName name="灵图销售成本">#REF!</definedName>
    <definedName name="灵图非退税软件成本">#REF!</definedName>
    <definedName name="特殊规则">#REF!</definedName>
    <definedName name="环太">#REF!</definedName>
    <definedName name="现款出货单">#REF!</definedName>
    <definedName name="现金明细表">#REF!</definedName>
    <definedName name="生产列1">#REF!</definedName>
    <definedName name="生产列1000">#REF!</definedName>
    <definedName name="生产列11">#REF!</definedName>
    <definedName name="生产列15">#REF!</definedName>
    <definedName name="生产列16">#REF!</definedName>
    <definedName name="生产列17">#REF!</definedName>
    <definedName name="生产列18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生生世世" hidden="1">{#N/A,#N/A,FALSE,"供料净化车间"}</definedName>
    <definedName name="的217">#REF!</definedName>
    <definedName name="盈余公积明细表">#REF!</definedName>
    <definedName name="盤點">#REF!</definedName>
    <definedName name="相关对象类型">#REF!</definedName>
    <definedName name="相关对象类型2">#REF!</definedName>
    <definedName name="省份">#REF!</definedName>
    <definedName name="省份1">#REF!</definedName>
    <definedName name="短期借款">#REF!</definedName>
    <definedName name="短期借款_Short_term_loan">#REF!</definedName>
    <definedName name="短期借款明细表">#REF!</definedName>
    <definedName name="短期投资_债券_明细表">#REF!</definedName>
    <definedName name="短期投资_其他_明细表">#REF!</definedName>
    <definedName name="短期投资_股票_明细表">#REF!</definedName>
    <definedName name="短期投资明细表">#REF!</definedName>
    <definedName name="短期投资跌价损失准备明细表">#REF!</definedName>
    <definedName name="社会保险费">#REF!</definedName>
    <definedName name="科技开发成本人工费0">#REF!</definedName>
    <definedName name="科目">#REF!</definedName>
    <definedName name="科目一览表">#REF!</definedName>
    <definedName name="科目余额表">#REF!</definedName>
    <definedName name="科目余额表2">#REF!</definedName>
    <definedName name="科目余额表3">#REF!</definedName>
    <definedName name="科目列表序列">#REF!</definedName>
    <definedName name="科目名称">#REF!</definedName>
    <definedName name="空缺状态">#REF!</definedName>
    <definedName name="竟品" hidden="1">#REF!</definedName>
    <definedName name="签证类型">#REF!</definedName>
    <definedName name="管本月">OFFSET(#REF!,0,MONTH(#REF!)-1)</definedName>
    <definedName name="管理费中介机构费用">#REF!</definedName>
    <definedName name="管理费用">#REF!</definedName>
    <definedName name="管理费用_General_and_administrative_expense">#REF!</definedName>
    <definedName name="管理费用96">#REF!</definedName>
    <definedName name="管理费用97">#REF!</definedName>
    <definedName name="管理费用其他">#REF!</definedName>
    <definedName name="管理费用房租">#REF!</definedName>
    <definedName name="管理费用明细表">#REF!</definedName>
    <definedName name="类别">#REF!</definedName>
    <definedName name="类别2">#REF!</definedName>
    <definedName name="类型">#REF!</definedName>
    <definedName name="累计内部其他">SUM(#REF!:OFFSET(#REF!,0,MONTH(#REF!)-1))</definedName>
    <definedName name="累计内部购买">SUM(#REF!:OFFSET(#REF!,0,MONTH(#REF!)-1))</definedName>
    <definedName name="累计内部销售">SUM(#REF!:OFFSET(#REF!,0,MONTH(#REF!)-1))</definedName>
    <definedName name="累计威尚其他">SUM(#REF!:OFFSET(#REF!,0,MONTH(#REF!)-1))</definedName>
    <definedName name="累计威尚购买">SUM(#REF!:OFFSET(#REF!,0,MONTH(#REF!)-1))</definedName>
    <definedName name="累计威尚销售">SUM(#REF!:OFFSET(#REF!,0,MONTH(#REF!)-1))</definedName>
    <definedName name="累计折旧">#REF!</definedName>
    <definedName name="累计折旧明细表">#REF!</definedName>
    <definedName name="级别">#REF!</definedName>
    <definedName name="级别2">#REF!</definedName>
    <definedName name="美元户">#REF!</definedName>
    <definedName name="考核类型">#REF!</definedName>
    <definedName name="考核类型2">#REF!</definedName>
    <definedName name="考核结果">#REF!</definedName>
    <definedName name="职位">#REF!</definedName>
    <definedName name="职位1">#REF!</definedName>
    <definedName name="职位层级">#REF!</definedName>
    <definedName name="职位序列">#REF!</definedName>
    <definedName name="职务">#REF!</definedName>
    <definedName name="职务序列">#REF!</definedName>
    <definedName name="职务类别">#REF!</definedName>
    <definedName name="职务类别1">#REF!</definedName>
    <definedName name="股本明细表">#REF!</definedName>
    <definedName name="腌2">#REF!</definedName>
    <definedName name="节育证明措施">#REF!</definedName>
    <definedName name="营业外支出_Non_operating_expense">#REF!</definedName>
    <definedName name="营业外支出明细表">#REF!</definedName>
    <definedName name="营业外收入_Non_operating_income">#REF!</definedName>
    <definedName name="营业外收入明细表">#REF!</definedName>
    <definedName name="营业税金及附加_Business_tax_and_surcharge">#REF!</definedName>
    <definedName name="营业费用2">#REF!</definedName>
    <definedName name="营业费用明细表">#REF!</definedName>
    <definedName name="营本月">OFFSET(#REF!,0,MONTH(#REF!)-1)</definedName>
    <definedName name="营累计">SUM(#REF!:OFFSET(#REF!,0,MONTH(#REF!)-1))</definedName>
    <definedName name="薪资体系">#REF!</definedName>
    <definedName name="薪资体系类型">#REF!</definedName>
    <definedName name="血型">#REF!</definedName>
    <definedName name="行业大类">#REF!</definedName>
    <definedName name="行业大类2">#REF!</definedName>
    <definedName name="行政事务">#REF!</definedName>
    <definedName name="行政事务\职务序列层级">#REF!</definedName>
    <definedName name="补贴收入明细表">#REF!</definedName>
    <definedName name="西安" hidden="1">#REF!</definedName>
    <definedName name="西安1" hidden="1">#REF!</definedName>
    <definedName name="西安2" hidden="1">#REF!</definedName>
    <definedName name="西安3" hidden="1">#REF!</definedName>
    <definedName name="要">#REF!</definedName>
    <definedName name="解决" hidden="1">{"Monthly6Q",#N/A,FALSE,"0614ESL"}</definedName>
    <definedName name="计划生育证件类型">#REF!</definedName>
    <definedName name="订单174">#REF!</definedName>
    <definedName name="订单产品信息">#REF!</definedName>
    <definedName name="设备">#REF!</definedName>
    <definedName name="证件类型">#REF!</definedName>
    <definedName name="证件类型2">#REF!</definedName>
    <definedName name="试验" hidden="1">{#N/A,#N/A,FALSE,"OffAdvance";#N/A,#N/A,FALSE,"OffExpRprt";#N/A,#N/A,FALSE,"Travelling";#N/A,#N/A,FALSE,"Entertmnt";#N/A,#N/A,FALSE,"Promotion"}</definedName>
    <definedName name="负债">#REF!</definedName>
    <definedName name="负债合计93期末">#REF!</definedName>
    <definedName name="负债合计94期末">#REF!</definedName>
    <definedName name="负债合计95期末">#REF!</definedName>
    <definedName name="财务费用">#REF!</definedName>
    <definedName name="财务费用_Finance_expense">#REF!</definedName>
    <definedName name="财务费用明细表">#REF!</definedName>
    <definedName name="财本月">OFFSET(#REF!,0,MONTH(#REF!)-1)</definedName>
    <definedName name="账龄分析">#REF!</definedName>
    <definedName name="货币资金1">#REF!</definedName>
    <definedName name="贵州好家庭">#REF!</definedName>
    <definedName name="贷款类型">#REF!</definedName>
    <definedName name="费用" hidden="1">#REF!</definedName>
    <definedName name="费用供应商">#REF!</definedName>
    <definedName name="费用明细_财务">#REF!</definedName>
    <definedName name="费用明细_财务费用">#REF!</definedName>
    <definedName name="资产">#REF!</definedName>
    <definedName name="资产减值损失_Impairment_loss">#REF!</definedName>
    <definedName name="资产合计93期初">#REF!</definedName>
    <definedName name="资产合计93期末">#REF!</definedName>
    <definedName name="资产合计94期初">#REF!</definedName>
    <definedName name="资产合计94期末">#REF!</definedName>
    <definedName name="资产合计95期初">#REF!</definedName>
    <definedName name="资产合计95期末">#REF!</definedName>
    <definedName name="资产负债表_B_S">#REF!</definedName>
    <definedName name="资本公积明细表">#REF!</definedName>
    <definedName name="资格类别">#REF!</definedName>
    <definedName name="资格类别1">#REF!</definedName>
    <definedName name="资格类别2">#REF!</definedName>
    <definedName name="资格级别">#REF!</definedName>
    <definedName name="趨勢" hidden="1">#REF!</definedName>
    <definedName name="软件开发成本借方">#REF!</definedName>
    <definedName name="达到">#REF!</definedName>
    <definedName name="运营公司">#REF!</definedName>
    <definedName name="进一步确认">#REF!</definedName>
    <definedName name="退出类型">#REF!</definedName>
    <definedName name="退税软件成本">#REF!</definedName>
    <definedName name="递延所得税负债_Deferred_tax_liabilities">#REF!</definedName>
    <definedName name="递延所得税资产_Deferred_tax_assets">#REF!</definedName>
    <definedName name="通讯类型">#REF!</definedName>
    <definedName name="通讯类型1">#REF!</definedName>
    <definedName name="速_动_资_产93">#REF!</definedName>
    <definedName name="速_动_资_产94">#REF!</definedName>
    <definedName name="速_动_资_产95">#REF!</definedName>
    <definedName name="運輸設備">#REF!</definedName>
    <definedName name="部门制费" hidden="1">{"'毛利比较'!$A$4:$P$26"}</definedName>
    <definedName name="部门层级">#REF!</definedName>
    <definedName name="采购明细表2">#REF!</definedName>
    <definedName name="金额表.dbf">#REF!</definedName>
    <definedName name="金额表2.dbf">#REF!</definedName>
    <definedName name="金额表3.dbf">#REF!</definedName>
    <definedName name="银行">#REF!</definedName>
    <definedName name="银行余额调节表">#REF!</definedName>
    <definedName name="银行存款明细表">#REF!</definedName>
    <definedName name="银行定期存款_仅适用于IFRS">#REF!</definedName>
    <definedName name="银行承汇">#REF!</definedName>
    <definedName name="银行账号类型">#REF!</definedName>
    <definedName name="销售报表明细表">#REF!</definedName>
    <definedName name="销售收入_Sales_quantities__金额__Sales_amount">#REF!</definedName>
    <definedName name="销售费用_Selling_expense">#REF!</definedName>
    <definedName name="销售费用多栏明细账">#REF!</definedName>
    <definedName name="长征宇通">#REF!</definedName>
    <definedName name="长期借款">#REF!</definedName>
    <definedName name="长期借款_Long_term_loans">#REF!</definedName>
    <definedName name="长期借款明细表">#REF!</definedName>
    <definedName name="长期债券投资明细表">#REF!</definedName>
    <definedName name="长期应付款_Other_long_term_payable">#REF!</definedName>
    <definedName name="长期应付款明细表">#REF!</definedName>
    <definedName name="长期待摊费用_其他_Long_term_deferred_expense_others">#REF!</definedName>
    <definedName name="长期待摊费用合计_Total_long_term_deferred_expense">#REF!</definedName>
    <definedName name="长期待摊费用明细表">#REF!</definedName>
    <definedName name="长期投资明细表">#REF!</definedName>
    <definedName name="长期股权投资_Long_term_equity_investment">#REF!</definedName>
    <definedName name="长期股权投资明细表_权益法_">#REF!</definedName>
    <definedName name="长期股票投资明细表_成本法_">#REF!</definedName>
    <definedName name="长短期">#REF!</definedName>
    <definedName name="阿">#REF!</definedName>
    <definedName name="附注">#REF!</definedName>
    <definedName name="集团内公司名称">#REF!</definedName>
    <definedName name="集团内销售类别">#REF!</definedName>
    <definedName name="電子設備">#REF!</definedName>
    <definedName name="青岛" hidden="1">#REF!</definedName>
    <definedName name="非流动递延资产_Long_term_deferred_assets">#REF!</definedName>
    <definedName name="非退税软件产品收入">#REF!</definedName>
    <definedName name="面积">#REF!</definedName>
    <definedName name="项目公司编码">#REF!</definedName>
    <definedName name="预付.dbf">#REF!</definedName>
    <definedName name="预付咨询费">#REF!</definedName>
    <definedName name="预付帐款明细表">#REF!</definedName>
    <definedName name="预付帐龄分析">#REF!</definedName>
    <definedName name="预付材料款">#REF!</definedName>
    <definedName name="预付账款_Payments_in_advance">#REF!</definedName>
    <definedName name="预提费用_Accrued_expenses">#REF!</definedName>
    <definedName name="预提费用明细表">#REF!</definedName>
    <definedName name="预收">#REF!</definedName>
    <definedName name="预收.dbf">#REF!</definedName>
    <definedName name="预收帐款" hidden="1">#REF!</definedName>
    <definedName name="预收帐款2">#REF!</definedName>
    <definedName name="预收帐款3">#REF!</definedName>
    <definedName name="预收帐款4">#REF!</definedName>
    <definedName name="预收帐款RMB租金">#REF!</definedName>
    <definedName name="预收帐款其他">#REF!</definedName>
    <definedName name="预收帐款应收未收款">#REF!</definedName>
    <definedName name="预收帐款新设备安装">#REF!</definedName>
    <definedName name="预收帐款新设备设备">#REF!</definedName>
    <definedName name="预收帐款设备RMB">#REF!</definedName>
    <definedName name="预收账款_Receipts_in_advance">#REF!</definedName>
    <definedName name="预收货款明细表">#REF!</definedName>
    <definedName name="预计负债_Provision">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1" i="3" l="1"/>
  <c r="A425" i="3"/>
  <c r="E37" i="5"/>
  <c r="F37" i="5"/>
  <c r="G37" i="5"/>
  <c r="D13" i="4"/>
  <c r="E13" i="4"/>
  <c r="F13" i="4"/>
  <c r="G13" i="4"/>
  <c r="H48" i="2"/>
  <c r="A33" i="2" l="1"/>
  <c r="A30" i="2"/>
  <c r="A32" i="2"/>
  <c r="A34" i="2"/>
  <c r="A29" i="2"/>
  <c r="A27" i="2"/>
  <c r="A26" i="2"/>
  <c r="A25" i="2"/>
  <c r="A24" i="2"/>
  <c r="A23" i="2"/>
  <c r="A315" i="2"/>
  <c r="A316" i="2"/>
  <c r="A314" i="2"/>
  <c r="H21" i="2"/>
  <c r="E2" i="3"/>
  <c r="F2" i="3" s="1"/>
  <c r="G2" i="3" s="1"/>
  <c r="H2" i="3" s="1"/>
  <c r="D2" i="3"/>
  <c r="A18" i="2"/>
  <c r="A21" i="2"/>
  <c r="A15" i="2"/>
  <c r="A13" i="2"/>
  <c r="A11" i="2"/>
  <c r="A9" i="2"/>
  <c r="A538" i="3"/>
  <c r="A180" i="3"/>
  <c r="A188" i="3"/>
  <c r="A189" i="3"/>
  <c r="A190" i="3"/>
  <c r="A187" i="3"/>
  <c r="A384" i="3"/>
  <c r="G10" i="3"/>
  <c r="A36" i="3"/>
  <c r="A35" i="3"/>
  <c r="G35" i="3"/>
  <c r="H189" i="3"/>
  <c r="O189" i="3" s="1"/>
  <c r="E67" i="5"/>
  <c r="G62" i="5"/>
  <c r="F62" i="5"/>
  <c r="E62" i="5"/>
  <c r="D62" i="5"/>
  <c r="H59" i="5"/>
  <c r="H51" i="4" s="1"/>
  <c r="I51" i="4" s="1"/>
  <c r="J51" i="4" s="1"/>
  <c r="G47" i="5"/>
  <c r="F47" i="5"/>
  <c r="E47" i="5"/>
  <c r="D47" i="5"/>
  <c r="J40" i="5"/>
  <c r="I40" i="5"/>
  <c r="H40" i="5"/>
  <c r="G22" i="5"/>
  <c r="F22" i="5"/>
  <c r="E22" i="5"/>
  <c r="D22" i="5"/>
  <c r="J10" i="5"/>
  <c r="I10" i="5"/>
  <c r="H10" i="5"/>
  <c r="J7" i="5"/>
  <c r="I7" i="5"/>
  <c r="H7" i="5"/>
  <c r="G186" i="4"/>
  <c r="G184" i="4"/>
  <c r="I344" i="2" s="1"/>
  <c r="F184" i="4"/>
  <c r="H344" i="2" s="1"/>
  <c r="E184" i="4"/>
  <c r="G344" i="2" s="1"/>
  <c r="D184" i="4"/>
  <c r="G181" i="4"/>
  <c r="H177" i="4" s="1"/>
  <c r="F181" i="4"/>
  <c r="G177" i="4" s="1"/>
  <c r="E181" i="4"/>
  <c r="D181" i="4"/>
  <c r="D177" i="4"/>
  <c r="G174" i="4"/>
  <c r="H170" i="4" s="1"/>
  <c r="F174" i="4"/>
  <c r="E174" i="4"/>
  <c r="F170" i="4" s="1"/>
  <c r="D174" i="4"/>
  <c r="E170" i="4" s="1"/>
  <c r="G172" i="4"/>
  <c r="G187" i="4" s="1"/>
  <c r="F172" i="4"/>
  <c r="G316" i="2" s="1"/>
  <c r="G329" i="2" s="1"/>
  <c r="E172" i="4"/>
  <c r="D172" i="4"/>
  <c r="H171" i="4"/>
  <c r="G166" i="4"/>
  <c r="F166" i="4"/>
  <c r="E166" i="4"/>
  <c r="G164" i="4"/>
  <c r="H160" i="4" s="1"/>
  <c r="F164" i="4"/>
  <c r="E164" i="4"/>
  <c r="D164" i="4"/>
  <c r="H161" i="4"/>
  <c r="I161" i="4" s="1"/>
  <c r="G160" i="4"/>
  <c r="F160" i="4"/>
  <c r="E160" i="4"/>
  <c r="G149" i="4"/>
  <c r="F149" i="4"/>
  <c r="E149" i="4"/>
  <c r="G148" i="4"/>
  <c r="F148" i="4"/>
  <c r="E148" i="4"/>
  <c r="G147" i="4"/>
  <c r="F147" i="4"/>
  <c r="E147" i="4"/>
  <c r="G146" i="4"/>
  <c r="F146" i="4"/>
  <c r="E146" i="4"/>
  <c r="G145" i="4"/>
  <c r="F145" i="4"/>
  <c r="E145" i="4"/>
  <c r="F135" i="4"/>
  <c r="G134" i="4"/>
  <c r="G122" i="4" s="1"/>
  <c r="F134" i="4"/>
  <c r="F122" i="4" s="1"/>
  <c r="E134" i="4"/>
  <c r="E135" i="4" s="1"/>
  <c r="D134" i="4"/>
  <c r="D133" i="4" s="1"/>
  <c r="F133" i="4"/>
  <c r="E133" i="4"/>
  <c r="G126" i="4"/>
  <c r="F126" i="4"/>
  <c r="G121" i="4" s="1"/>
  <c r="E126" i="4"/>
  <c r="F121" i="4" s="1"/>
  <c r="D126" i="4"/>
  <c r="E121" i="4" s="1"/>
  <c r="E122" i="4"/>
  <c r="D122" i="4"/>
  <c r="H121" i="4"/>
  <c r="G118" i="4"/>
  <c r="F118" i="4"/>
  <c r="E118" i="4"/>
  <c r="D118" i="4"/>
  <c r="G115" i="4"/>
  <c r="G116" i="4" s="1"/>
  <c r="H116" i="4" s="1"/>
  <c r="F115" i="4"/>
  <c r="F116" i="4" s="1"/>
  <c r="E115" i="4"/>
  <c r="E116" i="4" s="1"/>
  <c r="D115" i="4"/>
  <c r="D116" i="4" s="1"/>
  <c r="G112" i="4"/>
  <c r="H112" i="4" s="1"/>
  <c r="F112" i="4"/>
  <c r="E112" i="4"/>
  <c r="D112" i="4"/>
  <c r="G110" i="4"/>
  <c r="H110" i="4" s="1"/>
  <c r="I110" i="4" s="1"/>
  <c r="J110" i="4" s="1"/>
  <c r="F110" i="4"/>
  <c r="E110" i="4"/>
  <c r="D110" i="4"/>
  <c r="G108" i="4"/>
  <c r="F108" i="4"/>
  <c r="E108" i="4"/>
  <c r="D108" i="4"/>
  <c r="G100" i="4"/>
  <c r="G101" i="4" s="1"/>
  <c r="H101" i="4" s="1"/>
  <c r="F100" i="4"/>
  <c r="F101" i="4" s="1"/>
  <c r="E100" i="4"/>
  <c r="E101" i="4" s="1"/>
  <c r="D100" i="4"/>
  <c r="D101" i="4" s="1"/>
  <c r="D97" i="4"/>
  <c r="G95" i="4"/>
  <c r="G96" i="4" s="1"/>
  <c r="F95" i="4"/>
  <c r="E95" i="4"/>
  <c r="D95" i="4"/>
  <c r="G86" i="4"/>
  <c r="G87" i="4" s="1"/>
  <c r="H87" i="4" s="1"/>
  <c r="F86" i="4"/>
  <c r="F87" i="4" s="1"/>
  <c r="E86" i="4"/>
  <c r="E87" i="4" s="1"/>
  <c r="D86" i="4"/>
  <c r="D87" i="4" s="1"/>
  <c r="I84" i="4"/>
  <c r="J84" i="4" s="1"/>
  <c r="G82" i="4"/>
  <c r="G83" i="4" s="1"/>
  <c r="F82" i="4"/>
  <c r="F83" i="4" s="1"/>
  <c r="E82" i="4"/>
  <c r="D82" i="4"/>
  <c r="G70" i="4"/>
  <c r="G76" i="4" s="1"/>
  <c r="F70" i="4"/>
  <c r="E70" i="4"/>
  <c r="D70" i="4"/>
  <c r="D76" i="4" s="1"/>
  <c r="G63" i="4"/>
  <c r="F63" i="4"/>
  <c r="E63" i="4"/>
  <c r="D63" i="4"/>
  <c r="G62" i="4"/>
  <c r="F62" i="4"/>
  <c r="E62" i="4"/>
  <c r="G354" i="2" s="1"/>
  <c r="G355" i="2" s="1"/>
  <c r="D62" i="4"/>
  <c r="F354" i="2" s="1"/>
  <c r="F355" i="2" s="1"/>
  <c r="L55" i="4"/>
  <c r="G55" i="4"/>
  <c r="G65" i="4" s="1"/>
  <c r="F55" i="4"/>
  <c r="F65" i="4" s="1"/>
  <c r="E55" i="4"/>
  <c r="E65" i="4" s="1"/>
  <c r="D55" i="4"/>
  <c r="D65" i="4" s="1"/>
  <c r="H53" i="4"/>
  <c r="H50" i="4"/>
  <c r="L45" i="4"/>
  <c r="G45" i="4"/>
  <c r="F45" i="4"/>
  <c r="E45" i="4"/>
  <c r="D45" i="4"/>
  <c r="H42" i="4"/>
  <c r="I42" i="4" s="1"/>
  <c r="J42" i="4" s="1"/>
  <c r="H41" i="4"/>
  <c r="I41" i="4" s="1"/>
  <c r="J41" i="4" s="1"/>
  <c r="H40" i="4"/>
  <c r="I40" i="4" s="1"/>
  <c r="J40" i="4" s="1"/>
  <c r="H39" i="4"/>
  <c r="I39" i="4" s="1"/>
  <c r="J39" i="4" s="1"/>
  <c r="L36" i="4"/>
  <c r="L47" i="4" s="1"/>
  <c r="G36" i="4"/>
  <c r="F36" i="4"/>
  <c r="E36" i="4"/>
  <c r="D36" i="4"/>
  <c r="H33" i="4"/>
  <c r="I33" i="4" s="1"/>
  <c r="H32" i="4"/>
  <c r="F24" i="4"/>
  <c r="E24" i="4"/>
  <c r="D24" i="4"/>
  <c r="L22" i="4"/>
  <c r="G22" i="4"/>
  <c r="H21" i="4"/>
  <c r="H20" i="4"/>
  <c r="I20" i="4" s="1"/>
  <c r="J20" i="4" s="1"/>
  <c r="H19" i="4"/>
  <c r="I19" i="4" s="1"/>
  <c r="J19" i="4" s="1"/>
  <c r="H18" i="4"/>
  <c r="H15" i="4"/>
  <c r="I15" i="4" s="1"/>
  <c r="J15" i="4" s="1"/>
  <c r="L12" i="4"/>
  <c r="L26" i="4" s="1"/>
  <c r="G12" i="4"/>
  <c r="G26" i="4" s="1"/>
  <c r="F12" i="4"/>
  <c r="F26" i="4" s="1"/>
  <c r="E12" i="4"/>
  <c r="E26" i="4" s="1"/>
  <c r="D12" i="4"/>
  <c r="D26" i="4" s="1"/>
  <c r="H9" i="4"/>
  <c r="H8" i="4"/>
  <c r="I8" i="4" s="1"/>
  <c r="K349" i="2" s="1"/>
  <c r="L1" i="4"/>
  <c r="E646" i="3"/>
  <c r="D646" i="3"/>
  <c r="C646" i="3"/>
  <c r="E645" i="3"/>
  <c r="D645" i="3"/>
  <c r="C645" i="3"/>
  <c r="E640" i="3"/>
  <c r="D640" i="3"/>
  <c r="E636" i="3"/>
  <c r="D636" i="3"/>
  <c r="C636" i="3"/>
  <c r="C644" i="3" s="1"/>
  <c r="E627" i="3"/>
  <c r="D627" i="3"/>
  <c r="C627" i="3"/>
  <c r="G617" i="3"/>
  <c r="G623" i="3" s="1"/>
  <c r="F617" i="3"/>
  <c r="F623" i="3" s="1"/>
  <c r="J575" i="3"/>
  <c r="K575" i="3" s="1"/>
  <c r="G574" i="3"/>
  <c r="F574" i="3"/>
  <c r="E574" i="3"/>
  <c r="G571" i="3"/>
  <c r="F571" i="3"/>
  <c r="E571" i="3"/>
  <c r="G570" i="3"/>
  <c r="F570" i="3"/>
  <c r="E570" i="3"/>
  <c r="G569" i="3"/>
  <c r="F569" i="3"/>
  <c r="E569" i="3"/>
  <c r="I565" i="3"/>
  <c r="J565" i="3" s="1"/>
  <c r="K565" i="3" s="1"/>
  <c r="O563" i="3"/>
  <c r="J563" i="3"/>
  <c r="K563" i="3" s="1"/>
  <c r="G557" i="3"/>
  <c r="F557" i="3"/>
  <c r="E557" i="3"/>
  <c r="G545" i="3"/>
  <c r="G568" i="3" s="1"/>
  <c r="F545" i="3"/>
  <c r="F568" i="3" s="1"/>
  <c r="E545" i="3"/>
  <c r="E568" i="3" s="1"/>
  <c r="G542" i="3"/>
  <c r="F542" i="3"/>
  <c r="E542" i="3"/>
  <c r="G541" i="3"/>
  <c r="F541" i="3"/>
  <c r="E541" i="3"/>
  <c r="G540" i="3"/>
  <c r="F540" i="3"/>
  <c r="E540" i="3"/>
  <c r="O538" i="3"/>
  <c r="M538" i="3"/>
  <c r="H538" i="3"/>
  <c r="G538" i="3"/>
  <c r="F538" i="3"/>
  <c r="E538" i="3"/>
  <c r="H534" i="3"/>
  <c r="M534" i="3" s="1"/>
  <c r="M530" i="3"/>
  <c r="G530" i="3"/>
  <c r="F530" i="3"/>
  <c r="M529" i="3"/>
  <c r="G529" i="3"/>
  <c r="F529" i="3"/>
  <c r="G520" i="3"/>
  <c r="F520" i="3"/>
  <c r="H508" i="3"/>
  <c r="N508" i="3" s="1"/>
  <c r="I507" i="3"/>
  <c r="K506" i="3"/>
  <c r="I506" i="3"/>
  <c r="O506" i="3" s="1"/>
  <c r="M501" i="3"/>
  <c r="M500" i="3"/>
  <c r="G476" i="3"/>
  <c r="F476" i="3"/>
  <c r="G475" i="3"/>
  <c r="F475" i="3"/>
  <c r="G474" i="3"/>
  <c r="F474" i="3"/>
  <c r="G473" i="3"/>
  <c r="F473" i="3"/>
  <c r="G472" i="3"/>
  <c r="F472" i="3"/>
  <c r="G458" i="3"/>
  <c r="F458" i="3"/>
  <c r="G457" i="3"/>
  <c r="F457" i="3"/>
  <c r="G456" i="3"/>
  <c r="F456" i="3"/>
  <c r="G455" i="3"/>
  <c r="F455" i="3"/>
  <c r="G454" i="3"/>
  <c r="F454" i="3"/>
  <c r="G437" i="3"/>
  <c r="F437" i="3"/>
  <c r="E437" i="3"/>
  <c r="G436" i="3"/>
  <c r="F436" i="3"/>
  <c r="E436" i="3"/>
  <c r="G435" i="3"/>
  <c r="F435" i="3"/>
  <c r="E435" i="3"/>
  <c r="G423" i="3"/>
  <c r="F423" i="3"/>
  <c r="E423" i="3"/>
  <c r="G409" i="3"/>
  <c r="F409" i="3"/>
  <c r="G408" i="3"/>
  <c r="F408" i="3"/>
  <c r="G407" i="3"/>
  <c r="F407" i="3"/>
  <c r="G400" i="3"/>
  <c r="F400" i="3"/>
  <c r="F459" i="3" s="1"/>
  <c r="E400" i="3"/>
  <c r="O392" i="3"/>
  <c r="M392" i="3"/>
  <c r="M524" i="3" s="1"/>
  <c r="H392" i="3"/>
  <c r="G392" i="3"/>
  <c r="F392" i="3"/>
  <c r="F40" i="3" s="1"/>
  <c r="E392" i="3"/>
  <c r="E40" i="3" s="1"/>
  <c r="O391" i="3"/>
  <c r="O511" i="3" s="1"/>
  <c r="M391" i="3"/>
  <c r="M511" i="3" s="1"/>
  <c r="H391" i="3"/>
  <c r="H39" i="3" s="1"/>
  <c r="G391" i="3"/>
  <c r="G511" i="3" s="1"/>
  <c r="F391" i="3"/>
  <c r="E391" i="3"/>
  <c r="G389" i="3"/>
  <c r="G499" i="3" s="1"/>
  <c r="F389" i="3"/>
  <c r="E389" i="3"/>
  <c r="E499" i="3" s="1"/>
  <c r="O387" i="3"/>
  <c r="M387" i="3"/>
  <c r="H387" i="3"/>
  <c r="H38" i="3" s="1"/>
  <c r="G387" i="3"/>
  <c r="F387" i="3"/>
  <c r="E387" i="3"/>
  <c r="E38" i="3" s="1"/>
  <c r="H384" i="3"/>
  <c r="H33" i="3" s="1"/>
  <c r="G384" i="3"/>
  <c r="G555" i="3" s="1"/>
  <c r="G556" i="3" s="1"/>
  <c r="F384" i="3"/>
  <c r="F401" i="3" s="1"/>
  <c r="F426" i="3" s="1"/>
  <c r="E384" i="3"/>
  <c r="D384" i="3"/>
  <c r="C384" i="3"/>
  <c r="G381" i="3"/>
  <c r="F381" i="3"/>
  <c r="E381" i="3"/>
  <c r="G375" i="3"/>
  <c r="H375" i="3" s="1"/>
  <c r="I375" i="3" s="1"/>
  <c r="I374" i="3"/>
  <c r="I346" i="3" s="1"/>
  <c r="G363" i="3"/>
  <c r="F363" i="3"/>
  <c r="H359" i="3"/>
  <c r="I359" i="3" s="1"/>
  <c r="J359" i="3" s="1"/>
  <c r="K359" i="3" s="1"/>
  <c r="E351" i="3"/>
  <c r="K348" i="3"/>
  <c r="J348" i="3"/>
  <c r="I348" i="3"/>
  <c r="H348" i="3"/>
  <c r="K347" i="3"/>
  <c r="J347" i="3"/>
  <c r="I347" i="3"/>
  <c r="H347" i="3"/>
  <c r="K346" i="3"/>
  <c r="J346" i="3"/>
  <c r="H346" i="3"/>
  <c r="G336" i="3"/>
  <c r="O333" i="3"/>
  <c r="O326" i="3" s="1"/>
  <c r="O332" i="3"/>
  <c r="G332" i="3"/>
  <c r="G51" i="3" s="1"/>
  <c r="G330" i="3"/>
  <c r="F330" i="3"/>
  <c r="M326" i="3"/>
  <c r="G324" i="3"/>
  <c r="F324" i="3"/>
  <c r="G323" i="3"/>
  <c r="F323" i="3"/>
  <c r="G322" i="3"/>
  <c r="F322" i="3"/>
  <c r="G312" i="3"/>
  <c r="F312" i="3"/>
  <c r="F309" i="3" s="1"/>
  <c r="E312" i="3"/>
  <c r="E309" i="3" s="1"/>
  <c r="G309" i="3"/>
  <c r="G298" i="3"/>
  <c r="F298" i="3"/>
  <c r="G297" i="3"/>
  <c r="F297" i="3"/>
  <c r="G296" i="3"/>
  <c r="F296" i="3"/>
  <c r="H292" i="3"/>
  <c r="G292" i="3"/>
  <c r="G291" i="3"/>
  <c r="H289" i="3"/>
  <c r="G289" i="3"/>
  <c r="H286" i="3"/>
  <c r="G286" i="3"/>
  <c r="F286" i="3"/>
  <c r="G285" i="3"/>
  <c r="F285" i="3"/>
  <c r="H283" i="3"/>
  <c r="G283" i="3"/>
  <c r="F283" i="3"/>
  <c r="G247" i="3"/>
  <c r="G252" i="3" s="1"/>
  <c r="F247" i="3"/>
  <c r="F252" i="3" s="1"/>
  <c r="E247" i="3"/>
  <c r="D241" i="3"/>
  <c r="G238" i="3"/>
  <c r="F238" i="3"/>
  <c r="E238" i="3"/>
  <c r="E241" i="3" s="1"/>
  <c r="E254" i="3" s="1"/>
  <c r="H234" i="3"/>
  <c r="O501" i="3" s="1"/>
  <c r="O233" i="3"/>
  <c r="N232" i="3"/>
  <c r="E216" i="3"/>
  <c r="D216" i="3"/>
  <c r="D228" i="3" s="1"/>
  <c r="C216" i="3"/>
  <c r="C229" i="3" s="1"/>
  <c r="E213" i="3"/>
  <c r="E225" i="3" s="1"/>
  <c r="D213" i="3"/>
  <c r="D226" i="3" s="1"/>
  <c r="C213" i="3"/>
  <c r="C225" i="3" s="1"/>
  <c r="E210" i="3"/>
  <c r="D210" i="3"/>
  <c r="C210" i="3"/>
  <c r="C223" i="3" s="1"/>
  <c r="O204" i="3"/>
  <c r="M204" i="3"/>
  <c r="H204" i="3"/>
  <c r="G204" i="3"/>
  <c r="F204" i="3"/>
  <c r="E204" i="3"/>
  <c r="F300" i="3" s="1"/>
  <c r="N202" i="3"/>
  <c r="N201" i="3"/>
  <c r="N200" i="3"/>
  <c r="O199" i="3"/>
  <c r="M199" i="3"/>
  <c r="M203" i="3" s="1"/>
  <c r="H199" i="3"/>
  <c r="H207" i="3" s="1"/>
  <c r="G199" i="3"/>
  <c r="F199" i="3"/>
  <c r="E199" i="3"/>
  <c r="O196" i="3"/>
  <c r="P196" i="3" s="1"/>
  <c r="M196" i="3"/>
  <c r="H196" i="3"/>
  <c r="G196" i="3"/>
  <c r="F196" i="3"/>
  <c r="P195" i="3"/>
  <c r="N195" i="3"/>
  <c r="G195" i="3"/>
  <c r="F195" i="3"/>
  <c r="K194" i="3"/>
  <c r="J194" i="3"/>
  <c r="I194" i="3"/>
  <c r="O193" i="3"/>
  <c r="M193" i="3"/>
  <c r="M192" i="3" s="1"/>
  <c r="H193" i="3"/>
  <c r="G193" i="3"/>
  <c r="F193" i="3"/>
  <c r="K192" i="3"/>
  <c r="J192" i="3"/>
  <c r="I192" i="3"/>
  <c r="N190" i="3"/>
  <c r="I190" i="3"/>
  <c r="J190" i="3" s="1"/>
  <c r="J58" i="3" s="1"/>
  <c r="M189" i="3"/>
  <c r="M138" i="3" s="1"/>
  <c r="I189" i="3"/>
  <c r="H188" i="3"/>
  <c r="H56" i="3" s="1"/>
  <c r="H13" i="3" s="1"/>
  <c r="G188" i="3"/>
  <c r="F188" i="3"/>
  <c r="E188" i="3"/>
  <c r="K184" i="3"/>
  <c r="J184" i="3"/>
  <c r="I184" i="3"/>
  <c r="F182" i="3"/>
  <c r="G175" i="3"/>
  <c r="F175" i="3"/>
  <c r="G174" i="3"/>
  <c r="F174" i="3"/>
  <c r="G173" i="3"/>
  <c r="F173" i="3"/>
  <c r="E166" i="3"/>
  <c r="E165" i="3"/>
  <c r="E164" i="3"/>
  <c r="G157" i="3"/>
  <c r="G158" i="3" s="1"/>
  <c r="F157" i="3"/>
  <c r="F158" i="3" s="1"/>
  <c r="E157" i="3"/>
  <c r="E158" i="3" s="1"/>
  <c r="G148" i="3"/>
  <c r="F148" i="3"/>
  <c r="E148" i="3"/>
  <c r="E434" i="3" s="1"/>
  <c r="O139" i="3"/>
  <c r="M139" i="3"/>
  <c r="E139" i="3"/>
  <c r="E135" i="3" s="1"/>
  <c r="F138" i="3"/>
  <c r="F137" i="3" s="1"/>
  <c r="G137" i="3"/>
  <c r="G133" i="3" s="1"/>
  <c r="K132" i="3"/>
  <c r="J132" i="3"/>
  <c r="I132" i="3"/>
  <c r="H132" i="3"/>
  <c r="G132" i="3"/>
  <c r="F132" i="3"/>
  <c r="E132" i="3"/>
  <c r="D132" i="3"/>
  <c r="K129" i="3"/>
  <c r="J129" i="3"/>
  <c r="I129" i="3"/>
  <c r="H129" i="3"/>
  <c r="G129" i="3"/>
  <c r="F129" i="3"/>
  <c r="E129" i="3"/>
  <c r="D129" i="3"/>
  <c r="K126" i="3"/>
  <c r="J126" i="3"/>
  <c r="I126" i="3"/>
  <c r="H126" i="3"/>
  <c r="G126" i="3"/>
  <c r="F126" i="3"/>
  <c r="E126" i="3"/>
  <c r="D126" i="3"/>
  <c r="K123" i="3"/>
  <c r="J123" i="3"/>
  <c r="I123" i="3"/>
  <c r="H123" i="3"/>
  <c r="G123" i="3"/>
  <c r="F123" i="3"/>
  <c r="E123" i="3"/>
  <c r="D123" i="3"/>
  <c r="D121" i="3"/>
  <c r="J120" i="3"/>
  <c r="I120" i="3"/>
  <c r="H120" i="3"/>
  <c r="G120" i="3"/>
  <c r="F120" i="3"/>
  <c r="E120" i="3"/>
  <c r="D120" i="3"/>
  <c r="H104" i="3"/>
  <c r="H64" i="3"/>
  <c r="H58" i="3"/>
  <c r="G58" i="3"/>
  <c r="F58" i="3"/>
  <c r="F15" i="3" s="1"/>
  <c r="E58" i="3"/>
  <c r="E15" i="3" s="1"/>
  <c r="H57" i="3"/>
  <c r="G57" i="3"/>
  <c r="G14" i="3" s="1"/>
  <c r="F57" i="3"/>
  <c r="F56" i="3"/>
  <c r="F102" i="3" s="1"/>
  <c r="H55" i="3"/>
  <c r="H12" i="3" s="1"/>
  <c r="G55" i="3"/>
  <c r="F55" i="3"/>
  <c r="E55" i="3"/>
  <c r="E12" i="3" s="1"/>
  <c r="F51" i="3"/>
  <c r="G48" i="3"/>
  <c r="F48" i="3"/>
  <c r="E48" i="3"/>
  <c r="E31" i="3" s="1"/>
  <c r="G45" i="3"/>
  <c r="G8" i="3" s="1"/>
  <c r="G43" i="3"/>
  <c r="F43" i="3"/>
  <c r="F6" i="3" s="1"/>
  <c r="E43" i="3"/>
  <c r="E42" i="3"/>
  <c r="E5" i="3" s="1"/>
  <c r="F35" i="3"/>
  <c r="E35" i="3"/>
  <c r="F33" i="3"/>
  <c r="E30" i="3"/>
  <c r="G29" i="3"/>
  <c r="F29" i="3"/>
  <c r="E29" i="3"/>
  <c r="G23" i="3"/>
  <c r="F23" i="3"/>
  <c r="E23" i="3"/>
  <c r="H15" i="3"/>
  <c r="G15" i="3"/>
  <c r="D3" i="3"/>
  <c r="E3" i="3" s="1"/>
  <c r="F3" i="3" s="1"/>
  <c r="G3" i="3" s="1"/>
  <c r="H3" i="3" s="1"/>
  <c r="P2" i="3"/>
  <c r="N2" i="3"/>
  <c r="K2" i="3"/>
  <c r="I358" i="2"/>
  <c r="H358" i="2"/>
  <c r="H359" i="2" s="1"/>
  <c r="I359" i="2" s="1"/>
  <c r="G358" i="2"/>
  <c r="G359" i="2" s="1"/>
  <c r="F358" i="2"/>
  <c r="F359" i="2" s="1"/>
  <c r="J350" i="2"/>
  <c r="K350" i="2" s="1"/>
  <c r="I349" i="2"/>
  <c r="I348" i="2" s="1"/>
  <c r="I150" i="2" s="1"/>
  <c r="H12" i="5" s="1"/>
  <c r="H349" i="2"/>
  <c r="G349" i="2"/>
  <c r="F349" i="2"/>
  <c r="H348" i="2"/>
  <c r="G348" i="2"/>
  <c r="F348" i="2"/>
  <c r="E348" i="2"/>
  <c r="F344" i="2"/>
  <c r="H343" i="2"/>
  <c r="G343" i="2"/>
  <c r="F343" i="2"/>
  <c r="E343" i="2"/>
  <c r="G336" i="2"/>
  <c r="F336" i="2"/>
  <c r="E336" i="2"/>
  <c r="G335" i="2"/>
  <c r="F335" i="2"/>
  <c r="E335" i="2"/>
  <c r="I330" i="2"/>
  <c r="H330" i="2"/>
  <c r="G330" i="2"/>
  <c r="F330" i="2"/>
  <c r="G326" i="2"/>
  <c r="F326" i="2"/>
  <c r="E326" i="2"/>
  <c r="G325" i="2"/>
  <c r="F325" i="2"/>
  <c r="E325" i="2"/>
  <c r="I323" i="2"/>
  <c r="H323" i="2"/>
  <c r="G323" i="2"/>
  <c r="F323" i="2"/>
  <c r="I319" i="2"/>
  <c r="H319" i="2"/>
  <c r="G319" i="2"/>
  <c r="F319" i="2"/>
  <c r="F316" i="2"/>
  <c r="F329" i="2" s="1"/>
  <c r="E316" i="2"/>
  <c r="E334" i="2" s="1"/>
  <c r="H315" i="2"/>
  <c r="H322" i="2" s="1"/>
  <c r="G315" i="2"/>
  <c r="F315" i="2"/>
  <c r="F322" i="2" s="1"/>
  <c r="E162" i="4" s="1"/>
  <c r="E167" i="4" s="1"/>
  <c r="E315" i="2"/>
  <c r="E322" i="2" s="1"/>
  <c r="H314" i="2"/>
  <c r="G314" i="2"/>
  <c r="F314" i="2"/>
  <c r="F318" i="2" s="1"/>
  <c r="E151" i="4" s="1"/>
  <c r="E314" i="2"/>
  <c r="G296" i="2"/>
  <c r="F296" i="2"/>
  <c r="E296" i="2"/>
  <c r="G295" i="2"/>
  <c r="F295" i="2"/>
  <c r="E295" i="2"/>
  <c r="G294" i="2"/>
  <c r="F294" i="2"/>
  <c r="E294" i="2"/>
  <c r="G293" i="2"/>
  <c r="F293" i="2"/>
  <c r="E293" i="2"/>
  <c r="O285" i="2"/>
  <c r="M285" i="2"/>
  <c r="H285" i="2"/>
  <c r="H291" i="2" s="1"/>
  <c r="G285" i="2"/>
  <c r="G291" i="2" s="1"/>
  <c r="F285" i="2"/>
  <c r="F291" i="2" s="1"/>
  <c r="E285" i="2"/>
  <c r="E291" i="2" s="1"/>
  <c r="O284" i="2"/>
  <c r="O282" i="2" s="1"/>
  <c r="M284" i="2"/>
  <c r="H284" i="2"/>
  <c r="H290" i="2" s="1"/>
  <c r="G284" i="2"/>
  <c r="G290" i="2" s="1"/>
  <c r="F284" i="2"/>
  <c r="F290" i="2" s="1"/>
  <c r="E284" i="2"/>
  <c r="O283" i="2"/>
  <c r="M283" i="2"/>
  <c r="H283" i="2"/>
  <c r="G283" i="2"/>
  <c r="G289" i="2" s="1"/>
  <c r="F283" i="2"/>
  <c r="F289" i="2" s="1"/>
  <c r="E283" i="2"/>
  <c r="E289" i="2" s="1"/>
  <c r="H280" i="2"/>
  <c r="G280" i="2"/>
  <c r="F280" i="2"/>
  <c r="E280" i="2"/>
  <c r="H279" i="2"/>
  <c r="G279" i="2"/>
  <c r="F279" i="2"/>
  <c r="E279" i="2"/>
  <c r="H278" i="2"/>
  <c r="G278" i="2"/>
  <c r="F278" i="2"/>
  <c r="E278" i="2"/>
  <c r="H277" i="2"/>
  <c r="G277" i="2"/>
  <c r="F277" i="2"/>
  <c r="E277" i="2"/>
  <c r="H276" i="2"/>
  <c r="G276" i="2"/>
  <c r="F276" i="2"/>
  <c r="E276" i="2"/>
  <c r="H275" i="2"/>
  <c r="G275" i="2"/>
  <c r="F275" i="2"/>
  <c r="E275" i="2"/>
  <c r="H274" i="2"/>
  <c r="G274" i="2"/>
  <c r="F274" i="2"/>
  <c r="E274" i="2"/>
  <c r="H273" i="2"/>
  <c r="G273" i="2"/>
  <c r="F273" i="2"/>
  <c r="E273" i="2"/>
  <c r="H272" i="2"/>
  <c r="G272" i="2"/>
  <c r="F272" i="2"/>
  <c r="E272" i="2"/>
  <c r="H271" i="2"/>
  <c r="G271" i="2"/>
  <c r="F271" i="2"/>
  <c r="E271" i="2"/>
  <c r="H270" i="2"/>
  <c r="G270" i="2"/>
  <c r="F270" i="2"/>
  <c r="E270" i="2"/>
  <c r="H269" i="2"/>
  <c r="G269" i="2"/>
  <c r="F269" i="2"/>
  <c r="E269" i="2"/>
  <c r="H268" i="2"/>
  <c r="G268" i="2"/>
  <c r="F268" i="2"/>
  <c r="E268" i="2"/>
  <c r="H265" i="2"/>
  <c r="G265" i="2"/>
  <c r="F265" i="2"/>
  <c r="H264" i="2"/>
  <c r="G264" i="2"/>
  <c r="F264" i="2"/>
  <c r="H263" i="2"/>
  <c r="G263" i="2"/>
  <c r="F263" i="2"/>
  <c r="H262" i="2"/>
  <c r="G262" i="2"/>
  <c r="F262" i="2"/>
  <c r="H261" i="2"/>
  <c r="G261" i="2"/>
  <c r="F261" i="2"/>
  <c r="H260" i="2"/>
  <c r="G260" i="2"/>
  <c r="F260" i="2"/>
  <c r="H259" i="2"/>
  <c r="G259" i="2"/>
  <c r="F259" i="2"/>
  <c r="H258" i="2"/>
  <c r="G258" i="2"/>
  <c r="F258" i="2"/>
  <c r="H257" i="2"/>
  <c r="G257" i="2"/>
  <c r="F257" i="2"/>
  <c r="H256" i="2"/>
  <c r="G256" i="2"/>
  <c r="F256" i="2"/>
  <c r="H255" i="2"/>
  <c r="G255" i="2"/>
  <c r="F255" i="2"/>
  <c r="H254" i="2"/>
  <c r="G254" i="2"/>
  <c r="F254" i="2"/>
  <c r="H253" i="2"/>
  <c r="G253" i="2"/>
  <c r="F253" i="2"/>
  <c r="N249" i="2"/>
  <c r="N192" i="2" s="1"/>
  <c r="N248" i="2"/>
  <c r="N247" i="2"/>
  <c r="N246" i="2"/>
  <c r="N245" i="2"/>
  <c r="N244" i="2"/>
  <c r="N243" i="2"/>
  <c r="N285" i="2" s="1"/>
  <c r="N242" i="2"/>
  <c r="N284" i="2" s="1"/>
  <c r="N241" i="2"/>
  <c r="N283" i="2" s="1"/>
  <c r="N240" i="2"/>
  <c r="N239" i="2"/>
  <c r="N238" i="2"/>
  <c r="N237" i="2"/>
  <c r="N236" i="2"/>
  <c r="N235" i="2"/>
  <c r="G231" i="2"/>
  <c r="F231" i="2"/>
  <c r="E231" i="2"/>
  <c r="G230" i="2"/>
  <c r="H230" i="2" s="1"/>
  <c r="I230" i="2" s="1"/>
  <c r="F230" i="2"/>
  <c r="E230" i="2"/>
  <c r="I229" i="2"/>
  <c r="J229" i="2" s="1"/>
  <c r="G229" i="2"/>
  <c r="G232" i="2" s="1"/>
  <c r="F229" i="2"/>
  <c r="E229" i="2"/>
  <c r="G225" i="2"/>
  <c r="F225" i="2"/>
  <c r="G224" i="2"/>
  <c r="F224" i="2"/>
  <c r="G223" i="2"/>
  <c r="F223" i="2"/>
  <c r="O220" i="2"/>
  <c r="M220" i="2"/>
  <c r="H220" i="2"/>
  <c r="G220" i="2"/>
  <c r="F220" i="2"/>
  <c r="E220" i="2"/>
  <c r="O217" i="2"/>
  <c r="M217" i="2"/>
  <c r="H217" i="2"/>
  <c r="G213" i="2"/>
  <c r="F213" i="2"/>
  <c r="E213" i="2"/>
  <c r="G212" i="2"/>
  <c r="G211" i="2"/>
  <c r="H211" i="2" s="1"/>
  <c r="F211" i="2"/>
  <c r="E211" i="2"/>
  <c r="G210" i="2"/>
  <c r="H210" i="2" s="1"/>
  <c r="H190" i="2" s="1"/>
  <c r="F210" i="2"/>
  <c r="E210" i="2"/>
  <c r="I209" i="2"/>
  <c r="J209" i="2" s="1"/>
  <c r="G209" i="2"/>
  <c r="F209" i="2"/>
  <c r="E209" i="2"/>
  <c r="I208" i="2"/>
  <c r="G208" i="2"/>
  <c r="F208" i="2"/>
  <c r="E208" i="2"/>
  <c r="G207" i="2"/>
  <c r="F207" i="2"/>
  <c r="E207" i="2"/>
  <c r="G203" i="2"/>
  <c r="F203" i="2"/>
  <c r="G201" i="2"/>
  <c r="F201" i="2"/>
  <c r="G200" i="2"/>
  <c r="F200" i="2"/>
  <c r="G199" i="2"/>
  <c r="F199" i="2"/>
  <c r="G198" i="2"/>
  <c r="F198" i="2"/>
  <c r="G197" i="2"/>
  <c r="F197" i="2"/>
  <c r="O194" i="2"/>
  <c r="M194" i="2"/>
  <c r="H194" i="2"/>
  <c r="G194" i="2"/>
  <c r="F194" i="2"/>
  <c r="E194" i="2"/>
  <c r="O192" i="2"/>
  <c r="O212" i="2" s="1"/>
  <c r="M192" i="2"/>
  <c r="M212" i="2" s="1"/>
  <c r="H192" i="2"/>
  <c r="H202" i="2" s="1"/>
  <c r="O189" i="2"/>
  <c r="M189" i="2"/>
  <c r="H189" i="2"/>
  <c r="H199" i="2" s="1"/>
  <c r="O188" i="2"/>
  <c r="M188" i="2"/>
  <c r="H188" i="2"/>
  <c r="H198" i="2" s="1"/>
  <c r="G183" i="2"/>
  <c r="F183" i="2"/>
  <c r="E183" i="2"/>
  <c r="G182" i="2"/>
  <c r="H182" i="2" s="1"/>
  <c r="F182" i="2"/>
  <c r="E182" i="2"/>
  <c r="M181" i="2"/>
  <c r="I181" i="2"/>
  <c r="O181" i="2" s="1"/>
  <c r="O163" i="2" s="1"/>
  <c r="G181" i="2"/>
  <c r="F181" i="2"/>
  <c r="E181" i="2"/>
  <c r="G180" i="2"/>
  <c r="F180" i="2"/>
  <c r="E180" i="2"/>
  <c r="G179" i="2"/>
  <c r="H179" i="2" s="1"/>
  <c r="M179" i="2" s="1"/>
  <c r="F179" i="2"/>
  <c r="E179" i="2"/>
  <c r="G178" i="2"/>
  <c r="H178" i="2" s="1"/>
  <c r="F178" i="2"/>
  <c r="E178" i="2"/>
  <c r="G174" i="2"/>
  <c r="F174" i="2"/>
  <c r="G173" i="2"/>
  <c r="F173" i="2"/>
  <c r="G172" i="2"/>
  <c r="F172" i="2"/>
  <c r="G171" i="2"/>
  <c r="F171" i="2"/>
  <c r="G170" i="2"/>
  <c r="F170" i="2"/>
  <c r="G169" i="2"/>
  <c r="F169" i="2"/>
  <c r="O166" i="2"/>
  <c r="M166" i="2"/>
  <c r="H166" i="2"/>
  <c r="G166" i="2"/>
  <c r="F166" i="2"/>
  <c r="E166" i="2"/>
  <c r="M163" i="2"/>
  <c r="H163" i="2"/>
  <c r="H172" i="2" s="1"/>
  <c r="O160" i="2"/>
  <c r="M160" i="2"/>
  <c r="O157" i="2"/>
  <c r="K157" i="2"/>
  <c r="H157" i="2"/>
  <c r="M157" i="2" s="1"/>
  <c r="M148" i="2" s="1"/>
  <c r="N148" i="2" s="1"/>
  <c r="G157" i="2"/>
  <c r="F157" i="2"/>
  <c r="E157" i="2"/>
  <c r="O155" i="2"/>
  <c r="M155" i="2"/>
  <c r="H155" i="2"/>
  <c r="G155" i="2"/>
  <c r="F155" i="2"/>
  <c r="E155" i="2"/>
  <c r="I154" i="2"/>
  <c r="J154" i="2" s="1"/>
  <c r="K154" i="2" s="1"/>
  <c r="M153" i="2"/>
  <c r="N153" i="2" s="1"/>
  <c r="I153" i="2"/>
  <c r="O153" i="2" s="1"/>
  <c r="P152" i="2"/>
  <c r="M152" i="2"/>
  <c r="N152" i="2" s="1"/>
  <c r="O151" i="2"/>
  <c r="P151" i="2" s="1"/>
  <c r="M151" i="2"/>
  <c r="N151" i="2" s="1"/>
  <c r="M150" i="2"/>
  <c r="N150" i="2" s="1"/>
  <c r="N149" i="2"/>
  <c r="O148" i="2"/>
  <c r="G145" i="2"/>
  <c r="H145" i="2" s="1"/>
  <c r="F145" i="2"/>
  <c r="E145" i="2"/>
  <c r="G144" i="2"/>
  <c r="F144" i="2"/>
  <c r="E144" i="2"/>
  <c r="G143" i="2"/>
  <c r="H143" i="2" s="1"/>
  <c r="F143" i="2"/>
  <c r="E143" i="2"/>
  <c r="G142" i="2"/>
  <c r="H142" i="2" s="1"/>
  <c r="F142" i="2"/>
  <c r="E142" i="2"/>
  <c r="G141" i="2"/>
  <c r="H141" i="2" s="1"/>
  <c r="F141" i="2"/>
  <c r="E141" i="2"/>
  <c r="G129" i="2"/>
  <c r="F129" i="2"/>
  <c r="E129" i="2"/>
  <c r="G128" i="2"/>
  <c r="F128" i="2"/>
  <c r="E128" i="2"/>
  <c r="G127" i="2"/>
  <c r="F127" i="2"/>
  <c r="E127" i="2"/>
  <c r="G124" i="2"/>
  <c r="G130" i="2" s="1"/>
  <c r="F124" i="2"/>
  <c r="F130" i="2" s="1"/>
  <c r="E124" i="2"/>
  <c r="E130" i="2" s="1"/>
  <c r="O118" i="2"/>
  <c r="O124" i="2" s="1"/>
  <c r="O130" i="2" s="1"/>
  <c r="M118" i="2"/>
  <c r="G117" i="2"/>
  <c r="F117" i="2"/>
  <c r="E117" i="2"/>
  <c r="G116" i="2"/>
  <c r="F116" i="2"/>
  <c r="E116" i="2"/>
  <c r="G115" i="2"/>
  <c r="F115" i="2"/>
  <c r="E115" i="2"/>
  <c r="H110" i="2"/>
  <c r="G110" i="2"/>
  <c r="F110" i="2"/>
  <c r="H109" i="2"/>
  <c r="G109" i="2"/>
  <c r="F109" i="2"/>
  <c r="H108" i="2"/>
  <c r="G108" i="2"/>
  <c r="F108" i="2"/>
  <c r="O105" i="2"/>
  <c r="M105" i="2"/>
  <c r="H105" i="2"/>
  <c r="G105" i="2"/>
  <c r="F105" i="2"/>
  <c r="E105" i="2"/>
  <c r="O104" i="2"/>
  <c r="M104" i="2"/>
  <c r="H104" i="2"/>
  <c r="G104" i="2"/>
  <c r="F104" i="2"/>
  <c r="E104" i="2"/>
  <c r="O103" i="2"/>
  <c r="M103" i="2"/>
  <c r="H103" i="2"/>
  <c r="G103" i="2"/>
  <c r="F103" i="2"/>
  <c r="E103" i="2"/>
  <c r="N100" i="2"/>
  <c r="N99" i="2"/>
  <c r="N98" i="2"/>
  <c r="F90" i="2"/>
  <c r="H88" i="2"/>
  <c r="G88" i="2"/>
  <c r="F88" i="2"/>
  <c r="E88" i="2"/>
  <c r="H75" i="2"/>
  <c r="G75" i="2"/>
  <c r="F75" i="2"/>
  <c r="H72" i="2"/>
  <c r="G72" i="2"/>
  <c r="F72" i="2"/>
  <c r="H70" i="2"/>
  <c r="G70" i="2"/>
  <c r="F70" i="2"/>
  <c r="H69" i="2"/>
  <c r="G69" i="2"/>
  <c r="F69" i="2"/>
  <c r="H68" i="2"/>
  <c r="G68" i="2"/>
  <c r="F68" i="2"/>
  <c r="H67" i="2"/>
  <c r="G67" i="2"/>
  <c r="F67" i="2"/>
  <c r="H66" i="2"/>
  <c r="G66" i="2"/>
  <c r="F66" i="2"/>
  <c r="H63" i="2"/>
  <c r="G63" i="2"/>
  <c r="F63" i="2"/>
  <c r="E63" i="2"/>
  <c r="D63" i="2"/>
  <c r="F58" i="2"/>
  <c r="E58" i="2"/>
  <c r="D58" i="2"/>
  <c r="H54" i="2"/>
  <c r="H56" i="2" s="1"/>
  <c r="I56" i="2" s="1"/>
  <c r="I52" i="2"/>
  <c r="H44" i="2"/>
  <c r="G44" i="2"/>
  <c r="F44" i="2"/>
  <c r="E44" i="2"/>
  <c r="H40" i="2"/>
  <c r="G40" i="2"/>
  <c r="G92" i="2" s="1"/>
  <c r="F40" i="2"/>
  <c r="F92" i="2" s="1"/>
  <c r="E40" i="2"/>
  <c r="E92" i="2" s="1"/>
  <c r="P33" i="2"/>
  <c r="N33" i="2"/>
  <c r="D32" i="2"/>
  <c r="D83" i="2" s="1"/>
  <c r="C32" i="2"/>
  <c r="C83" i="2" s="1"/>
  <c r="D31" i="2"/>
  <c r="D94" i="2" s="1"/>
  <c r="C31" i="2"/>
  <c r="C94" i="2" s="1"/>
  <c r="N30" i="2"/>
  <c r="O29" i="2"/>
  <c r="O32" i="2" s="1"/>
  <c r="O34" i="2" s="1"/>
  <c r="O35" i="2" s="1"/>
  <c r="M29" i="2"/>
  <c r="M32" i="2" s="1"/>
  <c r="M34" i="2" s="1"/>
  <c r="H29" i="2"/>
  <c r="G29" i="2"/>
  <c r="F29" i="2"/>
  <c r="E5" i="5" s="1"/>
  <c r="E29" i="2"/>
  <c r="D5" i="5" s="1"/>
  <c r="P27" i="2"/>
  <c r="N27" i="2"/>
  <c r="P26" i="2"/>
  <c r="N26" i="2"/>
  <c r="P25" i="2"/>
  <c r="N25" i="2"/>
  <c r="N24" i="2"/>
  <c r="N23" i="2"/>
  <c r="F19" i="2"/>
  <c r="F81" i="2" s="1"/>
  <c r="O18" i="2"/>
  <c r="O19" i="2" s="1"/>
  <c r="M18" i="2"/>
  <c r="M19" i="2" s="1"/>
  <c r="H18" i="2"/>
  <c r="G18" i="2"/>
  <c r="G19" i="2" s="1"/>
  <c r="G81" i="2" s="1"/>
  <c r="F18" i="2"/>
  <c r="E18" i="2"/>
  <c r="E19" i="2" s="1"/>
  <c r="E81" i="2" s="1"/>
  <c r="O16" i="2"/>
  <c r="M16" i="2"/>
  <c r="H16" i="2"/>
  <c r="H91" i="2" s="1"/>
  <c r="G16" i="2"/>
  <c r="G91" i="2" s="1"/>
  <c r="F16" i="2"/>
  <c r="F91" i="2" s="1"/>
  <c r="E16" i="2"/>
  <c r="E91" i="2" s="1"/>
  <c r="N15" i="2"/>
  <c r="O14" i="2"/>
  <c r="M14" i="2"/>
  <c r="H14" i="2"/>
  <c r="H90" i="2" s="1"/>
  <c r="G14" i="2"/>
  <c r="G90" i="2" s="1"/>
  <c r="E14" i="2"/>
  <c r="E90" i="2" s="1"/>
  <c r="N13" i="2"/>
  <c r="N194" i="2" s="1"/>
  <c r="O12" i="2"/>
  <c r="M12" i="2"/>
  <c r="H12" i="2"/>
  <c r="H89" i="2" s="1"/>
  <c r="G12" i="2"/>
  <c r="G89" i="2" s="1"/>
  <c r="F12" i="2"/>
  <c r="F89" i="2" s="1"/>
  <c r="E12" i="2"/>
  <c r="E89" i="2" s="1"/>
  <c r="N11" i="2"/>
  <c r="N166" i="2" s="1"/>
  <c r="O10" i="2"/>
  <c r="M10" i="2"/>
  <c r="H10" i="2"/>
  <c r="G10" i="2"/>
  <c r="G80" i="2" s="1"/>
  <c r="F10" i="2"/>
  <c r="F80" i="2" s="1"/>
  <c r="E10" i="2"/>
  <c r="E80" i="2" s="1"/>
  <c r="N9" i="2"/>
  <c r="O8" i="2"/>
  <c r="H8" i="2"/>
  <c r="G8" i="2"/>
  <c r="F8" i="2"/>
  <c r="E8" i="2"/>
  <c r="D8" i="2"/>
  <c r="N7" i="2"/>
  <c r="D5" i="2"/>
  <c r="P4" i="2"/>
  <c r="N4" i="2"/>
  <c r="K4" i="2"/>
  <c r="N15" i="1"/>
  <c r="G204" i="2" l="1"/>
  <c r="O540" i="3"/>
  <c r="E156" i="3"/>
  <c r="M188" i="3"/>
  <c r="M137" i="3" s="1"/>
  <c r="M136" i="3" s="1"/>
  <c r="E227" i="3"/>
  <c r="G127" i="3"/>
  <c r="D32" i="5"/>
  <c r="D36" i="5" s="1"/>
  <c r="I343" i="2"/>
  <c r="I149" i="2" s="1"/>
  <c r="H345" i="2"/>
  <c r="K348" i="2"/>
  <c r="K150" i="2" s="1"/>
  <c r="J12" i="5" s="1"/>
  <c r="G64" i="4"/>
  <c r="H316" i="2"/>
  <c r="H329" i="2" s="1"/>
  <c r="J349" i="2"/>
  <c r="J348" i="2" s="1"/>
  <c r="J150" i="2" s="1"/>
  <c r="I12" i="5" s="1"/>
  <c r="E97" i="4"/>
  <c r="G125" i="4"/>
  <c r="J358" i="2"/>
  <c r="G47" i="4"/>
  <c r="G84" i="4"/>
  <c r="H42" i="5"/>
  <c r="I21" i="5"/>
  <c r="H21" i="5"/>
  <c r="E32" i="5"/>
  <c r="E36" i="5" s="1"/>
  <c r="F47" i="4"/>
  <c r="F57" i="4" s="1"/>
  <c r="I354" i="2"/>
  <c r="K358" i="2"/>
  <c r="E143" i="4"/>
  <c r="J33" i="4"/>
  <c r="G459" i="3"/>
  <c r="F448" i="3"/>
  <c r="M528" i="3"/>
  <c r="G466" i="3"/>
  <c r="G39" i="3"/>
  <c r="G44" i="3"/>
  <c r="G7" i="3" s="1"/>
  <c r="E153" i="3"/>
  <c r="E168" i="3" s="1"/>
  <c r="H233" i="3"/>
  <c r="N233" i="3" s="1"/>
  <c r="G255" i="3"/>
  <c r="I234" i="3"/>
  <c r="P234" i="3" s="1"/>
  <c r="P530" i="3" s="1"/>
  <c r="N234" i="3"/>
  <c r="N530" i="3" s="1"/>
  <c r="G26" i="3"/>
  <c r="G33" i="3"/>
  <c r="G94" i="3" s="1"/>
  <c r="F45" i="3"/>
  <c r="G130" i="3"/>
  <c r="I285" i="3"/>
  <c r="I57" i="3"/>
  <c r="I14" i="3" s="1"/>
  <c r="J15" i="3"/>
  <c r="G340" i="3"/>
  <c r="G180" i="3"/>
  <c r="G265" i="3" s="1"/>
  <c r="D225" i="3"/>
  <c r="H285" i="3"/>
  <c r="F564" i="3"/>
  <c r="G464" i="3"/>
  <c r="M541" i="3"/>
  <c r="J292" i="3"/>
  <c r="G118" i="2"/>
  <c r="G138" i="2" s="1"/>
  <c r="E46" i="3"/>
  <c r="E71" i="3" s="1"/>
  <c r="I58" i="3"/>
  <c r="I15" i="3" s="1"/>
  <c r="I21" i="3" s="1"/>
  <c r="P190" i="3"/>
  <c r="P204" i="3" s="1"/>
  <c r="E152" i="3"/>
  <c r="E438" i="3" s="1"/>
  <c r="E163" i="3"/>
  <c r="N193" i="3"/>
  <c r="G184" i="3"/>
  <c r="G181" i="3" s="1"/>
  <c r="D229" i="3"/>
  <c r="G250" i="3"/>
  <c r="G258" i="3" s="1"/>
  <c r="G528" i="3"/>
  <c r="I534" i="3"/>
  <c r="E118" i="2"/>
  <c r="E138" i="2" s="1"/>
  <c r="H212" i="2"/>
  <c r="F451" i="3"/>
  <c r="F489" i="3"/>
  <c r="H55" i="2"/>
  <c r="H57" i="2" s="1"/>
  <c r="I57" i="2" s="1"/>
  <c r="H175" i="2"/>
  <c r="G313" i="2"/>
  <c r="E561" i="3"/>
  <c r="G593" i="3"/>
  <c r="G350" i="2"/>
  <c r="F36" i="3"/>
  <c r="F82" i="3" s="1"/>
  <c r="G485" i="3"/>
  <c r="E297" i="2"/>
  <c r="N56" i="2"/>
  <c r="F226" i="2"/>
  <c r="F327" i="2"/>
  <c r="G226" i="2"/>
  <c r="H318" i="2"/>
  <c r="H320" i="2" s="1"/>
  <c r="G322" i="2"/>
  <c r="G324" i="2" s="1"/>
  <c r="F21" i="2"/>
  <c r="F82" i="2" s="1"/>
  <c r="I192" i="2"/>
  <c r="P192" i="2" s="1"/>
  <c r="G282" i="2"/>
  <c r="G288" i="2" s="1"/>
  <c r="N54" i="2"/>
  <c r="F313" i="2"/>
  <c r="F31" i="2"/>
  <c r="F94" i="2" s="1"/>
  <c r="F184" i="2"/>
  <c r="F39" i="3"/>
  <c r="F85" i="3" s="1"/>
  <c r="F61" i="3"/>
  <c r="F54" i="3"/>
  <c r="F11" i="3" s="1"/>
  <c r="F101" i="3"/>
  <c r="J375" i="3"/>
  <c r="K375" i="3" s="1"/>
  <c r="I366" i="3"/>
  <c r="G297" i="2"/>
  <c r="E207" i="3"/>
  <c r="E180" i="3"/>
  <c r="E265" i="3" s="1"/>
  <c r="D47" i="4"/>
  <c r="D57" i="4" s="1"/>
  <c r="D59" i="4" s="1"/>
  <c r="F32" i="2"/>
  <c r="F73" i="2"/>
  <c r="M230" i="2"/>
  <c r="H218" i="2"/>
  <c r="F24" i="3"/>
  <c r="G434" i="3"/>
  <c r="G124" i="3"/>
  <c r="G152" i="3"/>
  <c r="G438" i="3" s="1"/>
  <c r="F203" i="3"/>
  <c r="F207" i="3"/>
  <c r="F180" i="3"/>
  <c r="G183" i="3" s="1"/>
  <c r="E255" i="3"/>
  <c r="E252" i="3"/>
  <c r="E483" i="3"/>
  <c r="E64" i="4"/>
  <c r="E66" i="4" s="1"/>
  <c r="E282" i="2"/>
  <c r="E288" i="2" s="1"/>
  <c r="E290" i="2"/>
  <c r="G49" i="3"/>
  <c r="G321" i="3"/>
  <c r="G337" i="3" s="1"/>
  <c r="G345" i="3"/>
  <c r="F563" i="3"/>
  <c r="F38" i="3"/>
  <c r="G563" i="3"/>
  <c r="G38" i="3"/>
  <c r="G564" i="3"/>
  <c r="D96" i="4"/>
  <c r="C34" i="2"/>
  <c r="C38" i="2" s="1"/>
  <c r="C39" i="2" s="1"/>
  <c r="D162" i="4"/>
  <c r="D163" i="4" s="1"/>
  <c r="E327" i="2"/>
  <c r="H346" i="2"/>
  <c r="E33" i="3"/>
  <c r="E86" i="3" s="1"/>
  <c r="D222" i="3"/>
  <c r="D223" i="3"/>
  <c r="D221" i="3"/>
  <c r="E486" i="3"/>
  <c r="O507" i="3"/>
  <c r="J507" i="3"/>
  <c r="K507" i="3" s="1"/>
  <c r="O534" i="3"/>
  <c r="J534" i="3"/>
  <c r="K534" i="3" s="1"/>
  <c r="G585" i="3"/>
  <c r="G592" i="3" s="1"/>
  <c r="I43" i="5"/>
  <c r="F59" i="4"/>
  <c r="F64" i="4"/>
  <c r="F66" i="4" s="1"/>
  <c r="H354" i="2"/>
  <c r="H355" i="2" s="1"/>
  <c r="I355" i="2" s="1"/>
  <c r="J355" i="2" s="1"/>
  <c r="K355" i="2" s="1"/>
  <c r="F125" i="4"/>
  <c r="D173" i="4"/>
  <c r="I211" i="2"/>
  <c r="J211" i="2" s="1"/>
  <c r="H191" i="2"/>
  <c r="M282" i="2"/>
  <c r="F21" i="3"/>
  <c r="G64" i="3"/>
  <c r="E222" i="3"/>
  <c r="E223" i="3"/>
  <c r="E228" i="3"/>
  <c r="E229" i="3"/>
  <c r="E83" i="4"/>
  <c r="F84" i="4"/>
  <c r="E388" i="3"/>
  <c r="E390" i="3" s="1"/>
  <c r="E484" i="3" s="1"/>
  <c r="E39" i="3"/>
  <c r="H542" i="3"/>
  <c r="H123" i="2" s="1"/>
  <c r="H129" i="2" s="1"/>
  <c r="H40" i="3"/>
  <c r="H86" i="3" s="1"/>
  <c r="E87" i="2"/>
  <c r="F12" i="3"/>
  <c r="F18" i="3" s="1"/>
  <c r="N103" i="2"/>
  <c r="M154" i="2"/>
  <c r="N154" i="2" s="1"/>
  <c r="N155" i="2" s="1"/>
  <c r="E21" i="2"/>
  <c r="E82" i="2" s="1"/>
  <c r="I178" i="2"/>
  <c r="J178" i="2" s="1"/>
  <c r="K178" i="2" s="1"/>
  <c r="H160" i="2"/>
  <c r="F331" i="2"/>
  <c r="G6" i="3"/>
  <c r="E54" i="3"/>
  <c r="E11" i="3" s="1"/>
  <c r="H103" i="3"/>
  <c r="H63" i="3"/>
  <c r="H14" i="3"/>
  <c r="H20" i="3" s="1"/>
  <c r="O138" i="3"/>
  <c r="O188" i="3"/>
  <c r="O194" i="3" s="1"/>
  <c r="P194" i="3" s="1"/>
  <c r="F295" i="3"/>
  <c r="F49" i="3"/>
  <c r="F321" i="3"/>
  <c r="G524" i="3"/>
  <c r="G40" i="3"/>
  <c r="O138" i="2"/>
  <c r="G214" i="2"/>
  <c r="E232" i="2"/>
  <c r="F320" i="2"/>
  <c r="H336" i="2"/>
  <c r="G104" i="3"/>
  <c r="M184" i="3"/>
  <c r="P189" i="3"/>
  <c r="G192" i="3"/>
  <c r="E304" i="3"/>
  <c r="E364" i="3"/>
  <c r="F485" i="3"/>
  <c r="G465" i="3"/>
  <c r="E594" i="3"/>
  <c r="G584" i="3"/>
  <c r="E125" i="4"/>
  <c r="H43" i="5"/>
  <c r="F204" i="2"/>
  <c r="F232" i="2"/>
  <c r="H331" i="2"/>
  <c r="I291" i="3"/>
  <c r="F236" i="3"/>
  <c r="F241" i="3" s="1"/>
  <c r="F304" i="3" s="1"/>
  <c r="H332" i="3"/>
  <c r="H138" i="3" s="1"/>
  <c r="H45" i="3" s="1"/>
  <c r="H8" i="3" s="1"/>
  <c r="F420" i="3"/>
  <c r="G483" i="3"/>
  <c r="E524" i="3"/>
  <c r="E584" i="3"/>
  <c r="E565" i="3"/>
  <c r="C635" i="3"/>
  <c r="C623" i="3" s="1"/>
  <c r="E564" i="3"/>
  <c r="G57" i="4"/>
  <c r="G59" i="4" s="1"/>
  <c r="F118" i="2"/>
  <c r="F138" i="2" s="1"/>
  <c r="H204" i="2"/>
  <c r="F297" i="2"/>
  <c r="H313" i="2"/>
  <c r="G331" i="2"/>
  <c r="G21" i="3"/>
  <c r="H84" i="3"/>
  <c r="H85" i="3"/>
  <c r="E68" i="3"/>
  <c r="J189" i="3"/>
  <c r="J57" i="3" s="1"/>
  <c r="J14" i="3" s="1"/>
  <c r="F255" i="3"/>
  <c r="G338" i="3"/>
  <c r="G450" i="3"/>
  <c r="D644" i="3"/>
  <c r="D125" i="4"/>
  <c r="H172" i="4"/>
  <c r="M161" i="2"/>
  <c r="I357" i="2"/>
  <c r="H55" i="5" s="1"/>
  <c r="J359" i="2"/>
  <c r="K359" i="2" s="1"/>
  <c r="I142" i="2"/>
  <c r="M142" i="2"/>
  <c r="M134" i="2" s="1"/>
  <c r="M162" i="2" s="1"/>
  <c r="M180" i="2" s="1"/>
  <c r="H134" i="2"/>
  <c r="M60" i="2"/>
  <c r="M35" i="2"/>
  <c r="N29" i="2"/>
  <c r="N18" i="2"/>
  <c r="N19" i="2" s="1"/>
  <c r="H80" i="2"/>
  <c r="N14" i="2"/>
  <c r="D34" i="2"/>
  <c r="D60" i="2" s="1"/>
  <c r="J56" i="2"/>
  <c r="J54" i="2" s="1"/>
  <c r="G73" i="2"/>
  <c r="H87" i="2"/>
  <c r="N157" i="2"/>
  <c r="F175" i="2"/>
  <c r="E184" i="2"/>
  <c r="J181" i="2"/>
  <c r="H200" i="2"/>
  <c r="I210" i="2"/>
  <c r="M210" i="2"/>
  <c r="M190" i="2" s="1"/>
  <c r="N190" i="2" s="1"/>
  <c r="N210" i="2" s="1"/>
  <c r="H223" i="2"/>
  <c r="H296" i="2"/>
  <c r="N217" i="2"/>
  <c r="N229" i="2" s="1"/>
  <c r="H289" i="2"/>
  <c r="H282" i="2"/>
  <c r="G318" i="2"/>
  <c r="G162" i="4"/>
  <c r="H324" i="2"/>
  <c r="I143" i="2"/>
  <c r="H135" i="2"/>
  <c r="M143" i="2"/>
  <c r="M135" i="2" s="1"/>
  <c r="J208" i="2"/>
  <c r="N212" i="2"/>
  <c r="H219" i="2"/>
  <c r="H226" i="2"/>
  <c r="M218" i="2"/>
  <c r="N10" i="2"/>
  <c r="I141" i="2"/>
  <c r="M141" i="2"/>
  <c r="M133" i="2" s="1"/>
  <c r="I145" i="2"/>
  <c r="H137" i="2"/>
  <c r="M145" i="2"/>
  <c r="M137" i="2" s="1"/>
  <c r="H161" i="2"/>
  <c r="I179" i="2"/>
  <c r="I202" i="2"/>
  <c r="G21" i="2"/>
  <c r="F87" i="2"/>
  <c r="H19" i="2"/>
  <c r="H81" i="2" s="1"/>
  <c r="H73" i="2"/>
  <c r="F5" i="5"/>
  <c r="F32" i="5" s="1"/>
  <c r="F36" i="5" s="1"/>
  <c r="G32" i="2"/>
  <c r="G31" i="2"/>
  <c r="N57" i="2"/>
  <c r="O60" i="2"/>
  <c r="N220" i="2"/>
  <c r="G5" i="5"/>
  <c r="G32" i="5" s="1"/>
  <c r="G36" i="5" s="1"/>
  <c r="H32" i="2"/>
  <c r="H31" i="2"/>
  <c r="N105" i="2"/>
  <c r="M138" i="2"/>
  <c r="M124" i="2"/>
  <c r="M130" i="2" s="1"/>
  <c r="H133" i="2"/>
  <c r="P153" i="2"/>
  <c r="J153" i="2"/>
  <c r="K153" i="2" s="1"/>
  <c r="G175" i="2"/>
  <c r="G184" i="2"/>
  <c r="E214" i="2"/>
  <c r="J230" i="2"/>
  <c r="O230" i="2"/>
  <c r="F282" i="2"/>
  <c r="F288" i="2" s="1"/>
  <c r="H350" i="2"/>
  <c r="G61" i="3"/>
  <c r="G101" i="3"/>
  <c r="G54" i="3"/>
  <c r="G76" i="3" s="1"/>
  <c r="H101" i="3"/>
  <c r="G12" i="3"/>
  <c r="H18" i="3" s="1"/>
  <c r="I182" i="2"/>
  <c r="M182" i="2"/>
  <c r="M164" i="2" s="1"/>
  <c r="H164" i="2"/>
  <c r="F331" i="3"/>
  <c r="F50" i="3" s="1"/>
  <c r="F127" i="3"/>
  <c r="F130" i="3"/>
  <c r="F133" i="3"/>
  <c r="F44" i="3"/>
  <c r="N12" i="2"/>
  <c r="G334" i="2"/>
  <c r="N16" i="2"/>
  <c r="N40" i="2"/>
  <c r="H92" i="2"/>
  <c r="I92" i="2" s="1"/>
  <c r="J92" i="2" s="1"/>
  <c r="K92" i="2" s="1"/>
  <c r="F42" i="2"/>
  <c r="N104" i="2"/>
  <c r="N118" i="2"/>
  <c r="F214" i="2"/>
  <c r="K209" i="2"/>
  <c r="H61" i="3"/>
  <c r="E31" i="2"/>
  <c r="E32" i="2"/>
  <c r="M54" i="2"/>
  <c r="M50" i="2" s="1"/>
  <c r="M56" i="2"/>
  <c r="G87" i="2"/>
  <c r="N189" i="2"/>
  <c r="N209" i="2" s="1"/>
  <c r="M211" i="2"/>
  <c r="M191" i="2" s="1"/>
  <c r="M219" i="2"/>
  <c r="M231" i="2" s="1"/>
  <c r="M232" i="2" s="1"/>
  <c r="N282" i="2"/>
  <c r="G115" i="3"/>
  <c r="N163" i="2"/>
  <c r="N181" i="2" s="1"/>
  <c r="N188" i="2"/>
  <c r="N208" i="2" s="1"/>
  <c r="K229" i="2"/>
  <c r="F346" i="2"/>
  <c r="H21" i="3"/>
  <c r="G263" i="3"/>
  <c r="G194" i="3"/>
  <c r="H290" i="3"/>
  <c r="H194" i="3"/>
  <c r="G56" i="3"/>
  <c r="G284" i="3"/>
  <c r="D72" i="5"/>
  <c r="D73" i="5" s="1"/>
  <c r="D65" i="5"/>
  <c r="D69" i="5" s="1"/>
  <c r="D70" i="5" s="1"/>
  <c r="O54" i="2"/>
  <c r="O50" i="2" s="1"/>
  <c r="O56" i="2"/>
  <c r="O150" i="2"/>
  <c r="P150" i="2" s="1"/>
  <c r="E318" i="2"/>
  <c r="D151" i="4" s="1"/>
  <c r="E313" i="2"/>
  <c r="F324" i="2"/>
  <c r="E337" i="2"/>
  <c r="G346" i="2"/>
  <c r="G345" i="2"/>
  <c r="F345" i="2"/>
  <c r="F350" i="2"/>
  <c r="H54" i="3"/>
  <c r="H74" i="3" s="1"/>
  <c r="G236" i="3"/>
  <c r="G241" i="3" s="1"/>
  <c r="G232" i="3" s="1"/>
  <c r="E72" i="5"/>
  <c r="E73" i="5" s="1"/>
  <c r="E65" i="5"/>
  <c r="E69" i="5" s="1"/>
  <c r="P54" i="2"/>
  <c r="M55" i="2"/>
  <c r="P56" i="2"/>
  <c r="F162" i="4"/>
  <c r="F167" i="4" s="1"/>
  <c r="G327" i="2"/>
  <c r="F103" i="3"/>
  <c r="G271" i="3"/>
  <c r="H183" i="3"/>
  <c r="I183" i="3" s="1"/>
  <c r="G280" i="3"/>
  <c r="G264" i="3"/>
  <c r="G270" i="3"/>
  <c r="G269" i="3"/>
  <c r="G262" i="3"/>
  <c r="F334" i="2"/>
  <c r="F337" i="2" s="1"/>
  <c r="G91" i="3"/>
  <c r="G112" i="3"/>
  <c r="N204" i="3"/>
  <c r="G300" i="3"/>
  <c r="G273" i="3"/>
  <c r="G388" i="3"/>
  <c r="G390" i="3" s="1"/>
  <c r="G565" i="3"/>
  <c r="G451" i="3"/>
  <c r="H451" i="3"/>
  <c r="G486" i="3"/>
  <c r="G588" i="3"/>
  <c r="G591" i="3"/>
  <c r="E121" i="3"/>
  <c r="F152" i="3"/>
  <c r="F434" i="3"/>
  <c r="F124" i="3"/>
  <c r="F172" i="3"/>
  <c r="O192" i="3"/>
  <c r="P193" i="3"/>
  <c r="P192" i="3" s="1"/>
  <c r="O184" i="3"/>
  <c r="H300" i="3"/>
  <c r="H334" i="2"/>
  <c r="F95" i="3"/>
  <c r="F81" i="3"/>
  <c r="F86" i="3"/>
  <c r="F89" i="3"/>
  <c r="F107" i="3" s="1"/>
  <c r="N196" i="3"/>
  <c r="H192" i="3"/>
  <c r="H184" i="3"/>
  <c r="O203" i="3"/>
  <c r="O180" i="3"/>
  <c r="O273" i="3" s="1"/>
  <c r="M180" i="3"/>
  <c r="M306" i="3" s="1"/>
  <c r="G95" i="3"/>
  <c r="G429" i="3"/>
  <c r="G89" i="3"/>
  <c r="F64" i="3"/>
  <c r="F75" i="3"/>
  <c r="G81" i="3"/>
  <c r="I188" i="3"/>
  <c r="I290" i="3" s="1"/>
  <c r="D227" i="3"/>
  <c r="G339" i="3"/>
  <c r="G357" i="3"/>
  <c r="H357" i="3" s="1"/>
  <c r="I357" i="3" s="1"/>
  <c r="J357" i="3" s="1"/>
  <c r="K357" i="3" s="1"/>
  <c r="H485" i="3"/>
  <c r="H511" i="3"/>
  <c r="H450" i="3"/>
  <c r="E167" i="3"/>
  <c r="G172" i="3"/>
  <c r="E182" i="3"/>
  <c r="F194" i="3"/>
  <c r="H295" i="3"/>
  <c r="H203" i="3"/>
  <c r="H180" i="3"/>
  <c r="J204" i="3"/>
  <c r="D224" i="3"/>
  <c r="E250" i="3"/>
  <c r="E258" i="3" s="1"/>
  <c r="F284" i="3"/>
  <c r="J286" i="3"/>
  <c r="H561" i="3"/>
  <c r="H584" i="3"/>
  <c r="H443" i="3"/>
  <c r="O524" i="3"/>
  <c r="O384" i="3"/>
  <c r="O561" i="3" s="1"/>
  <c r="G103" i="3"/>
  <c r="F104" i="3"/>
  <c r="G331" i="3"/>
  <c r="F184" i="3"/>
  <c r="F181" i="3" s="1"/>
  <c r="F192" i="3"/>
  <c r="E221" i="3"/>
  <c r="O529" i="3"/>
  <c r="H529" i="3"/>
  <c r="O500" i="3"/>
  <c r="I233" i="3"/>
  <c r="H481" i="3"/>
  <c r="H540" i="3"/>
  <c r="H446" i="3"/>
  <c r="E429" i="3"/>
  <c r="F492" i="3"/>
  <c r="G63" i="3"/>
  <c r="E269" i="3"/>
  <c r="K190" i="3"/>
  <c r="F406" i="3"/>
  <c r="E203" i="3"/>
  <c r="E226" i="3"/>
  <c r="E224" i="3"/>
  <c r="E273" i="3"/>
  <c r="G290" i="3"/>
  <c r="F524" i="3"/>
  <c r="F486" i="3"/>
  <c r="N188" i="3"/>
  <c r="I204" i="3"/>
  <c r="G207" i="3"/>
  <c r="C222" i="3"/>
  <c r="C224" i="3"/>
  <c r="C226" i="3"/>
  <c r="C228" i="3"/>
  <c r="F250" i="3"/>
  <c r="F258" i="3" s="1"/>
  <c r="H284" i="3"/>
  <c r="H366" i="3"/>
  <c r="D443" i="3"/>
  <c r="M540" i="3"/>
  <c r="M384" i="3"/>
  <c r="M584" i="3" s="1"/>
  <c r="F412" i="3"/>
  <c r="F429" i="3"/>
  <c r="E485" i="3"/>
  <c r="E593" i="3"/>
  <c r="E443" i="3"/>
  <c r="E511" i="3"/>
  <c r="F528" i="3"/>
  <c r="M532" i="3" s="1"/>
  <c r="G526" i="3"/>
  <c r="F526" i="3"/>
  <c r="M526" i="3"/>
  <c r="M525" i="3" s="1"/>
  <c r="M533" i="3" s="1"/>
  <c r="G203" i="3"/>
  <c r="O530" i="3"/>
  <c r="H530" i="3"/>
  <c r="H291" i="3"/>
  <c r="G295" i="3"/>
  <c r="F580" i="3"/>
  <c r="F575" i="3"/>
  <c r="F450" i="3"/>
  <c r="F388" i="3"/>
  <c r="F390" i="3" s="1"/>
  <c r="E401" i="3"/>
  <c r="G406" i="3"/>
  <c r="F443" i="3"/>
  <c r="E481" i="3"/>
  <c r="F511" i="3"/>
  <c r="N189" i="3"/>
  <c r="C221" i="3"/>
  <c r="C227" i="3"/>
  <c r="G268" i="3"/>
  <c r="I286" i="3"/>
  <c r="I292" i="3"/>
  <c r="G481" i="3"/>
  <c r="G446" i="3"/>
  <c r="F499" i="3"/>
  <c r="F483" i="3"/>
  <c r="E420" i="3"/>
  <c r="M499" i="3"/>
  <c r="M389" i="3" s="1"/>
  <c r="I508" i="3"/>
  <c r="M508" i="3"/>
  <c r="M144" i="3" s="1"/>
  <c r="I50" i="4"/>
  <c r="G614" i="3"/>
  <c r="G613" i="3"/>
  <c r="G612" i="3"/>
  <c r="G611" i="3"/>
  <c r="G610" i="3"/>
  <c r="G609" i="3"/>
  <c r="G420" i="3"/>
  <c r="G443" i="3"/>
  <c r="G448" i="3"/>
  <c r="F584" i="3"/>
  <c r="F593" i="3"/>
  <c r="I18" i="4"/>
  <c r="H47" i="5"/>
  <c r="I116" i="4"/>
  <c r="J161" i="4"/>
  <c r="I42" i="5"/>
  <c r="G561" i="3"/>
  <c r="F561" i="3"/>
  <c r="J8" i="4"/>
  <c r="H22" i="4"/>
  <c r="H27" i="5" s="1"/>
  <c r="F446" i="3"/>
  <c r="F481" i="3"/>
  <c r="H486" i="3"/>
  <c r="G489" i="3"/>
  <c r="H524" i="3"/>
  <c r="E563" i="3"/>
  <c r="E585" i="3"/>
  <c r="F594" i="3"/>
  <c r="E644" i="3"/>
  <c r="E635" i="3"/>
  <c r="J21" i="5"/>
  <c r="E76" i="4"/>
  <c r="F77" i="4"/>
  <c r="E77" i="4"/>
  <c r="I87" i="4"/>
  <c r="G401" i="3"/>
  <c r="G579" i="3" s="1"/>
  <c r="G425" i="3"/>
  <c r="F585" i="3"/>
  <c r="G594" i="3"/>
  <c r="G558" i="3"/>
  <c r="G581" i="3" s="1"/>
  <c r="H581" i="3" s="1"/>
  <c r="I581" i="3" s="1"/>
  <c r="J581" i="3" s="1"/>
  <c r="K581" i="3" s="1"/>
  <c r="F565" i="3"/>
  <c r="E84" i="4"/>
  <c r="D83" i="4"/>
  <c r="D84" i="4" s="1"/>
  <c r="H52" i="5"/>
  <c r="I32" i="4"/>
  <c r="H62" i="4"/>
  <c r="G66" i="4"/>
  <c r="I112" i="4"/>
  <c r="G133" i="4"/>
  <c r="G135" i="4"/>
  <c r="H134" i="4"/>
  <c r="H45" i="5"/>
  <c r="I21" i="4"/>
  <c r="E47" i="4"/>
  <c r="E57" i="4" s="1"/>
  <c r="E59" i="4" s="1"/>
  <c r="L57" i="4"/>
  <c r="L59" i="4" s="1"/>
  <c r="F96" i="4"/>
  <c r="G97" i="4"/>
  <c r="H97" i="4" s="1"/>
  <c r="I101" i="4"/>
  <c r="H56" i="5"/>
  <c r="I9" i="4"/>
  <c r="I56" i="5" s="1"/>
  <c r="D635" i="3"/>
  <c r="F76" i="4"/>
  <c r="G77" i="4"/>
  <c r="H77" i="4" s="1"/>
  <c r="E173" i="4"/>
  <c r="E177" i="4"/>
  <c r="F173" i="4"/>
  <c r="G170" i="4"/>
  <c r="G173" i="4" s="1"/>
  <c r="F177" i="4"/>
  <c r="D64" i="4"/>
  <c r="D66" i="4" s="1"/>
  <c r="E163" i="4"/>
  <c r="H41" i="5"/>
  <c r="I171" i="4"/>
  <c r="E96" i="4"/>
  <c r="F97" i="4"/>
  <c r="F477" i="3" l="1"/>
  <c r="G477" i="3"/>
  <c r="F254" i="3"/>
  <c r="M194" i="3"/>
  <c r="N192" i="3"/>
  <c r="O526" i="3"/>
  <c r="K189" i="3"/>
  <c r="K291" i="3" s="1"/>
  <c r="F264" i="3"/>
  <c r="O584" i="3"/>
  <c r="M542" i="3"/>
  <c r="M565" i="3" s="1"/>
  <c r="J285" i="3"/>
  <c r="G86" i="3"/>
  <c r="F271" i="3"/>
  <c r="J234" i="3"/>
  <c r="K234" i="3" s="1"/>
  <c r="G85" i="3"/>
  <c r="H94" i="3"/>
  <c r="M273" i="3"/>
  <c r="I20" i="3"/>
  <c r="G410" i="3"/>
  <c r="I353" i="2"/>
  <c r="G151" i="4"/>
  <c r="G143" i="4" s="1"/>
  <c r="G90" i="3"/>
  <c r="H541" i="3"/>
  <c r="J20" i="3"/>
  <c r="I104" i="3"/>
  <c r="E85" i="3"/>
  <c r="H594" i="3"/>
  <c r="I63" i="3"/>
  <c r="D54" i="3"/>
  <c r="D180" i="3" s="1"/>
  <c r="J64" i="3"/>
  <c r="G74" i="3"/>
  <c r="G107" i="3"/>
  <c r="J103" i="3"/>
  <c r="I103" i="3"/>
  <c r="J104" i="3"/>
  <c r="J366" i="3"/>
  <c r="F299" i="3"/>
  <c r="J63" i="3"/>
  <c r="I64" i="3"/>
  <c r="F370" i="3"/>
  <c r="G325" i="3"/>
  <c r="I530" i="3"/>
  <c r="H75" i="3"/>
  <c r="J21" i="3"/>
  <c r="F263" i="3"/>
  <c r="F280" i="3"/>
  <c r="F232" i="3"/>
  <c r="G303" i="3" s="1"/>
  <c r="F270" i="3"/>
  <c r="E268" i="3"/>
  <c r="G288" i="3"/>
  <c r="F268" i="3"/>
  <c r="F273" i="3"/>
  <c r="E232" i="3"/>
  <c r="H288" i="3"/>
  <c r="M182" i="3"/>
  <c r="N182" i="3" s="1"/>
  <c r="F262" i="3"/>
  <c r="G370" i="3"/>
  <c r="F77" i="3"/>
  <c r="E270" i="3"/>
  <c r="F74" i="3"/>
  <c r="F76" i="3"/>
  <c r="F350" i="3"/>
  <c r="F163" i="3" s="1"/>
  <c r="F265" i="3"/>
  <c r="G525" i="3"/>
  <c r="G533" i="3" s="1"/>
  <c r="F183" i="3"/>
  <c r="E263" i="3"/>
  <c r="C618" i="3"/>
  <c r="F272" i="3"/>
  <c r="F269" i="3"/>
  <c r="G350" i="3"/>
  <c r="G167" i="3" s="1"/>
  <c r="E264" i="3"/>
  <c r="E370" i="3"/>
  <c r="F277" i="3"/>
  <c r="O154" i="2"/>
  <c r="P154" i="2" s="1"/>
  <c r="M57" i="2"/>
  <c r="M187" i="2"/>
  <c r="M207" i="2" s="1"/>
  <c r="N55" i="2"/>
  <c r="G580" i="3"/>
  <c r="N542" i="3"/>
  <c r="G587" i="3"/>
  <c r="F74" i="2"/>
  <c r="C35" i="2"/>
  <c r="C84" i="2" s="1"/>
  <c r="H326" i="2"/>
  <c r="E482" i="3"/>
  <c r="E496" i="3"/>
  <c r="G589" i="3"/>
  <c r="F163" i="4"/>
  <c r="G590" i="3"/>
  <c r="E84" i="3"/>
  <c r="F100" i="3"/>
  <c r="I172" i="4"/>
  <c r="H15" i="5"/>
  <c r="I316" i="2"/>
  <c r="I329" i="2" s="1"/>
  <c r="I332" i="3"/>
  <c r="H26" i="3"/>
  <c r="H51" i="3"/>
  <c r="F94" i="3"/>
  <c r="E74" i="3"/>
  <c r="H174" i="4"/>
  <c r="E81" i="3"/>
  <c r="G113" i="3"/>
  <c r="H169" i="2"/>
  <c r="N160" i="2"/>
  <c r="N178" i="2" s="1"/>
  <c r="G463" i="3"/>
  <c r="H294" i="2"/>
  <c r="F60" i="3"/>
  <c r="H187" i="4"/>
  <c r="O137" i="3"/>
  <c r="O136" i="3" s="1"/>
  <c r="C617" i="3"/>
  <c r="C619" i="3"/>
  <c r="H264" i="3"/>
  <c r="K366" i="3"/>
  <c r="M145" i="3"/>
  <c r="M498" i="3" s="1"/>
  <c r="H77" i="3"/>
  <c r="H224" i="2"/>
  <c r="M136" i="2"/>
  <c r="M144" i="2" s="1"/>
  <c r="J291" i="3"/>
  <c r="G24" i="3"/>
  <c r="F84" i="3"/>
  <c r="E262" i="3"/>
  <c r="E271" i="3"/>
  <c r="E277" i="3"/>
  <c r="C620" i="3"/>
  <c r="C622" i="3"/>
  <c r="M268" i="3"/>
  <c r="O211" i="2"/>
  <c r="O191" i="2" s="1"/>
  <c r="N31" i="2"/>
  <c r="H201" i="2"/>
  <c r="M561" i="3"/>
  <c r="G532" i="3"/>
  <c r="E184" i="3"/>
  <c r="F515" i="3"/>
  <c r="F516" i="3" s="1"/>
  <c r="F512" i="3" s="1"/>
  <c r="F513" i="3" s="1"/>
  <c r="E77" i="3"/>
  <c r="N191" i="2"/>
  <c r="N211" i="2" s="1"/>
  <c r="N32" i="2"/>
  <c r="N34" i="2" s="1"/>
  <c r="N218" i="2"/>
  <c r="N230" i="2" s="1"/>
  <c r="H117" i="2"/>
  <c r="G84" i="3"/>
  <c r="F83" i="2"/>
  <c r="F34" i="2"/>
  <c r="F38" i="2" s="1"/>
  <c r="F39" i="2" s="1"/>
  <c r="F85" i="2" s="1"/>
  <c r="G484" i="3"/>
  <c r="G449" i="3"/>
  <c r="I77" i="4"/>
  <c r="I52" i="5"/>
  <c r="J32" i="4"/>
  <c r="I62" i="4"/>
  <c r="G276" i="3"/>
  <c r="H303" i="3"/>
  <c r="H34" i="2"/>
  <c r="H83" i="2"/>
  <c r="F151" i="4"/>
  <c r="F143" i="4" s="1"/>
  <c r="G320" i="2"/>
  <c r="J57" i="2"/>
  <c r="O57" i="2"/>
  <c r="J21" i="4"/>
  <c r="J45" i="5" s="1"/>
  <c r="F503" i="3"/>
  <c r="F501" i="3" s="1"/>
  <c r="F500" i="3" s="1"/>
  <c r="I300" i="3"/>
  <c r="F325" i="3"/>
  <c r="G341" i="3" s="1"/>
  <c r="F438" i="3"/>
  <c r="F176" i="3"/>
  <c r="G176" i="3"/>
  <c r="F276" i="3"/>
  <c r="F303" i="3"/>
  <c r="P57" i="2"/>
  <c r="G65" i="5"/>
  <c r="G72" i="5"/>
  <c r="G73" i="5" s="1"/>
  <c r="G34" i="2"/>
  <c r="G83" i="2"/>
  <c r="N137" i="2"/>
  <c r="N145" i="2" s="1"/>
  <c r="K208" i="2"/>
  <c r="O210" i="2"/>
  <c r="O190" i="2" s="1"/>
  <c r="J210" i="2"/>
  <c r="K181" i="2"/>
  <c r="J101" i="4"/>
  <c r="J112" i="4"/>
  <c r="G575" i="3"/>
  <c r="G412" i="3"/>
  <c r="G469" i="3" s="1"/>
  <c r="G460" i="3"/>
  <c r="G426" i="3"/>
  <c r="G36" i="3"/>
  <c r="J87" i="4"/>
  <c r="J43" i="5"/>
  <c r="J508" i="3"/>
  <c r="O508" i="3"/>
  <c r="O145" i="3" s="1"/>
  <c r="O498" i="3" s="1"/>
  <c r="I526" i="3"/>
  <c r="H526" i="3"/>
  <c r="H525" i="3" s="1"/>
  <c r="N540" i="3"/>
  <c r="H585" i="3"/>
  <c r="H121" i="2"/>
  <c r="H528" i="3"/>
  <c r="J300" i="3"/>
  <c r="G515" i="3"/>
  <c r="G304" i="3"/>
  <c r="G277" i="3"/>
  <c r="G254" i="3"/>
  <c r="N183" i="3"/>
  <c r="N194" i="3"/>
  <c r="J357" i="2"/>
  <c r="I55" i="5" s="1"/>
  <c r="E94" i="2"/>
  <c r="E42" i="2"/>
  <c r="G60" i="3"/>
  <c r="G100" i="3"/>
  <c r="G77" i="3"/>
  <c r="G11" i="3"/>
  <c r="F65" i="5"/>
  <c r="F72" i="5"/>
  <c r="F73" i="5" s="1"/>
  <c r="O145" i="2"/>
  <c r="O137" i="2" s="1"/>
  <c r="J145" i="2"/>
  <c r="K145" i="2" s="1"/>
  <c r="N35" i="2"/>
  <c r="D38" i="2"/>
  <c r="D35" i="2"/>
  <c r="D84" i="2" s="1"/>
  <c r="D36" i="2"/>
  <c r="H162" i="2"/>
  <c r="H165" i="2" s="1"/>
  <c r="N134" i="2"/>
  <c r="K204" i="3"/>
  <c r="K286" i="3"/>
  <c r="K58" i="3"/>
  <c r="E70" i="5"/>
  <c r="F67" i="5"/>
  <c r="G42" i="3"/>
  <c r="G164" i="3"/>
  <c r="G62" i="3"/>
  <c r="G75" i="3"/>
  <c r="G102" i="3"/>
  <c r="G13" i="3"/>
  <c r="H62" i="3"/>
  <c r="O182" i="2"/>
  <c r="O164" i="2" s="1"/>
  <c r="J182" i="2"/>
  <c r="O218" i="2"/>
  <c r="O219" i="2" s="1"/>
  <c r="O231" i="2" s="1"/>
  <c r="O232" i="2" s="1"/>
  <c r="G491" i="3"/>
  <c r="G431" i="3"/>
  <c r="M143" i="3"/>
  <c r="H102" i="3"/>
  <c r="M497" i="3"/>
  <c r="M330" i="3"/>
  <c r="M321" i="3" s="1"/>
  <c r="M327" i="3" s="1"/>
  <c r="M350" i="3"/>
  <c r="M135" i="3"/>
  <c r="G337" i="2"/>
  <c r="K230" i="2"/>
  <c r="H9" i="5"/>
  <c r="H35" i="5" s="1"/>
  <c r="P149" i="2"/>
  <c r="K211" i="2"/>
  <c r="I41" i="5"/>
  <c r="J171" i="4"/>
  <c r="D619" i="3"/>
  <c r="D617" i="3"/>
  <c r="D618" i="3"/>
  <c r="D623" i="3"/>
  <c r="D620" i="3"/>
  <c r="I97" i="4"/>
  <c r="I45" i="5"/>
  <c r="E623" i="3"/>
  <c r="E620" i="3"/>
  <c r="E618" i="3"/>
  <c r="E617" i="3"/>
  <c r="E622" i="3"/>
  <c r="E619" i="3"/>
  <c r="F484" i="3"/>
  <c r="F449" i="3"/>
  <c r="D622" i="3"/>
  <c r="E575" i="3"/>
  <c r="E426" i="3"/>
  <c r="E432" i="3" s="1"/>
  <c r="E440" i="3"/>
  <c r="E36" i="3"/>
  <c r="F496" i="3"/>
  <c r="F482" i="3"/>
  <c r="F447" i="3"/>
  <c r="N187" i="3"/>
  <c r="O525" i="3"/>
  <c r="H280" i="3"/>
  <c r="O182" i="3"/>
  <c r="O181" i="3" s="1"/>
  <c r="O515" i="3" s="1"/>
  <c r="O519" i="3" s="1"/>
  <c r="I182" i="3"/>
  <c r="H265" i="3"/>
  <c r="H262" i="3"/>
  <c r="H241" i="3"/>
  <c r="H263" i="3"/>
  <c r="H268" i="3"/>
  <c r="H276" i="3"/>
  <c r="N511" i="3"/>
  <c r="M276" i="3"/>
  <c r="M241" i="3"/>
  <c r="M277" i="3" s="1"/>
  <c r="M264" i="3"/>
  <c r="M265" i="3"/>
  <c r="M262" i="3"/>
  <c r="F368" i="3"/>
  <c r="F139" i="3"/>
  <c r="F166" i="3"/>
  <c r="F165" i="3"/>
  <c r="H100" i="3"/>
  <c r="H60" i="3"/>
  <c r="H76" i="3"/>
  <c r="H11" i="3"/>
  <c r="K357" i="2"/>
  <c r="J55" i="5" s="1"/>
  <c r="H225" i="2"/>
  <c r="H231" i="2"/>
  <c r="M165" i="2"/>
  <c r="M183" i="2" s="1"/>
  <c r="M184" i="2" s="1"/>
  <c r="E183" i="3"/>
  <c r="O265" i="3"/>
  <c r="O262" i="3"/>
  <c r="O276" i="3"/>
  <c r="O241" i="3"/>
  <c r="O277" i="3" s="1"/>
  <c r="O264" i="3"/>
  <c r="O263" i="3"/>
  <c r="H325" i="2"/>
  <c r="H327" i="2" s="1"/>
  <c r="I327" i="2" s="1"/>
  <c r="J327" i="2" s="1"/>
  <c r="K327" i="2" s="1"/>
  <c r="N164" i="2"/>
  <c r="N182" i="2" s="1"/>
  <c r="H173" i="2"/>
  <c r="G18" i="3"/>
  <c r="N133" i="2"/>
  <c r="N141" i="2" s="1"/>
  <c r="H74" i="2"/>
  <c r="H82" i="2"/>
  <c r="J179" i="2"/>
  <c r="O179" i="2"/>
  <c r="O141" i="2"/>
  <c r="O133" i="2" s="1"/>
  <c r="J141" i="2"/>
  <c r="K141" i="2" s="1"/>
  <c r="H293" i="2"/>
  <c r="N135" i="2"/>
  <c r="N143" i="2" s="1"/>
  <c r="F17" i="3"/>
  <c r="J142" i="2"/>
  <c r="K142" i="2" s="1"/>
  <c r="O142" i="2"/>
  <c r="O134" i="2" s="1"/>
  <c r="O162" i="2" s="1"/>
  <c r="O180" i="2" s="1"/>
  <c r="I55" i="2"/>
  <c r="I232" i="3"/>
  <c r="P233" i="3"/>
  <c r="J233" i="3"/>
  <c r="G482" i="3"/>
  <c r="G496" i="3"/>
  <c r="G447" i="3"/>
  <c r="E83" i="2"/>
  <c r="E34" i="2"/>
  <c r="G94" i="2"/>
  <c r="G42" i="2"/>
  <c r="G41" i="2"/>
  <c r="H187" i="2"/>
  <c r="H288" i="2"/>
  <c r="J116" i="4"/>
  <c r="F532" i="3"/>
  <c r="F525" i="3"/>
  <c r="F533" i="3" s="1"/>
  <c r="K530" i="3"/>
  <c r="O499" i="3"/>
  <c r="O389" i="3" s="1"/>
  <c r="N184" i="3"/>
  <c r="H181" i="3"/>
  <c r="J9" i="4"/>
  <c r="J56" i="5" s="1"/>
  <c r="J18" i="4"/>
  <c r="J50" i="4"/>
  <c r="F410" i="3"/>
  <c r="E272" i="3"/>
  <c r="O528" i="3"/>
  <c r="H331" i="3"/>
  <c r="G50" i="3"/>
  <c r="G114" i="3" s="1"/>
  <c r="G25" i="3"/>
  <c r="H122" i="4"/>
  <c r="I134" i="4"/>
  <c r="J354" i="2"/>
  <c r="J353" i="2" s="1"/>
  <c r="H593" i="3"/>
  <c r="H564" i="3"/>
  <c r="I564" i="3" s="1"/>
  <c r="N541" i="3"/>
  <c r="H122" i="2"/>
  <c r="F591" i="3"/>
  <c r="F590" i="3"/>
  <c r="F588" i="3"/>
  <c r="F589" i="3"/>
  <c r="F587" i="3"/>
  <c r="F592" i="3"/>
  <c r="I22" i="4"/>
  <c r="J42" i="5"/>
  <c r="I47" i="5"/>
  <c r="F460" i="3"/>
  <c r="G299" i="3"/>
  <c r="G272" i="3"/>
  <c r="G424" i="3"/>
  <c r="E580" i="3"/>
  <c r="E303" i="3"/>
  <c r="E276" i="3"/>
  <c r="G503" i="3"/>
  <c r="I187" i="3"/>
  <c r="P188" i="3"/>
  <c r="J188" i="3"/>
  <c r="J290" i="3" s="1"/>
  <c r="I284" i="3"/>
  <c r="I56" i="3"/>
  <c r="O268" i="3"/>
  <c r="H273" i="3"/>
  <c r="P184" i="3"/>
  <c r="M263" i="3"/>
  <c r="K292" i="3"/>
  <c r="I24" i="2"/>
  <c r="N138" i="2"/>
  <c r="N124" i="2"/>
  <c r="N130" i="2" s="1"/>
  <c r="H94" i="2"/>
  <c r="O41" i="2"/>
  <c r="M31" i="2"/>
  <c r="M42" i="2" s="1"/>
  <c r="M41" i="2"/>
  <c r="H41" i="2"/>
  <c r="H42" i="2"/>
  <c r="I31" i="2"/>
  <c r="G74" i="2"/>
  <c r="G82" i="2"/>
  <c r="N161" i="2"/>
  <c r="H170" i="2"/>
  <c r="O143" i="2"/>
  <c r="O135" i="2" s="1"/>
  <c r="O187" i="2" s="1"/>
  <c r="J143" i="2"/>
  <c r="K143" i="2" s="1"/>
  <c r="G163" i="4"/>
  <c r="G167" i="4"/>
  <c r="K56" i="2"/>
  <c r="K54" i="2" s="1"/>
  <c r="M193" i="2" l="1"/>
  <c r="M213" i="2" s="1"/>
  <c r="F371" i="3"/>
  <c r="K57" i="3"/>
  <c r="K14" i="3" s="1"/>
  <c r="G371" i="3"/>
  <c r="K285" i="3"/>
  <c r="J530" i="3"/>
  <c r="J526" i="3" s="1"/>
  <c r="K526" i="3"/>
  <c r="G467" i="3"/>
  <c r="I187" i="4"/>
  <c r="F153" i="3"/>
  <c r="M496" i="3"/>
  <c r="M388" i="3" s="1"/>
  <c r="M390" i="3" s="1"/>
  <c r="F167" i="3"/>
  <c r="F164" i="3"/>
  <c r="F42" i="3"/>
  <c r="F121" i="3" s="1"/>
  <c r="F351" i="3"/>
  <c r="F352" i="3" s="1"/>
  <c r="C621" i="3"/>
  <c r="M181" i="3"/>
  <c r="G163" i="3"/>
  <c r="G153" i="3"/>
  <c r="G168" i="3" s="1"/>
  <c r="M515" i="3"/>
  <c r="M519" i="3" s="1"/>
  <c r="G165" i="3"/>
  <c r="G139" i="3"/>
  <c r="G46" i="3" s="1"/>
  <c r="G368" i="3"/>
  <c r="G166" i="3"/>
  <c r="G351" i="3"/>
  <c r="G586" i="3"/>
  <c r="N219" i="2"/>
  <c r="N231" i="2" s="1"/>
  <c r="N232" i="2" s="1"/>
  <c r="D621" i="3"/>
  <c r="O532" i="3"/>
  <c r="N187" i="2"/>
  <c r="N138" i="3"/>
  <c r="I15" i="5"/>
  <c r="J316" i="2"/>
  <c r="J329" i="2" s="1"/>
  <c r="J172" i="4"/>
  <c r="I26" i="3"/>
  <c r="I138" i="3"/>
  <c r="I51" i="3"/>
  <c r="J332" i="3"/>
  <c r="F35" i="2"/>
  <c r="F84" i="2" s="1"/>
  <c r="F60" i="2"/>
  <c r="E178" i="4"/>
  <c r="E180" i="4" s="1"/>
  <c r="F586" i="3"/>
  <c r="F69" i="5"/>
  <c r="F70" i="5" s="1"/>
  <c r="O135" i="3"/>
  <c r="O350" i="3"/>
  <c r="O307" i="3" s="1"/>
  <c r="I170" i="4"/>
  <c r="I174" i="4" s="1"/>
  <c r="H17" i="4"/>
  <c r="J330" i="2" s="1"/>
  <c r="I331" i="2" s="1"/>
  <c r="H115" i="3"/>
  <c r="J24" i="2"/>
  <c r="I6" i="5" s="1"/>
  <c r="I53" i="5" s="1"/>
  <c r="F70" i="3"/>
  <c r="H19" i="3"/>
  <c r="K57" i="2"/>
  <c r="K55" i="2" s="1"/>
  <c r="O207" i="2"/>
  <c r="O193" i="2"/>
  <c r="O213" i="2" s="1"/>
  <c r="G490" i="3"/>
  <c r="G430" i="3"/>
  <c r="O161" i="2"/>
  <c r="O165" i="2" s="1"/>
  <c r="O183" i="2" s="1"/>
  <c r="O184" i="2" s="1"/>
  <c r="F177" i="3"/>
  <c r="F168" i="3"/>
  <c r="F440" i="3"/>
  <c r="G30" i="3"/>
  <c r="G17" i="3"/>
  <c r="G516" i="3"/>
  <c r="G512" i="3" s="1"/>
  <c r="G513" i="3" s="1"/>
  <c r="H174" i="2"/>
  <c r="H183" i="2"/>
  <c r="I183" i="2" s="1"/>
  <c r="I42" i="2"/>
  <c r="O31" i="2"/>
  <c r="O42" i="2" s="1"/>
  <c r="O38" i="2" s="1"/>
  <c r="J31" i="2"/>
  <c r="I94" i="2"/>
  <c r="J564" i="3"/>
  <c r="K564" i="3" s="1"/>
  <c r="O564" i="3"/>
  <c r="O541" i="3" s="1"/>
  <c r="O542" i="3" s="1"/>
  <c r="O565" i="3" s="1"/>
  <c r="H39" i="5"/>
  <c r="H48" i="5" s="1"/>
  <c r="H137" i="3"/>
  <c r="I331" i="3"/>
  <c r="H25" i="3"/>
  <c r="H50" i="3"/>
  <c r="O144" i="3"/>
  <c r="I303" i="3"/>
  <c r="P232" i="3"/>
  <c r="K179" i="2"/>
  <c r="M214" i="2"/>
  <c r="H304" i="3"/>
  <c r="H277" i="3"/>
  <c r="E621" i="3"/>
  <c r="J41" i="5"/>
  <c r="G5" i="3"/>
  <c r="G121" i="3"/>
  <c r="G70" i="3"/>
  <c r="G68" i="3"/>
  <c r="G69" i="3"/>
  <c r="H180" i="2"/>
  <c r="H171" i="2"/>
  <c r="G492" i="3"/>
  <c r="F178" i="4"/>
  <c r="F180" i="4" s="1"/>
  <c r="G76" i="2"/>
  <c r="G35" i="2"/>
  <c r="G84" i="2" s="1"/>
  <c r="G38" i="2"/>
  <c r="G58" i="2"/>
  <c r="G36" i="2"/>
  <c r="F145" i="3"/>
  <c r="F498" i="3"/>
  <c r="F507" i="3" s="1"/>
  <c r="J62" i="4"/>
  <c r="I289" i="3"/>
  <c r="I283" i="3"/>
  <c r="I55" i="3"/>
  <c r="I199" i="3"/>
  <c r="I529" i="3"/>
  <c r="I528" i="3" s="1"/>
  <c r="O55" i="2"/>
  <c r="P55" i="2"/>
  <c r="N142" i="2"/>
  <c r="N162" i="2"/>
  <c r="N180" i="2" s="1"/>
  <c r="G178" i="4"/>
  <c r="G180" i="4" s="1"/>
  <c r="H35" i="2"/>
  <c r="H84" i="2" s="1"/>
  <c r="H76" i="2"/>
  <c r="H58" i="2"/>
  <c r="H38" i="2"/>
  <c r="H36" i="2"/>
  <c r="I122" i="4"/>
  <c r="I39" i="5" s="1"/>
  <c r="I48" i="5" s="1"/>
  <c r="J134" i="4"/>
  <c r="J47" i="5"/>
  <c r="D178" i="4"/>
  <c r="D180" i="4" s="1"/>
  <c r="E38" i="2"/>
  <c r="E36" i="2"/>
  <c r="E35" i="2"/>
  <c r="E84" i="2" s="1"/>
  <c r="E60" i="2"/>
  <c r="F76" i="2"/>
  <c r="F36" i="2"/>
  <c r="N391" i="3"/>
  <c r="J97" i="4"/>
  <c r="M142" i="3"/>
  <c r="M307" i="3"/>
  <c r="M305" i="3" s="1"/>
  <c r="H115" i="2"/>
  <c r="H124" i="2"/>
  <c r="H130" i="2" s="1"/>
  <c r="H127" i="2"/>
  <c r="P508" i="3"/>
  <c r="K508" i="3"/>
  <c r="N207" i="2"/>
  <c r="N193" i="2"/>
  <c r="N213" i="2" s="1"/>
  <c r="K354" i="2"/>
  <c r="K353" i="2" s="1"/>
  <c r="K24" i="2" s="1"/>
  <c r="J6" i="5" s="1"/>
  <c r="J53" i="5" s="1"/>
  <c r="N42" i="2"/>
  <c r="G501" i="3"/>
  <c r="H295" i="2"/>
  <c r="H297" i="2" s="1"/>
  <c r="H207" i="2"/>
  <c r="H197" i="2"/>
  <c r="H193" i="2"/>
  <c r="H532" i="3"/>
  <c r="G367" i="3"/>
  <c r="G177" i="3"/>
  <c r="N526" i="3"/>
  <c r="N534" i="3" s="1"/>
  <c r="F497" i="3"/>
  <c r="F144" i="3"/>
  <c r="K300" i="3"/>
  <c r="N538" i="3"/>
  <c r="P526" i="3"/>
  <c r="P534" i="3" s="1"/>
  <c r="H6" i="5"/>
  <c r="H53" i="5" s="1"/>
  <c r="P24" i="2"/>
  <c r="H116" i="2"/>
  <c r="H128" i="2"/>
  <c r="K233" i="3"/>
  <c r="J232" i="3"/>
  <c r="N529" i="3"/>
  <c r="N528" i="3" s="1"/>
  <c r="N199" i="3"/>
  <c r="O330" i="3"/>
  <c r="G82" i="3"/>
  <c r="G98" i="3"/>
  <c r="I41" i="2"/>
  <c r="I102" i="3"/>
  <c r="I13" i="3"/>
  <c r="I62" i="3"/>
  <c r="N41" i="2"/>
  <c r="K188" i="3"/>
  <c r="K290" i="3" s="1"/>
  <c r="J284" i="3"/>
  <c r="J187" i="3"/>
  <c r="J529" i="3" s="1"/>
  <c r="J528" i="3" s="1"/>
  <c r="J56" i="3"/>
  <c r="J22" i="4"/>
  <c r="J27" i="5" s="1"/>
  <c r="N525" i="3"/>
  <c r="H533" i="3"/>
  <c r="I533" i="3" s="1"/>
  <c r="I231" i="2"/>
  <c r="H232" i="2"/>
  <c r="H17" i="3"/>
  <c r="F333" i="3"/>
  <c r="F46" i="3"/>
  <c r="F135" i="3"/>
  <c r="F156" i="3" s="1"/>
  <c r="N179" i="2"/>
  <c r="M38" i="2"/>
  <c r="P187" i="3"/>
  <c r="I27" i="5"/>
  <c r="H515" i="3"/>
  <c r="N181" i="3"/>
  <c r="N515" i="3" s="1"/>
  <c r="N519" i="3" s="1"/>
  <c r="O136" i="2"/>
  <c r="O144" i="2" s="1"/>
  <c r="I181" i="3"/>
  <c r="P182" i="3"/>
  <c r="P183" i="3" s="1"/>
  <c r="E82" i="3"/>
  <c r="F98" i="3"/>
  <c r="K182" i="2"/>
  <c r="G333" i="3"/>
  <c r="G135" i="3"/>
  <c r="K64" i="3"/>
  <c r="K15" i="3"/>
  <c r="K104" i="3"/>
  <c r="D43" i="2"/>
  <c r="D39" i="2"/>
  <c r="K210" i="2"/>
  <c r="F517" i="3"/>
  <c r="F521" i="3" s="1"/>
  <c r="J55" i="2"/>
  <c r="J77" i="4"/>
  <c r="G156" i="3" l="1"/>
  <c r="G140" i="3"/>
  <c r="K63" i="3"/>
  <c r="K103" i="3"/>
  <c r="G352" i="3"/>
  <c r="G440" i="3"/>
  <c r="G88" i="3"/>
  <c r="G106" i="3" s="1"/>
  <c r="G67" i="5"/>
  <c r="G69" i="5" s="1"/>
  <c r="G70" i="5" s="1"/>
  <c r="F69" i="3"/>
  <c r="F30" i="3"/>
  <c r="F31" i="3" s="1"/>
  <c r="F5" i="3"/>
  <c r="F68" i="3"/>
  <c r="F88" i="3"/>
  <c r="F106" i="3" s="1"/>
  <c r="N165" i="2"/>
  <c r="N183" i="2" s="1"/>
  <c r="N184" i="2" s="1"/>
  <c r="F143" i="3"/>
  <c r="F142" i="3" s="1"/>
  <c r="G517" i="3"/>
  <c r="N38" i="2"/>
  <c r="K316" i="2"/>
  <c r="K329" i="2" s="1"/>
  <c r="J187" i="4"/>
  <c r="J15" i="5"/>
  <c r="I45" i="3"/>
  <c r="P138" i="3"/>
  <c r="N332" i="3"/>
  <c r="J170" i="4"/>
  <c r="J174" i="4" s="1"/>
  <c r="I17" i="4"/>
  <c r="K330" i="2" s="1"/>
  <c r="J331" i="2" s="1"/>
  <c r="O533" i="3"/>
  <c r="J51" i="3"/>
  <c r="J26" i="3"/>
  <c r="J138" i="3"/>
  <c r="J45" i="3" s="1"/>
  <c r="K332" i="3"/>
  <c r="I115" i="3"/>
  <c r="H91" i="3"/>
  <c r="G71" i="3"/>
  <c r="G92" i="3"/>
  <c r="G110" i="3" s="1"/>
  <c r="G9" i="3"/>
  <c r="M49" i="2"/>
  <c r="M39" i="2"/>
  <c r="M48" i="2"/>
  <c r="H203" i="2"/>
  <c r="H213" i="2"/>
  <c r="I213" i="2" s="1"/>
  <c r="I180" i="2"/>
  <c r="H184" i="2"/>
  <c r="I137" i="3"/>
  <c r="I50" i="3"/>
  <c r="I25" i="3"/>
  <c r="J331" i="3"/>
  <c r="K21" i="3"/>
  <c r="G348" i="3"/>
  <c r="H333" i="3"/>
  <c r="G326" i="3"/>
  <c r="G52" i="3"/>
  <c r="K284" i="3"/>
  <c r="K187" i="3"/>
  <c r="K56" i="3"/>
  <c r="N180" i="3"/>
  <c r="N268" i="3" s="1"/>
  <c r="N203" i="3"/>
  <c r="G364" i="3"/>
  <c r="G377" i="3"/>
  <c r="H49" i="2"/>
  <c r="H43" i="2"/>
  <c r="H77" i="2"/>
  <c r="H39" i="2"/>
  <c r="H85" i="2" s="1"/>
  <c r="N137" i="3"/>
  <c r="H136" i="3"/>
  <c r="H130" i="3"/>
  <c r="H133" i="3"/>
  <c r="H44" i="3"/>
  <c r="H127" i="3"/>
  <c r="J42" i="2"/>
  <c r="K31" i="2"/>
  <c r="J94" i="2"/>
  <c r="G31" i="3"/>
  <c r="O214" i="2"/>
  <c r="I19" i="3"/>
  <c r="F506" i="3"/>
  <c r="E43" i="2"/>
  <c r="E39" i="2"/>
  <c r="E85" i="2" s="1"/>
  <c r="F77" i="2"/>
  <c r="F43" i="2"/>
  <c r="I515" i="3"/>
  <c r="P181" i="3"/>
  <c r="H516" i="3"/>
  <c r="H517" i="3" s="1"/>
  <c r="H519" i="3"/>
  <c r="H520" i="3" s="1"/>
  <c r="J231" i="2"/>
  <c r="I232" i="2"/>
  <c r="J62" i="3"/>
  <c r="J13" i="3"/>
  <c r="J102" i="3"/>
  <c r="I207" i="2"/>
  <c r="H179" i="4"/>
  <c r="H58" i="5" s="1"/>
  <c r="H50" i="2"/>
  <c r="N58" i="2"/>
  <c r="I180" i="3"/>
  <c r="I268" i="3" s="1"/>
  <c r="I207" i="3"/>
  <c r="I295" i="3"/>
  <c r="G432" i="3"/>
  <c r="G521" i="3"/>
  <c r="F92" i="3"/>
  <c r="F110" i="3" s="1"/>
  <c r="F71" i="3"/>
  <c r="F9" i="3"/>
  <c r="F27" i="3" s="1"/>
  <c r="F432" i="3"/>
  <c r="K20" i="3"/>
  <c r="I101" i="3"/>
  <c r="I54" i="3"/>
  <c r="I74" i="3" s="1"/>
  <c r="I61" i="3"/>
  <c r="I12" i="3"/>
  <c r="O143" i="3"/>
  <c r="O142" i="3" s="1"/>
  <c r="O497" i="3"/>
  <c r="O496" i="3" s="1"/>
  <c r="O388" i="3" s="1"/>
  <c r="O390" i="3" s="1"/>
  <c r="P42" i="2"/>
  <c r="N564" i="3"/>
  <c r="P199" i="3"/>
  <c r="P529" i="3"/>
  <c r="P528" i="3" s="1"/>
  <c r="N533" i="3"/>
  <c r="N524" i="3"/>
  <c r="K232" i="3"/>
  <c r="G145" i="3"/>
  <c r="G500" i="3"/>
  <c r="G498" i="3"/>
  <c r="H118" i="2"/>
  <c r="H138" i="2" s="1"/>
  <c r="H136" i="2" s="1"/>
  <c r="O321" i="3"/>
  <c r="O327" i="3" s="1"/>
  <c r="O345" i="3"/>
  <c r="J533" i="3"/>
  <c r="I525" i="3"/>
  <c r="N48" i="2"/>
  <c r="N39" i="2"/>
  <c r="N49" i="2"/>
  <c r="O49" i="2"/>
  <c r="O39" i="2"/>
  <c r="O48" i="2"/>
  <c r="F326" i="3"/>
  <c r="F327" i="3" s="1"/>
  <c r="F52" i="3"/>
  <c r="J199" i="3"/>
  <c r="J55" i="3"/>
  <c r="J283" i="3"/>
  <c r="P41" i="2"/>
  <c r="J303" i="3"/>
  <c r="N214" i="2"/>
  <c r="J122" i="4"/>
  <c r="J39" i="5" s="1"/>
  <c r="J48" i="5" s="1"/>
  <c r="J289" i="3"/>
  <c r="G77" i="2"/>
  <c r="G43" i="2"/>
  <c r="G39" i="2"/>
  <c r="G85" i="2" s="1"/>
  <c r="H114" i="3"/>
  <c r="J183" i="2"/>
  <c r="H67" i="5" l="1"/>
  <c r="H214" i="2"/>
  <c r="J8" i="3"/>
  <c r="J91" i="3"/>
  <c r="J17" i="4"/>
  <c r="K331" i="2" s="1"/>
  <c r="I8" i="3"/>
  <c r="I91" i="3"/>
  <c r="J115" i="3"/>
  <c r="P332" i="3"/>
  <c r="P347" i="3" s="1"/>
  <c r="K26" i="3"/>
  <c r="K51" i="3"/>
  <c r="K115" i="3" s="1"/>
  <c r="K138" i="3"/>
  <c r="K45" i="3" s="1"/>
  <c r="J207" i="3"/>
  <c r="J295" i="3"/>
  <c r="J180" i="3"/>
  <c r="J288" i="3" s="1"/>
  <c r="G497" i="3"/>
  <c r="G144" i="3"/>
  <c r="G143" i="3" s="1"/>
  <c r="G142" i="3" s="1"/>
  <c r="K283" i="3"/>
  <c r="K55" i="3"/>
  <c r="K199" i="3"/>
  <c r="I136" i="3"/>
  <c r="I130" i="3"/>
  <c r="I133" i="3"/>
  <c r="I44" i="3"/>
  <c r="I127" i="3"/>
  <c r="P137" i="3"/>
  <c r="J101" i="3"/>
  <c r="J54" i="3"/>
  <c r="J74" i="3" s="1"/>
  <c r="J61" i="3"/>
  <c r="J12" i="3"/>
  <c r="I60" i="3"/>
  <c r="I100" i="3"/>
  <c r="I11" i="3"/>
  <c r="I77" i="3"/>
  <c r="I76" i="3"/>
  <c r="I75" i="3"/>
  <c r="J207" i="2"/>
  <c r="J19" i="3"/>
  <c r="K94" i="2"/>
  <c r="K42" i="2"/>
  <c r="O306" i="3"/>
  <c r="O305" i="3" s="1"/>
  <c r="N241" i="3"/>
  <c r="N277" i="3" s="1"/>
  <c r="N276" i="3"/>
  <c r="N265" i="3"/>
  <c r="N264" i="3"/>
  <c r="N263" i="3"/>
  <c r="N273" i="3"/>
  <c r="N262" i="3"/>
  <c r="G27" i="3"/>
  <c r="N532" i="3"/>
  <c r="N392" i="3"/>
  <c r="I516" i="3"/>
  <c r="I517" i="3" s="1"/>
  <c r="P515" i="3"/>
  <c r="I520" i="3"/>
  <c r="H512" i="3"/>
  <c r="H513" i="3" s="1"/>
  <c r="H521" i="3" s="1"/>
  <c r="I521" i="3" s="1"/>
  <c r="H377" i="3"/>
  <c r="I377" i="3" s="1"/>
  <c r="J377" i="3" s="1"/>
  <c r="K377" i="3" s="1"/>
  <c r="G116" i="3"/>
  <c r="K331" i="3"/>
  <c r="J50" i="3"/>
  <c r="J137" i="3"/>
  <c r="J25" i="3"/>
  <c r="K231" i="2"/>
  <c r="J232" i="2"/>
  <c r="J182" i="3"/>
  <c r="J181" i="3" s="1"/>
  <c r="J515" i="3" s="1"/>
  <c r="I280" i="3"/>
  <c r="I264" i="3"/>
  <c r="I241" i="3"/>
  <c r="I265" i="3"/>
  <c r="I263" i="3"/>
  <c r="I288" i="3"/>
  <c r="I273" i="3"/>
  <c r="I276" i="3"/>
  <c r="I262" i="3"/>
  <c r="H148" i="3"/>
  <c r="H330" i="3"/>
  <c r="H43" i="3"/>
  <c r="G365" i="3"/>
  <c r="G372" i="3"/>
  <c r="G353" i="3"/>
  <c r="F353" i="3" s="1"/>
  <c r="F364" i="3" s="1"/>
  <c r="G327" i="3"/>
  <c r="G342" i="3"/>
  <c r="J180" i="2"/>
  <c r="I184" i="2"/>
  <c r="K183" i="2"/>
  <c r="K289" i="3"/>
  <c r="P525" i="3"/>
  <c r="I524" i="3"/>
  <c r="H335" i="2"/>
  <c r="N136" i="2"/>
  <c r="N144" i="2" s="1"/>
  <c r="H144" i="2"/>
  <c r="K529" i="3"/>
  <c r="K528" i="3" s="1"/>
  <c r="J525" i="3"/>
  <c r="J524" i="3" s="1"/>
  <c r="K533" i="3"/>
  <c r="G507" i="3"/>
  <c r="K303" i="3"/>
  <c r="P180" i="3"/>
  <c r="I18" i="3"/>
  <c r="N50" i="2"/>
  <c r="N60" i="2"/>
  <c r="H7" i="3"/>
  <c r="H90" i="3"/>
  <c r="N331" i="3"/>
  <c r="N136" i="3"/>
  <c r="K62" i="3"/>
  <c r="K13" i="3"/>
  <c r="K102" i="3"/>
  <c r="H326" i="3"/>
  <c r="H52" i="3"/>
  <c r="H139" i="3"/>
  <c r="H350" i="3" s="1"/>
  <c r="I333" i="3"/>
  <c r="I114" i="3"/>
  <c r="J213" i="2"/>
  <c r="J268" i="3" l="1"/>
  <c r="H135" i="3"/>
  <c r="K91" i="3"/>
  <c r="K8" i="3"/>
  <c r="K19" i="3"/>
  <c r="I532" i="3"/>
  <c r="I392" i="3"/>
  <c r="K295" i="3"/>
  <c r="K207" i="3"/>
  <c r="K180" i="3"/>
  <c r="K288" i="3" s="1"/>
  <c r="K268" i="3"/>
  <c r="J333" i="3"/>
  <c r="I139" i="3"/>
  <c r="I326" i="3"/>
  <c r="I52" i="3"/>
  <c r="P533" i="3"/>
  <c r="P524" i="3"/>
  <c r="J516" i="3"/>
  <c r="J517" i="3" s="1"/>
  <c r="J133" i="3"/>
  <c r="J127" i="3"/>
  <c r="J44" i="3"/>
  <c r="J130" i="3"/>
  <c r="J136" i="3"/>
  <c r="I17" i="3"/>
  <c r="I90" i="3"/>
  <c r="I7" i="3"/>
  <c r="K61" i="3"/>
  <c r="K12" i="3"/>
  <c r="K101" i="3"/>
  <c r="K54" i="3"/>
  <c r="K74" i="3" s="1"/>
  <c r="G506" i="3"/>
  <c r="H46" i="3"/>
  <c r="N139" i="3"/>
  <c r="N333" i="3" s="1"/>
  <c r="N326" i="3" s="1"/>
  <c r="K525" i="3"/>
  <c r="K524" i="3" s="1"/>
  <c r="G373" i="3"/>
  <c r="H373" i="3" s="1"/>
  <c r="G355" i="3"/>
  <c r="H355" i="3" s="1"/>
  <c r="I355" i="3" s="1"/>
  <c r="J355" i="3" s="1"/>
  <c r="K355" i="3" s="1"/>
  <c r="H163" i="3"/>
  <c r="H124" i="3"/>
  <c r="H172" i="3"/>
  <c r="J114" i="3"/>
  <c r="K207" i="2"/>
  <c r="J241" i="3"/>
  <c r="K182" i="3"/>
  <c r="K181" i="3" s="1"/>
  <c r="K515" i="3" s="1"/>
  <c r="J280" i="3"/>
  <c r="J265" i="3"/>
  <c r="J264" i="3"/>
  <c r="J273" i="3"/>
  <c r="J263" i="3"/>
  <c r="J276" i="3"/>
  <c r="J262" i="3"/>
  <c r="F372" i="3"/>
  <c r="F367" i="3"/>
  <c r="N330" i="3"/>
  <c r="N321" i="3" s="1"/>
  <c r="J532" i="3"/>
  <c r="J392" i="3"/>
  <c r="H368" i="3"/>
  <c r="H307" i="3"/>
  <c r="H153" i="3"/>
  <c r="H42" i="3"/>
  <c r="H68" i="3" s="1"/>
  <c r="K137" i="3"/>
  <c r="K25" i="3"/>
  <c r="K50" i="3"/>
  <c r="K114" i="3" s="1"/>
  <c r="I513" i="3"/>
  <c r="J521" i="3"/>
  <c r="N565" i="3"/>
  <c r="J60" i="3"/>
  <c r="J100" i="3"/>
  <c r="J11" i="3"/>
  <c r="J77" i="3"/>
  <c r="J76" i="3"/>
  <c r="J75" i="3"/>
  <c r="H89" i="3"/>
  <c r="H107" i="3" s="1"/>
  <c r="H6" i="3"/>
  <c r="I304" i="3"/>
  <c r="I277" i="3"/>
  <c r="J520" i="3"/>
  <c r="I512" i="3"/>
  <c r="P331" i="3"/>
  <c r="P346" i="3" s="1"/>
  <c r="P136" i="3"/>
  <c r="I350" i="3"/>
  <c r="I330" i="3"/>
  <c r="I148" i="3"/>
  <c r="I135" i="3"/>
  <c r="I43" i="3"/>
  <c r="K213" i="2"/>
  <c r="H116" i="3"/>
  <c r="P241" i="3"/>
  <c r="P277" i="3" s="1"/>
  <c r="P264" i="3"/>
  <c r="P273" i="3"/>
  <c r="P265" i="3"/>
  <c r="P263" i="3"/>
  <c r="P262" i="3"/>
  <c r="P276" i="3"/>
  <c r="H342" i="3"/>
  <c r="P268" i="3"/>
  <c r="H337" i="2"/>
  <c r="I337" i="2" s="1"/>
  <c r="J337" i="2" s="1"/>
  <c r="K337" i="2" s="1"/>
  <c r="K180" i="2"/>
  <c r="J184" i="2"/>
  <c r="H321" i="3"/>
  <c r="H337" i="3" s="1"/>
  <c r="H345" i="3"/>
  <c r="H49" i="3"/>
  <c r="K232" i="2"/>
  <c r="J18" i="3"/>
  <c r="N350" i="3" l="1"/>
  <c r="N307" i="3" s="1"/>
  <c r="N135" i="3"/>
  <c r="H327" i="3"/>
  <c r="N327" i="3"/>
  <c r="K520" i="3"/>
  <c r="J512" i="3"/>
  <c r="K516" i="3"/>
  <c r="K517" i="3" s="1"/>
  <c r="I342" i="3"/>
  <c r="I307" i="3"/>
  <c r="I153" i="3"/>
  <c r="I42" i="3"/>
  <c r="I68" i="3" s="1"/>
  <c r="J304" i="3"/>
  <c r="J277" i="3"/>
  <c r="K532" i="3"/>
  <c r="K392" i="3"/>
  <c r="P139" i="3"/>
  <c r="P333" i="3" s="1"/>
  <c r="I46" i="3"/>
  <c r="I542" i="3"/>
  <c r="I451" i="3"/>
  <c r="I100" i="2"/>
  <c r="I40" i="3"/>
  <c r="I89" i="3"/>
  <c r="I107" i="3" s="1"/>
  <c r="I6" i="3"/>
  <c r="J17" i="3"/>
  <c r="K521" i="3"/>
  <c r="J513" i="3"/>
  <c r="H5" i="3"/>
  <c r="H121" i="3"/>
  <c r="H70" i="3"/>
  <c r="H88" i="3"/>
  <c r="H106" i="3" s="1"/>
  <c r="H69" i="3"/>
  <c r="F377" i="3"/>
  <c r="G378" i="3" s="1"/>
  <c r="F359" i="3"/>
  <c r="G360" i="3" s="1"/>
  <c r="K100" i="3"/>
  <c r="K11" i="3"/>
  <c r="K60" i="3"/>
  <c r="K77" i="3"/>
  <c r="K76" i="3"/>
  <c r="K75" i="3"/>
  <c r="J326" i="3"/>
  <c r="J52" i="3"/>
  <c r="J139" i="3"/>
  <c r="J135" i="3" s="1"/>
  <c r="K333" i="3"/>
  <c r="K133" i="3"/>
  <c r="K130" i="3"/>
  <c r="K127" i="3"/>
  <c r="K136" i="3"/>
  <c r="K44" i="3"/>
  <c r="P330" i="3"/>
  <c r="H24" i="3"/>
  <c r="J451" i="3"/>
  <c r="J542" i="3"/>
  <c r="J40" i="3"/>
  <c r="J100" i="2"/>
  <c r="P532" i="3"/>
  <c r="P392" i="3"/>
  <c r="J90" i="3"/>
  <c r="J7" i="3"/>
  <c r="I172" i="3"/>
  <c r="I163" i="3"/>
  <c r="I124" i="3"/>
  <c r="H367" i="3"/>
  <c r="H168" i="3"/>
  <c r="H177" i="3"/>
  <c r="K18" i="3"/>
  <c r="J330" i="3"/>
  <c r="J43" i="3"/>
  <c r="J148" i="3"/>
  <c r="K241" i="3"/>
  <c r="K280" i="3"/>
  <c r="K264" i="3"/>
  <c r="K265" i="3"/>
  <c r="K273" i="3"/>
  <c r="K263" i="3"/>
  <c r="K262" i="3"/>
  <c r="K276" i="3"/>
  <c r="I373" i="3"/>
  <c r="H365" i="3"/>
  <c r="H364" i="3" s="1"/>
  <c r="H113" i="3"/>
  <c r="K184" i="2"/>
  <c r="I345" i="3"/>
  <c r="I321" i="3"/>
  <c r="I337" i="3" s="1"/>
  <c r="I49" i="3"/>
  <c r="I511" i="3"/>
  <c r="H336" i="3"/>
  <c r="H503" i="3" s="1"/>
  <c r="H48" i="3"/>
  <c r="H23" i="3"/>
  <c r="H92" i="3"/>
  <c r="H110" i="3" s="1"/>
  <c r="H71" i="3"/>
  <c r="H9" i="3"/>
  <c r="I116" i="3"/>
  <c r="J350" i="3" l="1"/>
  <c r="J307" i="3" s="1"/>
  <c r="P135" i="3"/>
  <c r="P350" i="3"/>
  <c r="I327" i="3"/>
  <c r="J116" i="3"/>
  <c r="J89" i="3"/>
  <c r="J107" i="3" s="1"/>
  <c r="J6" i="3"/>
  <c r="K513" i="3"/>
  <c r="P321" i="3"/>
  <c r="P345" i="3"/>
  <c r="J172" i="3"/>
  <c r="J124" i="3"/>
  <c r="K17" i="3"/>
  <c r="I121" i="3"/>
  <c r="I88" i="3"/>
  <c r="I106" i="3" s="1"/>
  <c r="I5" i="3"/>
  <c r="I70" i="3"/>
  <c r="I69" i="3"/>
  <c r="I594" i="3"/>
  <c r="P542" i="3"/>
  <c r="P565" i="3" s="1"/>
  <c r="I123" i="2"/>
  <c r="K542" i="3"/>
  <c r="K451" i="3"/>
  <c r="K40" i="3"/>
  <c r="K100" i="2"/>
  <c r="I367" i="3"/>
  <c r="I177" i="3"/>
  <c r="I168" i="3"/>
  <c r="H27" i="3"/>
  <c r="J594" i="3"/>
  <c r="J123" i="2"/>
  <c r="K90" i="3"/>
  <c r="K7" i="3"/>
  <c r="I24" i="3"/>
  <c r="I92" i="3"/>
  <c r="I110" i="3" s="1"/>
  <c r="I71" i="3"/>
  <c r="I9" i="3"/>
  <c r="I336" i="3"/>
  <c r="I503" i="3" s="1"/>
  <c r="I48" i="3"/>
  <c r="I23" i="3"/>
  <c r="J511" i="3"/>
  <c r="I113" i="3"/>
  <c r="J110" i="2"/>
  <c r="I115" i="4"/>
  <c r="I43" i="4" s="1"/>
  <c r="I111" i="4"/>
  <c r="P307" i="3"/>
  <c r="J342" i="3"/>
  <c r="H112" i="3"/>
  <c r="H501" i="3"/>
  <c r="H500" i="3"/>
  <c r="H362" i="3"/>
  <c r="H372" i="3"/>
  <c r="H353" i="3"/>
  <c r="J345" i="3"/>
  <c r="J49" i="3"/>
  <c r="J321" i="3"/>
  <c r="J337" i="3" s="1"/>
  <c r="K326" i="3"/>
  <c r="K52" i="3"/>
  <c r="K116" i="3" s="1"/>
  <c r="K139" i="3"/>
  <c r="K135" i="3" s="1"/>
  <c r="P511" i="3"/>
  <c r="I391" i="3"/>
  <c r="I519" i="3"/>
  <c r="I365" i="3"/>
  <c r="I364" i="3" s="1"/>
  <c r="J373" i="3"/>
  <c r="K277" i="3"/>
  <c r="K304" i="3"/>
  <c r="K330" i="3"/>
  <c r="K148" i="3"/>
  <c r="K43" i="3"/>
  <c r="J46" i="3"/>
  <c r="P100" i="2"/>
  <c r="I110" i="2"/>
  <c r="H115" i="4"/>
  <c r="H43" i="4" s="1"/>
  <c r="H111" i="4"/>
  <c r="P326" i="3"/>
  <c r="P327" i="3" s="1"/>
  <c r="P348" i="3"/>
  <c r="K512" i="3"/>
  <c r="J153" i="3" l="1"/>
  <c r="J168" i="3" s="1"/>
  <c r="J42" i="3"/>
  <c r="J68" i="3" s="1"/>
  <c r="J163" i="3"/>
  <c r="K511" i="3"/>
  <c r="K391" i="3" s="1"/>
  <c r="J336" i="3"/>
  <c r="J503" i="3" s="1"/>
  <c r="J48" i="3"/>
  <c r="J23" i="3"/>
  <c r="K172" i="3"/>
  <c r="K124" i="3"/>
  <c r="K373" i="3"/>
  <c r="J365" i="3"/>
  <c r="J364" i="3" s="1"/>
  <c r="P391" i="3"/>
  <c r="P519" i="3"/>
  <c r="J113" i="3"/>
  <c r="N501" i="3"/>
  <c r="N145" i="3" s="1"/>
  <c r="H145" i="3"/>
  <c r="K6" i="3"/>
  <c r="K89" i="3"/>
  <c r="K107" i="3" s="1"/>
  <c r="K342" i="3"/>
  <c r="H499" i="3"/>
  <c r="N500" i="3"/>
  <c r="H144" i="3"/>
  <c r="J391" i="3"/>
  <c r="J519" i="3"/>
  <c r="K345" i="3"/>
  <c r="K321" i="3"/>
  <c r="K337" i="3" s="1"/>
  <c r="K49" i="3"/>
  <c r="K113" i="3" s="1"/>
  <c r="I112" i="3"/>
  <c r="K594" i="3"/>
  <c r="K123" i="2"/>
  <c r="K519" i="3"/>
  <c r="I541" i="3"/>
  <c r="I450" i="3"/>
  <c r="I99" i="2"/>
  <c r="I39" i="3"/>
  <c r="I129" i="2"/>
  <c r="I117" i="2"/>
  <c r="H370" i="3"/>
  <c r="H371" i="3" s="1"/>
  <c r="H363" i="3"/>
  <c r="H29" i="3"/>
  <c r="H351" i="3"/>
  <c r="J24" i="3"/>
  <c r="I372" i="3"/>
  <c r="I362" i="3"/>
  <c r="I353" i="3"/>
  <c r="K46" i="3"/>
  <c r="I500" i="3"/>
  <c r="I501" i="3"/>
  <c r="J327" i="3"/>
  <c r="J71" i="3"/>
  <c r="J9" i="3"/>
  <c r="J92" i="3"/>
  <c r="J110" i="3" s="1"/>
  <c r="K350" i="3"/>
  <c r="J117" i="2"/>
  <c r="J129" i="2"/>
  <c r="I27" i="3"/>
  <c r="K110" i="2"/>
  <c r="J115" i="4"/>
  <c r="J43" i="4" s="1"/>
  <c r="J111" i="4"/>
  <c r="J121" i="3"/>
  <c r="J88" i="3"/>
  <c r="J106" i="3" s="1"/>
  <c r="J5" i="3"/>
  <c r="J70" i="3"/>
  <c r="J69" i="3"/>
  <c r="J177" i="3" l="1"/>
  <c r="J367" i="3"/>
  <c r="I109" i="2"/>
  <c r="P99" i="2"/>
  <c r="N499" i="3"/>
  <c r="N144" i="3"/>
  <c r="N143" i="3" s="1"/>
  <c r="N142" i="3" s="1"/>
  <c r="K24" i="3"/>
  <c r="H498" i="3"/>
  <c r="K117" i="2"/>
  <c r="K129" i="2"/>
  <c r="H389" i="3"/>
  <c r="J362" i="3"/>
  <c r="J372" i="3"/>
  <c r="J353" i="3"/>
  <c r="K307" i="3"/>
  <c r="K42" i="3"/>
  <c r="K71" i="3" s="1"/>
  <c r="K153" i="3"/>
  <c r="P501" i="3"/>
  <c r="P145" i="3" s="1"/>
  <c r="I145" i="3"/>
  <c r="I363" i="3"/>
  <c r="I370" i="3"/>
  <c r="I371" i="3" s="1"/>
  <c r="I29" i="3"/>
  <c r="I351" i="3"/>
  <c r="H352" i="3"/>
  <c r="H30" i="3"/>
  <c r="K365" i="3"/>
  <c r="K364" i="3" s="1"/>
  <c r="I499" i="3"/>
  <c r="P500" i="3"/>
  <c r="I144" i="3"/>
  <c r="K327" i="3"/>
  <c r="K163" i="3"/>
  <c r="J112" i="3"/>
  <c r="J27" i="3"/>
  <c r="J501" i="3"/>
  <c r="J145" i="3" s="1"/>
  <c r="J498" i="3" s="1"/>
  <c r="J500" i="3"/>
  <c r="H613" i="3"/>
  <c r="H591" i="3" s="1"/>
  <c r="H612" i="3"/>
  <c r="H590" i="3" s="1"/>
  <c r="H611" i="3"/>
  <c r="H589" i="3" s="1"/>
  <c r="H610" i="3"/>
  <c r="H588" i="3" s="1"/>
  <c r="H609" i="3"/>
  <c r="H587" i="3" s="1"/>
  <c r="I593" i="3"/>
  <c r="P541" i="3"/>
  <c r="P564" i="3" s="1"/>
  <c r="I122" i="2"/>
  <c r="J541" i="3"/>
  <c r="J450" i="3"/>
  <c r="J39" i="3"/>
  <c r="J99" i="2"/>
  <c r="K92" i="3"/>
  <c r="K110" i="3" s="1"/>
  <c r="K9" i="3"/>
  <c r="K541" i="3"/>
  <c r="K450" i="3"/>
  <c r="K39" i="3"/>
  <c r="K99" i="2"/>
  <c r="H143" i="3"/>
  <c r="H497" i="3"/>
  <c r="K593" i="3" l="1"/>
  <c r="K122" i="2"/>
  <c r="H621" i="3"/>
  <c r="I352" i="3"/>
  <c r="I30" i="3"/>
  <c r="H622" i="3"/>
  <c r="I143" i="3"/>
  <c r="I497" i="3"/>
  <c r="K168" i="3"/>
  <c r="K367" i="3"/>
  <c r="K362" i="3" s="1"/>
  <c r="K177" i="3"/>
  <c r="I128" i="2"/>
  <c r="I116" i="2"/>
  <c r="K372" i="3"/>
  <c r="K353" i="3"/>
  <c r="K336" i="3"/>
  <c r="K503" i="3" s="1"/>
  <c r="K48" i="3"/>
  <c r="K23" i="3"/>
  <c r="J363" i="3"/>
  <c r="J370" i="3"/>
  <c r="J371" i="3" s="1"/>
  <c r="J29" i="3"/>
  <c r="J351" i="3"/>
  <c r="H142" i="3"/>
  <c r="K109" i="2"/>
  <c r="J499" i="3"/>
  <c r="J389" i="3" s="1"/>
  <c r="J144" i="3"/>
  <c r="P499" i="3"/>
  <c r="P144" i="3"/>
  <c r="P143" i="3" s="1"/>
  <c r="P142" i="3" s="1"/>
  <c r="N498" i="3"/>
  <c r="N507" i="3" s="1"/>
  <c r="I389" i="3"/>
  <c r="I613" i="3"/>
  <c r="I591" i="3" s="1"/>
  <c r="I611" i="3"/>
  <c r="I589" i="3" s="1"/>
  <c r="I609" i="3"/>
  <c r="I587" i="3" s="1"/>
  <c r="I612" i="3"/>
  <c r="I590" i="3" s="1"/>
  <c r="I610" i="3"/>
  <c r="I588" i="3" s="1"/>
  <c r="K88" i="3"/>
  <c r="K106" i="3" s="1"/>
  <c r="K5" i="3"/>
  <c r="K70" i="3"/>
  <c r="K69" i="3"/>
  <c r="K68" i="3"/>
  <c r="H483" i="3"/>
  <c r="H448" i="3"/>
  <c r="N503" i="3"/>
  <c r="N389" i="3"/>
  <c r="H496" i="3"/>
  <c r="N497" i="3"/>
  <c r="H620" i="3"/>
  <c r="J109" i="2"/>
  <c r="K27" i="3"/>
  <c r="H618" i="3"/>
  <c r="H586" i="3"/>
  <c r="J593" i="3"/>
  <c r="J122" i="2"/>
  <c r="H619" i="3"/>
  <c r="H31" i="3"/>
  <c r="I498" i="3"/>
  <c r="K370" i="3" l="1"/>
  <c r="K371" i="3" s="1"/>
  <c r="K363" i="3"/>
  <c r="K29" i="3"/>
  <c r="K351" i="3"/>
  <c r="I586" i="3"/>
  <c r="I31" i="3"/>
  <c r="J448" i="3"/>
  <c r="J352" i="3"/>
  <c r="J30" i="3"/>
  <c r="K501" i="3"/>
  <c r="K145" i="3" s="1"/>
  <c r="K498" i="3" s="1"/>
  <c r="K500" i="3"/>
  <c r="H617" i="3"/>
  <c r="H592" i="3"/>
  <c r="P497" i="3"/>
  <c r="I496" i="3"/>
  <c r="H388" i="3"/>
  <c r="J143" i="3"/>
  <c r="J142" i="3" s="1"/>
  <c r="J497" i="3"/>
  <c r="K112" i="3"/>
  <c r="K116" i="2"/>
  <c r="K128" i="2"/>
  <c r="P498" i="3"/>
  <c r="P507" i="3" s="1"/>
  <c r="J128" i="2"/>
  <c r="J116" i="2"/>
  <c r="N496" i="3"/>
  <c r="N388" i="3" s="1"/>
  <c r="N506" i="3"/>
  <c r="I448" i="3"/>
  <c r="P389" i="3"/>
  <c r="P503" i="3"/>
  <c r="J613" i="3"/>
  <c r="J591" i="3" s="1"/>
  <c r="J611" i="3"/>
  <c r="J589" i="3" s="1"/>
  <c r="J609" i="3"/>
  <c r="J587" i="3" s="1"/>
  <c r="J612" i="3"/>
  <c r="J590" i="3" s="1"/>
  <c r="J610" i="3"/>
  <c r="J588" i="3" s="1"/>
  <c r="I142" i="3"/>
  <c r="J586" i="3" l="1"/>
  <c r="H482" i="3"/>
  <c r="H447" i="3"/>
  <c r="H390" i="3"/>
  <c r="K352" i="3"/>
  <c r="K30" i="3"/>
  <c r="K499" i="3"/>
  <c r="K389" i="3" s="1"/>
  <c r="K144" i="3"/>
  <c r="K613" i="3"/>
  <c r="K591" i="3" s="1"/>
  <c r="K612" i="3"/>
  <c r="K590" i="3" s="1"/>
  <c r="K611" i="3"/>
  <c r="K589" i="3" s="1"/>
  <c r="K610" i="3"/>
  <c r="K588" i="3" s="1"/>
  <c r="K609" i="3"/>
  <c r="K587" i="3" s="1"/>
  <c r="J31" i="3"/>
  <c r="I388" i="3"/>
  <c r="J496" i="3"/>
  <c r="J388" i="3" s="1"/>
  <c r="H623" i="3"/>
  <c r="H614" i="3"/>
  <c r="H605" i="3" s="1"/>
  <c r="P506" i="3"/>
  <c r="P496" i="3"/>
  <c r="P388" i="3" s="1"/>
  <c r="K586" i="3" l="1"/>
  <c r="K143" i="3"/>
  <c r="K142" i="3" s="1"/>
  <c r="K497" i="3"/>
  <c r="H449" i="3"/>
  <c r="H484" i="3"/>
  <c r="I390" i="3"/>
  <c r="I387" i="3" s="1"/>
  <c r="N390" i="3"/>
  <c r="N387" i="3" s="1"/>
  <c r="H395" i="3"/>
  <c r="I447" i="3"/>
  <c r="K448" i="3"/>
  <c r="J447" i="3"/>
  <c r="K31" i="3"/>
  <c r="I540" i="3" l="1"/>
  <c r="I446" i="3"/>
  <c r="I384" i="3"/>
  <c r="I481" i="3" s="1"/>
  <c r="I38" i="3"/>
  <c r="I98" i="2"/>
  <c r="I368" i="3"/>
  <c r="H454" i="3"/>
  <c r="H423" i="3"/>
  <c r="H35" i="3"/>
  <c r="H401" i="3"/>
  <c r="K496" i="3"/>
  <c r="K388" i="3" s="1"/>
  <c r="N306" i="3"/>
  <c r="N305" i="3" s="1"/>
  <c r="N384" i="3"/>
  <c r="N563" i="3"/>
  <c r="P390" i="3"/>
  <c r="P387" i="3" s="1"/>
  <c r="J390" i="3"/>
  <c r="I395" i="3"/>
  <c r="I401" i="3"/>
  <c r="K390" i="3" l="1"/>
  <c r="K387" i="3" s="1"/>
  <c r="J401" i="3"/>
  <c r="J395" i="3"/>
  <c r="J387" i="3"/>
  <c r="I585" i="3"/>
  <c r="P540" i="3"/>
  <c r="I538" i="3"/>
  <c r="I121" i="2"/>
  <c r="P384" i="3"/>
  <c r="P7" i="2" s="1"/>
  <c r="P306" i="3"/>
  <c r="P305" i="3" s="1"/>
  <c r="H81" i="3"/>
  <c r="H95" i="3"/>
  <c r="H109" i="4"/>
  <c r="H108" i="4" s="1"/>
  <c r="H31" i="4" s="1"/>
  <c r="H30" i="5" s="1"/>
  <c r="I108" i="2"/>
  <c r="P98" i="2"/>
  <c r="N584" i="3"/>
  <c r="N561" i="3"/>
  <c r="H489" i="3"/>
  <c r="H429" i="3"/>
  <c r="H430" i="3" s="1"/>
  <c r="H424" i="3" s="1"/>
  <c r="H490" i="3" s="1"/>
  <c r="I443" i="3"/>
  <c r="I7" i="2"/>
  <c r="I33" i="3"/>
  <c r="I486" i="3"/>
  <c r="I485" i="3"/>
  <c r="I483" i="3"/>
  <c r="I482" i="3"/>
  <c r="H460" i="3"/>
  <c r="H426" i="3"/>
  <c r="H552" i="3"/>
  <c r="H36" i="3"/>
  <c r="I552" i="3"/>
  <c r="I557" i="3" s="1"/>
  <c r="I580" i="3" s="1"/>
  <c r="I460" i="3"/>
  <c r="I426" i="3"/>
  <c r="I36" i="3"/>
  <c r="I423" i="3"/>
  <c r="I454" i="3"/>
  <c r="I35" i="3"/>
  <c r="I484" i="3"/>
  <c r="K447" i="3"/>
  <c r="H425" i="3" l="1"/>
  <c r="H432" i="3"/>
  <c r="H492" i="3"/>
  <c r="I115" i="2"/>
  <c r="I118" i="2" s="1"/>
  <c r="I138" i="2" s="1"/>
  <c r="I127" i="2"/>
  <c r="I124" i="2"/>
  <c r="I130" i="2" s="1"/>
  <c r="J423" i="3"/>
  <c r="J454" i="3"/>
  <c r="J35" i="3"/>
  <c r="I432" i="3"/>
  <c r="I492" i="3"/>
  <c r="P8" i="2"/>
  <c r="P212" i="2"/>
  <c r="P105" i="2"/>
  <c r="P104" i="2"/>
  <c r="H82" i="3"/>
  <c r="H98" i="3"/>
  <c r="H491" i="3"/>
  <c r="H431" i="3"/>
  <c r="H558" i="3"/>
  <c r="I561" i="3"/>
  <c r="I584" i="3"/>
  <c r="I9" i="2" s="1"/>
  <c r="I72" i="2" s="1"/>
  <c r="I551" i="3"/>
  <c r="J552" i="3"/>
  <c r="J557" i="3" s="1"/>
  <c r="J580" i="3" s="1"/>
  <c r="J426" i="3"/>
  <c r="J460" i="3"/>
  <c r="J75" i="2" s="1"/>
  <c r="J33" i="2" s="1"/>
  <c r="J36" i="3"/>
  <c r="H38" i="4"/>
  <c r="I8" i="2"/>
  <c r="I148" i="2"/>
  <c r="I137" i="2"/>
  <c r="P137" i="2" s="1"/>
  <c r="P145" i="2" s="1"/>
  <c r="I189" i="2"/>
  <c r="I133" i="2"/>
  <c r="P133" i="2" s="1"/>
  <c r="P141" i="2" s="1"/>
  <c r="I63" i="2"/>
  <c r="I40" i="2"/>
  <c r="I134" i="2"/>
  <c r="P134" i="2" s="1"/>
  <c r="P142" i="2" s="1"/>
  <c r="I135" i="2"/>
  <c r="P135" i="2" s="1"/>
  <c r="P143" i="2" s="1"/>
  <c r="I160" i="2"/>
  <c r="I218" i="2"/>
  <c r="I212" i="2"/>
  <c r="I214" i="2" s="1"/>
  <c r="I191" i="2"/>
  <c r="I188" i="2"/>
  <c r="I163" i="2"/>
  <c r="I217" i="2"/>
  <c r="I164" i="2"/>
  <c r="I161" i="2"/>
  <c r="H133" i="4"/>
  <c r="I190" i="2"/>
  <c r="I165" i="2"/>
  <c r="I219" i="2"/>
  <c r="I162" i="2"/>
  <c r="I193" i="2"/>
  <c r="I187" i="2"/>
  <c r="I105" i="2"/>
  <c r="I104" i="2"/>
  <c r="I429" i="3"/>
  <c r="I430" i="3" s="1"/>
  <c r="I424" i="3" s="1"/>
  <c r="I490" i="3" s="1"/>
  <c r="I489" i="3"/>
  <c r="P563" i="3"/>
  <c r="P538" i="3"/>
  <c r="K401" i="3"/>
  <c r="K395" i="3"/>
  <c r="I94" i="3"/>
  <c r="I86" i="3"/>
  <c r="I85" i="3"/>
  <c r="I103" i="2"/>
  <c r="J540" i="3"/>
  <c r="J446" i="3"/>
  <c r="J384" i="3"/>
  <c r="J481" i="3" s="1"/>
  <c r="J38" i="3"/>
  <c r="J98" i="2"/>
  <c r="J368" i="3"/>
  <c r="I81" i="3"/>
  <c r="I95" i="3"/>
  <c r="I84" i="3"/>
  <c r="K540" i="3"/>
  <c r="K446" i="3"/>
  <c r="K384" i="3"/>
  <c r="K481" i="3" s="1"/>
  <c r="K38" i="3"/>
  <c r="K98" i="2"/>
  <c r="K368" i="3"/>
  <c r="I98" i="3"/>
  <c r="I82" i="3"/>
  <c r="H557" i="3"/>
  <c r="H580" i="3" s="1"/>
  <c r="H551" i="3"/>
  <c r="P103" i="2"/>
  <c r="I592" i="3"/>
  <c r="I619" i="3"/>
  <c r="I620" i="3"/>
  <c r="I621" i="3"/>
  <c r="I622" i="3"/>
  <c r="I618" i="3"/>
  <c r="I617" i="3"/>
  <c r="K484" i="3" l="1"/>
  <c r="J492" i="3"/>
  <c r="J432" i="3"/>
  <c r="J443" i="3"/>
  <c r="J33" i="3"/>
  <c r="J84" i="3" s="1"/>
  <c r="J7" i="2"/>
  <c r="J103" i="2" s="1"/>
  <c r="J486" i="3"/>
  <c r="J485" i="3"/>
  <c r="J483" i="3"/>
  <c r="J482" i="3"/>
  <c r="J484" i="3"/>
  <c r="I174" i="2"/>
  <c r="P165" i="2"/>
  <c r="P183" i="2" s="1"/>
  <c r="I172" i="2"/>
  <c r="P163" i="2"/>
  <c r="P181" i="2" s="1"/>
  <c r="I574" i="3"/>
  <c r="J108" i="2"/>
  <c r="I109" i="4"/>
  <c r="I108" i="4" s="1"/>
  <c r="I31" i="4" s="1"/>
  <c r="I30" i="5" s="1"/>
  <c r="I171" i="2"/>
  <c r="P162" i="2"/>
  <c r="P180" i="2" s="1"/>
  <c r="P218" i="2"/>
  <c r="P230" i="2" s="1"/>
  <c r="I224" i="2"/>
  <c r="J489" i="3"/>
  <c r="J429" i="3"/>
  <c r="J430" i="3" s="1"/>
  <c r="J424" i="3" s="1"/>
  <c r="J490" i="3" s="1"/>
  <c r="K108" i="2"/>
  <c r="J109" i="4"/>
  <c r="J108" i="4" s="1"/>
  <c r="J31" i="4" s="1"/>
  <c r="I225" i="2"/>
  <c r="P219" i="2"/>
  <c r="P231" i="2" s="1"/>
  <c r="I166" i="2"/>
  <c r="I169" i="2"/>
  <c r="P160" i="2"/>
  <c r="P178" i="2" s="1"/>
  <c r="H556" i="3"/>
  <c r="H574" i="3"/>
  <c r="H31" i="5"/>
  <c r="H45" i="4"/>
  <c r="I136" i="2"/>
  <c r="I201" i="2"/>
  <c r="P191" i="2"/>
  <c r="P211" i="2" s="1"/>
  <c r="I326" i="2"/>
  <c r="H82" i="4"/>
  <c r="H6" i="4" s="1"/>
  <c r="I66" i="2"/>
  <c r="I10" i="2"/>
  <c r="H70" i="4"/>
  <c r="H5" i="4" s="1"/>
  <c r="H95" i="4"/>
  <c r="H29" i="4" s="1"/>
  <c r="J95" i="3"/>
  <c r="K585" i="3"/>
  <c r="K538" i="3"/>
  <c r="K121" i="2"/>
  <c r="K426" i="3"/>
  <c r="K460" i="3"/>
  <c r="K75" i="2" s="1"/>
  <c r="K33" i="2" s="1"/>
  <c r="K36" i="3"/>
  <c r="K552" i="3"/>
  <c r="K557" i="3" s="1"/>
  <c r="K580" i="3" s="1"/>
  <c r="I325" i="2"/>
  <c r="P164" i="2"/>
  <c r="P182" i="2" s="1"/>
  <c r="I173" i="2"/>
  <c r="I623" i="3"/>
  <c r="I614" i="3"/>
  <c r="I605" i="3" s="1"/>
  <c r="I220" i="2"/>
  <c r="P217" i="2"/>
  <c r="P229" i="2" s="1"/>
  <c r="I223" i="2"/>
  <c r="P148" i="2"/>
  <c r="I155" i="2"/>
  <c r="I23" i="2" s="1"/>
  <c r="P561" i="3"/>
  <c r="P584" i="3"/>
  <c r="P9" i="2" s="1"/>
  <c r="P190" i="2"/>
  <c r="P210" i="2" s="1"/>
  <c r="I200" i="2"/>
  <c r="P188" i="2"/>
  <c r="P208" i="2" s="1"/>
  <c r="I198" i="2"/>
  <c r="K443" i="3"/>
  <c r="K33" i="3"/>
  <c r="K84" i="3" s="1"/>
  <c r="K7" i="2"/>
  <c r="K486" i="3"/>
  <c r="K485" i="3"/>
  <c r="K483" i="3"/>
  <c r="K482" i="3"/>
  <c r="I194" i="2"/>
  <c r="I197" i="2"/>
  <c r="P187" i="2"/>
  <c r="J98" i="3"/>
  <c r="J585" i="3"/>
  <c r="J538" i="3"/>
  <c r="J121" i="2"/>
  <c r="K454" i="3"/>
  <c r="K423" i="3"/>
  <c r="K35" i="3"/>
  <c r="I425" i="3"/>
  <c r="P193" i="2"/>
  <c r="P213" i="2" s="1"/>
  <c r="I203" i="2"/>
  <c r="I170" i="2"/>
  <c r="P161" i="2"/>
  <c r="P179" i="2" s="1"/>
  <c r="P40" i="2"/>
  <c r="P189" i="2"/>
  <c r="P209" i="2" s="1"/>
  <c r="I199" i="2"/>
  <c r="I336" i="2"/>
  <c r="I53" i="4"/>
  <c r="J53" i="4" l="1"/>
  <c r="J82" i="3"/>
  <c r="I38" i="4"/>
  <c r="I31" i="5" s="1"/>
  <c r="J425" i="3"/>
  <c r="J491" i="3" s="1"/>
  <c r="I322" i="2"/>
  <c r="H162" i="4" s="1"/>
  <c r="J124" i="2"/>
  <c r="J130" i="2" s="1"/>
  <c r="J127" i="2"/>
  <c r="J115" i="2"/>
  <c r="J118" i="2" s="1"/>
  <c r="J138" i="2" s="1"/>
  <c r="I87" i="2"/>
  <c r="I80" i="2"/>
  <c r="P207" i="2"/>
  <c r="P214" i="2" s="1"/>
  <c r="P194" i="2"/>
  <c r="P13" i="2" s="1"/>
  <c r="P14" i="2" s="1"/>
  <c r="I558" i="3"/>
  <c r="I556" i="3" s="1"/>
  <c r="I431" i="3"/>
  <c r="I491" i="3"/>
  <c r="K133" i="2"/>
  <c r="K63" i="2"/>
  <c r="K212" i="2"/>
  <c r="K214" i="2" s="1"/>
  <c r="K134" i="2"/>
  <c r="K135" i="2"/>
  <c r="K148" i="2"/>
  <c r="K40" i="2"/>
  <c r="K137" i="2"/>
  <c r="K8" i="2"/>
  <c r="K189" i="2"/>
  <c r="K160" i="2"/>
  <c r="K217" i="2"/>
  <c r="K188" i="2"/>
  <c r="K218" i="2"/>
  <c r="K191" i="2"/>
  <c r="K163" i="2"/>
  <c r="J133" i="4"/>
  <c r="K190" i="2"/>
  <c r="K161" i="2"/>
  <c r="K164" i="2"/>
  <c r="K219" i="2"/>
  <c r="K165" i="2"/>
  <c r="K187" i="2"/>
  <c r="K162" i="2"/>
  <c r="K193" i="2"/>
  <c r="K105" i="2"/>
  <c r="K104" i="2"/>
  <c r="P232" i="2"/>
  <c r="K551" i="3"/>
  <c r="K584" i="3"/>
  <c r="K9" i="2" s="1"/>
  <c r="K561" i="3"/>
  <c r="H23" i="5"/>
  <c r="H24" i="5"/>
  <c r="I335" i="2"/>
  <c r="I334" i="2" s="1"/>
  <c r="I318" i="2" s="1"/>
  <c r="I144" i="2"/>
  <c r="P136" i="2"/>
  <c r="P144" i="2" s="1"/>
  <c r="H555" i="3"/>
  <c r="H578" i="3" s="1"/>
  <c r="H579" i="3"/>
  <c r="J30" i="5"/>
  <c r="K492" i="3"/>
  <c r="K432" i="3"/>
  <c r="J561" i="3"/>
  <c r="J551" i="3"/>
  <c r="J584" i="3"/>
  <c r="J9" i="2" s="1"/>
  <c r="K127" i="2"/>
  <c r="K124" i="2"/>
  <c r="K130" i="2" s="1"/>
  <c r="K115" i="2"/>
  <c r="K118" i="2" s="1"/>
  <c r="K138" i="2" s="1"/>
  <c r="I204" i="2"/>
  <c r="I13" i="2"/>
  <c r="P118" i="2"/>
  <c r="P10" i="2"/>
  <c r="P220" i="2"/>
  <c r="P15" i="2" s="1"/>
  <c r="P16" i="2" s="1"/>
  <c r="I15" i="2"/>
  <c r="I226" i="2"/>
  <c r="K592" i="3"/>
  <c r="K618" i="3"/>
  <c r="K621" i="3"/>
  <c r="K619" i="3"/>
  <c r="K620" i="3"/>
  <c r="K622" i="3"/>
  <c r="K617" i="3"/>
  <c r="J38" i="4"/>
  <c r="P184" i="2"/>
  <c r="K103" i="2"/>
  <c r="J558" i="3"/>
  <c r="P157" i="2"/>
  <c r="P155" i="2"/>
  <c r="P23" i="2" s="1"/>
  <c r="J94" i="3"/>
  <c r="J86" i="3"/>
  <c r="J85" i="3"/>
  <c r="H28" i="5"/>
  <c r="J592" i="3"/>
  <c r="J619" i="3"/>
  <c r="J618" i="3"/>
  <c r="J622" i="3"/>
  <c r="J621" i="3"/>
  <c r="J620" i="3"/>
  <c r="J617" i="3"/>
  <c r="K95" i="3"/>
  <c r="K81" i="3"/>
  <c r="K94" i="3"/>
  <c r="K86" i="3"/>
  <c r="K85" i="3"/>
  <c r="K489" i="3"/>
  <c r="K429" i="3"/>
  <c r="K430" i="3" s="1"/>
  <c r="K424" i="3" s="1"/>
  <c r="K490" i="3" s="1"/>
  <c r="K98" i="3"/>
  <c r="K82" i="3"/>
  <c r="J81" i="3"/>
  <c r="I67" i="2"/>
  <c r="I88" i="2"/>
  <c r="P166" i="2"/>
  <c r="P11" i="2" s="1"/>
  <c r="P12" i="2" s="1"/>
  <c r="I175" i="2"/>
  <c r="I11" i="2"/>
  <c r="J148" i="2"/>
  <c r="J137" i="2"/>
  <c r="J133" i="2"/>
  <c r="J212" i="2"/>
  <c r="J214" i="2" s="1"/>
  <c r="J134" i="2"/>
  <c r="J40" i="2"/>
  <c r="J8" i="2"/>
  <c r="J63" i="2"/>
  <c r="J135" i="2"/>
  <c r="J160" i="2"/>
  <c r="J189" i="2"/>
  <c r="J217" i="2"/>
  <c r="J191" i="2"/>
  <c r="J163" i="2"/>
  <c r="J172" i="2" s="1"/>
  <c r="J188" i="2"/>
  <c r="J198" i="2" s="1"/>
  <c r="J218" i="2"/>
  <c r="J224" i="2" s="1"/>
  <c r="J161" i="2"/>
  <c r="J170" i="2" s="1"/>
  <c r="J164" i="2"/>
  <c r="J190" i="2"/>
  <c r="J200" i="2" s="1"/>
  <c r="I133" i="4"/>
  <c r="J219" i="2"/>
  <c r="J225" i="2" s="1"/>
  <c r="J165" i="2"/>
  <c r="J174" i="2" s="1"/>
  <c r="J193" i="2"/>
  <c r="J203" i="2" s="1"/>
  <c r="J187" i="2"/>
  <c r="J162" i="2"/>
  <c r="J171" i="2" s="1"/>
  <c r="J105" i="2"/>
  <c r="J104" i="2"/>
  <c r="J431" i="3" l="1"/>
  <c r="I45" i="4"/>
  <c r="I315" i="2"/>
  <c r="P29" i="2"/>
  <c r="K72" i="2"/>
  <c r="K425" i="3"/>
  <c r="K431" i="3" s="1"/>
  <c r="I29" i="2"/>
  <c r="H5" i="5" s="1"/>
  <c r="K174" i="2"/>
  <c r="K172" i="2"/>
  <c r="P124" i="2"/>
  <c r="P130" i="2" s="1"/>
  <c r="P138" i="2"/>
  <c r="K199" i="2"/>
  <c r="K336" i="2"/>
  <c r="I70" i="2"/>
  <c r="I16" i="2"/>
  <c r="I91" i="2" s="1"/>
  <c r="I14" i="2"/>
  <c r="I90" i="2" s="1"/>
  <c r="I69" i="2"/>
  <c r="I82" i="4"/>
  <c r="I6" i="4" s="1"/>
  <c r="J10" i="2"/>
  <c r="J66" i="2"/>
  <c r="I95" i="4"/>
  <c r="I29" i="4" s="1"/>
  <c r="I70" i="4"/>
  <c r="I5" i="4" s="1"/>
  <c r="K66" i="2"/>
  <c r="K10" i="2"/>
  <c r="K225" i="2"/>
  <c r="K326" i="2"/>
  <c r="K201" i="2"/>
  <c r="J336" i="2"/>
  <c r="J199" i="2"/>
  <c r="J574" i="3"/>
  <c r="J556" i="3"/>
  <c r="K574" i="3"/>
  <c r="K325" i="2"/>
  <c r="K173" i="2"/>
  <c r="K224" i="2"/>
  <c r="J173" i="2"/>
  <c r="J325" i="2"/>
  <c r="J166" i="2"/>
  <c r="J169" i="2"/>
  <c r="K203" i="2"/>
  <c r="K170" i="2"/>
  <c r="K198" i="2"/>
  <c r="J136" i="2"/>
  <c r="J201" i="2"/>
  <c r="J326" i="2"/>
  <c r="K136" i="2"/>
  <c r="K171" i="2"/>
  <c r="K200" i="2"/>
  <c r="K220" i="2"/>
  <c r="K223" i="2"/>
  <c r="I579" i="3"/>
  <c r="I555" i="3"/>
  <c r="I578" i="3" s="1"/>
  <c r="J197" i="2"/>
  <c r="J194" i="2"/>
  <c r="J223" i="2"/>
  <c r="J220" i="2"/>
  <c r="I68" i="2"/>
  <c r="I12" i="2"/>
  <c r="I89" i="2" s="1"/>
  <c r="I18" i="2"/>
  <c r="H86" i="4"/>
  <c r="H7" i="4" s="1"/>
  <c r="H100" i="4"/>
  <c r="H30" i="4" s="1"/>
  <c r="J623" i="3"/>
  <c r="J614" i="3"/>
  <c r="J605" i="3" s="1"/>
  <c r="J45" i="4"/>
  <c r="J31" i="5"/>
  <c r="P18" i="2"/>
  <c r="P19" i="2" s="1"/>
  <c r="J72" i="2"/>
  <c r="K623" i="3"/>
  <c r="K614" i="3"/>
  <c r="K605" i="3" s="1"/>
  <c r="H151" i="4"/>
  <c r="H54" i="5"/>
  <c r="H14" i="5"/>
  <c r="H167" i="4"/>
  <c r="H164" i="4"/>
  <c r="K197" i="2"/>
  <c r="K194" i="2"/>
  <c r="K169" i="2"/>
  <c r="K166" i="2"/>
  <c r="K491" i="3" l="1"/>
  <c r="K558" i="3"/>
  <c r="K556" i="3" s="1"/>
  <c r="K579" i="3" s="1"/>
  <c r="H34" i="4"/>
  <c r="H29" i="5" s="1"/>
  <c r="I30" i="2"/>
  <c r="P30" i="2" s="1"/>
  <c r="J70" i="4"/>
  <c r="J5" i="4" s="1"/>
  <c r="J23" i="5" s="1"/>
  <c r="K555" i="3"/>
  <c r="K578" i="3" s="1"/>
  <c r="I160" i="4"/>
  <c r="H16" i="4"/>
  <c r="J323" i="2" s="1"/>
  <c r="I324" i="2" s="1"/>
  <c r="J322" i="2"/>
  <c r="K175" i="2"/>
  <c r="K11" i="2"/>
  <c r="K322" i="2"/>
  <c r="J95" i="4"/>
  <c r="J29" i="4" s="1"/>
  <c r="J82" i="4"/>
  <c r="J6" i="4" s="1"/>
  <c r="J87" i="2"/>
  <c r="J80" i="2"/>
  <c r="K80" i="2"/>
  <c r="K87" i="2"/>
  <c r="J175" i="2"/>
  <c r="J11" i="2"/>
  <c r="I23" i="5"/>
  <c r="I24" i="5"/>
  <c r="H34" i="5"/>
  <c r="H180" i="4"/>
  <c r="H63" i="5"/>
  <c r="K335" i="2"/>
  <c r="K334" i="2" s="1"/>
  <c r="K318" i="2" s="1"/>
  <c r="K144" i="2"/>
  <c r="I28" i="5"/>
  <c r="K226" i="2"/>
  <c r="K15" i="2"/>
  <c r="J226" i="2"/>
  <c r="J15" i="2"/>
  <c r="K13" i="2"/>
  <c r="K204" i="2"/>
  <c r="H25" i="5"/>
  <c r="H118" i="4"/>
  <c r="J335" i="2"/>
  <c r="J334" i="2" s="1"/>
  <c r="J318" i="2" s="1"/>
  <c r="J144" i="2"/>
  <c r="H143" i="4"/>
  <c r="H123" i="4"/>
  <c r="I19" i="2"/>
  <c r="I81" i="2" s="1"/>
  <c r="I73" i="2"/>
  <c r="J13" i="2"/>
  <c r="J204" i="2"/>
  <c r="J579" i="3"/>
  <c r="J555" i="3"/>
  <c r="J578" i="3" s="1"/>
  <c r="H36" i="4" l="1"/>
  <c r="H47" i="4" s="1"/>
  <c r="I32" i="2"/>
  <c r="I83" i="2" s="1"/>
  <c r="H22" i="5"/>
  <c r="I162" i="4"/>
  <c r="I164" i="4" s="1"/>
  <c r="J315" i="2"/>
  <c r="K69" i="2"/>
  <c r="K14" i="2"/>
  <c r="K90" i="2" s="1"/>
  <c r="J151" i="4"/>
  <c r="J28" i="5"/>
  <c r="K16" i="2"/>
  <c r="K91" i="2" s="1"/>
  <c r="K70" i="2"/>
  <c r="I34" i="2"/>
  <c r="J16" i="2"/>
  <c r="J91" i="2" s="1"/>
  <c r="J70" i="2"/>
  <c r="J12" i="2"/>
  <c r="J89" i="2" s="1"/>
  <c r="J68" i="2"/>
  <c r="J18" i="2"/>
  <c r="I100" i="4"/>
  <c r="I30" i="4" s="1"/>
  <c r="I86" i="4"/>
  <c r="I7" i="4" s="1"/>
  <c r="J162" i="4"/>
  <c r="K315" i="2"/>
  <c r="J24" i="5"/>
  <c r="K12" i="2"/>
  <c r="K89" i="2" s="1"/>
  <c r="K68" i="2"/>
  <c r="J86" i="4"/>
  <c r="J7" i="4" s="1"/>
  <c r="K18" i="2"/>
  <c r="J100" i="4"/>
  <c r="J30" i="4" s="1"/>
  <c r="H186" i="4"/>
  <c r="H13" i="5"/>
  <c r="I314" i="2"/>
  <c r="H126" i="4"/>
  <c r="I151" i="4"/>
  <c r="J14" i="2"/>
  <c r="J90" i="2" s="1"/>
  <c r="J69" i="2"/>
  <c r="P32" i="2"/>
  <c r="P34" i="2" s="1"/>
  <c r="P31" i="2"/>
  <c r="H32" i="5" l="1"/>
  <c r="H36" i="5" s="1"/>
  <c r="I313" i="2"/>
  <c r="I21" i="2"/>
  <c r="H65" i="5"/>
  <c r="H69" i="5" s="1"/>
  <c r="H72" i="5"/>
  <c r="H73" i="5" s="1"/>
  <c r="P38" i="2"/>
  <c r="P35" i="2"/>
  <c r="J14" i="5"/>
  <c r="J54" i="5"/>
  <c r="J118" i="4"/>
  <c r="J123" i="4"/>
  <c r="J25" i="5"/>
  <c r="I118" i="4"/>
  <c r="I25" i="5"/>
  <c r="H178" i="4"/>
  <c r="H181" i="4" s="1"/>
  <c r="I58" i="2"/>
  <c r="I38" i="2"/>
  <c r="I36" i="2"/>
  <c r="I76" i="2"/>
  <c r="I35" i="2"/>
  <c r="I84" i="2" s="1"/>
  <c r="I54" i="5"/>
  <c r="I14" i="5"/>
  <c r="I167" i="4"/>
  <c r="J73" i="2"/>
  <c r="J19" i="2"/>
  <c r="J81" i="2" s="1"/>
  <c r="I123" i="4"/>
  <c r="I186" i="4" s="1"/>
  <c r="H14" i="4"/>
  <c r="I121" i="4"/>
  <c r="K73" i="2"/>
  <c r="K19" i="2"/>
  <c r="K81" i="2" s="1"/>
  <c r="J160" i="4"/>
  <c r="J164" i="4" s="1"/>
  <c r="I16" i="4"/>
  <c r="K323" i="2" s="1"/>
  <c r="J186" i="4" l="1"/>
  <c r="I126" i="4"/>
  <c r="J167" i="4"/>
  <c r="J121" i="4"/>
  <c r="J126" i="4" s="1"/>
  <c r="I14" i="4"/>
  <c r="I177" i="4"/>
  <c r="H52" i="4"/>
  <c r="H55" i="4" s="1"/>
  <c r="J16" i="4"/>
  <c r="J13" i="5"/>
  <c r="K314" i="2"/>
  <c r="I82" i="2"/>
  <c r="I74" i="2"/>
  <c r="I143" i="4"/>
  <c r="I67" i="5"/>
  <c r="H10" i="4"/>
  <c r="I13" i="5"/>
  <c r="J314" i="2"/>
  <c r="I77" i="2"/>
  <c r="I49" i="2"/>
  <c r="I43" i="2"/>
  <c r="I39" i="2"/>
  <c r="I85" i="2" s="1"/>
  <c r="I48" i="2"/>
  <c r="J180" i="4"/>
  <c r="J324" i="2"/>
  <c r="K324" i="2"/>
  <c r="H24" i="4"/>
  <c r="J319" i="2"/>
  <c r="P49" i="2"/>
  <c r="P39" i="2"/>
  <c r="P48" i="2"/>
  <c r="I180" i="4"/>
  <c r="I179" i="4"/>
  <c r="I58" i="5" s="1"/>
  <c r="I63" i="5" s="1"/>
  <c r="I50" i="2"/>
  <c r="P58" i="2"/>
  <c r="J143" i="4" l="1"/>
  <c r="H63" i="4"/>
  <c r="H64" i="4" s="1"/>
  <c r="H184" i="4"/>
  <c r="J344" i="2" s="1"/>
  <c r="H12" i="4"/>
  <c r="H26" i="4" s="1"/>
  <c r="H65" i="4"/>
  <c r="H57" i="4"/>
  <c r="P60" i="2"/>
  <c r="P50" i="2"/>
  <c r="I320" i="2"/>
  <c r="H70" i="5"/>
  <c r="I24" i="4"/>
  <c r="K319" i="2"/>
  <c r="J320" i="2" s="1"/>
  <c r="K313" i="2"/>
  <c r="K21" i="2"/>
  <c r="J313" i="2"/>
  <c r="J21" i="2"/>
  <c r="J14" i="4"/>
  <c r="H59" i="4" l="1"/>
  <c r="J24" i="4"/>
  <c r="K320" i="2"/>
  <c r="K74" i="2"/>
  <c r="K82" i="2"/>
  <c r="J82" i="2"/>
  <c r="J74" i="2"/>
  <c r="J343" i="2"/>
  <c r="I346" i="2"/>
  <c r="I347" i="2"/>
  <c r="H66" i="4"/>
  <c r="J149" i="2" l="1"/>
  <c r="I9" i="5" l="1"/>
  <c r="I35" i="5" s="1"/>
  <c r="J155" i="2"/>
  <c r="J23" i="2" s="1"/>
  <c r="J88" i="2" l="1"/>
  <c r="J67" i="2"/>
  <c r="J29" i="2"/>
  <c r="I5" i="5" l="1"/>
  <c r="J30" i="2"/>
  <c r="I34" i="4"/>
  <c r="I29" i="5" l="1"/>
  <c r="I22" i="5" s="1"/>
  <c r="I32" i="5" s="1"/>
  <c r="I36" i="4"/>
  <c r="I47" i="4" s="1"/>
  <c r="I34" i="5"/>
  <c r="J32" i="2"/>
  <c r="I36" i="5" l="1"/>
  <c r="I72" i="5" s="1"/>
  <c r="I73" i="5" s="1"/>
  <c r="J83" i="2"/>
  <c r="J34" i="2"/>
  <c r="I65" i="5" l="1"/>
  <c r="I69" i="5" s="1"/>
  <c r="J67" i="5" s="1"/>
  <c r="I178" i="4"/>
  <c r="I181" i="4" s="1"/>
  <c r="J76" i="2"/>
  <c r="J35" i="2"/>
  <c r="J84" i="2" s="1"/>
  <c r="J36" i="2"/>
  <c r="J58" i="2"/>
  <c r="J38" i="2"/>
  <c r="I10" i="4"/>
  <c r="J77" i="2" l="1"/>
  <c r="J49" i="2"/>
  <c r="J43" i="2"/>
  <c r="J39" i="2"/>
  <c r="J85" i="2" s="1"/>
  <c r="J48" i="2"/>
  <c r="J179" i="4"/>
  <c r="J58" i="5" s="1"/>
  <c r="J63" i="5" s="1"/>
  <c r="J50" i="2"/>
  <c r="I63" i="4"/>
  <c r="I64" i="4" s="1"/>
  <c r="I184" i="4"/>
  <c r="K344" i="2" s="1"/>
  <c r="I12" i="4"/>
  <c r="I26" i="4" s="1"/>
  <c r="I70" i="5"/>
  <c r="J177" i="4"/>
  <c r="I52" i="4"/>
  <c r="I55" i="4" s="1"/>
  <c r="K343" i="2" l="1"/>
  <c r="J346" i="2"/>
  <c r="I65" i="4"/>
  <c r="I66" i="4" s="1"/>
  <c r="I57" i="4"/>
  <c r="I59" i="4" s="1"/>
  <c r="K149" i="2" l="1"/>
  <c r="J9" i="5" l="1"/>
  <c r="J35" i="5" s="1"/>
  <c r="K155" i="2"/>
  <c r="K23" i="2" s="1"/>
  <c r="K88" i="2" l="1"/>
  <c r="K67" i="2"/>
  <c r="K29" i="2"/>
  <c r="J5" i="5" l="1"/>
  <c r="K30" i="2"/>
  <c r="J34" i="4"/>
  <c r="J29" i="5" l="1"/>
  <c r="J22" i="5" s="1"/>
  <c r="J32" i="5" s="1"/>
  <c r="J36" i="4"/>
  <c r="J47" i="4" s="1"/>
  <c r="J34" i="5"/>
  <c r="K32" i="2"/>
  <c r="J72" i="5" l="1"/>
  <c r="J73" i="5" s="1"/>
  <c r="J36" i="5"/>
  <c r="J65" i="5" s="1"/>
  <c r="J69" i="5" s="1"/>
  <c r="K83" i="2"/>
  <c r="K34" i="2"/>
  <c r="J178" i="4" l="1"/>
  <c r="J181" i="4" s="1"/>
  <c r="K58" i="2"/>
  <c r="K38" i="2"/>
  <c r="K36" i="2"/>
  <c r="K35" i="2"/>
  <c r="K84" i="2" s="1"/>
  <c r="K76" i="2"/>
  <c r="J10" i="4"/>
  <c r="J70" i="5" s="1"/>
  <c r="J63" i="4" l="1"/>
  <c r="J64" i="4" s="1"/>
  <c r="J184" i="4"/>
  <c r="J12" i="4"/>
  <c r="J26" i="4" s="1"/>
  <c r="K48" i="2"/>
  <c r="K49" i="2"/>
  <c r="K77" i="2"/>
  <c r="K43" i="2"/>
  <c r="K39" i="2"/>
  <c r="K85" i="2" s="1"/>
  <c r="K50" i="2"/>
  <c r="J52" i="4"/>
  <c r="J55" i="4" s="1"/>
  <c r="K346" i="2" l="1"/>
  <c r="J65" i="4"/>
  <c r="J66" i="4" s="1"/>
  <c r="J57" i="4"/>
  <c r="J59" i="4" s="1"/>
</calcChain>
</file>

<file path=xl/sharedStrings.xml><?xml version="1.0" encoding="utf-8"?>
<sst xmlns="http://schemas.openxmlformats.org/spreadsheetml/2006/main" count="1125" uniqueCount="498">
  <si>
    <t>Mixue (2097.HK)</t>
  </si>
  <si>
    <t>Michelle Cheng</t>
  </si>
  <si>
    <t>Xinyu Ruan</t>
  </si>
  <si>
    <t>Carol Chen</t>
  </si>
  <si>
    <t>Molly Dai</t>
  </si>
  <si>
    <t>852 2978 6631</t>
  </si>
  <si>
    <t>852 2978 7347</t>
  </si>
  <si>
    <t>852 2978 7999</t>
  </si>
  <si>
    <t>+852 3966-4000</t>
  </si>
  <si>
    <t>Michelle.Cheng@gs.com</t>
  </si>
  <si>
    <t>xinyu.ruan@gs.com</t>
  </si>
  <si>
    <t>carol.chen@gs.com</t>
  </si>
  <si>
    <t>molly.dai@gs.com</t>
  </si>
  <si>
    <t>Goldman Sachs (Asia) L.L.C.</t>
  </si>
  <si>
    <t>Consolidated basis</t>
  </si>
  <si>
    <t>Published date:</t>
  </si>
  <si>
    <t>Key statistics</t>
  </si>
  <si>
    <t>Rating</t>
  </si>
  <si>
    <t>Ticker</t>
  </si>
  <si>
    <t>2097.HK</t>
  </si>
  <si>
    <t>Currency</t>
  </si>
  <si>
    <t>HKD</t>
  </si>
  <si>
    <t xml:space="preserve">12-m target price </t>
  </si>
  <si>
    <t>Price as of</t>
  </si>
  <si>
    <t>Upside/downside %</t>
  </si>
  <si>
    <t>Market cap. (USD mn)</t>
  </si>
  <si>
    <t>ADS outstanding (mn)</t>
  </si>
  <si>
    <t>M&amp;A probability</t>
  </si>
  <si>
    <t>Valuation methodology</t>
  </si>
  <si>
    <t>P/E</t>
  </si>
  <si>
    <t>Current publication date</t>
  </si>
  <si>
    <t>Previous publication date</t>
  </si>
  <si>
    <t>Current</t>
  </si>
  <si>
    <t>Rmb mn</t>
  </si>
  <si>
    <t>RMB/HKD</t>
  </si>
  <si>
    <t>Accounting standards: IFRS</t>
  </si>
  <si>
    <t>2025E</t>
  </si>
  <si>
    <t>2026E</t>
  </si>
  <si>
    <t>2027E</t>
  </si>
  <si>
    <t>Income statement</t>
  </si>
  <si>
    <t>Revenue</t>
  </si>
  <si>
    <t>yoy</t>
  </si>
  <si>
    <t>Cost of sales</t>
  </si>
  <si>
    <t>% of company sales</t>
  </si>
  <si>
    <t>Selling and distribution expenses</t>
  </si>
  <si>
    <t>Administrative expenses</t>
  </si>
  <si>
    <t>Research and development expenses</t>
  </si>
  <si>
    <t>Adjusted operating profit</t>
  </si>
  <si>
    <t>Operating Margin</t>
  </si>
  <si>
    <t>EBITDA</t>
  </si>
  <si>
    <t>Other income and gains (net)</t>
  </si>
  <si>
    <t>Finance costs</t>
  </si>
  <si>
    <t>(Impairment losses)/reversal of impairment losses on financial assets</t>
  </si>
  <si>
    <t>Impairment of property, plant and equipment</t>
  </si>
  <si>
    <t>Share of (losses)/profits of an associate</t>
  </si>
  <si>
    <t>Profit before tax</t>
  </si>
  <si>
    <t>Income tax expense</t>
  </si>
  <si>
    <t>Tax rate</t>
  </si>
  <si>
    <t>Profit for the year (Before Non-Controlling Interests)</t>
  </si>
  <si>
    <t>Non-controlling interests</t>
  </si>
  <si>
    <t>Profit attributed to Owners of the parent</t>
  </si>
  <si>
    <t>NPM</t>
  </si>
  <si>
    <t>Adjusted NI after minority interest</t>
  </si>
  <si>
    <t>Adjusted NPM</t>
  </si>
  <si>
    <t>Equity-settled share-based payment expenses</t>
  </si>
  <si>
    <t>Listing expenses, after tax</t>
  </si>
  <si>
    <t>Other one-offs incl. impairment, FX</t>
  </si>
  <si>
    <t>Other comprehensive income</t>
  </si>
  <si>
    <t>Exchange differences on translation of foreign operations</t>
  </si>
  <si>
    <t>Changes in fair value of equity investments designated at fair value through other comprehensive income</t>
  </si>
  <si>
    <t>EPS - Basic</t>
  </si>
  <si>
    <t>EPS - Diluted</t>
  </si>
  <si>
    <t>DPS</t>
  </si>
  <si>
    <t>Offer shares</t>
  </si>
  <si>
    <t>Weighted avg. adj. shares outstanding (mn) basic</t>
  </si>
  <si>
    <t>Weighted avg. adj. shares outstanding (mn) diluted</t>
  </si>
  <si>
    <t>Period end shares outstanding (mn) basic</t>
  </si>
  <si>
    <t>Period end shares outstanding (mn) diluted</t>
  </si>
  <si>
    <t>Dividend Declared</t>
  </si>
  <si>
    <t>Dividend declared before listing</t>
  </si>
  <si>
    <t>Dividend Payout Ratio</t>
  </si>
  <si>
    <t>yoy (%)</t>
  </si>
  <si>
    <t>Average store count growth</t>
  </si>
  <si>
    <t>Gross profits</t>
  </si>
  <si>
    <t>Operating profit</t>
  </si>
  <si>
    <t>Adjusted NI after non-controlling interest - GS definition</t>
  </si>
  <si>
    <t>As % of company sales</t>
  </si>
  <si>
    <t>Gross margin</t>
  </si>
  <si>
    <t>OP margin</t>
  </si>
  <si>
    <t>EBITDA margin</t>
  </si>
  <si>
    <t>Net margin (Before non-controlling interest)</t>
  </si>
  <si>
    <t>Net margin (After non-controlling interest)</t>
  </si>
  <si>
    <t>Adj. Net margin (After non-controlling interest)</t>
  </si>
  <si>
    <t>ESOP</t>
  </si>
  <si>
    <t>Other assumptions</t>
  </si>
  <si>
    <t>Sales breakdown</t>
  </si>
  <si>
    <t>Goods</t>
  </si>
  <si>
    <t>Equipments</t>
  </si>
  <si>
    <t>Franchise and related services</t>
  </si>
  <si>
    <t>% breakdown</t>
  </si>
  <si>
    <t>COGS</t>
  </si>
  <si>
    <t>Total</t>
  </si>
  <si>
    <t>GP</t>
  </si>
  <si>
    <t>GPM</t>
  </si>
  <si>
    <t>COGS by nature</t>
  </si>
  <si>
    <t>Raw materials cost</t>
  </si>
  <si>
    <t>Logistics cost</t>
  </si>
  <si>
    <t>Employee compensation</t>
  </si>
  <si>
    <t>Depreciation and amortization</t>
  </si>
  <si>
    <t>Others</t>
  </si>
  <si>
    <t>As % of total sales</t>
  </si>
  <si>
    <t>Government grants</t>
  </si>
  <si>
    <t>Interest income</t>
  </si>
  <si>
    <t>Investment income on financial assets at fair value through profit or loss</t>
  </si>
  <si>
    <t>(Loss)/gain on disposal of items of property, plant and equipment (net)</t>
  </si>
  <si>
    <t>Foreign exchange differences (net)</t>
  </si>
  <si>
    <t>Donations</t>
  </si>
  <si>
    <t>Government grant as % of sales</t>
  </si>
  <si>
    <t>Branding and promotion expenses</t>
  </si>
  <si>
    <t>Transportation expenses</t>
  </si>
  <si>
    <t>Travel and office expenses</t>
  </si>
  <si>
    <t>Depreciation of right-of-use assets and property management fees</t>
  </si>
  <si>
    <t>As % of revenue</t>
  </si>
  <si>
    <t>Professional and IT service fees</t>
  </si>
  <si>
    <t>Depreciation and amortization expenses</t>
  </si>
  <si>
    <t xml:space="preserve">Travel and office expenses </t>
  </si>
  <si>
    <t>Listing expense</t>
  </si>
  <si>
    <t>As %of revenue</t>
  </si>
  <si>
    <t>Consumable items</t>
  </si>
  <si>
    <t>Cost by nature</t>
  </si>
  <si>
    <t>Cost of inventories sold</t>
  </si>
  <si>
    <t>Depreciation of property, plant and equipment</t>
  </si>
  <si>
    <t>Depreciation of investment properties</t>
  </si>
  <si>
    <t>Depreciation of right-of-use assets</t>
  </si>
  <si>
    <t>Amortisation of other intangible assets</t>
  </si>
  <si>
    <t>Wages and salaries</t>
  </si>
  <si>
    <t>Pension scheme contributions, social welfare and other welfare</t>
  </si>
  <si>
    <t>Professional service fees</t>
  </si>
  <si>
    <t>Impairment of inventories</t>
  </si>
  <si>
    <t>Impairment of prepayments, other receivables and other assets, net</t>
  </si>
  <si>
    <t>Impairment of trade receivables, net</t>
  </si>
  <si>
    <t>Expense relating to short-term leases</t>
  </si>
  <si>
    <t>Auditor’s remuneration</t>
  </si>
  <si>
    <t>Employee benefit expenses</t>
  </si>
  <si>
    <t>as % of net revenue</t>
  </si>
  <si>
    <t># of employees</t>
  </si>
  <si>
    <t>Supply chain</t>
  </si>
  <si>
    <t>Store operations and management</t>
  </si>
  <si>
    <t>General and administration</t>
  </si>
  <si>
    <t>Branding and marketing</t>
  </si>
  <si>
    <t>Application and fundamental R&amp;D</t>
  </si>
  <si>
    <t>Digitalization</t>
  </si>
  <si>
    <t>China</t>
  </si>
  <si>
    <t>Overseas</t>
  </si>
  <si>
    <t>Average cost per employee (Rmb per head)</t>
  </si>
  <si>
    <t>Depreciation of PPE</t>
  </si>
  <si>
    <t>Gross PPE (beginning)</t>
  </si>
  <si>
    <t>Depreciation rate</t>
  </si>
  <si>
    <t>Depreciation of ROU asset</t>
  </si>
  <si>
    <t>Net ROU asset (beginning)</t>
  </si>
  <si>
    <t>S&amp;D expense - depreciation of ROU and property management fees</t>
  </si>
  <si>
    <t>Admin expense - depreciation of ROU and property management fees</t>
  </si>
  <si>
    <t>ROU as % of Depreciation of right-of-use assets and property management fees</t>
  </si>
  <si>
    <t>Amortization of intangible assets</t>
  </si>
  <si>
    <t>Net intangible assets (beginning)</t>
  </si>
  <si>
    <t>Amortization rate</t>
  </si>
  <si>
    <t>Reconciliation with D&amp;A in each line item</t>
  </si>
  <si>
    <t>Total PPE depre &amp; Amortisation</t>
  </si>
  <si>
    <t>Cost of sales - depreciation of PP&amp;E and Amortisation</t>
  </si>
  <si>
    <t>Admin expense - depreciation of PP&amp;E and Amortisation</t>
  </si>
  <si>
    <t>As% of total D&amp;A</t>
  </si>
  <si>
    <t>Finance income</t>
  </si>
  <si>
    <t>Beginning cash (GS defined)</t>
  </si>
  <si>
    <t>Interst income as % of cash</t>
  </si>
  <si>
    <t>Interst income as % of average cash</t>
  </si>
  <si>
    <t>Beginning financial assets</t>
  </si>
  <si>
    <t>Investment income as % of financial assets</t>
  </si>
  <si>
    <t>Interest on bank borrowings</t>
  </si>
  <si>
    <t>Beginning borrowings</t>
  </si>
  <si>
    <t>Interst as % of borrowings</t>
  </si>
  <si>
    <t>Interest on lease liabilities</t>
  </si>
  <si>
    <t>Beginning lease liabilities</t>
  </si>
  <si>
    <t>Interst as % of lease liabilities</t>
  </si>
  <si>
    <t>Summary</t>
  </si>
  <si>
    <t>Total GMV (RMBbn)</t>
  </si>
  <si>
    <t>ML China</t>
  </si>
  <si>
    <t>Mixue</t>
  </si>
  <si>
    <t>Lucky Cup</t>
  </si>
  <si>
    <t>Total store count (k)</t>
  </si>
  <si>
    <t>Net store increase (k)</t>
  </si>
  <si>
    <t>Average GMV per store (RMBk)</t>
  </si>
  <si>
    <t>Total number of cups sold (bn)</t>
  </si>
  <si>
    <t>ASP (RMB)</t>
  </si>
  <si>
    <t>Number of cups sold per day per store</t>
  </si>
  <si>
    <t>Total reported revenue (RMBmn)</t>
  </si>
  <si>
    <t>By market</t>
  </si>
  <si>
    <t>By revenues stream</t>
  </si>
  <si>
    <t>Total GMV</t>
  </si>
  <si>
    <t>GMV per store</t>
  </si>
  <si>
    <t>Total store count</t>
  </si>
  <si>
    <t>Net store increase</t>
  </si>
  <si>
    <t>Total Reported sales</t>
  </si>
  <si>
    <t>Total store productivity</t>
  </si>
  <si>
    <t>Industry and market share (Rmb mn)</t>
  </si>
  <si>
    <t>Total global freshly made drink</t>
  </si>
  <si>
    <t>% yoy</t>
  </si>
  <si>
    <t>Market share</t>
  </si>
  <si>
    <t>Total China freshly made drink</t>
  </si>
  <si>
    <t>China freshly made tea</t>
  </si>
  <si>
    <t>China freshly made tea shop</t>
  </si>
  <si>
    <t>China mass freshly made tea shop</t>
  </si>
  <si>
    <t>By brand</t>
  </si>
  <si>
    <t>By format</t>
  </si>
  <si>
    <t>Franchise store</t>
  </si>
  <si>
    <t>Self-operated store</t>
  </si>
  <si>
    <t>By region (rough numbers)</t>
  </si>
  <si>
    <t>T1</t>
  </si>
  <si>
    <t>New T1</t>
  </si>
  <si>
    <t>T2</t>
  </si>
  <si>
    <t>T3 and below</t>
  </si>
  <si>
    <t>By channel</t>
  </si>
  <si>
    <t>Offline pick-up</t>
  </si>
  <si>
    <t>Online</t>
  </si>
  <si>
    <t>- fulfilled by third-party platforms</t>
  </si>
  <si>
    <t>- fulfilled by Mixue app and Mini Programs</t>
  </si>
  <si>
    <t>By region</t>
  </si>
  <si>
    <t>Store count</t>
  </si>
  <si>
    <t>Gross open</t>
  </si>
  <si>
    <t>Closure</t>
  </si>
  <si>
    <t>Closure %</t>
  </si>
  <si>
    <t>Net open</t>
  </si>
  <si>
    <t>China population (mn)</t>
  </si>
  <si>
    <t>Implied store density per 1mn ppl</t>
  </si>
  <si>
    <t>By brand (old)</t>
  </si>
  <si>
    <t>Zhaimen</t>
  </si>
  <si>
    <t>MXBC</t>
  </si>
  <si>
    <t>幸运咖</t>
  </si>
  <si>
    <t>极拉图</t>
  </si>
  <si>
    <t>Breakdown</t>
  </si>
  <si>
    <t>By type</t>
  </si>
  <si>
    <t>Beginning</t>
  </si>
  <si>
    <t>Newly add</t>
  </si>
  <si>
    <t>Closed</t>
  </si>
  <si>
    <t>Company require</t>
  </si>
  <si>
    <t>Distributor close</t>
  </si>
  <si>
    <t>End</t>
  </si>
  <si>
    <t>Total franchisee</t>
  </si>
  <si>
    <t>Transfer</t>
  </si>
  <si>
    <t>Franchisee retention</t>
  </si>
  <si>
    <t>Average store per franchisee</t>
  </si>
  <si>
    <t>Transferred as %of total closure</t>
  </si>
  <si>
    <t>#of franchisees operate multiple stores</t>
  </si>
  <si>
    <t>As %of total franchisees</t>
  </si>
  <si>
    <t>By brand (year-end)</t>
  </si>
  <si>
    <t>By brand (average)</t>
  </si>
  <si>
    <t>Sales per store</t>
  </si>
  <si>
    <t>Per store GMV</t>
  </si>
  <si>
    <t>Average number of cups sold per store</t>
  </si>
  <si>
    <t>Average number of cups sold per store/day</t>
  </si>
  <si>
    <t>Average number of orders per store/day</t>
  </si>
  <si>
    <t>Number of days of operation (ths)</t>
  </si>
  <si>
    <t>Implied number of days of operation per store</t>
  </si>
  <si>
    <t>Average GMV per store per day</t>
  </si>
  <si>
    <t>Stores opened in 2021 and before</t>
  </si>
  <si>
    <t>Stores opened in 2022</t>
  </si>
  <si>
    <t>Stores opened in 2023</t>
  </si>
  <si>
    <t>Average GMV per order</t>
  </si>
  <si>
    <t>ML China per store GMV</t>
  </si>
  <si>
    <t>GMV per store - tier 1</t>
  </si>
  <si>
    <t>GMV per store - new tier 1</t>
  </si>
  <si>
    <t>GMV per store - tier 2</t>
  </si>
  <si>
    <t>GMV per store - tier 3 and below</t>
  </si>
  <si>
    <t>Overseas per store GMV</t>
  </si>
  <si>
    <t>Overseas store as x China</t>
  </si>
  <si>
    <t>ASP</t>
  </si>
  <si>
    <t>ML China ASP</t>
  </si>
  <si>
    <t>Overseas ASP</t>
  </si>
  <si>
    <t>Volume (mn cups)</t>
  </si>
  <si>
    <t>ML China volume</t>
  </si>
  <si>
    <t>Overseas volume</t>
  </si>
  <si>
    <t>Gross as x of revenue</t>
  </si>
  <si>
    <t>Volume (cups per day per store)</t>
  </si>
  <si>
    <t>Volume (mn orders)</t>
  </si>
  <si>
    <t>Cups per order</t>
  </si>
  <si>
    <t>Reported revenue</t>
  </si>
  <si>
    <t>Total revenue</t>
  </si>
  <si>
    <t>By segment</t>
  </si>
  <si>
    <t>Other clients</t>
  </si>
  <si>
    <t>Revenue by region</t>
  </si>
  <si>
    <t>Indonesia</t>
  </si>
  <si>
    <t>Vietnam</t>
  </si>
  <si>
    <t>Revenue per store by region</t>
  </si>
  <si>
    <t>n.a.</t>
  </si>
  <si>
    <t xml:space="preserve">Franchised stores </t>
  </si>
  <si>
    <t>Existing franchised stores</t>
  </si>
  <si>
    <t>Newly opened franchised stores</t>
  </si>
  <si>
    <t>Self-operated stores</t>
  </si>
  <si>
    <t>E-commerce</t>
  </si>
  <si>
    <t>Non-franchisee customers</t>
  </si>
  <si>
    <t>% of GMV</t>
  </si>
  <si>
    <t>Per store revenue by region</t>
  </si>
  <si>
    <t>Store level revenue driver</t>
  </si>
  <si>
    <t>Goods (store level)</t>
  </si>
  <si>
    <t>Revenue per self-operated store</t>
  </si>
  <si>
    <t>vs. GMV conversion</t>
  </si>
  <si>
    <t>Self-operated GMV and revenue conversion</t>
  </si>
  <si>
    <t>Equipment</t>
  </si>
  <si>
    <t>Equipment revenue</t>
  </si>
  <si>
    <t>Relevant stores</t>
  </si>
  <si>
    <t>Revenue per store</t>
  </si>
  <si>
    <t>Franchise and related services revenue</t>
  </si>
  <si>
    <t>Total GP</t>
  </si>
  <si>
    <t>By business</t>
  </si>
  <si>
    <t>Total GPM</t>
  </si>
  <si>
    <t>COGS breakdown</t>
  </si>
  <si>
    <t>Total COGS</t>
  </si>
  <si>
    <t>Food</t>
  </si>
  <si>
    <t>Dairy products (milk powder, creamer etc.)</t>
  </si>
  <si>
    <t>Sugar</t>
  </si>
  <si>
    <t>Fruits products (fruits, Jam, beverage syrup)</t>
  </si>
  <si>
    <t>Packaging</t>
  </si>
  <si>
    <t>&gt;&gt;Goods breakdown</t>
  </si>
  <si>
    <t>Cost inflation (unit)</t>
  </si>
  <si>
    <t>Macro - core CPI</t>
  </si>
  <si>
    <t>COGS yoy</t>
  </si>
  <si>
    <t>A share info</t>
  </si>
  <si>
    <t>Main business COGS</t>
  </si>
  <si>
    <t>Operating materials and others</t>
  </si>
  <si>
    <t>Franchisee management</t>
  </si>
  <si>
    <t>Procurement breakdown</t>
  </si>
  <si>
    <t>Dairy products</t>
  </si>
  <si>
    <t>Creamer</t>
  </si>
  <si>
    <t>Fruits</t>
  </si>
  <si>
    <t>Jam</t>
  </si>
  <si>
    <t>Tea</t>
  </si>
  <si>
    <t>Beverage syrup</t>
  </si>
  <si>
    <t>Other materials</t>
  </si>
  <si>
    <t>1H25</t>
  </si>
  <si>
    <t>Balance Sheet</t>
  </si>
  <si>
    <t>Assets</t>
  </si>
  <si>
    <t>Inventories</t>
  </si>
  <si>
    <t>Trade receivables</t>
  </si>
  <si>
    <t>Prepayments, other receivables and other assets</t>
  </si>
  <si>
    <t>Financial assets at fair value through profit or loss</t>
  </si>
  <si>
    <t>Restricted cash and time deposits</t>
  </si>
  <si>
    <t>Cash and cash equivalents</t>
  </si>
  <si>
    <t>Total current assets</t>
  </si>
  <si>
    <t>Property, plant and equipment</t>
  </si>
  <si>
    <t xml:space="preserve">Investment properties </t>
  </si>
  <si>
    <t>Right-of-use assets</t>
  </si>
  <si>
    <t>Other intangible assets</t>
  </si>
  <si>
    <t>Investment in an associate</t>
  </si>
  <si>
    <t>Equity investment designated at fair value through other comprehensive income</t>
  </si>
  <si>
    <t>Deferred tax assets</t>
  </si>
  <si>
    <t>Other non-current assets</t>
  </si>
  <si>
    <t>Total non-current assets</t>
  </si>
  <si>
    <t>Total assets</t>
  </si>
  <si>
    <t>Liabilities</t>
  </si>
  <si>
    <t xml:space="preserve">Trade payables </t>
  </si>
  <si>
    <t>Other payables and accruals</t>
  </si>
  <si>
    <t>Contract liabilities</t>
  </si>
  <si>
    <t>Interest-bearing bank borrowings</t>
  </si>
  <si>
    <t>Lease liabilities</t>
  </si>
  <si>
    <t>Tax payables</t>
  </si>
  <si>
    <t>Total current liabilities</t>
  </si>
  <si>
    <t>Deferred income</t>
  </si>
  <si>
    <t xml:space="preserve">Lease liabilities </t>
  </si>
  <si>
    <t>Deferred tax liabilities</t>
  </si>
  <si>
    <t xml:space="preserve">Other payables and accruals </t>
  </si>
  <si>
    <t>Other liabilities</t>
  </si>
  <si>
    <t>Total non-current liabilities</t>
  </si>
  <si>
    <t>Total Liabilities</t>
  </si>
  <si>
    <t>Equity</t>
  </si>
  <si>
    <t>Share capital</t>
  </si>
  <si>
    <t>Additional paid in capital</t>
  </si>
  <si>
    <t>Reserves</t>
  </si>
  <si>
    <t>Total equity</t>
  </si>
  <si>
    <t>Total Liabilities &amp; Equity</t>
  </si>
  <si>
    <t>Check (TA=TL&amp;E)</t>
  </si>
  <si>
    <t>Balance Sheet analysis</t>
  </si>
  <si>
    <t>Total debt (excl lease liab)</t>
  </si>
  <si>
    <t>Cash and ST investments</t>
  </si>
  <si>
    <t>Net debt</t>
  </si>
  <si>
    <t>Total common equity</t>
  </si>
  <si>
    <t>Net debt to equity</t>
  </si>
  <si>
    <t>Working capital analysis</t>
  </si>
  <si>
    <t>Finished goods</t>
  </si>
  <si>
    <t>Raw materials</t>
  </si>
  <si>
    <t>Work in progress</t>
  </si>
  <si>
    <t>Provision for impairment of inventories</t>
  </si>
  <si>
    <t>Inventory days, period end</t>
  </si>
  <si>
    <t>Inventory days, avg</t>
  </si>
  <si>
    <t>Inventory days - reported</t>
  </si>
  <si>
    <t>Trade and other receivables</t>
  </si>
  <si>
    <t>Receivable days, period end</t>
  </si>
  <si>
    <t>Receivable days, avg</t>
  </si>
  <si>
    <t>as % of expenses (COGS+SG&amp;A, excl. amounts due from related parties)</t>
  </si>
  <si>
    <t>Prepayments</t>
  </si>
  <si>
    <t>Deposits and other receivables</t>
  </si>
  <si>
    <t>Recoverable VAT</t>
  </si>
  <si>
    <t>Other assets</t>
  </si>
  <si>
    <t>Impairment allowance</t>
  </si>
  <si>
    <t>Trade and other payables</t>
  </si>
  <si>
    <t>Payable days, period end</t>
  </si>
  <si>
    <t>Payable days, avg</t>
  </si>
  <si>
    <t>Payable days - reported</t>
  </si>
  <si>
    <t xml:space="preserve">Deposit payables </t>
  </si>
  <si>
    <t>Payroll and welfare payables</t>
  </si>
  <si>
    <t>Accruals and other payables</t>
  </si>
  <si>
    <t>Other tax payables</t>
  </si>
  <si>
    <t>Sales of goods and equipment</t>
  </si>
  <si>
    <t>as %of goods and equipment sales</t>
  </si>
  <si>
    <t>as %of franchise and related services</t>
  </si>
  <si>
    <t>Non-current</t>
  </si>
  <si>
    <t>Net working capital</t>
  </si>
  <si>
    <t>PP&amp;E</t>
  </si>
  <si>
    <t>PPE, beginning</t>
  </si>
  <si>
    <t>Additions</t>
  </si>
  <si>
    <t>Depreciation</t>
  </si>
  <si>
    <t>Disposal</t>
  </si>
  <si>
    <t>PPE, ending</t>
  </si>
  <si>
    <t>Construction in progress</t>
  </si>
  <si>
    <t xml:space="preserve">Buildings </t>
  </si>
  <si>
    <t>Machinery</t>
  </si>
  <si>
    <t>Furniture and fixtures</t>
  </si>
  <si>
    <t>Leasehold improvements</t>
  </si>
  <si>
    <t>Motor vehicles</t>
  </si>
  <si>
    <t>Capex on PPE</t>
  </si>
  <si>
    <t>yoy growth</t>
  </si>
  <si>
    <t>Buildings</t>
  </si>
  <si>
    <t>Depreciation year</t>
  </si>
  <si>
    <t>Depreciation expenses</t>
  </si>
  <si>
    <t>ROU assets</t>
  </si>
  <si>
    <t>ROU assets, beginning</t>
  </si>
  <si>
    <t>ROU assets, ending</t>
  </si>
  <si>
    <t>Additions yoy</t>
  </si>
  <si>
    <t>Intangible assets</t>
  </si>
  <si>
    <t>Intangible assets, beginning</t>
  </si>
  <si>
    <t>Addition</t>
  </si>
  <si>
    <t>Amortisation</t>
  </si>
  <si>
    <t>Intangible assets, ending</t>
  </si>
  <si>
    <t>Retained profits</t>
  </si>
  <si>
    <t>Beginning balance</t>
  </si>
  <si>
    <t>NI</t>
  </si>
  <si>
    <t>Dividend declared</t>
  </si>
  <si>
    <t>Ending balance</t>
  </si>
  <si>
    <t>GS definited cash</t>
  </si>
  <si>
    <t>Accumulated depreciation</t>
  </si>
  <si>
    <t>Accumulated amortization</t>
  </si>
  <si>
    <t>Cash flow statement</t>
  </si>
  <si>
    <t>Cash flows from operating activities</t>
  </si>
  <si>
    <t>Share of losses/(profits) of an associate</t>
  </si>
  <si>
    <t>Gain on disposal of a subsidiary</t>
  </si>
  <si>
    <t>Loss/(gain) on disposal of items of property, plant and equipment</t>
  </si>
  <si>
    <t>(Gain)/loss on early termination of leases</t>
  </si>
  <si>
    <t>Impairment losses/(reversal of impairment losses) on financial assets</t>
  </si>
  <si>
    <t>Change in working capitals</t>
  </si>
  <si>
    <t>Increase in inventories</t>
  </si>
  <si>
    <t xml:space="preserve">Decrease/(increase) in trade receivables </t>
  </si>
  <si>
    <t>Increase in prepayments, other receivables and other assets</t>
  </si>
  <si>
    <t>(Increase)/decrease in restricted cash</t>
  </si>
  <si>
    <t>Increase in other non-current assets</t>
  </si>
  <si>
    <t>Increase in trade payables</t>
  </si>
  <si>
    <t>Increase in other payables and accruals</t>
  </si>
  <si>
    <t>Increase/(decrease) in contract liabilities</t>
  </si>
  <si>
    <t>Increase in deferred income</t>
  </si>
  <si>
    <t>Cash generated from operations</t>
  </si>
  <si>
    <t>Income tax paid</t>
  </si>
  <si>
    <t>Interest received</t>
  </si>
  <si>
    <t>Net cash flows generated from operating activities</t>
  </si>
  <si>
    <t>Cash flows from investing activities</t>
  </si>
  <si>
    <t>Purchases of items of property, plant and equipment</t>
  </si>
  <si>
    <t>Proceeds from disposal of items of property, plant and equipment</t>
  </si>
  <si>
    <t>Purchases of other intangible assets</t>
  </si>
  <si>
    <t>Purchases of and prepayments for right-ofuse assets — land use rights</t>
  </si>
  <si>
    <t>Purchases of financial assets at fair value through profit or loss</t>
  </si>
  <si>
    <t>Proceeds from disposal of financial assets at fair value through profit or loss</t>
  </si>
  <si>
    <t>Placement of time deposits with original maturity of more than three months when acquired</t>
  </si>
  <si>
    <t>Net cash flows used in investing activities</t>
  </si>
  <si>
    <t>Cash flows from financing activities</t>
  </si>
  <si>
    <t>Proceeds from bank loans</t>
  </si>
  <si>
    <t>Repayment of bank loans</t>
  </si>
  <si>
    <t>Interest paid for interest-bearing bank and other borrowings</t>
  </si>
  <si>
    <t>Principal portion of lease payments</t>
  </si>
  <si>
    <t>Interest portion of lease payments</t>
  </si>
  <si>
    <t>Increase in restricted cash</t>
  </si>
  <si>
    <t>Decrease in restricted cash</t>
  </si>
  <si>
    <t>Dividends paid</t>
  </si>
  <si>
    <t>net proceeds from issue of shares</t>
  </si>
  <si>
    <t>Net cash flows from/(used in) financing activities</t>
  </si>
  <si>
    <t>Net increase in cash and cash equivalents</t>
  </si>
  <si>
    <t>Cash and cash equivalents at beginning of year/period</t>
  </si>
  <si>
    <t>Effect of foreign exchange differences (net)</t>
  </si>
  <si>
    <t>Cash and cash equivalents at year end</t>
  </si>
  <si>
    <t>Check</t>
  </si>
  <si>
    <t>Free cash flow</t>
  </si>
  <si>
    <t>as % of sales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</si>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</sst>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(* #,##0_);_(* \(#,##0\);_(* &quot;-&quot;_);_(@_)"/>
    <numFmt numFmtId="165" formatCode="_(* #,##0.00_);_(* \(#,##0.00\);_(* &quot;-&quot;??_);_(@_)"/>
    <numFmt numFmtId="166" formatCode="_(* #,##0.00_);* \(#,##0.00\);_(* &quot;-&quot;_)"/>
    <numFmt numFmtId="167" formatCode="_(* #,##0_);* \(#,##0\);_(* &quot;-&quot;_)"/>
    <numFmt numFmtId="168" formatCode="_(#,##0.0%_);\(#,##0.0%\);_(&quot;-&quot;?_)"/>
    <numFmt numFmtId="169" formatCode="[$-409]mmm\-yy;@"/>
    <numFmt numFmtId="170" formatCode="_(* #,##0.0%_);_(* \(#,##0.0%\);_(* &quot;-&quot;?_);_(@_)"/>
    <numFmt numFmtId="171" formatCode="0.0%"/>
    <numFmt numFmtId="172" formatCode="#,##0.000"/>
    <numFmt numFmtId="173" formatCode="_(* #,##0_);_(* \(#,##0\);_(* &quot;-&quot;??_);_(@_)"/>
    <numFmt numFmtId="174" formatCode="#,##0.0"/>
    <numFmt numFmtId="175" formatCode="_(* #,##0.0_);_(* \(#,##0.0\);_(* &quot;-&quot;??_);_(@_)"/>
    <numFmt numFmtId="176" formatCode="0.0"/>
    <numFmt numFmtId="177" formatCode="0.000"/>
    <numFmt numFmtId="178" formatCode="#,##0.0000"/>
    <numFmt numFmtId="179" formatCode="_(* #,##0.000000_);_(* \(#,##0.000000\);_(* &quot;-&quot;??_);_(@_)"/>
    <numFmt numFmtId="180" formatCode="_(* #,##0.000_);_(* \(#,##0.000\);_(* &quot;-&quot;??_);_(@_)"/>
  </numFmts>
  <fonts count="5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4"/>
      <name val="Univers LT Std 55"/>
      <family val="2"/>
    </font>
    <font>
      <sz val="10"/>
      <name val="Univers LT Std 55"/>
      <family val="2"/>
    </font>
    <font>
      <sz val="10"/>
      <color theme="1"/>
      <name val="Univers LT Std 55"/>
      <family val="2"/>
    </font>
    <font>
      <sz val="10"/>
      <color indexed="8"/>
      <name val="Univers LT Std 55"/>
      <family val="2"/>
    </font>
    <font>
      <b/>
      <sz val="10"/>
      <name val="Arial"/>
      <family val="2"/>
    </font>
    <font>
      <b/>
      <sz val="20"/>
      <color theme="1" tint="0.34998626667073579"/>
      <name val="Univers LT Std 55"/>
      <family val="2"/>
    </font>
    <font>
      <sz val="10"/>
      <color theme="1" tint="4.9989318521683403E-2"/>
      <name val="Univers LT Std 55"/>
      <family val="2"/>
    </font>
    <font>
      <b/>
      <sz val="20"/>
      <color theme="1" tint="4.9989318521683403E-2"/>
      <name val="Univers LT Std 55"/>
      <family val="2"/>
    </font>
    <font>
      <sz val="9"/>
      <color theme="1"/>
      <name val="Times New Roman"/>
      <family val="2"/>
    </font>
    <font>
      <b/>
      <sz val="10"/>
      <name val="Univers LT Std 55"/>
      <family val="2"/>
    </font>
    <font>
      <b/>
      <sz val="10"/>
      <color theme="4"/>
      <name val="Arial"/>
      <family val="2"/>
    </font>
    <font>
      <u/>
      <sz val="10"/>
      <color indexed="12"/>
      <name val="Helvetica"/>
      <family val="2"/>
    </font>
    <font>
      <u/>
      <sz val="10"/>
      <color indexed="12"/>
      <name val="Univers LT Std 55"/>
      <family val="2"/>
    </font>
    <font>
      <b/>
      <sz val="10"/>
      <color theme="3"/>
      <name val="Arial"/>
      <family val="2"/>
    </font>
    <font>
      <sz val="10"/>
      <color theme="4"/>
      <name val="Arial"/>
      <family val="2"/>
    </font>
    <font>
      <b/>
      <sz val="10"/>
      <color theme="3"/>
      <name val="Univers LT Std 55"/>
      <family val="2"/>
    </font>
    <font>
      <sz val="10"/>
      <name val="Univers 45 Light"/>
      <family val="2"/>
    </font>
    <font>
      <sz val="8"/>
      <color theme="4"/>
      <name val="Arial"/>
      <family val="2"/>
    </font>
    <font>
      <b/>
      <sz val="10"/>
      <color indexed="12"/>
      <name val="Univers LT Std 55"/>
      <family val="2"/>
    </font>
    <font>
      <sz val="10"/>
      <color theme="4"/>
      <name val="Univers LT Std 55"/>
      <family val="2"/>
    </font>
    <font>
      <sz val="10"/>
      <color theme="1"/>
      <name val="Arial"/>
      <family val="2"/>
    </font>
    <font>
      <sz val="10"/>
      <color indexed="17"/>
      <name val="Univers LT Std 55"/>
      <family val="2"/>
    </font>
    <font>
      <b/>
      <u/>
      <sz val="10"/>
      <name val="Univers LT Std 55"/>
      <family val="2"/>
    </font>
    <font>
      <b/>
      <sz val="10"/>
      <color indexed="17"/>
      <name val="Univers LT Std 55"/>
      <family val="2"/>
    </font>
    <font>
      <b/>
      <sz val="10"/>
      <color indexed="8"/>
      <name val="Univers LT Std 55"/>
      <family val="2"/>
    </font>
    <font>
      <b/>
      <sz val="10"/>
      <color indexed="52"/>
      <name val="Univers LT Std 55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b/>
      <sz val="10"/>
      <color rgb="FF7030A0"/>
      <name val="Arial"/>
      <family val="2"/>
    </font>
    <font>
      <b/>
      <sz val="10"/>
      <color rgb="FF0070C0"/>
      <name val="Arial"/>
      <family val="2"/>
    </font>
    <font>
      <i/>
      <sz val="10"/>
      <color theme="0" tint="-0.34998626667073579"/>
      <name val="Arial"/>
      <family val="2"/>
    </font>
    <font>
      <b/>
      <sz val="10"/>
      <color theme="0" tint="-0.34998626667073579"/>
      <name val="Arial"/>
      <family val="2"/>
    </font>
    <font>
      <i/>
      <sz val="10"/>
      <color rgb="FF0070C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rgb="FFFF0000"/>
      <name val="Arial"/>
      <family val="2"/>
    </font>
    <font>
      <sz val="10"/>
      <color rgb="FF0000FF"/>
      <name val="Arial"/>
      <family val="2"/>
    </font>
    <font>
      <i/>
      <sz val="10"/>
      <color theme="1"/>
      <name val="Arial"/>
      <family val="2"/>
    </font>
    <font>
      <b/>
      <i/>
      <sz val="10"/>
      <name val="Arial"/>
      <family val="2"/>
    </font>
    <font>
      <b/>
      <i/>
      <sz val="10"/>
      <color rgb="FF0070C0"/>
      <name val="Arial"/>
      <family val="2"/>
    </font>
    <font>
      <b/>
      <sz val="10"/>
      <color rgb="FF0000FF"/>
      <name val="Arial"/>
      <family val="2"/>
    </font>
    <font>
      <b/>
      <u/>
      <sz val="10"/>
      <color theme="1"/>
      <name val="Arial"/>
      <family val="2"/>
    </font>
    <font>
      <b/>
      <sz val="10"/>
      <color theme="8"/>
      <name val="Arial"/>
      <family val="2"/>
    </font>
    <font>
      <u/>
      <sz val="10"/>
      <color theme="1"/>
      <name val="Arial"/>
      <family val="2"/>
    </font>
    <font>
      <sz val="10"/>
      <color theme="8"/>
      <name val="Arial"/>
      <family val="2"/>
    </font>
    <font>
      <sz val="10"/>
      <color rgb="FF7030A0"/>
      <name val="Arial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sz val="12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E8EBF2"/>
        <bgColor indexed="64"/>
      </patternFill>
    </fill>
    <fill>
      <patternFill patternType="solid">
        <fgColor rgb="FFC0CAD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8999908444471571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11" fillId="0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3" fontId="2" fillId="0" borderId="0"/>
    <xf numFmtId="0" fontId="52" fillId="0" borderId="0"/>
  </cellStyleXfs>
  <cellXfs count="322">
    <xf numFmtId="0" fontId="0" fillId="0" borderId="0" xfId="0"/>
    <xf numFmtId="0" fontId="3" fillId="2" borderId="0" xfId="3" applyFont="1" applyFill="1"/>
    <xf numFmtId="0" fontId="4" fillId="2" borderId="0" xfId="3" applyFont="1" applyFill="1"/>
    <xf numFmtId="0" fontId="5" fillId="2" borderId="0" xfId="3" applyFont="1" applyFill="1"/>
    <xf numFmtId="0" fontId="6" fillId="2" borderId="0" xfId="3" applyFont="1" applyFill="1"/>
    <xf numFmtId="0" fontId="3" fillId="2" borderId="0" xfId="3" applyFont="1" applyFill="1" applyAlignment="1">
      <alignment horizontal="left"/>
    </xf>
    <xf numFmtId="0" fontId="7" fillId="2" borderId="0" xfId="3" applyFont="1" applyFill="1"/>
    <xf numFmtId="0" fontId="3" fillId="3" borderId="0" xfId="3" applyFont="1" applyFill="1"/>
    <xf numFmtId="0" fontId="6" fillId="3" borderId="0" xfId="3" applyFont="1" applyFill="1"/>
    <xf numFmtId="0" fontId="8" fillId="3" borderId="0" xfId="3" applyFont="1" applyFill="1"/>
    <xf numFmtId="0" fontId="9" fillId="3" borderId="0" xfId="3" applyFont="1" applyFill="1" applyAlignment="1">
      <alignment horizontal="left"/>
    </xf>
    <xf numFmtId="0" fontId="3" fillId="3" borderId="0" xfId="3" applyFont="1" applyFill="1" applyAlignment="1">
      <alignment horizontal="left"/>
    </xf>
    <xf numFmtId="0" fontId="4" fillId="3" borderId="0" xfId="3" applyFont="1" applyFill="1"/>
    <xf numFmtId="0" fontId="5" fillId="3" borderId="0" xfId="3" applyFont="1" applyFill="1"/>
    <xf numFmtId="0" fontId="10" fillId="3" borderId="0" xfId="3" applyFont="1" applyFill="1" applyAlignment="1">
      <alignment horizontal="left"/>
    </xf>
    <xf numFmtId="0" fontId="12" fillId="3" borderId="0" xfId="4" applyFont="1" applyFill="1"/>
    <xf numFmtId="0" fontId="7" fillId="3" borderId="0" xfId="5" applyFont="1" applyFill="1"/>
    <xf numFmtId="0" fontId="5" fillId="3" borderId="0" xfId="5" applyFont="1" applyFill="1"/>
    <xf numFmtId="0" fontId="13" fillId="3" borderId="0" xfId="3" applyFont="1" applyFill="1"/>
    <xf numFmtId="49" fontId="12" fillId="3" borderId="0" xfId="4" applyNumberFormat="1" applyFont="1" applyFill="1"/>
    <xf numFmtId="0" fontId="12" fillId="3" borderId="0" xfId="4" quotePrefix="1" applyFont="1" applyFill="1"/>
    <xf numFmtId="0" fontId="7" fillId="3" borderId="0" xfId="5" quotePrefix="1" applyFont="1" applyFill="1"/>
    <xf numFmtId="0" fontId="15" fillId="3" borderId="0" xfId="6" applyFont="1" applyFill="1" applyBorder="1" applyAlignment="1" applyProtection="1"/>
    <xf numFmtId="0" fontId="16" fillId="3" borderId="0" xfId="5" quotePrefix="1" applyFont="1" applyFill="1"/>
    <xf numFmtId="0" fontId="3" fillId="3" borderId="0" xfId="4" applyFont="1" applyFill="1"/>
    <xf numFmtId="0" fontId="13" fillId="3" borderId="0" xfId="5" applyFont="1" applyFill="1"/>
    <xf numFmtId="0" fontId="13" fillId="3" borderId="0" xfId="3" applyFont="1" applyFill="1" applyAlignment="1">
      <alignment horizontal="left"/>
    </xf>
    <xf numFmtId="0" fontId="13" fillId="3" borderId="0" xfId="7" applyFont="1" applyFill="1" applyAlignment="1">
      <alignment horizontal="left"/>
    </xf>
    <xf numFmtId="14" fontId="13" fillId="3" borderId="0" xfId="3" applyNumberFormat="1" applyFont="1" applyFill="1"/>
    <xf numFmtId="0" fontId="7" fillId="2" borderId="1" xfId="0" applyFont="1" applyFill="1" applyBorder="1"/>
    <xf numFmtId="0" fontId="2" fillId="2" borderId="2" xfId="0" applyFont="1" applyFill="1" applyBorder="1"/>
    <xf numFmtId="0" fontId="7" fillId="2" borderId="2" xfId="0" applyFont="1" applyFill="1" applyBorder="1" applyAlignment="1">
      <alignment horizontal="right"/>
    </xf>
    <xf numFmtId="0" fontId="7" fillId="2" borderId="3" xfId="0" applyFont="1" applyFill="1" applyBorder="1" applyAlignment="1">
      <alignment horizontal="right"/>
    </xf>
    <xf numFmtId="0" fontId="7" fillId="2" borderId="4" xfId="0" applyFont="1" applyFill="1" applyBorder="1" applyAlignment="1">
      <alignment horizontal="left"/>
    </xf>
    <xf numFmtId="0" fontId="17" fillId="2" borderId="0" xfId="0" applyFont="1" applyFill="1"/>
    <xf numFmtId="0" fontId="0" fillId="2" borderId="0" xfId="0" applyFill="1"/>
    <xf numFmtId="0" fontId="7" fillId="2" borderId="5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left"/>
    </xf>
    <xf numFmtId="0" fontId="2" fillId="2" borderId="0" xfId="0" applyFont="1" applyFill="1"/>
    <xf numFmtId="0" fontId="2" fillId="2" borderId="5" xfId="0" applyFont="1" applyFill="1" applyBorder="1" applyAlignment="1">
      <alignment horizontal="right"/>
    </xf>
    <xf numFmtId="0" fontId="12" fillId="2" borderId="0" xfId="3" applyFont="1" applyFill="1"/>
    <xf numFmtId="0" fontId="17" fillId="2" borderId="4" xfId="0" applyFont="1" applyFill="1" applyBorder="1"/>
    <xf numFmtId="49" fontId="12" fillId="2" borderId="0" xfId="3" applyNumberFormat="1" applyFont="1" applyFill="1"/>
    <xf numFmtId="0" fontId="12" fillId="2" borderId="0" xfId="3" quotePrefix="1" applyFont="1" applyFill="1"/>
    <xf numFmtId="0" fontId="18" fillId="2" borderId="0" xfId="3" quotePrefix="1" applyFont="1" applyFill="1"/>
    <xf numFmtId="0" fontId="15" fillId="2" borderId="0" xfId="6" applyFont="1" applyFill="1" applyBorder="1" applyAlignment="1" applyProtection="1"/>
    <xf numFmtId="166" fontId="7" fillId="2" borderId="5" xfId="0" applyNumberFormat="1" applyFont="1" applyFill="1" applyBorder="1" applyAlignment="1">
      <alignment horizontal="right"/>
    </xf>
    <xf numFmtId="14" fontId="2" fillId="2" borderId="0" xfId="0" applyNumberFormat="1" applyFont="1" applyFill="1"/>
    <xf numFmtId="166" fontId="2" fillId="2" borderId="5" xfId="0" applyNumberFormat="1" applyFont="1" applyFill="1" applyBorder="1" applyAlignment="1" applyProtection="1">
      <alignment horizontal="right"/>
      <protection locked="0"/>
    </xf>
    <xf numFmtId="9" fontId="19" fillId="2" borderId="5" xfId="8" applyFont="1" applyFill="1" applyBorder="1" applyAlignment="1" applyProtection="1">
      <alignment horizontal="right"/>
      <protection locked="0"/>
    </xf>
    <xf numFmtId="0" fontId="20" fillId="2" borderId="4" xfId="0" applyFont="1" applyFill="1" applyBorder="1"/>
    <xf numFmtId="0" fontId="2" fillId="2" borderId="5" xfId="0" applyFont="1" applyFill="1" applyBorder="1"/>
    <xf numFmtId="0" fontId="21" fillId="2" borderId="0" xfId="3" applyFont="1" applyFill="1"/>
    <xf numFmtId="167" fontId="2" fillId="2" borderId="5" xfId="0" applyNumberFormat="1" applyFont="1" applyFill="1" applyBorder="1" applyAlignment="1" applyProtection="1">
      <alignment horizontal="right"/>
      <protection locked="0"/>
    </xf>
    <xf numFmtId="0" fontId="12" fillId="2" borderId="0" xfId="3" applyFont="1" applyFill="1" applyAlignment="1">
      <alignment horizontal="left"/>
    </xf>
    <xf numFmtId="0" fontId="22" fillId="2" borderId="0" xfId="3" applyFont="1" applyFill="1"/>
    <xf numFmtId="0" fontId="4" fillId="2" borderId="0" xfId="3" applyFont="1" applyFill="1" applyAlignment="1">
      <alignment horizontal="left"/>
    </xf>
    <xf numFmtId="0" fontId="13" fillId="2" borderId="0" xfId="0" applyFont="1" applyFill="1"/>
    <xf numFmtId="165" fontId="13" fillId="2" borderId="0" xfId="0" applyNumberFormat="1" applyFont="1" applyFill="1"/>
    <xf numFmtId="0" fontId="7" fillId="2" borderId="5" xfId="0" applyFont="1" applyFill="1" applyBorder="1"/>
    <xf numFmtId="1" fontId="2" fillId="2" borderId="5" xfId="0" applyNumberFormat="1" applyFont="1" applyFill="1" applyBorder="1"/>
    <xf numFmtId="0" fontId="2" fillId="2" borderId="6" xfId="0" applyFont="1" applyFill="1" applyBorder="1"/>
    <xf numFmtId="0" fontId="17" fillId="2" borderId="7" xfId="0" applyFont="1" applyFill="1" applyBorder="1"/>
    <xf numFmtId="0" fontId="2" fillId="2" borderId="8" xfId="0" applyFont="1" applyFill="1" applyBorder="1" applyAlignment="1">
      <alignment horizontal="right"/>
    </xf>
    <xf numFmtId="0" fontId="2" fillId="2" borderId="0" xfId="0" applyFont="1" applyFill="1" applyAlignment="1">
      <alignment horizontal="left"/>
    </xf>
    <xf numFmtId="14" fontId="23" fillId="2" borderId="0" xfId="0" applyNumberFormat="1" applyFont="1" applyFill="1"/>
    <xf numFmtId="168" fontId="4" fillId="2" borderId="0" xfId="9" applyNumberFormat="1" applyFont="1" applyFill="1" applyBorder="1" applyAlignment="1" applyProtection="1">
      <alignment horizontal="right"/>
      <protection locked="0"/>
    </xf>
    <xf numFmtId="167" fontId="24" fillId="2" borderId="0" xfId="3" applyNumberFormat="1" applyFont="1" applyFill="1" applyAlignment="1" applyProtection="1">
      <alignment horizontal="right"/>
      <protection locked="0"/>
    </xf>
    <xf numFmtId="165" fontId="3" fillId="2" borderId="0" xfId="3" applyNumberFormat="1" applyFont="1" applyFill="1"/>
    <xf numFmtId="0" fontId="4" fillId="2" borderId="0" xfId="3" applyFont="1" applyFill="1" applyAlignment="1">
      <alignment horizontal="right"/>
    </xf>
    <xf numFmtId="9" fontId="12" fillId="2" borderId="0" xfId="3" applyNumberFormat="1" applyFont="1" applyFill="1" applyAlignment="1">
      <alignment horizontal="right"/>
    </xf>
    <xf numFmtId="0" fontId="4" fillId="2" borderId="0" xfId="10" applyFont="1" applyFill="1"/>
    <xf numFmtId="0" fontId="25" fillId="2" borderId="0" xfId="3" applyFont="1" applyFill="1"/>
    <xf numFmtId="0" fontId="26" fillId="2" borderId="0" xfId="3" applyFont="1" applyFill="1"/>
    <xf numFmtId="0" fontId="27" fillId="2" borderId="0" xfId="3" applyFont="1" applyFill="1"/>
    <xf numFmtId="0" fontId="28" fillId="2" borderId="0" xfId="3" applyFont="1" applyFill="1"/>
    <xf numFmtId="0" fontId="4" fillId="2" borderId="0" xfId="3" applyFont="1" applyFill="1" applyProtection="1">
      <protection locked="0"/>
    </xf>
    <xf numFmtId="0" fontId="23" fillId="0" borderId="0" xfId="0" applyFont="1"/>
    <xf numFmtId="9" fontId="23" fillId="0" borderId="0" xfId="0" applyNumberFormat="1" applyFont="1"/>
    <xf numFmtId="14" fontId="31" fillId="6" borderId="0" xfId="5" applyNumberFormat="1" applyFont="1" applyFill="1"/>
    <xf numFmtId="169" fontId="31" fillId="6" borderId="0" xfId="5" applyNumberFormat="1" applyFont="1" applyFill="1" applyAlignment="1">
      <alignment horizontal="right"/>
    </xf>
    <xf numFmtId="169" fontId="29" fillId="7" borderId="0" xfId="5" applyNumberFormat="1" applyFont="1" applyFill="1" applyAlignment="1">
      <alignment horizontal="right"/>
    </xf>
    <xf numFmtId="169" fontId="29" fillId="0" borderId="0" xfId="5" applyNumberFormat="1" applyFont="1" applyAlignment="1">
      <alignment horizontal="right"/>
    </xf>
    <xf numFmtId="0" fontId="23" fillId="5" borderId="0" xfId="0" applyFont="1" applyFill="1"/>
    <xf numFmtId="0" fontId="31" fillId="6" borderId="0" xfId="5" applyFont="1" applyFill="1"/>
    <xf numFmtId="0" fontId="31" fillId="6" borderId="0" xfId="5" applyFont="1" applyFill="1" applyAlignment="1">
      <alignment horizontal="right"/>
    </xf>
    <xf numFmtId="0" fontId="29" fillId="7" borderId="0" xfId="5" applyFont="1" applyFill="1" applyAlignment="1">
      <alignment horizontal="right"/>
    </xf>
    <xf numFmtId="0" fontId="29" fillId="0" borderId="0" xfId="5" applyFont="1" applyAlignment="1">
      <alignment horizontal="right"/>
    </xf>
    <xf numFmtId="0" fontId="29" fillId="8" borderId="0" xfId="0" applyFont="1" applyFill="1"/>
    <xf numFmtId="0" fontId="29" fillId="8" borderId="0" xfId="5" applyFont="1" applyFill="1" applyAlignment="1">
      <alignment horizontal="right"/>
    </xf>
    <xf numFmtId="3" fontId="32" fillId="0" borderId="0" xfId="0" applyNumberFormat="1" applyFont="1"/>
    <xf numFmtId="3" fontId="33" fillId="0" borderId="0" xfId="0" applyNumberFormat="1" applyFont="1"/>
    <xf numFmtId="3" fontId="29" fillId="0" borderId="0" xfId="0" applyNumberFormat="1" applyFont="1"/>
    <xf numFmtId="9" fontId="29" fillId="0" borderId="0" xfId="0" applyNumberFormat="1" applyFont="1"/>
    <xf numFmtId="164" fontId="34" fillId="0" borderId="0" xfId="5" applyNumberFormat="1" applyFont="1" applyAlignment="1">
      <alignment horizontal="left" indent="1"/>
    </xf>
    <xf numFmtId="3" fontId="35" fillId="0" borderId="0" xfId="0" applyNumberFormat="1" applyFont="1"/>
    <xf numFmtId="9" fontId="34" fillId="0" borderId="0" xfId="0" applyNumberFormat="1" applyFont="1"/>
    <xf numFmtId="9" fontId="36" fillId="0" borderId="0" xfId="0" applyNumberFormat="1" applyFont="1"/>
    <xf numFmtId="0" fontId="23" fillId="0" borderId="0" xfId="0" applyFont="1" applyAlignment="1">
      <alignment horizontal="left" indent="1"/>
    </xf>
    <xf numFmtId="3" fontId="37" fillId="0" borderId="0" xfId="0" applyNumberFormat="1" applyFont="1"/>
    <xf numFmtId="3" fontId="23" fillId="0" borderId="0" xfId="0" applyNumberFormat="1" applyFont="1"/>
    <xf numFmtId="170" fontId="34" fillId="0" borderId="0" xfId="5" applyNumberFormat="1" applyFont="1" applyAlignment="1">
      <alignment horizontal="left" indent="1"/>
    </xf>
    <xf numFmtId="171" fontId="34" fillId="0" borderId="0" xfId="0" applyNumberFormat="1" applyFont="1"/>
    <xf numFmtId="171" fontId="36" fillId="0" borderId="0" xfId="0" applyNumberFormat="1" applyFont="1"/>
    <xf numFmtId="171" fontId="23" fillId="0" borderId="0" xfId="0" applyNumberFormat="1" applyFont="1"/>
    <xf numFmtId="4" fontId="23" fillId="0" borderId="0" xfId="0" applyNumberFormat="1" applyFont="1"/>
    <xf numFmtId="170" fontId="36" fillId="0" borderId="0" xfId="5" applyNumberFormat="1" applyFont="1" applyAlignment="1">
      <alignment horizontal="left" indent="1"/>
    </xf>
    <xf numFmtId="0" fontId="29" fillId="0" borderId="2" xfId="0" applyFont="1" applyBorder="1"/>
    <xf numFmtId="3" fontId="32" fillId="0" borderId="2" xfId="0" applyNumberFormat="1" applyFont="1" applyBorder="1"/>
    <xf numFmtId="3" fontId="29" fillId="0" borderId="2" xfId="0" applyNumberFormat="1" applyFont="1" applyBorder="1"/>
    <xf numFmtId="0" fontId="29" fillId="0" borderId="0" xfId="0" applyFont="1"/>
    <xf numFmtId="1" fontId="23" fillId="0" borderId="0" xfId="0" applyNumberFormat="1" applyFont="1"/>
    <xf numFmtId="3" fontId="2" fillId="0" borderId="0" xfId="0" applyNumberFormat="1" applyFont="1"/>
    <xf numFmtId="0" fontId="23" fillId="0" borderId="0" xfId="0" applyFont="1" applyAlignment="1">
      <alignment horizontal="left" wrapText="1" indent="1"/>
    </xf>
    <xf numFmtId="0" fontId="30" fillId="0" borderId="0" xfId="0" applyFont="1"/>
    <xf numFmtId="3" fontId="33" fillId="0" borderId="2" xfId="0" applyNumberFormat="1" applyFont="1" applyBorder="1"/>
    <xf numFmtId="170" fontId="38" fillId="0" borderId="0" xfId="5" applyNumberFormat="1" applyFont="1" applyAlignment="1">
      <alignment horizontal="left" indent="1"/>
    </xf>
    <xf numFmtId="9" fontId="38" fillId="0" borderId="0" xfId="0" applyNumberFormat="1" applyFont="1"/>
    <xf numFmtId="171" fontId="38" fillId="0" borderId="0" xfId="0" applyNumberFormat="1" applyFont="1"/>
    <xf numFmtId="171" fontId="39" fillId="0" borderId="0" xfId="0" applyNumberFormat="1" applyFont="1"/>
    <xf numFmtId="171" fontId="30" fillId="0" borderId="0" xfId="0" applyNumberFormat="1" applyFont="1"/>
    <xf numFmtId="170" fontId="29" fillId="0" borderId="0" xfId="5" applyNumberFormat="1" applyFont="1"/>
    <xf numFmtId="3" fontId="7" fillId="0" borderId="0" xfId="0" applyNumberFormat="1" applyFont="1"/>
    <xf numFmtId="3" fontId="30" fillId="0" borderId="0" xfId="0" applyNumberFormat="1" applyFont="1"/>
    <xf numFmtId="3" fontId="7" fillId="0" borderId="2" xfId="0" applyNumberFormat="1" applyFont="1" applyBorder="1"/>
    <xf numFmtId="172" fontId="29" fillId="0" borderId="2" xfId="0" applyNumberFormat="1" applyFont="1" applyBorder="1"/>
    <xf numFmtId="10" fontId="23" fillId="0" borderId="0" xfId="0" applyNumberFormat="1" applyFont="1"/>
    <xf numFmtId="173" fontId="23" fillId="0" borderId="0" xfId="0" applyNumberFormat="1" applyFont="1"/>
    <xf numFmtId="164" fontId="23" fillId="0" borderId="0" xfId="5" applyNumberFormat="1" applyFont="1" applyAlignment="1">
      <alignment horizontal="left" indent="1"/>
    </xf>
    <xf numFmtId="173" fontId="30" fillId="0" borderId="0" xfId="1" applyNumberFormat="1" applyFont="1" applyFill="1"/>
    <xf numFmtId="173" fontId="37" fillId="0" borderId="0" xfId="1" applyNumberFormat="1" applyFont="1" applyFill="1"/>
    <xf numFmtId="174" fontId="30" fillId="0" borderId="0" xfId="0" applyNumberFormat="1" applyFont="1"/>
    <xf numFmtId="174" fontId="2" fillId="0" borderId="0" xfId="0" applyNumberFormat="1" applyFont="1"/>
    <xf numFmtId="174" fontId="23" fillId="0" borderId="0" xfId="0" applyNumberFormat="1" applyFont="1"/>
    <xf numFmtId="171" fontId="23" fillId="0" borderId="0" xfId="2" applyNumberFormat="1" applyFont="1"/>
    <xf numFmtId="176" fontId="37" fillId="0" borderId="0" xfId="0" applyNumberFormat="1" applyFont="1"/>
    <xf numFmtId="1" fontId="37" fillId="0" borderId="0" xfId="0" applyNumberFormat="1" applyFont="1"/>
    <xf numFmtId="164" fontId="29" fillId="0" borderId="0" xfId="5" applyNumberFormat="1" applyFont="1"/>
    <xf numFmtId="176" fontId="23" fillId="0" borderId="0" xfId="0" applyNumberFormat="1" applyFont="1"/>
    <xf numFmtId="164" fontId="23" fillId="0" borderId="0" xfId="5" applyNumberFormat="1" applyFont="1"/>
    <xf numFmtId="173" fontId="23" fillId="0" borderId="0" xfId="1" applyNumberFormat="1" applyFont="1"/>
    <xf numFmtId="176" fontId="2" fillId="0" borderId="0" xfId="0" applyNumberFormat="1" applyFont="1"/>
    <xf numFmtId="173" fontId="29" fillId="0" borderId="0" xfId="1" applyNumberFormat="1" applyFont="1" applyBorder="1"/>
    <xf numFmtId="3" fontId="40" fillId="0" borderId="0" xfId="0" applyNumberFormat="1" applyFont="1"/>
    <xf numFmtId="170" fontId="23" fillId="0" borderId="0" xfId="5" applyNumberFormat="1" applyFont="1"/>
    <xf numFmtId="164" fontId="41" fillId="0" borderId="0" xfId="5" applyNumberFormat="1" applyFont="1"/>
    <xf numFmtId="9" fontId="30" fillId="10" borderId="0" xfId="0" applyNumberFormat="1" applyFont="1" applyFill="1"/>
    <xf numFmtId="0" fontId="29" fillId="11" borderId="0" xfId="0" applyFont="1" applyFill="1"/>
    <xf numFmtId="0" fontId="23" fillId="11" borderId="0" xfId="0" applyFont="1" applyFill="1"/>
    <xf numFmtId="171" fontId="30" fillId="10" borderId="0" xfId="0" applyNumberFormat="1" applyFont="1" applyFill="1"/>
    <xf numFmtId="171" fontId="23" fillId="10" borderId="0" xfId="0" applyNumberFormat="1" applyFont="1" applyFill="1"/>
    <xf numFmtId="9" fontId="42" fillId="0" borderId="0" xfId="0" applyNumberFormat="1" applyFont="1"/>
    <xf numFmtId="171" fontId="42" fillId="0" borderId="0" xfId="0" applyNumberFormat="1" applyFont="1"/>
    <xf numFmtId="9" fontId="43" fillId="0" borderId="0" xfId="0" applyNumberFormat="1" applyFont="1"/>
    <xf numFmtId="171" fontId="39" fillId="4" borderId="0" xfId="0" applyNumberFormat="1" applyFont="1" applyFill="1"/>
    <xf numFmtId="3" fontId="23" fillId="0" borderId="0" xfId="5" applyNumberFormat="1" applyFont="1" applyAlignment="1">
      <alignment horizontal="right"/>
    </xf>
    <xf numFmtId="0" fontId="29" fillId="12" borderId="0" xfId="0" applyFont="1" applyFill="1"/>
    <xf numFmtId="3" fontId="37" fillId="12" borderId="0" xfId="0" applyNumberFormat="1" applyFont="1" applyFill="1"/>
    <xf numFmtId="0" fontId="29" fillId="12" borderId="0" xfId="5" applyFont="1" applyFill="1" applyAlignment="1">
      <alignment horizontal="right"/>
    </xf>
    <xf numFmtId="9" fontId="23" fillId="0" borderId="0" xfId="5" applyNumberFormat="1" applyFont="1" applyAlignment="1">
      <alignment horizontal="right"/>
    </xf>
    <xf numFmtId="9" fontId="37" fillId="0" borderId="0" xfId="0" applyNumberFormat="1" applyFont="1"/>
    <xf numFmtId="3" fontId="29" fillId="0" borderId="0" xfId="5" applyNumberFormat="1" applyFont="1" applyAlignment="1">
      <alignment horizontal="right"/>
    </xf>
    <xf numFmtId="171" fontId="23" fillId="0" borderId="0" xfId="5" applyNumberFormat="1" applyFont="1" applyAlignment="1">
      <alignment horizontal="right"/>
    </xf>
    <xf numFmtId="171" fontId="29" fillId="0" borderId="0" xfId="5" applyNumberFormat="1" applyFont="1" applyAlignment="1">
      <alignment horizontal="right"/>
    </xf>
    <xf numFmtId="0" fontId="29" fillId="0" borderId="0" xfId="0" applyFont="1" applyAlignment="1">
      <alignment horizontal="left"/>
    </xf>
    <xf numFmtId="10" fontId="23" fillId="0" borderId="0" xfId="5" applyNumberFormat="1" applyFont="1" applyAlignment="1">
      <alignment horizontal="right"/>
    </xf>
    <xf numFmtId="171" fontId="30" fillId="10" borderId="0" xfId="2" applyNumberFormat="1" applyFont="1" applyFill="1"/>
    <xf numFmtId="1" fontId="2" fillId="0" borderId="0" xfId="0" applyNumberFormat="1" applyFont="1"/>
    <xf numFmtId="1" fontId="30" fillId="0" borderId="0" xfId="0" applyNumberFormat="1" applyFont="1"/>
    <xf numFmtId="0" fontId="30" fillId="10" borderId="0" xfId="0" applyFont="1" applyFill="1"/>
    <xf numFmtId="1" fontId="30" fillId="10" borderId="0" xfId="0" applyNumberFormat="1" applyFont="1" applyFill="1"/>
    <xf numFmtId="1" fontId="29" fillId="0" borderId="0" xfId="0" applyNumberFormat="1" applyFont="1"/>
    <xf numFmtId="171" fontId="30" fillId="0" borderId="0" xfId="2" applyNumberFormat="1" applyFont="1"/>
    <xf numFmtId="0" fontId="44" fillId="11" borderId="0" xfId="0" applyFont="1" applyFill="1"/>
    <xf numFmtId="171" fontId="29" fillId="0" borderId="0" xfId="0" applyNumberFormat="1" applyFont="1"/>
    <xf numFmtId="1" fontId="23" fillId="10" borderId="0" xfId="0" applyNumberFormat="1" applyFont="1" applyFill="1"/>
    <xf numFmtId="176" fontId="29" fillId="0" borderId="0" xfId="0" applyNumberFormat="1" applyFont="1"/>
    <xf numFmtId="0" fontId="23" fillId="12" borderId="0" xfId="0" applyFont="1" applyFill="1"/>
    <xf numFmtId="3" fontId="29" fillId="10" borderId="0" xfId="0" applyNumberFormat="1" applyFont="1" applyFill="1"/>
    <xf numFmtId="3" fontId="29" fillId="12" borderId="0" xfId="0" applyNumberFormat="1" applyFont="1" applyFill="1"/>
    <xf numFmtId="3" fontId="41" fillId="0" borderId="0" xfId="11" applyFont="1" applyAlignment="1">
      <alignment horizontal="left"/>
    </xf>
    <xf numFmtId="3" fontId="29" fillId="0" borderId="0" xfId="11" applyFont="1" applyAlignment="1">
      <alignment horizontal="left"/>
    </xf>
    <xf numFmtId="0" fontId="29" fillId="0" borderId="0" xfId="5" applyFont="1"/>
    <xf numFmtId="0" fontId="41" fillId="0" borderId="0" xfId="0" applyFont="1" applyAlignment="1">
      <alignment horizontal="left" indent="1"/>
    </xf>
    <xf numFmtId="0" fontId="45" fillId="0" borderId="0" xfId="0" applyFont="1" applyAlignment="1">
      <alignment horizontal="left" indent="1"/>
    </xf>
    <xf numFmtId="0" fontId="41" fillId="0" borderId="0" xfId="0" applyFont="1" applyAlignment="1">
      <alignment horizontal="left" indent="2"/>
    </xf>
    <xf numFmtId="0" fontId="33" fillId="0" borderId="0" xfId="0" applyFont="1"/>
    <xf numFmtId="0" fontId="29" fillId="0" borderId="0" xfId="0" applyFont="1" applyAlignment="1">
      <alignment horizontal="left" indent="1"/>
    </xf>
    <xf numFmtId="0" fontId="23" fillId="0" borderId="0" xfId="5" applyFont="1" applyAlignment="1">
      <alignment horizontal="left" indent="1"/>
    </xf>
    <xf numFmtId="0" fontId="41" fillId="0" borderId="0" xfId="5" applyFont="1" applyAlignment="1">
      <alignment horizontal="left" indent="2"/>
    </xf>
    <xf numFmtId="171" fontId="40" fillId="0" borderId="0" xfId="0" applyNumberFormat="1" applyFont="1"/>
    <xf numFmtId="0" fontId="2" fillId="0" borderId="0" xfId="0" applyFont="1"/>
    <xf numFmtId="0" fontId="31" fillId="0" borderId="0" xfId="5" applyFont="1" applyAlignment="1">
      <alignment horizontal="right"/>
    </xf>
    <xf numFmtId="175" fontId="29" fillId="0" borderId="0" xfId="1" applyNumberFormat="1" applyFont="1"/>
    <xf numFmtId="171" fontId="29" fillId="0" borderId="0" xfId="2" applyNumberFormat="1" applyFont="1"/>
    <xf numFmtId="175" fontId="23" fillId="10" borderId="0" xfId="1" applyNumberFormat="1" applyFont="1" applyFill="1"/>
    <xf numFmtId="175" fontId="23" fillId="0" borderId="0" xfId="1" applyNumberFormat="1" applyFont="1"/>
    <xf numFmtId="0" fontId="23" fillId="0" borderId="0" xfId="0" applyFont="1" applyAlignment="1">
      <alignment horizontal="left" indent="2"/>
    </xf>
    <xf numFmtId="0" fontId="31" fillId="0" borderId="0" xfId="5" applyFont="1"/>
    <xf numFmtId="9" fontId="29" fillId="0" borderId="0" xfId="1" applyNumberFormat="1" applyFont="1"/>
    <xf numFmtId="175" fontId="23" fillId="0" borderId="0" xfId="1" applyNumberFormat="1" applyFont="1" applyFill="1"/>
    <xf numFmtId="0" fontId="23" fillId="0" borderId="0" xfId="0" applyFont="1" applyAlignment="1">
      <alignment horizontal="left"/>
    </xf>
    <xf numFmtId="0" fontId="7" fillId="0" borderId="0" xfId="5" applyFont="1"/>
    <xf numFmtId="9" fontId="29" fillId="0" borderId="0" xfId="5" applyNumberFormat="1" applyFont="1" applyAlignment="1">
      <alignment horizontal="right"/>
    </xf>
    <xf numFmtId="3" fontId="2" fillId="0" borderId="0" xfId="5" applyNumberFormat="1" applyFont="1" applyAlignment="1">
      <alignment horizontal="right"/>
    </xf>
    <xf numFmtId="0" fontId="29" fillId="13" borderId="0" xfId="0" applyFont="1" applyFill="1"/>
    <xf numFmtId="0" fontId="31" fillId="13" borderId="0" xfId="5" applyFont="1" applyFill="1" applyAlignment="1">
      <alignment horizontal="right"/>
    </xf>
    <xf numFmtId="3" fontId="29" fillId="13" borderId="0" xfId="0" applyNumberFormat="1" applyFont="1" applyFill="1"/>
    <xf numFmtId="9" fontId="29" fillId="13" borderId="0" xfId="0" applyNumberFormat="1" applyFont="1" applyFill="1"/>
    <xf numFmtId="0" fontId="23" fillId="13" borderId="0" xfId="0" applyFont="1" applyFill="1" applyAlignment="1">
      <alignment horizontal="left" indent="1"/>
    </xf>
    <xf numFmtId="3" fontId="23" fillId="13" borderId="0" xfId="0" applyNumberFormat="1" applyFont="1" applyFill="1"/>
    <xf numFmtId="9" fontId="23" fillId="13" borderId="0" xfId="0" applyNumberFormat="1" applyFont="1" applyFill="1"/>
    <xf numFmtId="0" fontId="23" fillId="13" borderId="0" xfId="0" applyFont="1" applyFill="1"/>
    <xf numFmtId="0" fontId="23" fillId="13" borderId="0" xfId="0" applyFont="1" applyFill="1" applyAlignment="1">
      <alignment horizontal="left" indent="2"/>
    </xf>
    <xf numFmtId="0" fontId="31" fillId="13" borderId="0" xfId="5" applyFont="1" applyFill="1"/>
    <xf numFmtId="169" fontId="29" fillId="13" borderId="0" xfId="5" applyNumberFormat="1" applyFont="1" applyFill="1" applyAlignment="1">
      <alignment horizontal="right"/>
    </xf>
    <xf numFmtId="165" fontId="7" fillId="13" borderId="0" xfId="1" applyFont="1" applyFill="1" applyAlignment="1">
      <alignment horizontal="right"/>
    </xf>
    <xf numFmtId="165" fontId="2" fillId="13" borderId="0" xfId="1" applyFont="1" applyFill="1" applyAlignment="1">
      <alignment horizontal="right"/>
    </xf>
    <xf numFmtId="4" fontId="29" fillId="12" borderId="0" xfId="0" applyNumberFormat="1" applyFont="1" applyFill="1"/>
    <xf numFmtId="9" fontId="2" fillId="0" borderId="0" xfId="2" applyFont="1" applyFill="1" applyAlignment="1">
      <alignment horizontal="right"/>
    </xf>
    <xf numFmtId="9" fontId="29" fillId="9" borderId="0" xfId="0" applyNumberFormat="1" applyFont="1" applyFill="1"/>
    <xf numFmtId="9" fontId="23" fillId="9" borderId="0" xfId="0" applyNumberFormat="1" applyFont="1" applyFill="1"/>
    <xf numFmtId="9" fontId="7" fillId="0" borderId="0" xfId="2" applyFont="1" applyFill="1" applyAlignment="1">
      <alignment horizontal="right"/>
    </xf>
    <xf numFmtId="171" fontId="7" fillId="0" borderId="0" xfId="2" applyNumberFormat="1" applyFont="1" applyFill="1" applyAlignment="1">
      <alignment horizontal="right"/>
    </xf>
    <xf numFmtId="171" fontId="2" fillId="0" borderId="0" xfId="2" applyNumberFormat="1" applyFont="1" applyFill="1" applyAlignment="1">
      <alignment horizontal="right"/>
    </xf>
    <xf numFmtId="3" fontId="46" fillId="12" borderId="0" xfId="0" applyNumberFormat="1" applyFont="1" applyFill="1"/>
    <xf numFmtId="0" fontId="23" fillId="12" borderId="0" xfId="0" applyFont="1" applyFill="1" applyAlignment="1">
      <alignment horizontal="left" indent="2"/>
    </xf>
    <xf numFmtId="9" fontId="23" fillId="12" borderId="0" xfId="0" applyNumberFormat="1" applyFont="1" applyFill="1"/>
    <xf numFmtId="171" fontId="23" fillId="12" borderId="0" xfId="0" applyNumberFormat="1" applyFont="1" applyFill="1"/>
    <xf numFmtId="0" fontId="47" fillId="0" borderId="0" xfId="0" applyFont="1"/>
    <xf numFmtId="3" fontId="33" fillId="10" borderId="0" xfId="0" applyNumberFormat="1" applyFont="1" applyFill="1"/>
    <xf numFmtId="0" fontId="23" fillId="0" borderId="0" xfId="0" applyFont="1" applyAlignment="1">
      <alignment horizontal="left" indent="3"/>
    </xf>
    <xf numFmtId="4" fontId="29" fillId="0" borderId="0" xfId="0" applyNumberFormat="1" applyFont="1"/>
    <xf numFmtId="3" fontId="37" fillId="10" borderId="0" xfId="0" applyNumberFormat="1" applyFont="1" applyFill="1"/>
    <xf numFmtId="0" fontId="23" fillId="0" borderId="0" xfId="0" quotePrefix="1" applyFont="1" applyAlignment="1">
      <alignment horizontal="left" indent="1"/>
    </xf>
    <xf numFmtId="9" fontId="23" fillId="11" borderId="0" xfId="0" applyNumberFormat="1" applyFont="1" applyFill="1"/>
    <xf numFmtId="0" fontId="7" fillId="0" borderId="0" xfId="0" applyFont="1"/>
    <xf numFmtId="3" fontId="30" fillId="10" borderId="0" xfId="0" applyNumberFormat="1" applyFont="1" applyFill="1"/>
    <xf numFmtId="0" fontId="37" fillId="0" borderId="0" xfId="0" applyFont="1"/>
    <xf numFmtId="0" fontId="23" fillId="12" borderId="0" xfId="0" applyFont="1" applyFill="1" applyAlignment="1">
      <alignment horizontal="left"/>
    </xf>
    <xf numFmtId="3" fontId="48" fillId="12" borderId="0" xfId="0" applyNumberFormat="1" applyFont="1" applyFill="1"/>
    <xf numFmtId="0" fontId="23" fillId="12" borderId="0" xfId="0" applyFont="1" applyFill="1" applyAlignment="1">
      <alignment horizontal="left" indent="1"/>
    </xf>
    <xf numFmtId="3" fontId="2" fillId="12" borderId="0" xfId="0" applyNumberFormat="1" applyFont="1" applyFill="1"/>
    <xf numFmtId="3" fontId="33" fillId="14" borderId="0" xfId="0" applyNumberFormat="1" applyFont="1" applyFill="1"/>
    <xf numFmtId="3" fontId="49" fillId="0" borderId="0" xfId="0" applyNumberFormat="1" applyFont="1"/>
    <xf numFmtId="0" fontId="49" fillId="0" borderId="0" xfId="0" applyFont="1"/>
    <xf numFmtId="0" fontId="41" fillId="0" borderId="0" xfId="0" applyFont="1" applyAlignment="1">
      <alignment horizontal="left"/>
    </xf>
    <xf numFmtId="3" fontId="50" fillId="10" borderId="0" xfId="0" applyNumberFormat="1" applyFont="1" applyFill="1"/>
    <xf numFmtId="2" fontId="50" fillId="11" borderId="0" xfId="0" applyNumberFormat="1" applyFont="1" applyFill="1"/>
    <xf numFmtId="2" fontId="32" fillId="0" borderId="0" xfId="0" applyNumberFormat="1" applyFont="1"/>
    <xf numFmtId="2" fontId="37" fillId="0" borderId="0" xfId="0" applyNumberFormat="1" applyFont="1"/>
    <xf numFmtId="177" fontId="37" fillId="0" borderId="0" xfId="0" applyNumberFormat="1" applyFont="1"/>
    <xf numFmtId="2" fontId="29" fillId="0" borderId="0" xfId="0" applyNumberFormat="1" applyFont="1"/>
    <xf numFmtId="2" fontId="23" fillId="0" borderId="0" xfId="0" applyNumberFormat="1" applyFont="1"/>
    <xf numFmtId="9" fontId="23" fillId="0" borderId="0" xfId="2" applyFont="1" applyFill="1"/>
    <xf numFmtId="174" fontId="37" fillId="0" borderId="0" xfId="0" applyNumberFormat="1" applyFont="1"/>
    <xf numFmtId="173" fontId="23" fillId="0" borderId="0" xfId="1" applyNumberFormat="1" applyFont="1" applyFill="1"/>
    <xf numFmtId="9" fontId="30" fillId="0" borderId="0" xfId="0" applyNumberFormat="1" applyFont="1"/>
    <xf numFmtId="165" fontId="30" fillId="0" borderId="0" xfId="1" applyFont="1" applyFill="1" applyAlignment="1">
      <alignment horizontal="right"/>
    </xf>
    <xf numFmtId="4" fontId="30" fillId="10" borderId="0" xfId="0" applyNumberFormat="1" applyFont="1" applyFill="1"/>
    <xf numFmtId="165" fontId="30" fillId="10" borderId="0" xfId="1" applyFont="1" applyFill="1" applyAlignment="1">
      <alignment horizontal="right"/>
    </xf>
    <xf numFmtId="0" fontId="23" fillId="15" borderId="0" xfId="0" applyFont="1" applyFill="1"/>
    <xf numFmtId="3" fontId="29" fillId="15" borderId="0" xfId="0" applyNumberFormat="1" applyFont="1" applyFill="1"/>
    <xf numFmtId="175" fontId="2" fillId="0" borderId="0" xfId="1" applyNumberFormat="1" applyFont="1" applyFill="1"/>
    <xf numFmtId="3" fontId="23" fillId="10" borderId="0" xfId="0" applyNumberFormat="1" applyFont="1" applyFill="1"/>
    <xf numFmtId="3" fontId="23" fillId="11" borderId="0" xfId="0" applyNumberFormat="1" applyFont="1" applyFill="1"/>
    <xf numFmtId="0" fontId="23" fillId="0" borderId="0" xfId="0" applyFont="1" applyAlignment="1">
      <alignment horizontal="center"/>
    </xf>
    <xf numFmtId="2" fontId="23" fillId="0" borderId="0" xfId="0" applyNumberFormat="1" applyFont="1" applyAlignment="1">
      <alignment horizontal="center"/>
    </xf>
    <xf numFmtId="0" fontId="47" fillId="0" borderId="0" xfId="0" applyFont="1" applyAlignment="1">
      <alignment horizontal="left"/>
    </xf>
    <xf numFmtId="0" fontId="29" fillId="16" borderId="0" xfId="0" applyFont="1" applyFill="1" applyAlignment="1">
      <alignment horizontal="left"/>
    </xf>
    <xf numFmtId="0" fontId="29" fillId="16" borderId="0" xfId="0" applyFont="1" applyFill="1"/>
    <xf numFmtId="3" fontId="29" fillId="16" borderId="0" xfId="0" applyNumberFormat="1" applyFont="1" applyFill="1"/>
    <xf numFmtId="3" fontId="50" fillId="16" borderId="0" xfId="0" applyNumberFormat="1" applyFont="1" applyFill="1"/>
    <xf numFmtId="0" fontId="23" fillId="16" borderId="0" xfId="0" applyFont="1" applyFill="1"/>
    <xf numFmtId="0" fontId="29" fillId="0" borderId="0" xfId="0" applyFont="1" applyAlignment="1">
      <alignment horizontal="left" indent="2"/>
    </xf>
    <xf numFmtId="0" fontId="47" fillId="0" borderId="0" xfId="0" applyFont="1" applyAlignment="1">
      <alignment horizontal="left" indent="1"/>
    </xf>
    <xf numFmtId="4" fontId="33" fillId="0" borderId="0" xfId="0" applyNumberFormat="1" applyFont="1"/>
    <xf numFmtId="172" fontId="33" fillId="0" borderId="0" xfId="0" applyNumberFormat="1" applyFont="1"/>
    <xf numFmtId="172" fontId="29" fillId="0" borderId="0" xfId="0" applyNumberFormat="1" applyFont="1"/>
    <xf numFmtId="172" fontId="30" fillId="0" borderId="0" xfId="0" applyNumberFormat="1" applyFont="1"/>
    <xf numFmtId="172" fontId="30" fillId="10" borderId="0" xfId="0" applyNumberFormat="1" applyFont="1" applyFill="1"/>
    <xf numFmtId="178" fontId="23" fillId="0" borderId="0" xfId="0" applyNumberFormat="1" applyFont="1"/>
    <xf numFmtId="172" fontId="23" fillId="0" borderId="0" xfId="0" applyNumberFormat="1" applyFont="1"/>
    <xf numFmtId="178" fontId="30" fillId="0" borderId="0" xfId="0" applyNumberFormat="1" applyFont="1"/>
    <xf numFmtId="172" fontId="37" fillId="0" borderId="0" xfId="0" applyNumberFormat="1" applyFont="1"/>
    <xf numFmtId="173" fontId="30" fillId="10" borderId="0" xfId="1" applyNumberFormat="1" applyFont="1" applyFill="1"/>
    <xf numFmtId="171" fontId="37" fillId="0" borderId="0" xfId="0" applyNumberFormat="1" applyFont="1"/>
    <xf numFmtId="171" fontId="23" fillId="0" borderId="0" xfId="2" applyNumberFormat="1" applyFont="1" applyFill="1"/>
    <xf numFmtId="3" fontId="23" fillId="12" borderId="0" xfId="0" applyNumberFormat="1" applyFont="1" applyFill="1"/>
    <xf numFmtId="171" fontId="48" fillId="0" borderId="0" xfId="0" applyNumberFormat="1" applyFont="1"/>
    <xf numFmtId="9" fontId="50" fillId="0" borderId="0" xfId="0" applyNumberFormat="1" applyFont="1"/>
    <xf numFmtId="0" fontId="41" fillId="0" borderId="0" xfId="0" applyFont="1"/>
    <xf numFmtId="1" fontId="7" fillId="0" borderId="0" xfId="0" applyNumberFormat="1" applyFont="1"/>
    <xf numFmtId="1" fontId="32" fillId="0" borderId="0" xfId="0" applyNumberFormat="1" applyFont="1"/>
    <xf numFmtId="0" fontId="23" fillId="0" borderId="0" xfId="0" applyFont="1" applyAlignment="1">
      <alignment wrapText="1"/>
    </xf>
    <xf numFmtId="0" fontId="51" fillId="0" borderId="0" xfId="0" applyFont="1" applyAlignment="1">
      <alignment vertical="center"/>
    </xf>
    <xf numFmtId="0" fontId="45" fillId="0" borderId="0" xfId="0" applyFont="1"/>
    <xf numFmtId="0" fontId="7" fillId="0" borderId="0" xfId="0" applyFont="1" applyAlignment="1">
      <alignment vertical="center"/>
    </xf>
    <xf numFmtId="0" fontId="50" fillId="0" borderId="0" xfId="0" applyFont="1" applyAlignment="1">
      <alignment horizontal="left" vertical="center"/>
    </xf>
    <xf numFmtId="179" fontId="50" fillId="0" borderId="0" xfId="0" applyNumberFormat="1" applyFont="1" applyAlignment="1">
      <alignment vertical="center"/>
    </xf>
    <xf numFmtId="180" fontId="50" fillId="0" borderId="0" xfId="0" applyNumberFormat="1" applyFont="1" applyAlignment="1">
      <alignment vertical="center"/>
    </xf>
    <xf numFmtId="173" fontId="50" fillId="0" borderId="0" xfId="0" applyNumberFormat="1" applyFont="1" applyAlignment="1">
      <alignment vertical="center"/>
    </xf>
    <xf numFmtId="0" fontId="29" fillId="11" borderId="0" xfId="5" applyFont="1" applyFill="1" applyAlignment="1">
      <alignment horizontal="right"/>
    </xf>
    <xf numFmtId="0" fontId="23" fillId="0" borderId="0" xfId="0" applyFont="1" applyAlignment="1">
      <alignment vertical="center"/>
    </xf>
    <xf numFmtId="171" fontId="41" fillId="0" borderId="0" xfId="2" applyNumberFormat="1" applyFont="1" applyAlignment="1">
      <alignment horizontal="left" vertical="center" indent="1"/>
    </xf>
    <xf numFmtId="0" fontId="23" fillId="0" borderId="0" xfId="0" applyFont="1" applyAlignment="1">
      <alignment horizontal="left" vertical="center" indent="1"/>
    </xf>
    <xf numFmtId="176" fontId="30" fillId="10" borderId="0" xfId="0" applyNumberFormat="1" applyFont="1" applyFill="1"/>
    <xf numFmtId="0" fontId="41" fillId="0" borderId="0" xfId="0" applyFont="1" applyAlignment="1">
      <alignment horizontal="left" vertical="center" indent="1"/>
    </xf>
    <xf numFmtId="0" fontId="29" fillId="0" borderId="9" xfId="0" applyFont="1" applyBorder="1"/>
    <xf numFmtId="3" fontId="29" fillId="0" borderId="9" xfId="0" applyNumberFormat="1" applyFont="1" applyBorder="1"/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3" fontId="30" fillId="4" borderId="0" xfId="0" applyNumberFormat="1" applyFont="1" applyFill="1"/>
    <xf numFmtId="173" fontId="37" fillId="0" borderId="0" xfId="1" applyNumberFormat="1" applyFont="1"/>
    <xf numFmtId="0" fontId="29" fillId="11" borderId="0" xfId="12" applyFont="1" applyFill="1" applyAlignment="1">
      <alignment vertical="center"/>
    </xf>
    <xf numFmtId="0" fontId="23" fillId="10" borderId="0" xfId="0" applyFont="1" applyFill="1" applyAlignment="1">
      <alignment horizontal="left" indent="2"/>
    </xf>
    <xf numFmtId="0" fontId="2" fillId="0" borderId="0" xfId="0" applyFont="1" applyAlignment="1">
      <alignment horizontal="left" indent="1"/>
    </xf>
    <xf numFmtId="0" fontId="30" fillId="0" borderId="0" xfId="0" applyFont="1" applyAlignment="1">
      <alignment horizontal="left" indent="1"/>
    </xf>
    <xf numFmtId="174" fontId="29" fillId="0" borderId="0" xfId="0" applyNumberFormat="1" applyFont="1"/>
    <xf numFmtId="9" fontId="29" fillId="0" borderId="0" xfId="2" applyFont="1"/>
    <xf numFmtId="171" fontId="23" fillId="16" borderId="0" xfId="2" applyNumberFormat="1" applyFont="1" applyFill="1"/>
    <xf numFmtId="9" fontId="50" fillId="0" borderId="0" xfId="2" applyFont="1" applyAlignment="1">
      <alignment horizontal="right"/>
    </xf>
  </cellXfs>
  <cellStyles count="13">
    <cellStyle name="Comma" xfId="1" builtinId="3"/>
    <cellStyle name="Hyperlink 3" xfId="6" xr:uid="{9E7EE1EE-BEE2-4C79-BD92-863FAD848048}"/>
    <cellStyle name="Normal" xfId="0" builtinId="0"/>
    <cellStyle name="Normal 2 25" xfId="7" xr:uid="{FEC007AC-D611-47AF-BBF3-3885ADCFB870}"/>
    <cellStyle name="Normal 2 3 2" xfId="5" xr:uid="{AA7BAEB4-D6D4-4F1A-8A1B-E42CE7BE4A56}"/>
    <cellStyle name="Normal 3" xfId="12" xr:uid="{099326E2-B5DA-4952-848D-48CE134106F0}"/>
    <cellStyle name="Normal 3 2 2" xfId="4" xr:uid="{4F43A349-8161-413B-90A0-BCB7A106BF5F}"/>
    <cellStyle name="Normal 3 3" xfId="3" xr:uid="{2F189C18-7F25-401E-B8E7-5548755968A6}"/>
    <cellStyle name="Normal_Cheng Shin Model" xfId="11" xr:uid="{E379BD18-9253-4566-A5EC-C32094AB6106}"/>
    <cellStyle name="Normal_SKT_042409" xfId="10" xr:uid="{62B70EF5-AE74-48E0-BD7D-8C8938556EC9}"/>
    <cellStyle name="Per cent" xfId="2" builtinId="5"/>
    <cellStyle name="Percent 10 2" xfId="9" xr:uid="{36DA1AF1-99FF-490F-9F2A-63439DAC9A3D}"/>
    <cellStyle name="Percent 2 2 17" xfId="8" xr:uid="{E38400A3-F895-40FD-A482-7552D594D9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" cy="9525"/>
    <xdr:pic>
      <xdr:nvPicPr>
        <xdr:cNvPr id="2" name="TrinStgClass1" hidden="1">
          <a:extLst>
            <a:ext uri="{FF2B5EF4-FFF2-40B4-BE49-F238E27FC236}">
              <a16:creationId xmlns:a16="http://schemas.microsoft.com/office/drawing/2014/main" id="{B63F910E-0B36-4A47-A25C-83B90FB4E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171450</xdr:colOff>
      <xdr:row>6</xdr:row>
      <xdr:rowOff>123825</xdr:rowOff>
    </xdr:from>
    <xdr:to>
      <xdr:col>2</xdr:col>
      <xdr:colOff>300038</xdr:colOff>
      <xdr:row>14</xdr:row>
      <xdr:rowOff>138113</xdr:rowOff>
    </xdr:to>
    <xdr:pic>
      <xdr:nvPicPr>
        <xdr:cNvPr id="3" name="Picture 1" descr="Logo_solid_1_5in">
          <a:extLst>
            <a:ext uri="{FF2B5EF4-FFF2-40B4-BE49-F238E27FC236}">
              <a16:creationId xmlns:a16="http://schemas.microsoft.com/office/drawing/2014/main" id="{10A13183-B287-4B75-9618-17F7A11C1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71450" y="1095375"/>
          <a:ext cx="1500188" cy="15001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GIR Exhibits">
      <a:dk1>
        <a:srgbClr val="000000"/>
      </a:dk1>
      <a:lt1>
        <a:sysClr val="window" lastClr="FFFFFF"/>
      </a:lt1>
      <a:dk2>
        <a:srgbClr val="BE3232"/>
      </a:dk2>
      <a:lt2>
        <a:srgbClr val="F67F26"/>
      </a:lt2>
      <a:accent1>
        <a:srgbClr val="00355F"/>
      </a:accent1>
      <a:accent2>
        <a:srgbClr val="ACD4F1"/>
      </a:accent2>
      <a:accent3>
        <a:srgbClr val="A5A5A5"/>
      </a:accent3>
      <a:accent4>
        <a:srgbClr val="7399C6"/>
      </a:accent4>
      <a:accent5>
        <a:srgbClr val="078549"/>
      </a:accent5>
      <a:accent6>
        <a:srgbClr val="8BC346"/>
      </a:accent6>
      <a:hlink>
        <a:srgbClr val="7399C6"/>
      </a:hlink>
      <a:folHlink>
        <a:srgbClr val="A5A5A5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inyu.ruan@gs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carol.chen@gs.com" TargetMode="External"/><Relationship Id="rId1" Type="http://schemas.openxmlformats.org/officeDocument/2006/relationships/hyperlink" Target="mailto:Michelle.Cheng@gs.com" TargetMode="External"/><Relationship Id="rId6" Type="http://schemas.openxmlformats.org/officeDocument/2006/relationships/customProperty" Target="../customProperty2.bin"/><Relationship Id="rId5" Type="http://schemas.openxmlformats.org/officeDocument/2006/relationships/customProperty" Target="../customProperty1.bin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488E0-8916-42E2-B796-E172E28B15F4}">
  <dimension ref="A1:T85"/>
  <sheetViews>
    <sheetView topLeftCell="A14" zoomScale="130" zoomScaleNormal="130" workbookViewId="0">
      <selection activeCell="E17" sqref="E17"/>
    </sheetView>
  </sheetViews>
  <sheetFormatPr defaultColWidth="10.28515625" defaultRowHeight="12.75"/>
  <cols>
    <col min="1" max="6" width="10.28515625" style="3"/>
    <col min="7" max="7" width="12.7109375" style="3" bestFit="1" customWidth="1"/>
    <col min="8" max="9" width="10.28515625" style="3"/>
    <col min="10" max="10" width="12.42578125" style="3" customWidth="1"/>
    <col min="11" max="16384" width="10.28515625" style="3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  <c r="S1" s="2"/>
      <c r="T1" s="2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  <c r="R2" s="2"/>
      <c r="S2" s="2"/>
      <c r="T2" s="2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2"/>
      <c r="Q3" s="2"/>
      <c r="R3" s="2"/>
      <c r="S3" s="2"/>
      <c r="T3" s="2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2"/>
      <c r="R4" s="2"/>
      <c r="S4" s="2"/>
      <c r="T4" s="2"/>
    </row>
    <row r="5" spans="1:20">
      <c r="A5" s="1"/>
      <c r="B5" s="4"/>
      <c r="C5" s="1"/>
      <c r="D5" s="1"/>
      <c r="E5" s="5"/>
      <c r="F5" s="5"/>
      <c r="G5" s="5"/>
      <c r="H5" s="1"/>
      <c r="I5" s="1"/>
      <c r="J5" s="1"/>
      <c r="K5" s="1"/>
      <c r="L5" s="1"/>
      <c r="M5" s="1"/>
      <c r="N5" s="1"/>
      <c r="O5" s="1"/>
      <c r="P5" s="2"/>
      <c r="Q5" s="2"/>
      <c r="R5" s="2"/>
      <c r="S5" s="2"/>
      <c r="T5" s="2"/>
    </row>
    <row r="6" spans="1:20" s="6" customFormat="1"/>
    <row r="7" spans="1:20" s="13" customFormat="1" ht="13.5" customHeight="1">
      <c r="A7" s="7"/>
      <c r="B7" s="8"/>
      <c r="C7" s="7"/>
      <c r="D7" s="9"/>
      <c r="E7" s="10"/>
      <c r="F7" s="11"/>
      <c r="G7" s="11"/>
      <c r="H7" s="7"/>
      <c r="I7" s="7"/>
      <c r="J7" s="7"/>
      <c r="K7" s="7"/>
      <c r="L7" s="7"/>
      <c r="M7" s="7"/>
      <c r="N7" s="7"/>
      <c r="O7" s="7"/>
      <c r="P7" s="12"/>
      <c r="Q7" s="12"/>
      <c r="R7" s="12"/>
      <c r="S7" s="12"/>
      <c r="T7" s="12"/>
    </row>
    <row r="8" spans="1:20" s="13" customFormat="1" ht="26.25">
      <c r="A8" s="7"/>
      <c r="B8" s="8"/>
      <c r="C8" s="7"/>
      <c r="D8" s="14" t="s">
        <v>0</v>
      </c>
      <c r="E8" s="10"/>
      <c r="F8" s="11"/>
      <c r="G8" s="11"/>
      <c r="H8" s="7"/>
      <c r="I8" s="7"/>
      <c r="J8" s="7"/>
      <c r="K8" s="7"/>
      <c r="L8" s="7"/>
      <c r="M8" s="7"/>
      <c r="N8" s="7"/>
      <c r="O8" s="7"/>
      <c r="P8" s="12"/>
      <c r="Q8" s="12"/>
      <c r="R8" s="12"/>
      <c r="S8" s="12"/>
      <c r="T8" s="12"/>
    </row>
    <row r="9" spans="1:20" s="13" customFormat="1" ht="13.5" customHeight="1">
      <c r="A9" s="7"/>
      <c r="B9" s="8"/>
      <c r="C9" s="7"/>
      <c r="D9" s="7"/>
      <c r="E9" s="11"/>
      <c r="F9" s="11"/>
      <c r="G9" s="11"/>
      <c r="H9" s="7"/>
      <c r="I9" s="7"/>
      <c r="J9" s="7"/>
      <c r="K9" s="7"/>
      <c r="L9" s="7"/>
      <c r="M9" s="7"/>
      <c r="N9" s="7"/>
      <c r="O9" s="7"/>
      <c r="P9" s="12"/>
      <c r="Q9" s="12"/>
      <c r="R9" s="12"/>
      <c r="S9" s="12"/>
      <c r="T9" s="12"/>
    </row>
    <row r="10" spans="1:20" s="13" customFormat="1">
      <c r="A10" s="7"/>
      <c r="B10" s="8"/>
      <c r="C10" s="7"/>
      <c r="D10" s="15" t="s">
        <v>1</v>
      </c>
      <c r="E10" s="15"/>
      <c r="F10" s="15"/>
      <c r="G10" s="15" t="s">
        <v>2</v>
      </c>
      <c r="H10" s="16"/>
      <c r="I10" s="17"/>
      <c r="J10" s="15" t="s">
        <v>3</v>
      </c>
      <c r="K10" s="17"/>
      <c r="M10" s="15" t="s">
        <v>4</v>
      </c>
      <c r="N10" s="18"/>
      <c r="P10" s="12"/>
      <c r="Q10" s="12"/>
      <c r="R10" s="12"/>
      <c r="S10" s="12"/>
      <c r="T10" s="12"/>
    </row>
    <row r="11" spans="1:20" s="13" customFormat="1">
      <c r="A11" s="7"/>
      <c r="B11" s="8"/>
      <c r="C11" s="7"/>
      <c r="D11" s="19" t="s">
        <v>5</v>
      </c>
      <c r="E11" s="20"/>
      <c r="F11" s="20"/>
      <c r="G11" s="19" t="s">
        <v>6</v>
      </c>
      <c r="H11" s="21"/>
      <c r="I11" s="17"/>
      <c r="J11" s="19" t="s">
        <v>7</v>
      </c>
      <c r="K11" s="17"/>
      <c r="M11" s="19" t="s">
        <v>8</v>
      </c>
      <c r="N11" s="18"/>
      <c r="P11" s="12"/>
      <c r="Q11" s="12"/>
      <c r="R11" s="12"/>
      <c r="S11" s="12"/>
      <c r="T11" s="12"/>
    </row>
    <row r="12" spans="1:20" s="13" customFormat="1">
      <c r="A12" s="7"/>
      <c r="B12" s="8"/>
      <c r="C12" s="7"/>
      <c r="D12" s="22" t="s">
        <v>9</v>
      </c>
      <c r="E12" s="22"/>
      <c r="F12" s="22"/>
      <c r="G12" s="22" t="s">
        <v>10</v>
      </c>
      <c r="H12" s="23"/>
      <c r="I12" s="17"/>
      <c r="J12" s="22" t="s">
        <v>11</v>
      </c>
      <c r="K12" s="17"/>
      <c r="M12" s="22" t="s">
        <v>12</v>
      </c>
      <c r="N12" s="18"/>
      <c r="P12" s="12"/>
      <c r="Q12" s="12"/>
      <c r="R12" s="12"/>
      <c r="S12" s="12"/>
      <c r="T12" s="12"/>
    </row>
    <row r="13" spans="1:20" s="13" customFormat="1">
      <c r="A13" s="7"/>
      <c r="B13" s="8"/>
      <c r="C13" s="7"/>
      <c r="D13" s="15" t="s">
        <v>13</v>
      </c>
      <c r="E13" s="24"/>
      <c r="F13" s="24"/>
      <c r="G13" s="15" t="s">
        <v>13</v>
      </c>
      <c r="H13" s="25"/>
      <c r="I13" s="17"/>
      <c r="J13" s="15" t="s">
        <v>13</v>
      </c>
      <c r="K13" s="17"/>
      <c r="M13" s="15" t="s">
        <v>13</v>
      </c>
      <c r="N13" s="18"/>
      <c r="P13" s="12"/>
      <c r="Q13" s="12"/>
      <c r="R13" s="12"/>
      <c r="S13" s="12"/>
      <c r="T13" s="12"/>
    </row>
    <row r="14" spans="1:20" s="13" customFormat="1">
      <c r="A14" s="7"/>
      <c r="B14" s="8"/>
      <c r="C14" s="7"/>
      <c r="D14" s="18"/>
      <c r="E14" s="26"/>
      <c r="F14" s="26"/>
      <c r="G14" s="26"/>
      <c r="H14" s="18"/>
      <c r="I14" s="18"/>
      <c r="J14" s="18"/>
      <c r="K14" s="18"/>
      <c r="L14" s="18"/>
      <c r="M14" s="18"/>
      <c r="N14" s="18"/>
      <c r="O14" s="7"/>
      <c r="P14" s="12"/>
      <c r="Q14" s="12"/>
      <c r="R14" s="12"/>
      <c r="S14" s="12"/>
      <c r="T14" s="12"/>
    </row>
    <row r="15" spans="1:20" s="13" customFormat="1">
      <c r="A15" s="7"/>
      <c r="B15" s="8"/>
      <c r="C15" s="7"/>
      <c r="D15" s="18" t="s">
        <v>14</v>
      </c>
      <c r="E15" s="26"/>
      <c r="F15" s="26"/>
      <c r="G15" s="26"/>
      <c r="H15" s="27"/>
      <c r="I15" s="18"/>
      <c r="J15" s="18"/>
      <c r="K15" s="18"/>
      <c r="L15" s="27" t="s">
        <v>15</v>
      </c>
      <c r="M15" s="18"/>
      <c r="N15" s="28">
        <f>G37</f>
        <v>45897</v>
      </c>
      <c r="O15" s="7"/>
      <c r="P15" s="12"/>
      <c r="Q15" s="12"/>
      <c r="R15" s="12"/>
      <c r="S15" s="12"/>
      <c r="T15" s="12"/>
    </row>
    <row r="16" spans="1:20">
      <c r="A16" s="1"/>
      <c r="B16" s="4"/>
      <c r="C16" s="1"/>
      <c r="D16" s="1"/>
      <c r="E16" s="5"/>
      <c r="F16" s="5"/>
      <c r="G16" s="5"/>
      <c r="H16" s="1"/>
      <c r="I16" s="1"/>
      <c r="J16" s="1"/>
      <c r="K16" s="1"/>
      <c r="L16" s="1"/>
      <c r="M16" s="1"/>
      <c r="N16" s="1"/>
      <c r="O16" s="1"/>
      <c r="P16" s="2"/>
      <c r="Q16" s="2"/>
      <c r="R16" s="2"/>
      <c r="S16" s="2"/>
      <c r="T16" s="2"/>
    </row>
    <row r="17" spans="1:20">
      <c r="A17" s="1"/>
      <c r="B17" s="4"/>
      <c r="C17" s="1"/>
      <c r="D17" s="1"/>
      <c r="E17" s="5"/>
      <c r="F17" s="5"/>
      <c r="G17" s="5"/>
      <c r="H17" s="1"/>
      <c r="I17" s="1"/>
      <c r="J17" s="1"/>
      <c r="K17" s="1"/>
      <c r="L17" s="1"/>
      <c r="M17" s="1"/>
      <c r="N17" s="1"/>
      <c r="O17" s="1"/>
      <c r="P17" s="2"/>
      <c r="Q17" s="2"/>
      <c r="R17" s="2"/>
      <c r="S17" s="2"/>
      <c r="T17" s="2"/>
    </row>
    <row r="18" spans="1:20">
      <c r="A18" s="1"/>
      <c r="B18" s="4"/>
      <c r="C18" s="1"/>
      <c r="D18" s="1"/>
      <c r="E18" s="5"/>
      <c r="F18" s="5"/>
      <c r="G18" s="5"/>
      <c r="H18" s="1"/>
      <c r="I18" s="1"/>
      <c r="J18" s="1"/>
      <c r="K18" s="1"/>
      <c r="L18" s="1"/>
      <c r="M18" s="1"/>
      <c r="N18" s="1"/>
      <c r="O18" s="1"/>
      <c r="P18" s="2"/>
      <c r="Q18" s="2"/>
      <c r="R18" s="2"/>
      <c r="S18" s="2"/>
      <c r="T18" s="2"/>
    </row>
    <row r="19" spans="1:20">
      <c r="A19" s="1"/>
      <c r="B19" s="4"/>
      <c r="C19" s="1"/>
      <c r="D19" s="1"/>
      <c r="E19" s="5"/>
      <c r="F19" s="5"/>
      <c r="G19" s="5"/>
      <c r="H19" s="1"/>
      <c r="I19" s="1"/>
      <c r="J19" s="1"/>
      <c r="K19" s="1"/>
      <c r="L19" s="1"/>
      <c r="M19" s="1"/>
      <c r="N19" s="1"/>
      <c r="O19" s="1"/>
      <c r="P19" s="2"/>
      <c r="Q19" s="2"/>
      <c r="R19" s="2"/>
      <c r="S19" s="2"/>
      <c r="T19" s="2"/>
    </row>
    <row r="20" spans="1:20">
      <c r="A20" s="1"/>
      <c r="B20" s="4"/>
      <c r="C20" s="1"/>
      <c r="D20" s="1"/>
      <c r="E20" s="5"/>
      <c r="F20" s="5"/>
      <c r="G20" s="5"/>
      <c r="H20" s="1"/>
      <c r="I20" s="1"/>
      <c r="J20" s="1"/>
      <c r="K20" s="1"/>
      <c r="L20" s="1"/>
      <c r="M20" s="1"/>
      <c r="N20" s="1"/>
      <c r="O20" s="1"/>
      <c r="P20" s="2"/>
      <c r="Q20" s="2"/>
      <c r="R20" s="2"/>
      <c r="S20" s="2"/>
      <c r="T20" s="2"/>
    </row>
    <row r="21" spans="1:20">
      <c r="A21" s="1"/>
      <c r="B21" s="4"/>
      <c r="C21" s="1"/>
      <c r="D21" s="29" t="s">
        <v>16</v>
      </c>
      <c r="E21" s="30"/>
      <c r="F21" s="31"/>
      <c r="G21" s="32"/>
      <c r="H21" s="1"/>
      <c r="I21" s="1"/>
      <c r="J21" s="1"/>
      <c r="K21" s="1"/>
      <c r="L21" s="1"/>
      <c r="M21" s="1"/>
      <c r="N21" s="1"/>
      <c r="O21" s="1"/>
      <c r="P21" s="2"/>
      <c r="Q21" s="2"/>
      <c r="R21" s="2"/>
      <c r="S21" s="2"/>
      <c r="T21" s="2"/>
    </row>
    <row r="22" spans="1:20" ht="15">
      <c r="A22" s="1"/>
      <c r="B22" s="4"/>
      <c r="C22" s="1"/>
      <c r="D22" s="33" t="s">
        <v>17</v>
      </c>
      <c r="E22" s="34"/>
      <c r="F22" s="35"/>
      <c r="G22" s="36" t="s">
        <v>497</v>
      </c>
      <c r="H22" s="1"/>
      <c r="I22" s="1"/>
      <c r="J22" s="1"/>
      <c r="K22" s="1"/>
      <c r="L22" s="1"/>
      <c r="M22" s="1"/>
      <c r="N22" s="1"/>
      <c r="O22" s="1"/>
      <c r="P22" s="2"/>
      <c r="Q22" s="2"/>
      <c r="R22" s="2"/>
      <c r="S22" s="2"/>
      <c r="T22" s="2"/>
    </row>
    <row r="23" spans="1:20" ht="15">
      <c r="A23" s="1"/>
      <c r="B23" s="4"/>
      <c r="C23" s="1"/>
      <c r="D23" s="37"/>
      <c r="E23" s="38"/>
      <c r="F23" s="35"/>
      <c r="G23" s="39"/>
      <c r="H23" s="1"/>
      <c r="I23" s="1"/>
      <c r="J23" s="1"/>
      <c r="K23" s="1"/>
      <c r="L23" s="1"/>
      <c r="M23" s="1"/>
      <c r="N23" s="1"/>
      <c r="O23" s="1"/>
      <c r="P23" s="2"/>
      <c r="Q23" s="2"/>
      <c r="R23" s="2"/>
      <c r="S23" s="2"/>
      <c r="T23" s="2"/>
    </row>
    <row r="24" spans="1:20" ht="15">
      <c r="A24" s="1"/>
      <c r="B24" s="4"/>
      <c r="C24" s="1"/>
      <c r="D24" s="37" t="s">
        <v>18</v>
      </c>
      <c r="E24" s="34"/>
      <c r="F24" s="35"/>
      <c r="G24" s="39" t="s">
        <v>19</v>
      </c>
      <c r="H24" s="1"/>
      <c r="I24" s="1"/>
      <c r="J24" s="1"/>
      <c r="K24" s="1"/>
      <c r="L24" s="1"/>
      <c r="M24" s="1"/>
      <c r="N24" s="1"/>
      <c r="O24" s="1"/>
      <c r="P24" s="2"/>
      <c r="Q24" s="2"/>
      <c r="R24" s="2"/>
      <c r="S24" s="2"/>
      <c r="T24" s="2"/>
    </row>
    <row r="25" spans="1:20" ht="15">
      <c r="A25" s="1"/>
      <c r="B25" s="40"/>
      <c r="C25" s="40"/>
      <c r="D25" s="41"/>
      <c r="E25" s="34"/>
      <c r="F25" s="35"/>
      <c r="G25" s="39"/>
      <c r="J25" s="40"/>
      <c r="K25" s="40"/>
      <c r="L25" s="40"/>
      <c r="M25" s="40"/>
      <c r="N25" s="40"/>
      <c r="O25" s="1"/>
      <c r="P25" s="2"/>
      <c r="Q25" s="2"/>
      <c r="R25" s="2"/>
      <c r="S25" s="2"/>
      <c r="T25" s="2"/>
    </row>
    <row r="26" spans="1:20" ht="15">
      <c r="A26" s="1"/>
      <c r="B26" s="42"/>
      <c r="C26" s="43"/>
      <c r="D26" s="37" t="s">
        <v>20</v>
      </c>
      <c r="E26" s="34"/>
      <c r="F26" s="35"/>
      <c r="G26" s="39" t="s">
        <v>21</v>
      </c>
      <c r="J26" s="43"/>
      <c r="K26" s="43"/>
      <c r="L26" s="42"/>
      <c r="M26" s="44"/>
      <c r="N26" s="44"/>
      <c r="O26" s="1"/>
      <c r="P26" s="2"/>
      <c r="Q26" s="2"/>
      <c r="R26" s="2"/>
      <c r="S26" s="2"/>
      <c r="T26" s="2"/>
    </row>
    <row r="27" spans="1:20" ht="15">
      <c r="A27" s="1"/>
      <c r="B27" s="45"/>
      <c r="C27" s="45"/>
      <c r="D27" s="33" t="s">
        <v>22</v>
      </c>
      <c r="E27" s="34"/>
      <c r="F27" s="35"/>
      <c r="G27" s="46">
        <v>579</v>
      </c>
      <c r="J27" s="44"/>
      <c r="K27" s="44"/>
      <c r="L27" s="45"/>
      <c r="M27" s="45"/>
      <c r="N27" s="44"/>
      <c r="O27" s="1"/>
      <c r="P27" s="2"/>
      <c r="Q27" s="2"/>
      <c r="R27" s="2"/>
      <c r="S27" s="2"/>
      <c r="T27" s="2"/>
    </row>
    <row r="28" spans="1:20" ht="15">
      <c r="A28" s="1"/>
      <c r="B28" s="40"/>
      <c r="C28" s="1"/>
      <c r="D28" s="37" t="s">
        <v>23</v>
      </c>
      <c r="E28" s="47">
        <v>45896</v>
      </c>
      <c r="F28" s="35"/>
      <c r="G28" s="48">
        <v>460.4</v>
      </c>
      <c r="J28" s="1"/>
      <c r="K28" s="1"/>
      <c r="L28" s="1"/>
      <c r="M28" s="1"/>
      <c r="N28" s="1"/>
      <c r="O28" s="1"/>
      <c r="P28" s="2"/>
      <c r="Q28" s="2"/>
      <c r="R28" s="2"/>
      <c r="S28" s="2"/>
      <c r="T28" s="2"/>
    </row>
    <row r="29" spans="1:20" ht="15">
      <c r="A29" s="1"/>
      <c r="B29" s="1"/>
      <c r="C29" s="1"/>
      <c r="D29" s="37" t="s">
        <v>24</v>
      </c>
      <c r="E29" s="34"/>
      <c r="F29" s="35"/>
      <c r="G29" s="49">
        <v>0.25760208514335359</v>
      </c>
      <c r="H29" s="1"/>
      <c r="I29" s="1"/>
      <c r="J29" s="1"/>
      <c r="K29" s="1"/>
      <c r="L29" s="1"/>
      <c r="M29" s="1"/>
      <c r="N29" s="1"/>
      <c r="O29" s="1"/>
      <c r="P29" s="2"/>
      <c r="Q29" s="2"/>
      <c r="R29" s="2"/>
      <c r="S29" s="2"/>
      <c r="T29" s="2"/>
    </row>
    <row r="30" spans="1:20" ht="15">
      <c r="A30" s="1"/>
      <c r="B30" s="1"/>
      <c r="C30" s="1"/>
      <c r="D30" s="50"/>
      <c r="E30" s="34"/>
      <c r="F30" s="35"/>
      <c r="G30" s="51"/>
      <c r="H30" s="1"/>
      <c r="I30" s="1"/>
      <c r="J30" s="1"/>
      <c r="K30" s="1"/>
      <c r="L30" s="1"/>
      <c r="M30" s="52"/>
      <c r="N30" s="2"/>
      <c r="O30" s="1"/>
      <c r="P30" s="2"/>
      <c r="Q30" s="2"/>
      <c r="R30" s="2"/>
      <c r="S30" s="2"/>
      <c r="T30" s="2"/>
    </row>
    <row r="31" spans="1:20" ht="15">
      <c r="A31" s="1"/>
      <c r="B31" s="40"/>
      <c r="C31" s="2"/>
      <c r="D31" s="37" t="s">
        <v>25</v>
      </c>
      <c r="E31" s="34"/>
      <c r="F31" s="35"/>
      <c r="G31" s="53">
        <v>22441.048441550651</v>
      </c>
      <c r="H31" s="40"/>
      <c r="I31" s="40"/>
      <c r="J31" s="40"/>
      <c r="K31" s="1"/>
      <c r="L31" s="40"/>
      <c r="M31" s="40"/>
      <c r="N31" s="40"/>
      <c r="O31" s="40"/>
      <c r="P31" s="2"/>
      <c r="Q31" s="2"/>
      <c r="R31" s="2"/>
      <c r="S31" s="2"/>
      <c r="T31" s="2"/>
    </row>
    <row r="32" spans="1:20" ht="15">
      <c r="A32" s="1"/>
      <c r="B32" s="54"/>
      <c r="C32" s="55"/>
      <c r="D32" s="37" t="s">
        <v>26</v>
      </c>
      <c r="E32" s="34"/>
      <c r="F32" s="35"/>
      <c r="G32" s="53">
        <v>379.61880000000002</v>
      </c>
      <c r="H32" s="1"/>
      <c r="I32" s="1"/>
      <c r="J32" s="1"/>
      <c r="K32" s="1"/>
      <c r="L32" s="1"/>
      <c r="M32" s="1"/>
      <c r="N32" s="1"/>
      <c r="O32" s="1"/>
      <c r="P32" s="2"/>
      <c r="Q32" s="2"/>
      <c r="R32" s="2"/>
      <c r="S32" s="2"/>
      <c r="T32" s="2"/>
    </row>
    <row r="33" spans="1:20">
      <c r="A33" s="1"/>
      <c r="B33" s="56"/>
      <c r="C33" s="2"/>
      <c r="D33" s="37"/>
      <c r="E33" s="57"/>
      <c r="F33" s="58"/>
      <c r="G33" s="59"/>
      <c r="H33" s="1"/>
      <c r="I33" s="1"/>
      <c r="J33" s="1"/>
      <c r="K33" s="1"/>
      <c r="L33" s="1"/>
      <c r="M33" s="1"/>
      <c r="N33" s="1"/>
      <c r="O33" s="1"/>
      <c r="P33" s="2"/>
      <c r="Q33" s="2"/>
      <c r="R33" s="2"/>
      <c r="S33" s="2"/>
      <c r="T33" s="2"/>
    </row>
    <row r="34" spans="1:20">
      <c r="A34" s="1"/>
      <c r="B34" s="56"/>
      <c r="C34" s="55"/>
      <c r="D34" s="37" t="s">
        <v>27</v>
      </c>
      <c r="E34" s="57"/>
      <c r="F34" s="58"/>
      <c r="G34" s="60">
        <v>3</v>
      </c>
      <c r="H34" s="1"/>
      <c r="I34" s="1"/>
      <c r="J34" s="1"/>
      <c r="K34" s="1"/>
      <c r="L34" s="1"/>
      <c r="M34" s="1"/>
      <c r="N34" s="1"/>
      <c r="O34" s="1"/>
      <c r="P34" s="2"/>
      <c r="Q34" s="2"/>
      <c r="R34" s="2"/>
      <c r="S34" s="2"/>
      <c r="T34" s="2"/>
    </row>
    <row r="35" spans="1:20">
      <c r="A35" s="1"/>
      <c r="B35" s="55"/>
      <c r="C35" s="55"/>
      <c r="D35" s="61" t="s">
        <v>28</v>
      </c>
      <c r="E35" s="62"/>
      <c r="F35" s="62"/>
      <c r="G35" s="63" t="s">
        <v>29</v>
      </c>
      <c r="H35" s="1"/>
      <c r="I35" s="1"/>
      <c r="J35" s="1"/>
      <c r="K35" s="1"/>
      <c r="L35" s="1"/>
      <c r="M35" s="1"/>
      <c r="N35" s="1"/>
      <c r="O35" s="1"/>
      <c r="P35" s="2"/>
      <c r="Q35" s="2"/>
      <c r="R35" s="2"/>
      <c r="S35" s="2"/>
      <c r="T35" s="2"/>
    </row>
    <row r="36" spans="1:20" ht="15">
      <c r="A36" s="1"/>
      <c r="B36" s="56"/>
      <c r="C36" s="55"/>
      <c r="D36" s="35"/>
      <c r="E36" s="35"/>
      <c r="F36" s="35"/>
      <c r="G36" s="35"/>
      <c r="H36" s="1"/>
      <c r="I36" s="1"/>
      <c r="J36" s="1"/>
      <c r="K36" s="1"/>
      <c r="L36" s="1"/>
      <c r="M36" s="1"/>
      <c r="N36" s="1"/>
      <c r="O36" s="1"/>
      <c r="P36" s="2"/>
      <c r="Q36" s="2"/>
      <c r="R36" s="2"/>
      <c r="S36" s="2"/>
      <c r="T36" s="2"/>
    </row>
    <row r="37" spans="1:20" ht="15">
      <c r="A37" s="1"/>
      <c r="B37" s="54"/>
      <c r="C37" s="55"/>
      <c r="D37" s="64" t="s">
        <v>30</v>
      </c>
      <c r="E37" s="35"/>
      <c r="F37" s="35"/>
      <c r="G37" s="65">
        <v>45897</v>
      </c>
      <c r="H37" s="1"/>
      <c r="I37" s="1"/>
      <c r="J37" s="1"/>
      <c r="K37" s="1"/>
      <c r="L37" s="1"/>
      <c r="M37" s="1"/>
      <c r="N37" s="1"/>
      <c r="O37" s="1"/>
      <c r="P37" s="2"/>
      <c r="Q37" s="2"/>
      <c r="R37" s="2"/>
      <c r="S37" s="2"/>
      <c r="T37" s="2"/>
    </row>
    <row r="38" spans="1:20">
      <c r="A38" s="1"/>
      <c r="B38" s="56"/>
      <c r="C38" s="55"/>
      <c r="D38" s="64" t="s">
        <v>31</v>
      </c>
      <c r="E38" s="57"/>
      <c r="F38" s="57"/>
      <c r="G38" s="65">
        <v>45896</v>
      </c>
      <c r="H38" s="1"/>
      <c r="I38" s="1"/>
      <c r="J38" s="1"/>
      <c r="K38" s="1"/>
      <c r="L38" s="1"/>
      <c r="M38" s="1"/>
      <c r="N38" s="1"/>
      <c r="O38" s="1"/>
      <c r="P38" s="2"/>
      <c r="Q38" s="2"/>
      <c r="R38" s="2"/>
      <c r="S38" s="2"/>
      <c r="T38" s="2"/>
    </row>
    <row r="39" spans="1:20">
      <c r="A39" s="1"/>
      <c r="B39" s="56"/>
      <c r="C39" s="55"/>
      <c r="D39" s="2"/>
      <c r="E39" s="66"/>
      <c r="F39" s="43"/>
      <c r="G39" s="1"/>
      <c r="H39" s="1"/>
      <c r="I39" s="1"/>
      <c r="J39" s="1"/>
      <c r="K39" s="1"/>
      <c r="L39" s="1"/>
      <c r="M39" s="1"/>
      <c r="N39" s="1"/>
      <c r="O39" s="1"/>
      <c r="P39" s="2"/>
      <c r="Q39" s="2"/>
      <c r="R39" s="2"/>
      <c r="S39" s="2"/>
      <c r="T39" s="2"/>
    </row>
    <row r="40" spans="1:20">
      <c r="A40" s="1"/>
      <c r="B40" s="55"/>
      <c r="C40" s="55"/>
      <c r="D40" s="2"/>
      <c r="E40" s="55"/>
      <c r="F40" s="43"/>
      <c r="G40" s="1"/>
      <c r="H40" s="1"/>
      <c r="I40" s="1"/>
      <c r="J40" s="1"/>
      <c r="K40" s="1"/>
      <c r="L40" s="1"/>
      <c r="M40" s="1"/>
      <c r="N40" s="1"/>
      <c r="O40" s="1"/>
      <c r="P40" s="2"/>
      <c r="Q40" s="2"/>
      <c r="R40" s="2"/>
      <c r="S40" s="2"/>
      <c r="T40" s="2"/>
    </row>
    <row r="41" spans="1:20">
      <c r="A41" s="1"/>
      <c r="B41" s="56"/>
      <c r="C41" s="55"/>
      <c r="D41" s="2"/>
      <c r="E41" s="67"/>
      <c r="F41" s="43"/>
      <c r="G41" s="1"/>
      <c r="H41" s="1"/>
      <c r="I41" s="1"/>
      <c r="J41" s="1"/>
      <c r="K41" s="1"/>
      <c r="L41" s="1"/>
      <c r="M41" s="1"/>
      <c r="N41" s="1"/>
      <c r="O41" s="1"/>
      <c r="P41" s="2"/>
      <c r="Q41" s="2"/>
      <c r="R41" s="2"/>
      <c r="S41" s="2"/>
      <c r="T41" s="2"/>
    </row>
    <row r="42" spans="1:20">
      <c r="A42" s="1"/>
      <c r="B42" s="56"/>
      <c r="C42" s="55"/>
      <c r="D42" s="2"/>
      <c r="E42" s="67"/>
      <c r="F42" s="43"/>
      <c r="G42" s="1"/>
      <c r="H42" s="1"/>
      <c r="I42" s="1"/>
      <c r="J42" s="1"/>
      <c r="K42" s="1"/>
      <c r="L42" s="1"/>
      <c r="M42" s="1"/>
      <c r="N42" s="1"/>
      <c r="O42" s="1"/>
      <c r="P42" s="2"/>
      <c r="Q42" s="2"/>
      <c r="R42" s="2"/>
      <c r="S42" s="2"/>
      <c r="T42" s="2"/>
    </row>
    <row r="43" spans="1:20">
      <c r="A43" s="1"/>
      <c r="B43" s="1"/>
      <c r="C43" s="1"/>
      <c r="D43" s="68"/>
      <c r="E43" s="1"/>
      <c r="F43" s="43"/>
      <c r="G43" s="1"/>
      <c r="H43" s="1"/>
      <c r="I43" s="1"/>
      <c r="J43" s="1"/>
      <c r="K43" s="1"/>
      <c r="L43" s="1"/>
      <c r="M43" s="1"/>
      <c r="N43" s="1"/>
      <c r="O43" s="1"/>
      <c r="P43" s="2"/>
      <c r="Q43" s="2"/>
      <c r="R43" s="2"/>
      <c r="S43" s="2"/>
      <c r="T43" s="2"/>
    </row>
    <row r="44" spans="1:20">
      <c r="A44" s="1"/>
      <c r="B44" s="55"/>
      <c r="C44" s="55"/>
      <c r="D44" s="55"/>
      <c r="E44" s="69"/>
      <c r="F44" s="43"/>
      <c r="G44" s="1"/>
      <c r="H44" s="1"/>
      <c r="I44" s="1"/>
      <c r="J44" s="1"/>
      <c r="K44" s="1"/>
      <c r="L44" s="1"/>
      <c r="M44" s="1"/>
      <c r="N44" s="1"/>
      <c r="O44" s="1"/>
      <c r="P44" s="2"/>
      <c r="Q44" s="2"/>
      <c r="R44" s="2"/>
      <c r="S44" s="2"/>
      <c r="T44" s="2"/>
    </row>
    <row r="45" spans="1:20">
      <c r="A45" s="1"/>
      <c r="B45" s="2"/>
      <c r="C45" s="2"/>
      <c r="D45" s="2"/>
      <c r="E45" s="2"/>
      <c r="F45" s="43"/>
      <c r="G45" s="1"/>
      <c r="H45" s="1"/>
      <c r="I45" s="1"/>
      <c r="J45" s="1"/>
      <c r="K45" s="1"/>
      <c r="L45" s="1"/>
      <c r="M45" s="1"/>
      <c r="N45" s="1"/>
      <c r="O45" s="1"/>
      <c r="P45" s="2"/>
      <c r="Q45" s="2"/>
      <c r="R45" s="2"/>
      <c r="S45" s="2"/>
      <c r="T45" s="2"/>
    </row>
    <row r="46" spans="1:20">
      <c r="A46" s="1"/>
      <c r="B46" s="2"/>
      <c r="C46" s="2"/>
      <c r="D46" s="2"/>
      <c r="E46" s="69"/>
      <c r="F46" s="43"/>
      <c r="G46" s="1"/>
      <c r="H46" s="1"/>
      <c r="I46" s="1"/>
      <c r="J46" s="1"/>
      <c r="K46" s="1"/>
      <c r="L46" s="1"/>
      <c r="M46" s="1"/>
      <c r="N46" s="1"/>
      <c r="O46" s="1"/>
      <c r="P46" s="2"/>
      <c r="Q46" s="2"/>
      <c r="R46" s="2"/>
      <c r="S46" s="2"/>
      <c r="T46" s="2"/>
    </row>
    <row r="47" spans="1:20">
      <c r="A47" s="1"/>
      <c r="B47" s="54"/>
      <c r="C47" s="1"/>
      <c r="D47" s="1"/>
      <c r="E47" s="70"/>
      <c r="F47" s="43"/>
      <c r="G47" s="1"/>
      <c r="H47" s="1"/>
      <c r="I47" s="1"/>
      <c r="J47" s="1"/>
      <c r="K47" s="1"/>
      <c r="L47" s="1"/>
      <c r="M47" s="1"/>
      <c r="N47" s="1"/>
      <c r="O47" s="1"/>
      <c r="P47" s="2"/>
      <c r="Q47" s="2"/>
      <c r="R47" s="2"/>
      <c r="S47" s="2"/>
      <c r="T47" s="2"/>
    </row>
    <row r="48" spans="1:20">
      <c r="A48" s="1"/>
      <c r="B48" s="40"/>
      <c r="C48" s="40"/>
      <c r="D48" s="40"/>
      <c r="E48" s="40"/>
      <c r="F48" s="43"/>
      <c r="G48" s="40"/>
      <c r="H48" s="40"/>
      <c r="I48" s="40"/>
      <c r="J48" s="40"/>
      <c r="K48" s="1"/>
      <c r="L48" s="40"/>
      <c r="M48" s="40"/>
      <c r="N48" s="40"/>
      <c r="O48" s="40"/>
      <c r="P48" s="2"/>
      <c r="Q48" s="2"/>
      <c r="R48" s="2"/>
      <c r="S48" s="2"/>
      <c r="T48" s="2"/>
    </row>
    <row r="49" spans="1:20">
      <c r="A49" s="1"/>
      <c r="B49" s="1"/>
      <c r="C49" s="1"/>
      <c r="D49" s="1"/>
      <c r="E49" s="1"/>
      <c r="F49" s="43"/>
      <c r="G49" s="1"/>
      <c r="H49" s="1"/>
      <c r="I49" s="1"/>
      <c r="J49" s="1"/>
      <c r="K49" s="1"/>
      <c r="L49" s="1"/>
      <c r="M49" s="1"/>
      <c r="N49" s="1"/>
      <c r="O49" s="1"/>
      <c r="P49" s="2"/>
      <c r="Q49" s="2"/>
      <c r="R49" s="2"/>
      <c r="S49" s="2"/>
      <c r="T49" s="2"/>
    </row>
    <row r="50" spans="1:20">
      <c r="A50" s="1"/>
      <c r="B50" s="1"/>
      <c r="C50" s="1"/>
      <c r="D50" s="1"/>
      <c r="E50" s="1"/>
      <c r="F50" s="43"/>
      <c r="G50" s="1"/>
      <c r="H50" s="1"/>
      <c r="I50" s="1"/>
      <c r="J50" s="1"/>
      <c r="K50" s="1"/>
      <c r="L50" s="1"/>
      <c r="M50" s="1"/>
      <c r="N50" s="1"/>
      <c r="O50" s="1"/>
      <c r="P50" s="2"/>
      <c r="Q50" s="2"/>
      <c r="R50" s="2"/>
      <c r="S50" s="2"/>
      <c r="T50" s="2"/>
    </row>
    <row r="51" spans="1:20">
      <c r="A51" s="1"/>
      <c r="B51" s="1"/>
      <c r="C51" s="1"/>
      <c r="D51" s="1"/>
      <c r="E51" s="1"/>
      <c r="F51" s="43"/>
      <c r="G51" s="1"/>
      <c r="H51" s="1"/>
      <c r="I51" s="1"/>
      <c r="J51" s="1"/>
      <c r="K51" s="1"/>
      <c r="L51" s="1"/>
      <c r="M51" s="1"/>
      <c r="N51" s="1"/>
      <c r="O51" s="1"/>
      <c r="P51" s="2"/>
      <c r="Q51" s="2"/>
      <c r="R51" s="2"/>
      <c r="S51" s="2"/>
      <c r="T51" s="2"/>
    </row>
    <row r="52" spans="1:20">
      <c r="A52" s="1"/>
      <c r="B52" s="1"/>
      <c r="C52" s="1"/>
      <c r="D52" s="1"/>
      <c r="E52" s="1"/>
      <c r="F52" s="43"/>
      <c r="G52" s="1"/>
      <c r="H52" s="1"/>
      <c r="I52" s="1"/>
      <c r="J52" s="1"/>
      <c r="K52" s="1"/>
      <c r="L52" s="1"/>
      <c r="M52" s="1"/>
      <c r="N52" s="1"/>
      <c r="O52" s="1"/>
      <c r="P52" s="2"/>
      <c r="Q52" s="2"/>
      <c r="R52" s="2"/>
      <c r="S52" s="2"/>
      <c r="T52" s="2"/>
    </row>
    <row r="53" spans="1:2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4"/>
      <c r="N53" s="1"/>
      <c r="O53" s="1"/>
      <c r="P53" s="2"/>
      <c r="Q53" s="2"/>
      <c r="R53" s="2"/>
      <c r="S53" s="2"/>
      <c r="T53" s="2"/>
    </row>
    <row r="54" spans="1:2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4"/>
      <c r="M54" s="4"/>
      <c r="N54" s="1"/>
      <c r="O54" s="1"/>
      <c r="P54" s="2"/>
      <c r="Q54" s="2"/>
      <c r="R54" s="2"/>
      <c r="S54" s="2"/>
      <c r="T54" s="2"/>
    </row>
    <row r="55" spans="1:2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2"/>
      <c r="Q55" s="2"/>
      <c r="R55" s="2"/>
      <c r="S55" s="2"/>
      <c r="T55" s="2"/>
    </row>
    <row r="56" spans="1:2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2"/>
      <c r="Q56" s="2"/>
      <c r="R56" s="2"/>
      <c r="S56" s="2"/>
      <c r="T56" s="2"/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2"/>
      <c r="Q57" s="2"/>
      <c r="R57" s="2"/>
      <c r="S57" s="2"/>
      <c r="T57" s="2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2"/>
      <c r="Q58" s="2"/>
      <c r="R58" s="2"/>
      <c r="S58" s="2"/>
      <c r="T58" s="2"/>
    </row>
    <row r="59" spans="1:20">
      <c r="A59" s="1"/>
      <c r="B59" s="1"/>
      <c r="C59" s="1"/>
      <c r="D59" s="1"/>
      <c r="E59" s="1"/>
      <c r="F59" s="71"/>
      <c r="G59" s="43"/>
      <c r="H59" s="2"/>
      <c r="I59" s="72"/>
      <c r="J59" s="40"/>
      <c r="K59" s="1"/>
      <c r="L59" s="1"/>
      <c r="M59" s="1"/>
      <c r="N59" s="1"/>
      <c r="O59" s="1"/>
      <c r="P59" s="2"/>
      <c r="Q59" s="2"/>
      <c r="R59" s="2"/>
      <c r="S59" s="2"/>
      <c r="T59" s="2"/>
    </row>
    <row r="60" spans="1:2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2"/>
      <c r="Q60" s="2"/>
      <c r="R60" s="2"/>
      <c r="S60" s="2"/>
      <c r="T60" s="2"/>
    </row>
    <row r="61" spans="1:2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2"/>
      <c r="Q61" s="2"/>
      <c r="R61" s="2"/>
      <c r="S61" s="2"/>
      <c r="T61" s="2"/>
    </row>
    <row r="62" spans="1:20">
      <c r="A62" s="1"/>
      <c r="B62" s="71"/>
      <c r="C62" s="1"/>
      <c r="D62" s="1"/>
      <c r="E62" s="43"/>
      <c r="F62" s="1"/>
      <c r="G62" s="71"/>
      <c r="H62" s="1"/>
      <c r="I62" s="43"/>
      <c r="J62" s="1"/>
      <c r="K62" s="1"/>
      <c r="L62" s="1"/>
      <c r="M62" s="1"/>
      <c r="N62" s="1"/>
      <c r="O62" s="1"/>
      <c r="P62" s="2"/>
      <c r="Q62" s="2"/>
      <c r="R62" s="2"/>
      <c r="S62" s="2"/>
      <c r="T62" s="2"/>
    </row>
    <row r="63" spans="1:20">
      <c r="A63" s="2"/>
      <c r="B63" s="2"/>
      <c r="C63" s="2"/>
      <c r="D63" s="2"/>
      <c r="E63" s="4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>
      <c r="A64" s="2"/>
      <c r="B64" s="40"/>
      <c r="C64" s="40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>
      <c r="A65" s="2"/>
      <c r="B65" s="52"/>
      <c r="C65" s="52"/>
      <c r="D65" s="73"/>
      <c r="E65" s="73"/>
      <c r="F65" s="74"/>
      <c r="G65" s="74"/>
      <c r="H65" s="75"/>
      <c r="I65" s="75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>
      <c r="A66" s="2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>
      <c r="A67" s="2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>
      <c r="A68" s="2"/>
      <c r="B68" s="76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</sheetData>
  <hyperlinks>
    <hyperlink ref="D12" r:id="rId1" xr:uid="{BF24102A-1E6B-400E-8CEC-601332E8D638}"/>
    <hyperlink ref="J12" r:id="rId2" xr:uid="{763AD5E2-A9CE-47A0-9210-B019E793AE4D}"/>
    <hyperlink ref="G12" r:id="rId3" xr:uid="{4198F8C3-799B-48F6-98D0-1E2B6FFE2070}"/>
  </hyperlinks>
  <pageMargins left="0.7" right="0.7" top="0.75" bottom="0.75" header="0.3" footer="0.3"/>
  <pageSetup paperSize="9" orientation="portrait" horizontalDpi="300" verticalDpi="300" r:id="rId4"/>
  <customProperties>
    <customPr name="Qube.Worksheet.ID" r:id="rId5"/>
    <customPr name="Qube.Worksheet.Visibility" r:id="rId6"/>
  </customPropertie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0D86-39FC-4726-8374-22CEA4A28B97}">
  <sheetPr>
    <tabColor theme="7"/>
  </sheetPr>
  <dimension ref="A4:P363"/>
  <sheetViews>
    <sheetView showOutlineSymbols="0" showWhiteSpace="0" zoomScaleNormal="100" workbookViewId="0">
      <pane xSplit="4" ySplit="5" topLeftCell="E261" activePane="bottomRight" state="frozen"/>
      <selection activeCell="J21" sqref="J21"/>
      <selection pane="topRight" activeCell="J21" sqref="J21"/>
      <selection pane="bottomLeft" activeCell="J21" sqref="J21"/>
      <selection pane="bottomRight" activeCell="H54" sqref="H54"/>
    </sheetView>
  </sheetViews>
  <sheetFormatPr defaultColWidth="9.140625" defaultRowHeight="12.75" outlineLevelRow="2" outlineLevelCol="7"/>
  <cols>
    <col min="1" max="1" width="9.140625" style="273"/>
    <col min="2" max="2" width="45.5703125" style="77" customWidth="1"/>
    <col min="3" max="3" width="10.85546875" style="77" hidden="1" customWidth="1" outlineLevel="4"/>
    <col min="4" max="4" width="10.140625" style="77" hidden="1" customWidth="1" outlineLevel="4"/>
    <col min="5" max="5" width="10.140625" style="77" bestFit="1" customWidth="1" collapsed="1"/>
    <col min="6" max="6" width="9.5703125" style="77" bestFit="1" customWidth="1"/>
    <col min="7" max="10" width="9.140625" style="77" customWidth="1"/>
    <col min="11" max="12" width="9.140625" style="77" customWidth="1" outlineLevel="7"/>
    <col min="13" max="13" width="9.140625" style="77" customWidth="1"/>
    <col min="14" max="14" width="9.140625" style="77" customWidth="1" outlineLevel="7"/>
    <col min="15" max="15" width="9.140625" style="77" customWidth="1"/>
    <col min="16" max="16" width="9.140625" style="77" customWidth="1" outlineLevel="7"/>
    <col min="17" max="16384" width="9.140625" style="77"/>
  </cols>
  <sheetData>
    <row r="4" spans="1:16">
      <c r="B4" s="79" t="s">
        <v>33</v>
      </c>
      <c r="C4" s="80">
        <v>43800</v>
      </c>
      <c r="D4" s="80">
        <v>44166</v>
      </c>
      <c r="E4" s="80">
        <v>44561</v>
      </c>
      <c r="F4" s="80">
        <v>44926</v>
      </c>
      <c r="G4" s="80">
        <v>45291</v>
      </c>
      <c r="H4" s="80">
        <v>45657</v>
      </c>
      <c r="I4" s="81">
        <v>46022</v>
      </c>
      <c r="J4" s="81">
        <v>46387</v>
      </c>
      <c r="K4" s="81">
        <f>EDATE(J4,12)</f>
        <v>46752</v>
      </c>
      <c r="L4" s="83" t="s">
        <v>34</v>
      </c>
      <c r="M4" s="80">
        <v>45473</v>
      </c>
      <c r="N4" s="80">
        <f>EDATE(M4,6)</f>
        <v>45656</v>
      </c>
      <c r="O4" s="80">
        <v>45838</v>
      </c>
      <c r="P4" s="81">
        <f>EDATE(O4,6)</f>
        <v>46021</v>
      </c>
    </row>
    <row r="5" spans="1:16">
      <c r="B5" s="84" t="s">
        <v>35</v>
      </c>
      <c r="C5" s="85">
        <v>2019</v>
      </c>
      <c r="D5" s="85">
        <f>C5+1</f>
        <v>2020</v>
      </c>
      <c r="E5" s="85">
        <v>2021</v>
      </c>
      <c r="F5" s="85">
        <v>2022</v>
      </c>
      <c r="G5" s="85">
        <v>2023</v>
      </c>
      <c r="H5" s="85">
        <v>2024</v>
      </c>
      <c r="I5" s="86" t="s">
        <v>36</v>
      </c>
      <c r="J5" s="86" t="s">
        <v>37</v>
      </c>
      <c r="K5" s="86" t="s">
        <v>38</v>
      </c>
      <c r="L5" s="83">
        <v>1.0900000000000001</v>
      </c>
      <c r="M5" s="85">
        <v>2024</v>
      </c>
      <c r="N5" s="85">
        <v>2024</v>
      </c>
      <c r="O5" s="85" t="s">
        <v>36</v>
      </c>
      <c r="P5" s="86" t="s">
        <v>36</v>
      </c>
    </row>
    <row r="6" spans="1:16">
      <c r="B6" s="88" t="s">
        <v>39</v>
      </c>
      <c r="C6" s="88"/>
      <c r="D6" s="88"/>
      <c r="E6" s="89"/>
      <c r="F6" s="89"/>
      <c r="G6" s="89"/>
      <c r="H6" s="89"/>
      <c r="I6" s="89"/>
      <c r="J6" s="89"/>
      <c r="K6" s="89"/>
      <c r="M6" s="89"/>
      <c r="N6" s="89"/>
      <c r="O6" s="89"/>
      <c r="P6" s="89"/>
    </row>
    <row r="7" spans="1:16">
      <c r="B7" s="77" t="s">
        <v>40</v>
      </c>
      <c r="C7" s="90">
        <v>2566.0300000000002</v>
      </c>
      <c r="D7" s="90">
        <v>4679.9973</v>
      </c>
      <c r="E7" s="91">
        <v>10350.985999999999</v>
      </c>
      <c r="F7" s="91">
        <v>13575.577000000001</v>
      </c>
      <c r="G7" s="91">
        <v>20302.465</v>
      </c>
      <c r="H7" s="91">
        <v>24828.874</v>
      </c>
      <c r="I7" s="318">
        <f>Driver!I384</f>
        <v>32331.61638985468</v>
      </c>
      <c r="J7" s="318">
        <f>Driver!J384</f>
        <v>37879.876726422015</v>
      </c>
      <c r="K7" s="318">
        <f>Driver!K384</f>
        <v>43890.62210556872</v>
      </c>
      <c r="M7" s="91">
        <v>10677.054</v>
      </c>
      <c r="N7" s="92">
        <f>H7-M7</f>
        <v>14151.82</v>
      </c>
      <c r="O7" s="91">
        <v>14874.808999999999</v>
      </c>
      <c r="P7" s="92">
        <f>Driver!P384</f>
        <v>17456.807389854683</v>
      </c>
    </row>
    <row r="8" spans="1:16">
      <c r="B8" s="94" t="s">
        <v>41</v>
      </c>
      <c r="C8" s="95"/>
      <c r="D8" s="96">
        <f>D7/C7-1</f>
        <v>0.82382797551080844</v>
      </c>
      <c r="E8" s="96">
        <f t="shared" ref="E8:K8" si="0">E7/D7-1</f>
        <v>1.2117504213090036</v>
      </c>
      <c r="F8" s="96">
        <f t="shared" si="0"/>
        <v>0.31152500834220076</v>
      </c>
      <c r="G8" s="96">
        <f t="shared" si="0"/>
        <v>0.49551396599938236</v>
      </c>
      <c r="H8" s="96">
        <f t="shared" si="0"/>
        <v>0.22294874046082569</v>
      </c>
      <c r="I8" s="96">
        <f t="shared" si="0"/>
        <v>0.3021781168914337</v>
      </c>
      <c r="J8" s="96">
        <f t="shared" si="0"/>
        <v>0.17160479295765496</v>
      </c>
      <c r="K8" s="96">
        <f t="shared" si="0"/>
        <v>0.15867911668662016</v>
      </c>
      <c r="L8" s="78"/>
      <c r="M8" s="96"/>
      <c r="N8" s="78"/>
      <c r="O8" s="96">
        <f>O7/M7-1</f>
        <v>0.3931566703699354</v>
      </c>
      <c r="P8" s="96">
        <f>P7/N7-1</f>
        <v>0.23353797531728659</v>
      </c>
    </row>
    <row r="9" spans="1:16">
      <c r="A9" s="273" t="str">
        <f>B9</f>
        <v>Cost of sales</v>
      </c>
      <c r="B9" s="98" t="s">
        <v>42</v>
      </c>
      <c r="C9" s="98"/>
      <c r="D9" s="98"/>
      <c r="E9" s="99">
        <v>-7107.1239999999989</v>
      </c>
      <c r="F9" s="99">
        <v>-9728.7400000000016</v>
      </c>
      <c r="G9" s="99">
        <v>-14303.498</v>
      </c>
      <c r="H9" s="99">
        <v>-16768.667000000001</v>
      </c>
      <c r="I9" s="100">
        <f>Driver!I584</f>
        <v>-22194.395884745085</v>
      </c>
      <c r="J9" s="100">
        <f>Driver!J584</f>
        <v>-26071.255737919892</v>
      </c>
      <c r="K9" s="100">
        <f>Driver!K584</f>
        <v>-30188.089387652541</v>
      </c>
      <c r="M9" s="99">
        <v>-7274.3590000000004</v>
      </c>
      <c r="N9" s="100">
        <f>H9-M9</f>
        <v>-9494.3080000000009</v>
      </c>
      <c r="O9" s="99">
        <v>-10168.436</v>
      </c>
      <c r="P9" s="100">
        <f>Driver!P584</f>
        <v>-12025.959884745087</v>
      </c>
    </row>
    <row r="10" spans="1:16">
      <c r="B10" s="101" t="s">
        <v>43</v>
      </c>
      <c r="C10" s="101"/>
      <c r="D10" s="101"/>
      <c r="E10" s="102">
        <f>E9/E7</f>
        <v>-0.68661323665204455</v>
      </c>
      <c r="F10" s="102">
        <f>F9/F7</f>
        <v>-0.71663546971152692</v>
      </c>
      <c r="G10" s="102">
        <f t="shared" ref="G10:K10" si="1">G9/G7</f>
        <v>-0.7045202639186916</v>
      </c>
      <c r="H10" s="102">
        <f t="shared" si="1"/>
        <v>-0.67536961200898604</v>
      </c>
      <c r="I10" s="102">
        <f t="shared" si="1"/>
        <v>-0.68646106699785825</v>
      </c>
      <c r="J10" s="102">
        <f t="shared" si="1"/>
        <v>-0.68826136701059115</v>
      </c>
      <c r="K10" s="102">
        <f t="shared" si="1"/>
        <v>-0.68780272275571963</v>
      </c>
      <c r="M10" s="102">
        <f t="shared" ref="M10:P10" si="2">M9/M7</f>
        <v>-0.68130769030483507</v>
      </c>
      <c r="N10" s="102">
        <f t="shared" si="2"/>
        <v>-0.67088953929600581</v>
      </c>
      <c r="O10" s="102">
        <f t="shared" si="2"/>
        <v>-0.68360111380253685</v>
      </c>
      <c r="P10" s="102">
        <f t="shared" si="2"/>
        <v>-0.6888980107401641</v>
      </c>
    </row>
    <row r="11" spans="1:16">
      <c r="A11" s="273" t="str">
        <f>B11</f>
        <v>Selling and distribution expenses</v>
      </c>
      <c r="B11" s="98" t="s">
        <v>44</v>
      </c>
      <c r="C11" s="98"/>
      <c r="D11" s="98"/>
      <c r="E11" s="99">
        <v>-405.76600000000002</v>
      </c>
      <c r="F11" s="99">
        <v>-774.43100000000004</v>
      </c>
      <c r="G11" s="99">
        <v>-1318.588</v>
      </c>
      <c r="H11" s="99">
        <v>-1599.4739999999999</v>
      </c>
      <c r="I11" s="100">
        <f t="shared" ref="I11:J11" si="3">I166</f>
        <v>-2011.670485279129</v>
      </c>
      <c r="J11" s="100">
        <f t="shared" si="3"/>
        <v>-2292.4869919695616</v>
      </c>
      <c r="K11" s="100">
        <f>K166</f>
        <v>-2603.5880563441756</v>
      </c>
      <c r="M11" s="99">
        <v>-651.49099999999999</v>
      </c>
      <c r="N11" s="100">
        <f>H11-M11</f>
        <v>-947.98299999999995</v>
      </c>
      <c r="O11" s="99">
        <v>-913.67899999999997</v>
      </c>
      <c r="P11" s="100">
        <f t="shared" ref="P11" si="4">P166</f>
        <v>-1097.9914852791289</v>
      </c>
    </row>
    <row r="12" spans="1:16">
      <c r="B12" s="101" t="s">
        <v>43</v>
      </c>
      <c r="C12" s="101"/>
      <c r="D12" s="101"/>
      <c r="E12" s="102">
        <f t="shared" ref="E12:K12" si="5">E11/E7</f>
        <v>-3.9200709961350548E-2</v>
      </c>
      <c r="F12" s="102">
        <f t="shared" si="5"/>
        <v>-5.7045899411862937E-2</v>
      </c>
      <c r="G12" s="102">
        <f t="shared" si="5"/>
        <v>-6.4947187447435564E-2</v>
      </c>
      <c r="H12" s="102">
        <f t="shared" si="5"/>
        <v>-6.4419916908032157E-2</v>
      </c>
      <c r="I12" s="102">
        <f t="shared" si="5"/>
        <v>-6.2219916908032163E-2</v>
      </c>
      <c r="J12" s="102">
        <f t="shared" si="5"/>
        <v>-6.0519916908032156E-2</v>
      </c>
      <c r="K12" s="102">
        <f t="shared" si="5"/>
        <v>-5.931991690803215E-2</v>
      </c>
      <c r="M12" s="102">
        <f t="shared" ref="M12:P12" si="6">M11/M7</f>
        <v>-6.1017861293948684E-2</v>
      </c>
      <c r="N12" s="102">
        <f t="shared" si="6"/>
        <v>-6.6986649067045795E-2</v>
      </c>
      <c r="O12" s="102">
        <f t="shared" si="6"/>
        <v>-6.142458703167214E-2</v>
      </c>
      <c r="P12" s="102">
        <f t="shared" si="6"/>
        <v>-6.2897611273252926E-2</v>
      </c>
    </row>
    <row r="13" spans="1:16">
      <c r="A13" s="273" t="str">
        <f>B13</f>
        <v>Administrative expenses</v>
      </c>
      <c r="B13" s="98" t="s">
        <v>45</v>
      </c>
      <c r="C13" s="98"/>
      <c r="D13" s="98"/>
      <c r="E13" s="99">
        <v>-374.66500000000002</v>
      </c>
      <c r="F13" s="99">
        <v>-496.50599999999997</v>
      </c>
      <c r="G13" s="99">
        <v>-610.62199999999996</v>
      </c>
      <c r="H13" s="99">
        <v>-755.11500000000001</v>
      </c>
      <c r="I13" s="100">
        <f t="shared" ref="I13:K13" si="7">I194</f>
        <v>-942.67248593966963</v>
      </c>
      <c r="J13" s="100">
        <f t="shared" si="7"/>
        <v>-1031.6104116045879</v>
      </c>
      <c r="K13" s="100">
        <f t="shared" si="7"/>
        <v>-1116.3023206927005</v>
      </c>
      <c r="M13" s="99">
        <v>-279.51499999999999</v>
      </c>
      <c r="N13" s="100">
        <f>H13-M13</f>
        <v>-475.6</v>
      </c>
      <c r="O13" s="99">
        <v>-437.65</v>
      </c>
      <c r="P13" s="100">
        <f t="shared" ref="P13" si="8">P194</f>
        <v>-505.02248593966959</v>
      </c>
    </row>
    <row r="14" spans="1:16">
      <c r="B14" s="101" t="s">
        <v>43</v>
      </c>
      <c r="C14" s="101"/>
      <c r="D14" s="101"/>
      <c r="E14" s="102">
        <f t="shared" ref="E14:K14" si="9">E13/E7</f>
        <v>-3.6196068664376517E-2</v>
      </c>
      <c r="F14" s="102">
        <v>-3.6400000000000002E-2</v>
      </c>
      <c r="G14" s="102">
        <f t="shared" si="9"/>
        <v>-3.0076249361838572E-2</v>
      </c>
      <c r="H14" s="102">
        <f t="shared" si="9"/>
        <v>-3.0412776672836633E-2</v>
      </c>
      <c r="I14" s="102">
        <f t="shared" si="9"/>
        <v>-2.9156367395088551E-2</v>
      </c>
      <c r="J14" s="102">
        <f t="shared" si="9"/>
        <v>-2.7233732017005689E-2</v>
      </c>
      <c r="K14" s="102">
        <f t="shared" si="9"/>
        <v>-2.5433732017005682E-2</v>
      </c>
      <c r="M14" s="102">
        <f t="shared" ref="M14:P14" si="10">M13/M7</f>
        <v>-2.6179037775775977E-2</v>
      </c>
      <c r="N14" s="102">
        <f t="shared" si="10"/>
        <v>-3.3606984825979985E-2</v>
      </c>
      <c r="O14" s="102">
        <f t="shared" si="10"/>
        <v>-2.9422226530774278E-2</v>
      </c>
      <c r="P14" s="102">
        <f t="shared" si="10"/>
        <v>-2.8929830905573942E-2</v>
      </c>
    </row>
    <row r="15" spans="1:16">
      <c r="A15" s="273" t="str">
        <f>B15</f>
        <v>Research and development expenses</v>
      </c>
      <c r="B15" s="98" t="s">
        <v>46</v>
      </c>
      <c r="C15" s="98"/>
      <c r="D15" s="98"/>
      <c r="E15" s="99">
        <v>-17.151</v>
      </c>
      <c r="F15" s="99">
        <v>-32.304000000000002</v>
      </c>
      <c r="G15" s="99">
        <v>-85</v>
      </c>
      <c r="H15" s="99">
        <v>-104.87</v>
      </c>
      <c r="I15" s="100">
        <f t="shared" ref="I15:K15" si="11">I220</f>
        <v>-104.22780272854997</v>
      </c>
      <c r="J15" s="100">
        <f t="shared" si="11"/>
        <v>-114.5378178909297</v>
      </c>
      <c r="K15" s="100">
        <f t="shared" si="11"/>
        <v>-123.93445323996161</v>
      </c>
      <c r="M15" s="99">
        <v>-40.326999999999998</v>
      </c>
      <c r="N15" s="100">
        <f>H15-M15</f>
        <v>-64.543000000000006</v>
      </c>
      <c r="O15" s="99">
        <v>-41.036999999999999</v>
      </c>
      <c r="P15" s="100">
        <f t="shared" ref="P15" si="12">P220</f>
        <v>-63.190802728549976</v>
      </c>
    </row>
    <row r="16" spans="1:16">
      <c r="B16" s="101" t="s">
        <v>43</v>
      </c>
      <c r="C16" s="101"/>
      <c r="D16" s="101"/>
      <c r="E16" s="102">
        <f t="shared" ref="E16:K16" si="13">E15/E7</f>
        <v>-1.6569435993827064E-3</v>
      </c>
      <c r="F16" s="102">
        <f t="shared" si="13"/>
        <v>-2.379567365718599E-3</v>
      </c>
      <c r="G16" s="102">
        <f t="shared" si="13"/>
        <v>-4.1866837352016123E-3</v>
      </c>
      <c r="H16" s="102">
        <f t="shared" si="13"/>
        <v>-4.223711473987906E-3</v>
      </c>
      <c r="I16" s="102">
        <f t="shared" si="13"/>
        <v>-3.223711473987906E-3</v>
      </c>
      <c r="J16" s="102">
        <f t="shared" si="13"/>
        <v>-3.0237114739879063E-3</v>
      </c>
      <c r="K16" s="102">
        <f t="shared" si="13"/>
        <v>-2.8237114739879058E-3</v>
      </c>
      <c r="M16" s="102">
        <f t="shared" ref="M16:P16" si="14">M15/M7</f>
        <v>-3.7769781814346913E-3</v>
      </c>
      <c r="N16" s="102">
        <f t="shared" si="14"/>
        <v>-4.5607561430261274E-3</v>
      </c>
      <c r="O16" s="102">
        <f t="shared" si="14"/>
        <v>-2.758825340211091E-3</v>
      </c>
      <c r="P16" s="102">
        <f t="shared" si="14"/>
        <v>-3.619837311447589E-3</v>
      </c>
    </row>
    <row r="17" spans="1:16">
      <c r="B17" s="106"/>
      <c r="C17" s="106"/>
      <c r="D17" s="106"/>
      <c r="E17" s="97"/>
      <c r="F17" s="103"/>
    </row>
    <row r="18" spans="1:16">
      <c r="A18" s="273" t="str">
        <f>B18</f>
        <v>Adjusted operating profit</v>
      </c>
      <c r="B18" s="107" t="s">
        <v>47</v>
      </c>
      <c r="C18" s="108"/>
      <c r="D18" s="108"/>
      <c r="E18" s="109">
        <f t="shared" ref="E18:H18" si="15">E7+E9+E11+E13+E15</f>
        <v>2446.2800000000002</v>
      </c>
      <c r="F18" s="109">
        <f t="shared" si="15"/>
        <v>2543.5959999999995</v>
      </c>
      <c r="G18" s="109">
        <f t="shared" si="15"/>
        <v>3984.757000000001</v>
      </c>
      <c r="H18" s="109">
        <f t="shared" si="15"/>
        <v>5600.7479999999987</v>
      </c>
      <c r="I18" s="109">
        <f>I7+I9+I11+I13+I15</f>
        <v>7078.6497311622461</v>
      </c>
      <c r="J18" s="109">
        <f>J7+J9+J11+J13+J15</f>
        <v>8369.9857670370438</v>
      </c>
      <c r="K18" s="109">
        <f>K7+K9+K11+K13+K15</f>
        <v>9858.7078876393425</v>
      </c>
      <c r="M18" s="109">
        <f t="shared" ref="M18:P18" si="16">M7+M9+M11+M13+M15</f>
        <v>2431.3620000000001</v>
      </c>
      <c r="N18" s="109">
        <f t="shared" si="16"/>
        <v>3169.3859999999986</v>
      </c>
      <c r="O18" s="109">
        <f t="shared" si="16"/>
        <v>3314.0069999999996</v>
      </c>
      <c r="P18" s="109">
        <f t="shared" si="16"/>
        <v>3764.6427311622474</v>
      </c>
    </row>
    <row r="19" spans="1:16">
      <c r="B19" s="101" t="s">
        <v>48</v>
      </c>
      <c r="C19" s="95"/>
      <c r="D19" s="95"/>
      <c r="E19" s="102">
        <f t="shared" ref="E19:K19" si="17">E18/E7</f>
        <v>0.23633304112284573</v>
      </c>
      <c r="F19" s="102">
        <f t="shared" si="17"/>
        <v>0.18736559042757442</v>
      </c>
      <c r="G19" s="102">
        <f t="shared" si="17"/>
        <v>0.19626961553683264</v>
      </c>
      <c r="H19" s="102">
        <f t="shared" si="17"/>
        <v>0.22557398293615727</v>
      </c>
      <c r="I19" s="102">
        <f t="shared" si="17"/>
        <v>0.21893893722503313</v>
      </c>
      <c r="J19" s="102">
        <f t="shared" si="17"/>
        <v>0.22096127259038312</v>
      </c>
      <c r="K19" s="102">
        <f t="shared" si="17"/>
        <v>0.22461991684525467</v>
      </c>
      <c r="M19" s="102">
        <f t="shared" ref="M19:N19" si="18">M18/M7</f>
        <v>0.22771843244400564</v>
      </c>
      <c r="N19" s="102">
        <f t="shared" si="18"/>
        <v>0.22395607066794226</v>
      </c>
      <c r="O19" s="102">
        <f>O18/O7</f>
        <v>0.2227932472948056</v>
      </c>
      <c r="P19" s="102">
        <f t="shared" ref="P19" si="19">P18/P7</f>
        <v>0.21565470976956147</v>
      </c>
    </row>
    <row r="20" spans="1:16">
      <c r="F20" s="104"/>
      <c r="G20" s="104"/>
      <c r="H20" s="104"/>
      <c r="M20" s="104"/>
      <c r="O20" s="104"/>
    </row>
    <row r="21" spans="1:16">
      <c r="A21" s="273" t="str">
        <f>B21</f>
        <v>EBITDA</v>
      </c>
      <c r="B21" s="110" t="s">
        <v>49</v>
      </c>
      <c r="C21" s="110"/>
      <c r="D21" s="110"/>
      <c r="E21" s="92">
        <f t="shared" ref="E21:K21" si="20">E18-E314-E316</f>
        <v>2504.7160000000003</v>
      </c>
      <c r="F21" s="92">
        <f t="shared" si="20"/>
        <v>2651.5779999999995</v>
      </c>
      <c r="G21" s="92">
        <f t="shared" si="20"/>
        <v>4149.0610000000015</v>
      </c>
      <c r="H21" s="92">
        <f>H18-H314-H316</f>
        <v>5920.9249999999984</v>
      </c>
      <c r="I21" s="92">
        <f t="shared" si="20"/>
        <v>7292.5091501094685</v>
      </c>
      <c r="J21" s="92">
        <f t="shared" si="20"/>
        <v>8736.6541222051055</v>
      </c>
      <c r="K21" s="92">
        <f t="shared" si="20"/>
        <v>10279.973144777727</v>
      </c>
      <c r="L21" s="110"/>
      <c r="M21" s="92"/>
      <c r="N21" s="110"/>
      <c r="O21" s="92"/>
      <c r="P21" s="110"/>
    </row>
    <row r="23" spans="1:16">
      <c r="A23" s="273" t="str">
        <f t="shared" ref="A23:A27" si="21">B23</f>
        <v>Other income and gains (net)</v>
      </c>
      <c r="B23" s="98" t="s">
        <v>50</v>
      </c>
      <c r="C23" s="98"/>
      <c r="D23" s="98"/>
      <c r="E23" s="99">
        <v>135.18100000000001</v>
      </c>
      <c r="F23" s="99">
        <v>127.91500000000001</v>
      </c>
      <c r="G23" s="99">
        <v>247.63200000000001</v>
      </c>
      <c r="H23" s="99">
        <v>219.547</v>
      </c>
      <c r="I23" s="111">
        <f>I155</f>
        <v>363.96300441500364</v>
      </c>
      <c r="J23" s="111">
        <f>J155</f>
        <v>450.09679680135298</v>
      </c>
      <c r="K23" s="111">
        <f t="shared" ref="K23" si="22">K155</f>
        <v>548.74907997124274</v>
      </c>
      <c r="M23" s="99">
        <v>80.888999999999996</v>
      </c>
      <c r="N23" s="111">
        <f>H23-M23</f>
        <v>138.65800000000002</v>
      </c>
      <c r="O23" s="99">
        <v>158.602</v>
      </c>
      <c r="P23" s="111">
        <f>P155</f>
        <v>205.36100441500366</v>
      </c>
    </row>
    <row r="24" spans="1:16">
      <c r="A24" s="273" t="str">
        <f t="shared" si="21"/>
        <v>Finance costs</v>
      </c>
      <c r="B24" s="98" t="s">
        <v>51</v>
      </c>
      <c r="C24" s="98"/>
      <c r="D24" s="98"/>
      <c r="E24" s="99">
        <v>-5.9729999999999999</v>
      </c>
      <c r="F24" s="99">
        <v>-9.19</v>
      </c>
      <c r="G24" s="99">
        <v>-14.696999999999999</v>
      </c>
      <c r="H24" s="99">
        <v>-6.367</v>
      </c>
      <c r="I24" s="100">
        <f t="shared" ref="I24:K24" si="23">I353+I357</f>
        <v>-3.0212545303539642</v>
      </c>
      <c r="J24" s="100">
        <f t="shared" si="23"/>
        <v>-3.0212545303539642</v>
      </c>
      <c r="K24" s="100">
        <f t="shared" si="23"/>
        <v>-3.0212545303539642</v>
      </c>
      <c r="M24" s="99">
        <v>-4.4050000000000002</v>
      </c>
      <c r="N24" s="111">
        <f>H24-M24</f>
        <v>-1.9619999999999997</v>
      </c>
      <c r="O24" s="99">
        <v>-2.0720000000000001</v>
      </c>
      <c r="P24" s="100">
        <f>I24-O24</f>
        <v>-0.94925453035396412</v>
      </c>
    </row>
    <row r="25" spans="1:16" ht="25.5">
      <c r="A25" s="273" t="str">
        <f t="shared" si="21"/>
        <v>(Impairment losses)/reversal of impairment losses on financial assets</v>
      </c>
      <c r="B25" s="113" t="s">
        <v>52</v>
      </c>
      <c r="C25" s="98"/>
      <c r="D25" s="98"/>
      <c r="E25" s="99">
        <v>-1.7869999999999999</v>
      </c>
      <c r="F25" s="99">
        <v>-4.0979999999999999</v>
      </c>
      <c r="G25" s="99">
        <v>1.6379999999999999</v>
      </c>
      <c r="H25" s="99">
        <v>-0.32900000000000001</v>
      </c>
      <c r="I25" s="114"/>
      <c r="J25" s="114"/>
      <c r="K25" s="114"/>
      <c r="M25" s="99">
        <v>-3.077</v>
      </c>
      <c r="N25" s="111">
        <f>H25-M25</f>
        <v>2.7479999999999998</v>
      </c>
      <c r="O25" s="99">
        <v>-1.101</v>
      </c>
      <c r="P25" s="77">
        <f>I25-O25</f>
        <v>1.101</v>
      </c>
    </row>
    <row r="26" spans="1:16">
      <c r="A26" s="273" t="str">
        <f t="shared" si="21"/>
        <v>Impairment of property, plant and equipment</v>
      </c>
      <c r="B26" s="98" t="s">
        <v>53</v>
      </c>
      <c r="C26" s="98"/>
      <c r="D26" s="98"/>
      <c r="E26" s="99">
        <v>-14.827</v>
      </c>
      <c r="F26" s="99">
        <v>0</v>
      </c>
      <c r="G26" s="99">
        <v>-65.524000000000001</v>
      </c>
      <c r="H26" s="99">
        <v>0</v>
      </c>
      <c r="I26" s="114"/>
      <c r="J26" s="114"/>
      <c r="K26" s="114"/>
      <c r="M26" s="99"/>
      <c r="N26" s="111">
        <f>H26-M26</f>
        <v>0</v>
      </c>
      <c r="O26" s="99"/>
      <c r="P26" s="77">
        <f>I26-O26</f>
        <v>0</v>
      </c>
    </row>
    <row r="27" spans="1:16">
      <c r="A27" s="273" t="str">
        <f t="shared" si="21"/>
        <v>Share of (losses)/profits of an associate</v>
      </c>
      <c r="B27" s="98" t="s">
        <v>54</v>
      </c>
      <c r="C27" s="98"/>
      <c r="D27" s="98"/>
      <c r="E27" s="99">
        <v>0</v>
      </c>
      <c r="F27" s="99">
        <v>-0.18</v>
      </c>
      <c r="G27" s="99">
        <v>0.19600000000000001</v>
      </c>
      <c r="H27" s="99">
        <v>-3.016</v>
      </c>
      <c r="I27" s="114"/>
      <c r="J27" s="114"/>
      <c r="K27" s="114"/>
      <c r="M27" s="99">
        <v>-3.016</v>
      </c>
      <c r="N27" s="111">
        <f>H27-M27</f>
        <v>0</v>
      </c>
      <c r="O27" s="99">
        <v>-1.1539999999999999</v>
      </c>
      <c r="P27" s="77">
        <f>I27-O27</f>
        <v>1.1539999999999999</v>
      </c>
    </row>
    <row r="28" spans="1:16">
      <c r="I28" s="104"/>
      <c r="J28" s="104"/>
      <c r="K28" s="104"/>
    </row>
    <row r="29" spans="1:16">
      <c r="A29" s="273" t="str">
        <f>B29</f>
        <v>Profit before tax</v>
      </c>
      <c r="B29" s="107" t="s">
        <v>55</v>
      </c>
      <c r="C29" s="115">
        <v>600.02286589000005</v>
      </c>
      <c r="D29" s="115">
        <v>944.39942762999999</v>
      </c>
      <c r="E29" s="109">
        <f t="shared" ref="E29:G29" si="24">E7+E9+E23+E11+E13+E15+SUM(E24:E27)</f>
        <v>2558.8740000000003</v>
      </c>
      <c r="F29" s="109">
        <f t="shared" si="24"/>
        <v>2658.0429999999997</v>
      </c>
      <c r="G29" s="109">
        <f t="shared" si="24"/>
        <v>4154.0020000000004</v>
      </c>
      <c r="H29" s="109">
        <f t="shared" ref="H29" si="25">H7+H9+H23+H11+H13+H15+SUM(H24:H27)</f>
        <v>5810.5829999999987</v>
      </c>
      <c r="I29" s="109">
        <f>I7+I9+I23+I11+I13+I15+SUM(I24:I27)</f>
        <v>7439.5914810468948</v>
      </c>
      <c r="J29" s="109">
        <f>J7+J9+J23+J11+J13+J15+SUM(J24:J27)</f>
        <v>8817.0613093080428</v>
      </c>
      <c r="K29" s="109">
        <f t="shared" ref="K29" si="26">K7+K9+K23+K11+K13+K15+SUM(K24:K27)</f>
        <v>10404.435713080231</v>
      </c>
      <c r="M29" s="109">
        <f>M7+M9+M23+M11+M13+M15+SUM(M24:M27)</f>
        <v>2501.7530000000002</v>
      </c>
      <c r="N29" s="109">
        <f>N7+N9+N23+N11+N13+N15+SUM(N24:N27)</f>
        <v>3308.829999999999</v>
      </c>
      <c r="O29" s="109">
        <f>O7+O9+O23+O11+O13+O15+SUM(O24:O27)</f>
        <v>3468.2819999999992</v>
      </c>
      <c r="P29" s="109">
        <f>P7+P9+P23+P11+P13+P15+SUM(P24:P27)</f>
        <v>3971.309481046897</v>
      </c>
    </row>
    <row r="30" spans="1:16">
      <c r="A30" s="273" t="str">
        <f>B30</f>
        <v>Income tax expense</v>
      </c>
      <c r="B30" s="98" t="s">
        <v>56</v>
      </c>
      <c r="C30" s="99">
        <v>-158.30352798000001</v>
      </c>
      <c r="D30" s="99">
        <v>-313.57961078</v>
      </c>
      <c r="E30" s="99">
        <v>-646.93200000000002</v>
      </c>
      <c r="F30" s="99">
        <v>-644.952</v>
      </c>
      <c r="G30" s="99">
        <v>-967.39700000000005</v>
      </c>
      <c r="H30" s="99">
        <v>-1356.38</v>
      </c>
      <c r="I30" s="100">
        <f>I29*I31</f>
        <v>-1736.6438261121802</v>
      </c>
      <c r="J30" s="100">
        <f>J29*J31</f>
        <v>-2058.1903087382534</v>
      </c>
      <c r="K30" s="100">
        <f t="shared" ref="K30" si="27">K29*K31</f>
        <v>-2428.7353803409687</v>
      </c>
      <c r="M30" s="99">
        <v>-614.85400000000004</v>
      </c>
      <c r="N30" s="100">
        <f>H30-M30</f>
        <v>-741.52600000000007</v>
      </c>
      <c r="O30" s="99">
        <v>-750.06799999999998</v>
      </c>
      <c r="P30" s="100">
        <f>I30-O30</f>
        <v>-986.57582611218027</v>
      </c>
    </row>
    <row r="31" spans="1:16">
      <c r="B31" s="116" t="s">
        <v>57</v>
      </c>
      <c r="C31" s="117">
        <f>C30/C29</f>
        <v>-0.26382915881912611</v>
      </c>
      <c r="D31" s="117">
        <f t="shared" ref="D31:H31" si="28">D30/D29</f>
        <v>-0.33204129694036122</v>
      </c>
      <c r="E31" s="118">
        <f t="shared" si="28"/>
        <v>-0.25281901336290885</v>
      </c>
      <c r="F31" s="118">
        <f t="shared" si="28"/>
        <v>-0.24264167283975469</v>
      </c>
      <c r="G31" s="118">
        <f t="shared" si="28"/>
        <v>-0.23288313294023449</v>
      </c>
      <c r="H31" s="118">
        <f t="shared" si="28"/>
        <v>-0.23343268653076643</v>
      </c>
      <c r="I31" s="119">
        <f t="shared" ref="I31:K31" si="29">H31</f>
        <v>-0.23343268653076643</v>
      </c>
      <c r="J31" s="119">
        <f t="shared" si="29"/>
        <v>-0.23343268653076643</v>
      </c>
      <c r="K31" s="119">
        <f t="shared" si="29"/>
        <v>-0.23343268653076643</v>
      </c>
      <c r="L31" s="104"/>
      <c r="M31" s="118">
        <f>H31</f>
        <v>-0.23343268653076643</v>
      </c>
      <c r="N31" s="118">
        <f t="shared" ref="N31" si="30">N30/N29</f>
        <v>-0.22410519730539202</v>
      </c>
      <c r="O31" s="118">
        <f>I31</f>
        <v>-0.23343268653076643</v>
      </c>
      <c r="P31" s="118">
        <f t="shared" ref="P31" si="31">P30/P29</f>
        <v>-0.24842582297366159</v>
      </c>
    </row>
    <row r="32" spans="1:16">
      <c r="A32" s="273" t="str">
        <f>B32</f>
        <v>Profit for the year (Before Non-Controlling Interests)</v>
      </c>
      <c r="B32" s="121" t="s">
        <v>58</v>
      </c>
      <c r="C32" s="122">
        <f>C29+C30</f>
        <v>441.71933791000004</v>
      </c>
      <c r="D32" s="122">
        <f>D29+D30</f>
        <v>630.81981685000005</v>
      </c>
      <c r="E32" s="92">
        <f>E30+E29</f>
        <v>1911.9420000000002</v>
      </c>
      <c r="F32" s="92">
        <f>F30+F29</f>
        <v>2013.0909999999997</v>
      </c>
      <c r="G32" s="92">
        <f t="shared" ref="G32:H32" si="32">G30+G29</f>
        <v>3186.6050000000005</v>
      </c>
      <c r="H32" s="92">
        <f t="shared" si="32"/>
        <v>4454.2029999999986</v>
      </c>
      <c r="I32" s="92">
        <f>I30+I29</f>
        <v>5702.9476549347146</v>
      </c>
      <c r="J32" s="92">
        <f>J30+J29</f>
        <v>6758.8710005697894</v>
      </c>
      <c r="K32" s="92">
        <f t="shared" ref="K32" si="33">K30+K29</f>
        <v>7975.7003327392622</v>
      </c>
      <c r="M32" s="92">
        <f t="shared" ref="M32:P32" si="34">M30+M29</f>
        <v>1886.8990000000001</v>
      </c>
      <c r="N32" s="92">
        <f t="shared" si="34"/>
        <v>2567.3039999999992</v>
      </c>
      <c r="O32" s="92">
        <f t="shared" si="34"/>
        <v>2718.213999999999</v>
      </c>
      <c r="P32" s="92">
        <f t="shared" si="34"/>
        <v>2984.7336549347165</v>
      </c>
    </row>
    <row r="33" spans="1:16">
      <c r="A33" s="273" t="str">
        <f>B33</f>
        <v>Non-controlling interests</v>
      </c>
      <c r="B33" s="98" t="s">
        <v>59</v>
      </c>
      <c r="C33" s="99">
        <v>3.0481696500000002</v>
      </c>
      <c r="D33" s="99">
        <v>1.1468928199999999</v>
      </c>
      <c r="E33" s="99">
        <v>-1.581</v>
      </c>
      <c r="F33" s="99">
        <v>-16.376000000000001</v>
      </c>
      <c r="G33" s="99">
        <v>-49.264000000000003</v>
      </c>
      <c r="H33" s="99">
        <v>-17.699000000000002</v>
      </c>
      <c r="I33" s="123">
        <v>-50</v>
      </c>
      <c r="J33" s="123">
        <f t="shared" ref="J33:K33" si="35">I33*(1+J75)</f>
        <v>-54.476978755015317</v>
      </c>
      <c r="K33" s="123">
        <f t="shared" si="35"/>
        <v>-61.146540532198408</v>
      </c>
      <c r="M33" s="99">
        <v>-2.4409999999999998</v>
      </c>
      <c r="N33" s="111">
        <f>H33-M33</f>
        <v>-15.258000000000003</v>
      </c>
      <c r="O33" s="99">
        <v>-25.33</v>
      </c>
      <c r="P33" s="111">
        <f>I33-O33</f>
        <v>-24.67</v>
      </c>
    </row>
    <row r="34" spans="1:16">
      <c r="A34" s="273" t="str">
        <f>B34</f>
        <v>Profit attributed to Owners of the parent</v>
      </c>
      <c r="B34" s="107" t="s">
        <v>60</v>
      </c>
      <c r="C34" s="124">
        <f>SUM(C32:C33)</f>
        <v>444.76750756000001</v>
      </c>
      <c r="D34" s="124">
        <f>SUM(D32:D33)</f>
        <v>631.96670967</v>
      </c>
      <c r="E34" s="109">
        <f>SUM(E32:E33)</f>
        <v>1910.3610000000003</v>
      </c>
      <c r="F34" s="109">
        <f>SUM(F32:F33)</f>
        <v>1996.7149999999997</v>
      </c>
      <c r="G34" s="109">
        <f t="shared" ref="G34:H34" si="36">SUM(G32:G33)</f>
        <v>3137.3410000000003</v>
      </c>
      <c r="H34" s="109">
        <f t="shared" si="36"/>
        <v>4436.503999999999</v>
      </c>
      <c r="I34" s="109">
        <f>SUM(I32:I33)</f>
        <v>5652.9476549347146</v>
      </c>
      <c r="J34" s="109">
        <f>SUM(J32:J33)</f>
        <v>6704.3940218147745</v>
      </c>
      <c r="K34" s="109">
        <f t="shared" ref="K34" si="37">SUM(K32:K33)</f>
        <v>7914.5537922070635</v>
      </c>
      <c r="M34" s="125">
        <f>SUM(M32:M33)</f>
        <v>1884.4580000000001</v>
      </c>
      <c r="N34" s="109">
        <f>SUM(N32:N33)</f>
        <v>2552.0459999999994</v>
      </c>
      <c r="O34" s="109">
        <f>SUM(O32:O33)</f>
        <v>2692.8839999999991</v>
      </c>
      <c r="P34" s="109">
        <f>SUM(P32:P33)</f>
        <v>2960.0636549347164</v>
      </c>
    </row>
    <row r="35" spans="1:16">
      <c r="B35" s="116" t="s">
        <v>61</v>
      </c>
      <c r="C35" s="118">
        <f t="shared" ref="C35:I35" si="38">C34/C7</f>
        <v>0.17332903651165418</v>
      </c>
      <c r="D35" s="118">
        <f t="shared" si="38"/>
        <v>0.13503569962957029</v>
      </c>
      <c r="E35" s="118">
        <f t="shared" si="38"/>
        <v>0.18455835994754513</v>
      </c>
      <c r="F35" s="118">
        <f t="shared" si="38"/>
        <v>0.14708140950473042</v>
      </c>
      <c r="G35" s="118">
        <f t="shared" si="38"/>
        <v>0.15453005337036663</v>
      </c>
      <c r="H35" s="118">
        <f t="shared" si="38"/>
        <v>0.17868325402110458</v>
      </c>
      <c r="I35" s="118">
        <f t="shared" si="38"/>
        <v>0.17484271701023119</v>
      </c>
      <c r="J35" s="118">
        <f>J34/J7</f>
        <v>0.17699091446985407</v>
      </c>
      <c r="K35" s="118">
        <f t="shared" ref="K35" si="39">K34/K7</f>
        <v>0.18032448419551764</v>
      </c>
      <c r="M35" s="118">
        <f t="shared" ref="M35" si="40">M34/M7</f>
        <v>0.17649606342723378</v>
      </c>
      <c r="N35" s="118">
        <f>N34/N7</f>
        <v>0.18033341294617933</v>
      </c>
      <c r="O35" s="118">
        <f t="shared" ref="O35" si="41">O34/O7</f>
        <v>0.18103654305746039</v>
      </c>
      <c r="P35" s="118">
        <f>P34/P7</f>
        <v>0.16956500629404936</v>
      </c>
    </row>
    <row r="36" spans="1:16">
      <c r="B36" s="94" t="s">
        <v>41</v>
      </c>
      <c r="C36" s="94"/>
      <c r="D36" s="96">
        <f>D34/C34-1</f>
        <v>0.42089226152552617</v>
      </c>
      <c r="E36" s="96">
        <f>E34/D34-1</f>
        <v>2.0228823303011505</v>
      </c>
      <c r="F36" s="96">
        <f>F34/E34-1</f>
        <v>4.5202974725718992E-2</v>
      </c>
      <c r="G36" s="96">
        <f t="shared" ref="G36:I36" si="42">G34/F34-1</f>
        <v>0.57125128022777449</v>
      </c>
      <c r="H36" s="96">
        <f t="shared" si="42"/>
        <v>0.41409684187979523</v>
      </c>
      <c r="I36" s="96">
        <f t="shared" si="42"/>
        <v>0.27418968965985746</v>
      </c>
      <c r="J36" s="96">
        <f>J34/I34-1</f>
        <v>0.18599966443386484</v>
      </c>
      <c r="K36" s="96">
        <f t="shared" ref="K36" si="43">K34/J34-1</f>
        <v>0.18050248336459163</v>
      </c>
      <c r="M36" s="96"/>
      <c r="O36" s="96"/>
    </row>
    <row r="38" spans="1:16">
      <c r="B38" s="110" t="s">
        <v>62</v>
      </c>
      <c r="C38" s="92">
        <f t="shared" ref="C38:H38" si="44">C34-C40-C41-C42</f>
        <v>444.76750756000001</v>
      </c>
      <c r="D38" s="92">
        <f t="shared" si="44"/>
        <v>631.96670967</v>
      </c>
      <c r="E38" s="92">
        <f t="shared" si="44"/>
        <v>1946.0713628127064</v>
      </c>
      <c r="F38" s="92">
        <f t="shared" si="44"/>
        <v>2024.9231038320295</v>
      </c>
      <c r="G38" s="92">
        <f t="shared" si="44"/>
        <v>3186.6182455981011</v>
      </c>
      <c r="H38" s="92">
        <f t="shared" si="44"/>
        <v>4493.5144569837476</v>
      </c>
      <c r="I38" s="318">
        <f>I34-I40-I41-I42</f>
        <v>5684.2089512205603</v>
      </c>
      <c r="J38" s="318">
        <f>J34-J40-J41-J42</f>
        <v>6724.6897575523562</v>
      </c>
      <c r="K38" s="318">
        <f t="shared" ref="K38" si="45">K34-K40-K41-K42</f>
        <v>7933.6809751534329</v>
      </c>
      <c r="M38" s="92">
        <f t="shared" ref="M38:N38" si="46">M34-M40-M41-M42</f>
        <v>1898.2199948430302</v>
      </c>
      <c r="N38" s="92">
        <f t="shared" si="46"/>
        <v>2595.2944621407173</v>
      </c>
      <c r="O38" s="92">
        <f>O34-O40-O41-O42</f>
        <v>2713.6991031447265</v>
      </c>
      <c r="P38" s="92">
        <f t="shared" ref="P38" si="47">P34-P40-P41-P42</f>
        <v>2970.5098480758347</v>
      </c>
    </row>
    <row r="39" spans="1:16">
      <c r="B39" s="116" t="s">
        <v>63</v>
      </c>
      <c r="C39" s="118">
        <f t="shared" ref="C39:I39" si="48">C38/C7</f>
        <v>0.17332903651165418</v>
      </c>
      <c r="D39" s="118">
        <f t="shared" si="48"/>
        <v>0.13503569962957029</v>
      </c>
      <c r="E39" s="118">
        <f t="shared" si="48"/>
        <v>0.1880083078860996</v>
      </c>
      <c r="F39" s="118">
        <f t="shared" si="48"/>
        <v>0.14915926621992048</v>
      </c>
      <c r="G39" s="118">
        <f t="shared" si="48"/>
        <v>0.15695720916637959</v>
      </c>
      <c r="H39" s="118">
        <f t="shared" si="48"/>
        <v>0.18097938943923705</v>
      </c>
      <c r="I39" s="118">
        <f t="shared" si="48"/>
        <v>0.17580961256871169</v>
      </c>
      <c r="J39" s="118">
        <f>J38/J7</f>
        <v>0.17752670649167512</v>
      </c>
      <c r="K39" s="118">
        <f t="shared" ref="K39" si="49">K38/K7</f>
        <v>0.18076027621733867</v>
      </c>
      <c r="M39" s="118">
        <f t="shared" ref="M39:P39" si="50">M38/M7</f>
        <v>0.17778499526583177</v>
      </c>
      <c r="N39" s="118">
        <f t="shared" si="50"/>
        <v>0.18338944829292045</v>
      </c>
      <c r="O39" s="118">
        <f t="shared" si="50"/>
        <v>0.18243589569081031</v>
      </c>
      <c r="P39" s="118">
        <f t="shared" si="50"/>
        <v>0.17016340856244977</v>
      </c>
    </row>
    <row r="40" spans="1:16" outlineLevel="1">
      <c r="B40" s="128" t="s">
        <v>64</v>
      </c>
      <c r="E40" s="100">
        <f>E242</f>
        <v>-22.553999999999998</v>
      </c>
      <c r="F40" s="100">
        <f t="shared" ref="F40:G40" si="51">F242</f>
        <v>-24.981000000000002</v>
      </c>
      <c r="G40" s="100">
        <f t="shared" si="51"/>
        <v>-16.427</v>
      </c>
      <c r="H40" s="100">
        <f>H242</f>
        <v>-15.786</v>
      </c>
      <c r="I40" s="129">
        <f>I7*I92</f>
        <v>-20.55618375324817</v>
      </c>
      <c r="J40" s="129">
        <f t="shared" ref="J40:K40" si="52">J7*J92</f>
        <v>-20.29573573758163</v>
      </c>
      <c r="K40" s="129">
        <f t="shared" si="52"/>
        <v>-19.127182946369281</v>
      </c>
      <c r="M40" s="130">
        <v>-6.5209999999999999</v>
      </c>
      <c r="N40" s="127">
        <f>H40-M40</f>
        <v>-9.2650000000000006</v>
      </c>
      <c r="O40" s="130">
        <v>-9.266</v>
      </c>
      <c r="P40" s="127">
        <f>I40-O40</f>
        <v>-11.29018375324817</v>
      </c>
    </row>
    <row r="41" spans="1:16" outlineLevel="1">
      <c r="B41" s="128" t="s">
        <v>65</v>
      </c>
      <c r="G41" s="99">
        <f>-10.9*(1+G31)</f>
        <v>-8.3615738509514443</v>
      </c>
      <c r="H41" s="130">
        <f>-59.069*(1+H31)</f>
        <v>-45.280364639314158</v>
      </c>
      <c r="I41" s="131">
        <f>O41</f>
        <v>-3.039439397905511</v>
      </c>
      <c r="J41" s="131">
        <v>0</v>
      </c>
      <c r="K41" s="131">
        <v>0</v>
      </c>
      <c r="M41" s="130">
        <f>-9.179*(1+H31)</f>
        <v>-7.036321370334095</v>
      </c>
      <c r="N41" s="127">
        <f>H41-M41</f>
        <v>-38.244043268980064</v>
      </c>
      <c r="O41" s="130">
        <f>-3.965*(1+H31)</f>
        <v>-3.039439397905511</v>
      </c>
      <c r="P41" s="127">
        <f>I41-O41</f>
        <v>0</v>
      </c>
    </row>
    <row r="42" spans="1:16" outlineLevel="1">
      <c r="B42" s="128" t="s">
        <v>66</v>
      </c>
      <c r="E42" s="112">
        <f>(E25+E26+E152)*(1+E31)</f>
        <v>-13.1563628127059</v>
      </c>
      <c r="F42" s="112">
        <f>(F25+F26+F152)*(1+F31)</f>
        <v>-3.2271038320298056</v>
      </c>
      <c r="G42" s="112">
        <f>(G25+G26+G152)*(1+G31)</f>
        <v>-24.488671747148892</v>
      </c>
      <c r="H42" s="132">
        <f>(H25+H26+H152)*(1+H31)</f>
        <v>4.055907655565715</v>
      </c>
      <c r="I42" s="131">
        <f t="shared" ref="I42:K42" si="53">(I25+I26+I152)*(1+I31)</f>
        <v>-7.6656731346923355</v>
      </c>
      <c r="J42" s="131">
        <f t="shared" si="53"/>
        <v>0</v>
      </c>
      <c r="K42" s="131">
        <f t="shared" si="53"/>
        <v>0</v>
      </c>
      <c r="M42" s="132">
        <f>(M25+M26+M152)*(1+M31)</f>
        <v>-0.2046734726962853</v>
      </c>
      <c r="N42" s="133">
        <f>H42-M42</f>
        <v>4.2605811282620003</v>
      </c>
      <c r="O42" s="132">
        <f>(O25+O26+O152)*(1+O31)</f>
        <v>-8.5096637468219605</v>
      </c>
      <c r="P42" s="132">
        <f>I42-O42</f>
        <v>0.84399061212962501</v>
      </c>
    </row>
    <row r="43" spans="1:16">
      <c r="B43" s="94" t="s">
        <v>41</v>
      </c>
      <c r="C43" s="94"/>
      <c r="D43" s="96">
        <f t="shared" ref="D43:I43" si="54">D38/C38-1</f>
        <v>0.42089226152552617</v>
      </c>
      <c r="E43" s="96">
        <f t="shared" si="54"/>
        <v>2.0793890453959274</v>
      </c>
      <c r="F43" s="96">
        <f t="shared" si="54"/>
        <v>4.0518422153520861E-2</v>
      </c>
      <c r="G43" s="96">
        <f t="shared" si="54"/>
        <v>0.57369839850591986</v>
      </c>
      <c r="H43" s="96">
        <f t="shared" si="54"/>
        <v>0.41012010559813805</v>
      </c>
      <c r="I43" s="96">
        <f t="shared" si="54"/>
        <v>0.26498067506743062</v>
      </c>
      <c r="J43" s="96">
        <f>J38/I38-1</f>
        <v>0.18304759998458109</v>
      </c>
      <c r="K43" s="96">
        <f t="shared" ref="K43" si="55">K38/J38-1</f>
        <v>0.1797839396595633</v>
      </c>
      <c r="M43" s="96"/>
      <c r="O43" s="96"/>
    </row>
    <row r="44" spans="1:16">
      <c r="B44" s="77" t="s">
        <v>67</v>
      </c>
      <c r="E44" s="111">
        <f>SUM(E45:E46)</f>
        <v>-0.18099999999999999</v>
      </c>
      <c r="F44" s="111">
        <f>SUM(F45:F46)</f>
        <v>-1.0349999999999999</v>
      </c>
      <c r="G44" s="111">
        <f>SUM(G45:G46)</f>
        <v>-0.80899999999999994</v>
      </c>
      <c r="H44" s="111">
        <f>SUM(H45:H46)</f>
        <v>-4.1070000000000002</v>
      </c>
      <c r="M44" s="111"/>
      <c r="O44" s="111"/>
    </row>
    <row r="45" spans="1:16">
      <c r="B45" s="98" t="s">
        <v>68</v>
      </c>
      <c r="E45" s="135">
        <v>-0.18099999999999999</v>
      </c>
      <c r="F45" s="135">
        <v>-1.0349999999999999</v>
      </c>
      <c r="G45" s="135">
        <v>0.13100000000000001</v>
      </c>
      <c r="H45" s="135">
        <v>-3.2370000000000001</v>
      </c>
      <c r="M45" s="135"/>
      <c r="O45" s="135"/>
    </row>
    <row r="46" spans="1:16">
      <c r="B46" s="98" t="s">
        <v>69</v>
      </c>
      <c r="E46" s="135">
        <v>0</v>
      </c>
      <c r="F46" s="135">
        <v>0</v>
      </c>
      <c r="G46" s="135">
        <v>-0.94</v>
      </c>
      <c r="H46" s="135">
        <v>-0.87</v>
      </c>
      <c r="M46" s="135"/>
      <c r="O46" s="135"/>
    </row>
    <row r="48" spans="1:16">
      <c r="B48" s="137" t="s">
        <v>70</v>
      </c>
      <c r="H48" s="138">
        <f>H38/H54</f>
        <v>11.836912336753995</v>
      </c>
      <c r="I48" s="138">
        <f>I38/I54</f>
        <v>14.973465358461066</v>
      </c>
      <c r="J48" s="138">
        <f>J38/J54</f>
        <v>17.714322255779628</v>
      </c>
      <c r="K48" s="138">
        <f>K38/K54</f>
        <v>20.899072899322775</v>
      </c>
      <c r="M48" s="138">
        <f>M38/M54</f>
        <v>5.000331898322818</v>
      </c>
      <c r="N48" s="138">
        <f>N38/N54</f>
        <v>6.8365804384311764</v>
      </c>
      <c r="O48" s="138">
        <f>O38/O54</f>
        <v>7.148484487977746</v>
      </c>
      <c r="P48" s="138">
        <f>P38/P54</f>
        <v>7.8249808704833228</v>
      </c>
    </row>
    <row r="49" spans="2:16">
      <c r="B49" s="137" t="s">
        <v>71</v>
      </c>
      <c r="H49" s="138">
        <f>H38/H55</f>
        <v>11.836912336753995</v>
      </c>
      <c r="I49" s="138">
        <f>I38/I55</f>
        <v>14.973465358461066</v>
      </c>
      <c r="J49" s="138">
        <f>J38/J55</f>
        <v>17.714322255779628</v>
      </c>
      <c r="K49" s="138">
        <f>K38/K55</f>
        <v>20.899072899322775</v>
      </c>
      <c r="M49" s="138">
        <f>M38/M55</f>
        <v>5.000331898322818</v>
      </c>
      <c r="N49" s="138">
        <f>N38/N55</f>
        <v>6.8365804384311764</v>
      </c>
      <c r="O49" s="138">
        <f>O38/O55</f>
        <v>7.148484487977746</v>
      </c>
      <c r="P49" s="138">
        <f>P38/P55</f>
        <v>7.8249808704833228</v>
      </c>
    </row>
    <row r="50" spans="2:16">
      <c r="B50" s="137" t="s">
        <v>72</v>
      </c>
      <c r="H50" s="138">
        <f>H58/H54</f>
        <v>0</v>
      </c>
      <c r="I50" s="138">
        <f t="shared" ref="I50:K50" si="56">I58/I54</f>
        <v>0</v>
      </c>
      <c r="J50" s="138">
        <f t="shared" si="56"/>
        <v>0</v>
      </c>
      <c r="K50" s="138">
        <f t="shared" si="56"/>
        <v>0</v>
      </c>
      <c r="M50" s="138">
        <f>M58/M54</f>
        <v>0</v>
      </c>
      <c r="N50" s="138">
        <f t="shared" ref="N50" si="57">N58/N54</f>
        <v>0</v>
      </c>
      <c r="O50" s="138">
        <f>O58/O54</f>
        <v>0</v>
      </c>
      <c r="P50" s="138">
        <f t="shared" ref="P50" si="58">P58/P54</f>
        <v>0</v>
      </c>
    </row>
    <row r="51" spans="2:16">
      <c r="B51" s="137"/>
      <c r="I51" s="78"/>
    </row>
    <row r="52" spans="2:16">
      <c r="B52" s="139" t="s">
        <v>73</v>
      </c>
      <c r="I52" s="135">
        <f>17.0599+379.6188-377.0599</f>
        <v>19.618800000000022</v>
      </c>
    </row>
    <row r="53" spans="2:16">
      <c r="B53" s="137"/>
    </row>
    <row r="54" spans="2:16">
      <c r="B54" s="139" t="s">
        <v>74</v>
      </c>
      <c r="H54" s="141">
        <f>I54</f>
        <v>379.61880000000002</v>
      </c>
      <c r="I54" s="135">
        <v>379.61880000000002</v>
      </c>
      <c r="J54" s="138">
        <f t="shared" ref="J54:K55" si="59">AVERAGE(I56:J56)</f>
        <v>379.61880000000002</v>
      </c>
      <c r="K54" s="138">
        <f t="shared" si="59"/>
        <v>379.61880000000002</v>
      </c>
      <c r="M54" s="130">
        <f t="shared" ref="M54:P57" si="60">INDEX($B54:$K54,MATCH(M$5,$B$5:$K$5,0))</f>
        <v>379.61880000000002</v>
      </c>
      <c r="N54" s="138">
        <f t="shared" si="60"/>
        <v>379.61880000000002</v>
      </c>
      <c r="O54" s="130">
        <f t="shared" si="60"/>
        <v>379.61880000000002</v>
      </c>
      <c r="P54" s="138">
        <f t="shared" si="60"/>
        <v>379.61880000000002</v>
      </c>
    </row>
    <row r="55" spans="2:16">
      <c r="B55" s="139" t="s">
        <v>75</v>
      </c>
      <c r="H55" s="138">
        <f>H54</f>
        <v>379.61880000000002</v>
      </c>
      <c r="I55" s="138">
        <f>AVERAGE(H57:I57)</f>
        <v>379.61880000000002</v>
      </c>
      <c r="J55" s="138">
        <f t="shared" si="59"/>
        <v>379.61880000000002</v>
      </c>
      <c r="K55" s="138">
        <f t="shared" si="59"/>
        <v>379.61880000000002</v>
      </c>
      <c r="M55" s="130">
        <f t="shared" si="60"/>
        <v>379.61880000000002</v>
      </c>
      <c r="N55" s="138">
        <f t="shared" si="60"/>
        <v>379.61880000000002</v>
      </c>
      <c r="O55" s="130">
        <f t="shared" si="60"/>
        <v>379.61880000000002</v>
      </c>
      <c r="P55" s="138">
        <f t="shared" si="60"/>
        <v>379.61880000000002</v>
      </c>
    </row>
    <row r="56" spans="2:16">
      <c r="B56" s="139" t="s">
        <v>76</v>
      </c>
      <c r="H56" s="138">
        <f>H54</f>
        <v>379.61880000000002</v>
      </c>
      <c r="I56" s="138">
        <f>H56</f>
        <v>379.61880000000002</v>
      </c>
      <c r="J56" s="138">
        <f t="shared" ref="J56:K57" si="61">I56</f>
        <v>379.61880000000002</v>
      </c>
      <c r="K56" s="138">
        <f t="shared" si="61"/>
        <v>379.61880000000002</v>
      </c>
      <c r="M56" s="130">
        <f t="shared" si="60"/>
        <v>379.61880000000002</v>
      </c>
      <c r="N56" s="138">
        <f t="shared" si="60"/>
        <v>379.61880000000002</v>
      </c>
      <c r="O56" s="130">
        <f t="shared" si="60"/>
        <v>379.61880000000002</v>
      </c>
      <c r="P56" s="138">
        <f t="shared" si="60"/>
        <v>379.61880000000002</v>
      </c>
    </row>
    <row r="57" spans="2:16">
      <c r="B57" s="139" t="s">
        <v>77</v>
      </c>
      <c r="H57" s="138">
        <f>H55</f>
        <v>379.61880000000002</v>
      </c>
      <c r="I57" s="138">
        <f>H57</f>
        <v>379.61880000000002</v>
      </c>
      <c r="J57" s="138">
        <f t="shared" si="61"/>
        <v>379.61880000000002</v>
      </c>
      <c r="K57" s="138">
        <f t="shared" si="61"/>
        <v>379.61880000000002</v>
      </c>
      <c r="M57" s="130">
        <f t="shared" si="60"/>
        <v>379.61880000000002</v>
      </c>
      <c r="N57" s="138">
        <f t="shared" si="60"/>
        <v>379.61880000000002</v>
      </c>
      <c r="O57" s="130">
        <f t="shared" si="60"/>
        <v>379.61880000000002</v>
      </c>
      <c r="P57" s="138">
        <f t="shared" si="60"/>
        <v>379.61880000000002</v>
      </c>
    </row>
    <row r="58" spans="2:16">
      <c r="B58" s="142" t="s">
        <v>78</v>
      </c>
      <c r="D58" s="100">
        <f>-CF!D58</f>
        <v>404.4</v>
      </c>
      <c r="E58" s="100">
        <f>-CF!E58</f>
        <v>104.4</v>
      </c>
      <c r="F58" s="100">
        <f>-CF!F58</f>
        <v>100</v>
      </c>
      <c r="G58" s="100">
        <f t="shared" ref="G58:K58" si="62">G60*G34</f>
        <v>0</v>
      </c>
      <c r="H58" s="100">
        <f t="shared" si="62"/>
        <v>0</v>
      </c>
      <c r="I58" s="100">
        <f t="shared" si="62"/>
        <v>0</v>
      </c>
      <c r="J58" s="100">
        <f t="shared" si="62"/>
        <v>0</v>
      </c>
      <c r="K58" s="100">
        <f t="shared" si="62"/>
        <v>0</v>
      </c>
      <c r="M58" s="143">
        <v>0</v>
      </c>
      <c r="N58" s="100">
        <f>H58</f>
        <v>0</v>
      </c>
      <c r="O58" s="143">
        <v>0</v>
      </c>
      <c r="P58" s="100">
        <f>I58</f>
        <v>0</v>
      </c>
    </row>
    <row r="59" spans="2:16">
      <c r="B59" s="144" t="s">
        <v>79</v>
      </c>
    </row>
    <row r="60" spans="2:16">
      <c r="B60" s="145" t="s">
        <v>80</v>
      </c>
      <c r="D60" s="134">
        <f>D58/D34</f>
        <v>0.63990712455592691</v>
      </c>
      <c r="E60" s="134">
        <f>E58/E34</f>
        <v>5.464935684930753E-2</v>
      </c>
      <c r="F60" s="134">
        <f>F58/F34</f>
        <v>5.008226011223435E-2</v>
      </c>
      <c r="G60" s="146">
        <v>0</v>
      </c>
      <c r="H60" s="146">
        <v>0</v>
      </c>
      <c r="I60" s="146">
        <v>0</v>
      </c>
      <c r="J60" s="146">
        <v>0</v>
      </c>
      <c r="K60" s="146">
        <v>0</v>
      </c>
      <c r="M60" s="146">
        <f>M58/M34</f>
        <v>0</v>
      </c>
      <c r="N60" s="134">
        <f>N58/N34</f>
        <v>0</v>
      </c>
      <c r="O60" s="146">
        <f>O58/O34</f>
        <v>0</v>
      </c>
      <c r="P60" s="134">
        <f>P58/P34</f>
        <v>0</v>
      </c>
    </row>
    <row r="62" spans="2:16">
      <c r="B62" s="147" t="s">
        <v>81</v>
      </c>
      <c r="C62" s="148"/>
      <c r="D62" s="148"/>
      <c r="E62" s="148"/>
      <c r="F62" s="148"/>
      <c r="G62" s="148"/>
      <c r="H62" s="148"/>
      <c r="I62" s="148"/>
      <c r="J62" s="148"/>
      <c r="K62" s="148"/>
      <c r="M62" s="148"/>
      <c r="N62" s="148"/>
      <c r="O62" s="148"/>
      <c r="P62" s="148"/>
    </row>
    <row r="63" spans="2:16">
      <c r="B63" s="77" t="s">
        <v>40</v>
      </c>
      <c r="D63" s="104">
        <f t="shared" ref="D63:K63" si="63">D7/C7-1</f>
        <v>0.82382797551080844</v>
      </c>
      <c r="E63" s="104">
        <f t="shared" si="63"/>
        <v>1.2117504213090036</v>
      </c>
      <c r="F63" s="104">
        <f t="shared" si="63"/>
        <v>0.31152500834220076</v>
      </c>
      <c r="G63" s="104">
        <f t="shared" si="63"/>
        <v>0.49551396599938236</v>
      </c>
      <c r="H63" s="104">
        <f t="shared" si="63"/>
        <v>0.22294874046082569</v>
      </c>
      <c r="I63" s="104">
        <f t="shared" si="63"/>
        <v>0.3021781168914337</v>
      </c>
      <c r="J63" s="104">
        <f t="shared" si="63"/>
        <v>0.17160479295765496</v>
      </c>
      <c r="K63" s="104">
        <f t="shared" si="63"/>
        <v>0.15867911668662016</v>
      </c>
      <c r="M63" s="104"/>
      <c r="O63" s="104"/>
    </row>
    <row r="64" spans="2:16">
      <c r="B64" s="77" t="s">
        <v>82</v>
      </c>
      <c r="D64" s="104"/>
      <c r="E64" s="104"/>
      <c r="F64" s="104"/>
      <c r="G64" s="104"/>
      <c r="H64" s="104"/>
      <c r="I64" s="104"/>
      <c r="J64" s="104"/>
      <c r="K64" s="104"/>
      <c r="M64" s="104"/>
      <c r="O64" s="104"/>
    </row>
    <row r="65" spans="2:16">
      <c r="D65" s="104"/>
      <c r="E65" s="104"/>
      <c r="F65" s="104"/>
      <c r="G65" s="104"/>
      <c r="H65" s="104"/>
      <c r="I65" s="104"/>
      <c r="J65" s="104"/>
      <c r="K65" s="104"/>
      <c r="M65" s="104"/>
      <c r="O65" s="104"/>
    </row>
    <row r="66" spans="2:16">
      <c r="B66" s="98" t="s">
        <v>42</v>
      </c>
      <c r="D66" s="104"/>
      <c r="E66" s="104"/>
      <c r="F66" s="104">
        <f t="shared" ref="F66:K66" si="64">F9/E9-1</f>
        <v>0.36887157167934648</v>
      </c>
      <c r="G66" s="104">
        <f t="shared" si="64"/>
        <v>0.47023129408330333</v>
      </c>
      <c r="H66" s="104">
        <f t="shared" si="64"/>
        <v>0.17234728176282488</v>
      </c>
      <c r="I66" s="104">
        <f t="shared" si="64"/>
        <v>0.32356351788398463</v>
      </c>
      <c r="J66" s="104">
        <f t="shared" si="64"/>
        <v>0.17467742187294655</v>
      </c>
      <c r="K66" s="104">
        <f t="shared" si="64"/>
        <v>0.15790699501078631</v>
      </c>
      <c r="M66" s="104"/>
      <c r="O66" s="104"/>
    </row>
    <row r="67" spans="2:16">
      <c r="B67" s="98" t="s">
        <v>50</v>
      </c>
      <c r="D67" s="104"/>
      <c r="E67" s="104"/>
      <c r="F67" s="104">
        <f t="shared" ref="F67:I67" si="65">F23/E23-1</f>
        <v>-5.3750157196647441E-2</v>
      </c>
      <c r="G67" s="104">
        <f t="shared" si="65"/>
        <v>0.93591056560997532</v>
      </c>
      <c r="H67" s="104">
        <f t="shared" si="65"/>
        <v>-0.11341425986948372</v>
      </c>
      <c r="I67" s="104">
        <f t="shared" si="65"/>
        <v>0.65779083483264933</v>
      </c>
      <c r="J67" s="104">
        <f>J23/I23-1</f>
        <v>0.23665535052056152</v>
      </c>
      <c r="K67" s="104">
        <f t="shared" ref="K67" si="66">K23/J23-1</f>
        <v>0.21918014940557162</v>
      </c>
      <c r="M67" s="104"/>
      <c r="O67" s="104"/>
    </row>
    <row r="68" spans="2:16">
      <c r="B68" s="98" t="s">
        <v>44</v>
      </c>
      <c r="D68" s="104"/>
      <c r="E68" s="104"/>
      <c r="F68" s="104">
        <f>F11/E11-1</f>
        <v>0.9085655279151037</v>
      </c>
      <c r="G68" s="104">
        <f t="shared" ref="G68:K68" si="67">G11/F11-1</f>
        <v>0.70265394851187502</v>
      </c>
      <c r="H68" s="104">
        <f t="shared" si="67"/>
        <v>0.21302029140262158</v>
      </c>
      <c r="I68" s="104">
        <f t="shared" si="67"/>
        <v>0.25770752464818369</v>
      </c>
      <c r="J68" s="104">
        <f t="shared" si="67"/>
        <v>0.13959369029141366</v>
      </c>
      <c r="K68" s="104">
        <f t="shared" si="67"/>
        <v>0.13570461488522367</v>
      </c>
      <c r="M68" s="104"/>
      <c r="O68" s="104"/>
    </row>
    <row r="69" spans="2:16">
      <c r="B69" s="98" t="s">
        <v>45</v>
      </c>
      <c r="D69" s="104"/>
      <c r="E69" s="104"/>
      <c r="F69" s="104">
        <f>F13/E13-1</f>
        <v>0.32519984519504086</v>
      </c>
      <c r="G69" s="104">
        <f t="shared" ref="G69:K69" si="68">G13/F13-1</f>
        <v>0.22983810870362098</v>
      </c>
      <c r="H69" s="104">
        <f t="shared" si="68"/>
        <v>0.23663248294362149</v>
      </c>
      <c r="I69" s="104">
        <f t="shared" si="68"/>
        <v>0.24838267805522296</v>
      </c>
      <c r="J69" s="104">
        <f t="shared" si="68"/>
        <v>9.4346580590249918E-2</v>
      </c>
      <c r="K69" s="104">
        <f t="shared" si="68"/>
        <v>8.2096795588153304E-2</v>
      </c>
      <c r="M69" s="104"/>
      <c r="O69" s="104"/>
    </row>
    <row r="70" spans="2:16">
      <c r="B70" s="98" t="s">
        <v>46</v>
      </c>
      <c r="D70" s="104"/>
      <c r="E70" s="104"/>
      <c r="F70" s="104">
        <f>F15/E15-1</f>
        <v>0.88350533496589145</v>
      </c>
      <c r="G70" s="104">
        <f t="shared" ref="G70:K70" si="69">G15/F15-1</f>
        <v>1.6312530955918771</v>
      </c>
      <c r="H70" s="104">
        <f t="shared" si="69"/>
        <v>0.2337647058823531</v>
      </c>
      <c r="I70" s="104">
        <f t="shared" si="69"/>
        <v>-6.1237462710977963E-3</v>
      </c>
      <c r="J70" s="104">
        <f t="shared" si="69"/>
        <v>9.8918089919165286E-2</v>
      </c>
      <c r="K70" s="104">
        <f t="shared" si="69"/>
        <v>8.2039587640651446E-2</v>
      </c>
      <c r="M70" s="104"/>
      <c r="O70" s="104"/>
    </row>
    <row r="71" spans="2:16">
      <c r="D71" s="104"/>
      <c r="E71" s="104"/>
      <c r="F71" s="104"/>
      <c r="G71" s="104"/>
      <c r="H71" s="104"/>
      <c r="I71" s="104"/>
      <c r="J71" s="104"/>
      <c r="K71" s="104"/>
      <c r="M71" s="104"/>
      <c r="O71" s="104"/>
    </row>
    <row r="72" spans="2:16">
      <c r="B72" s="110" t="s">
        <v>83</v>
      </c>
      <c r="D72" s="104"/>
      <c r="E72" s="104"/>
      <c r="F72" s="104">
        <f t="shared" ref="F72:K72" si="70">(F7+F9)/(E7+E9)-1</f>
        <v>0.18588182851181689</v>
      </c>
      <c r="G72" s="104">
        <f t="shared" si="70"/>
        <v>0.55945442970419634</v>
      </c>
      <c r="H72" s="104">
        <f t="shared" si="70"/>
        <v>0.34359915632141291</v>
      </c>
      <c r="I72" s="104">
        <f t="shared" si="70"/>
        <v>0.25768736523883273</v>
      </c>
      <c r="J72" s="104">
        <f t="shared" si="70"/>
        <v>0.16487758972492217</v>
      </c>
      <c r="K72" s="104">
        <f t="shared" si="70"/>
        <v>0.16038381884371855</v>
      </c>
      <c r="M72" s="104"/>
      <c r="O72" s="104"/>
    </row>
    <row r="73" spans="2:16">
      <c r="B73" s="110" t="s">
        <v>84</v>
      </c>
      <c r="D73" s="104"/>
      <c r="E73" s="104"/>
      <c r="F73" s="104">
        <f>F18/E18-1</f>
        <v>3.9781218830223564E-2</v>
      </c>
      <c r="G73" s="104">
        <f t="shared" ref="G73:K73" si="71">G18/F18-1</f>
        <v>0.56658408017625517</v>
      </c>
      <c r="H73" s="104">
        <f t="shared" si="71"/>
        <v>0.40554317364898229</v>
      </c>
      <c r="I73" s="104">
        <f t="shared" si="71"/>
        <v>0.2638757771573097</v>
      </c>
      <c r="J73" s="104">
        <f t="shared" si="71"/>
        <v>0.18242688717736177</v>
      </c>
      <c r="K73" s="104">
        <f t="shared" si="71"/>
        <v>0.17786435509427423</v>
      </c>
      <c r="M73" s="104"/>
      <c r="O73" s="104"/>
    </row>
    <row r="74" spans="2:16">
      <c r="B74" s="110" t="s">
        <v>49</v>
      </c>
      <c r="D74" s="104"/>
      <c r="E74" s="104"/>
      <c r="F74" s="104">
        <f>F21/E21-1</f>
        <v>5.8634192459344314E-2</v>
      </c>
      <c r="G74" s="104">
        <f t="shared" ref="G74:K74" si="72">G21/F21-1</f>
        <v>0.5647516309156293</v>
      </c>
      <c r="H74" s="104">
        <f t="shared" si="72"/>
        <v>0.42705180762586914</v>
      </c>
      <c r="I74" s="104">
        <f t="shared" si="72"/>
        <v>0.23165031648086587</v>
      </c>
      <c r="J74" s="104">
        <f t="shared" si="72"/>
        <v>0.1980312869506593</v>
      </c>
      <c r="K74" s="104">
        <f t="shared" si="72"/>
        <v>0.1766487491647537</v>
      </c>
      <c r="M74" s="104"/>
      <c r="O74" s="104"/>
    </row>
    <row r="75" spans="2:16">
      <c r="B75" s="98" t="s">
        <v>59</v>
      </c>
      <c r="D75" s="104"/>
      <c r="E75" s="104"/>
      <c r="F75" s="104">
        <f>F33/E33-1</f>
        <v>9.3580012650221391</v>
      </c>
      <c r="G75" s="104">
        <f>G33/F33-1</f>
        <v>2.008304836345872</v>
      </c>
      <c r="H75" s="104">
        <f>H33/G33-1</f>
        <v>-0.64073156869113346</v>
      </c>
      <c r="I75" s="149">
        <v>0.5</v>
      </c>
      <c r="J75" s="150">
        <f>Driver!J460*0.5</f>
        <v>8.9539575100306301E-2</v>
      </c>
      <c r="K75" s="150">
        <f>Driver!K460*0.5</f>
        <v>0.1224289953225256</v>
      </c>
      <c r="M75" s="104"/>
      <c r="O75" s="104"/>
    </row>
    <row r="76" spans="2:16" ht="23.85" customHeight="1">
      <c r="B76" s="110" t="s">
        <v>60</v>
      </c>
      <c r="D76" s="104"/>
      <c r="E76" s="104"/>
      <c r="F76" s="104">
        <f>F34/E34-1</f>
        <v>4.5202974725718992E-2</v>
      </c>
      <c r="G76" s="104">
        <f t="shared" ref="G76:I76" si="73">G34/F34-1</f>
        <v>0.57125128022777449</v>
      </c>
      <c r="H76" s="104">
        <f t="shared" si="73"/>
        <v>0.41409684187979523</v>
      </c>
      <c r="I76" s="104">
        <f t="shared" si="73"/>
        <v>0.27418968965985746</v>
      </c>
      <c r="J76" s="104">
        <f>J34/I34-1</f>
        <v>0.18599966443386484</v>
      </c>
      <c r="K76" s="104">
        <f t="shared" ref="K76" si="74">K34/J34-1</f>
        <v>0.18050248336459163</v>
      </c>
      <c r="M76" s="104"/>
      <c r="O76" s="104"/>
    </row>
    <row r="77" spans="2:16" ht="23.85" customHeight="1">
      <c r="B77" s="110" t="s">
        <v>85</v>
      </c>
      <c r="D77" s="104"/>
      <c r="E77" s="104"/>
      <c r="F77" s="104">
        <f>F38/E38-1</f>
        <v>4.0518422153520861E-2</v>
      </c>
      <c r="G77" s="104">
        <f t="shared" ref="G77:H77" si="75">G38/F38-1</f>
        <v>0.57369839850591986</v>
      </c>
      <c r="H77" s="104">
        <f t="shared" si="75"/>
        <v>0.41012010559813805</v>
      </c>
      <c r="I77" s="104">
        <f>I38/H38-1</f>
        <v>0.26498067506743062</v>
      </c>
      <c r="J77" s="104">
        <f>J38/I38-1</f>
        <v>0.18304759998458109</v>
      </c>
      <c r="K77" s="104">
        <f t="shared" ref="K77" si="76">K38/J38-1</f>
        <v>0.1797839396595633</v>
      </c>
      <c r="M77" s="104"/>
      <c r="O77" s="104"/>
    </row>
    <row r="78" spans="2:16">
      <c r="D78" s="104"/>
      <c r="E78" s="104"/>
      <c r="F78" s="104"/>
      <c r="G78" s="104"/>
      <c r="H78" s="104"/>
      <c r="I78" s="104"/>
      <c r="J78" s="104"/>
      <c r="K78" s="104"/>
      <c r="M78" s="104"/>
      <c r="O78" s="104"/>
    </row>
    <row r="79" spans="2:16">
      <c r="B79" s="147" t="s">
        <v>86</v>
      </c>
      <c r="C79" s="148"/>
      <c r="D79" s="148"/>
      <c r="E79" s="148"/>
      <c r="F79" s="148"/>
      <c r="G79" s="148"/>
      <c r="H79" s="148"/>
      <c r="I79" s="148"/>
      <c r="J79" s="148"/>
      <c r="K79" s="148"/>
      <c r="M79" s="148"/>
      <c r="N79" s="148"/>
      <c r="O79" s="148"/>
      <c r="P79" s="148"/>
    </row>
    <row r="80" spans="2:16">
      <c r="B80" s="110" t="s">
        <v>87</v>
      </c>
      <c r="C80" s="151"/>
      <c r="D80" s="151"/>
      <c r="E80" s="152">
        <f t="shared" ref="E80:K80" si="77">1+E10</f>
        <v>0.31338676334795545</v>
      </c>
      <c r="F80" s="152">
        <f t="shared" si="77"/>
        <v>0.28336453028847308</v>
      </c>
      <c r="G80" s="152">
        <f t="shared" si="77"/>
        <v>0.2954797360813084</v>
      </c>
      <c r="H80" s="152">
        <f t="shared" si="77"/>
        <v>0.32463038799101396</v>
      </c>
      <c r="I80" s="152">
        <f t="shared" si="77"/>
        <v>0.31353893300214175</v>
      </c>
      <c r="J80" s="152">
        <f t="shared" si="77"/>
        <v>0.31173863298940885</v>
      </c>
      <c r="K80" s="152">
        <f t="shared" si="77"/>
        <v>0.31219727724428037</v>
      </c>
      <c r="L80" s="153"/>
      <c r="M80" s="152"/>
      <c r="N80" s="153"/>
      <c r="O80" s="152"/>
      <c r="P80" s="153"/>
    </row>
    <row r="81" spans="2:16">
      <c r="B81" s="110" t="s">
        <v>88</v>
      </c>
      <c r="C81" s="151"/>
      <c r="D81" s="151"/>
      <c r="E81" s="152">
        <f>E19</f>
        <v>0.23633304112284573</v>
      </c>
      <c r="F81" s="152">
        <f>F19</f>
        <v>0.18736559042757442</v>
      </c>
      <c r="G81" s="152">
        <f t="shared" ref="G81:K81" si="78">G19</f>
        <v>0.19626961553683264</v>
      </c>
      <c r="H81" s="152">
        <f t="shared" si="78"/>
        <v>0.22557398293615727</v>
      </c>
      <c r="I81" s="152">
        <f t="shared" si="78"/>
        <v>0.21893893722503313</v>
      </c>
      <c r="J81" s="152">
        <f t="shared" si="78"/>
        <v>0.22096127259038312</v>
      </c>
      <c r="K81" s="152">
        <f t="shared" si="78"/>
        <v>0.22461991684525467</v>
      </c>
      <c r="L81" s="153"/>
      <c r="M81" s="152"/>
      <c r="N81" s="153"/>
      <c r="O81" s="152"/>
      <c r="P81" s="153"/>
    </row>
    <row r="82" spans="2:16">
      <c r="B82" s="110" t="s">
        <v>89</v>
      </c>
      <c r="C82" s="151"/>
      <c r="D82" s="151"/>
      <c r="E82" s="152">
        <f t="shared" ref="E82:K82" si="79">E21/E7</f>
        <v>0.24197849364302113</v>
      </c>
      <c r="F82" s="152">
        <f t="shared" si="79"/>
        <v>0.19531972747825005</v>
      </c>
      <c r="G82" s="152">
        <f t="shared" si="79"/>
        <v>0.20436242594187462</v>
      </c>
      <c r="H82" s="152">
        <f t="shared" si="79"/>
        <v>0.23846933211711488</v>
      </c>
      <c r="I82" s="152">
        <f t="shared" si="79"/>
        <v>0.22555349730048699</v>
      </c>
      <c r="J82" s="152">
        <f t="shared" si="79"/>
        <v>0.23064103891634644</v>
      </c>
      <c r="K82" s="152">
        <f t="shared" si="79"/>
        <v>0.23421798670457744</v>
      </c>
      <c r="L82" s="153"/>
      <c r="M82" s="152"/>
      <c r="N82" s="153"/>
      <c r="O82" s="152"/>
      <c r="P82" s="153"/>
    </row>
    <row r="83" spans="2:16">
      <c r="B83" s="110" t="s">
        <v>90</v>
      </c>
      <c r="C83" s="151">
        <f t="shared" ref="C83:I83" si="80">C32/C7</f>
        <v>0.17214114328749081</v>
      </c>
      <c r="D83" s="151">
        <f t="shared" si="80"/>
        <v>0.13479063691981191</v>
      </c>
      <c r="E83" s="152">
        <f t="shared" si="80"/>
        <v>0.18471109901993882</v>
      </c>
      <c r="F83" s="152">
        <f t="shared" si="80"/>
        <v>0.14828769340706471</v>
      </c>
      <c r="G83" s="152">
        <f t="shared" si="80"/>
        <v>0.15695655675308395</v>
      </c>
      <c r="H83" s="152">
        <f t="shared" si="80"/>
        <v>0.17939609343540905</v>
      </c>
      <c r="I83" s="152">
        <f t="shared" si="80"/>
        <v>0.17638919088265068</v>
      </c>
      <c r="J83" s="152">
        <f>J32/J7</f>
        <v>0.17842906536850828</v>
      </c>
      <c r="K83" s="152">
        <f t="shared" ref="K83" si="81">K32/K7</f>
        <v>0.18171764149424821</v>
      </c>
      <c r="L83" s="153"/>
      <c r="M83" s="152"/>
      <c r="N83" s="153"/>
      <c r="O83" s="152"/>
      <c r="P83" s="153"/>
    </row>
    <row r="84" spans="2:16">
      <c r="B84" s="110" t="s">
        <v>91</v>
      </c>
      <c r="C84" s="151">
        <f>C35</f>
        <v>0.17332903651165418</v>
      </c>
      <c r="D84" s="151">
        <f t="shared" ref="D84:I84" si="82">D35</f>
        <v>0.13503569962957029</v>
      </c>
      <c r="E84" s="152">
        <f>E35</f>
        <v>0.18455835994754513</v>
      </c>
      <c r="F84" s="152">
        <f t="shared" si="82"/>
        <v>0.14708140950473042</v>
      </c>
      <c r="G84" s="152">
        <f t="shared" si="82"/>
        <v>0.15453005337036663</v>
      </c>
      <c r="H84" s="152">
        <f t="shared" si="82"/>
        <v>0.17868325402110458</v>
      </c>
      <c r="I84" s="152">
        <f t="shared" si="82"/>
        <v>0.17484271701023119</v>
      </c>
      <c r="J84" s="152">
        <f>J35</f>
        <v>0.17699091446985407</v>
      </c>
      <c r="K84" s="152">
        <f t="shared" ref="K84" si="83">K35</f>
        <v>0.18032448419551764</v>
      </c>
      <c r="L84" s="153"/>
      <c r="M84" s="152"/>
      <c r="N84" s="153"/>
      <c r="O84" s="152"/>
      <c r="P84" s="153"/>
    </row>
    <row r="85" spans="2:16">
      <c r="B85" s="110" t="s">
        <v>92</v>
      </c>
      <c r="C85" s="151"/>
      <c r="D85" s="151"/>
      <c r="E85" s="152">
        <f>E39</f>
        <v>0.1880083078860996</v>
      </c>
      <c r="F85" s="152">
        <f t="shared" ref="F85:I85" si="84">F39</f>
        <v>0.14915926621992048</v>
      </c>
      <c r="G85" s="152">
        <f t="shared" si="84"/>
        <v>0.15695720916637959</v>
      </c>
      <c r="H85" s="152">
        <f t="shared" si="84"/>
        <v>0.18097938943923705</v>
      </c>
      <c r="I85" s="152">
        <f t="shared" si="84"/>
        <v>0.17580961256871169</v>
      </c>
      <c r="J85" s="152">
        <f>J39</f>
        <v>0.17752670649167512</v>
      </c>
      <c r="K85" s="152">
        <f t="shared" ref="K85" si="85">K39</f>
        <v>0.18076027621733867</v>
      </c>
      <c r="L85" s="153"/>
      <c r="M85" s="152"/>
      <c r="N85" s="153"/>
      <c r="O85" s="152"/>
      <c r="P85" s="153"/>
    </row>
    <row r="86" spans="2:16">
      <c r="C86" s="117"/>
      <c r="D86" s="117"/>
      <c r="E86" s="117"/>
      <c r="F86" s="117"/>
      <c r="G86" s="117"/>
      <c r="H86" s="117"/>
      <c r="I86" s="117"/>
      <c r="J86" s="117"/>
      <c r="K86" s="117"/>
      <c r="L86" s="97"/>
      <c r="M86" s="117"/>
      <c r="N86" s="97"/>
      <c r="O86" s="117"/>
      <c r="P86" s="97"/>
    </row>
    <row r="87" spans="2:16">
      <c r="B87" s="98" t="s">
        <v>42</v>
      </c>
      <c r="C87" s="117"/>
      <c r="D87" s="117"/>
      <c r="E87" s="117">
        <f t="shared" ref="E87:K87" si="86">E10</f>
        <v>-0.68661323665204455</v>
      </c>
      <c r="F87" s="117">
        <f t="shared" si="86"/>
        <v>-0.71663546971152692</v>
      </c>
      <c r="G87" s="117">
        <f t="shared" si="86"/>
        <v>-0.7045202639186916</v>
      </c>
      <c r="H87" s="117">
        <f t="shared" si="86"/>
        <v>-0.67536961200898604</v>
      </c>
      <c r="I87" s="117">
        <f t="shared" si="86"/>
        <v>-0.68646106699785825</v>
      </c>
      <c r="J87" s="117">
        <f t="shared" si="86"/>
        <v>-0.68826136701059115</v>
      </c>
      <c r="K87" s="117">
        <f t="shared" si="86"/>
        <v>-0.68780272275571963</v>
      </c>
      <c r="L87" s="97"/>
      <c r="M87" s="117"/>
      <c r="N87" s="97"/>
      <c r="O87" s="117"/>
      <c r="P87" s="97"/>
    </row>
    <row r="88" spans="2:16">
      <c r="B88" s="98" t="s">
        <v>50</v>
      </c>
      <c r="C88" s="117"/>
      <c r="D88" s="117"/>
      <c r="E88" s="117">
        <f>E23/E7</f>
        <v>1.3059722040006626E-2</v>
      </c>
      <c r="F88" s="117">
        <f t="shared" ref="F88:I88" si="87">F23/F7</f>
        <v>9.4224355988699413E-3</v>
      </c>
      <c r="G88" s="117">
        <f t="shared" si="87"/>
        <v>1.2197139608417007E-2</v>
      </c>
      <c r="H88" s="117">
        <f t="shared" si="87"/>
        <v>8.8424066270584804E-3</v>
      </c>
      <c r="I88" s="117">
        <f t="shared" si="87"/>
        <v>1.1257185537102048E-2</v>
      </c>
      <c r="J88" s="117">
        <f>J23/J7</f>
        <v>1.1882213874455429E-2</v>
      </c>
      <c r="K88" s="117">
        <f t="shared" ref="K88" si="88">K23/K7</f>
        <v>1.2502649851974164E-2</v>
      </c>
      <c r="L88" s="97"/>
      <c r="M88" s="117"/>
      <c r="N88" s="97"/>
      <c r="O88" s="117"/>
      <c r="P88" s="97"/>
    </row>
    <row r="89" spans="2:16">
      <c r="B89" s="98" t="s">
        <v>44</v>
      </c>
      <c r="C89" s="117"/>
      <c r="D89" s="117"/>
      <c r="E89" s="117">
        <f>E12</f>
        <v>-3.9200709961350548E-2</v>
      </c>
      <c r="F89" s="117">
        <f>F12</f>
        <v>-5.7045899411862937E-2</v>
      </c>
      <c r="G89" s="117">
        <f t="shared" ref="G89:K89" si="89">G12</f>
        <v>-6.4947187447435564E-2</v>
      </c>
      <c r="H89" s="117">
        <f t="shared" si="89"/>
        <v>-6.4419916908032157E-2</v>
      </c>
      <c r="I89" s="117">
        <f t="shared" si="89"/>
        <v>-6.2219916908032163E-2</v>
      </c>
      <c r="J89" s="117">
        <f t="shared" si="89"/>
        <v>-6.0519916908032156E-2</v>
      </c>
      <c r="K89" s="117">
        <f t="shared" si="89"/>
        <v>-5.931991690803215E-2</v>
      </c>
      <c r="L89" s="97"/>
      <c r="M89" s="117"/>
      <c r="N89" s="97"/>
      <c r="O89" s="117"/>
      <c r="P89" s="97"/>
    </row>
    <row r="90" spans="2:16">
      <c r="B90" s="98" t="s">
        <v>45</v>
      </c>
      <c r="C90" s="117"/>
      <c r="D90" s="117"/>
      <c r="E90" s="117">
        <f>E14</f>
        <v>-3.6196068664376517E-2</v>
      </c>
      <c r="F90" s="117">
        <f>F14</f>
        <v>-3.6400000000000002E-2</v>
      </c>
      <c r="G90" s="117">
        <f t="shared" ref="G90:K90" si="90">G14</f>
        <v>-3.0076249361838572E-2</v>
      </c>
      <c r="H90" s="117">
        <f t="shared" si="90"/>
        <v>-3.0412776672836633E-2</v>
      </c>
      <c r="I90" s="117">
        <f t="shared" si="90"/>
        <v>-2.9156367395088551E-2</v>
      </c>
      <c r="J90" s="117">
        <f t="shared" si="90"/>
        <v>-2.7233732017005689E-2</v>
      </c>
      <c r="K90" s="117">
        <f t="shared" si="90"/>
        <v>-2.5433732017005682E-2</v>
      </c>
      <c r="L90" s="97"/>
      <c r="M90" s="117"/>
      <c r="N90" s="97"/>
      <c r="O90" s="117"/>
      <c r="P90" s="97"/>
    </row>
    <row r="91" spans="2:16">
      <c r="B91" s="98" t="s">
        <v>46</v>
      </c>
      <c r="C91" s="117"/>
      <c r="D91" s="117"/>
      <c r="E91" s="117">
        <f>E16</f>
        <v>-1.6569435993827064E-3</v>
      </c>
      <c r="F91" s="117">
        <f>F16</f>
        <v>-2.379567365718599E-3</v>
      </c>
      <c r="G91" s="117">
        <f t="shared" ref="G91:K91" si="91">G16</f>
        <v>-4.1866837352016123E-3</v>
      </c>
      <c r="H91" s="117">
        <f t="shared" si="91"/>
        <v>-4.223711473987906E-3</v>
      </c>
      <c r="I91" s="117">
        <f t="shared" si="91"/>
        <v>-3.223711473987906E-3</v>
      </c>
      <c r="J91" s="117">
        <f t="shared" si="91"/>
        <v>-3.0237114739879063E-3</v>
      </c>
      <c r="K91" s="117">
        <f t="shared" si="91"/>
        <v>-2.8237114739879058E-3</v>
      </c>
      <c r="L91" s="97"/>
      <c r="M91" s="117"/>
      <c r="N91" s="97"/>
      <c r="O91" s="117"/>
      <c r="P91" s="97"/>
    </row>
    <row r="92" spans="2:16">
      <c r="B92" s="98" t="s">
        <v>93</v>
      </c>
      <c r="C92" s="117"/>
      <c r="D92" s="117"/>
      <c r="E92" s="118">
        <f t="shared" ref="E92:F92" si="92">E40/E7</f>
        <v>-2.1789228581702265E-3</v>
      </c>
      <c r="F92" s="118">
        <f t="shared" si="92"/>
        <v>-1.8401427799348785E-3</v>
      </c>
      <c r="G92" s="118">
        <f>G40/G7</f>
        <v>-8.0911357315478685E-4</v>
      </c>
      <c r="H92" s="118">
        <f>H40/H7</f>
        <v>-6.3579202182104588E-4</v>
      </c>
      <c r="I92" s="154">
        <f>H92</f>
        <v>-6.3579202182104588E-4</v>
      </c>
      <c r="J92" s="154">
        <f>I92+0.01%</f>
        <v>-5.3579202182104583E-4</v>
      </c>
      <c r="K92" s="154">
        <f t="shared" ref="K92" si="93">J92+0.01%</f>
        <v>-4.3579202182104584E-4</v>
      </c>
      <c r="L92" s="97"/>
      <c r="M92" s="118"/>
      <c r="N92" s="97"/>
      <c r="O92" s="118"/>
      <c r="P92" s="97"/>
    </row>
    <row r="93" spans="2:16">
      <c r="C93" s="117"/>
      <c r="D93" s="117"/>
      <c r="E93" s="117"/>
      <c r="F93" s="117"/>
      <c r="G93" s="117"/>
      <c r="H93" s="117"/>
      <c r="I93" s="117"/>
      <c r="J93" s="117"/>
      <c r="K93" s="117"/>
      <c r="L93" s="97"/>
      <c r="M93" s="117"/>
      <c r="N93" s="97"/>
      <c r="O93" s="117"/>
      <c r="P93" s="97"/>
    </row>
    <row r="94" spans="2:16">
      <c r="B94" s="77" t="s">
        <v>57</v>
      </c>
      <c r="C94" s="117">
        <f>C31</f>
        <v>-0.26382915881912611</v>
      </c>
      <c r="D94" s="117">
        <f t="shared" ref="D94:K94" si="94">D31</f>
        <v>-0.33204129694036122</v>
      </c>
      <c r="E94" s="117">
        <f t="shared" si="94"/>
        <v>-0.25281901336290885</v>
      </c>
      <c r="F94" s="117">
        <f t="shared" si="94"/>
        <v>-0.24264167283975469</v>
      </c>
      <c r="G94" s="117">
        <f t="shared" si="94"/>
        <v>-0.23288313294023449</v>
      </c>
      <c r="H94" s="117">
        <f t="shared" si="94"/>
        <v>-0.23343268653076643</v>
      </c>
      <c r="I94" s="117">
        <f t="shared" si="94"/>
        <v>-0.23343268653076643</v>
      </c>
      <c r="J94" s="117">
        <f t="shared" si="94"/>
        <v>-0.23343268653076643</v>
      </c>
      <c r="K94" s="117">
        <f t="shared" si="94"/>
        <v>-0.23343268653076643</v>
      </c>
      <c r="L94" s="97"/>
      <c r="M94" s="117"/>
      <c r="N94" s="97"/>
      <c r="O94" s="117"/>
      <c r="P94" s="97"/>
    </row>
    <row r="96" spans="2:16">
      <c r="B96" s="88" t="s">
        <v>94</v>
      </c>
      <c r="C96" s="88"/>
      <c r="D96" s="88"/>
      <c r="E96" s="89"/>
      <c r="F96" s="89"/>
      <c r="G96" s="89"/>
      <c r="H96" s="89"/>
      <c r="I96" s="89"/>
      <c r="J96" s="89"/>
      <c r="K96" s="89"/>
      <c r="M96" s="89"/>
      <c r="N96" s="89"/>
      <c r="O96" s="89"/>
      <c r="P96" s="89"/>
    </row>
    <row r="97" spans="2:16">
      <c r="B97" s="147" t="s">
        <v>95</v>
      </c>
      <c r="C97" s="148"/>
      <c r="D97" s="148"/>
      <c r="E97" s="148"/>
      <c r="F97" s="148"/>
      <c r="G97" s="148"/>
      <c r="H97" s="148"/>
      <c r="I97" s="148"/>
      <c r="J97" s="148"/>
      <c r="K97" s="148"/>
      <c r="M97" s="148"/>
      <c r="N97" s="148"/>
      <c r="O97" s="148"/>
      <c r="P97" s="148"/>
    </row>
    <row r="98" spans="2:16">
      <c r="B98" s="77" t="s">
        <v>96</v>
      </c>
      <c r="C98" s="110"/>
      <c r="D98" s="110"/>
      <c r="E98" s="99">
        <v>9457.66</v>
      </c>
      <c r="F98" s="99">
        <v>12551.043</v>
      </c>
      <c r="G98" s="99">
        <v>19160.21</v>
      </c>
      <c r="H98" s="99">
        <v>23452.456999999999</v>
      </c>
      <c r="I98" s="155">
        <f>Driver!I387</f>
        <v>30545.044687228659</v>
      </c>
      <c r="J98" s="155">
        <f>Driver!J387</f>
        <v>36043.38105718419</v>
      </c>
      <c r="K98" s="155">
        <f>Driver!K387</f>
        <v>41932.046730750517</v>
      </c>
      <c r="M98" s="99">
        <v>9926.3040000000001</v>
      </c>
      <c r="N98" s="100">
        <f>H98-M98</f>
        <v>13526.152999999998</v>
      </c>
      <c r="O98" s="99">
        <v>13843.183999999999</v>
      </c>
      <c r="P98" s="100">
        <f>I98-O98</f>
        <v>16701.860687228662</v>
      </c>
    </row>
    <row r="99" spans="2:16">
      <c r="B99" s="77" t="s">
        <v>97</v>
      </c>
      <c r="C99" s="110"/>
      <c r="D99" s="110"/>
      <c r="E99" s="99">
        <v>696.94399999999996</v>
      </c>
      <c r="F99" s="99">
        <v>748.38699999999994</v>
      </c>
      <c r="G99" s="99">
        <v>736.53700000000003</v>
      </c>
      <c r="H99" s="99">
        <v>756.37199999999996</v>
      </c>
      <c r="I99" s="155">
        <f>Driver!I391</f>
        <v>1017.6627990421898</v>
      </c>
      <c r="J99" s="155">
        <f>Driver!J391</f>
        <v>914.47940316639722</v>
      </c>
      <c r="K99" s="155">
        <f>Driver!K391</f>
        <v>885.73547652950663</v>
      </c>
      <c r="M99" s="99">
        <v>457.89400000000001</v>
      </c>
      <c r="N99" s="100">
        <f>H99-M99</f>
        <v>298.47799999999995</v>
      </c>
      <c r="O99" s="99">
        <v>651.50400000000002</v>
      </c>
      <c r="P99" s="100">
        <f>I99-O99</f>
        <v>366.1587990421898</v>
      </c>
    </row>
    <row r="100" spans="2:16">
      <c r="B100" s="77" t="s">
        <v>98</v>
      </c>
      <c r="C100" s="110"/>
      <c r="D100" s="110"/>
      <c r="E100" s="99">
        <v>196.38200000000001</v>
      </c>
      <c r="F100" s="99">
        <v>276.14699999999999</v>
      </c>
      <c r="G100" s="99">
        <v>405.71800000000002</v>
      </c>
      <c r="H100" s="99">
        <v>620.04499999999996</v>
      </c>
      <c r="I100" s="155">
        <f>Driver!I392</f>
        <v>768.90890358382944</v>
      </c>
      <c r="J100" s="155">
        <f>Driver!J392</f>
        <v>922.0162660714285</v>
      </c>
      <c r="K100" s="155">
        <f>Driver!K392</f>
        <v>1072.8398982886904</v>
      </c>
      <c r="M100" s="99">
        <v>292.85599999999999</v>
      </c>
      <c r="N100" s="100">
        <f>H100-M100</f>
        <v>327.18899999999996</v>
      </c>
      <c r="O100" s="99">
        <v>380.12099999999998</v>
      </c>
      <c r="P100" s="100">
        <f>I100-O100</f>
        <v>388.78790358382946</v>
      </c>
    </row>
    <row r="101" spans="2:16">
      <c r="C101" s="110"/>
      <c r="D101" s="110"/>
      <c r="E101" s="99"/>
      <c r="F101" s="99"/>
      <c r="G101" s="87"/>
      <c r="H101" s="87"/>
      <c r="I101" s="87"/>
      <c r="J101" s="87"/>
      <c r="K101" s="87"/>
      <c r="M101" s="87"/>
      <c r="O101" s="87"/>
    </row>
    <row r="102" spans="2:16">
      <c r="B102" s="156" t="s">
        <v>99</v>
      </c>
      <c r="C102" s="156"/>
      <c r="D102" s="156"/>
      <c r="E102" s="157"/>
      <c r="F102" s="157"/>
      <c r="G102" s="158"/>
      <c r="H102" s="158"/>
      <c r="I102" s="158"/>
      <c r="J102" s="158"/>
      <c r="K102" s="158"/>
      <c r="M102" s="158"/>
      <c r="N102" s="158"/>
      <c r="O102" s="158"/>
      <c r="P102" s="158"/>
    </row>
    <row r="103" spans="2:16">
      <c r="B103" s="77" t="s">
        <v>96</v>
      </c>
      <c r="C103" s="110"/>
      <c r="D103" s="110"/>
      <c r="E103" s="78">
        <f>E98/E$7</f>
        <v>0.91369653093917824</v>
      </c>
      <c r="F103" s="78">
        <f>F98/F$7</f>
        <v>0.92453108991242128</v>
      </c>
      <c r="G103" s="78">
        <f t="shared" ref="G103:K105" si="95">G98/G$7</f>
        <v>0.94373811258879148</v>
      </c>
      <c r="H103" s="78">
        <f t="shared" si="95"/>
        <v>0.94456385738636395</v>
      </c>
      <c r="I103" s="78">
        <f t="shared" si="95"/>
        <v>0.9447422708136971</v>
      </c>
      <c r="J103" s="78">
        <f t="shared" si="95"/>
        <v>0.95151790797785696</v>
      </c>
      <c r="K103" s="78">
        <f t="shared" si="95"/>
        <v>0.95537599421335828</v>
      </c>
      <c r="M103" s="78">
        <f t="shared" ref="M103:P105" si="96">M98/M$7</f>
        <v>0.92968566048275114</v>
      </c>
      <c r="N103" s="78">
        <f t="shared" si="96"/>
        <v>0.95578893739462478</v>
      </c>
      <c r="O103" s="78">
        <f t="shared" si="96"/>
        <v>0.93064616829701818</v>
      </c>
      <c r="P103" s="78">
        <f t="shared" si="96"/>
        <v>0.95675344948442453</v>
      </c>
    </row>
    <row r="104" spans="2:16">
      <c r="B104" s="77" t="s">
        <v>97</v>
      </c>
      <c r="C104" s="110"/>
      <c r="D104" s="110"/>
      <c r="E104" s="78">
        <f t="shared" ref="E104:F105" si="97">E99/E$7</f>
        <v>6.7331170189970313E-2</v>
      </c>
      <c r="F104" s="78">
        <f t="shared" si="97"/>
        <v>5.5127454251115801E-2</v>
      </c>
      <c r="G104" s="78">
        <f t="shared" si="95"/>
        <v>3.6278205626755176E-2</v>
      </c>
      <c r="H104" s="78">
        <f t="shared" si="95"/>
        <v>3.0463403213532757E-2</v>
      </c>
      <c r="I104" s="78">
        <f t="shared" si="95"/>
        <v>3.147577859304064E-2</v>
      </c>
      <c r="J104" s="78">
        <f t="shared" si="95"/>
        <v>2.414156228044239E-2</v>
      </c>
      <c r="K104" s="78">
        <f t="shared" si="95"/>
        <v>2.0180517706016452E-2</v>
      </c>
      <c r="M104" s="78">
        <f t="shared" si="96"/>
        <v>4.288579977210942E-2</v>
      </c>
      <c r="N104" s="78">
        <f t="shared" si="96"/>
        <v>2.1091138807587995E-2</v>
      </c>
      <c r="O104" s="78">
        <f t="shared" si="96"/>
        <v>4.3799150631110631E-2</v>
      </c>
      <c r="P104" s="78">
        <f t="shared" si="96"/>
        <v>2.0975129693817277E-2</v>
      </c>
    </row>
    <row r="105" spans="2:16">
      <c r="B105" s="77" t="s">
        <v>98</v>
      </c>
      <c r="C105" s="110"/>
      <c r="D105" s="110"/>
      <c r="E105" s="78">
        <f t="shared" si="97"/>
        <v>1.8972298870851532E-2</v>
      </c>
      <c r="F105" s="78">
        <f t="shared" si="97"/>
        <v>2.0341455836462786E-2</v>
      </c>
      <c r="G105" s="78">
        <f t="shared" si="95"/>
        <v>1.9983681784453269E-2</v>
      </c>
      <c r="H105" s="78">
        <f t="shared" si="95"/>
        <v>2.4972739400103281E-2</v>
      </c>
      <c r="I105" s="78">
        <f t="shared" si="95"/>
        <v>2.3781950593262172E-2</v>
      </c>
      <c r="J105" s="78">
        <f t="shared" si="95"/>
        <v>2.4340529741700628E-2</v>
      </c>
      <c r="K105" s="78">
        <f t="shared" si="95"/>
        <v>2.444348808062512E-2</v>
      </c>
      <c r="M105" s="78">
        <f t="shared" si="96"/>
        <v>2.7428539745139435E-2</v>
      </c>
      <c r="N105" s="78">
        <f t="shared" si="96"/>
        <v>2.3119923797787139E-2</v>
      </c>
      <c r="O105" s="78">
        <f t="shared" si="96"/>
        <v>2.5554681071871241E-2</v>
      </c>
      <c r="P105" s="78">
        <f t="shared" si="96"/>
        <v>2.2271420821758054E-2</v>
      </c>
    </row>
    <row r="106" spans="2:16">
      <c r="C106" s="110"/>
      <c r="D106" s="110"/>
      <c r="E106" s="78"/>
      <c r="F106" s="78"/>
      <c r="G106" s="78"/>
      <c r="H106" s="78"/>
      <c r="I106" s="78"/>
      <c r="J106" s="78"/>
      <c r="K106" s="78"/>
      <c r="M106" s="78"/>
      <c r="N106" s="78"/>
      <c r="O106" s="78"/>
      <c r="P106" s="78"/>
    </row>
    <row r="107" spans="2:16">
      <c r="B107" s="156" t="s">
        <v>41</v>
      </c>
      <c r="C107" s="156"/>
      <c r="D107" s="156"/>
      <c r="E107" s="157"/>
      <c r="F107" s="157"/>
      <c r="G107" s="157"/>
      <c r="H107" s="157"/>
      <c r="I107" s="157"/>
      <c r="J107" s="157"/>
      <c r="K107" s="157"/>
      <c r="M107" s="157"/>
      <c r="N107" s="157"/>
      <c r="O107" s="157"/>
      <c r="P107" s="157"/>
    </row>
    <row r="108" spans="2:16">
      <c r="B108" s="77" t="s">
        <v>96</v>
      </c>
      <c r="C108" s="110"/>
      <c r="D108" s="110"/>
      <c r="E108" s="87"/>
      <c r="F108" s="159">
        <f>F98/E98-1</f>
        <v>0.32707699367496823</v>
      </c>
      <c r="G108" s="159">
        <f t="shared" ref="G108:K110" si="98">G98/F98-1</f>
        <v>0.52658308954881283</v>
      </c>
      <c r="H108" s="159">
        <f t="shared" si="98"/>
        <v>0.22401878685045729</v>
      </c>
      <c r="I108" s="159">
        <f t="shared" si="98"/>
        <v>0.30242407809248562</v>
      </c>
      <c r="J108" s="159">
        <f t="shared" si="98"/>
        <v>0.18000747506696135</v>
      </c>
      <c r="K108" s="159">
        <f t="shared" si="98"/>
        <v>0.16337717219768422</v>
      </c>
      <c r="M108" s="159"/>
      <c r="N108" s="159"/>
      <c r="O108" s="159"/>
      <c r="P108" s="159"/>
    </row>
    <row r="109" spans="2:16">
      <c r="B109" s="77" t="s">
        <v>97</v>
      </c>
      <c r="C109" s="110"/>
      <c r="D109" s="110"/>
      <c r="E109" s="87"/>
      <c r="F109" s="159">
        <f t="shared" ref="F109:F110" si="99">F99/E99-1</f>
        <v>7.381224316444368E-2</v>
      </c>
      <c r="G109" s="159">
        <f t="shared" si="98"/>
        <v>-1.5834053771644818E-2</v>
      </c>
      <c r="H109" s="159">
        <f t="shared" si="98"/>
        <v>2.6930079547938357E-2</v>
      </c>
      <c r="I109" s="159">
        <f t="shared" si="98"/>
        <v>0.34545276536173986</v>
      </c>
      <c r="J109" s="159">
        <f t="shared" si="98"/>
        <v>-0.10139252016768951</v>
      </c>
      <c r="K109" s="159">
        <f t="shared" si="98"/>
        <v>-3.1432010975167235E-2</v>
      </c>
      <c r="M109" s="159"/>
      <c r="N109" s="159"/>
      <c r="O109" s="159"/>
      <c r="P109" s="159"/>
    </row>
    <row r="110" spans="2:16">
      <c r="B110" s="77" t="s">
        <v>98</v>
      </c>
      <c r="C110" s="110"/>
      <c r="D110" s="110"/>
      <c r="E110" s="87"/>
      <c r="F110" s="159">
        <f t="shared" si="99"/>
        <v>0.40617266348239656</v>
      </c>
      <c r="G110" s="159">
        <f t="shared" si="98"/>
        <v>0.4692102394739035</v>
      </c>
      <c r="H110" s="159">
        <f t="shared" si="98"/>
        <v>0.52826593841042291</v>
      </c>
      <c r="I110" s="159">
        <f t="shared" si="98"/>
        <v>0.24008564472551108</v>
      </c>
      <c r="J110" s="159">
        <f t="shared" si="98"/>
        <v>0.19912288929673805</v>
      </c>
      <c r="K110" s="159">
        <f t="shared" si="98"/>
        <v>0.16358022929454208</v>
      </c>
      <c r="M110" s="159"/>
      <c r="N110" s="159"/>
      <c r="O110" s="159"/>
      <c r="P110" s="159"/>
    </row>
    <row r="111" spans="2:16">
      <c r="C111" s="110"/>
      <c r="D111" s="110"/>
      <c r="E111" s="87"/>
      <c r="F111" s="87"/>
      <c r="G111" s="87"/>
      <c r="H111" s="87"/>
      <c r="I111" s="87"/>
      <c r="J111" s="87"/>
      <c r="K111" s="87"/>
      <c r="M111" s="87"/>
      <c r="N111" s="87"/>
      <c r="O111" s="87"/>
      <c r="P111" s="87"/>
    </row>
    <row r="112" spans="2:16">
      <c r="B112" s="147" t="s">
        <v>42</v>
      </c>
      <c r="C112" s="148"/>
      <c r="D112" s="148"/>
      <c r="E112" s="148"/>
      <c r="F112" s="148"/>
      <c r="G112" s="148"/>
      <c r="H112" s="148"/>
      <c r="I112" s="148"/>
      <c r="J112" s="148"/>
      <c r="K112" s="148"/>
      <c r="M112" s="148"/>
      <c r="N112" s="148"/>
      <c r="O112" s="148"/>
      <c r="P112" s="148"/>
    </row>
    <row r="113" spans="2:16">
      <c r="B113" s="156" t="s">
        <v>99</v>
      </c>
      <c r="C113" s="156"/>
      <c r="D113" s="156"/>
      <c r="E113" s="157"/>
      <c r="F113" s="157"/>
      <c r="G113" s="158"/>
      <c r="H113" s="158"/>
      <c r="I113" s="158"/>
      <c r="J113" s="158"/>
      <c r="K113" s="158"/>
      <c r="M113" s="158"/>
      <c r="N113" s="158"/>
      <c r="O113" s="158"/>
      <c r="P113" s="158"/>
    </row>
    <row r="114" spans="2:16">
      <c r="B114" s="110" t="s">
        <v>100</v>
      </c>
      <c r="C114" s="110"/>
      <c r="D114" s="110"/>
      <c r="E114" s="160"/>
      <c r="F114" s="160"/>
      <c r="G114" s="160"/>
      <c r="H114" s="87"/>
      <c r="I114" s="87"/>
      <c r="J114" s="87"/>
      <c r="K114" s="87"/>
      <c r="M114" s="87"/>
      <c r="O114" s="87"/>
    </row>
    <row r="115" spans="2:16">
      <c r="B115" s="77" t="s">
        <v>96</v>
      </c>
      <c r="C115" s="110"/>
      <c r="D115" s="110"/>
      <c r="E115" s="155">
        <f>E121-E98</f>
        <v>-6483.7929999999997</v>
      </c>
      <c r="F115" s="155">
        <f>F121-F98</f>
        <v>-9060.8359999999993</v>
      </c>
      <c r="G115" s="155">
        <f>G121-G98</f>
        <v>-13652.208999999999</v>
      </c>
      <c r="H115" s="155">
        <f t="shared" ref="H115:K117" si="100">H121-H98</f>
        <v>-16041.480587999999</v>
      </c>
      <c r="I115" s="155">
        <f t="shared" si="100"/>
        <v>-21228.806057623919</v>
      </c>
      <c r="J115" s="155">
        <f t="shared" si="100"/>
        <v>-25158.279977914564</v>
      </c>
      <c r="K115" s="155">
        <f t="shared" si="100"/>
        <v>-29268.568618063859</v>
      </c>
      <c r="M115" s="155"/>
      <c r="O115" s="155"/>
    </row>
    <row r="116" spans="2:16">
      <c r="B116" s="77" t="s">
        <v>97</v>
      </c>
      <c r="C116" s="110"/>
      <c r="D116" s="110"/>
      <c r="E116" s="155">
        <f t="shared" ref="E116:J117" si="101">E122-E99</f>
        <v>-567.37299999999993</v>
      </c>
      <c r="F116" s="155">
        <f t="shared" si="101"/>
        <v>-607.74599999999998</v>
      </c>
      <c r="G116" s="155">
        <f t="shared" si="101"/>
        <v>-568.37700000000007</v>
      </c>
      <c r="H116" s="155">
        <f t="shared" si="101"/>
        <v>-605.65759200000139</v>
      </c>
      <c r="I116" s="155">
        <f t="shared" si="101"/>
        <v>-814.88368201873425</v>
      </c>
      <c r="J116" s="155">
        <f t="shared" si="101"/>
        <v>-732.26057185532864</v>
      </c>
      <c r="K116" s="155">
        <f t="shared" si="100"/>
        <v>-709.24414952408972</v>
      </c>
      <c r="M116" s="155"/>
      <c r="O116" s="155"/>
    </row>
    <row r="117" spans="2:16">
      <c r="B117" s="77" t="s">
        <v>98</v>
      </c>
      <c r="C117" s="110"/>
      <c r="D117" s="110"/>
      <c r="E117" s="155">
        <f t="shared" si="101"/>
        <v>-55.957999999999998</v>
      </c>
      <c r="F117" s="155">
        <f t="shared" si="101"/>
        <v>-60.157999999999987</v>
      </c>
      <c r="G117" s="155">
        <f t="shared" si="101"/>
        <v>-82.912000000000035</v>
      </c>
      <c r="H117" s="155">
        <f t="shared" si="101"/>
        <v>-121.52881999999994</v>
      </c>
      <c r="I117" s="155">
        <f t="shared" si="101"/>
        <v>-150.70614510243058</v>
      </c>
      <c r="J117" s="155">
        <f t="shared" si="101"/>
        <v>-180.7151881499999</v>
      </c>
      <c r="K117" s="155">
        <f t="shared" si="100"/>
        <v>-210.27662006458331</v>
      </c>
      <c r="M117" s="155"/>
      <c r="O117" s="155"/>
    </row>
    <row r="118" spans="2:16">
      <c r="B118" s="110" t="s">
        <v>101</v>
      </c>
      <c r="C118" s="110"/>
      <c r="D118" s="110"/>
      <c r="E118" s="161">
        <f>SUM(E115:E117)</f>
        <v>-7107.1239999999989</v>
      </c>
      <c r="F118" s="161">
        <f>SUM(F115:F117)</f>
        <v>-9728.739999999998</v>
      </c>
      <c r="G118" s="161">
        <f>SUM(G115:G117)</f>
        <v>-14303.498</v>
      </c>
      <c r="H118" s="161">
        <f t="shared" ref="H118:K118" si="102">SUM(H115:H117)</f>
        <v>-16768.667000000001</v>
      </c>
      <c r="I118" s="161">
        <f t="shared" si="102"/>
        <v>-22194.395884745085</v>
      </c>
      <c r="J118" s="161">
        <f t="shared" si="102"/>
        <v>-26071.255737919892</v>
      </c>
      <c r="K118" s="161">
        <f t="shared" si="102"/>
        <v>-30188.08938765253</v>
      </c>
      <c r="M118" s="161">
        <f>M9</f>
        <v>-7274.3590000000004</v>
      </c>
      <c r="N118" s="161">
        <f>N9</f>
        <v>-9494.3080000000009</v>
      </c>
      <c r="O118" s="161">
        <f>O9</f>
        <v>-10168.436</v>
      </c>
      <c r="P118" s="161">
        <f>P9</f>
        <v>-12025.959884745087</v>
      </c>
    </row>
    <row r="119" spans="2:16">
      <c r="C119" s="110"/>
      <c r="D119" s="110"/>
      <c r="E119" s="99"/>
      <c r="F119" s="99"/>
      <c r="G119" s="87"/>
      <c r="H119" s="87"/>
      <c r="I119" s="87"/>
      <c r="J119" s="87"/>
      <c r="K119" s="87"/>
      <c r="M119" s="87"/>
      <c r="O119" s="87"/>
    </row>
    <row r="120" spans="2:16">
      <c r="B120" s="110" t="s">
        <v>102</v>
      </c>
      <c r="C120" s="110"/>
      <c r="D120" s="110"/>
      <c r="E120" s="99"/>
      <c r="F120" s="99"/>
      <c r="G120" s="87"/>
      <c r="H120" s="87"/>
      <c r="I120" s="87"/>
      <c r="J120" s="87"/>
      <c r="K120" s="87"/>
      <c r="M120" s="87"/>
      <c r="O120" s="87"/>
    </row>
    <row r="121" spans="2:16">
      <c r="B121" s="77" t="s">
        <v>96</v>
      </c>
      <c r="C121" s="110"/>
      <c r="D121" s="110"/>
      <c r="E121" s="99">
        <v>2973.8670000000002</v>
      </c>
      <c r="F121" s="99">
        <v>3490.2069999999999</v>
      </c>
      <c r="G121" s="99">
        <v>5508.0010000000002</v>
      </c>
      <c r="H121" s="155">
        <f>Driver!H540</f>
        <v>7410.976412</v>
      </c>
      <c r="I121" s="155">
        <f>Driver!I540</f>
        <v>9316.2386296047407</v>
      </c>
      <c r="J121" s="155">
        <f>Driver!J540</f>
        <v>10885.101079269625</v>
      </c>
      <c r="K121" s="155">
        <f>Driver!K540</f>
        <v>12663.478112686656</v>
      </c>
      <c r="M121" s="155"/>
      <c r="O121" s="155"/>
    </row>
    <row r="122" spans="2:16">
      <c r="B122" s="77" t="s">
        <v>97</v>
      </c>
      <c r="C122" s="110"/>
      <c r="D122" s="110"/>
      <c r="E122" s="99">
        <v>129.571</v>
      </c>
      <c r="F122" s="99">
        <v>140.64099999999999</v>
      </c>
      <c r="G122" s="99">
        <v>168.16</v>
      </c>
      <c r="H122" s="155">
        <f>Driver!H541</f>
        <v>150.71440799999851</v>
      </c>
      <c r="I122" s="155">
        <f>Driver!I541</f>
        <v>202.77911702345554</v>
      </c>
      <c r="J122" s="155">
        <f>Driver!J541</f>
        <v>182.21883131106856</v>
      </c>
      <c r="K122" s="155">
        <f>Driver!K541</f>
        <v>176.49132700541688</v>
      </c>
      <c r="M122" s="155"/>
      <c r="O122" s="155"/>
    </row>
    <row r="123" spans="2:16">
      <c r="B123" s="77" t="s">
        <v>98</v>
      </c>
      <c r="C123" s="110"/>
      <c r="D123" s="110"/>
      <c r="E123" s="99">
        <v>140.42400000000001</v>
      </c>
      <c r="F123" s="99">
        <v>215.989</v>
      </c>
      <c r="G123" s="99">
        <v>322.80599999999998</v>
      </c>
      <c r="H123" s="155">
        <f>Driver!H542</f>
        <v>498.51618000000002</v>
      </c>
      <c r="I123" s="155">
        <f>Driver!I542</f>
        <v>618.20275848139886</v>
      </c>
      <c r="J123" s="155">
        <f>Driver!J542</f>
        <v>741.3010779214286</v>
      </c>
      <c r="K123" s="155">
        <f>Driver!K542</f>
        <v>862.56327822410708</v>
      </c>
      <c r="M123" s="155"/>
      <c r="O123" s="155"/>
    </row>
    <row r="124" spans="2:16">
      <c r="B124" s="110" t="s">
        <v>101</v>
      </c>
      <c r="C124" s="110"/>
      <c r="D124" s="110"/>
      <c r="E124" s="161">
        <f>SUM(E121:E123)</f>
        <v>3243.8620000000001</v>
      </c>
      <c r="F124" s="161">
        <f>SUM(F121:F123)</f>
        <v>3846.837</v>
      </c>
      <c r="G124" s="161">
        <f t="shared" ref="G124:K124" si="103">SUM(G121:G123)</f>
        <v>5998.9669999999996</v>
      </c>
      <c r="H124" s="161">
        <f t="shared" si="103"/>
        <v>8060.2069999999985</v>
      </c>
      <c r="I124" s="161">
        <f t="shared" si="103"/>
        <v>10137.220505109595</v>
      </c>
      <c r="J124" s="161">
        <f t="shared" si="103"/>
        <v>11808.620988502124</v>
      </c>
      <c r="K124" s="161">
        <f t="shared" si="103"/>
        <v>13702.53271791618</v>
      </c>
      <c r="M124" s="161">
        <f>M118+M7</f>
        <v>3402.6949999999997</v>
      </c>
      <c r="N124" s="161">
        <f>N118+N7</f>
        <v>4657.5119999999988</v>
      </c>
      <c r="O124" s="161">
        <f>O118+O7</f>
        <v>4706.3729999999996</v>
      </c>
      <c r="P124" s="161">
        <f>P118+P7</f>
        <v>5430.8475051095957</v>
      </c>
    </row>
    <row r="125" spans="2:16">
      <c r="B125" s="110"/>
      <c r="C125" s="110"/>
      <c r="D125" s="110"/>
      <c r="E125" s="161"/>
      <c r="F125" s="161"/>
      <c r="G125" s="87"/>
      <c r="H125" s="87"/>
      <c r="I125" s="87"/>
      <c r="J125" s="87"/>
      <c r="K125" s="87"/>
      <c r="M125" s="87"/>
      <c r="O125" s="87"/>
    </row>
    <row r="126" spans="2:16">
      <c r="B126" s="110" t="s">
        <v>103</v>
      </c>
      <c r="C126" s="110"/>
      <c r="D126" s="110"/>
      <c r="F126" s="104"/>
      <c r="G126" s="87"/>
      <c r="H126" s="87"/>
      <c r="I126" s="87"/>
      <c r="J126" s="87"/>
      <c r="K126" s="87"/>
      <c r="M126" s="87"/>
      <c r="O126" s="87"/>
    </row>
    <row r="127" spans="2:16">
      <c r="B127" s="77" t="s">
        <v>96</v>
      </c>
      <c r="C127" s="110"/>
      <c r="D127" s="110"/>
      <c r="E127" s="162">
        <f>E121/E98</f>
        <v>0.31444004119412206</v>
      </c>
      <c r="F127" s="162">
        <f>F121/F98</f>
        <v>0.27808103278747431</v>
      </c>
      <c r="G127" s="162">
        <f t="shared" ref="G127:K129" si="104">G121/G98</f>
        <v>0.28747080538261327</v>
      </c>
      <c r="H127" s="162">
        <f t="shared" si="104"/>
        <v>0.316</v>
      </c>
      <c r="I127" s="162">
        <f t="shared" si="104"/>
        <v>0.30499999999999999</v>
      </c>
      <c r="J127" s="162">
        <f t="shared" si="104"/>
        <v>0.30199999999999999</v>
      </c>
      <c r="K127" s="162">
        <f t="shared" si="104"/>
        <v>0.30199999999999999</v>
      </c>
      <c r="M127" s="162"/>
      <c r="O127" s="162"/>
    </row>
    <row r="128" spans="2:16">
      <c r="B128" s="77" t="s">
        <v>97</v>
      </c>
      <c r="C128" s="110"/>
      <c r="D128" s="110"/>
      <c r="E128" s="162">
        <f t="shared" ref="E128:F129" si="105">E122/E99</f>
        <v>0.18591307192543446</v>
      </c>
      <c r="F128" s="162">
        <f t="shared" si="105"/>
        <v>0.18792549843864204</v>
      </c>
      <c r="G128" s="162">
        <f t="shared" si="104"/>
        <v>0.22831168020072309</v>
      </c>
      <c r="H128" s="162">
        <f t="shared" si="104"/>
        <v>0.1992596341482743</v>
      </c>
      <c r="I128" s="162">
        <f t="shared" si="104"/>
        <v>0.1992596341482743</v>
      </c>
      <c r="J128" s="162">
        <f t="shared" si="104"/>
        <v>0.1992596341482743</v>
      </c>
      <c r="K128" s="162">
        <f t="shared" si="104"/>
        <v>0.1992596341482743</v>
      </c>
      <c r="M128" s="162"/>
      <c r="O128" s="162"/>
    </row>
    <row r="129" spans="2:16">
      <c r="B129" s="77" t="s">
        <v>98</v>
      </c>
      <c r="C129" s="110"/>
      <c r="D129" s="110"/>
      <c r="E129" s="162">
        <f t="shared" si="105"/>
        <v>0.71505535130510944</v>
      </c>
      <c r="F129" s="162">
        <f t="shared" si="105"/>
        <v>0.78215225948498446</v>
      </c>
      <c r="G129" s="162">
        <f t="shared" si="104"/>
        <v>0.79564130750915651</v>
      </c>
      <c r="H129" s="162">
        <f t="shared" si="104"/>
        <v>0.80400000000000005</v>
      </c>
      <c r="I129" s="162">
        <f t="shared" si="104"/>
        <v>0.80399999999999994</v>
      </c>
      <c r="J129" s="162">
        <f t="shared" si="104"/>
        <v>0.80400000000000005</v>
      </c>
      <c r="K129" s="162">
        <f t="shared" si="104"/>
        <v>0.80400000000000005</v>
      </c>
      <c r="M129" s="162"/>
      <c r="O129" s="162"/>
    </row>
    <row r="130" spans="2:16">
      <c r="B130" s="110" t="s">
        <v>101</v>
      </c>
      <c r="C130" s="110"/>
      <c r="D130" s="110"/>
      <c r="E130" s="163">
        <f t="shared" ref="E130:K130" si="106">E124/E7</f>
        <v>0.31338676334795551</v>
      </c>
      <c r="F130" s="163">
        <f t="shared" si="106"/>
        <v>0.28336453028847314</v>
      </c>
      <c r="G130" s="163">
        <f t="shared" si="106"/>
        <v>0.29547973608130834</v>
      </c>
      <c r="H130" s="163">
        <f t="shared" si="106"/>
        <v>0.32463038799101396</v>
      </c>
      <c r="I130" s="163">
        <f t="shared" si="106"/>
        <v>0.31353893300214175</v>
      </c>
      <c r="J130" s="163">
        <f t="shared" si="106"/>
        <v>0.3117386329894089</v>
      </c>
      <c r="K130" s="163">
        <f t="shared" si="106"/>
        <v>0.31219727724428037</v>
      </c>
      <c r="M130" s="163">
        <f t="shared" ref="M130:P130" si="107">M124/M7</f>
        <v>0.31869230969516493</v>
      </c>
      <c r="N130" s="163">
        <f t="shared" si="107"/>
        <v>0.32911046070399419</v>
      </c>
      <c r="O130" s="163">
        <f t="shared" si="107"/>
        <v>0.31639888619746309</v>
      </c>
      <c r="P130" s="163">
        <f t="shared" si="107"/>
        <v>0.3111019892598359</v>
      </c>
    </row>
    <row r="131" spans="2:16">
      <c r="B131" s="110"/>
      <c r="C131" s="110"/>
      <c r="D131" s="110"/>
      <c r="E131" s="163"/>
      <c r="F131" s="163"/>
      <c r="G131" s="163"/>
      <c r="H131" s="163"/>
      <c r="I131" s="163"/>
      <c r="J131" s="163"/>
      <c r="K131" s="163"/>
      <c r="M131" s="163"/>
      <c r="O131" s="163"/>
    </row>
    <row r="132" spans="2:16">
      <c r="B132" s="110" t="s">
        <v>104</v>
      </c>
      <c r="C132" s="110"/>
      <c r="D132" s="110"/>
      <c r="E132" s="163"/>
      <c r="F132" s="163"/>
      <c r="G132" s="163"/>
      <c r="H132" s="163"/>
      <c r="I132" s="163"/>
      <c r="J132" s="163"/>
      <c r="K132" s="163"/>
      <c r="M132" s="163"/>
      <c r="O132" s="163"/>
    </row>
    <row r="133" spans="2:16">
      <c r="B133" s="98" t="s">
        <v>105</v>
      </c>
      <c r="E133" s="99">
        <v>-6543.6350000000002</v>
      </c>
      <c r="F133" s="99">
        <v>-8994.0040000000008</v>
      </c>
      <c r="G133" s="99">
        <v>-13228.583000000001</v>
      </c>
      <c r="H133" s="155">
        <f>IFERROR(H$7*H141,"")</f>
        <v>-15291.488116131493</v>
      </c>
      <c r="I133" s="155">
        <f t="shared" ref="I133:K135" si="108">IFERROR(I$7*I141,"")</f>
        <v>-20429.547061769521</v>
      </c>
      <c r="J133" s="155">
        <f t="shared" si="108"/>
        <v>-23935.355255523147</v>
      </c>
      <c r="K133" s="155">
        <f t="shared" si="108"/>
        <v>-27733.396285050014</v>
      </c>
      <c r="M133" s="155">
        <f>IFERROR(M$7*M141,"")</f>
        <v>-6629.1181991813328</v>
      </c>
      <c r="N133" s="100">
        <f>H133-M133</f>
        <v>-8662.3699169501597</v>
      </c>
      <c r="O133" s="155">
        <f>IFERROR(O$7*O141,"")</f>
        <v>-9324.6490918602067</v>
      </c>
      <c r="P133" s="100">
        <f>I133-O133</f>
        <v>-11104.897969909314</v>
      </c>
    </row>
    <row r="134" spans="2:16">
      <c r="B134" s="98" t="s">
        <v>106</v>
      </c>
      <c r="E134" s="99">
        <v>-233.70599999999999</v>
      </c>
      <c r="F134" s="99">
        <v>-289.53100000000001</v>
      </c>
      <c r="G134" s="99">
        <v>-435.65300000000002</v>
      </c>
      <c r="H134" s="155">
        <f t="shared" ref="H134:J135" si="109">IFERROR(H$7*H142,"")</f>
        <v>-557.61016162798023</v>
      </c>
      <c r="I134" s="155">
        <f t="shared" si="109"/>
        <v>-726.10775022825135</v>
      </c>
      <c r="J134" s="155">
        <f t="shared" si="109"/>
        <v>-850.71132037111897</v>
      </c>
      <c r="K134" s="155">
        <f t="shared" si="108"/>
        <v>-985.70144124291642</v>
      </c>
      <c r="M134" s="155">
        <f t="shared" ref="M134:M135" si="110">IFERROR(M$7*M142,"")</f>
        <v>-239.78670183153181</v>
      </c>
      <c r="N134" s="100">
        <f>H134-M134</f>
        <v>-317.82345979644845</v>
      </c>
      <c r="O134" s="155">
        <f t="shared" ref="O134:O135" si="111">IFERROR(O$7*O142,"")</f>
        <v>-334.06044312260536</v>
      </c>
      <c r="P134" s="100">
        <f>I134-O134</f>
        <v>-392.04730710564598</v>
      </c>
    </row>
    <row r="135" spans="2:16">
      <c r="B135" s="98" t="s">
        <v>107</v>
      </c>
      <c r="E135" s="99">
        <v>-127.81</v>
      </c>
      <c r="F135" s="99">
        <v>-173.726</v>
      </c>
      <c r="G135" s="99">
        <v>-233.92699999999999</v>
      </c>
      <c r="H135" s="155">
        <f t="shared" si="109"/>
        <v>-286.08073000977959</v>
      </c>
      <c r="I135" s="155">
        <f t="shared" si="109"/>
        <v>-369.29490464407604</v>
      </c>
      <c r="J135" s="155">
        <f t="shared" si="109"/>
        <v>-428.87969262319746</v>
      </c>
      <c r="K135" s="155">
        <f t="shared" si="108"/>
        <v>-492.5448812029187</v>
      </c>
      <c r="M135" s="155">
        <f t="shared" si="110"/>
        <v>-123.02206707697809</v>
      </c>
      <c r="N135" s="100">
        <f>H135-M135</f>
        <v>-163.0586629328015</v>
      </c>
      <c r="O135" s="155">
        <f t="shared" si="111"/>
        <v>-169.90153245098963</v>
      </c>
      <c r="P135" s="100">
        <f>I135-O135</f>
        <v>-199.39337219308641</v>
      </c>
    </row>
    <row r="136" spans="2:16">
      <c r="B136" s="98" t="s">
        <v>108</v>
      </c>
      <c r="E136" s="99">
        <v>-35.567999999999998</v>
      </c>
      <c r="F136" s="99">
        <v>-57.512</v>
      </c>
      <c r="G136" s="99">
        <v>-75.268000000000001</v>
      </c>
      <c r="H136" s="155">
        <f>H138-SUM(H133:H135,H137)</f>
        <v>-155.34634831306539</v>
      </c>
      <c r="I136" s="155">
        <f>I138-SUM(I133:I135,I137)</f>
        <v>-62.986390814061451</v>
      </c>
      <c r="J136" s="155">
        <f t="shared" ref="J136:K136" si="112">J138-SUM(J133:J135,J137)</f>
        <v>-164.7182259576075</v>
      </c>
      <c r="K136" s="155">
        <f t="shared" si="112"/>
        <v>-197.05976014662156</v>
      </c>
      <c r="M136" s="155">
        <f>M138-SUM(M133:M135,M137)</f>
        <v>-76.818835284411762</v>
      </c>
      <c r="N136" s="100">
        <f>H136-M136</f>
        <v>-78.52751302865363</v>
      </c>
      <c r="O136" s="155">
        <f>O138-SUM(O133:O135,O137)</f>
        <v>-60.810940670955461</v>
      </c>
      <c r="P136" s="100">
        <f>I136-O136</f>
        <v>-2.1754501431059907</v>
      </c>
    </row>
    <row r="137" spans="2:16">
      <c r="B137" s="98" t="s">
        <v>109</v>
      </c>
      <c r="E137" s="99">
        <v>-166.405</v>
      </c>
      <c r="F137" s="99">
        <v>-213.96700000000001</v>
      </c>
      <c r="G137" s="99">
        <v>-330.06700000000001</v>
      </c>
      <c r="H137" s="155">
        <f t="shared" ref="H137:K137" si="113">IFERROR(H$7*H145,"")</f>
        <v>-478.14164391768338</v>
      </c>
      <c r="I137" s="155">
        <f t="shared" si="113"/>
        <v>-606.45977728917603</v>
      </c>
      <c r="J137" s="155">
        <f t="shared" si="113"/>
        <v>-691.59124344481961</v>
      </c>
      <c r="K137" s="155">
        <f t="shared" si="113"/>
        <v>-779.3870200100605</v>
      </c>
      <c r="M137" s="155">
        <f t="shared" ref="M137" si="114">IFERROR(M$7*M145,"")</f>
        <v>-205.61319662574618</v>
      </c>
      <c r="N137" s="100">
        <f>H137-M137</f>
        <v>-272.5284472919372</v>
      </c>
      <c r="O137" s="155">
        <f t="shared" ref="O137" si="115">IFERROR(O$7*O145,"")</f>
        <v>-279.01399189524335</v>
      </c>
      <c r="P137" s="100">
        <f>I137-O137</f>
        <v>-327.44578539393268</v>
      </c>
    </row>
    <row r="138" spans="2:16">
      <c r="B138" s="164" t="s">
        <v>101</v>
      </c>
      <c r="E138" s="161">
        <f>E118</f>
        <v>-7107.1239999999989</v>
      </c>
      <c r="F138" s="161">
        <f t="shared" ref="F138:K138" si="116">F118</f>
        <v>-9728.739999999998</v>
      </c>
      <c r="G138" s="161">
        <f t="shared" si="116"/>
        <v>-14303.498</v>
      </c>
      <c r="H138" s="161">
        <f t="shared" si="116"/>
        <v>-16768.667000000001</v>
      </c>
      <c r="I138" s="161">
        <f t="shared" si="116"/>
        <v>-22194.395884745085</v>
      </c>
      <c r="J138" s="161">
        <f t="shared" si="116"/>
        <v>-26071.255737919892</v>
      </c>
      <c r="K138" s="161">
        <f t="shared" si="116"/>
        <v>-30188.08938765253</v>
      </c>
      <c r="L138" s="161"/>
      <c r="M138" s="161">
        <f>M118</f>
        <v>-7274.3590000000004</v>
      </c>
      <c r="N138" s="161">
        <f>N118</f>
        <v>-9494.3080000000009</v>
      </c>
      <c r="O138" s="161">
        <f t="shared" ref="O138" si="117">O118</f>
        <v>-10168.436</v>
      </c>
      <c r="P138" s="161">
        <f>P118</f>
        <v>-12025.959884745087</v>
      </c>
    </row>
    <row r="139" spans="2:16">
      <c r="B139" s="164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</row>
    <row r="140" spans="2:16">
      <c r="B140" s="110" t="s">
        <v>110</v>
      </c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</row>
    <row r="141" spans="2:16">
      <c r="B141" s="98" t="s">
        <v>105</v>
      </c>
      <c r="E141" s="165">
        <f>IFERROR(E133/E$7,"")</f>
        <v>-0.63217504110236467</v>
      </c>
      <c r="F141" s="162">
        <f t="shared" ref="F141:G141" si="118">IFERROR(F133/F$7,"")</f>
        <v>-0.66251357124636401</v>
      </c>
      <c r="G141" s="162">
        <f t="shared" si="118"/>
        <v>-0.65157521512781824</v>
      </c>
      <c r="H141" s="166">
        <f>G141+3.57%</f>
        <v>-0.61587521512781829</v>
      </c>
      <c r="I141" s="166">
        <f>H141-1.6%</f>
        <v>-0.6318752151278183</v>
      </c>
      <c r="J141" s="166">
        <f>I141</f>
        <v>-0.6318752151278183</v>
      </c>
      <c r="K141" s="166">
        <f>J141</f>
        <v>-0.6318752151278183</v>
      </c>
      <c r="L141" s="163"/>
      <c r="M141" s="166">
        <f>H141-0.5%</f>
        <v>-0.62087521512781829</v>
      </c>
      <c r="N141" s="162">
        <f t="shared" ref="N141:N143" si="119">IFERROR(N133/N$7,"")</f>
        <v>-0.61210288973080207</v>
      </c>
      <c r="O141" s="166">
        <f>I141+0.5%</f>
        <v>-0.6268752151278183</v>
      </c>
      <c r="P141" s="162">
        <f t="shared" ref="P141:P143" si="120">IFERROR(P133/P$7,"")</f>
        <v>-0.63613567600929777</v>
      </c>
    </row>
    <row r="142" spans="2:16">
      <c r="B142" s="98" t="s">
        <v>106</v>
      </c>
      <c r="E142" s="165">
        <f t="shared" ref="E142:K145" si="121">IFERROR(E134/E$7,"")</f>
        <v>-2.2578138932851422E-2</v>
      </c>
      <c r="F142" s="162">
        <f t="shared" si="121"/>
        <v>-2.1327343950095085E-2</v>
      </c>
      <c r="G142" s="162">
        <f t="shared" si="121"/>
        <v>-2.1458133285785743E-2</v>
      </c>
      <c r="H142" s="166">
        <f>G142-0.1%</f>
        <v>-2.2458133285785744E-2</v>
      </c>
      <c r="I142" s="166">
        <f t="shared" ref="I142:K142" si="122">H142</f>
        <v>-2.2458133285785744E-2</v>
      </c>
      <c r="J142" s="166">
        <f t="shared" si="122"/>
        <v>-2.2458133285785744E-2</v>
      </c>
      <c r="K142" s="166">
        <f t="shared" si="122"/>
        <v>-2.2458133285785744E-2</v>
      </c>
      <c r="L142" s="163"/>
      <c r="M142" s="166">
        <f>H142</f>
        <v>-2.2458133285785744E-2</v>
      </c>
      <c r="N142" s="162">
        <f t="shared" si="119"/>
        <v>-2.2458133285785747E-2</v>
      </c>
      <c r="O142" s="166">
        <f>I142</f>
        <v>-2.2458133285785744E-2</v>
      </c>
      <c r="P142" s="162">
        <f t="shared" si="120"/>
        <v>-2.2458133285785744E-2</v>
      </c>
    </row>
    <row r="143" spans="2:16">
      <c r="B143" s="98" t="s">
        <v>107</v>
      </c>
      <c r="E143" s="165">
        <f t="shared" si="121"/>
        <v>-1.2347615966247082E-2</v>
      </c>
      <c r="F143" s="162">
        <f t="shared" si="121"/>
        <v>-1.2796951466593279E-2</v>
      </c>
      <c r="G143" s="162">
        <f t="shared" si="121"/>
        <v>-1.1522098424994206E-2</v>
      </c>
      <c r="H143" s="166">
        <f>G143</f>
        <v>-1.1522098424994206E-2</v>
      </c>
      <c r="I143" s="166">
        <f t="shared" ref="I143:K143" si="123">H143+0.01%</f>
        <v>-1.1422098424994207E-2</v>
      </c>
      <c r="J143" s="166">
        <f t="shared" si="123"/>
        <v>-1.1322098424994207E-2</v>
      </c>
      <c r="K143" s="166">
        <f t="shared" si="123"/>
        <v>-1.1222098424994208E-2</v>
      </c>
      <c r="L143" s="163"/>
      <c r="M143" s="166">
        <f>H143</f>
        <v>-1.1522098424994206E-2</v>
      </c>
      <c r="N143" s="162">
        <f t="shared" si="119"/>
        <v>-1.1522098424994206E-2</v>
      </c>
      <c r="O143" s="166">
        <f>I143</f>
        <v>-1.1422098424994207E-2</v>
      </c>
      <c r="P143" s="162">
        <f t="shared" si="120"/>
        <v>-1.1422098424994207E-2</v>
      </c>
    </row>
    <row r="144" spans="2:16">
      <c r="B144" s="98" t="s">
        <v>108</v>
      </c>
      <c r="E144" s="165">
        <f t="shared" si="121"/>
        <v>-3.436194387665098E-3</v>
      </c>
      <c r="F144" s="162">
        <f t="shared" si="121"/>
        <v>-4.2364313502107499E-3</v>
      </c>
      <c r="G144" s="162">
        <f t="shared" si="121"/>
        <v>-3.7073330750724111E-3</v>
      </c>
      <c r="H144" s="162">
        <f t="shared" si="121"/>
        <v>-6.2566811653667984E-3</v>
      </c>
      <c r="I144" s="162">
        <f t="shared" si="121"/>
        <v>-1.9481361542389795E-3</v>
      </c>
      <c r="J144" s="162">
        <f t="shared" si="121"/>
        <v>-4.3484361669718172E-3</v>
      </c>
      <c r="K144" s="162">
        <f t="shared" si="121"/>
        <v>-4.4897919121000378E-3</v>
      </c>
      <c r="L144" s="163"/>
      <c r="M144" s="162">
        <f t="shared" ref="M144:P145" si="124">IFERROR(M136/M$7,"")</f>
        <v>-7.1947594612157776E-3</v>
      </c>
      <c r="N144" s="162">
        <f t="shared" si="124"/>
        <v>-5.5489338494026652E-3</v>
      </c>
      <c r="O144" s="162">
        <f t="shared" si="124"/>
        <v>-4.0881829589176884E-3</v>
      </c>
      <c r="P144" s="162">
        <f t="shared" si="124"/>
        <v>-1.2461901506516536E-4</v>
      </c>
    </row>
    <row r="145" spans="2:16">
      <c r="B145" s="98" t="s">
        <v>109</v>
      </c>
      <c r="E145" s="165">
        <f t="shared" si="121"/>
        <v>-1.6076246262916403E-2</v>
      </c>
      <c r="F145" s="162">
        <f t="shared" si="121"/>
        <v>-1.5761171698263726E-2</v>
      </c>
      <c r="G145" s="162">
        <f t="shared" si="121"/>
        <v>-1.6257484005021066E-2</v>
      </c>
      <c r="H145" s="166">
        <f>G145-0.3%</f>
        <v>-1.9257484005021065E-2</v>
      </c>
      <c r="I145" s="166">
        <f t="shared" ref="I145:K145" si="125">H145+0.05%</f>
        <v>-1.8757484005021065E-2</v>
      </c>
      <c r="J145" s="166">
        <f t="shared" si="125"/>
        <v>-1.8257484005021064E-2</v>
      </c>
      <c r="K145" s="166">
        <f t="shared" si="125"/>
        <v>-1.7757484005021064E-2</v>
      </c>
      <c r="L145" s="163"/>
      <c r="M145" s="166">
        <f>H145</f>
        <v>-1.9257484005021065E-2</v>
      </c>
      <c r="N145" s="162">
        <f t="shared" si="124"/>
        <v>-1.9257484005021065E-2</v>
      </c>
      <c r="O145" s="166">
        <f>I145</f>
        <v>-1.8757484005021065E-2</v>
      </c>
      <c r="P145" s="162">
        <f t="shared" si="124"/>
        <v>-1.8757484005021061E-2</v>
      </c>
    </row>
    <row r="146" spans="2:16">
      <c r="B146" s="164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</row>
    <row r="147" spans="2:16">
      <c r="B147" s="147" t="s">
        <v>50</v>
      </c>
      <c r="C147" s="148"/>
      <c r="D147" s="148"/>
      <c r="E147" s="148"/>
      <c r="F147" s="148"/>
      <c r="G147" s="148"/>
      <c r="H147" s="148"/>
      <c r="I147" s="148"/>
      <c r="J147" s="148"/>
      <c r="K147" s="148"/>
      <c r="M147" s="148"/>
      <c r="N147" s="148"/>
      <c r="O147" s="148"/>
      <c r="P147" s="148"/>
    </row>
    <row r="148" spans="2:16">
      <c r="B148" s="98" t="s">
        <v>111</v>
      </c>
      <c r="E148" s="136">
        <v>79.441000000000003</v>
      </c>
      <c r="F148" s="136">
        <v>46.89</v>
      </c>
      <c r="G148" s="136">
        <v>115.821</v>
      </c>
      <c r="H148" s="136">
        <v>32.783999999999999</v>
      </c>
      <c r="I148" s="167">
        <f>I157*I7</f>
        <v>80.829040974636698</v>
      </c>
      <c r="J148" s="167">
        <f>J157*J7</f>
        <v>113.63963017926605</v>
      </c>
      <c r="K148" s="167">
        <f t="shared" ref="K148" si="126">K157*K7</f>
        <v>131.67186631670617</v>
      </c>
      <c r="M148" s="136">
        <f>M157*M7</f>
        <v>14.097962651709459</v>
      </c>
      <c r="N148" s="111">
        <f t="shared" ref="N148:N154" si="127">H148-M148</f>
        <v>18.68603734829054</v>
      </c>
      <c r="O148" s="136">
        <f>O157*O7</f>
        <v>37.187022499999998</v>
      </c>
      <c r="P148" s="111">
        <f t="shared" ref="P148:P154" si="128">I148-O148</f>
        <v>43.6420184746367</v>
      </c>
    </row>
    <row r="149" spans="2:16">
      <c r="B149" s="98" t="s">
        <v>112</v>
      </c>
      <c r="E149" s="136">
        <v>38.220999999999997</v>
      </c>
      <c r="F149" s="136">
        <v>44.322000000000003</v>
      </c>
      <c r="G149" s="136">
        <v>53.801000000000002</v>
      </c>
      <c r="H149" s="136">
        <v>107.015</v>
      </c>
      <c r="I149" s="111">
        <f>I343</f>
        <v>153.59067344036694</v>
      </c>
      <c r="J149" s="111">
        <f>J343</f>
        <v>196.913876622087</v>
      </c>
      <c r="K149" s="111">
        <f t="shared" ref="K149" si="129">K343</f>
        <v>277.53392365453658</v>
      </c>
      <c r="M149" s="168">
        <v>50</v>
      </c>
      <c r="N149" s="111">
        <f t="shared" si="127"/>
        <v>57.015000000000001</v>
      </c>
      <c r="O149" s="168">
        <v>70</v>
      </c>
      <c r="P149" s="111">
        <f t="shared" si="128"/>
        <v>83.590673440366942</v>
      </c>
    </row>
    <row r="150" spans="2:16">
      <c r="B150" s="98" t="s">
        <v>113</v>
      </c>
      <c r="E150" s="136">
        <v>25.998999999999999</v>
      </c>
      <c r="F150" s="136">
        <v>25.643999999999998</v>
      </c>
      <c r="G150" s="136">
        <v>53.332999999999998</v>
      </c>
      <c r="H150" s="136">
        <v>45.17</v>
      </c>
      <c r="I150" s="111">
        <f t="shared" ref="I150:K150" si="130">I348</f>
        <v>104.74929</v>
      </c>
      <c r="J150" s="111">
        <f t="shared" si="130"/>
        <v>104.74929</v>
      </c>
      <c r="K150" s="111">
        <f t="shared" si="130"/>
        <v>104.74929</v>
      </c>
      <c r="M150" s="168">
        <f>H150/2</f>
        <v>22.585000000000001</v>
      </c>
      <c r="N150" s="111">
        <f t="shared" si="127"/>
        <v>22.585000000000001</v>
      </c>
      <c r="O150" s="168">
        <f>I150/2</f>
        <v>52.374645000000001</v>
      </c>
      <c r="P150" s="111">
        <f t="shared" si="128"/>
        <v>52.374645000000001</v>
      </c>
    </row>
    <row r="151" spans="2:16">
      <c r="B151" s="98" t="s">
        <v>114</v>
      </c>
      <c r="E151" s="136">
        <v>-1.1559999999999999</v>
      </c>
      <c r="F151" s="136">
        <v>-0.30299999999999999</v>
      </c>
      <c r="G151" s="136">
        <v>0.19800000000000001</v>
      </c>
      <c r="H151" s="136">
        <v>-5.8360000000000003</v>
      </c>
      <c r="I151" s="169">
        <v>0</v>
      </c>
      <c r="J151" s="169">
        <v>0</v>
      </c>
      <c r="K151" s="169">
        <v>0</v>
      </c>
      <c r="M151" s="168">
        <f>H151/2</f>
        <v>-2.9180000000000001</v>
      </c>
      <c r="N151" s="111">
        <f t="shared" si="127"/>
        <v>-2.9180000000000001</v>
      </c>
      <c r="O151" s="168">
        <f>I151/2</f>
        <v>0</v>
      </c>
      <c r="P151" s="111">
        <f t="shared" si="128"/>
        <v>0</v>
      </c>
    </row>
    <row r="152" spans="2:16">
      <c r="B152" s="98" t="s">
        <v>115</v>
      </c>
      <c r="E152" s="136">
        <v>-0.99399999999999999</v>
      </c>
      <c r="F152" s="136">
        <v>-0.16300000000000001</v>
      </c>
      <c r="G152" s="136">
        <v>31.963000000000001</v>
      </c>
      <c r="H152" s="136">
        <v>5.62</v>
      </c>
      <c r="I152" s="169">
        <v>-10</v>
      </c>
      <c r="J152" s="169">
        <v>0</v>
      </c>
      <c r="K152" s="169">
        <v>0</v>
      </c>
      <c r="M152" s="168">
        <f>H152/2</f>
        <v>2.81</v>
      </c>
      <c r="N152" s="111">
        <f t="shared" si="127"/>
        <v>2.81</v>
      </c>
      <c r="O152" s="168">
        <v>-10</v>
      </c>
      <c r="P152" s="111">
        <f t="shared" si="128"/>
        <v>0</v>
      </c>
    </row>
    <row r="153" spans="2:16">
      <c r="B153" s="98" t="s">
        <v>116</v>
      </c>
      <c r="E153" s="136">
        <v>-35.463999999999999</v>
      </c>
      <c r="F153" s="136">
        <v>-11.461</v>
      </c>
      <c r="G153" s="136">
        <v>-41.152000000000001</v>
      </c>
      <c r="H153" s="136">
        <v>-14.108000000000001</v>
      </c>
      <c r="I153" s="170">
        <f t="shared" ref="I153:K154" si="131">H153</f>
        <v>-14.108000000000001</v>
      </c>
      <c r="J153" s="170">
        <f t="shared" si="131"/>
        <v>-14.108000000000001</v>
      </c>
      <c r="K153" s="170">
        <f t="shared" si="131"/>
        <v>-14.108000000000001</v>
      </c>
      <c r="M153" s="168">
        <f>H153/2</f>
        <v>-7.0540000000000003</v>
      </c>
      <c r="N153" s="111">
        <f t="shared" si="127"/>
        <v>-7.0540000000000003</v>
      </c>
      <c r="O153" s="168">
        <f>I153/2</f>
        <v>-7.0540000000000003</v>
      </c>
      <c r="P153" s="111">
        <f t="shared" si="128"/>
        <v>-7.0540000000000003</v>
      </c>
    </row>
    <row r="154" spans="2:16">
      <c r="B154" s="98" t="s">
        <v>109</v>
      </c>
      <c r="E154" s="136">
        <v>29.134</v>
      </c>
      <c r="F154" s="136">
        <v>22.986000000000001</v>
      </c>
      <c r="G154" s="136">
        <v>33.667999999999999</v>
      </c>
      <c r="H154" s="136">
        <v>48.902000000000001</v>
      </c>
      <c r="I154" s="170">
        <f t="shared" si="131"/>
        <v>48.902000000000001</v>
      </c>
      <c r="J154" s="170">
        <f t="shared" si="131"/>
        <v>48.902000000000001</v>
      </c>
      <c r="K154" s="170">
        <f t="shared" si="131"/>
        <v>48.902000000000001</v>
      </c>
      <c r="M154" s="111">
        <f>M155-SUM(M148:M153)</f>
        <v>1.3680373482905424</v>
      </c>
      <c r="N154" s="111">
        <f t="shared" si="127"/>
        <v>47.533962651709459</v>
      </c>
      <c r="O154" s="111">
        <f>O155-SUM(O148:O153)</f>
        <v>16.094332500000007</v>
      </c>
      <c r="P154" s="111">
        <f t="shared" si="128"/>
        <v>32.807667499999994</v>
      </c>
    </row>
    <row r="155" spans="2:16">
      <c r="B155" s="164" t="s">
        <v>101</v>
      </c>
      <c r="E155" s="171">
        <f>E23</f>
        <v>135.18100000000001</v>
      </c>
      <c r="F155" s="171">
        <f t="shared" ref="F155:H155" si="132">F23</f>
        <v>127.91500000000001</v>
      </c>
      <c r="G155" s="171">
        <f t="shared" si="132"/>
        <v>247.63200000000001</v>
      </c>
      <c r="H155" s="171">
        <f t="shared" si="132"/>
        <v>219.547</v>
      </c>
      <c r="I155" s="171">
        <f>SUM(I148:I154)</f>
        <v>363.96300441500364</v>
      </c>
      <c r="J155" s="171">
        <f>SUM(J148:J154)</f>
        <v>450.09679680135298</v>
      </c>
      <c r="K155" s="171">
        <f t="shared" ref="K155" si="133">SUM(K148:K154)</f>
        <v>548.74907997124274</v>
      </c>
      <c r="M155" s="171">
        <f>M23</f>
        <v>80.888999999999996</v>
      </c>
      <c r="N155" s="171">
        <f t="shared" ref="N155" si="134">SUM(N148:N154)</f>
        <v>138.65799999999999</v>
      </c>
      <c r="O155" s="171">
        <f>O23</f>
        <v>158.602</v>
      </c>
      <c r="P155" s="171">
        <f t="shared" ref="P155" si="135">SUM(P148:P154)</f>
        <v>205.36100441500366</v>
      </c>
    </row>
    <row r="156" spans="2:16">
      <c r="B156" s="164"/>
      <c r="E156" s="171"/>
      <c r="F156" s="171"/>
      <c r="G156" s="171"/>
      <c r="H156" s="171"/>
      <c r="I156" s="171"/>
      <c r="J156" s="171"/>
      <c r="K156" s="171"/>
      <c r="M156" s="171"/>
      <c r="O156" s="171"/>
    </row>
    <row r="157" spans="2:16">
      <c r="B157" s="98" t="s">
        <v>117</v>
      </c>
      <c r="E157" s="134">
        <f>E148/E7</f>
        <v>7.6747277988782918E-3</v>
      </c>
      <c r="F157" s="134">
        <f>F148/F7</f>
        <v>3.4539968356409453E-3</v>
      </c>
      <c r="G157" s="134">
        <f>G148/G7</f>
        <v>5.7047752575857162E-3</v>
      </c>
      <c r="H157" s="134">
        <f>H148/H7</f>
        <v>1.3203981783467104E-3</v>
      </c>
      <c r="I157" s="166">
        <v>2.5000000000000001E-3</v>
      </c>
      <c r="J157" s="166">
        <v>3.0000000000000001E-3</v>
      </c>
      <c r="K157" s="166">
        <f t="shared" ref="K157" si="136">J157</f>
        <v>3.0000000000000001E-3</v>
      </c>
      <c r="M157" s="172">
        <f>H157</f>
        <v>1.3203981783467104E-3</v>
      </c>
      <c r="N157" s="134">
        <f>N148/N7</f>
        <v>1.3203981783467102E-3</v>
      </c>
      <c r="O157" s="172">
        <f>I157</f>
        <v>2.5000000000000001E-3</v>
      </c>
      <c r="P157" s="134">
        <f>P148/P7</f>
        <v>2.4999999999999996E-3</v>
      </c>
    </row>
    <row r="158" spans="2:16">
      <c r="B158" s="164"/>
      <c r="E158" s="171"/>
      <c r="F158" s="171"/>
      <c r="G158" s="171"/>
      <c r="H158" s="171"/>
      <c r="I158" s="171"/>
      <c r="J158" s="171"/>
      <c r="K158" s="171"/>
      <c r="M158" s="171"/>
      <c r="O158" s="171"/>
    </row>
    <row r="159" spans="2:16">
      <c r="B159" s="147" t="s">
        <v>44</v>
      </c>
      <c r="C159" s="148"/>
      <c r="D159" s="148"/>
      <c r="E159" s="148"/>
      <c r="F159" s="148"/>
      <c r="G159" s="148"/>
      <c r="H159" s="148"/>
      <c r="I159" s="148"/>
      <c r="J159" s="148"/>
      <c r="K159" s="148"/>
      <c r="M159" s="173"/>
      <c r="N159" s="148"/>
      <c r="O159" s="173"/>
      <c r="P159" s="148"/>
    </row>
    <row r="160" spans="2:16">
      <c r="B160" s="98" t="s">
        <v>107</v>
      </c>
      <c r="E160" s="136">
        <v>-167.304</v>
      </c>
      <c r="F160" s="136">
        <v>-366.113</v>
      </c>
      <c r="G160" s="136">
        <v>-542.952</v>
      </c>
      <c r="H160" s="111">
        <f t="shared" ref="H160:K165" si="137">H178*H$7</f>
        <v>-664.00246453068621</v>
      </c>
      <c r="I160" s="111">
        <f t="shared" si="137"/>
        <v>-832.31786248398532</v>
      </c>
      <c r="J160" s="111">
        <f t="shared" si="137"/>
        <v>-956.20765858729658</v>
      </c>
      <c r="K160" s="111">
        <f t="shared" si="137"/>
        <v>-1085.9925341681255</v>
      </c>
      <c r="M160" s="111">
        <f t="shared" ref="M160:M161" si="138">M178*M$7</f>
        <v>-266.92635000000001</v>
      </c>
      <c r="N160" s="111">
        <f>H160-M160</f>
        <v>-397.0761145306862</v>
      </c>
      <c r="O160" s="111">
        <f t="shared" ref="O160:O161" si="139">O178*O$7</f>
        <v>-386.74503399999998</v>
      </c>
      <c r="P160" s="111">
        <f t="shared" ref="P160:P166" si="140">I160-O160</f>
        <v>-445.57282848398535</v>
      </c>
    </row>
    <row r="161" spans="2:16">
      <c r="B161" s="98" t="s">
        <v>118</v>
      </c>
      <c r="E161" s="136">
        <v>-53.183999999999997</v>
      </c>
      <c r="F161" s="136">
        <v>-69.921999999999997</v>
      </c>
      <c r="G161" s="136">
        <v>-246.35599999999999</v>
      </c>
      <c r="H161" s="111">
        <f t="shared" si="137"/>
        <v>-276.45188590496718</v>
      </c>
      <c r="I161" s="111">
        <f t="shared" si="137"/>
        <v>-359.98959619881566</v>
      </c>
      <c r="J161" s="111">
        <f t="shared" si="137"/>
        <v>-383.88565959500119</v>
      </c>
      <c r="K161" s="111">
        <f t="shared" si="137"/>
        <v>-422.8549859154121</v>
      </c>
      <c r="M161" s="111">
        <f t="shared" si="138"/>
        <v>-118.88141662039017</v>
      </c>
      <c r="N161" s="111">
        <f>H161-M161</f>
        <v>-157.57046928457703</v>
      </c>
      <c r="O161" s="111">
        <f t="shared" si="139"/>
        <v>-165.62043854772386</v>
      </c>
      <c r="P161" s="111">
        <f t="shared" si="140"/>
        <v>-194.3691576510918</v>
      </c>
    </row>
    <row r="162" spans="2:16">
      <c r="B162" s="98" t="s">
        <v>119</v>
      </c>
      <c r="E162" s="136">
        <v>-70.956999999999994</v>
      </c>
      <c r="F162" s="136">
        <v>-122.054</v>
      </c>
      <c r="G162" s="136">
        <v>-188.91200000000001</v>
      </c>
      <c r="H162" s="111">
        <f>H236-H134</f>
        <v>-220.95983837201982</v>
      </c>
      <c r="I162" s="111">
        <f t="shared" si="137"/>
        <v>-287.7290662399123</v>
      </c>
      <c r="J162" s="111">
        <f t="shared" si="137"/>
        <v>-337.10475307991186</v>
      </c>
      <c r="K162" s="111">
        <f t="shared" si="137"/>
        <v>-390.59623752949341</v>
      </c>
      <c r="M162" s="111">
        <f>M236-M134</f>
        <v>-91.433298168468212</v>
      </c>
      <c r="N162" s="111">
        <f>N236-N134</f>
        <v>-129.52654020355158</v>
      </c>
      <c r="O162" s="111">
        <f>O236-O134</f>
        <v>-133.61155687739466</v>
      </c>
      <c r="P162" s="111">
        <f t="shared" si="140"/>
        <v>-154.11750936251764</v>
      </c>
    </row>
    <row r="163" spans="2:16">
      <c r="B163" s="98" t="s">
        <v>120</v>
      </c>
      <c r="E163" s="136">
        <v>-47.039000000000001</v>
      </c>
      <c r="F163" s="136">
        <v>-87.596000000000004</v>
      </c>
      <c r="G163" s="136">
        <v>-141.429</v>
      </c>
      <c r="H163" s="111">
        <f t="shared" si="137"/>
        <v>-198.63099199999999</v>
      </c>
      <c r="I163" s="111">
        <f t="shared" si="137"/>
        <v>-252.18660784086651</v>
      </c>
      <c r="J163" s="111">
        <f t="shared" si="137"/>
        <v>-287.88706312080734</v>
      </c>
      <c r="K163" s="111">
        <f t="shared" si="137"/>
        <v>-324.79060358120859</v>
      </c>
      <c r="M163" s="111">
        <f t="shared" ref="M163:M164" si="141">M181*M$7</f>
        <v>-85.416432</v>
      </c>
      <c r="N163" s="111">
        <f>H163-M163</f>
        <v>-113.21455999999999</v>
      </c>
      <c r="O163" s="111">
        <f t="shared" ref="O163:O164" si="142">O181*O$7</f>
        <v>-116.0235102</v>
      </c>
      <c r="P163" s="111">
        <f t="shared" si="140"/>
        <v>-136.16309764086651</v>
      </c>
    </row>
    <row r="164" spans="2:16">
      <c r="B164" s="98" t="s">
        <v>121</v>
      </c>
      <c r="E164" s="136">
        <v>-39.457999999999998</v>
      </c>
      <c r="F164" s="136">
        <v>-93.245000000000005</v>
      </c>
      <c r="G164" s="136">
        <v>-127.548</v>
      </c>
      <c r="H164" s="111">
        <f t="shared" si="137"/>
        <v>-143.57022894829743</v>
      </c>
      <c r="I164" s="111">
        <f t="shared" si="137"/>
        <v>-186.95401037356595</v>
      </c>
      <c r="J164" s="111">
        <f t="shared" si="137"/>
        <v>-219.036214616325</v>
      </c>
      <c r="K164" s="111">
        <f t="shared" si="137"/>
        <v>-253.79268767402439</v>
      </c>
      <c r="M164" s="111">
        <f t="shared" si="141"/>
        <v>-61.73888865332092</v>
      </c>
      <c r="N164" s="111">
        <f>H164-M164</f>
        <v>-81.831340294976513</v>
      </c>
      <c r="O164" s="111">
        <f t="shared" si="142"/>
        <v>-86.011944548600752</v>
      </c>
      <c r="P164" s="111">
        <f t="shared" si="140"/>
        <v>-100.9420658249652</v>
      </c>
    </row>
    <row r="165" spans="2:16">
      <c r="B165" s="98" t="s">
        <v>109</v>
      </c>
      <c r="E165" s="136">
        <v>-27.824000000000002</v>
      </c>
      <c r="F165" s="136">
        <v>-35.500999999999998</v>
      </c>
      <c r="G165" s="136">
        <v>-71.391000000000005</v>
      </c>
      <c r="H165" s="111">
        <f>H166-SUM(H160:H164)</f>
        <v>-95.858590244029301</v>
      </c>
      <c r="I165" s="111">
        <f t="shared" si="137"/>
        <v>-92.493342141982964</v>
      </c>
      <c r="J165" s="111">
        <f t="shared" si="137"/>
        <v>-108.36564297021948</v>
      </c>
      <c r="K165" s="111">
        <f t="shared" si="137"/>
        <v>-125.56100747591155</v>
      </c>
      <c r="M165" s="111">
        <f>M166-SUM(M160:M164)</f>
        <v>-27.094614557820705</v>
      </c>
      <c r="N165" s="111">
        <f>N166-SUM(N160:N164)</f>
        <v>-68.763975686208596</v>
      </c>
      <c r="O165" s="111">
        <f>O166-SUM(O160:O164)</f>
        <v>-25.666515826280715</v>
      </c>
      <c r="P165" s="111">
        <f t="shared" si="140"/>
        <v>-66.826826315702249</v>
      </c>
    </row>
    <row r="166" spans="2:16">
      <c r="B166" s="164" t="s">
        <v>101</v>
      </c>
      <c r="E166" s="161">
        <f>E11</f>
        <v>-405.76600000000002</v>
      </c>
      <c r="F166" s="161">
        <f t="shared" ref="F166:H166" si="143">F11</f>
        <v>-774.43100000000004</v>
      </c>
      <c r="G166" s="161">
        <f t="shared" si="143"/>
        <v>-1318.588</v>
      </c>
      <c r="H166" s="161">
        <f t="shared" si="143"/>
        <v>-1599.4739999999999</v>
      </c>
      <c r="I166" s="161">
        <f t="shared" ref="I166:J166" si="144">SUM(I160:I165)</f>
        <v>-2011.670485279129</v>
      </c>
      <c r="J166" s="161">
        <f t="shared" si="144"/>
        <v>-2292.4869919695616</v>
      </c>
      <c r="K166" s="161">
        <f t="shared" ref="K166" si="145">SUM(K160:K165)</f>
        <v>-2603.5880563441756</v>
      </c>
      <c r="M166" s="161">
        <f t="shared" ref="M166:O166" si="146">M11</f>
        <v>-651.49099999999999</v>
      </c>
      <c r="N166" s="161">
        <f t="shared" si="146"/>
        <v>-947.98299999999995</v>
      </c>
      <c r="O166" s="161">
        <f t="shared" si="146"/>
        <v>-913.67899999999997</v>
      </c>
      <c r="P166" s="171">
        <f t="shared" si="140"/>
        <v>-1097.9914852791289</v>
      </c>
    </row>
    <row r="167" spans="2:16">
      <c r="B167" s="164"/>
      <c r="E167" s="171"/>
      <c r="F167" s="171"/>
    </row>
    <row r="168" spans="2:16">
      <c r="B168" s="164" t="s">
        <v>81</v>
      </c>
      <c r="E168" s="171"/>
      <c r="F168" s="171"/>
    </row>
    <row r="169" spans="2:16">
      <c r="B169" s="98" t="s">
        <v>107</v>
      </c>
      <c r="E169" s="171"/>
      <c r="F169" s="78">
        <f t="shared" ref="F169:K175" si="147">F160/E160-1</f>
        <v>1.188309902931191</v>
      </c>
      <c r="G169" s="78">
        <f t="shared" si="147"/>
        <v>0.48301753830101646</v>
      </c>
      <c r="H169" s="78">
        <f t="shared" si="147"/>
        <v>0.22294874046082569</v>
      </c>
      <c r="I169" s="78">
        <f t="shared" si="147"/>
        <v>0.25348610426056717</v>
      </c>
      <c r="J169" s="78">
        <f t="shared" si="147"/>
        <v>0.1488491376762866</v>
      </c>
      <c r="K169" s="78">
        <f t="shared" si="147"/>
        <v>0.13572875558492536</v>
      </c>
      <c r="M169" s="78"/>
      <c r="O169" s="78"/>
    </row>
    <row r="170" spans="2:16">
      <c r="B170" s="98" t="s">
        <v>118</v>
      </c>
      <c r="E170" s="171"/>
      <c r="F170" s="78">
        <f t="shared" si="147"/>
        <v>0.31471871239470528</v>
      </c>
      <c r="G170" s="78">
        <f t="shared" si="147"/>
        <v>2.5232973885186349</v>
      </c>
      <c r="H170" s="78">
        <f t="shared" si="147"/>
        <v>0.12216420913217951</v>
      </c>
      <c r="I170" s="78">
        <f t="shared" si="147"/>
        <v>0.3021781168914337</v>
      </c>
      <c r="J170" s="78">
        <f t="shared" si="147"/>
        <v>6.6379872219940905E-2</v>
      </c>
      <c r="K170" s="78">
        <f t="shared" si="147"/>
        <v>0.10151284724082554</v>
      </c>
      <c r="M170" s="78"/>
      <c r="O170" s="78"/>
    </row>
    <row r="171" spans="2:16">
      <c r="B171" s="98" t="s">
        <v>119</v>
      </c>
      <c r="E171" s="171"/>
      <c r="F171" s="78">
        <f t="shared" si="147"/>
        <v>0.7201121806164299</v>
      </c>
      <c r="G171" s="78">
        <f t="shared" si="147"/>
        <v>0.5477739361266325</v>
      </c>
      <c r="H171" s="78">
        <f t="shared" si="147"/>
        <v>0.16964427019998629</v>
      </c>
      <c r="I171" s="78">
        <f t="shared" si="147"/>
        <v>0.3021781168914337</v>
      </c>
      <c r="J171" s="78">
        <f t="shared" si="147"/>
        <v>0.17160479295765496</v>
      </c>
      <c r="K171" s="78">
        <f t="shared" si="147"/>
        <v>0.15867911668661994</v>
      </c>
      <c r="M171" s="78"/>
      <c r="O171" s="78"/>
    </row>
    <row r="172" spans="2:16">
      <c r="B172" s="98" t="s">
        <v>120</v>
      </c>
      <c r="E172" s="171"/>
      <c r="F172" s="78">
        <f t="shared" si="147"/>
        <v>0.86219945151895239</v>
      </c>
      <c r="G172" s="78">
        <f t="shared" si="147"/>
        <v>0.61456002557194389</v>
      </c>
      <c r="H172" s="78">
        <f t="shared" si="147"/>
        <v>0.40445730366473631</v>
      </c>
      <c r="I172" s="78">
        <f t="shared" si="147"/>
        <v>0.26962366396914805</v>
      </c>
      <c r="J172" s="78">
        <f t="shared" si="147"/>
        <v>0.14156364442027924</v>
      </c>
      <c r="K172" s="78">
        <f t="shared" si="147"/>
        <v>0.12818756098434081</v>
      </c>
      <c r="M172" s="78"/>
      <c r="O172" s="78"/>
    </row>
    <row r="173" spans="2:16">
      <c r="B173" s="98" t="s">
        <v>121</v>
      </c>
      <c r="E173" s="171"/>
      <c r="F173" s="78">
        <f t="shared" si="147"/>
        <v>1.3631456231942827</v>
      </c>
      <c r="G173" s="78">
        <f t="shared" si="147"/>
        <v>0.36788031529840737</v>
      </c>
      <c r="H173" s="78">
        <f t="shared" si="147"/>
        <v>0.12561724957112164</v>
      </c>
      <c r="I173" s="78">
        <f t="shared" si="147"/>
        <v>0.3021781168914337</v>
      </c>
      <c r="J173" s="78">
        <f t="shared" si="147"/>
        <v>0.17160479295765496</v>
      </c>
      <c r="K173" s="78">
        <f t="shared" si="147"/>
        <v>0.15867911668662016</v>
      </c>
      <c r="M173" s="78"/>
      <c r="O173" s="78"/>
    </row>
    <row r="174" spans="2:16">
      <c r="B174" s="98" t="s">
        <v>109</v>
      </c>
      <c r="E174" s="171"/>
      <c r="F174" s="78">
        <f t="shared" si="147"/>
        <v>0.27591288096607225</v>
      </c>
      <c r="G174" s="78">
        <f t="shared" si="147"/>
        <v>1.0109574378186532</v>
      </c>
      <c r="H174" s="78">
        <f t="shared" si="147"/>
        <v>0.34272653757517468</v>
      </c>
      <c r="I174" s="78">
        <f t="shared" si="147"/>
        <v>-3.5106380069635401E-2</v>
      </c>
      <c r="J174" s="78">
        <f t="shared" si="147"/>
        <v>0.17160479295765474</v>
      </c>
      <c r="K174" s="78">
        <f t="shared" si="147"/>
        <v>0.15867911668662016</v>
      </c>
      <c r="M174" s="78"/>
      <c r="O174" s="78"/>
    </row>
    <row r="175" spans="2:16">
      <c r="B175" s="164" t="s">
        <v>101</v>
      </c>
      <c r="E175" s="171"/>
      <c r="F175" s="93">
        <f t="shared" si="147"/>
        <v>0.9085655279151037</v>
      </c>
      <c r="G175" s="93">
        <f t="shared" si="147"/>
        <v>0.70265394851187502</v>
      </c>
      <c r="H175" s="93">
        <f t="shared" si="147"/>
        <v>0.21302029140262158</v>
      </c>
      <c r="I175" s="93">
        <f t="shared" si="147"/>
        <v>0.25770752464818369</v>
      </c>
      <c r="J175" s="93">
        <f t="shared" si="147"/>
        <v>0.13959369029141366</v>
      </c>
      <c r="K175" s="93">
        <f t="shared" si="147"/>
        <v>0.13570461488522367</v>
      </c>
      <c r="M175" s="93"/>
      <c r="O175" s="93"/>
    </row>
    <row r="176" spans="2:16">
      <c r="B176" s="164"/>
      <c r="E176" s="171"/>
      <c r="F176" s="171"/>
    </row>
    <row r="177" spans="2:16">
      <c r="B177" s="164" t="s">
        <v>122</v>
      </c>
      <c r="E177" s="171"/>
      <c r="F177" s="171"/>
    </row>
    <row r="178" spans="2:16">
      <c r="B178" s="98" t="s">
        <v>107</v>
      </c>
      <c r="E178" s="104">
        <f t="shared" ref="E178:H183" si="148">E160/E$7</f>
        <v>-1.6163097892316732E-2</v>
      </c>
      <c r="F178" s="104">
        <f t="shared" si="148"/>
        <v>-2.6968503806504871E-2</v>
      </c>
      <c r="G178" s="104">
        <f t="shared" si="148"/>
        <v>-2.6743156557590419E-2</v>
      </c>
      <c r="H178" s="149">
        <f>G178</f>
        <v>-2.6743156557590419E-2</v>
      </c>
      <c r="I178" s="149">
        <f>H178+0.1%</f>
        <v>-2.5743156557590418E-2</v>
      </c>
      <c r="J178" s="149">
        <f>I178+0.05%</f>
        <v>-2.5243156557590418E-2</v>
      </c>
      <c r="K178" s="149">
        <f>J178+0.05%</f>
        <v>-2.4743156557590417E-2</v>
      </c>
      <c r="M178" s="149">
        <v>-2.5000000000000001E-2</v>
      </c>
      <c r="N178" s="104">
        <f t="shared" ref="N178:N179" si="149">N160/N$7</f>
        <v>-2.8058307308225106E-2</v>
      </c>
      <c r="O178" s="149">
        <v>-2.5999999999999999E-2</v>
      </c>
      <c r="P178" s="104">
        <f t="shared" ref="P178:P183" si="150">P160/P$7</f>
        <v>-2.5524302269780298E-2</v>
      </c>
    </row>
    <row r="179" spans="2:16">
      <c r="B179" s="98" t="s">
        <v>118</v>
      </c>
      <c r="E179" s="104">
        <f t="shared" si="148"/>
        <v>-5.1380612436341816E-3</v>
      </c>
      <c r="F179" s="104">
        <f t="shared" si="148"/>
        <v>-5.150572973804354E-3</v>
      </c>
      <c r="G179" s="104">
        <f t="shared" si="148"/>
        <v>-1.2134290097286216E-2</v>
      </c>
      <c r="H179" s="149">
        <f>G179+0.1%</f>
        <v>-1.1134290097286215E-2</v>
      </c>
      <c r="I179" s="149">
        <f>H179</f>
        <v>-1.1134290097286215E-2</v>
      </c>
      <c r="J179" s="149">
        <f>I179+0.1%</f>
        <v>-1.0134290097286214E-2</v>
      </c>
      <c r="K179" s="149">
        <f>J179+0.05%</f>
        <v>-9.634290097286214E-3</v>
      </c>
      <c r="M179" s="149">
        <f>H179</f>
        <v>-1.1134290097286215E-2</v>
      </c>
      <c r="N179" s="104">
        <f t="shared" si="149"/>
        <v>-1.1134290097286217E-2</v>
      </c>
      <c r="O179" s="149">
        <f>I179</f>
        <v>-1.1134290097286215E-2</v>
      </c>
      <c r="P179" s="104">
        <f t="shared" si="150"/>
        <v>-1.1134290097286214E-2</v>
      </c>
    </row>
    <row r="180" spans="2:16">
      <c r="B180" s="98" t="s">
        <v>119</v>
      </c>
      <c r="E180" s="104">
        <f t="shared" si="148"/>
        <v>-6.8550957367732894E-3</v>
      </c>
      <c r="F180" s="104">
        <f t="shared" si="148"/>
        <v>-8.9907044098383442E-3</v>
      </c>
      <c r="G180" s="104">
        <f t="shared" si="148"/>
        <v>-9.3048799739341992E-3</v>
      </c>
      <c r="H180" s="104">
        <f>H162/H$7</f>
        <v>-8.8993096655136193E-3</v>
      </c>
      <c r="I180" s="149">
        <f t="shared" ref="I180:J180" si="151">H180</f>
        <v>-8.8993096655136193E-3</v>
      </c>
      <c r="J180" s="149">
        <f t="shared" si="151"/>
        <v>-8.8993096655136193E-3</v>
      </c>
      <c r="K180" s="149">
        <f t="shared" ref="K180" si="152">J180</f>
        <v>-8.8993096655136193E-3</v>
      </c>
      <c r="M180" s="104">
        <f>M162/M$7</f>
        <v>-8.5635324283709919E-3</v>
      </c>
      <c r="N180" s="104">
        <f>N162/N$7</f>
        <v>-9.152641865396223E-3</v>
      </c>
      <c r="O180" s="104">
        <f>O162/O$7</f>
        <v>-8.982404875074004E-3</v>
      </c>
      <c r="P180" s="104">
        <f t="shared" si="150"/>
        <v>-8.8285048875595441E-3</v>
      </c>
    </row>
    <row r="181" spans="2:16">
      <c r="B181" s="98" t="s">
        <v>120</v>
      </c>
      <c r="E181" s="104">
        <f t="shared" si="148"/>
        <v>-4.5443979926163558E-3</v>
      </c>
      <c r="F181" s="104">
        <f t="shared" si="148"/>
        <v>-6.4524697550608712E-3</v>
      </c>
      <c r="G181" s="104">
        <f t="shared" si="148"/>
        <v>-6.9660999292450445E-3</v>
      </c>
      <c r="H181" s="149">
        <v>-8.0000000000000002E-3</v>
      </c>
      <c r="I181" s="149">
        <f>H181+0.02%</f>
        <v>-7.8000000000000005E-3</v>
      </c>
      <c r="J181" s="149">
        <f>I181+0.02%</f>
        <v>-7.6000000000000009E-3</v>
      </c>
      <c r="K181" s="149">
        <f t="shared" ref="K181" si="153">J181+0.02%</f>
        <v>-7.4000000000000012E-3</v>
      </c>
      <c r="M181" s="149">
        <f>H181</f>
        <v>-8.0000000000000002E-3</v>
      </c>
      <c r="N181" s="104">
        <f t="shared" ref="N181:O183" si="154">N163/N$7</f>
        <v>-8.0000000000000002E-3</v>
      </c>
      <c r="O181" s="149">
        <f>I181</f>
        <v>-7.8000000000000005E-3</v>
      </c>
      <c r="P181" s="104">
        <f t="shared" si="150"/>
        <v>-7.7999999999999988E-3</v>
      </c>
    </row>
    <row r="182" spans="2:16">
      <c r="B182" s="98" t="s">
        <v>121</v>
      </c>
      <c r="E182" s="104">
        <f t="shared" si="148"/>
        <v>-3.8120039965274808E-3</v>
      </c>
      <c r="F182" s="104">
        <f t="shared" si="148"/>
        <v>-6.868584664946469E-3</v>
      </c>
      <c r="G182" s="104">
        <f t="shared" si="148"/>
        <v>-6.2823898477352381E-3</v>
      </c>
      <c r="H182" s="149">
        <f t="shared" ref="H182" si="155">G182+0.05%</f>
        <v>-5.7823898477352385E-3</v>
      </c>
      <c r="I182" s="149">
        <f>H182</f>
        <v>-5.7823898477352385E-3</v>
      </c>
      <c r="J182" s="149">
        <f t="shared" ref="J182:K182" si="156">I182</f>
        <v>-5.7823898477352385E-3</v>
      </c>
      <c r="K182" s="149">
        <f t="shared" si="156"/>
        <v>-5.7823898477352385E-3</v>
      </c>
      <c r="M182" s="149">
        <f>H182</f>
        <v>-5.7823898477352385E-3</v>
      </c>
      <c r="N182" s="104">
        <f t="shared" si="154"/>
        <v>-5.7823898477352394E-3</v>
      </c>
      <c r="O182" s="149">
        <f>I182</f>
        <v>-5.7823898477352385E-3</v>
      </c>
      <c r="P182" s="104">
        <f t="shared" si="150"/>
        <v>-5.7823898477352377E-3</v>
      </c>
    </row>
    <row r="183" spans="2:16">
      <c r="B183" s="98" t="s">
        <v>109</v>
      </c>
      <c r="E183" s="104">
        <f t="shared" si="148"/>
        <v>-2.688053099482504E-3</v>
      </c>
      <c r="F183" s="104">
        <f t="shared" si="148"/>
        <v>-2.6150638017080228E-3</v>
      </c>
      <c r="G183" s="104">
        <f t="shared" si="148"/>
        <v>-3.5163710416444508E-3</v>
      </c>
      <c r="H183" s="104">
        <f t="shared" si="148"/>
        <v>-3.8607707399066628E-3</v>
      </c>
      <c r="I183" s="149">
        <f>H183+0.1%</f>
        <v>-2.8607707399066627E-3</v>
      </c>
      <c r="J183" s="149">
        <f>I183</f>
        <v>-2.8607707399066627E-3</v>
      </c>
      <c r="K183" s="149">
        <f>J183</f>
        <v>-2.8607707399066627E-3</v>
      </c>
      <c r="M183" s="104">
        <f t="shared" ref="M183" si="157">M165/M$7</f>
        <v>-2.5376489205562419E-3</v>
      </c>
      <c r="N183" s="104">
        <f t="shared" si="154"/>
        <v>-4.8590199484030037E-3</v>
      </c>
      <c r="O183" s="104">
        <f t="shared" si="154"/>
        <v>-1.7255022115766809E-3</v>
      </c>
      <c r="P183" s="104">
        <f t="shared" si="150"/>
        <v>-3.8281241708916251E-3</v>
      </c>
    </row>
    <row r="184" spans="2:16">
      <c r="B184" s="164" t="s">
        <v>101</v>
      </c>
      <c r="E184" s="174">
        <f t="shared" ref="E184:J184" si="158">SUM(E178:E183)</f>
        <v>-3.9200709961350541E-2</v>
      </c>
      <c r="F184" s="174">
        <f t="shared" si="158"/>
        <v>-5.704589941186293E-2</v>
      </c>
      <c r="G184" s="174">
        <f t="shared" si="158"/>
        <v>-6.4947187447435564E-2</v>
      </c>
      <c r="H184" s="174">
        <f t="shared" si="158"/>
        <v>-6.4419916908032157E-2</v>
      </c>
      <c r="I184" s="174">
        <f t="shared" si="158"/>
        <v>-6.221991690803215E-2</v>
      </c>
      <c r="J184" s="174">
        <f t="shared" si="158"/>
        <v>-6.0519916908032156E-2</v>
      </c>
      <c r="K184" s="174">
        <f t="shared" ref="K184" si="159">SUM(K178:K183)</f>
        <v>-5.931991690803215E-2</v>
      </c>
      <c r="M184" s="174">
        <f t="shared" ref="M184:P184" si="160">SUM(M178:M183)</f>
        <v>-6.1017861293948684E-2</v>
      </c>
      <c r="N184" s="174">
        <f t="shared" si="160"/>
        <v>-6.6986649067045795E-2</v>
      </c>
      <c r="O184" s="174">
        <f t="shared" si="160"/>
        <v>-6.1424587031672147E-2</v>
      </c>
      <c r="P184" s="174">
        <f t="shared" si="160"/>
        <v>-6.2897611273252926E-2</v>
      </c>
    </row>
    <row r="185" spans="2:16">
      <c r="B185" s="164"/>
      <c r="E185" s="171"/>
      <c r="F185" s="171"/>
    </row>
    <row r="186" spans="2:16">
      <c r="B186" s="147" t="s">
        <v>45</v>
      </c>
      <c r="C186" s="148"/>
      <c r="D186" s="148"/>
      <c r="E186" s="148"/>
      <c r="F186" s="148"/>
      <c r="G186" s="148"/>
      <c r="H186" s="148"/>
      <c r="I186" s="148"/>
      <c r="J186" s="148"/>
      <c r="K186" s="148"/>
      <c r="M186" s="173"/>
      <c r="N186" s="148"/>
      <c r="O186" s="173"/>
      <c r="P186" s="148"/>
    </row>
    <row r="187" spans="2:16">
      <c r="B187" s="98" t="s">
        <v>107</v>
      </c>
      <c r="E187" s="136">
        <v>-232.947</v>
      </c>
      <c r="F187" s="136">
        <v>-277.73899999999998</v>
      </c>
      <c r="G187" s="136">
        <v>-329.47500000000002</v>
      </c>
      <c r="H187" s="111">
        <f>H282-H160-H135-H217</f>
        <v>-411.01074645953429</v>
      </c>
      <c r="I187" s="111">
        <f t="shared" ref="I187:K191" si="161">I207*I$7</f>
        <v>-599.87243262652817</v>
      </c>
      <c r="J187" s="111">
        <f t="shared" si="161"/>
        <v>-664.93354050198627</v>
      </c>
      <c r="K187" s="111">
        <f t="shared" si="161"/>
        <v>-726.55398525857959</v>
      </c>
      <c r="L187" s="111"/>
      <c r="M187" s="111">
        <f>M282-M160-M135-M217</f>
        <v>-178.69042092302197</v>
      </c>
      <c r="N187" s="111">
        <f>N282-N160-N135-N217</f>
        <v>-232.32032553651234</v>
      </c>
      <c r="O187" s="111">
        <f>O282-O160-O135-O217</f>
        <v>-311.38581554901032</v>
      </c>
      <c r="P187" s="111">
        <f t="shared" ref="P187:P193" si="162">I187-O187</f>
        <v>-288.48661707751785</v>
      </c>
    </row>
    <row r="188" spans="2:16">
      <c r="B188" s="98" t="s">
        <v>123</v>
      </c>
      <c r="E188" s="136">
        <v>-46.744999999999997</v>
      </c>
      <c r="F188" s="136">
        <v>-85.225999999999999</v>
      </c>
      <c r="G188" s="136">
        <v>-89.807000000000002</v>
      </c>
      <c r="H188" s="111">
        <f t="shared" ref="H188:J191" si="163">H208*H$7</f>
        <v>-81.935284199999998</v>
      </c>
      <c r="I188" s="111">
        <f t="shared" si="163"/>
        <v>-90.528525891593105</v>
      </c>
      <c r="J188" s="111">
        <f t="shared" si="163"/>
        <v>-98.487679488697239</v>
      </c>
      <c r="K188" s="111">
        <f t="shared" si="161"/>
        <v>-105.33749305336492</v>
      </c>
      <c r="L188" s="111"/>
      <c r="M188" s="111">
        <f t="shared" ref="M188:M191" si="164">M208*M$7</f>
        <v>-21.354108</v>
      </c>
      <c r="N188" s="111">
        <f>H188-M188</f>
        <v>-60.581176200000002</v>
      </c>
      <c r="O188" s="111">
        <f t="shared" ref="O188:O191" si="165">O208*O$7</f>
        <v>-29.749617999999998</v>
      </c>
      <c r="P188" s="111">
        <f t="shared" si="162"/>
        <v>-60.778907891593107</v>
      </c>
    </row>
    <row r="189" spans="2:16">
      <c r="B189" s="98" t="s">
        <v>124</v>
      </c>
      <c r="E189" s="136">
        <v>-28.248999999999999</v>
      </c>
      <c r="F189" s="136">
        <v>-40.594000000000001</v>
      </c>
      <c r="G189" s="136">
        <v>-49.664000000000001</v>
      </c>
      <c r="H189" s="111">
        <f>H209*H$7</f>
        <v>-74.486621999999997</v>
      </c>
      <c r="I189" s="111">
        <f t="shared" si="163"/>
        <v>-90.528525891593105</v>
      </c>
      <c r="J189" s="111">
        <f t="shared" si="163"/>
        <v>-98.487679488697239</v>
      </c>
      <c r="K189" s="111">
        <f t="shared" si="161"/>
        <v>-105.33749305336492</v>
      </c>
      <c r="L189" s="111"/>
      <c r="M189" s="111">
        <f t="shared" si="164"/>
        <v>-21.354108</v>
      </c>
      <c r="N189" s="111">
        <f>H189-M189</f>
        <v>-53.132514</v>
      </c>
      <c r="O189" s="111">
        <f t="shared" si="165"/>
        <v>-29.749617999999998</v>
      </c>
      <c r="P189" s="111">
        <f t="shared" si="162"/>
        <v>-60.778907891593107</v>
      </c>
    </row>
    <row r="190" spans="2:16">
      <c r="B190" s="98" t="s">
        <v>125</v>
      </c>
      <c r="E190" s="136">
        <v>-19.356999999999999</v>
      </c>
      <c r="F190" s="136">
        <v>-23.088000000000001</v>
      </c>
      <c r="G190" s="136">
        <v>-48.09</v>
      </c>
      <c r="H190" s="111">
        <f t="shared" si="163"/>
        <v>-51.362942728761126</v>
      </c>
      <c r="I190" s="111">
        <f t="shared" si="163"/>
        <v>-60.417376762569781</v>
      </c>
      <c r="J190" s="111">
        <f t="shared" si="163"/>
        <v>-63.209312847670795</v>
      </c>
      <c r="K190" s="111">
        <f t="shared" si="161"/>
        <v>-64.461186355593682</v>
      </c>
      <c r="L190" s="111"/>
      <c r="M190" s="111">
        <f t="shared" si="164"/>
        <v>-22.087385562224444</v>
      </c>
      <c r="N190" s="111">
        <f>H190-M190</f>
        <v>-29.275557166536682</v>
      </c>
      <c r="O190" s="111">
        <f t="shared" si="165"/>
        <v>-27.796226727045585</v>
      </c>
      <c r="P190" s="111">
        <f t="shared" si="162"/>
        <v>-32.621150035524195</v>
      </c>
    </row>
    <row r="191" spans="2:16">
      <c r="B191" s="98" t="s">
        <v>121</v>
      </c>
      <c r="E191" s="136">
        <v>-14.159000000000001</v>
      </c>
      <c r="F191" s="136">
        <v>-19.309999999999999</v>
      </c>
      <c r="G191" s="136">
        <v>-29.065999999999999</v>
      </c>
      <c r="H191" s="111">
        <f t="shared" si="163"/>
        <v>-35.546228090234365</v>
      </c>
      <c r="I191" s="111">
        <f t="shared" si="163"/>
        <v>-46.287520357134767</v>
      </c>
      <c r="J191" s="111">
        <f t="shared" si="163"/>
        <v>-54.23068070454412</v>
      </c>
      <c r="K191" s="111">
        <f t="shared" si="161"/>
        <v>-62.835957216055313</v>
      </c>
      <c r="L191" s="111"/>
      <c r="M191" s="111">
        <f t="shared" si="164"/>
        <v>-15.285791728442828</v>
      </c>
      <c r="N191" s="111">
        <f>H191-M191</f>
        <v>-20.260436361791538</v>
      </c>
      <c r="O191" s="111">
        <f t="shared" si="165"/>
        <v>-21.295502708365706</v>
      </c>
      <c r="P191" s="111">
        <f t="shared" si="162"/>
        <v>-24.99201764876906</v>
      </c>
    </row>
    <row r="192" spans="2:16">
      <c r="B192" s="98" t="s">
        <v>126</v>
      </c>
      <c r="E192" s="136"/>
      <c r="F192" s="136"/>
      <c r="G192" s="136">
        <v>-10.9</v>
      </c>
      <c r="H192" s="136">
        <f>H249</f>
        <v>-59.069000000000003</v>
      </c>
      <c r="I192" s="170">
        <f>O192</f>
        <v>-3.9649999999999999</v>
      </c>
      <c r="J192" s="175"/>
      <c r="K192" s="175"/>
      <c r="L192" s="111"/>
      <c r="M192" s="136">
        <f>M249</f>
        <v>-9.1790000000000003</v>
      </c>
      <c r="N192" s="136">
        <f>N249</f>
        <v>-49.89</v>
      </c>
      <c r="O192" s="136">
        <f>O249</f>
        <v>-3.9649999999999999</v>
      </c>
      <c r="P192" s="111">
        <f t="shared" si="162"/>
        <v>0</v>
      </c>
    </row>
    <row r="193" spans="2:16">
      <c r="B193" s="98" t="s">
        <v>109</v>
      </c>
      <c r="E193" s="136">
        <v>-33.207999999999998</v>
      </c>
      <c r="F193" s="136">
        <v>-50.548999999999999</v>
      </c>
      <c r="G193" s="136">
        <v>-53.62</v>
      </c>
      <c r="H193" s="111">
        <f>H194-SUM(H187:H192)</f>
        <v>-41.704176521470345</v>
      </c>
      <c r="I193" s="111">
        <f t="shared" ref="I193:K193" si="166">I213*I$7</f>
        <v>-51.073104410250728</v>
      </c>
      <c r="J193" s="111">
        <f t="shared" si="166"/>
        <v>-52.261518572992095</v>
      </c>
      <c r="K193" s="111">
        <f t="shared" si="166"/>
        <v>-51.776205755742126</v>
      </c>
      <c r="L193" s="111"/>
      <c r="M193" s="111">
        <f>M194-SUM(M187:M192)</f>
        <v>-11.564185786310759</v>
      </c>
      <c r="N193" s="111">
        <f t="shared" ref="N193:O193" si="167">N194-SUM(N187:N192)</f>
        <v>-30.139990735159472</v>
      </c>
      <c r="O193" s="111">
        <f t="shared" si="167"/>
        <v>-13.708219015578436</v>
      </c>
      <c r="P193" s="111">
        <f t="shared" si="162"/>
        <v>-37.364885394672292</v>
      </c>
    </row>
    <row r="194" spans="2:16">
      <c r="B194" s="164" t="s">
        <v>101</v>
      </c>
      <c r="E194" s="171">
        <f>E13</f>
        <v>-374.66500000000002</v>
      </c>
      <c r="F194" s="171">
        <f t="shared" ref="F194:H194" si="168">F13</f>
        <v>-496.50599999999997</v>
      </c>
      <c r="G194" s="171">
        <f t="shared" si="168"/>
        <v>-610.62199999999996</v>
      </c>
      <c r="H194" s="171">
        <f t="shared" si="168"/>
        <v>-755.11500000000001</v>
      </c>
      <c r="I194" s="171">
        <f t="shared" ref="I194:J194" si="169">SUM(I187:I193)</f>
        <v>-942.67248593966963</v>
      </c>
      <c r="J194" s="171">
        <f t="shared" si="169"/>
        <v>-1031.6104116045879</v>
      </c>
      <c r="K194" s="171">
        <f t="shared" ref="K194" si="170">SUM(K187:K193)</f>
        <v>-1116.3023206927005</v>
      </c>
      <c r="L194" s="111"/>
      <c r="M194" s="171">
        <f t="shared" ref="M194:O194" si="171">M13</f>
        <v>-279.51499999999999</v>
      </c>
      <c r="N194" s="171">
        <f t="shared" si="171"/>
        <v>-475.6</v>
      </c>
      <c r="O194" s="171">
        <f t="shared" si="171"/>
        <v>-437.65</v>
      </c>
      <c r="P194" s="171">
        <f t="shared" ref="P194" si="172">SUM(P187:P193)</f>
        <v>-505.02248593966959</v>
      </c>
    </row>
    <row r="195" spans="2:16">
      <c r="B195" s="164"/>
      <c r="E195" s="171"/>
      <c r="F195" s="17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</row>
    <row r="196" spans="2:16">
      <c r="B196" s="164" t="s">
        <v>81</v>
      </c>
      <c r="E196" s="171"/>
      <c r="F196" s="17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</row>
    <row r="197" spans="2:16">
      <c r="B197" s="98" t="s">
        <v>107</v>
      </c>
      <c r="E197" s="171"/>
      <c r="F197" s="78">
        <f>F187/E187-1</f>
        <v>0.19228408178684409</v>
      </c>
      <c r="G197" s="78">
        <f t="shared" ref="G197:K202" si="173">G187/F187-1</f>
        <v>0.18627560407432897</v>
      </c>
      <c r="H197" s="78">
        <f t="shared" si="173"/>
        <v>0.24747172459074052</v>
      </c>
      <c r="I197" s="78">
        <f t="shared" si="173"/>
        <v>0.45950546985415164</v>
      </c>
      <c r="J197" s="78">
        <f t="shared" si="173"/>
        <v>0.10845823934697174</v>
      </c>
      <c r="K197" s="78">
        <f t="shared" si="173"/>
        <v>9.2671584456505807E-2</v>
      </c>
      <c r="L197" s="111"/>
      <c r="M197" s="78"/>
      <c r="N197" s="111"/>
      <c r="O197" s="78"/>
      <c r="P197" s="111"/>
    </row>
    <row r="198" spans="2:16">
      <c r="B198" s="98" t="s">
        <v>123</v>
      </c>
      <c r="E198" s="171"/>
      <c r="F198" s="78">
        <f>F188/E188-1</f>
        <v>0.82321103861375566</v>
      </c>
      <c r="G198" s="78">
        <f t="shared" si="173"/>
        <v>5.3751202684626742E-2</v>
      </c>
      <c r="H198" s="78">
        <f t="shared" si="173"/>
        <v>-8.7651472602358393E-2</v>
      </c>
      <c r="I198" s="78">
        <f t="shared" si="173"/>
        <v>0.10487840221091349</v>
      </c>
      <c r="J198" s="78">
        <f t="shared" si="173"/>
        <v>8.7918736317822432E-2</v>
      </c>
      <c r="K198" s="78">
        <f t="shared" si="173"/>
        <v>6.95499538645723E-2</v>
      </c>
      <c r="L198" s="111"/>
      <c r="M198" s="78"/>
      <c r="N198" s="111"/>
      <c r="O198" s="78"/>
      <c r="P198" s="111"/>
    </row>
    <row r="199" spans="2:16">
      <c r="B199" s="98" t="s">
        <v>124</v>
      </c>
      <c r="E199" s="171"/>
      <c r="F199" s="78">
        <f>F189/E189-1</f>
        <v>0.43700661970335242</v>
      </c>
      <c r="G199" s="78">
        <f t="shared" si="173"/>
        <v>0.22343203429078184</v>
      </c>
      <c r="H199" s="78">
        <f t="shared" si="173"/>
        <v>0.49981117106958761</v>
      </c>
      <c r="I199" s="78">
        <f t="shared" si="173"/>
        <v>0.21536624243200486</v>
      </c>
      <c r="J199" s="78">
        <f t="shared" si="173"/>
        <v>8.7918736317822432E-2</v>
      </c>
      <c r="K199" s="78">
        <f t="shared" si="173"/>
        <v>6.95499538645723E-2</v>
      </c>
      <c r="L199" s="111"/>
      <c r="M199" s="78"/>
      <c r="N199" s="111"/>
      <c r="O199" s="78"/>
      <c r="P199" s="111"/>
    </row>
    <row r="200" spans="2:16">
      <c r="B200" s="98" t="s">
        <v>125</v>
      </c>
      <c r="E200" s="171"/>
      <c r="F200" s="78">
        <f>F190/E190-1</f>
        <v>0.19274680993955684</v>
      </c>
      <c r="G200" s="78">
        <f t="shared" si="173"/>
        <v>1.0829002079002081</v>
      </c>
      <c r="H200" s="78">
        <f t="shared" si="173"/>
        <v>6.805869679270371E-2</v>
      </c>
      <c r="I200" s="78">
        <f t="shared" si="173"/>
        <v>0.17628339718819386</v>
      </c>
      <c r="J200" s="78">
        <f t="shared" si="173"/>
        <v>4.6210812761250164E-2</v>
      </c>
      <c r="K200" s="78">
        <f t="shared" si="173"/>
        <v>1.9805206725467706E-2</v>
      </c>
      <c r="L200" s="111"/>
      <c r="M200" s="78"/>
      <c r="N200" s="111"/>
      <c r="O200" s="78"/>
      <c r="P200" s="111"/>
    </row>
    <row r="201" spans="2:16">
      <c r="B201" s="98" t="s">
        <v>121</v>
      </c>
      <c r="E201" s="171"/>
      <c r="F201" s="78">
        <f>F191/E191-1</f>
        <v>0.36379687831061491</v>
      </c>
      <c r="G201" s="78">
        <f t="shared" si="173"/>
        <v>0.5052304505437597</v>
      </c>
      <c r="H201" s="78">
        <f t="shared" si="173"/>
        <v>0.22294874046082591</v>
      </c>
      <c r="I201" s="78">
        <f t="shared" si="173"/>
        <v>0.3021781168914337</v>
      </c>
      <c r="J201" s="78">
        <f t="shared" si="173"/>
        <v>0.17160479295765496</v>
      </c>
      <c r="K201" s="78">
        <f t="shared" si="173"/>
        <v>0.15867911668662016</v>
      </c>
      <c r="L201" s="111"/>
      <c r="M201" s="78"/>
      <c r="N201" s="111"/>
      <c r="O201" s="78"/>
      <c r="P201" s="111"/>
    </row>
    <row r="202" spans="2:16">
      <c r="B202" s="98" t="s">
        <v>126</v>
      </c>
      <c r="E202" s="171"/>
      <c r="F202" s="78"/>
      <c r="G202" s="78"/>
      <c r="H202" s="78">
        <f t="shared" si="173"/>
        <v>4.4191743119266054</v>
      </c>
      <c r="I202" s="78">
        <f t="shared" si="173"/>
        <v>-0.93287511215696894</v>
      </c>
      <c r="J202" s="78"/>
      <c r="K202" s="78"/>
      <c r="L202" s="111"/>
      <c r="M202" s="78"/>
      <c r="N202" s="111"/>
      <c r="O202" s="78"/>
      <c r="P202" s="111"/>
    </row>
    <row r="203" spans="2:16">
      <c r="B203" s="98" t="s">
        <v>109</v>
      </c>
      <c r="E203" s="171"/>
      <c r="F203" s="78">
        <f t="shared" ref="F203:K204" si="174">F193/E193-1</f>
        <v>0.52219344736208151</v>
      </c>
      <c r="G203" s="78">
        <f t="shared" si="174"/>
        <v>6.07529327978793E-2</v>
      </c>
      <c r="H203" s="78">
        <f t="shared" si="174"/>
        <v>-0.22222721892073205</v>
      </c>
      <c r="I203" s="78">
        <f t="shared" si="174"/>
        <v>0.2246520293706562</v>
      </c>
      <c r="J203" s="78">
        <f t="shared" si="174"/>
        <v>2.3268884405288848E-2</v>
      </c>
      <c r="K203" s="78">
        <f t="shared" si="174"/>
        <v>-9.2862364221610871E-3</v>
      </c>
      <c r="L203" s="111"/>
      <c r="M203" s="78"/>
      <c r="N203" s="111"/>
      <c r="O203" s="78"/>
      <c r="P203" s="111"/>
    </row>
    <row r="204" spans="2:16">
      <c r="B204" s="164" t="s">
        <v>101</v>
      </c>
      <c r="E204" s="171"/>
      <c r="F204" s="93">
        <f>F194/E194-1</f>
        <v>0.32519984519504086</v>
      </c>
      <c r="G204" s="93">
        <f t="shared" si="174"/>
        <v>0.22983810870362098</v>
      </c>
      <c r="H204" s="93">
        <f t="shared" si="174"/>
        <v>0.23663248294362149</v>
      </c>
      <c r="I204" s="93">
        <f t="shared" si="174"/>
        <v>0.24838267805522296</v>
      </c>
      <c r="J204" s="93">
        <f t="shared" si="174"/>
        <v>9.4346580590249918E-2</v>
      </c>
      <c r="K204" s="93">
        <f t="shared" si="174"/>
        <v>8.2096795588153304E-2</v>
      </c>
      <c r="L204" s="111"/>
      <c r="M204" s="93"/>
      <c r="N204" s="111"/>
      <c r="O204" s="93"/>
      <c r="P204" s="111"/>
    </row>
    <row r="205" spans="2:16">
      <c r="B205" s="164"/>
      <c r="E205" s="171"/>
      <c r="F205" s="17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</row>
    <row r="206" spans="2:16">
      <c r="B206" s="164" t="s">
        <v>127</v>
      </c>
      <c r="E206" s="171"/>
      <c r="F206" s="17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</row>
    <row r="207" spans="2:16">
      <c r="B207" s="98" t="s">
        <v>107</v>
      </c>
      <c r="E207" s="104">
        <f>E187/E$7</f>
        <v>-2.2504812585003982E-2</v>
      </c>
      <c r="F207" s="104">
        <f>F187/F$7</f>
        <v>-2.0458725253445945E-2</v>
      </c>
      <c r="G207" s="104">
        <f>G187/G$7</f>
        <v>-1.6228324984182956E-2</v>
      </c>
      <c r="H207" s="104">
        <f>H187/H$7</f>
        <v>-1.6553740876832927E-2</v>
      </c>
      <c r="I207" s="149">
        <f>H207-0.2%</f>
        <v>-1.8553740876832925E-2</v>
      </c>
      <c r="J207" s="149">
        <f>I207+0.1%</f>
        <v>-1.7553740876832924E-2</v>
      </c>
      <c r="K207" s="149">
        <f>J207+0.1%</f>
        <v>-1.6553740876832923E-2</v>
      </c>
      <c r="L207" s="111"/>
      <c r="M207" s="104">
        <f>M187/M$7</f>
        <v>-1.6735929304377589E-2</v>
      </c>
      <c r="N207" s="104">
        <f>N187/N$7</f>
        <v>-1.6416286070379101E-2</v>
      </c>
      <c r="O207" s="104">
        <f>O187/O$7</f>
        <v>-2.0933769001606026E-2</v>
      </c>
      <c r="P207" s="104">
        <f>P187/P$7</f>
        <v>-1.652573753234951E-2</v>
      </c>
    </row>
    <row r="208" spans="2:16">
      <c r="B208" s="98" t="s">
        <v>123</v>
      </c>
      <c r="E208" s="104">
        <f t="shared" ref="E208:G211" si="175">E188/E$7</f>
        <v>-4.5159949013552914E-3</v>
      </c>
      <c r="F208" s="104">
        <f t="shared" si="175"/>
        <v>-6.2778915400796588E-3</v>
      </c>
      <c r="G208" s="104">
        <f t="shared" si="175"/>
        <v>-4.4234530142029556E-3</v>
      </c>
      <c r="H208" s="149">
        <v>-3.3E-3</v>
      </c>
      <c r="I208" s="149">
        <f>H208+0.05%</f>
        <v>-2.8E-3</v>
      </c>
      <c r="J208" s="149">
        <f t="shared" ref="I208:K210" si="176">I208+0.02%</f>
        <v>-2.5999999999999999E-3</v>
      </c>
      <c r="K208" s="149">
        <f t="shared" si="176"/>
        <v>-2.3999999999999998E-3</v>
      </c>
      <c r="L208" s="111"/>
      <c r="M208" s="149">
        <v>-2E-3</v>
      </c>
      <c r="N208" s="104">
        <f t="shared" ref="N208:N210" si="177">N188/N$7</f>
        <v>-4.280804603224179E-3</v>
      </c>
      <c r="O208" s="149">
        <v>-2E-3</v>
      </c>
      <c r="P208" s="104">
        <f t="shared" ref="P208:P210" si="178">P188/P$7</f>
        <v>-3.481673741036737E-3</v>
      </c>
    </row>
    <row r="209" spans="2:16">
      <c r="B209" s="98" t="s">
        <v>124</v>
      </c>
      <c r="E209" s="104">
        <f t="shared" si="175"/>
        <v>-2.729111989910913E-3</v>
      </c>
      <c r="F209" s="104">
        <f t="shared" si="175"/>
        <v>-2.9902228096824169E-3</v>
      </c>
      <c r="G209" s="126">
        <f t="shared" si="175"/>
        <v>-2.4462054238241515E-3</v>
      </c>
      <c r="H209" s="149">
        <v>-3.0000000000000001E-3</v>
      </c>
      <c r="I209" s="149">
        <f t="shared" si="176"/>
        <v>-2.8E-3</v>
      </c>
      <c r="J209" s="149">
        <f t="shared" si="176"/>
        <v>-2.5999999999999999E-3</v>
      </c>
      <c r="K209" s="149">
        <f t="shared" si="176"/>
        <v>-2.3999999999999998E-3</v>
      </c>
      <c r="L209" s="111"/>
      <c r="M209" s="149">
        <v>-2E-3</v>
      </c>
      <c r="N209" s="126">
        <f t="shared" si="177"/>
        <v>-3.7544650794032147E-3</v>
      </c>
      <c r="O209" s="149">
        <v>-2E-3</v>
      </c>
      <c r="P209" s="126">
        <f t="shared" si="178"/>
        <v>-3.481673741036737E-3</v>
      </c>
    </row>
    <row r="210" spans="2:16">
      <c r="B210" s="98" t="s">
        <v>125</v>
      </c>
      <c r="E210" s="104">
        <f t="shared" si="175"/>
        <v>-1.8700633929946385E-3</v>
      </c>
      <c r="F210" s="104">
        <f t="shared" si="175"/>
        <v>-1.7007011930321636E-3</v>
      </c>
      <c r="G210" s="104">
        <f t="shared" si="175"/>
        <v>-2.3686778920687713E-3</v>
      </c>
      <c r="H210" s="149">
        <f t="shared" ref="H210" si="179">G210+0.03%</f>
        <v>-2.0686778920687714E-3</v>
      </c>
      <c r="I210" s="149">
        <f t="shared" si="176"/>
        <v>-1.8686778920687713E-3</v>
      </c>
      <c r="J210" s="149">
        <f t="shared" si="176"/>
        <v>-1.6686778920687712E-3</v>
      </c>
      <c r="K210" s="149">
        <f t="shared" si="176"/>
        <v>-1.4686778920687711E-3</v>
      </c>
      <c r="L210" s="111"/>
      <c r="M210" s="149">
        <f>H210</f>
        <v>-2.0686778920687714E-3</v>
      </c>
      <c r="N210" s="104">
        <f t="shared" si="177"/>
        <v>-2.0686778920687714E-3</v>
      </c>
      <c r="O210" s="149">
        <f>I210</f>
        <v>-1.8686778920687713E-3</v>
      </c>
      <c r="P210" s="104">
        <f t="shared" si="178"/>
        <v>-1.8686778920687711E-3</v>
      </c>
    </row>
    <row r="211" spans="2:16">
      <c r="B211" s="98" t="s">
        <v>121</v>
      </c>
      <c r="E211" s="104">
        <f t="shared" si="175"/>
        <v>-1.3678890107667039E-3</v>
      </c>
      <c r="F211" s="104">
        <f t="shared" si="175"/>
        <v>-1.4224073127794125E-3</v>
      </c>
      <c r="G211" s="104">
        <f>G191/G$7</f>
        <v>-1.4316488170278831E-3</v>
      </c>
      <c r="H211" s="149">
        <f t="shared" ref="H211:K211" si="180">G211</f>
        <v>-1.4316488170278831E-3</v>
      </c>
      <c r="I211" s="149">
        <f t="shared" si="180"/>
        <v>-1.4316488170278831E-3</v>
      </c>
      <c r="J211" s="149">
        <f t="shared" si="180"/>
        <v>-1.4316488170278831E-3</v>
      </c>
      <c r="K211" s="149">
        <f t="shared" si="180"/>
        <v>-1.4316488170278831E-3</v>
      </c>
      <c r="L211" s="111"/>
      <c r="M211" s="149">
        <f>H211</f>
        <v>-1.4316488170278831E-3</v>
      </c>
      <c r="N211" s="104">
        <f>N191/N$7</f>
        <v>-1.4316488170278833E-3</v>
      </c>
      <c r="O211" s="149">
        <f>I211</f>
        <v>-1.4316488170278831E-3</v>
      </c>
      <c r="P211" s="104">
        <f>P191/P$7</f>
        <v>-1.4316488170278828E-3</v>
      </c>
    </row>
    <row r="212" spans="2:16">
      <c r="B212" s="98" t="s">
        <v>126</v>
      </c>
      <c r="E212" s="104"/>
      <c r="F212" s="104"/>
      <c r="G212" s="104">
        <f>G192/G$7</f>
        <v>-5.3688062016114791E-4</v>
      </c>
      <c r="H212" s="104">
        <f>H192/H$7</f>
        <v>-2.3790446558309493E-3</v>
      </c>
      <c r="I212" s="104">
        <f>I192/I$7</f>
        <v>-1.2263537808286551E-4</v>
      </c>
      <c r="J212" s="104">
        <f t="shared" ref="J212:K212" si="181">J192/J$7</f>
        <v>0</v>
      </c>
      <c r="K212" s="104">
        <f t="shared" si="181"/>
        <v>0</v>
      </c>
      <c r="L212" s="111"/>
      <c r="M212" s="104">
        <f t="shared" ref="M212:N213" si="182">M192/M$7</f>
        <v>-8.5969406916926714E-4</v>
      </c>
      <c r="N212" s="104">
        <f>N192/N$7</f>
        <v>-3.5253416168379756E-3</v>
      </c>
      <c r="O212" s="104">
        <f t="shared" ref="O212:P213" si="183">O192/O$7</f>
        <v>-2.6655804454363079E-4</v>
      </c>
      <c r="P212" s="104">
        <f>P192/P$7</f>
        <v>0</v>
      </c>
    </row>
    <row r="213" spans="2:16">
      <c r="B213" s="98" t="s">
        <v>109</v>
      </c>
      <c r="E213" s="104">
        <f t="shared" ref="E213:H213" si="184">E193/E$7</f>
        <v>-3.2081967843449891E-3</v>
      </c>
      <c r="F213" s="104">
        <f t="shared" si="184"/>
        <v>-3.7235249742975929E-3</v>
      </c>
      <c r="G213" s="104">
        <f t="shared" si="184"/>
        <v>-2.641058610370711E-3</v>
      </c>
      <c r="H213" s="104">
        <f t="shared" si="184"/>
        <v>-1.6796644310761071E-3</v>
      </c>
      <c r="I213" s="149">
        <f t="shared" ref="I213" si="185">H213+0.01%</f>
        <v>-1.579664431076107E-3</v>
      </c>
      <c r="J213" s="149">
        <f>I213+0.02%</f>
        <v>-1.3796644310761069E-3</v>
      </c>
      <c r="K213" s="149">
        <f t="shared" ref="K213" si="186">J213+0.02%</f>
        <v>-1.1796644310761069E-3</v>
      </c>
      <c r="L213" s="111"/>
      <c r="M213" s="104">
        <f t="shared" si="182"/>
        <v>-1.083087693132465E-3</v>
      </c>
      <c r="N213" s="104">
        <f t="shared" si="182"/>
        <v>-2.1297607470388597E-3</v>
      </c>
      <c r="O213" s="104">
        <f t="shared" si="183"/>
        <v>-9.2157277552797057E-4</v>
      </c>
      <c r="P213" s="104">
        <f t="shared" si="183"/>
        <v>-2.1404191820543041E-3</v>
      </c>
    </row>
    <row r="214" spans="2:16">
      <c r="B214" s="164" t="s">
        <v>101</v>
      </c>
      <c r="E214" s="174">
        <f t="shared" ref="E214:J214" si="187">SUM(E207:E213)</f>
        <v>-3.6196068664376517E-2</v>
      </c>
      <c r="F214" s="174">
        <f t="shared" si="187"/>
        <v>-3.6573473083317189E-2</v>
      </c>
      <c r="G214" s="174">
        <f t="shared" ref="G214" si="188">SUM(G207:G213)</f>
        <v>-3.0076249361838579E-2</v>
      </c>
      <c r="H214" s="174">
        <f>SUM(H207:H213)</f>
        <v>-3.0412776672836636E-2</v>
      </c>
      <c r="I214" s="174">
        <f t="shared" si="187"/>
        <v>-2.9156367395088555E-2</v>
      </c>
      <c r="J214" s="174">
        <f t="shared" si="187"/>
        <v>-2.7233732017005682E-2</v>
      </c>
      <c r="K214" s="174">
        <f t="shared" ref="K214" si="189">SUM(K207:K213)</f>
        <v>-2.5433732017005682E-2</v>
      </c>
      <c r="L214" s="111"/>
      <c r="M214" s="174">
        <f t="shared" ref="M214:P214" si="190">SUM(M207:M213)</f>
        <v>-2.617903777577598E-2</v>
      </c>
      <c r="N214" s="174">
        <f t="shared" si="190"/>
        <v>-3.3606984825979985E-2</v>
      </c>
      <c r="O214" s="174">
        <f t="shared" si="190"/>
        <v>-2.9422226530774285E-2</v>
      </c>
      <c r="P214" s="174">
        <f t="shared" si="190"/>
        <v>-2.8929830905573942E-2</v>
      </c>
    </row>
    <row r="215" spans="2:16">
      <c r="B215" s="164"/>
      <c r="E215" s="171"/>
      <c r="F215" s="17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</row>
    <row r="216" spans="2:16">
      <c r="B216" s="147" t="s">
        <v>46</v>
      </c>
      <c r="C216" s="148"/>
      <c r="D216" s="148"/>
      <c r="E216" s="148"/>
      <c r="F216" s="148"/>
      <c r="G216" s="148"/>
      <c r="H216" s="148"/>
      <c r="I216" s="148"/>
      <c r="J216" s="148"/>
      <c r="K216" s="148"/>
      <c r="M216" s="173"/>
      <c r="N216" s="148"/>
      <c r="O216" s="173"/>
      <c r="P216" s="148"/>
    </row>
    <row r="217" spans="2:16">
      <c r="B217" s="98" t="s">
        <v>107</v>
      </c>
      <c r="E217" s="136">
        <v>-12.715999999999999</v>
      </c>
      <c r="F217" s="136">
        <v>-22.695</v>
      </c>
      <c r="G217" s="136">
        <v>-61.892000000000003</v>
      </c>
      <c r="H217" s="111">
        <f>H229*H$7</f>
        <v>-86.901059000000004</v>
      </c>
      <c r="I217" s="111">
        <f t="shared" ref="I217:K219" si="191">I229*I$7</f>
        <v>-80.829040974636698</v>
      </c>
      <c r="J217" s="111">
        <f t="shared" si="191"/>
        <v>-87.123716470770631</v>
      </c>
      <c r="K217" s="111">
        <f t="shared" si="191"/>
        <v>-92.170306421694306</v>
      </c>
      <c r="L217" s="111"/>
      <c r="M217" s="111">
        <f t="shared" ref="M217:M218" si="192">M229*M$7</f>
        <v>-32.031162000000002</v>
      </c>
      <c r="N217" s="111">
        <f>H217-M217</f>
        <v>-54.869897000000002</v>
      </c>
      <c r="O217" s="111">
        <f t="shared" ref="O217:O218" si="193">O229*O$7</f>
        <v>-29.749617999999998</v>
      </c>
      <c r="P217" s="111">
        <f>I217-O217</f>
        <v>-51.079422974636699</v>
      </c>
    </row>
    <row r="218" spans="2:16">
      <c r="B218" s="98" t="s">
        <v>128</v>
      </c>
      <c r="E218" s="136">
        <v>-3.077</v>
      </c>
      <c r="F218" s="136">
        <v>-7.3010000000000002</v>
      </c>
      <c r="G218" s="136">
        <v>-14.488</v>
      </c>
      <c r="H218" s="111">
        <f t="shared" ref="H218:J219" si="194">H230*H$7</f>
        <v>-17.718081351796442</v>
      </c>
      <c r="I218" s="111">
        <f t="shared" si="194"/>
        <v>-23.07209780961152</v>
      </c>
      <c r="J218" s="111">
        <f t="shared" si="194"/>
        <v>-27.03138037732867</v>
      </c>
      <c r="K218" s="111">
        <f t="shared" si="191"/>
        <v>-31.320695938423217</v>
      </c>
      <c r="L218" s="111"/>
      <c r="M218" s="111">
        <f t="shared" si="192"/>
        <v>-7.6192303915805288</v>
      </c>
      <c r="N218" s="111">
        <f>H218-M218</f>
        <v>-10.098850960215913</v>
      </c>
      <c r="O218" s="111">
        <f t="shared" si="193"/>
        <v>-10.614781643115748</v>
      </c>
      <c r="P218" s="111">
        <f>I218-O218</f>
        <v>-12.457316166495772</v>
      </c>
    </row>
    <row r="219" spans="2:16">
      <c r="B219" s="98" t="s">
        <v>109</v>
      </c>
      <c r="E219" s="136">
        <v>-1.3580000000000001</v>
      </c>
      <c r="F219" s="136">
        <v>-2.3079999999999998</v>
      </c>
      <c r="G219" s="136">
        <v>-8.6199999999999992</v>
      </c>
      <c r="H219" s="111">
        <f>H220-SUM(H217:H218)</f>
        <v>-0.25085964820355855</v>
      </c>
      <c r="I219" s="111">
        <f t="shared" si="194"/>
        <v>-0.32666394430175744</v>
      </c>
      <c r="J219" s="111">
        <f t="shared" si="194"/>
        <v>-0.38272104283039143</v>
      </c>
      <c r="K219" s="111">
        <f t="shared" si="191"/>
        <v>-0.44345087984410003</v>
      </c>
      <c r="L219" s="111"/>
      <c r="M219" s="111">
        <f>M220-SUM(M217:M218)</f>
        <v>-0.67660760841946654</v>
      </c>
      <c r="N219" s="111">
        <f>N220-SUM(N217:N218)</f>
        <v>0.4257479602159151</v>
      </c>
      <c r="O219" s="111">
        <f>O220-SUM(O217:O218)</f>
        <v>-0.6726003568842529</v>
      </c>
      <c r="P219" s="111">
        <f>I219-O219</f>
        <v>0.34593641258249547</v>
      </c>
    </row>
    <row r="220" spans="2:16">
      <c r="B220" s="164" t="s">
        <v>101</v>
      </c>
      <c r="E220" s="171">
        <f>E15</f>
        <v>-17.151</v>
      </c>
      <c r="F220" s="171">
        <f>F15</f>
        <v>-32.304000000000002</v>
      </c>
      <c r="G220" s="171">
        <f>G15</f>
        <v>-85</v>
      </c>
      <c r="H220" s="171">
        <f>H15</f>
        <v>-104.87</v>
      </c>
      <c r="I220" s="171">
        <f t="shared" ref="I220:J220" si="195">SUM(I217:I219)</f>
        <v>-104.22780272854997</v>
      </c>
      <c r="J220" s="171">
        <f t="shared" si="195"/>
        <v>-114.5378178909297</v>
      </c>
      <c r="K220" s="171">
        <f t="shared" ref="K220" si="196">SUM(K217:K219)</f>
        <v>-123.93445323996161</v>
      </c>
      <c r="M220" s="171">
        <f>M15</f>
        <v>-40.326999999999998</v>
      </c>
      <c r="N220" s="171">
        <f>N15</f>
        <v>-64.543000000000006</v>
      </c>
      <c r="O220" s="171">
        <f>O15</f>
        <v>-41.036999999999999</v>
      </c>
      <c r="P220" s="171">
        <f>I220-O220</f>
        <v>-63.190802728549976</v>
      </c>
    </row>
    <row r="221" spans="2:16">
      <c r="B221" s="164"/>
      <c r="E221" s="171"/>
      <c r="F221" s="171"/>
    </row>
    <row r="222" spans="2:16">
      <c r="B222" s="164" t="s">
        <v>81</v>
      </c>
      <c r="E222" s="171"/>
      <c r="F222" s="171"/>
    </row>
    <row r="223" spans="2:16">
      <c r="B223" s="98" t="s">
        <v>107</v>
      </c>
      <c r="E223" s="171"/>
      <c r="F223" s="78">
        <f>F217/E217-1</f>
        <v>0.78475935828877019</v>
      </c>
      <c r="G223" s="78">
        <f t="shared" ref="G223:K226" si="197">G217/F217-1</f>
        <v>1.7271205111257988</v>
      </c>
      <c r="H223" s="78">
        <f t="shared" si="197"/>
        <v>0.40407579331739152</v>
      </c>
      <c r="I223" s="78">
        <f t="shared" si="197"/>
        <v>-6.9872773648975928E-2</v>
      </c>
      <c r="J223" s="78">
        <f t="shared" si="197"/>
        <v>7.7876409521042467E-2</v>
      </c>
      <c r="K223" s="78">
        <f t="shared" si="197"/>
        <v>5.7924410887783662E-2</v>
      </c>
      <c r="M223" s="78"/>
      <c r="O223" s="78"/>
    </row>
    <row r="224" spans="2:16">
      <c r="B224" s="98" t="s">
        <v>128</v>
      </c>
      <c r="E224" s="171"/>
      <c r="F224" s="78">
        <f t="shared" ref="F224:J226" si="198">F218/E218-1</f>
        <v>1.3727656808579787</v>
      </c>
      <c r="G224" s="78">
        <f t="shared" si="198"/>
        <v>0.98438570058896024</v>
      </c>
      <c r="H224" s="78">
        <f t="shared" si="198"/>
        <v>0.22294874046082569</v>
      </c>
      <c r="I224" s="78">
        <f t="shared" si="198"/>
        <v>0.3021781168914337</v>
      </c>
      <c r="J224" s="78">
        <f t="shared" si="198"/>
        <v>0.17160479295765496</v>
      </c>
      <c r="K224" s="78">
        <f t="shared" si="197"/>
        <v>0.15867911668661994</v>
      </c>
      <c r="M224" s="78"/>
      <c r="O224" s="78"/>
    </row>
    <row r="225" spans="2:16">
      <c r="B225" s="98" t="s">
        <v>109</v>
      </c>
      <c r="E225" s="171"/>
      <c r="F225" s="78">
        <f t="shared" si="198"/>
        <v>0.69955817378497764</v>
      </c>
      <c r="G225" s="78">
        <f t="shared" si="198"/>
        <v>2.7348353552859619</v>
      </c>
      <c r="H225" s="78">
        <f t="shared" si="198"/>
        <v>-0.97089795264459877</v>
      </c>
      <c r="I225" s="78">
        <f t="shared" si="198"/>
        <v>0.30217811689143392</v>
      </c>
      <c r="J225" s="78">
        <f t="shared" si="198"/>
        <v>0.17160479295765496</v>
      </c>
      <c r="K225" s="78">
        <f t="shared" si="197"/>
        <v>0.15867911668662016</v>
      </c>
      <c r="M225" s="78"/>
      <c r="O225" s="78"/>
    </row>
    <row r="226" spans="2:16">
      <c r="B226" s="164" t="s">
        <v>101</v>
      </c>
      <c r="E226" s="171"/>
      <c r="F226" s="93">
        <f t="shared" si="198"/>
        <v>0.88350533496589145</v>
      </c>
      <c r="G226" s="93">
        <f t="shared" si="198"/>
        <v>1.6312530955918771</v>
      </c>
      <c r="H226" s="93">
        <f t="shared" si="198"/>
        <v>0.2337647058823531</v>
      </c>
      <c r="I226" s="93">
        <f t="shared" si="198"/>
        <v>-6.1237462710977963E-3</v>
      </c>
      <c r="J226" s="93">
        <f t="shared" si="198"/>
        <v>9.8918089919165286E-2</v>
      </c>
      <c r="K226" s="93">
        <f t="shared" si="197"/>
        <v>8.2039587640651446E-2</v>
      </c>
      <c r="M226" s="93"/>
      <c r="O226" s="93"/>
    </row>
    <row r="227" spans="2:16">
      <c r="B227" s="164"/>
      <c r="E227" s="171"/>
      <c r="F227" s="171"/>
    </row>
    <row r="228" spans="2:16">
      <c r="B228" s="164" t="s">
        <v>127</v>
      </c>
      <c r="E228" s="171"/>
      <c r="F228" s="171"/>
    </row>
    <row r="229" spans="2:16">
      <c r="B229" s="98" t="s">
        <v>107</v>
      </c>
      <c r="E229" s="104">
        <f>E217/E$7</f>
        <v>-1.2284820016180101E-3</v>
      </c>
      <c r="F229" s="104">
        <f>F217/F$7</f>
        <v>-1.6717521472567978E-3</v>
      </c>
      <c r="G229" s="104">
        <f>G217/G$7</f>
        <v>-3.048496820459979E-3</v>
      </c>
      <c r="H229" s="149">
        <v>-3.5000000000000001E-3</v>
      </c>
      <c r="I229" s="149">
        <f>H229+0.1%</f>
        <v>-2.5000000000000001E-3</v>
      </c>
      <c r="J229" s="149">
        <f>I229+0.02%</f>
        <v>-2.3E-3</v>
      </c>
      <c r="K229" s="149">
        <f t="shared" ref="K229" si="199">J229+0.02%</f>
        <v>-2.0999999999999999E-3</v>
      </c>
      <c r="M229" s="149">
        <v>-3.0000000000000001E-3</v>
      </c>
      <c r="N229" s="104">
        <f>N217/N$7</f>
        <v>-3.8772325397016076E-3</v>
      </c>
      <c r="O229" s="149">
        <v>-2E-3</v>
      </c>
      <c r="P229" s="104">
        <f>P217/P$7</f>
        <v>-2.9260460881479601E-3</v>
      </c>
    </row>
    <row r="230" spans="2:16">
      <c r="B230" s="98" t="s">
        <v>128</v>
      </c>
      <c r="E230" s="104">
        <f t="shared" ref="E230:G231" si="200">E218/E$7</f>
        <v>-2.9726636670168429E-4</v>
      </c>
      <c r="F230" s="104">
        <f t="shared" si="200"/>
        <v>-5.3780402851385243E-4</v>
      </c>
      <c r="G230" s="104">
        <f t="shared" si="200"/>
        <v>-7.1360792888942295E-4</v>
      </c>
      <c r="H230" s="149">
        <f t="shared" ref="H230:K231" si="201">G230</f>
        <v>-7.1360792888942295E-4</v>
      </c>
      <c r="I230" s="149">
        <f t="shared" si="201"/>
        <v>-7.1360792888942295E-4</v>
      </c>
      <c r="J230" s="149">
        <f t="shared" si="201"/>
        <v>-7.1360792888942295E-4</v>
      </c>
      <c r="K230" s="149">
        <f t="shared" si="201"/>
        <v>-7.1360792888942295E-4</v>
      </c>
      <c r="M230" s="149">
        <f>H230</f>
        <v>-7.1360792888942295E-4</v>
      </c>
      <c r="N230" s="104">
        <f t="shared" ref="N230:O231" si="202">N218/N$7</f>
        <v>-7.1360792888942295E-4</v>
      </c>
      <c r="O230" s="149">
        <f>I230</f>
        <v>-7.1360792888942295E-4</v>
      </c>
      <c r="P230" s="104">
        <f t="shared" ref="P230:P231" si="203">P218/P$7</f>
        <v>-7.1360792888942285E-4</v>
      </c>
    </row>
    <row r="231" spans="2:16">
      <c r="B231" s="98" t="s">
        <v>109</v>
      </c>
      <c r="E231" s="104">
        <f t="shared" si="200"/>
        <v>-1.3119523106301179E-4</v>
      </c>
      <c r="F231" s="104">
        <f t="shared" si="200"/>
        <v>-1.700111899479484E-4</v>
      </c>
      <c r="G231" s="104">
        <f t="shared" si="200"/>
        <v>-4.2457898585221052E-4</v>
      </c>
      <c r="H231" s="104">
        <f>H219/H$7</f>
        <v>-1.0103545098483264E-5</v>
      </c>
      <c r="I231" s="149">
        <f t="shared" si="201"/>
        <v>-1.0103545098483264E-5</v>
      </c>
      <c r="J231" s="149">
        <f t="shared" si="201"/>
        <v>-1.0103545098483264E-5</v>
      </c>
      <c r="K231" s="149">
        <f t="shared" si="201"/>
        <v>-1.0103545098483264E-5</v>
      </c>
      <c r="M231" s="104">
        <f t="shared" ref="M231" si="204">M219/M$7</f>
        <v>-6.3370252545268252E-5</v>
      </c>
      <c r="N231" s="104">
        <f t="shared" si="202"/>
        <v>3.0084325564903675E-5</v>
      </c>
      <c r="O231" s="104">
        <f t="shared" si="202"/>
        <v>-4.5217411321668258E-5</v>
      </c>
      <c r="P231" s="104">
        <f t="shared" si="203"/>
        <v>1.9816705589794286E-5</v>
      </c>
    </row>
    <row r="232" spans="2:16">
      <c r="B232" s="164" t="s">
        <v>101</v>
      </c>
      <c r="E232" s="174">
        <f t="shared" ref="E232:J232" si="205">SUM(E229:E231)</f>
        <v>-1.6569435993827061E-3</v>
      </c>
      <c r="F232" s="174">
        <f t="shared" si="205"/>
        <v>-2.3795673657185986E-3</v>
      </c>
      <c r="G232" s="174">
        <f t="shared" ref="G232" si="206">SUM(G229:G231)</f>
        <v>-4.1866837352016123E-3</v>
      </c>
      <c r="H232" s="174">
        <f t="shared" si="205"/>
        <v>-4.223711473987906E-3</v>
      </c>
      <c r="I232" s="174">
        <f t="shared" si="205"/>
        <v>-3.2237114739879064E-3</v>
      </c>
      <c r="J232" s="174">
        <f t="shared" si="205"/>
        <v>-3.0237114739879063E-3</v>
      </c>
      <c r="K232" s="174">
        <f t="shared" ref="K232" si="207">SUM(K229:K231)</f>
        <v>-2.8237114739879062E-3</v>
      </c>
      <c r="M232" s="174">
        <f t="shared" ref="M232:P232" si="208">SUM(M229:M231)</f>
        <v>-3.7769781814346913E-3</v>
      </c>
      <c r="N232" s="174">
        <f t="shared" si="208"/>
        <v>-4.5607561430261265E-3</v>
      </c>
      <c r="O232" s="174">
        <f t="shared" si="208"/>
        <v>-2.7588253402110914E-3</v>
      </c>
      <c r="P232" s="174">
        <f t="shared" si="208"/>
        <v>-3.6198373114475885E-3</v>
      </c>
    </row>
    <row r="234" spans="2:16">
      <c r="B234" s="147" t="s">
        <v>129</v>
      </c>
      <c r="C234" s="148"/>
      <c r="D234" s="148"/>
      <c r="E234" s="148"/>
      <c r="F234" s="148"/>
      <c r="G234" s="148"/>
      <c r="H234" s="148"/>
      <c r="I234" s="148"/>
      <c r="J234" s="148"/>
      <c r="K234" s="148"/>
      <c r="M234" s="148"/>
      <c r="N234" s="148"/>
      <c r="O234" s="148"/>
      <c r="P234" s="148"/>
    </row>
    <row r="235" spans="2:16">
      <c r="B235" s="77" t="s">
        <v>130</v>
      </c>
      <c r="E235" s="99">
        <v>-6920.2420000000002</v>
      </c>
      <c r="F235" s="99">
        <v>-9475.8169999999991</v>
      </c>
      <c r="G235" s="99">
        <v>-13502.499</v>
      </c>
      <c r="H235" s="99">
        <v>-15558.47</v>
      </c>
      <c r="M235" s="99">
        <v>-6757.5529999999999</v>
      </c>
      <c r="N235" s="100">
        <f t="shared" ref="N235:N249" si="209">H235-M235</f>
        <v>-8800.9169999999995</v>
      </c>
      <c r="O235" s="99">
        <v>-9436.0249999999996</v>
      </c>
    </row>
    <row r="236" spans="2:16">
      <c r="B236" s="77" t="s">
        <v>119</v>
      </c>
      <c r="E236" s="99">
        <v>-304.66300000000001</v>
      </c>
      <c r="F236" s="99">
        <v>-411.58499999999998</v>
      </c>
      <c r="G236" s="99">
        <v>-624.56500000000005</v>
      </c>
      <c r="H236" s="99">
        <v>-778.57</v>
      </c>
      <c r="M236" s="99">
        <v>-331.22</v>
      </c>
      <c r="N236" s="100">
        <f t="shared" si="209"/>
        <v>-447.35</v>
      </c>
      <c r="O236" s="99">
        <v>-467.67200000000003</v>
      </c>
    </row>
    <row r="237" spans="2:16">
      <c r="B237" s="77" t="s">
        <v>131</v>
      </c>
      <c r="E237" s="99">
        <v>-57.238999999999997</v>
      </c>
      <c r="F237" s="99">
        <v>-105.31</v>
      </c>
      <c r="G237" s="99">
        <v>-160.50399999999999</v>
      </c>
      <c r="H237" s="99">
        <v>-314.887</v>
      </c>
      <c r="M237" s="99">
        <v>-136.68100000000001</v>
      </c>
      <c r="N237" s="100">
        <f t="shared" si="209"/>
        <v>-178.20599999999999</v>
      </c>
      <c r="O237" s="99">
        <v>-203.62700000000001</v>
      </c>
    </row>
    <row r="238" spans="2:16">
      <c r="B238" s="77" t="s">
        <v>132</v>
      </c>
      <c r="E238" s="99"/>
      <c r="F238" s="99"/>
      <c r="G238" s="99"/>
      <c r="H238" s="99"/>
      <c r="M238" s="99"/>
      <c r="N238" s="100">
        <f t="shared" si="209"/>
        <v>0</v>
      </c>
      <c r="O238" s="99">
        <v>-0.221</v>
      </c>
    </row>
    <row r="239" spans="2:16">
      <c r="B239" s="77" t="s">
        <v>133</v>
      </c>
      <c r="E239" s="99">
        <v>-42.363</v>
      </c>
      <c r="F239" s="99">
        <v>-75.781999999999996</v>
      </c>
      <c r="G239" s="99">
        <v>-103.47199999999999</v>
      </c>
      <c r="H239" s="99">
        <v>-99.177999999999997</v>
      </c>
      <c r="M239" s="99">
        <v>-51.371000000000002</v>
      </c>
      <c r="N239" s="100">
        <f t="shared" si="209"/>
        <v>-47.806999999999995</v>
      </c>
      <c r="O239" s="99">
        <v>-42.628999999999998</v>
      </c>
    </row>
    <row r="240" spans="2:16">
      <c r="B240" s="77" t="s">
        <v>134</v>
      </c>
      <c r="E240" s="99">
        <v>-1.1970000000000001</v>
      </c>
      <c r="F240" s="99">
        <v>-2.6720000000000002</v>
      </c>
      <c r="G240" s="99">
        <v>-3.8</v>
      </c>
      <c r="H240" s="99">
        <v>-5.29</v>
      </c>
      <c r="M240" s="99">
        <v>-2.0990000000000002</v>
      </c>
      <c r="N240" s="100">
        <f t="shared" si="209"/>
        <v>-3.1909999999999998</v>
      </c>
      <c r="O240" s="99">
        <v>-2.6779999999999999</v>
      </c>
    </row>
    <row r="241" spans="2:15">
      <c r="B241" s="77" t="s">
        <v>135</v>
      </c>
      <c r="E241" s="99">
        <v>-430.64299999999997</v>
      </c>
      <c r="F241" s="99">
        <v>-649.03200000000004</v>
      </c>
      <c r="G241" s="99">
        <v>-952.41600000000005</v>
      </c>
      <c r="H241" s="99">
        <v>-1209.4290000000001</v>
      </c>
      <c r="J241" s="99"/>
      <c r="M241" s="99">
        <v>-496.036</v>
      </c>
      <c r="N241" s="100">
        <f t="shared" si="209"/>
        <v>-713.39300000000003</v>
      </c>
      <c r="O241" s="99">
        <v>-760.73699999999997</v>
      </c>
    </row>
    <row r="242" spans="2:15">
      <c r="B242" s="77" t="s">
        <v>64</v>
      </c>
      <c r="E242" s="99">
        <v>-22.553999999999998</v>
      </c>
      <c r="F242" s="99">
        <v>-24.981000000000002</v>
      </c>
      <c r="G242" s="99">
        <v>-16.427</v>
      </c>
      <c r="H242" s="99">
        <v>-15.786</v>
      </c>
      <c r="M242" s="99">
        <v>-6.5209999999999999</v>
      </c>
      <c r="N242" s="100">
        <f t="shared" si="209"/>
        <v>-9.2650000000000006</v>
      </c>
      <c r="O242" s="99">
        <v>-9.266</v>
      </c>
    </row>
    <row r="243" spans="2:15">
      <c r="B243" s="77" t="s">
        <v>136</v>
      </c>
      <c r="E243" s="99">
        <v>-83.484999999999999</v>
      </c>
      <c r="F243" s="99">
        <v>-146.03</v>
      </c>
      <c r="G243" s="99">
        <v>-199.40299999999999</v>
      </c>
      <c r="H243" s="99">
        <v>-222.78</v>
      </c>
      <c r="M243" s="99">
        <v>-98.113</v>
      </c>
      <c r="N243" s="100">
        <f t="shared" si="209"/>
        <v>-124.667</v>
      </c>
      <c r="O243" s="99">
        <v>-127.779</v>
      </c>
    </row>
    <row r="244" spans="2:15">
      <c r="B244" s="77" t="s">
        <v>137</v>
      </c>
      <c r="E244" s="99">
        <v>-40.15</v>
      </c>
      <c r="F244" s="99">
        <v>-69.902000000000001</v>
      </c>
      <c r="G244" s="99">
        <v>-80.552000000000007</v>
      </c>
      <c r="H244" s="99">
        <v>-55.792000000000002</v>
      </c>
      <c r="M244" s="99">
        <v>-32.978000000000002</v>
      </c>
      <c r="N244" s="100">
        <f t="shared" si="209"/>
        <v>-22.814</v>
      </c>
      <c r="O244" s="99">
        <v>-34.771999999999998</v>
      </c>
    </row>
    <row r="245" spans="2:15">
      <c r="B245" s="77" t="s">
        <v>138</v>
      </c>
      <c r="E245" s="99">
        <v>-2.2970000000000002</v>
      </c>
      <c r="F245" s="99">
        <v>-2.0760000000000001</v>
      </c>
      <c r="G245" s="99">
        <v>-32.189</v>
      </c>
      <c r="H245" s="99">
        <v>-36.994999999999997</v>
      </c>
      <c r="M245" s="99">
        <v>-17.422000000000001</v>
      </c>
      <c r="N245" s="100">
        <f t="shared" si="209"/>
        <v>-19.572999999999997</v>
      </c>
      <c r="O245" s="99">
        <v>-32.546999999999997</v>
      </c>
    </row>
    <row r="246" spans="2:15">
      <c r="B246" s="77" t="s">
        <v>139</v>
      </c>
      <c r="E246" s="99">
        <v>-1.802</v>
      </c>
      <c r="F246" s="99">
        <v>-3.3639999999999999</v>
      </c>
      <c r="G246" s="99">
        <v>4.9859999999999998</v>
      </c>
      <c r="H246" s="99">
        <v>-0.16</v>
      </c>
      <c r="M246" s="99">
        <v>-1.32</v>
      </c>
      <c r="N246" s="100">
        <f t="shared" si="209"/>
        <v>1.1600000000000001</v>
      </c>
      <c r="O246" s="99">
        <v>-4.4999999999999998E-2</v>
      </c>
    </row>
    <row r="247" spans="2:15">
      <c r="B247" s="77" t="s">
        <v>140</v>
      </c>
      <c r="E247" s="99">
        <v>1.4999999999999999E-2</v>
      </c>
      <c r="F247" s="99">
        <v>-0.73399999999999999</v>
      </c>
      <c r="G247" s="99">
        <v>-3.3479999999999999</v>
      </c>
      <c r="H247" s="99">
        <v>-0.16900000000000001</v>
      </c>
      <c r="M247" s="99">
        <v>-1.7569999999999999</v>
      </c>
      <c r="N247" s="100">
        <f t="shared" si="209"/>
        <v>1.5879999999999999</v>
      </c>
      <c r="O247" s="99">
        <v>-1.056</v>
      </c>
    </row>
    <row r="248" spans="2:15">
      <c r="B248" s="77" t="s">
        <v>141</v>
      </c>
      <c r="E248" s="99">
        <v>-1.097</v>
      </c>
      <c r="F248" s="99">
        <v>-5.6120000000000001</v>
      </c>
      <c r="G248" s="99">
        <v>-12.920999999999999</v>
      </c>
      <c r="H248" s="99">
        <v>-16.475000000000001</v>
      </c>
      <c r="M248" s="99">
        <v>-10.297000000000001</v>
      </c>
      <c r="N248" s="100">
        <f t="shared" si="209"/>
        <v>-6.1780000000000008</v>
      </c>
      <c r="O248" s="99">
        <v>-5.2359999999999998</v>
      </c>
    </row>
    <row r="249" spans="2:15">
      <c r="B249" s="77" t="s">
        <v>126</v>
      </c>
      <c r="E249" s="99"/>
      <c r="F249" s="99"/>
      <c r="G249" s="99"/>
      <c r="H249" s="99">
        <v>-59.069000000000003</v>
      </c>
      <c r="M249" s="99">
        <v>-9.1790000000000003</v>
      </c>
      <c r="N249" s="100">
        <f t="shared" si="209"/>
        <v>-49.89</v>
      </c>
      <c r="O249" s="99">
        <v>-3.9649999999999999</v>
      </c>
    </row>
    <row r="250" spans="2:15">
      <c r="B250" s="77" t="s">
        <v>142</v>
      </c>
      <c r="E250" s="99"/>
      <c r="F250" s="99"/>
      <c r="G250" s="99"/>
      <c r="H250" s="99"/>
      <c r="M250" s="99"/>
      <c r="O250" s="99">
        <v>-1.887</v>
      </c>
    </row>
    <row r="251" spans="2:15">
      <c r="E251" s="100"/>
    </row>
    <row r="252" spans="2:15">
      <c r="B252" s="164" t="s">
        <v>81</v>
      </c>
      <c r="E252" s="100"/>
    </row>
    <row r="253" spans="2:15">
      <c r="B253" s="77" t="s">
        <v>130</v>
      </c>
      <c r="E253" s="100"/>
      <c r="F253" s="78">
        <f>F235/E235-1</f>
        <v>0.36928983119376446</v>
      </c>
      <c r="G253" s="78">
        <f>G235/F235-1</f>
        <v>0.42494298908474071</v>
      </c>
      <c r="H253" s="78">
        <f>H235/G235-1</f>
        <v>0.15226596202673304</v>
      </c>
      <c r="M253" s="78"/>
      <c r="O253" s="78"/>
    </row>
    <row r="254" spans="2:15">
      <c r="B254" s="77" t="s">
        <v>119</v>
      </c>
      <c r="E254" s="100"/>
      <c r="F254" s="78">
        <f>F236/E236-1</f>
        <v>0.35095170729625846</v>
      </c>
      <c r="G254" s="78">
        <f>G236/F236-1</f>
        <v>0.51746297848561063</v>
      </c>
      <c r="H254" s="78">
        <f t="shared" ref="H254:H255" si="210">H236/G236-1</f>
        <v>0.24657961941511286</v>
      </c>
      <c r="M254" s="78"/>
      <c r="O254" s="78"/>
    </row>
    <row r="255" spans="2:15">
      <c r="B255" s="77" t="s">
        <v>131</v>
      </c>
      <c r="E255" s="100"/>
      <c r="F255" s="78">
        <f>F237/E237-1</f>
        <v>0.83982948688831049</v>
      </c>
      <c r="G255" s="78">
        <f>G237/F237-1</f>
        <v>0.52410977115183721</v>
      </c>
      <c r="H255" s="78">
        <f t="shared" si="210"/>
        <v>0.96186387878183743</v>
      </c>
      <c r="M255" s="78"/>
      <c r="O255" s="78"/>
    </row>
    <row r="256" spans="2:15">
      <c r="B256" s="77" t="s">
        <v>133</v>
      </c>
      <c r="E256" s="100"/>
      <c r="F256" s="78">
        <f t="shared" ref="F256:H265" si="211">F239/E239-1</f>
        <v>0.78887236503552627</v>
      </c>
      <c r="G256" s="78">
        <f t="shared" si="211"/>
        <v>0.36539019820010021</v>
      </c>
      <c r="H256" s="78">
        <f t="shared" si="211"/>
        <v>-4.1499149528374746E-2</v>
      </c>
      <c r="M256" s="78"/>
      <c r="O256" s="78"/>
    </row>
    <row r="257" spans="2:15">
      <c r="B257" s="77" t="s">
        <v>134</v>
      </c>
      <c r="E257" s="100"/>
      <c r="F257" s="78">
        <f t="shared" si="211"/>
        <v>1.2322472848788637</v>
      </c>
      <c r="G257" s="78">
        <f t="shared" si="211"/>
        <v>0.42215568862275443</v>
      </c>
      <c r="H257" s="78">
        <f t="shared" si="211"/>
        <v>0.39210526315789473</v>
      </c>
      <c r="M257" s="78"/>
      <c r="O257" s="78"/>
    </row>
    <row r="258" spans="2:15">
      <c r="B258" s="77" t="s">
        <v>135</v>
      </c>
      <c r="E258" s="100"/>
      <c r="F258" s="78">
        <f t="shared" si="211"/>
        <v>0.50712306945660335</v>
      </c>
      <c r="G258" s="78">
        <f t="shared" si="211"/>
        <v>0.46744074252116996</v>
      </c>
      <c r="H258" s="78">
        <f t="shared" si="211"/>
        <v>0.26985371938312674</v>
      </c>
      <c r="M258" s="78"/>
      <c r="O258" s="78"/>
    </row>
    <row r="259" spans="2:15">
      <c r="B259" s="77" t="s">
        <v>64</v>
      </c>
      <c r="E259" s="100"/>
      <c r="F259" s="78">
        <f t="shared" si="211"/>
        <v>0.10760840649108827</v>
      </c>
      <c r="G259" s="78">
        <f t="shared" si="211"/>
        <v>-0.34242023938193034</v>
      </c>
      <c r="H259" s="78">
        <f t="shared" si="211"/>
        <v>-3.9021123759663934E-2</v>
      </c>
      <c r="M259" s="78"/>
      <c r="O259" s="78"/>
    </row>
    <row r="260" spans="2:15">
      <c r="B260" s="77" t="s">
        <v>136</v>
      </c>
      <c r="E260" s="100"/>
      <c r="F260" s="78">
        <f t="shared" si="211"/>
        <v>0.74917649877223447</v>
      </c>
      <c r="G260" s="78">
        <f t="shared" si="211"/>
        <v>0.36549339176881457</v>
      </c>
      <c r="H260" s="78">
        <f t="shared" si="211"/>
        <v>0.11723494631474951</v>
      </c>
      <c r="M260" s="78"/>
      <c r="O260" s="78"/>
    </row>
    <row r="261" spans="2:15">
      <c r="B261" s="77" t="s">
        <v>137</v>
      </c>
      <c r="E261" s="100"/>
      <c r="F261" s="78">
        <f t="shared" si="211"/>
        <v>0.74102117061021189</v>
      </c>
      <c r="G261" s="78">
        <f t="shared" si="211"/>
        <v>0.15235615576092254</v>
      </c>
      <c r="H261" s="78">
        <f t="shared" si="211"/>
        <v>-0.30737908431820438</v>
      </c>
      <c r="M261" s="78"/>
      <c r="O261" s="78"/>
    </row>
    <row r="262" spans="2:15">
      <c r="B262" s="77" t="s">
        <v>138</v>
      </c>
      <c r="E262" s="100"/>
      <c r="F262" s="78">
        <f t="shared" si="211"/>
        <v>-9.6212451023073631E-2</v>
      </c>
      <c r="G262" s="78">
        <f t="shared" si="211"/>
        <v>14.505298651252408</v>
      </c>
      <c r="H262" s="78">
        <f t="shared" si="211"/>
        <v>0.14930566342539375</v>
      </c>
      <c r="M262" s="78"/>
      <c r="O262" s="78"/>
    </row>
    <row r="263" spans="2:15">
      <c r="B263" s="77" t="s">
        <v>139</v>
      </c>
      <c r="E263" s="100"/>
      <c r="F263" s="78">
        <f t="shared" si="211"/>
        <v>0.86681465038845706</v>
      </c>
      <c r="G263" s="78">
        <f t="shared" si="211"/>
        <v>-2.4821640903686086</v>
      </c>
      <c r="H263" s="78">
        <f t="shared" si="211"/>
        <v>-1.0320898515844363</v>
      </c>
      <c r="M263" s="78"/>
      <c r="O263" s="78"/>
    </row>
    <row r="264" spans="2:15">
      <c r="B264" s="77" t="s">
        <v>140</v>
      </c>
      <c r="E264" s="100"/>
      <c r="F264" s="78">
        <f t="shared" si="211"/>
        <v>-49.933333333333337</v>
      </c>
      <c r="G264" s="78">
        <f t="shared" si="211"/>
        <v>3.561307901907357</v>
      </c>
      <c r="H264" s="78">
        <f t="shared" si="211"/>
        <v>-0.94952210274790916</v>
      </c>
      <c r="M264" s="78"/>
      <c r="O264" s="78"/>
    </row>
    <row r="265" spans="2:15">
      <c r="B265" s="77" t="s">
        <v>141</v>
      </c>
      <c r="E265" s="100"/>
      <c r="F265" s="78">
        <f t="shared" si="211"/>
        <v>4.1157702825888789</v>
      </c>
      <c r="G265" s="78">
        <f t="shared" si="211"/>
        <v>1.3023877405559512</v>
      </c>
      <c r="H265" s="78">
        <f t="shared" si="211"/>
        <v>0.27505611020818832</v>
      </c>
      <c r="M265" s="78"/>
      <c r="O265" s="78"/>
    </row>
    <row r="266" spans="2:15">
      <c r="E266" s="100"/>
    </row>
    <row r="267" spans="2:15">
      <c r="B267" s="164" t="s">
        <v>127</v>
      </c>
      <c r="E267" s="100"/>
    </row>
    <row r="268" spans="2:15">
      <c r="B268" s="77" t="s">
        <v>130</v>
      </c>
      <c r="E268" s="104">
        <f>E235/E$7</f>
        <v>-0.66855872474371048</v>
      </c>
      <c r="F268" s="104">
        <f t="shared" ref="F268:H270" si="212">F235/F$7</f>
        <v>-0.69800473305849164</v>
      </c>
      <c r="G268" s="104">
        <f t="shared" si="212"/>
        <v>-0.66506697585736507</v>
      </c>
      <c r="H268" s="104">
        <f t="shared" si="212"/>
        <v>-0.6266280943710939</v>
      </c>
      <c r="M268" s="104"/>
      <c r="O268" s="104"/>
    </row>
    <row r="269" spans="2:15">
      <c r="B269" s="77" t="s">
        <v>119</v>
      </c>
      <c r="E269" s="104">
        <f>E236/E$7</f>
        <v>-2.9433234669624712E-2</v>
      </c>
      <c r="F269" s="104">
        <f t="shared" si="212"/>
        <v>-3.0318048359933427E-2</v>
      </c>
      <c r="G269" s="104">
        <f t="shared" si="212"/>
        <v>-3.0763013259719942E-2</v>
      </c>
      <c r="H269" s="104">
        <f t="shared" si="212"/>
        <v>-3.1357442951299365E-2</v>
      </c>
      <c r="M269" s="104"/>
      <c r="O269" s="104"/>
    </row>
    <row r="270" spans="2:15">
      <c r="B270" s="77" t="s">
        <v>131</v>
      </c>
      <c r="E270" s="104">
        <f>E237/E$7</f>
        <v>-5.5298113628981819E-3</v>
      </c>
      <c r="F270" s="104">
        <f t="shared" si="212"/>
        <v>-7.7573130040807835E-3</v>
      </c>
      <c r="G270" s="104">
        <f t="shared" si="212"/>
        <v>-7.9056410145270529E-3</v>
      </c>
      <c r="H270" s="104">
        <f t="shared" si="212"/>
        <v>-1.2682290787733669E-2</v>
      </c>
      <c r="M270" s="104"/>
      <c r="O270" s="104"/>
    </row>
    <row r="271" spans="2:15">
      <c r="B271" s="77" t="s">
        <v>133</v>
      </c>
      <c r="E271" s="104">
        <f t="shared" ref="E271:H280" si="213">E239/E$7</f>
        <v>-4.0926535887499029E-3</v>
      </c>
      <c r="F271" s="104">
        <f t="shared" si="213"/>
        <v>-5.5822305011418664E-3</v>
      </c>
      <c r="G271" s="104">
        <f t="shared" si="213"/>
        <v>-5.0965239935150727E-3</v>
      </c>
      <c r="H271" s="104">
        <f t="shared" si="213"/>
        <v>-3.9944622539064799E-3</v>
      </c>
      <c r="M271" s="104"/>
      <c r="O271" s="104"/>
    </row>
    <row r="272" spans="2:15">
      <c r="B272" s="77" t="s">
        <v>134</v>
      </c>
      <c r="E272" s="104">
        <f t="shared" si="213"/>
        <v>-1.1564115727719081E-4</v>
      </c>
      <c r="F272" s="104">
        <f t="shared" si="213"/>
        <v>-1.968240465948519E-4</v>
      </c>
      <c r="G272" s="104">
        <f t="shared" si="213"/>
        <v>-1.8716939051489559E-4</v>
      </c>
      <c r="H272" s="104">
        <f t="shared" si="213"/>
        <v>-2.1305839322395369E-4</v>
      </c>
      <c r="M272" s="104"/>
      <c r="O272" s="104"/>
    </row>
    <row r="273" spans="2:16">
      <c r="B273" s="77" t="s">
        <v>135</v>
      </c>
      <c r="E273" s="104">
        <f t="shared" si="213"/>
        <v>-4.1604055884144758E-2</v>
      </c>
      <c r="F273" s="104">
        <f t="shared" si="213"/>
        <v>-4.7808796635310603E-2</v>
      </c>
      <c r="G273" s="104">
        <f t="shared" si="213"/>
        <v>-4.6911347957009165E-2</v>
      </c>
      <c r="H273" s="104">
        <f t="shared" si="213"/>
        <v>-4.8710585908970344E-2</v>
      </c>
      <c r="M273" s="104"/>
      <c r="O273" s="104"/>
    </row>
    <row r="274" spans="2:16">
      <c r="B274" s="77" t="s">
        <v>64</v>
      </c>
      <c r="E274" s="104">
        <f t="shared" si="213"/>
        <v>-2.1789228581702265E-3</v>
      </c>
      <c r="F274" s="104">
        <f t="shared" si="213"/>
        <v>-1.8401427799348785E-3</v>
      </c>
      <c r="G274" s="104">
        <f t="shared" si="213"/>
        <v>-8.0911357315478685E-4</v>
      </c>
      <c r="H274" s="104">
        <f t="shared" si="213"/>
        <v>-6.3579202182104588E-4</v>
      </c>
      <c r="M274" s="104"/>
      <c r="O274" s="104"/>
    </row>
    <row r="275" spans="2:16">
      <c r="B275" s="77" t="s">
        <v>136</v>
      </c>
      <c r="E275" s="104">
        <f t="shared" si="213"/>
        <v>-8.06541521744885E-3</v>
      </c>
      <c r="F275" s="104">
        <f t="shared" si="213"/>
        <v>-1.0756817187217898E-2</v>
      </c>
      <c r="G275" s="104">
        <f t="shared" si="213"/>
        <v>-9.8216152570636123E-3</v>
      </c>
      <c r="H275" s="104">
        <f t="shared" si="213"/>
        <v>-8.9726179286261625E-3</v>
      </c>
      <c r="M275" s="104"/>
      <c r="O275" s="104"/>
    </row>
    <row r="276" spans="2:16">
      <c r="B276" s="77" t="s">
        <v>137</v>
      </c>
      <c r="E276" s="104">
        <f t="shared" si="213"/>
        <v>-3.8788575310603262E-3</v>
      </c>
      <c r="F276" s="104">
        <f t="shared" si="213"/>
        <v>-5.149099739922656E-3</v>
      </c>
      <c r="G276" s="104">
        <f t="shared" si="213"/>
        <v>-3.9675970380936504E-3</v>
      </c>
      <c r="H276" s="104">
        <f t="shared" si="213"/>
        <v>-2.2470612239604585E-3</v>
      </c>
      <c r="M276" s="104"/>
      <c r="O276" s="104"/>
    </row>
    <row r="277" spans="2:16">
      <c r="B277" s="77" t="s">
        <v>138</v>
      </c>
      <c r="E277" s="104">
        <f t="shared" si="213"/>
        <v>-2.2191122662130935E-4</v>
      </c>
      <c r="F277" s="104">
        <f t="shared" si="213"/>
        <v>-1.5292167692025171E-4</v>
      </c>
      <c r="G277" s="104">
        <f t="shared" si="213"/>
        <v>-1.585472502969467E-3</v>
      </c>
      <c r="H277" s="104">
        <f t="shared" si="213"/>
        <v>-1.4899991034631693E-3</v>
      </c>
      <c r="M277" s="104"/>
      <c r="O277" s="104"/>
    </row>
    <row r="278" spans="2:16">
      <c r="B278" s="77" t="s">
        <v>139</v>
      </c>
      <c r="E278" s="104">
        <f t="shared" si="213"/>
        <v>-1.7408969541645599E-4</v>
      </c>
      <c r="F278" s="104">
        <f t="shared" si="213"/>
        <v>-2.4779793890160247E-4</v>
      </c>
      <c r="G278" s="104">
        <f t="shared" si="213"/>
        <v>2.4558594239664985E-4</v>
      </c>
      <c r="H278" s="104">
        <f t="shared" si="213"/>
        <v>-6.4441101920288453E-6</v>
      </c>
      <c r="M278" s="104"/>
      <c r="O278" s="104"/>
    </row>
    <row r="279" spans="2:16">
      <c r="B279" s="77" t="s">
        <v>140</v>
      </c>
      <c r="E279" s="104">
        <f t="shared" si="213"/>
        <v>1.44913730923798E-6</v>
      </c>
      <c r="F279" s="104">
        <f t="shared" si="213"/>
        <v>-5.4067683458316352E-5</v>
      </c>
      <c r="G279" s="104">
        <f t="shared" si="213"/>
        <v>-1.6490608406417645E-4</v>
      </c>
      <c r="H279" s="104">
        <f t="shared" si="213"/>
        <v>-6.8065913903304679E-6</v>
      </c>
      <c r="M279" s="104"/>
      <c r="O279" s="104"/>
    </row>
    <row r="280" spans="2:16">
      <c r="B280" s="77" t="s">
        <v>141</v>
      </c>
      <c r="E280" s="104">
        <f t="shared" si="213"/>
        <v>-1.0598024188227094E-4</v>
      </c>
      <c r="F280" s="104">
        <f t="shared" si="213"/>
        <v>-4.1338942720445693E-4</v>
      </c>
      <c r="G280" s="104">
        <f t="shared" si="213"/>
        <v>-6.3642518285341213E-4</v>
      </c>
      <c r="H280" s="104">
        <f t="shared" si="213"/>
        <v>-6.635419713354702E-4</v>
      </c>
      <c r="M280" s="104"/>
      <c r="O280" s="104"/>
    </row>
    <row r="281" spans="2:16">
      <c r="E281" s="100"/>
    </row>
    <row r="282" spans="2:16">
      <c r="B282" s="156" t="s">
        <v>143</v>
      </c>
      <c r="C282" s="177"/>
      <c r="D282" s="177"/>
      <c r="E282" s="178">
        <f>SUM(E283:E285)</f>
        <v>-536.6819999999999</v>
      </c>
      <c r="F282" s="179">
        <f>SUM(F283:F285)</f>
        <v>-820.04300000000001</v>
      </c>
      <c r="G282" s="179">
        <f>SUM(G283:G285)</f>
        <v>-1168.2460000000001</v>
      </c>
      <c r="H282" s="179">
        <f>SUM(H283:H285)</f>
        <v>-1447.9950000000001</v>
      </c>
      <c r="I282" s="179"/>
      <c r="J282" s="177"/>
      <c r="K282" s="177"/>
      <c r="M282" s="179">
        <f>SUM(M283:M285)</f>
        <v>-600.67000000000007</v>
      </c>
      <c r="N282" s="179">
        <f>SUM(N283:N285)</f>
        <v>-847.32500000000005</v>
      </c>
      <c r="O282" s="179">
        <f>SUM(O283:O285)</f>
        <v>-897.78199999999993</v>
      </c>
      <c r="P282" s="179"/>
    </row>
    <row r="283" spans="2:16">
      <c r="B283" s="77" t="s">
        <v>135</v>
      </c>
      <c r="E283" s="100">
        <f t="shared" ref="E283:H285" si="214">E241</f>
        <v>-430.64299999999997</v>
      </c>
      <c r="F283" s="100">
        <f t="shared" si="214"/>
        <v>-649.03200000000004</v>
      </c>
      <c r="G283" s="100">
        <f t="shared" si="214"/>
        <v>-952.41600000000005</v>
      </c>
      <c r="H283" s="100">
        <f t="shared" si="214"/>
        <v>-1209.4290000000001</v>
      </c>
      <c r="M283" s="100">
        <f t="shared" ref="M283:O285" si="215">M241</f>
        <v>-496.036</v>
      </c>
      <c r="N283" s="100">
        <f t="shared" si="215"/>
        <v>-713.39300000000003</v>
      </c>
      <c r="O283" s="100">
        <f t="shared" si="215"/>
        <v>-760.73699999999997</v>
      </c>
      <c r="P283" s="100"/>
    </row>
    <row r="284" spans="2:16">
      <c r="B284" s="77" t="s">
        <v>64</v>
      </c>
      <c r="E284" s="100">
        <f t="shared" si="214"/>
        <v>-22.553999999999998</v>
      </c>
      <c r="F284" s="100">
        <f t="shared" si="214"/>
        <v>-24.981000000000002</v>
      </c>
      <c r="G284" s="100">
        <f t="shared" si="214"/>
        <v>-16.427</v>
      </c>
      <c r="H284" s="100">
        <f t="shared" si="214"/>
        <v>-15.786</v>
      </c>
      <c r="M284" s="100">
        <f t="shared" si="215"/>
        <v>-6.5209999999999999</v>
      </c>
      <c r="N284" s="100">
        <f t="shared" si="215"/>
        <v>-9.2650000000000006</v>
      </c>
      <c r="O284" s="100">
        <f t="shared" si="215"/>
        <v>-9.266</v>
      </c>
      <c r="P284" s="100"/>
    </row>
    <row r="285" spans="2:16">
      <c r="B285" s="77" t="s">
        <v>136</v>
      </c>
      <c r="E285" s="100">
        <f t="shared" si="214"/>
        <v>-83.484999999999999</v>
      </c>
      <c r="F285" s="100">
        <f t="shared" si="214"/>
        <v>-146.03</v>
      </c>
      <c r="G285" s="100">
        <f t="shared" si="214"/>
        <v>-199.40299999999999</v>
      </c>
      <c r="H285" s="100">
        <f t="shared" si="214"/>
        <v>-222.78</v>
      </c>
      <c r="M285" s="100">
        <f t="shared" si="215"/>
        <v>-98.113</v>
      </c>
      <c r="N285" s="100">
        <f t="shared" si="215"/>
        <v>-124.667</v>
      </c>
      <c r="O285" s="100">
        <f t="shared" si="215"/>
        <v>-127.779</v>
      </c>
      <c r="P285" s="100"/>
    </row>
    <row r="286" spans="2:16">
      <c r="E286" s="111"/>
    </row>
    <row r="287" spans="2:16">
      <c r="B287" s="180" t="s">
        <v>144</v>
      </c>
      <c r="E287" s="111"/>
    </row>
    <row r="288" spans="2:16">
      <c r="B288" s="181" t="s">
        <v>101</v>
      </c>
      <c r="E288" s="93">
        <f t="shared" ref="E288:H291" si="216">E282/E$7</f>
        <v>-5.184839395976383E-2</v>
      </c>
      <c r="F288" s="93">
        <f t="shared" si="216"/>
        <v>-6.0405756602463376E-2</v>
      </c>
      <c r="G288" s="93">
        <f t="shared" si="216"/>
        <v>-5.7542076787227565E-2</v>
      </c>
      <c r="H288" s="93">
        <f t="shared" si="216"/>
        <v>-5.8318995859417549E-2</v>
      </c>
      <c r="M288" s="93"/>
      <c r="O288" s="93"/>
      <c r="P288" s="93"/>
    </row>
    <row r="289" spans="2:16">
      <c r="B289" s="77" t="s">
        <v>135</v>
      </c>
      <c r="E289" s="78">
        <f t="shared" si="216"/>
        <v>-4.1604055884144758E-2</v>
      </c>
      <c r="F289" s="78">
        <f t="shared" si="216"/>
        <v>-4.7808796635310603E-2</v>
      </c>
      <c r="G289" s="78">
        <f t="shared" si="216"/>
        <v>-4.6911347957009165E-2</v>
      </c>
      <c r="H289" s="78">
        <f t="shared" si="216"/>
        <v>-4.8710585908970344E-2</v>
      </c>
      <c r="M289" s="78"/>
      <c r="O289" s="78"/>
      <c r="P289" s="78"/>
    </row>
    <row r="290" spans="2:16">
      <c r="B290" s="77" t="s">
        <v>64</v>
      </c>
      <c r="E290" s="78">
        <f t="shared" si="216"/>
        <v>-2.1789228581702265E-3</v>
      </c>
      <c r="F290" s="78">
        <f t="shared" si="216"/>
        <v>-1.8401427799348785E-3</v>
      </c>
      <c r="G290" s="78">
        <f t="shared" si="216"/>
        <v>-8.0911357315478685E-4</v>
      </c>
      <c r="H290" s="78">
        <f t="shared" si="216"/>
        <v>-6.3579202182104588E-4</v>
      </c>
      <c r="M290" s="78"/>
      <c r="O290" s="78"/>
      <c r="P290" s="78"/>
    </row>
    <row r="291" spans="2:16">
      <c r="B291" s="77" t="s">
        <v>136</v>
      </c>
      <c r="E291" s="78">
        <f t="shared" si="216"/>
        <v>-8.06541521744885E-3</v>
      </c>
      <c r="F291" s="78">
        <f t="shared" si="216"/>
        <v>-1.0756817187217898E-2</v>
      </c>
      <c r="G291" s="78">
        <f t="shared" si="216"/>
        <v>-9.8216152570636123E-3</v>
      </c>
      <c r="H291" s="78">
        <f t="shared" si="216"/>
        <v>-8.9726179286261625E-3</v>
      </c>
      <c r="M291" s="78"/>
      <c r="O291" s="78"/>
      <c r="P291" s="78"/>
    </row>
    <row r="292" spans="2:16">
      <c r="E292" s="111"/>
    </row>
    <row r="293" spans="2:16">
      <c r="B293" s="77" t="s">
        <v>100</v>
      </c>
      <c r="E293" s="111">
        <f>E135</f>
        <v>-127.81</v>
      </c>
      <c r="F293" s="111">
        <f>F135</f>
        <v>-173.726</v>
      </c>
      <c r="G293" s="111">
        <f>G135</f>
        <v>-233.92699999999999</v>
      </c>
      <c r="H293" s="111">
        <f>H135</f>
        <v>-286.08073000977959</v>
      </c>
      <c r="M293" s="111"/>
      <c r="O293" s="111"/>
      <c r="P293" s="111"/>
    </row>
    <row r="294" spans="2:16">
      <c r="B294" s="77" t="s">
        <v>44</v>
      </c>
      <c r="E294" s="111">
        <f>E160</f>
        <v>-167.304</v>
      </c>
      <c r="F294" s="111">
        <f>F160</f>
        <v>-366.113</v>
      </c>
      <c r="G294" s="111">
        <f>G160</f>
        <v>-542.952</v>
      </c>
      <c r="H294" s="111">
        <f>H160</f>
        <v>-664.00246453068621</v>
      </c>
      <c r="M294" s="111"/>
      <c r="O294" s="111"/>
      <c r="P294" s="111"/>
    </row>
    <row r="295" spans="2:16">
      <c r="B295" s="77" t="s">
        <v>45</v>
      </c>
      <c r="E295" s="111">
        <f>E187</f>
        <v>-232.947</v>
      </c>
      <c r="F295" s="111">
        <f>F187</f>
        <v>-277.73899999999998</v>
      </c>
      <c r="G295" s="111">
        <f>G187</f>
        <v>-329.47500000000002</v>
      </c>
      <c r="H295" s="111">
        <f>H187</f>
        <v>-411.01074645953429</v>
      </c>
      <c r="M295" s="111"/>
      <c r="O295" s="111"/>
      <c r="P295" s="111"/>
    </row>
    <row r="296" spans="2:16">
      <c r="B296" s="77" t="s">
        <v>46</v>
      </c>
      <c r="E296" s="111">
        <f>E217</f>
        <v>-12.715999999999999</v>
      </c>
      <c r="F296" s="111">
        <f>F217</f>
        <v>-22.695</v>
      </c>
      <c r="G296" s="111">
        <f>G217</f>
        <v>-61.892000000000003</v>
      </c>
      <c r="H296" s="111">
        <f>H217</f>
        <v>-86.901059000000004</v>
      </c>
      <c r="M296" s="111"/>
      <c r="O296" s="111"/>
      <c r="P296" s="111"/>
    </row>
    <row r="297" spans="2:16">
      <c r="E297" s="111">
        <f>SUM(E293:E296)</f>
        <v>-540.77700000000004</v>
      </c>
      <c r="F297" s="111">
        <f>SUM(F293:F296)</f>
        <v>-840.27300000000002</v>
      </c>
      <c r="G297" s="111">
        <f>SUM(G293:G296)</f>
        <v>-1168.2460000000001</v>
      </c>
      <c r="H297" s="111">
        <f>SUM(H293:H296)</f>
        <v>-1447.9950000000001</v>
      </c>
      <c r="M297" s="111"/>
      <c r="O297" s="111"/>
      <c r="P297" s="111"/>
    </row>
    <row r="298" spans="2:16">
      <c r="E298" s="111"/>
    </row>
    <row r="299" spans="2:16" hidden="1" outlineLevel="2">
      <c r="B299" s="182" t="s">
        <v>145</v>
      </c>
    </row>
    <row r="300" spans="2:16" hidden="1" outlineLevel="2">
      <c r="B300" s="77" t="s">
        <v>146</v>
      </c>
      <c r="G300" s="99">
        <v>2632</v>
      </c>
    </row>
    <row r="301" spans="2:16" hidden="1" outlineLevel="2">
      <c r="B301" s="77" t="s">
        <v>147</v>
      </c>
      <c r="G301" s="99">
        <v>2010</v>
      </c>
    </row>
    <row r="302" spans="2:16" hidden="1" outlineLevel="2">
      <c r="B302" s="77" t="s">
        <v>148</v>
      </c>
      <c r="G302" s="99">
        <v>1060</v>
      </c>
    </row>
    <row r="303" spans="2:16" hidden="1" outlineLevel="2">
      <c r="B303" s="77" t="s">
        <v>149</v>
      </c>
      <c r="G303" s="99">
        <v>347</v>
      </c>
    </row>
    <row r="304" spans="2:16" hidden="1" outlineLevel="2">
      <c r="B304" s="77" t="s">
        <v>150</v>
      </c>
      <c r="G304" s="99">
        <v>133</v>
      </c>
    </row>
    <row r="305" spans="1:16" hidden="1" outlineLevel="2">
      <c r="B305" s="77" t="s">
        <v>151</v>
      </c>
      <c r="G305" s="99">
        <v>98</v>
      </c>
    </row>
    <row r="306" spans="1:16" hidden="1" outlineLevel="2"/>
    <row r="307" spans="1:16" hidden="1" outlineLevel="2">
      <c r="B307" s="77" t="s">
        <v>152</v>
      </c>
      <c r="G307" s="99">
        <v>5911</v>
      </c>
    </row>
    <row r="308" spans="1:16" hidden="1" outlineLevel="2">
      <c r="B308" s="77" t="s">
        <v>153</v>
      </c>
      <c r="G308" s="99">
        <v>369</v>
      </c>
    </row>
    <row r="309" spans="1:16" hidden="1" outlineLevel="2"/>
    <row r="310" spans="1:16" hidden="1" outlineLevel="2">
      <c r="B310" s="98" t="s">
        <v>154</v>
      </c>
    </row>
    <row r="311" spans="1:16" hidden="1" outlineLevel="2">
      <c r="B311" s="183" t="s">
        <v>81</v>
      </c>
    </row>
    <row r="312" spans="1:16" hidden="1" outlineLevel="2"/>
    <row r="313" spans="1:16" collapsed="1">
      <c r="B313" s="156" t="s">
        <v>108</v>
      </c>
      <c r="C313" s="177"/>
      <c r="D313" s="177"/>
      <c r="E313" s="179">
        <f>SUM(E314:E316)</f>
        <v>-100.79900000000001</v>
      </c>
      <c r="F313" s="179">
        <f>SUM(F314:F316)</f>
        <v>-183.76399999999998</v>
      </c>
      <c r="G313" s="179">
        <f>SUM(G314:G316)</f>
        <v>-267.77600000000001</v>
      </c>
      <c r="H313" s="179">
        <f>SUM(H314:H316)</f>
        <v>-419.35500000000002</v>
      </c>
      <c r="I313" s="179">
        <f t="shared" ref="I313" si="217">SUM(I314:I316)</f>
        <v>-343.00684022428101</v>
      </c>
      <c r="J313" s="179">
        <f>SUM(J314:J316)</f>
        <v>-517.97809293438445</v>
      </c>
      <c r="K313" s="179">
        <f t="shared" ref="K313" si="218">SUM(K314:K316)</f>
        <v>-596.58469043955165</v>
      </c>
      <c r="M313" s="179"/>
      <c r="N313" s="179"/>
      <c r="O313" s="179"/>
      <c r="P313" s="179"/>
    </row>
    <row r="314" spans="1:16">
      <c r="A314" s="273" t="str">
        <f>B314</f>
        <v>Depreciation of property, plant and equipment</v>
      </c>
      <c r="B314" s="77" t="s">
        <v>131</v>
      </c>
      <c r="E314" s="111">
        <f>E237</f>
        <v>-57.238999999999997</v>
      </c>
      <c r="F314" s="111">
        <f>F237</f>
        <v>-105.31</v>
      </c>
      <c r="G314" s="100">
        <f>BS!F123</f>
        <v>-160.50399999999999</v>
      </c>
      <c r="H314" s="100">
        <f>BS!G123</f>
        <v>-314.887</v>
      </c>
      <c r="I314" s="100">
        <f>BS!H123</f>
        <v>-208.56941894722235</v>
      </c>
      <c r="J314" s="100">
        <f>BS!I123</f>
        <v>-361.37835516806115</v>
      </c>
      <c r="K314" s="100">
        <f>BS!J123</f>
        <v>-415.97525713838405</v>
      </c>
      <c r="M314" s="100"/>
      <c r="O314" s="100"/>
    </row>
    <row r="315" spans="1:16">
      <c r="A315" s="273" t="str">
        <f t="shared" ref="A315:A316" si="219">B315</f>
        <v>Depreciation of right-of-use assets</v>
      </c>
      <c r="B315" s="77" t="s">
        <v>133</v>
      </c>
      <c r="E315" s="111">
        <f>E239</f>
        <v>-42.363</v>
      </c>
      <c r="F315" s="111">
        <f>F239</f>
        <v>-75.781999999999996</v>
      </c>
      <c r="G315" s="111">
        <f>G239</f>
        <v>-103.47199999999999</v>
      </c>
      <c r="H315" s="111">
        <f>H239</f>
        <v>-99.177999999999997</v>
      </c>
      <c r="I315" s="111">
        <f t="shared" ref="I315:K315" si="220">I322</f>
        <v>-129.14742127705861</v>
      </c>
      <c r="J315" s="111">
        <f t="shared" si="220"/>
        <v>-151.30973776632328</v>
      </c>
      <c r="K315" s="111">
        <f t="shared" si="220"/>
        <v>-175.31943330116761</v>
      </c>
      <c r="M315" s="111"/>
      <c r="O315" s="111"/>
    </row>
    <row r="316" spans="1:16">
      <c r="A316" s="273" t="str">
        <f t="shared" si="219"/>
        <v>Amortisation of other intangible assets</v>
      </c>
      <c r="B316" s="77" t="s">
        <v>134</v>
      </c>
      <c r="E316" s="111">
        <f>E240</f>
        <v>-1.1970000000000001</v>
      </c>
      <c r="F316" s="111">
        <f>F240</f>
        <v>-2.6720000000000002</v>
      </c>
      <c r="G316" s="100">
        <f>BS!F172</f>
        <v>-3.8</v>
      </c>
      <c r="H316" s="100">
        <f>BS!G172</f>
        <v>-5.29</v>
      </c>
      <c r="I316" s="100">
        <f>BS!H172</f>
        <v>-5.29</v>
      </c>
      <c r="J316" s="100">
        <f>BS!I172</f>
        <v>-5.29</v>
      </c>
      <c r="K316" s="100">
        <f>BS!J172</f>
        <v>-5.29</v>
      </c>
      <c r="M316" s="100"/>
      <c r="O316" s="100"/>
    </row>
    <row r="318" spans="1:16">
      <c r="B318" s="184" t="s">
        <v>155</v>
      </c>
      <c r="E318" s="111">
        <f>E314</f>
        <v>-57.238999999999997</v>
      </c>
      <c r="F318" s="111">
        <f>F314</f>
        <v>-105.31</v>
      </c>
      <c r="G318" s="111">
        <f>G314</f>
        <v>-160.50399999999999</v>
      </c>
      <c r="H318" s="111">
        <f>H314</f>
        <v>-314.887</v>
      </c>
      <c r="I318" s="111">
        <f t="shared" ref="I318:K318" si="221">I334-I329</f>
        <v>-208.56941894722235</v>
      </c>
      <c r="J318" s="111">
        <f t="shared" si="221"/>
        <v>-361.37835516806115</v>
      </c>
      <c r="K318" s="111">
        <f t="shared" si="221"/>
        <v>-415.97525713838405</v>
      </c>
      <c r="M318" s="111"/>
      <c r="O318" s="111"/>
    </row>
    <row r="319" spans="1:16">
      <c r="B319" s="98" t="s">
        <v>156</v>
      </c>
      <c r="E319" s="100"/>
      <c r="F319" s="100">
        <f>BS!D14</f>
        <v>1033.4970000000001</v>
      </c>
      <c r="G319" s="100">
        <f>BS!E14</f>
        <v>1701.086</v>
      </c>
      <c r="H319" s="100">
        <f>BS!F14</f>
        <v>3390.0529999999999</v>
      </c>
      <c r="I319" s="100">
        <f>BS!G14</f>
        <v>5317.826</v>
      </c>
      <c r="J319" s="100">
        <f>BS!H14</f>
        <v>7434.5975810527771</v>
      </c>
      <c r="K319" s="100">
        <f>BS!I14</f>
        <v>9398.5602258847157</v>
      </c>
      <c r="M319" s="100"/>
      <c r="O319" s="100"/>
    </row>
    <row r="320" spans="1:16">
      <c r="B320" s="183" t="s">
        <v>157</v>
      </c>
      <c r="E320" s="78"/>
      <c r="F320" s="78">
        <f>F318/AVERAGE(F319:G319)</f>
        <v>-7.7020883988527689E-2</v>
      </c>
      <c r="G320" s="78">
        <f>G318/AVERAGE(G319:H319)</f>
        <v>-6.3052295370446571E-2</v>
      </c>
      <c r="H320" s="78">
        <f>H318/AVERAGE(H319:I319)</f>
        <v>-7.2322318672549304E-2</v>
      </c>
      <c r="I320" s="78">
        <f t="shared" ref="I320:J320" si="222">I318/AVERAGE(I319:J319)</f>
        <v>-3.271055382086107E-2</v>
      </c>
      <c r="J320" s="78">
        <f t="shared" si="222"/>
        <v>-4.2936489910303743E-2</v>
      </c>
      <c r="K320" s="78">
        <f>K318/AVERAGE(K319:K319)</f>
        <v>-4.4259466039568526E-2</v>
      </c>
      <c r="M320" s="78"/>
      <c r="O320" s="78"/>
    </row>
    <row r="321" spans="2:15">
      <c r="B321" s="185"/>
    </row>
    <row r="322" spans="2:15">
      <c r="B322" s="184" t="s">
        <v>158</v>
      </c>
      <c r="E322" s="167">
        <f>E315</f>
        <v>-42.363</v>
      </c>
      <c r="F322" s="167">
        <f>F315</f>
        <v>-75.781999999999996</v>
      </c>
      <c r="G322" s="167">
        <f>G315</f>
        <v>-103.47199999999999</v>
      </c>
      <c r="H322" s="167">
        <f>H315</f>
        <v>-99.177999999999997</v>
      </c>
      <c r="I322" s="170">
        <f t="shared" ref="I322:K322" si="223">(I325+I326)*I327</f>
        <v>-129.14742127705861</v>
      </c>
      <c r="J322" s="170">
        <f t="shared" si="223"/>
        <v>-151.30973776632328</v>
      </c>
      <c r="K322" s="170">
        <f t="shared" si="223"/>
        <v>-175.31943330116761</v>
      </c>
      <c r="M322" s="167"/>
      <c r="O322" s="167"/>
    </row>
    <row r="323" spans="2:15">
      <c r="B323" s="98" t="s">
        <v>159</v>
      </c>
      <c r="F323" s="100">
        <f>BS!D16</f>
        <v>166.03100000000001</v>
      </c>
      <c r="G323" s="100">
        <f>BS!E16</f>
        <v>445.56</v>
      </c>
      <c r="H323" s="100">
        <f>BS!F16</f>
        <v>426.98599999999999</v>
      </c>
      <c r="I323" s="100">
        <f>BS!G16</f>
        <v>382.18900000000002</v>
      </c>
      <c r="J323" s="100">
        <f>BS!H16</f>
        <v>340.3870787229414</v>
      </c>
      <c r="K323" s="100">
        <f>BS!I16</f>
        <v>285.15739095661814</v>
      </c>
      <c r="M323" s="100"/>
      <c r="O323" s="100"/>
    </row>
    <row r="324" spans="2:15">
      <c r="B324" s="183" t="s">
        <v>157</v>
      </c>
      <c r="F324" s="78">
        <f>F322/AVERAGE(F323:G323)</f>
        <v>-0.24781921251293756</v>
      </c>
      <c r="G324" s="78">
        <f>G322/AVERAGE(G323:H323)</f>
        <v>-0.23717259605797283</v>
      </c>
      <c r="H324" s="78">
        <f>H322/AVERAGE(H323:I323)</f>
        <v>-0.24513362375258752</v>
      </c>
      <c r="I324" s="78">
        <f t="shared" ref="I324:J324" si="224">I322/AVERAGE(I323:J323)</f>
        <v>-0.35746387150072767</v>
      </c>
      <c r="J324" s="78">
        <f t="shared" si="224"/>
        <v>-0.4837697241375436</v>
      </c>
      <c r="K324" s="78">
        <f>K322/AVERAGE(K323:K323)</f>
        <v>-0.61481637460990612</v>
      </c>
      <c r="M324" s="78"/>
      <c r="O324" s="78"/>
    </row>
    <row r="325" spans="2:15">
      <c r="B325" s="98" t="s">
        <v>160</v>
      </c>
      <c r="E325" s="111">
        <f t="shared" ref="E325:K325" si="225">E164</f>
        <v>-39.457999999999998</v>
      </c>
      <c r="F325" s="111">
        <f t="shared" si="225"/>
        <v>-93.245000000000005</v>
      </c>
      <c r="G325" s="111">
        <f t="shared" si="225"/>
        <v>-127.548</v>
      </c>
      <c r="H325" s="111">
        <f t="shared" si="225"/>
        <v>-143.57022894829743</v>
      </c>
      <c r="I325" s="111">
        <f t="shared" si="225"/>
        <v>-186.95401037356595</v>
      </c>
      <c r="J325" s="111">
        <f t="shared" si="225"/>
        <v>-219.036214616325</v>
      </c>
      <c r="K325" s="111">
        <f t="shared" si="225"/>
        <v>-253.79268767402439</v>
      </c>
      <c r="M325" s="111"/>
      <c r="O325" s="111"/>
    </row>
    <row r="326" spans="2:15">
      <c r="B326" s="98" t="s">
        <v>161</v>
      </c>
      <c r="E326" s="111">
        <f t="shared" ref="E326:K326" si="226">E191</f>
        <v>-14.159000000000001</v>
      </c>
      <c r="F326" s="111">
        <f t="shared" si="226"/>
        <v>-19.309999999999999</v>
      </c>
      <c r="G326" s="111">
        <f t="shared" si="226"/>
        <v>-29.065999999999999</v>
      </c>
      <c r="H326" s="111">
        <f t="shared" si="226"/>
        <v>-35.546228090234365</v>
      </c>
      <c r="I326" s="111">
        <f t="shared" si="226"/>
        <v>-46.287520357134767</v>
      </c>
      <c r="J326" s="111">
        <f t="shared" si="226"/>
        <v>-54.23068070454412</v>
      </c>
      <c r="K326" s="111">
        <f t="shared" si="226"/>
        <v>-62.835957216055313</v>
      </c>
      <c r="M326" s="111"/>
      <c r="O326" s="111"/>
    </row>
    <row r="327" spans="2:15">
      <c r="B327" s="183" t="s">
        <v>162</v>
      </c>
      <c r="E327" s="78">
        <f>E322/(E326+E325)</f>
        <v>0.79010388496185913</v>
      </c>
      <c r="F327" s="78">
        <f t="shared" ref="F327:H327" si="227">F322/(F326+F325)</f>
        <v>0.6732886144551552</v>
      </c>
      <c r="G327" s="78">
        <f t="shared" si="227"/>
        <v>0.66068167596766569</v>
      </c>
      <c r="H327" s="78">
        <f t="shared" si="227"/>
        <v>0.55370679858113026</v>
      </c>
      <c r="I327" s="146">
        <f t="shared" ref="I327:K327" si="228">H327</f>
        <v>0.55370679858113026</v>
      </c>
      <c r="J327" s="146">
        <f t="shared" si="228"/>
        <v>0.55370679858113026</v>
      </c>
      <c r="K327" s="146">
        <f t="shared" si="228"/>
        <v>0.55370679858113026</v>
      </c>
      <c r="M327" s="78"/>
      <c r="O327" s="78"/>
    </row>
    <row r="329" spans="2:15">
      <c r="B329" s="184" t="s">
        <v>163</v>
      </c>
      <c r="F329" s="111">
        <f>F316</f>
        <v>-2.6720000000000002</v>
      </c>
      <c r="G329" s="111">
        <f>G316</f>
        <v>-3.8</v>
      </c>
      <c r="H329" s="111">
        <f>H316</f>
        <v>-5.29</v>
      </c>
      <c r="I329" s="111">
        <f t="shared" ref="I329:K329" si="229">I316</f>
        <v>-5.29</v>
      </c>
      <c r="J329" s="111">
        <f t="shared" si="229"/>
        <v>-5.29</v>
      </c>
      <c r="K329" s="111">
        <f t="shared" si="229"/>
        <v>-5.29</v>
      </c>
      <c r="M329" s="111"/>
      <c r="O329" s="111"/>
    </row>
    <row r="330" spans="2:15">
      <c r="B330" s="98" t="s">
        <v>164</v>
      </c>
      <c r="F330" s="100">
        <f>BS!D17</f>
        <v>9.0289999999999999</v>
      </c>
      <c r="G330" s="100">
        <f>BS!E17</f>
        <v>20.591000000000001</v>
      </c>
      <c r="H330" s="100">
        <f>BS!F17</f>
        <v>25.623999999999999</v>
      </c>
      <c r="I330" s="100">
        <f>BS!G17</f>
        <v>41.963999999999999</v>
      </c>
      <c r="J330" s="100">
        <f>BS!H17</f>
        <v>53.673999999999999</v>
      </c>
      <c r="K330" s="100">
        <f>BS!I17</f>
        <v>65.384</v>
      </c>
      <c r="M330" s="100"/>
      <c r="O330" s="100"/>
    </row>
    <row r="331" spans="2:15">
      <c r="B331" s="183" t="s">
        <v>165</v>
      </c>
      <c r="F331" s="78">
        <f>F329/AVERAGE(F330:G330)</f>
        <v>-0.18041863605671843</v>
      </c>
      <c r="G331" s="78">
        <f>G329/AVERAGE(G330:H330)</f>
        <v>-0.16444877204370872</v>
      </c>
      <c r="H331" s="78">
        <f>H329/AVERAGE(H330:I330)</f>
        <v>-0.15653666331301416</v>
      </c>
      <c r="I331" s="78">
        <f t="shared" ref="I331:J331" si="230">I329/AVERAGE(I330:J330)</f>
        <v>-0.11062548359438716</v>
      </c>
      <c r="J331" s="78">
        <f t="shared" si="230"/>
        <v>-8.886425103730955E-2</v>
      </c>
      <c r="K331" s="78">
        <f>K329/AVERAGE(K330:K330)</f>
        <v>-8.0906643827236016E-2</v>
      </c>
      <c r="M331" s="78"/>
      <c r="O331" s="78"/>
    </row>
    <row r="333" spans="2:15">
      <c r="B333" s="186" t="s">
        <v>166</v>
      </c>
    </row>
    <row r="334" spans="2:15">
      <c r="B334" s="77" t="s">
        <v>167</v>
      </c>
      <c r="E334" s="111">
        <f>E314+E316</f>
        <v>-58.436</v>
      </c>
      <c r="F334" s="111">
        <f t="shared" ref="F334" si="231">F314+F316</f>
        <v>-107.982</v>
      </c>
      <c r="G334" s="111">
        <f>G314+G316</f>
        <v>-164.304</v>
      </c>
      <c r="H334" s="111">
        <f>H314+H316</f>
        <v>-320.17700000000002</v>
      </c>
      <c r="I334" s="111">
        <f>(I335+I336)/I337</f>
        <v>-213.85941894722234</v>
      </c>
      <c r="J334" s="111">
        <f t="shared" ref="J334:K334" si="232">(J335+J336)/J337</f>
        <v>-366.66835516806117</v>
      </c>
      <c r="K334" s="111">
        <f t="shared" si="232"/>
        <v>-421.26525713838407</v>
      </c>
      <c r="M334" s="111"/>
      <c r="O334" s="111"/>
    </row>
    <row r="335" spans="2:15">
      <c r="B335" s="98" t="s">
        <v>168</v>
      </c>
      <c r="E335" s="100">
        <f t="shared" ref="E335:K335" si="233">E136</f>
        <v>-35.567999999999998</v>
      </c>
      <c r="F335" s="100">
        <f t="shared" si="233"/>
        <v>-57.512</v>
      </c>
      <c r="G335" s="100">
        <f t="shared" si="233"/>
        <v>-75.268000000000001</v>
      </c>
      <c r="H335" s="100">
        <f t="shared" si="233"/>
        <v>-155.34634831306539</v>
      </c>
      <c r="I335" s="100">
        <f t="shared" si="233"/>
        <v>-62.986390814061451</v>
      </c>
      <c r="J335" s="100">
        <f t="shared" si="233"/>
        <v>-164.7182259576075</v>
      </c>
      <c r="K335" s="100">
        <f t="shared" si="233"/>
        <v>-197.05976014662156</v>
      </c>
      <c r="M335" s="100"/>
      <c r="O335" s="100"/>
    </row>
    <row r="336" spans="2:15">
      <c r="B336" s="98" t="s">
        <v>169</v>
      </c>
      <c r="E336" s="111">
        <f t="shared" ref="E336:K336" si="234">E189</f>
        <v>-28.248999999999999</v>
      </c>
      <c r="F336" s="111">
        <f t="shared" si="234"/>
        <v>-40.594000000000001</v>
      </c>
      <c r="G336" s="111">
        <f t="shared" si="234"/>
        <v>-49.664000000000001</v>
      </c>
      <c r="H336" s="111">
        <f t="shared" si="234"/>
        <v>-74.486621999999997</v>
      </c>
      <c r="I336" s="111">
        <f t="shared" si="234"/>
        <v>-90.528525891593105</v>
      </c>
      <c r="J336" s="111">
        <f t="shared" si="234"/>
        <v>-98.487679488697239</v>
      </c>
      <c r="K336" s="111">
        <f t="shared" si="234"/>
        <v>-105.33749305336492</v>
      </c>
      <c r="M336" s="111"/>
      <c r="O336" s="111"/>
    </row>
    <row r="337" spans="2:16">
      <c r="B337" s="98" t="s">
        <v>170</v>
      </c>
      <c r="E337" s="78">
        <f>(E335+E336)/E334</f>
        <v>1.0920836470668764</v>
      </c>
      <c r="F337" s="78">
        <f t="shared" ref="F337:H337" si="235">(F335+F336)/F334</f>
        <v>0.9085403122742679</v>
      </c>
      <c r="G337" s="78">
        <f t="shared" si="235"/>
        <v>0.76037101957347353</v>
      </c>
      <c r="H337" s="78">
        <f t="shared" si="235"/>
        <v>0.71783098196642914</v>
      </c>
      <c r="I337" s="146">
        <f t="shared" ref="I337:K337" si="236">H337</f>
        <v>0.71783098196642914</v>
      </c>
      <c r="J337" s="146">
        <f t="shared" si="236"/>
        <v>0.71783098196642914</v>
      </c>
      <c r="K337" s="146">
        <f t="shared" si="236"/>
        <v>0.71783098196642914</v>
      </c>
      <c r="M337" s="78"/>
      <c r="O337" s="78"/>
    </row>
    <row r="338" spans="2:16">
      <c r="H338" s="126"/>
      <c r="I338" s="126"/>
      <c r="J338" s="126"/>
      <c r="K338" s="126"/>
      <c r="M338" s="126"/>
      <c r="O338" s="126"/>
    </row>
    <row r="340" spans="2:16">
      <c r="B340" s="156" t="s">
        <v>171</v>
      </c>
      <c r="C340" s="177"/>
      <c r="D340" s="177"/>
      <c r="E340" s="177"/>
      <c r="F340" s="177"/>
      <c r="G340" s="177"/>
      <c r="H340" s="177"/>
      <c r="I340" s="177"/>
      <c r="J340" s="177"/>
      <c r="K340" s="177"/>
      <c r="M340" s="177"/>
      <c r="N340" s="177"/>
      <c r="O340" s="177"/>
      <c r="P340" s="177"/>
    </row>
    <row r="342" spans="2:16">
      <c r="B342" s="184" t="s">
        <v>171</v>
      </c>
    </row>
    <row r="343" spans="2:16">
      <c r="B343" s="187" t="s">
        <v>112</v>
      </c>
      <c r="E343" s="111">
        <f>E149</f>
        <v>38.220999999999997</v>
      </c>
      <c r="F343" s="111">
        <f>F149</f>
        <v>44.322000000000003</v>
      </c>
      <c r="G343" s="111">
        <f>G149</f>
        <v>53.801000000000002</v>
      </c>
      <c r="H343" s="111">
        <f>H149</f>
        <v>107.015</v>
      </c>
      <c r="I343" s="170">
        <f>I344*I345+(CF!H59+CF!H60)*75%*IS!I345</f>
        <v>153.59067344036694</v>
      </c>
      <c r="J343" s="111">
        <f>J344*J345</f>
        <v>196.913876622087</v>
      </c>
      <c r="K343" s="111">
        <f t="shared" ref="K343" si="237">K344*K345</f>
        <v>277.53392365453658</v>
      </c>
      <c r="M343" s="111"/>
      <c r="N343" s="111"/>
      <c r="O343" s="111"/>
      <c r="P343" s="111"/>
    </row>
    <row r="344" spans="2:16">
      <c r="B344" s="188" t="s">
        <v>172</v>
      </c>
      <c r="F344" s="100">
        <f>BS!D184-BS!D8</f>
        <v>2737.692</v>
      </c>
      <c r="G344" s="100">
        <f>BS!E184-BS!E8</f>
        <v>2829.2840000000001</v>
      </c>
      <c r="H344" s="100">
        <f>BS!F184-BS!F8</f>
        <v>6037.5240000000003</v>
      </c>
      <c r="I344" s="100">
        <f>BS!G184-BS!G8</f>
        <v>7617.8529999999992</v>
      </c>
      <c r="J344" s="100">
        <f>BS!H184-BS!H8</f>
        <v>14065.276901577643</v>
      </c>
      <c r="K344" s="100">
        <f>BS!I184-BS!I8</f>
        <v>19823.851689609754</v>
      </c>
      <c r="M344" s="100"/>
      <c r="N344" s="100"/>
      <c r="O344" s="100"/>
      <c r="P344" s="100"/>
    </row>
    <row r="345" spans="2:16">
      <c r="B345" s="189" t="s">
        <v>173</v>
      </c>
      <c r="F345" s="104">
        <f>F343/F344</f>
        <v>1.618954944529918E-2</v>
      </c>
      <c r="G345" s="104">
        <f>G343/G344</f>
        <v>1.9015765119372956E-2</v>
      </c>
      <c r="H345" s="104">
        <f>H343/H344</f>
        <v>1.7724981300281373E-2</v>
      </c>
      <c r="I345" s="149">
        <v>1.4999999999999999E-2</v>
      </c>
      <c r="J345" s="149">
        <v>1.4E-2</v>
      </c>
      <c r="K345" s="149">
        <v>1.4E-2</v>
      </c>
      <c r="M345" s="190"/>
      <c r="N345" s="104"/>
      <c r="O345" s="190"/>
      <c r="P345" s="104"/>
    </row>
    <row r="346" spans="2:16">
      <c r="B346" s="189" t="s">
        <v>174</v>
      </c>
      <c r="F346" s="104">
        <f>F343/AVERAGE(F344:G344)</f>
        <v>1.5923187022900763E-2</v>
      </c>
      <c r="G346" s="104">
        <f>G343/AVERAGE(G344:H344)</f>
        <v>1.2135370473793951E-2</v>
      </c>
      <c r="H346" s="104">
        <f>H343/AVERAGE(H344:I344)</f>
        <v>1.5673679313284429E-2</v>
      </c>
      <c r="I346" s="104">
        <f>I343/AVERAGE(I344:J344)</f>
        <v>1.4166836073715709E-2</v>
      </c>
      <c r="J346" s="104">
        <f t="shared" ref="J346" si="238">J343/AVERAGE(J344:K344)</f>
        <v>1.1621064619129387E-2</v>
      </c>
      <c r="K346" s="104">
        <f>K343/AVERAGE(K344:K344)</f>
        <v>1.4000000000000002E-2</v>
      </c>
      <c r="M346" s="104"/>
      <c r="O346" s="104"/>
    </row>
    <row r="347" spans="2:16">
      <c r="I347" s="104">
        <f>I343/J344</f>
        <v>1.0919847118199238E-2</v>
      </c>
      <c r="N347" s="104"/>
      <c r="P347" s="104"/>
    </row>
    <row r="348" spans="2:16">
      <c r="B348" s="187" t="s">
        <v>113</v>
      </c>
      <c r="E348" s="111">
        <f>E150</f>
        <v>25.998999999999999</v>
      </c>
      <c r="F348" s="111">
        <f>F150</f>
        <v>25.643999999999998</v>
      </c>
      <c r="G348" s="111">
        <f>G150</f>
        <v>53.332999999999998</v>
      </c>
      <c r="H348" s="111">
        <f>H150</f>
        <v>45.17</v>
      </c>
      <c r="I348" s="111">
        <f t="shared" ref="I348:K348" si="239">I349*I350</f>
        <v>104.74929</v>
      </c>
      <c r="J348" s="111">
        <f t="shared" si="239"/>
        <v>104.74929</v>
      </c>
      <c r="K348" s="111">
        <f t="shared" si="239"/>
        <v>104.74929</v>
      </c>
      <c r="M348" s="111"/>
      <c r="N348" s="111"/>
      <c r="O348" s="111"/>
      <c r="P348" s="111"/>
    </row>
    <row r="349" spans="2:16">
      <c r="B349" s="188" t="s">
        <v>175</v>
      </c>
      <c r="F349" s="100">
        <f>BS!D8</f>
        <v>900.23699999999997</v>
      </c>
      <c r="G349" s="100">
        <f>BS!E8</f>
        <v>1865.6759999999999</v>
      </c>
      <c r="H349" s="100">
        <f>BS!F8</f>
        <v>746.04600000000005</v>
      </c>
      <c r="I349" s="100">
        <f>BS!G8</f>
        <v>3491.643</v>
      </c>
      <c r="J349" s="100">
        <f>BS!H8</f>
        <v>3491.643</v>
      </c>
      <c r="K349" s="100">
        <f>BS!I8</f>
        <v>3491.643</v>
      </c>
      <c r="M349" s="100"/>
      <c r="N349" s="100"/>
      <c r="O349" s="100"/>
      <c r="P349" s="100"/>
    </row>
    <row r="350" spans="2:16">
      <c r="B350" s="189" t="s">
        <v>176</v>
      </c>
      <c r="F350" s="104">
        <f>F348/F349</f>
        <v>2.8485832064223088E-2</v>
      </c>
      <c r="G350" s="104">
        <f>G348/G349</f>
        <v>2.8586421222120025E-2</v>
      </c>
      <c r="H350" s="104">
        <f>H348/H349</f>
        <v>6.0545864464121517E-2</v>
      </c>
      <c r="I350" s="149">
        <v>0.03</v>
      </c>
      <c r="J350" s="149">
        <f t="shared" ref="J350:K350" si="240">I350</f>
        <v>0.03</v>
      </c>
      <c r="K350" s="149">
        <f t="shared" si="240"/>
        <v>0.03</v>
      </c>
      <c r="M350" s="190"/>
      <c r="N350" s="104"/>
      <c r="O350" s="190"/>
      <c r="P350" s="104"/>
    </row>
    <row r="352" spans="2:16">
      <c r="B352" s="184" t="s">
        <v>51</v>
      </c>
    </row>
    <row r="353" spans="2:16">
      <c r="B353" s="187" t="s">
        <v>177</v>
      </c>
      <c r="E353" s="99">
        <v>-1.173</v>
      </c>
      <c r="F353" s="99">
        <v>-3.278</v>
      </c>
      <c r="G353" s="99">
        <v>-7.2409999999999997</v>
      </c>
      <c r="H353" s="99">
        <v>-2.2400000000000002</v>
      </c>
      <c r="I353" s="111">
        <f t="shared" ref="I353:K353" si="241">I354*I355</f>
        <v>0</v>
      </c>
      <c r="J353" s="111">
        <f t="shared" si="241"/>
        <v>0</v>
      </c>
      <c r="K353" s="111">
        <f t="shared" si="241"/>
        <v>0</v>
      </c>
      <c r="M353" s="99"/>
      <c r="N353" s="111"/>
      <c r="O353" s="99"/>
      <c r="P353" s="111"/>
    </row>
    <row r="354" spans="2:16">
      <c r="B354" s="188" t="s">
        <v>178</v>
      </c>
      <c r="F354" s="100">
        <f>BS!D62</f>
        <v>30.03</v>
      </c>
      <c r="G354" s="100">
        <f>BS!E62</f>
        <v>140.08799999999999</v>
      </c>
      <c r="H354" s="100">
        <f>BS!F62</f>
        <v>259.74799999999999</v>
      </c>
      <c r="I354" s="100">
        <f>BS!G62</f>
        <v>0</v>
      </c>
      <c r="J354" s="100">
        <f>BS!H62</f>
        <v>0</v>
      </c>
      <c r="K354" s="100">
        <f>BS!I62</f>
        <v>0</v>
      </c>
      <c r="M354" s="100"/>
      <c r="N354" s="100"/>
      <c r="O354" s="100"/>
      <c r="P354" s="100"/>
    </row>
    <row r="355" spans="2:16">
      <c r="B355" s="189" t="s">
        <v>179</v>
      </c>
      <c r="F355" s="104">
        <f>F353/F354</f>
        <v>-0.10915750915750916</v>
      </c>
      <c r="G355" s="104">
        <f>G353/G354</f>
        <v>-5.1688938381588716E-2</v>
      </c>
      <c r="H355" s="104">
        <f>H353/H354</f>
        <v>-8.6237430124582303E-3</v>
      </c>
      <c r="I355" s="149">
        <f t="shared" ref="I355:K355" si="242">H355</f>
        <v>-8.6237430124582303E-3</v>
      </c>
      <c r="J355" s="149">
        <f t="shared" si="242"/>
        <v>-8.6237430124582303E-3</v>
      </c>
      <c r="K355" s="149">
        <f t="shared" si="242"/>
        <v>-8.6237430124582303E-3</v>
      </c>
      <c r="M355" s="190"/>
      <c r="N355" s="104"/>
      <c r="O355" s="190"/>
      <c r="P355" s="104"/>
    </row>
    <row r="357" spans="2:16">
      <c r="B357" s="187" t="s">
        <v>180</v>
      </c>
      <c r="E357" s="99">
        <v>-4.8</v>
      </c>
      <c r="F357" s="99">
        <v>-5.9119999999999999</v>
      </c>
      <c r="G357" s="99">
        <v>-7.4560000000000004</v>
      </c>
      <c r="H357" s="99">
        <v>-4.1269999999999998</v>
      </c>
      <c r="I357" s="111">
        <f t="shared" ref="I357:K357" si="243">I358*I359</f>
        <v>-3.0212545303539642</v>
      </c>
      <c r="J357" s="111">
        <f t="shared" si="243"/>
        <v>-3.0212545303539642</v>
      </c>
      <c r="K357" s="111">
        <f t="shared" si="243"/>
        <v>-3.0212545303539642</v>
      </c>
      <c r="M357" s="99"/>
      <c r="N357" s="111"/>
      <c r="O357" s="99"/>
      <c r="P357" s="111"/>
    </row>
    <row r="358" spans="2:16">
      <c r="B358" s="188" t="s">
        <v>181</v>
      </c>
      <c r="F358" s="100">
        <f>BS!D33+BS!D39</f>
        <v>112.729</v>
      </c>
      <c r="G358" s="100">
        <f>BS!E33+BS!E39</f>
        <v>141.54900000000001</v>
      </c>
      <c r="H358" s="100">
        <f>BS!F33+BS!F39</f>
        <v>126.425</v>
      </c>
      <c r="I358" s="100">
        <f>BS!G33+BS!G39</f>
        <v>92.551999999999992</v>
      </c>
      <c r="J358" s="100">
        <f>BS!H33+BS!H39</f>
        <v>92.551999999999992</v>
      </c>
      <c r="K358" s="100">
        <f>BS!I33+BS!I39</f>
        <v>92.551999999999992</v>
      </c>
      <c r="M358" s="100"/>
      <c r="N358" s="100"/>
      <c r="O358" s="100"/>
      <c r="P358" s="100"/>
    </row>
    <row r="359" spans="2:16">
      <c r="B359" s="189" t="s">
        <v>182</v>
      </c>
      <c r="F359" s="104">
        <f>F357/F358</f>
        <v>-5.2444357707422222E-2</v>
      </c>
      <c r="G359" s="104">
        <f>G357/G358</f>
        <v>-5.2674338921504214E-2</v>
      </c>
      <c r="H359" s="104">
        <f>H357/H358</f>
        <v>-3.2643859996045084E-2</v>
      </c>
      <c r="I359" s="149">
        <f t="shared" ref="I359:K359" si="244">H359</f>
        <v>-3.2643859996045084E-2</v>
      </c>
      <c r="J359" s="149">
        <f t="shared" si="244"/>
        <v>-3.2643859996045084E-2</v>
      </c>
      <c r="K359" s="149">
        <f t="shared" si="244"/>
        <v>-3.2643859996045084E-2</v>
      </c>
      <c r="M359" s="190"/>
      <c r="N359" s="104"/>
      <c r="O359" s="190"/>
      <c r="P359" s="104"/>
    </row>
    <row r="363" spans="2:16">
      <c r="B363" s="110"/>
    </row>
  </sheetData>
  <dataValidations count="1">
    <dataValidation allowBlank="1" sqref="B54:B57" xr:uid="{2EE473EA-F871-4DC2-BDE8-AEF9FA01D559}"/>
  </dataValidations>
  <pageMargins left="0.7" right="0.7" top="0.75" bottom="0.75" header="0.3" footer="0.3"/>
  <pageSetup paperSize="9" orientation="portrait" horizontalDpi="300" verticalDpi="300" r:id="rId1"/>
  <customProperties>
    <customPr name="Qube.Worksheet.Visibility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02DE2-6501-4365-8FBB-086A4B9ABC21}">
  <sheetPr>
    <tabColor theme="5"/>
  </sheetPr>
  <dimension ref="A2:Q654"/>
  <sheetViews>
    <sheetView tabSelected="1" showOutlineSymbols="0" showWhiteSpace="0" zoomScaleNormal="100" workbookViewId="0">
      <pane xSplit="2" ySplit="3" topLeftCell="C52" activePane="bottomRight" state="frozen"/>
      <selection activeCell="J21" sqref="J21"/>
      <selection pane="topRight" activeCell="J21" sqref="J21"/>
      <selection pane="bottomLeft" activeCell="J21" sqref="J21"/>
      <selection pane="bottomRight" activeCell="K72" sqref="K72"/>
    </sheetView>
  </sheetViews>
  <sheetFormatPr defaultColWidth="9.140625" defaultRowHeight="12.75" outlineLevelRow="1" outlineLevelCol="6"/>
  <cols>
    <col min="1" max="1" width="9.140625" style="273"/>
    <col min="2" max="2" width="35.5703125" style="77" customWidth="1"/>
    <col min="3" max="3" width="10.140625" style="77" bestFit="1" customWidth="1"/>
    <col min="4" max="4" width="10.140625" style="77" customWidth="1"/>
    <col min="5" max="5" width="9.5703125" style="77" bestFit="1" customWidth="1"/>
    <col min="6" max="6" width="10.140625" style="77" bestFit="1" customWidth="1"/>
    <col min="7" max="11" width="10.140625" style="77" customWidth="1"/>
    <col min="12" max="17" width="10.140625" style="77" customWidth="1" outlineLevel="6"/>
    <col min="18" max="16384" width="9.140625" style="77"/>
  </cols>
  <sheetData>
    <row r="2" spans="1:17">
      <c r="B2" s="79" t="s">
        <v>33</v>
      </c>
      <c r="C2" s="80">
        <v>43830</v>
      </c>
      <c r="D2" s="80">
        <f>EOMONTH(C2,12)</f>
        <v>44196</v>
      </c>
      <c r="E2" s="80">
        <f t="shared" ref="E2:H2" si="0">EOMONTH(D2,12)</f>
        <v>44561</v>
      </c>
      <c r="F2" s="80">
        <f t="shared" si="0"/>
        <v>44926</v>
      </c>
      <c r="G2" s="80">
        <f t="shared" si="0"/>
        <v>45291</v>
      </c>
      <c r="H2" s="80">
        <f t="shared" si="0"/>
        <v>45657</v>
      </c>
      <c r="I2" s="81">
        <v>45992</v>
      </c>
      <c r="J2" s="81">
        <v>46357</v>
      </c>
      <c r="K2" s="81">
        <f>EDATE(J2,12)</f>
        <v>46722</v>
      </c>
      <c r="L2" s="82"/>
      <c r="M2" s="80">
        <v>45473</v>
      </c>
      <c r="N2" s="80">
        <f>EDATE(M2,6)</f>
        <v>45656</v>
      </c>
      <c r="O2" s="80">
        <v>45838</v>
      </c>
      <c r="P2" s="81">
        <f>EDATE(O2,6)</f>
        <v>46021</v>
      </c>
      <c r="Q2" s="82"/>
    </row>
    <row r="3" spans="1:17">
      <c r="B3" s="84" t="s">
        <v>35</v>
      </c>
      <c r="C3" s="85">
        <v>2019</v>
      </c>
      <c r="D3" s="85">
        <f>C3+1</f>
        <v>2020</v>
      </c>
      <c r="E3" s="85">
        <f t="shared" ref="E3:F3" si="1">D3+1</f>
        <v>2021</v>
      </c>
      <c r="F3" s="85">
        <f t="shared" si="1"/>
        <v>2022</v>
      </c>
      <c r="G3" s="85">
        <f>F3+1</f>
        <v>2023</v>
      </c>
      <c r="H3" s="85">
        <f>G3+1</f>
        <v>2024</v>
      </c>
      <c r="I3" s="81" t="s">
        <v>36</v>
      </c>
      <c r="J3" s="81" t="s">
        <v>37</v>
      </c>
      <c r="K3" s="81" t="s">
        <v>38</v>
      </c>
      <c r="L3" s="87"/>
      <c r="M3" s="85">
        <v>2024</v>
      </c>
      <c r="N3" s="85">
        <v>2024</v>
      </c>
      <c r="O3" s="85">
        <v>2025</v>
      </c>
      <c r="P3" s="86" t="s">
        <v>36</v>
      </c>
      <c r="Q3" s="87"/>
    </row>
    <row r="4" spans="1:17" s="147" customFormat="1">
      <c r="A4" s="270"/>
      <c r="B4" s="147" t="s">
        <v>183</v>
      </c>
    </row>
    <row r="5" spans="1:17">
      <c r="B5" s="110" t="s">
        <v>184</v>
      </c>
      <c r="C5" s="192"/>
      <c r="D5" s="192"/>
      <c r="E5" s="193">
        <f t="shared" ref="E5:K9" si="2">E42/1000</f>
        <v>22.8</v>
      </c>
      <c r="F5" s="193">
        <f t="shared" si="2"/>
        <v>30.654187199999999</v>
      </c>
      <c r="G5" s="193">
        <f t="shared" si="2"/>
        <v>47.848011999999997</v>
      </c>
      <c r="H5" s="193">
        <f>H42/1000</f>
        <v>58.268246401245584</v>
      </c>
      <c r="I5" s="193">
        <f>I42/1000</f>
        <v>78.146544821246295</v>
      </c>
      <c r="J5" s="193">
        <f t="shared" si="2"/>
        <v>88.899977937120639</v>
      </c>
      <c r="K5" s="193">
        <f t="shared" si="2"/>
        <v>103.57748272386814</v>
      </c>
      <c r="L5" s="93"/>
      <c r="M5" s="93"/>
      <c r="N5" s="93"/>
      <c r="O5" s="93"/>
      <c r="P5" s="93"/>
      <c r="Q5" s="93"/>
    </row>
    <row r="6" spans="1:17">
      <c r="B6" s="98" t="s">
        <v>185</v>
      </c>
      <c r="C6" s="192"/>
      <c r="D6" s="192"/>
      <c r="E6" s="100"/>
      <c r="F6" s="195">
        <f t="shared" si="2"/>
        <v>29.9</v>
      </c>
      <c r="G6" s="196">
        <f t="shared" si="2"/>
        <v>44.67</v>
      </c>
      <c r="H6" s="196">
        <f t="shared" si="2"/>
        <v>55.157208176825087</v>
      </c>
      <c r="I6" s="196">
        <f t="shared" si="2"/>
        <v>74.867849084883261</v>
      </c>
      <c r="J6" s="196">
        <f t="shared" si="2"/>
        <v>85.336028725304743</v>
      </c>
      <c r="K6" s="196">
        <f t="shared" si="2"/>
        <v>99.167587986415498</v>
      </c>
      <c r="L6" s="78"/>
      <c r="M6" s="78"/>
      <c r="N6" s="78"/>
      <c r="O6" s="78"/>
      <c r="P6" s="78"/>
      <c r="Q6" s="78"/>
    </row>
    <row r="7" spans="1:17">
      <c r="B7" s="197" t="s">
        <v>186</v>
      </c>
      <c r="C7" s="192"/>
      <c r="D7" s="192"/>
      <c r="E7" s="100"/>
      <c r="F7" s="195"/>
      <c r="G7" s="196">
        <f t="shared" si="2"/>
        <v>42.74</v>
      </c>
      <c r="H7" s="196">
        <f t="shared" si="2"/>
        <v>52.506160176825084</v>
      </c>
      <c r="I7" s="196">
        <f t="shared" si="2"/>
        <v>68.583305884883259</v>
      </c>
      <c r="J7" s="196">
        <f t="shared" si="2"/>
        <v>75.503759525304744</v>
      </c>
      <c r="K7" s="196">
        <f t="shared" si="2"/>
        <v>86.255360459515501</v>
      </c>
      <c r="L7" s="78"/>
      <c r="M7" s="78"/>
      <c r="N7" s="78"/>
      <c r="O7" s="78"/>
      <c r="P7" s="78"/>
      <c r="Q7" s="78"/>
    </row>
    <row r="8" spans="1:17">
      <c r="B8" s="197" t="s">
        <v>187</v>
      </c>
      <c r="C8" s="192"/>
      <c r="D8" s="192"/>
      <c r="E8" s="100"/>
      <c r="F8" s="195"/>
      <c r="G8" s="196">
        <f t="shared" si="2"/>
        <v>1.93</v>
      </c>
      <c r="H8" s="196">
        <f>H45/1000</f>
        <v>2.6510480000000003</v>
      </c>
      <c r="I8" s="196">
        <f t="shared" si="2"/>
        <v>6.2845432000000008</v>
      </c>
      <c r="J8" s="196">
        <f t="shared" si="2"/>
        <v>9.8322692000000007</v>
      </c>
      <c r="K8" s="196">
        <f t="shared" si="2"/>
        <v>12.912227526900001</v>
      </c>
      <c r="L8" s="78"/>
      <c r="M8" s="78"/>
      <c r="N8" s="78"/>
      <c r="O8" s="78"/>
      <c r="P8" s="78"/>
      <c r="Q8" s="78"/>
    </row>
    <row r="9" spans="1:17">
      <c r="B9" s="98" t="s">
        <v>153</v>
      </c>
      <c r="C9" s="192"/>
      <c r="D9" s="192"/>
      <c r="E9" s="100"/>
      <c r="F9" s="195">
        <f>F46/1000</f>
        <v>0.75418720000000028</v>
      </c>
      <c r="G9" s="196">
        <f t="shared" si="2"/>
        <v>3.178011999999995</v>
      </c>
      <c r="H9" s="196">
        <f t="shared" si="2"/>
        <v>3.1110382244204975</v>
      </c>
      <c r="I9" s="196">
        <f t="shared" si="2"/>
        <v>3.2786957363630371</v>
      </c>
      <c r="J9" s="196">
        <f t="shared" si="2"/>
        <v>3.5639492118158937</v>
      </c>
      <c r="K9" s="196">
        <f t="shared" si="2"/>
        <v>4.4098947374526531</v>
      </c>
      <c r="L9" s="78"/>
      <c r="M9" s="78"/>
      <c r="N9" s="78"/>
      <c r="O9" s="78"/>
      <c r="P9" s="78"/>
      <c r="Q9" s="78"/>
    </row>
    <row r="10" spans="1:17">
      <c r="B10" s="198"/>
      <c r="C10" s="192"/>
      <c r="D10" s="192"/>
      <c r="E10" s="192"/>
      <c r="F10" s="192"/>
      <c r="G10" s="321">
        <f>G14/G11</f>
        <v>7.7199520830560364E-2</v>
      </c>
      <c r="H10" s="82"/>
      <c r="I10" s="82"/>
      <c r="J10" s="199"/>
      <c r="K10" s="199"/>
      <c r="L10" s="82"/>
      <c r="M10" s="82"/>
      <c r="N10" s="82"/>
      <c r="O10" s="82"/>
      <c r="P10" s="82"/>
      <c r="Q10" s="82"/>
    </row>
    <row r="11" spans="1:17">
      <c r="B11" s="110" t="s">
        <v>188</v>
      </c>
      <c r="C11" s="192"/>
      <c r="D11" s="192"/>
      <c r="E11" s="193">
        <f t="shared" ref="E11:K15" si="3">E54/1000</f>
        <v>20.001000000000001</v>
      </c>
      <c r="F11" s="193">
        <f t="shared" si="3"/>
        <v>28.983000000000001</v>
      </c>
      <c r="G11" s="193">
        <f t="shared" si="3"/>
        <v>37.564999999999998</v>
      </c>
      <c r="H11" s="193">
        <f t="shared" si="3"/>
        <v>46.478999999999999</v>
      </c>
      <c r="I11" s="193">
        <f t="shared" si="3"/>
        <v>56.128999999999998</v>
      </c>
      <c r="J11" s="193">
        <f t="shared" si="3"/>
        <v>65.129000000000005</v>
      </c>
      <c r="K11" s="193">
        <f t="shared" si="3"/>
        <v>74.129000000000005</v>
      </c>
      <c r="L11" s="93"/>
      <c r="M11" s="93"/>
      <c r="N11" s="93"/>
      <c r="O11" s="93"/>
      <c r="P11" s="93"/>
      <c r="Q11" s="93"/>
    </row>
    <row r="12" spans="1:17">
      <c r="B12" s="98" t="s">
        <v>185</v>
      </c>
      <c r="C12" s="192"/>
      <c r="D12" s="192"/>
      <c r="E12" s="200">
        <f t="shared" si="3"/>
        <v>19.731000000000002</v>
      </c>
      <c r="F12" s="200">
        <f t="shared" si="3"/>
        <v>27.187999999999999</v>
      </c>
      <c r="G12" s="200">
        <f t="shared" si="3"/>
        <v>33.234000000000002</v>
      </c>
      <c r="H12" s="200">
        <f t="shared" si="3"/>
        <v>41.584000000000003</v>
      </c>
      <c r="I12" s="200">
        <f t="shared" si="3"/>
        <v>51.584000000000003</v>
      </c>
      <c r="J12" s="200">
        <f t="shared" si="3"/>
        <v>60.084000000000003</v>
      </c>
      <c r="K12" s="200">
        <f t="shared" si="3"/>
        <v>68.084000000000003</v>
      </c>
      <c r="L12" s="78"/>
      <c r="M12" s="78"/>
      <c r="N12" s="78"/>
      <c r="O12" s="78"/>
      <c r="P12" s="78"/>
      <c r="Q12" s="78"/>
    </row>
    <row r="13" spans="1:17">
      <c r="B13" s="197" t="s">
        <v>186</v>
      </c>
      <c r="C13" s="192"/>
      <c r="D13" s="192"/>
      <c r="E13" s="200"/>
      <c r="F13" s="200"/>
      <c r="G13" s="200">
        <f t="shared" si="3"/>
        <v>30.334</v>
      </c>
      <c r="H13" s="200">
        <f t="shared" si="3"/>
        <v>37.683999999999997</v>
      </c>
      <c r="I13" s="200">
        <f t="shared" si="3"/>
        <v>43.084000000000003</v>
      </c>
      <c r="J13" s="200">
        <f t="shared" si="3"/>
        <v>48.584000000000003</v>
      </c>
      <c r="K13" s="200">
        <f t="shared" si="3"/>
        <v>54.084000000000003</v>
      </c>
      <c r="L13" s="78"/>
      <c r="M13" s="78"/>
      <c r="N13" s="78"/>
      <c r="O13" s="78"/>
      <c r="P13" s="78"/>
      <c r="Q13" s="78"/>
    </row>
    <row r="14" spans="1:17">
      <c r="B14" s="197" t="s">
        <v>187</v>
      </c>
      <c r="C14" s="192"/>
      <c r="D14" s="192"/>
      <c r="E14" s="200"/>
      <c r="F14" s="200"/>
      <c r="G14" s="200">
        <f t="shared" si="3"/>
        <v>2.9</v>
      </c>
      <c r="H14" s="200">
        <f t="shared" si="3"/>
        <v>3.9</v>
      </c>
      <c r="I14" s="200">
        <f t="shared" si="3"/>
        <v>8.5</v>
      </c>
      <c r="J14" s="200">
        <f t="shared" si="3"/>
        <v>11.5</v>
      </c>
      <c r="K14" s="200">
        <f t="shared" si="3"/>
        <v>14</v>
      </c>
      <c r="L14" s="78"/>
      <c r="M14" s="78"/>
      <c r="N14" s="78"/>
      <c r="O14" s="78"/>
      <c r="P14" s="78"/>
      <c r="Q14" s="78"/>
    </row>
    <row r="15" spans="1:17">
      <c r="B15" s="98" t="s">
        <v>153</v>
      </c>
      <c r="C15" s="192"/>
      <c r="D15" s="192"/>
      <c r="E15" s="200">
        <f>E58/1000</f>
        <v>0.27</v>
      </c>
      <c r="F15" s="200">
        <f>F58/1000</f>
        <v>1.7949999999999999</v>
      </c>
      <c r="G15" s="200">
        <f t="shared" si="3"/>
        <v>4.3310000000000004</v>
      </c>
      <c r="H15" s="200">
        <f t="shared" si="3"/>
        <v>4.8949999999999996</v>
      </c>
      <c r="I15" s="200">
        <f t="shared" si="3"/>
        <v>4.5449999999999999</v>
      </c>
      <c r="J15" s="200">
        <f t="shared" si="3"/>
        <v>5.0449999999999999</v>
      </c>
      <c r="K15" s="200">
        <f t="shared" si="3"/>
        <v>6.0449999999999999</v>
      </c>
      <c r="L15" s="78"/>
      <c r="M15" s="78"/>
      <c r="N15" s="78"/>
      <c r="O15" s="78"/>
      <c r="P15" s="78"/>
      <c r="Q15" s="78"/>
    </row>
    <row r="16" spans="1:17">
      <c r="B16" s="198"/>
      <c r="C16" s="192"/>
      <c r="D16" s="192"/>
      <c r="E16" s="192"/>
      <c r="F16" s="192"/>
      <c r="G16" s="192"/>
      <c r="H16" s="82"/>
      <c r="I16" s="82"/>
      <c r="J16" s="82"/>
      <c r="K16" s="82"/>
      <c r="L16" s="82"/>
      <c r="M16" s="82"/>
      <c r="N16" s="82"/>
      <c r="O16" s="82"/>
      <c r="P16" s="82"/>
      <c r="Q16" s="82"/>
    </row>
    <row r="17" spans="2:17">
      <c r="B17" s="110" t="s">
        <v>189</v>
      </c>
      <c r="C17" s="192"/>
      <c r="D17" s="192"/>
      <c r="E17" s="193"/>
      <c r="F17" s="193">
        <f>F11-E11</f>
        <v>8.9819999999999993</v>
      </c>
      <c r="G17" s="193">
        <f t="shared" ref="G17:K21" si="4">G11-F11</f>
        <v>8.5819999999999972</v>
      </c>
      <c r="H17" s="193">
        <f t="shared" si="4"/>
        <v>8.9140000000000015</v>
      </c>
      <c r="I17" s="193">
        <f t="shared" si="4"/>
        <v>9.6499999999999986</v>
      </c>
      <c r="J17" s="193">
        <f t="shared" si="4"/>
        <v>9.0000000000000071</v>
      </c>
      <c r="K17" s="193">
        <f t="shared" si="4"/>
        <v>9</v>
      </c>
      <c r="L17" s="82"/>
      <c r="M17" s="82"/>
      <c r="N17" s="82"/>
      <c r="O17" s="82"/>
      <c r="P17" s="82"/>
      <c r="Q17" s="82"/>
    </row>
    <row r="18" spans="2:17">
      <c r="B18" s="98" t="s">
        <v>185</v>
      </c>
      <c r="C18" s="192"/>
      <c r="D18" s="192"/>
      <c r="E18" s="200"/>
      <c r="F18" s="200">
        <f>F12-E12</f>
        <v>7.4569999999999972</v>
      </c>
      <c r="G18" s="200">
        <f t="shared" si="4"/>
        <v>6.0460000000000029</v>
      </c>
      <c r="H18" s="200">
        <f t="shared" si="4"/>
        <v>8.3500000000000014</v>
      </c>
      <c r="I18" s="200">
        <f t="shared" si="4"/>
        <v>10</v>
      </c>
      <c r="J18" s="200">
        <f t="shared" si="4"/>
        <v>8.5</v>
      </c>
      <c r="K18" s="200">
        <f t="shared" si="4"/>
        <v>8</v>
      </c>
      <c r="L18" s="82"/>
      <c r="M18" s="82"/>
      <c r="N18" s="82"/>
      <c r="O18" s="82"/>
      <c r="P18" s="82"/>
      <c r="Q18" s="82"/>
    </row>
    <row r="19" spans="2:17">
      <c r="B19" s="197" t="s">
        <v>186</v>
      </c>
      <c r="C19" s="192"/>
      <c r="D19" s="192"/>
      <c r="E19" s="200"/>
      <c r="F19" s="200"/>
      <c r="G19" s="200"/>
      <c r="H19" s="200">
        <f t="shared" si="4"/>
        <v>7.3499999999999979</v>
      </c>
      <c r="I19" s="200">
        <f t="shared" si="4"/>
        <v>5.4000000000000057</v>
      </c>
      <c r="J19" s="200">
        <f t="shared" si="4"/>
        <v>5.5</v>
      </c>
      <c r="K19" s="200">
        <f t="shared" si="4"/>
        <v>5.5</v>
      </c>
      <c r="L19" s="82"/>
      <c r="M19" s="82"/>
      <c r="N19" s="82"/>
      <c r="O19" s="82"/>
      <c r="P19" s="82"/>
      <c r="Q19" s="82"/>
    </row>
    <row r="20" spans="2:17">
      <c r="B20" s="197" t="s">
        <v>187</v>
      </c>
      <c r="C20" s="192"/>
      <c r="D20" s="192"/>
      <c r="E20" s="200"/>
      <c r="F20" s="200"/>
      <c r="G20" s="200"/>
      <c r="H20" s="200">
        <f t="shared" si="4"/>
        <v>1</v>
      </c>
      <c r="I20" s="200">
        <f t="shared" si="4"/>
        <v>4.5999999999999996</v>
      </c>
      <c r="J20" s="200">
        <f t="shared" si="4"/>
        <v>3</v>
      </c>
      <c r="K20" s="200">
        <f t="shared" si="4"/>
        <v>2.5</v>
      </c>
      <c r="L20" s="82"/>
      <c r="M20" s="82"/>
      <c r="N20" s="82"/>
      <c r="O20" s="82"/>
      <c r="P20" s="82"/>
      <c r="Q20" s="82"/>
    </row>
    <row r="21" spans="2:17">
      <c r="B21" s="98" t="s">
        <v>153</v>
      </c>
      <c r="C21" s="192"/>
      <c r="D21" s="192"/>
      <c r="E21" s="200"/>
      <c r="F21" s="200">
        <f>F15-E15</f>
        <v>1.5249999999999999</v>
      </c>
      <c r="G21" s="200">
        <f t="shared" ref="G21:J21" si="5">G15-F15</f>
        <v>2.5360000000000005</v>
      </c>
      <c r="H21" s="200">
        <f t="shared" si="5"/>
        <v>0.56399999999999917</v>
      </c>
      <c r="I21" s="200">
        <f t="shared" si="5"/>
        <v>-0.34999999999999964</v>
      </c>
      <c r="J21" s="200">
        <f t="shared" si="5"/>
        <v>0.5</v>
      </c>
      <c r="K21" s="200">
        <f t="shared" si="4"/>
        <v>1</v>
      </c>
      <c r="L21" s="82"/>
      <c r="M21" s="82"/>
      <c r="N21" s="82"/>
      <c r="O21" s="82"/>
      <c r="P21" s="82"/>
      <c r="Q21" s="82"/>
    </row>
    <row r="22" spans="2:17">
      <c r="B22" s="198"/>
      <c r="C22" s="192"/>
      <c r="D22" s="192"/>
      <c r="E22" s="192"/>
      <c r="F22" s="192"/>
      <c r="G22" s="200"/>
      <c r="H22" s="82"/>
      <c r="I22" s="82"/>
      <c r="J22" s="82"/>
      <c r="K22" s="82"/>
      <c r="L22" s="82"/>
      <c r="M22" s="82"/>
      <c r="N22" s="82"/>
      <c r="O22" s="82"/>
      <c r="P22" s="82"/>
      <c r="Q22" s="82"/>
    </row>
    <row r="23" spans="2:17">
      <c r="B23" s="110" t="s">
        <v>190</v>
      </c>
      <c r="C23" s="196"/>
      <c r="D23" s="196"/>
      <c r="E23" s="193">
        <f>E307*1000</f>
        <v>1401.8</v>
      </c>
      <c r="F23" s="193">
        <f>F307*1000</f>
        <v>1251.6000000000001</v>
      </c>
      <c r="G23" s="193">
        <f>G307*1000</f>
        <v>1438</v>
      </c>
      <c r="H23" s="193">
        <f t="shared" ref="H23:K23" si="6">H307*1000</f>
        <v>1386.6128789978006</v>
      </c>
      <c r="I23" s="193">
        <f t="shared" si="6"/>
        <v>1523.205691978136</v>
      </c>
      <c r="J23" s="193">
        <f t="shared" si="6"/>
        <v>1466.2946434399485</v>
      </c>
      <c r="K23" s="193">
        <f t="shared" si="6"/>
        <v>1487.5624053751762</v>
      </c>
      <c r="L23" s="93"/>
      <c r="M23" s="93"/>
      <c r="N23" s="93"/>
      <c r="O23" s="93"/>
      <c r="P23" s="93"/>
      <c r="Q23" s="93"/>
    </row>
    <row r="24" spans="2:17">
      <c r="B24" s="98" t="s">
        <v>185</v>
      </c>
      <c r="C24" s="196"/>
      <c r="D24" s="196"/>
      <c r="F24" s="195">
        <f t="shared" ref="F24:K24" si="7">F6*1000/AVERAGE(E55:F55)*1000</f>
        <v>1274.5369679660691</v>
      </c>
      <c r="G24" s="196">
        <f t="shared" si="7"/>
        <v>1478.600509748105</v>
      </c>
      <c r="H24" s="196">
        <f t="shared" si="7"/>
        <v>1474.4368514749146</v>
      </c>
      <c r="I24" s="196">
        <f t="shared" si="7"/>
        <v>1607.1580174498381</v>
      </c>
      <c r="J24" s="196">
        <f t="shared" si="7"/>
        <v>1528.3882352205601</v>
      </c>
      <c r="K24" s="196">
        <f t="shared" si="7"/>
        <v>1547.4625177332173</v>
      </c>
      <c r="L24" s="78"/>
      <c r="M24" s="78"/>
      <c r="N24" s="78"/>
      <c r="O24" s="78"/>
      <c r="P24" s="78"/>
      <c r="Q24" s="78"/>
    </row>
    <row r="25" spans="2:17">
      <c r="B25" s="197" t="s">
        <v>186</v>
      </c>
      <c r="C25" s="196"/>
      <c r="D25" s="196"/>
      <c r="F25" s="195"/>
      <c r="G25" s="196">
        <f>G331*1000</f>
        <v>1542.3478041211072</v>
      </c>
      <c r="H25" s="196">
        <f t="shared" ref="H25:K26" si="8">H331*1000</f>
        <v>1543.8901519252281</v>
      </c>
      <c r="I25" s="196">
        <f t="shared" si="8"/>
        <v>1698.2791671177511</v>
      </c>
      <c r="J25" s="196">
        <f t="shared" si="8"/>
        <v>1647.3307921042183</v>
      </c>
      <c r="K25" s="196">
        <f t="shared" si="8"/>
        <v>1680.2774079463027</v>
      </c>
      <c r="L25" s="78"/>
      <c r="M25" s="78"/>
      <c r="N25" s="78"/>
      <c r="O25" s="78"/>
      <c r="P25" s="78"/>
      <c r="Q25" s="78"/>
    </row>
    <row r="26" spans="2:17">
      <c r="B26" s="197" t="s">
        <v>187</v>
      </c>
      <c r="C26" s="196"/>
      <c r="D26" s="196"/>
      <c r="F26" s="195"/>
      <c r="G26" s="196">
        <f>G332*1000</f>
        <v>772</v>
      </c>
      <c r="H26" s="196">
        <f t="shared" si="8"/>
        <v>779.72</v>
      </c>
      <c r="I26" s="196">
        <f t="shared" si="8"/>
        <v>1013.6360000000002</v>
      </c>
      <c r="J26" s="196">
        <f t="shared" si="8"/>
        <v>983.22692000000006</v>
      </c>
      <c r="K26" s="196">
        <f t="shared" si="8"/>
        <v>1012.7237276000001</v>
      </c>
      <c r="L26" s="78"/>
      <c r="M26" s="78"/>
      <c r="N26" s="78"/>
      <c r="O26" s="78"/>
      <c r="P26" s="78"/>
      <c r="Q26" s="78"/>
    </row>
    <row r="27" spans="2:17">
      <c r="B27" s="98" t="s">
        <v>153</v>
      </c>
      <c r="C27" s="196"/>
      <c r="D27" s="196"/>
      <c r="E27" s="196"/>
      <c r="F27" s="195">
        <f t="shared" ref="F27:K27" si="9">F9*1000/AVERAGE(E58:F58)*1000</f>
        <v>730.44765133171938</v>
      </c>
      <c r="G27" s="196">
        <f t="shared" si="9"/>
        <v>1037.5488083578175</v>
      </c>
      <c r="H27" s="196">
        <f t="shared" si="9"/>
        <v>674.40672543258131</v>
      </c>
      <c r="I27" s="196">
        <f t="shared" si="9"/>
        <v>694.63892719555872</v>
      </c>
      <c r="J27" s="196">
        <f t="shared" si="9"/>
        <v>743.26365209924791</v>
      </c>
      <c r="K27" s="196">
        <f t="shared" si="9"/>
        <v>795.29210774619537</v>
      </c>
      <c r="L27" s="78"/>
      <c r="M27" s="78"/>
      <c r="N27" s="78"/>
      <c r="O27" s="78"/>
      <c r="P27" s="78"/>
      <c r="Q27" s="78"/>
    </row>
    <row r="28" spans="2:17">
      <c r="B28" s="98"/>
      <c r="C28" s="196"/>
      <c r="D28" s="196"/>
      <c r="E28" s="196"/>
      <c r="F28" s="196"/>
      <c r="G28" s="196"/>
      <c r="H28" s="196"/>
      <c r="I28" s="196"/>
      <c r="J28" s="196"/>
      <c r="K28" s="196"/>
      <c r="L28" s="78"/>
      <c r="M28" s="78"/>
      <c r="N28" s="78"/>
      <c r="O28" s="78"/>
      <c r="P28" s="78"/>
      <c r="Q28" s="78"/>
    </row>
    <row r="29" spans="2:17">
      <c r="B29" s="77" t="s">
        <v>191</v>
      </c>
      <c r="C29" s="196"/>
      <c r="D29" s="196"/>
      <c r="E29" s="196">
        <f>E362/1000</f>
        <v>3.6</v>
      </c>
      <c r="F29" s="196">
        <f>F362/1000</f>
        <v>4.7</v>
      </c>
      <c r="G29" s="196">
        <f>G362/1000</f>
        <v>7.4</v>
      </c>
      <c r="H29" s="196">
        <f t="shared" ref="H29:K29" si="10">H362/1000</f>
        <v>9.0452839612971285</v>
      </c>
      <c r="I29" s="196">
        <f t="shared" si="10"/>
        <v>12.0397228945551</v>
      </c>
      <c r="J29" s="196">
        <f t="shared" si="10"/>
        <v>13.601440618219817</v>
      </c>
      <c r="K29" s="196">
        <f t="shared" si="10"/>
        <v>15.789997537158854</v>
      </c>
      <c r="L29" s="78"/>
      <c r="M29" s="78"/>
      <c r="N29" s="78"/>
      <c r="O29" s="78"/>
      <c r="P29" s="78"/>
      <c r="Q29" s="78"/>
    </row>
    <row r="30" spans="2:17">
      <c r="B30" s="201" t="s">
        <v>192</v>
      </c>
      <c r="C30" s="196"/>
      <c r="D30" s="196"/>
      <c r="E30" s="196">
        <f>E351</f>
        <v>6.333333333333333</v>
      </c>
      <c r="F30" s="196">
        <f>F351</f>
        <v>6.5221674893617019</v>
      </c>
      <c r="G30" s="196">
        <f>G351</f>
        <v>6.4659475675675671</v>
      </c>
      <c r="H30" s="196">
        <f t="shared" ref="H30:K30" si="11">H351</f>
        <v>6.4418371662584804</v>
      </c>
      <c r="I30" s="196">
        <f t="shared" si="11"/>
        <v>6.4907261990712142</v>
      </c>
      <c r="J30" s="196">
        <f t="shared" si="11"/>
        <v>6.5360707319513365</v>
      </c>
      <c r="K30" s="196">
        <f t="shared" si="11"/>
        <v>6.5596896060381011</v>
      </c>
      <c r="L30" s="78"/>
      <c r="M30" s="78"/>
      <c r="N30" s="78"/>
      <c r="O30" s="78"/>
      <c r="P30" s="78"/>
      <c r="Q30" s="78"/>
    </row>
    <row r="31" spans="2:17">
      <c r="B31" s="201" t="s">
        <v>193</v>
      </c>
      <c r="C31" s="196"/>
      <c r="D31" s="196"/>
      <c r="E31" s="140">
        <f t="shared" ref="E31:K31" si="12">E48*1000/E30/365*1000</f>
        <v>606.40230713770734</v>
      </c>
      <c r="F31" s="140">
        <f t="shared" si="12"/>
        <v>525.75176909877212</v>
      </c>
      <c r="G31" s="140">
        <f t="shared" si="12"/>
        <v>609.30373873714393</v>
      </c>
      <c r="H31" s="140">
        <f t="shared" si="12"/>
        <v>589.72918694885379</v>
      </c>
      <c r="I31" s="140">
        <f t="shared" si="12"/>
        <v>642.94289289067672</v>
      </c>
      <c r="J31" s="140">
        <f t="shared" si="12"/>
        <v>614.62700806272767</v>
      </c>
      <c r="K31" s="140">
        <f t="shared" si="12"/>
        <v>621.29668995810289</v>
      </c>
      <c r="L31" s="78"/>
      <c r="M31" s="78"/>
      <c r="N31" s="78"/>
      <c r="O31" s="78"/>
      <c r="P31" s="78"/>
      <c r="Q31" s="78"/>
    </row>
    <row r="32" spans="2:17">
      <c r="B32" s="198"/>
      <c r="C32" s="196"/>
      <c r="D32" s="196"/>
      <c r="E32" s="196"/>
      <c r="F32" s="196"/>
      <c r="G32" s="196"/>
      <c r="H32" s="196"/>
      <c r="I32" s="196"/>
      <c r="J32" s="196"/>
      <c r="K32" s="196"/>
      <c r="L32" s="82"/>
      <c r="M32" s="82"/>
      <c r="N32" s="82"/>
      <c r="O32" s="82"/>
      <c r="P32" s="82"/>
      <c r="Q32" s="82"/>
    </row>
    <row r="33" spans="1:17">
      <c r="B33" s="110" t="s">
        <v>194</v>
      </c>
      <c r="C33" s="192"/>
      <c r="D33" s="192"/>
      <c r="E33" s="92">
        <f t="shared" ref="E33:K33" si="13">E384</f>
        <v>10350.985999999999</v>
      </c>
      <c r="F33" s="92">
        <f t="shared" si="13"/>
        <v>13575.577000000001</v>
      </c>
      <c r="G33" s="92">
        <f t="shared" si="13"/>
        <v>20302.465</v>
      </c>
      <c r="H33" s="92">
        <f t="shared" si="13"/>
        <v>24828.874</v>
      </c>
      <c r="I33" s="92">
        <f t="shared" si="13"/>
        <v>32331.61638985468</v>
      </c>
      <c r="J33" s="92">
        <f t="shared" si="13"/>
        <v>37879.876726422015</v>
      </c>
      <c r="K33" s="92">
        <f t="shared" si="13"/>
        <v>43890.62210556872</v>
      </c>
      <c r="L33" s="93"/>
      <c r="M33" s="93"/>
      <c r="N33" s="93"/>
      <c r="O33" s="93"/>
      <c r="P33" s="93"/>
      <c r="Q33" s="93"/>
    </row>
    <row r="34" spans="1:17">
      <c r="B34" s="202" t="s">
        <v>195</v>
      </c>
      <c r="C34" s="192"/>
      <c r="D34" s="192"/>
      <c r="E34" s="192"/>
      <c r="F34" s="192"/>
      <c r="G34" s="192"/>
      <c r="H34" s="82"/>
      <c r="I34" s="82"/>
      <c r="J34" s="203"/>
      <c r="K34" s="203"/>
      <c r="L34" s="82"/>
      <c r="M34" s="82"/>
      <c r="N34" s="82"/>
      <c r="O34" s="82"/>
      <c r="P34" s="82"/>
      <c r="Q34" s="82"/>
    </row>
    <row r="35" spans="1:17">
      <c r="A35" s="273" t="str">
        <f>"Rev"&amp;B35</f>
        <v>RevML China</v>
      </c>
      <c r="B35" s="98" t="s">
        <v>185</v>
      </c>
      <c r="C35" s="192"/>
      <c r="D35" s="192"/>
      <c r="E35" s="100">
        <f t="shared" ref="E35:K35" si="14">E395</f>
        <v>10300.916999999999</v>
      </c>
      <c r="F35" s="100">
        <f t="shared" si="14"/>
        <v>13034.937</v>
      </c>
      <c r="G35" s="100">
        <f>G395</f>
        <v>18815.532999999999</v>
      </c>
      <c r="H35" s="100">
        <f t="shared" si="14"/>
        <v>23488.694266370188</v>
      </c>
      <c r="I35" s="100">
        <f t="shared" si="14"/>
        <v>30953.193304944045</v>
      </c>
      <c r="J35" s="100">
        <f t="shared" si="14"/>
        <v>36254.606806848693</v>
      </c>
      <c r="K35" s="100">
        <f t="shared" si="14"/>
        <v>41867.391859232805</v>
      </c>
      <c r="L35" s="78"/>
      <c r="M35" s="78"/>
      <c r="N35" s="78"/>
      <c r="O35" s="78"/>
      <c r="P35" s="78"/>
      <c r="Q35" s="78"/>
    </row>
    <row r="36" spans="1:17">
      <c r="A36" s="273" t="str">
        <f>"Rev"&amp;B36</f>
        <v>RevOverseas</v>
      </c>
      <c r="B36" s="98" t="s">
        <v>153</v>
      </c>
      <c r="C36" s="192"/>
      <c r="D36" s="192"/>
      <c r="E36" s="100">
        <f t="shared" ref="E36:K36" si="15">E401</f>
        <v>50.068999999999505</v>
      </c>
      <c r="F36" s="100">
        <f t="shared" si="15"/>
        <v>540.64000000000124</v>
      </c>
      <c r="G36" s="100">
        <f t="shared" si="15"/>
        <v>1486.9320000000007</v>
      </c>
      <c r="H36" s="100">
        <f t="shared" si="15"/>
        <v>1340.1797336298114</v>
      </c>
      <c r="I36" s="100">
        <f t="shared" si="15"/>
        <v>1378.4230849106302</v>
      </c>
      <c r="J36" s="100">
        <f t="shared" si="15"/>
        <v>1625.2699195733328</v>
      </c>
      <c r="K36" s="100">
        <f t="shared" si="15"/>
        <v>2023.2302463359031</v>
      </c>
      <c r="L36" s="78"/>
      <c r="M36" s="78"/>
      <c r="N36" s="78"/>
      <c r="O36" s="78"/>
      <c r="P36" s="78"/>
      <c r="Q36" s="78"/>
    </row>
    <row r="37" spans="1:17">
      <c r="B37" s="202" t="s">
        <v>196</v>
      </c>
      <c r="C37" s="192"/>
      <c r="D37" s="192"/>
      <c r="E37" s="192"/>
      <c r="F37" s="192"/>
      <c r="G37" s="78"/>
      <c r="H37" s="82"/>
      <c r="I37" s="82"/>
      <c r="J37" s="82"/>
      <c r="K37" s="82"/>
      <c r="L37" s="82"/>
      <c r="M37" s="82"/>
      <c r="N37" s="82"/>
      <c r="O37" s="82"/>
      <c r="P37" s="82"/>
      <c r="Q37" s="82"/>
    </row>
    <row r="38" spans="1:17">
      <c r="B38" s="98" t="s">
        <v>96</v>
      </c>
      <c r="C38" s="192"/>
      <c r="D38" s="192"/>
      <c r="E38" s="204">
        <f>E387</f>
        <v>9457.66</v>
      </c>
      <c r="F38" s="204">
        <f t="shared" ref="F38:K38" si="16">F387</f>
        <v>12551.043</v>
      </c>
      <c r="G38" s="204">
        <f t="shared" si="16"/>
        <v>19160.21</v>
      </c>
      <c r="H38" s="204">
        <f t="shared" si="16"/>
        <v>23452.456999999999</v>
      </c>
      <c r="I38" s="204">
        <f t="shared" si="16"/>
        <v>30545.044687228659</v>
      </c>
      <c r="J38" s="204">
        <f t="shared" si="16"/>
        <v>36043.38105718419</v>
      </c>
      <c r="K38" s="204">
        <f t="shared" si="16"/>
        <v>41932.046730750517</v>
      </c>
      <c r="L38" s="78"/>
      <c r="M38" s="78"/>
      <c r="N38" s="78"/>
      <c r="O38" s="78"/>
      <c r="P38" s="78"/>
      <c r="Q38" s="78"/>
    </row>
    <row r="39" spans="1:17">
      <c r="B39" s="98" t="s">
        <v>97</v>
      </c>
      <c r="C39" s="192"/>
      <c r="D39" s="192"/>
      <c r="E39" s="204">
        <f>E391</f>
        <v>696.94399999999996</v>
      </c>
      <c r="F39" s="204">
        <f t="shared" ref="F39:K40" si="17">F391</f>
        <v>748.38699999999994</v>
      </c>
      <c r="G39" s="204">
        <f t="shared" si="17"/>
        <v>736.53700000000003</v>
      </c>
      <c r="H39" s="204">
        <f t="shared" si="17"/>
        <v>756.37199999999996</v>
      </c>
      <c r="I39" s="204">
        <f t="shared" si="17"/>
        <v>1017.6627990421898</v>
      </c>
      <c r="J39" s="204">
        <f t="shared" si="17"/>
        <v>914.47940316639722</v>
      </c>
      <c r="K39" s="204">
        <f t="shared" si="17"/>
        <v>885.73547652950663</v>
      </c>
      <c r="L39" s="78"/>
      <c r="M39" s="78"/>
      <c r="N39" s="78"/>
      <c r="O39" s="78"/>
      <c r="P39" s="78"/>
      <c r="Q39" s="78"/>
    </row>
    <row r="40" spans="1:17">
      <c r="B40" s="98" t="s">
        <v>98</v>
      </c>
      <c r="C40" s="192"/>
      <c r="D40" s="192"/>
      <c r="E40" s="204">
        <f>E392</f>
        <v>196.38200000000001</v>
      </c>
      <c r="F40" s="204">
        <f t="shared" si="17"/>
        <v>276.14699999999999</v>
      </c>
      <c r="G40" s="204">
        <f t="shared" si="17"/>
        <v>405.71800000000002</v>
      </c>
      <c r="H40" s="204">
        <f t="shared" si="17"/>
        <v>620.04499999999996</v>
      </c>
      <c r="I40" s="204">
        <f t="shared" si="17"/>
        <v>768.90890358382944</v>
      </c>
      <c r="J40" s="204">
        <f t="shared" si="17"/>
        <v>922.0162660714285</v>
      </c>
      <c r="K40" s="204">
        <f t="shared" si="17"/>
        <v>1072.8398982886904</v>
      </c>
      <c r="L40" s="78"/>
      <c r="M40" s="78"/>
      <c r="N40" s="78"/>
      <c r="O40" s="78"/>
      <c r="P40" s="78"/>
      <c r="Q40" s="78"/>
    </row>
    <row r="41" spans="1:17">
      <c r="B41" s="198"/>
      <c r="C41" s="192"/>
      <c r="D41" s="192"/>
      <c r="E41" s="192"/>
      <c r="F41" s="192"/>
      <c r="G41" s="192"/>
      <c r="H41" s="82"/>
      <c r="I41" s="82"/>
      <c r="J41" s="82"/>
      <c r="K41" s="82"/>
      <c r="L41" s="82"/>
      <c r="M41" s="82"/>
      <c r="N41" s="82"/>
      <c r="O41" s="82"/>
      <c r="P41" s="82"/>
      <c r="Q41" s="82"/>
    </row>
    <row r="42" spans="1:17" outlineLevel="1">
      <c r="B42" s="205" t="s">
        <v>197</v>
      </c>
      <c r="C42" s="206"/>
      <c r="D42" s="206"/>
      <c r="E42" s="207">
        <f t="shared" ref="E42:K42" si="18">E350</f>
        <v>22800</v>
      </c>
      <c r="F42" s="207">
        <f t="shared" si="18"/>
        <v>30654.1872</v>
      </c>
      <c r="G42" s="207">
        <f t="shared" si="18"/>
        <v>47848.011999999995</v>
      </c>
      <c r="H42" s="207">
        <f>H350</f>
        <v>58268.246401245582</v>
      </c>
      <c r="I42" s="207">
        <f>I350</f>
        <v>78146.544821246294</v>
      </c>
      <c r="J42" s="207">
        <f t="shared" si="18"/>
        <v>88899.977937120639</v>
      </c>
      <c r="K42" s="207">
        <f t="shared" si="18"/>
        <v>103577.48272386815</v>
      </c>
      <c r="L42" s="208"/>
      <c r="M42" s="208"/>
      <c r="N42" s="208"/>
      <c r="O42" s="208"/>
      <c r="P42" s="208"/>
      <c r="Q42" s="208"/>
    </row>
    <row r="43" spans="1:17" outlineLevel="1">
      <c r="B43" s="209" t="s">
        <v>185</v>
      </c>
      <c r="C43" s="206"/>
      <c r="D43" s="206"/>
      <c r="E43" s="210">
        <f t="shared" ref="E43:K46" si="19">E136</f>
        <v>22700</v>
      </c>
      <c r="F43" s="210">
        <f t="shared" si="19"/>
        <v>29900</v>
      </c>
      <c r="G43" s="210">
        <f t="shared" si="19"/>
        <v>44670</v>
      </c>
      <c r="H43" s="210">
        <f>H136</f>
        <v>55157.208176825086</v>
      </c>
      <c r="I43" s="210">
        <f t="shared" si="19"/>
        <v>74867.849084883259</v>
      </c>
      <c r="J43" s="210">
        <f t="shared" si="19"/>
        <v>85336.028725304743</v>
      </c>
      <c r="K43" s="210">
        <f t="shared" si="19"/>
        <v>99167.587986415499</v>
      </c>
      <c r="L43" s="211"/>
      <c r="M43" s="211"/>
      <c r="N43" s="211"/>
      <c r="O43" s="211"/>
      <c r="P43" s="211"/>
      <c r="Q43" s="211"/>
    </row>
    <row r="44" spans="1:17" outlineLevel="1">
      <c r="B44" s="213" t="s">
        <v>186</v>
      </c>
      <c r="C44" s="206"/>
      <c r="D44" s="206"/>
      <c r="E44" s="210"/>
      <c r="F44" s="210">
        <f t="shared" si="19"/>
        <v>29150</v>
      </c>
      <c r="G44" s="210">
        <f t="shared" si="19"/>
        <v>42740</v>
      </c>
      <c r="H44" s="210">
        <f t="shared" si="19"/>
        <v>52506.160176825084</v>
      </c>
      <c r="I44" s="210">
        <f t="shared" si="19"/>
        <v>68583.305884883259</v>
      </c>
      <c r="J44" s="210">
        <f t="shared" si="19"/>
        <v>75503.759525304748</v>
      </c>
      <c r="K44" s="210">
        <f t="shared" si="19"/>
        <v>86255.360459515505</v>
      </c>
      <c r="L44" s="211"/>
      <c r="M44" s="211"/>
      <c r="N44" s="211"/>
      <c r="O44" s="211"/>
      <c r="P44" s="211"/>
      <c r="Q44" s="211"/>
    </row>
    <row r="45" spans="1:17" outlineLevel="1">
      <c r="B45" s="213" t="s">
        <v>187</v>
      </c>
      <c r="C45" s="206"/>
      <c r="D45" s="206"/>
      <c r="E45" s="210"/>
      <c r="F45" s="210">
        <f t="shared" si="19"/>
        <v>750</v>
      </c>
      <c r="G45" s="210">
        <f t="shared" si="19"/>
        <v>1930</v>
      </c>
      <c r="H45" s="210">
        <f>H138</f>
        <v>2651.0480000000002</v>
      </c>
      <c r="I45" s="210">
        <f t="shared" si="19"/>
        <v>6284.543200000001</v>
      </c>
      <c r="J45" s="210">
        <f t="shared" si="19"/>
        <v>9832.2692000000006</v>
      </c>
      <c r="K45" s="210">
        <f t="shared" si="19"/>
        <v>12912.2275269</v>
      </c>
      <c r="L45" s="211"/>
      <c r="M45" s="211"/>
      <c r="N45" s="211"/>
      <c r="O45" s="211"/>
      <c r="P45" s="211"/>
      <c r="Q45" s="211"/>
    </row>
    <row r="46" spans="1:17" outlineLevel="1">
      <c r="B46" s="209" t="s">
        <v>153</v>
      </c>
      <c r="C46" s="206"/>
      <c r="D46" s="206"/>
      <c r="E46" s="210">
        <f>E139</f>
        <v>100</v>
      </c>
      <c r="F46" s="210">
        <f t="shared" si="19"/>
        <v>754.1872000000003</v>
      </c>
      <c r="G46" s="210">
        <f t="shared" si="19"/>
        <v>3178.0119999999952</v>
      </c>
      <c r="H46" s="210">
        <f t="shared" si="19"/>
        <v>3111.0382244204975</v>
      </c>
      <c r="I46" s="210">
        <f t="shared" si="19"/>
        <v>3278.6957363630372</v>
      </c>
      <c r="J46" s="210">
        <f t="shared" si="19"/>
        <v>3563.9492118158937</v>
      </c>
      <c r="K46" s="210">
        <f t="shared" si="19"/>
        <v>4409.8947374526533</v>
      </c>
      <c r="L46" s="211"/>
      <c r="M46" s="211"/>
      <c r="N46" s="211"/>
      <c r="O46" s="211"/>
      <c r="P46" s="211"/>
      <c r="Q46" s="211"/>
    </row>
    <row r="47" spans="1:17" outlineLevel="1">
      <c r="B47" s="214"/>
      <c r="C47" s="206"/>
      <c r="D47" s="206"/>
      <c r="E47" s="206"/>
      <c r="F47" s="206"/>
      <c r="G47" s="206"/>
      <c r="H47" s="215"/>
      <c r="I47" s="215"/>
      <c r="J47" s="215"/>
      <c r="K47" s="215"/>
      <c r="L47" s="215"/>
      <c r="M47" s="215"/>
      <c r="N47" s="215"/>
      <c r="O47" s="215"/>
      <c r="P47" s="215"/>
      <c r="Q47" s="215"/>
    </row>
    <row r="48" spans="1:17" outlineLevel="1">
      <c r="B48" s="205" t="s">
        <v>198</v>
      </c>
      <c r="C48" s="206"/>
      <c r="D48" s="206"/>
      <c r="E48" s="216">
        <f t="shared" ref="E48:K48" si="20">E307</f>
        <v>1.4017999999999999</v>
      </c>
      <c r="F48" s="216">
        <f t="shared" si="20"/>
        <v>1.2516</v>
      </c>
      <c r="G48" s="216">
        <f t="shared" si="20"/>
        <v>1.4379999999999999</v>
      </c>
      <c r="H48" s="216">
        <f t="shared" si="20"/>
        <v>1.3866128789978007</v>
      </c>
      <c r="I48" s="216">
        <f t="shared" si="20"/>
        <v>1.523205691978136</v>
      </c>
      <c r="J48" s="216">
        <f t="shared" si="20"/>
        <v>1.4662946434399484</v>
      </c>
      <c r="K48" s="216">
        <f t="shared" si="20"/>
        <v>1.4875624053751761</v>
      </c>
      <c r="L48" s="208"/>
      <c r="M48" s="208"/>
      <c r="N48" s="208"/>
      <c r="O48" s="208"/>
      <c r="P48" s="208"/>
      <c r="Q48" s="208"/>
    </row>
    <row r="49" spans="1:17" outlineLevel="1">
      <c r="B49" s="209" t="s">
        <v>185</v>
      </c>
      <c r="C49" s="206"/>
      <c r="D49" s="206"/>
      <c r="E49" s="206"/>
      <c r="F49" s="217">
        <f t="shared" ref="F49:K52" si="21">F330</f>
        <v>1.2745369679660692</v>
      </c>
      <c r="G49" s="217">
        <f t="shared" si="21"/>
        <v>1.478600509748105</v>
      </c>
      <c r="H49" s="217">
        <f>H330</f>
        <v>1.4744368514749147</v>
      </c>
      <c r="I49" s="217">
        <f t="shared" si="21"/>
        <v>1.6071580174498381</v>
      </c>
      <c r="J49" s="217">
        <f t="shared" si="21"/>
        <v>1.52838823522056</v>
      </c>
      <c r="K49" s="217">
        <f t="shared" si="21"/>
        <v>1.5474625177332173</v>
      </c>
      <c r="L49" s="211"/>
      <c r="M49" s="211"/>
      <c r="N49" s="211"/>
      <c r="O49" s="211"/>
      <c r="P49" s="211"/>
      <c r="Q49" s="211"/>
    </row>
    <row r="50" spans="1:17" outlineLevel="1">
      <c r="B50" s="213" t="s">
        <v>186</v>
      </c>
      <c r="C50" s="206"/>
      <c r="D50" s="206"/>
      <c r="E50" s="217"/>
      <c r="F50" s="217">
        <f t="shared" si="21"/>
        <v>1.3125014070555392</v>
      </c>
      <c r="G50" s="217">
        <f t="shared" si="21"/>
        <v>1.5423478041211072</v>
      </c>
      <c r="H50" s="217">
        <f t="shared" si="21"/>
        <v>1.5438901519252282</v>
      </c>
      <c r="I50" s="217">
        <f t="shared" si="21"/>
        <v>1.6982791671177511</v>
      </c>
      <c r="J50" s="217">
        <f t="shared" si="21"/>
        <v>1.6473307921042184</v>
      </c>
      <c r="K50" s="217">
        <f t="shared" si="21"/>
        <v>1.6802774079463028</v>
      </c>
      <c r="L50" s="211"/>
      <c r="M50" s="211"/>
      <c r="N50" s="211"/>
      <c r="O50" s="211"/>
      <c r="P50" s="211"/>
      <c r="Q50" s="211"/>
    </row>
    <row r="51" spans="1:17" outlineLevel="1">
      <c r="B51" s="213" t="s">
        <v>187</v>
      </c>
      <c r="C51" s="206"/>
      <c r="D51" s="206"/>
      <c r="E51" s="217"/>
      <c r="F51" s="217">
        <f t="shared" si="21"/>
        <v>0.6</v>
      </c>
      <c r="G51" s="217">
        <f t="shared" si="21"/>
        <v>0.77200000000000002</v>
      </c>
      <c r="H51" s="217">
        <f t="shared" si="21"/>
        <v>0.77972000000000008</v>
      </c>
      <c r="I51" s="217">
        <f t="shared" si="21"/>
        <v>1.0136360000000002</v>
      </c>
      <c r="J51" s="217">
        <f t="shared" si="21"/>
        <v>0.98322692000000012</v>
      </c>
      <c r="K51" s="217">
        <f t="shared" si="21"/>
        <v>1.0127237276000001</v>
      </c>
      <c r="L51" s="211"/>
      <c r="M51" s="211"/>
      <c r="N51" s="211"/>
      <c r="O51" s="211"/>
      <c r="P51" s="211"/>
      <c r="Q51" s="211"/>
    </row>
    <row r="52" spans="1:17" outlineLevel="1">
      <c r="B52" s="209" t="s">
        <v>153</v>
      </c>
      <c r="C52" s="206"/>
      <c r="D52" s="206"/>
      <c r="E52" s="206"/>
      <c r="F52" s="217">
        <f t="shared" si="21"/>
        <v>0.73044765133171941</v>
      </c>
      <c r="G52" s="217">
        <f t="shared" si="21"/>
        <v>1.0375488083578175</v>
      </c>
      <c r="H52" s="217">
        <f t="shared" si="21"/>
        <v>0.67440672543258129</v>
      </c>
      <c r="I52" s="217">
        <f t="shared" si="21"/>
        <v>0.69463892719555875</v>
      </c>
      <c r="J52" s="217">
        <f t="shared" si="21"/>
        <v>0.74326365209924794</v>
      </c>
      <c r="K52" s="217">
        <f t="shared" si="21"/>
        <v>0.7952921077461953</v>
      </c>
      <c r="L52" s="211"/>
      <c r="M52" s="211"/>
      <c r="N52" s="211"/>
      <c r="O52" s="211"/>
      <c r="P52" s="211"/>
      <c r="Q52" s="211"/>
    </row>
    <row r="53" spans="1:17" s="212" customFormat="1" outlineLevel="1">
      <c r="A53" s="273"/>
      <c r="B53" s="214"/>
      <c r="C53" s="206"/>
      <c r="D53" s="206"/>
      <c r="E53" s="206"/>
      <c r="F53" s="206"/>
      <c r="G53" s="206"/>
      <c r="H53" s="215"/>
      <c r="I53" s="215"/>
      <c r="J53" s="215"/>
      <c r="K53" s="215"/>
      <c r="L53" s="215"/>
      <c r="M53" s="215"/>
      <c r="N53" s="215"/>
      <c r="O53" s="215"/>
      <c r="P53" s="215"/>
      <c r="Q53" s="215"/>
    </row>
    <row r="54" spans="1:17" s="212" customFormat="1" outlineLevel="1">
      <c r="A54" s="273"/>
      <c r="B54" s="205" t="s">
        <v>199</v>
      </c>
      <c r="C54" s="206"/>
      <c r="D54" s="207">
        <f>E42*2/E307-E54</f>
        <v>12528.604793836497</v>
      </c>
      <c r="E54" s="207">
        <f>E55+E58</f>
        <v>20001</v>
      </c>
      <c r="F54" s="207">
        <f t="shared" ref="F54:K54" si="22">F55+F58</f>
        <v>28983</v>
      </c>
      <c r="G54" s="207">
        <f t="shared" si="22"/>
        <v>37565</v>
      </c>
      <c r="H54" s="207">
        <f t="shared" si="22"/>
        <v>46479</v>
      </c>
      <c r="I54" s="207">
        <f t="shared" si="22"/>
        <v>56129</v>
      </c>
      <c r="J54" s="207">
        <f t="shared" si="22"/>
        <v>65129</v>
      </c>
      <c r="K54" s="207">
        <f t="shared" si="22"/>
        <v>74129</v>
      </c>
      <c r="L54" s="208"/>
      <c r="M54" s="208"/>
      <c r="N54" s="208"/>
      <c r="O54" s="208"/>
      <c r="P54" s="208"/>
      <c r="Q54" s="208"/>
    </row>
    <row r="55" spans="1:17" s="212" customFormat="1" outlineLevel="1">
      <c r="A55" s="273"/>
      <c r="B55" s="209" t="s">
        <v>185</v>
      </c>
      <c r="C55" s="206"/>
      <c r="D55" s="206"/>
      <c r="E55" s="210">
        <f t="shared" ref="E55:K58" si="23">E187</f>
        <v>19731</v>
      </c>
      <c r="F55" s="210">
        <f t="shared" si="23"/>
        <v>27188</v>
      </c>
      <c r="G55" s="210">
        <f t="shared" si="23"/>
        <v>33234</v>
      </c>
      <c r="H55" s="210">
        <f t="shared" si="23"/>
        <v>41584</v>
      </c>
      <c r="I55" s="210">
        <f t="shared" si="23"/>
        <v>51584</v>
      </c>
      <c r="J55" s="210">
        <f t="shared" si="23"/>
        <v>60084</v>
      </c>
      <c r="K55" s="210">
        <f t="shared" si="23"/>
        <v>68084</v>
      </c>
      <c r="L55" s="211"/>
      <c r="M55" s="211"/>
      <c r="N55" s="211"/>
      <c r="O55" s="211"/>
      <c r="P55" s="211"/>
      <c r="Q55" s="211"/>
    </row>
    <row r="56" spans="1:17" s="212" customFormat="1" outlineLevel="1">
      <c r="A56" s="273"/>
      <c r="B56" s="213" t="s">
        <v>186</v>
      </c>
      <c r="C56" s="206"/>
      <c r="D56" s="206"/>
      <c r="E56" s="210"/>
      <c r="F56" s="210">
        <f t="shared" si="23"/>
        <v>25088</v>
      </c>
      <c r="G56" s="210">
        <f t="shared" si="23"/>
        <v>30334</v>
      </c>
      <c r="H56" s="210">
        <f t="shared" si="23"/>
        <v>37684</v>
      </c>
      <c r="I56" s="210">
        <f t="shared" si="23"/>
        <v>43084</v>
      </c>
      <c r="J56" s="210">
        <f t="shared" si="23"/>
        <v>48584</v>
      </c>
      <c r="K56" s="210">
        <f t="shared" si="23"/>
        <v>54084</v>
      </c>
      <c r="L56" s="211"/>
      <c r="M56" s="211"/>
      <c r="N56" s="211"/>
      <c r="O56" s="211"/>
      <c r="P56" s="211"/>
      <c r="Q56" s="211"/>
    </row>
    <row r="57" spans="1:17" s="212" customFormat="1" outlineLevel="1">
      <c r="A57" s="273"/>
      <c r="B57" s="213" t="s">
        <v>187</v>
      </c>
      <c r="C57" s="206"/>
      <c r="D57" s="206"/>
      <c r="E57" s="210"/>
      <c r="F57" s="210">
        <f t="shared" si="23"/>
        <v>2100</v>
      </c>
      <c r="G57" s="210">
        <f t="shared" si="23"/>
        <v>2900</v>
      </c>
      <c r="H57" s="210">
        <f t="shared" si="23"/>
        <v>3900</v>
      </c>
      <c r="I57" s="210">
        <f t="shared" si="23"/>
        <v>8500</v>
      </c>
      <c r="J57" s="210">
        <f t="shared" si="23"/>
        <v>11500</v>
      </c>
      <c r="K57" s="210">
        <f t="shared" si="23"/>
        <v>14000</v>
      </c>
      <c r="L57" s="211"/>
      <c r="M57" s="211"/>
      <c r="N57" s="211"/>
      <c r="O57" s="211"/>
      <c r="P57" s="211"/>
      <c r="Q57" s="211"/>
    </row>
    <row r="58" spans="1:17" s="212" customFormat="1" outlineLevel="1">
      <c r="A58" s="273"/>
      <c r="B58" s="209" t="s">
        <v>153</v>
      </c>
      <c r="C58" s="206"/>
      <c r="D58" s="206"/>
      <c r="E58" s="210">
        <f>E190</f>
        <v>270</v>
      </c>
      <c r="F58" s="210">
        <f t="shared" si="23"/>
        <v>1795</v>
      </c>
      <c r="G58" s="210">
        <f t="shared" si="23"/>
        <v>4331</v>
      </c>
      <c r="H58" s="210">
        <f t="shared" si="23"/>
        <v>4895</v>
      </c>
      <c r="I58" s="210">
        <f t="shared" si="23"/>
        <v>4545</v>
      </c>
      <c r="J58" s="210">
        <f t="shared" si="23"/>
        <v>5045</v>
      </c>
      <c r="K58" s="210">
        <f t="shared" si="23"/>
        <v>6045</v>
      </c>
      <c r="L58" s="211"/>
      <c r="M58" s="211"/>
      <c r="N58" s="211"/>
      <c r="O58" s="211"/>
      <c r="P58" s="211"/>
      <c r="Q58" s="211"/>
    </row>
    <row r="59" spans="1:17" s="212" customFormat="1" outlineLevel="1">
      <c r="A59" s="273"/>
      <c r="B59" s="214"/>
      <c r="C59" s="206"/>
      <c r="D59" s="206"/>
      <c r="E59" s="206"/>
      <c r="F59" s="206"/>
      <c r="G59" s="206"/>
      <c r="H59" s="215"/>
      <c r="I59" s="215"/>
      <c r="J59" s="215"/>
      <c r="K59" s="215"/>
      <c r="L59" s="215"/>
      <c r="M59" s="215"/>
      <c r="N59" s="215"/>
      <c r="O59" s="215"/>
      <c r="P59" s="215"/>
      <c r="Q59" s="215"/>
    </row>
    <row r="60" spans="1:17" s="212" customFormat="1" outlineLevel="1">
      <c r="A60" s="273"/>
      <c r="B60" s="205" t="s">
        <v>200</v>
      </c>
      <c r="C60" s="206"/>
      <c r="D60" s="206"/>
      <c r="E60" s="206"/>
      <c r="F60" s="207">
        <f>F54-E54</f>
        <v>8982</v>
      </c>
      <c r="G60" s="207">
        <f t="shared" ref="G60:K64" si="24">G54-F54</f>
        <v>8582</v>
      </c>
      <c r="H60" s="207">
        <f t="shared" si="24"/>
        <v>8914</v>
      </c>
      <c r="I60" s="207">
        <f t="shared" si="24"/>
        <v>9650</v>
      </c>
      <c r="J60" s="207">
        <f t="shared" si="24"/>
        <v>9000</v>
      </c>
      <c r="K60" s="207">
        <f t="shared" si="24"/>
        <v>9000</v>
      </c>
      <c r="L60" s="215"/>
      <c r="M60" s="215"/>
      <c r="N60" s="215"/>
      <c r="O60" s="215"/>
      <c r="P60" s="215"/>
      <c r="Q60" s="215"/>
    </row>
    <row r="61" spans="1:17" s="212" customFormat="1" outlineLevel="1">
      <c r="A61" s="273"/>
      <c r="B61" s="209" t="s">
        <v>185</v>
      </c>
      <c r="C61" s="206"/>
      <c r="D61" s="206"/>
      <c r="E61" s="206"/>
      <c r="F61" s="210">
        <f>F55-E55</f>
        <v>7457</v>
      </c>
      <c r="G61" s="210">
        <f t="shared" si="24"/>
        <v>6046</v>
      </c>
      <c r="H61" s="210">
        <f t="shared" si="24"/>
        <v>8350</v>
      </c>
      <c r="I61" s="210">
        <f t="shared" si="24"/>
        <v>10000</v>
      </c>
      <c r="J61" s="210">
        <f t="shared" si="24"/>
        <v>8500</v>
      </c>
      <c r="K61" s="210">
        <f t="shared" si="24"/>
        <v>8000</v>
      </c>
      <c r="L61" s="215"/>
      <c r="M61" s="215"/>
      <c r="N61" s="215"/>
      <c r="O61" s="215"/>
      <c r="P61" s="215"/>
      <c r="Q61" s="215"/>
    </row>
    <row r="62" spans="1:17" s="212" customFormat="1" outlineLevel="1">
      <c r="A62" s="273"/>
      <c r="B62" s="213" t="s">
        <v>186</v>
      </c>
      <c r="C62" s="206"/>
      <c r="D62" s="206"/>
      <c r="E62" s="206"/>
      <c r="F62" s="210"/>
      <c r="G62" s="210">
        <f t="shared" si="24"/>
        <v>5246</v>
      </c>
      <c r="H62" s="210">
        <f t="shared" si="24"/>
        <v>7350</v>
      </c>
      <c r="I62" s="210">
        <f t="shared" si="24"/>
        <v>5400</v>
      </c>
      <c r="J62" s="210">
        <f t="shared" si="24"/>
        <v>5500</v>
      </c>
      <c r="K62" s="210">
        <f t="shared" si="24"/>
        <v>5500</v>
      </c>
      <c r="L62" s="215"/>
      <c r="M62" s="215"/>
      <c r="N62" s="215"/>
      <c r="O62" s="215"/>
      <c r="P62" s="215"/>
      <c r="Q62" s="215"/>
    </row>
    <row r="63" spans="1:17" s="212" customFormat="1" outlineLevel="1">
      <c r="A63" s="273"/>
      <c r="B63" s="213" t="s">
        <v>187</v>
      </c>
      <c r="C63" s="206"/>
      <c r="D63" s="206"/>
      <c r="E63" s="206"/>
      <c r="F63" s="210"/>
      <c r="G63" s="210">
        <f t="shared" si="24"/>
        <v>800</v>
      </c>
      <c r="H63" s="210">
        <f t="shared" si="24"/>
        <v>1000</v>
      </c>
      <c r="I63" s="210">
        <f t="shared" si="24"/>
        <v>4600</v>
      </c>
      <c r="J63" s="210">
        <f t="shared" si="24"/>
        <v>3000</v>
      </c>
      <c r="K63" s="210">
        <f t="shared" si="24"/>
        <v>2500</v>
      </c>
      <c r="L63" s="215"/>
      <c r="M63" s="215"/>
      <c r="N63" s="215"/>
      <c r="O63" s="215"/>
      <c r="P63" s="215"/>
      <c r="Q63" s="215"/>
    </row>
    <row r="64" spans="1:17" s="212" customFormat="1" outlineLevel="1">
      <c r="A64" s="273"/>
      <c r="B64" s="209" t="s">
        <v>153</v>
      </c>
      <c r="C64" s="206"/>
      <c r="D64" s="206"/>
      <c r="E64" s="206"/>
      <c r="F64" s="210">
        <f>F58-E58</f>
        <v>1525</v>
      </c>
      <c r="G64" s="210">
        <f>G58-F58</f>
        <v>2536</v>
      </c>
      <c r="H64" s="210">
        <f t="shared" si="24"/>
        <v>564</v>
      </c>
      <c r="I64" s="210">
        <f t="shared" si="24"/>
        <v>-350</v>
      </c>
      <c r="J64" s="210">
        <f t="shared" si="24"/>
        <v>500</v>
      </c>
      <c r="K64" s="210">
        <f t="shared" si="24"/>
        <v>1000</v>
      </c>
      <c r="L64" s="215"/>
      <c r="M64" s="215"/>
      <c r="N64" s="215"/>
      <c r="O64" s="215"/>
      <c r="P64" s="215"/>
      <c r="Q64" s="215"/>
    </row>
    <row r="65" spans="2:17" outlineLevel="1">
      <c r="B65" s="198"/>
      <c r="C65" s="192"/>
      <c r="D65" s="192"/>
      <c r="E65" s="192"/>
      <c r="F65" s="192"/>
      <c r="G65" s="192"/>
      <c r="H65" s="82"/>
      <c r="I65" s="82"/>
      <c r="J65" s="82"/>
      <c r="K65" s="82"/>
      <c r="L65" s="82"/>
      <c r="M65" s="82"/>
      <c r="N65" s="82"/>
      <c r="O65" s="82"/>
      <c r="P65" s="82"/>
      <c r="Q65" s="82"/>
    </row>
    <row r="66" spans="2:17">
      <c r="B66" s="156" t="s">
        <v>99</v>
      </c>
      <c r="C66" s="177"/>
      <c r="D66" s="177"/>
      <c r="E66" s="179"/>
      <c r="F66" s="179"/>
      <c r="G66" s="218"/>
      <c r="H66" s="179"/>
      <c r="I66" s="179"/>
      <c r="J66" s="179"/>
      <c r="K66" s="179"/>
      <c r="L66" s="92"/>
      <c r="M66" s="92"/>
      <c r="N66" s="92"/>
      <c r="O66" s="92"/>
      <c r="P66" s="92"/>
      <c r="Q66" s="92"/>
    </row>
    <row r="67" spans="2:17">
      <c r="B67" s="110" t="s">
        <v>197</v>
      </c>
      <c r="C67" s="192"/>
      <c r="D67" s="192"/>
      <c r="E67" s="192"/>
      <c r="F67" s="192"/>
      <c r="G67" s="192"/>
      <c r="H67" s="82"/>
      <c r="I67" s="82"/>
      <c r="J67" s="82"/>
      <c r="K67" s="82"/>
      <c r="L67" s="82"/>
      <c r="M67" s="82"/>
      <c r="N67" s="82"/>
      <c r="O67" s="82"/>
      <c r="P67" s="82"/>
      <c r="Q67" s="82"/>
    </row>
    <row r="68" spans="2:17">
      <c r="B68" s="98" t="s">
        <v>185</v>
      </c>
      <c r="C68" s="192"/>
      <c r="D68" s="192"/>
      <c r="E68" s="78">
        <f t="shared" ref="E68:K71" si="25">E43/E$42</f>
        <v>0.99561403508771928</v>
      </c>
      <c r="F68" s="78">
        <f t="shared" si="25"/>
        <v>0.97539692717737436</v>
      </c>
      <c r="G68" s="78">
        <f t="shared" si="25"/>
        <v>0.93358110677618134</v>
      </c>
      <c r="H68" s="78">
        <f t="shared" si="25"/>
        <v>0.94660834302447805</v>
      </c>
      <c r="I68" s="78">
        <f t="shared" si="25"/>
        <v>0.95804426486336947</v>
      </c>
      <c r="J68" s="78">
        <f t="shared" si="25"/>
        <v>0.95991057259500456</v>
      </c>
      <c r="K68" s="78">
        <f t="shared" si="25"/>
        <v>0.95742419470446893</v>
      </c>
      <c r="L68" s="78"/>
      <c r="M68" s="78"/>
      <c r="N68" s="78"/>
      <c r="O68" s="78"/>
      <c r="P68" s="78"/>
      <c r="Q68" s="78"/>
    </row>
    <row r="69" spans="2:17">
      <c r="B69" s="197" t="s">
        <v>186</v>
      </c>
      <c r="C69" s="192"/>
      <c r="D69" s="192"/>
      <c r="E69" s="78"/>
      <c r="F69" s="78">
        <f t="shared" si="25"/>
        <v>0.95093044907091839</v>
      </c>
      <c r="G69" s="78">
        <f t="shared" si="25"/>
        <v>0.89324505268891852</v>
      </c>
      <c r="H69" s="78">
        <f t="shared" si="25"/>
        <v>0.9011110410850236</v>
      </c>
      <c r="I69" s="78">
        <f t="shared" si="25"/>
        <v>0.87762428961845784</v>
      </c>
      <c r="J69" s="78">
        <f t="shared" si="25"/>
        <v>0.84931134154733878</v>
      </c>
      <c r="K69" s="78">
        <f t="shared" si="25"/>
        <v>0.83276169869340744</v>
      </c>
      <c r="L69" s="78"/>
      <c r="M69" s="78"/>
      <c r="N69" s="78"/>
      <c r="O69" s="78"/>
      <c r="P69" s="78"/>
      <c r="Q69" s="78"/>
    </row>
    <row r="70" spans="2:17">
      <c r="B70" s="197" t="s">
        <v>187</v>
      </c>
      <c r="C70" s="192"/>
      <c r="D70" s="192"/>
      <c r="E70" s="78"/>
      <c r="F70" s="78">
        <f t="shared" si="25"/>
        <v>2.4466478106455879E-2</v>
      </c>
      <c r="G70" s="78">
        <f t="shared" si="25"/>
        <v>4.0336054087262811E-2</v>
      </c>
      <c r="H70" s="78">
        <f t="shared" si="25"/>
        <v>4.5497301939454449E-2</v>
      </c>
      <c r="I70" s="78">
        <f t="shared" si="25"/>
        <v>8.0419975244911596E-2</v>
      </c>
      <c r="J70" s="78">
        <f t="shared" si="25"/>
        <v>0.11059923104766584</v>
      </c>
      <c r="K70" s="78">
        <f t="shared" si="25"/>
        <v>0.12466249601106145</v>
      </c>
      <c r="L70" s="78"/>
      <c r="M70" s="78"/>
      <c r="N70" s="78"/>
      <c r="O70" s="78"/>
      <c r="P70" s="78"/>
      <c r="Q70" s="78"/>
    </row>
    <row r="71" spans="2:17">
      <c r="B71" s="98" t="s">
        <v>153</v>
      </c>
      <c r="C71" s="192"/>
      <c r="D71" s="192"/>
      <c r="E71" s="78">
        <f>E46/E$42</f>
        <v>4.3859649122807015E-3</v>
      </c>
      <c r="F71" s="78">
        <f t="shared" si="25"/>
        <v>2.460307282262569E-2</v>
      </c>
      <c r="G71" s="78">
        <f t="shared" si="25"/>
        <v>6.6418893223818692E-2</v>
      </c>
      <c r="H71" s="78">
        <f t="shared" si="25"/>
        <v>5.3391656975521985E-2</v>
      </c>
      <c r="I71" s="78">
        <f t="shared" si="25"/>
        <v>4.1955735136630548E-2</v>
      </c>
      <c r="J71" s="78">
        <f t="shared" si="25"/>
        <v>4.0089427404995437E-2</v>
      </c>
      <c r="K71" s="78">
        <f t="shared" si="25"/>
        <v>4.2575805295531163E-2</v>
      </c>
      <c r="L71" s="78"/>
      <c r="M71" s="78"/>
      <c r="N71" s="78"/>
      <c r="O71" s="78"/>
      <c r="P71" s="78"/>
      <c r="Q71" s="78"/>
    </row>
    <row r="72" spans="2:17">
      <c r="B72" s="198"/>
      <c r="C72" s="192"/>
      <c r="D72" s="192"/>
      <c r="E72" s="192"/>
      <c r="F72" s="192"/>
      <c r="G72" s="192"/>
      <c r="H72" s="82"/>
      <c r="I72" s="82"/>
      <c r="J72" s="82"/>
      <c r="K72" s="82"/>
      <c r="L72" s="82"/>
      <c r="M72" s="82"/>
      <c r="N72" s="82"/>
      <c r="O72" s="82"/>
      <c r="P72" s="82"/>
      <c r="Q72" s="82"/>
    </row>
    <row r="73" spans="2:17">
      <c r="B73" s="110" t="s">
        <v>199</v>
      </c>
      <c r="C73" s="192"/>
      <c r="D73" s="192"/>
      <c r="E73" s="192"/>
      <c r="F73" s="192"/>
      <c r="G73" s="192"/>
      <c r="H73" s="82"/>
      <c r="I73" s="82"/>
      <c r="J73" s="82"/>
      <c r="K73" s="82"/>
      <c r="L73" s="82"/>
      <c r="M73" s="82"/>
      <c r="N73" s="82"/>
      <c r="O73" s="82"/>
      <c r="P73" s="82"/>
      <c r="Q73" s="82"/>
    </row>
    <row r="74" spans="2:17">
      <c r="B74" s="98" t="s">
        <v>185</v>
      </c>
      <c r="C74" s="192"/>
      <c r="D74" s="192"/>
      <c r="E74" s="78">
        <f t="shared" ref="E74:K77" si="26">E55/E$54</f>
        <v>0.98650067496625171</v>
      </c>
      <c r="F74" s="78">
        <f t="shared" si="26"/>
        <v>0.93806714280785286</v>
      </c>
      <c r="G74" s="78">
        <f t="shared" si="26"/>
        <v>0.88470650871822176</v>
      </c>
      <c r="H74" s="78">
        <f t="shared" si="26"/>
        <v>0.89468362055982276</v>
      </c>
      <c r="I74" s="78">
        <f t="shared" si="26"/>
        <v>0.91902581553207785</v>
      </c>
      <c r="J74" s="78">
        <f t="shared" si="26"/>
        <v>0.92253834697293069</v>
      </c>
      <c r="K74" s="78">
        <f t="shared" si="26"/>
        <v>0.9184529671248769</v>
      </c>
      <c r="L74" s="78"/>
      <c r="M74" s="78"/>
      <c r="N74" s="78"/>
      <c r="O74" s="78"/>
      <c r="P74" s="78"/>
      <c r="Q74" s="78"/>
    </row>
    <row r="75" spans="2:17">
      <c r="B75" s="197" t="s">
        <v>186</v>
      </c>
      <c r="C75" s="192"/>
      <c r="D75" s="192"/>
      <c r="E75" s="78"/>
      <c r="F75" s="78">
        <f t="shared" si="26"/>
        <v>0.86561087534071701</v>
      </c>
      <c r="G75" s="78">
        <f t="shared" si="26"/>
        <v>0.8075069878876614</v>
      </c>
      <c r="H75" s="78">
        <f t="shared" si="26"/>
        <v>0.81077475849308289</v>
      </c>
      <c r="I75" s="78">
        <f t="shared" si="26"/>
        <v>0.76758894689019941</v>
      </c>
      <c r="J75" s="78">
        <f t="shared" si="26"/>
        <v>0.74596569884383301</v>
      </c>
      <c r="K75" s="78">
        <f t="shared" si="26"/>
        <v>0.72959300678546857</v>
      </c>
      <c r="L75" s="78"/>
      <c r="M75" s="78"/>
      <c r="N75" s="78"/>
      <c r="O75" s="78"/>
      <c r="P75" s="78"/>
      <c r="Q75" s="78"/>
    </row>
    <row r="76" spans="2:17">
      <c r="B76" s="197" t="s">
        <v>187</v>
      </c>
      <c r="C76" s="192"/>
      <c r="D76" s="192"/>
      <c r="E76" s="78"/>
      <c r="F76" s="78">
        <f t="shared" si="26"/>
        <v>7.2456267467135904E-2</v>
      </c>
      <c r="G76" s="78">
        <f t="shared" si="26"/>
        <v>7.7199520830560364E-2</v>
      </c>
      <c r="H76" s="78">
        <f t="shared" si="26"/>
        <v>8.3908862066739823E-2</v>
      </c>
      <c r="I76" s="78">
        <f t="shared" si="26"/>
        <v>0.15143686864187852</v>
      </c>
      <c r="J76" s="78">
        <f t="shared" si="26"/>
        <v>0.17657264812909765</v>
      </c>
      <c r="K76" s="78">
        <f t="shared" si="26"/>
        <v>0.18885996033940833</v>
      </c>
      <c r="L76" s="78"/>
      <c r="M76" s="78"/>
      <c r="N76" s="78"/>
      <c r="O76" s="78"/>
      <c r="P76" s="78"/>
      <c r="Q76" s="78"/>
    </row>
    <row r="77" spans="2:17">
      <c r="B77" s="98" t="s">
        <v>153</v>
      </c>
      <c r="C77" s="192"/>
      <c r="D77" s="192"/>
      <c r="E77" s="78">
        <f>E58/E$54</f>
        <v>1.3499325033748313E-2</v>
      </c>
      <c r="F77" s="78">
        <f t="shared" si="26"/>
        <v>6.1932857192147119E-2</v>
      </c>
      <c r="G77" s="78">
        <f t="shared" si="26"/>
        <v>0.11529349128177825</v>
      </c>
      <c r="H77" s="78">
        <f t="shared" si="26"/>
        <v>0.10531637944017729</v>
      </c>
      <c r="I77" s="78">
        <f t="shared" si="26"/>
        <v>8.0974184467922108E-2</v>
      </c>
      <c r="J77" s="78">
        <f t="shared" si="26"/>
        <v>7.7461653027069352E-2</v>
      </c>
      <c r="K77" s="78">
        <f t="shared" si="26"/>
        <v>8.1547032875123091E-2</v>
      </c>
      <c r="L77" s="78"/>
      <c r="M77" s="78"/>
      <c r="N77" s="78"/>
      <c r="O77" s="78"/>
      <c r="P77" s="78"/>
      <c r="Q77" s="78"/>
    </row>
    <row r="78" spans="2:17">
      <c r="B78" s="98"/>
      <c r="C78" s="192"/>
      <c r="D78" s="192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</row>
    <row r="79" spans="2:17">
      <c r="B79" s="110" t="s">
        <v>201</v>
      </c>
      <c r="C79" s="192"/>
      <c r="D79" s="192"/>
      <c r="E79" s="192"/>
      <c r="F79" s="192"/>
      <c r="G79" s="192"/>
      <c r="H79" s="82"/>
      <c r="I79" s="82"/>
      <c r="J79" s="82"/>
      <c r="K79" s="82"/>
      <c r="L79" s="82"/>
      <c r="M79" s="82"/>
      <c r="N79" s="82"/>
      <c r="O79" s="82"/>
      <c r="P79" s="82"/>
      <c r="Q79" s="82"/>
    </row>
    <row r="80" spans="2:17">
      <c r="B80" s="202" t="s">
        <v>195</v>
      </c>
      <c r="C80" s="192"/>
      <c r="D80" s="192"/>
      <c r="E80" s="192"/>
      <c r="F80" s="192"/>
      <c r="G80" s="192"/>
      <c r="H80" s="82"/>
      <c r="I80" s="82"/>
      <c r="J80" s="82"/>
      <c r="K80" s="82"/>
      <c r="L80" s="82"/>
      <c r="M80" s="82"/>
      <c r="N80" s="82"/>
      <c r="O80" s="82"/>
      <c r="P80" s="82"/>
      <c r="Q80" s="82"/>
    </row>
    <row r="81" spans="2:17">
      <c r="B81" s="98" t="s">
        <v>185</v>
      </c>
      <c r="C81" s="192"/>
      <c r="D81" s="192"/>
      <c r="E81" s="78">
        <f t="shared" ref="E81:K82" si="27">E35/E$33</f>
        <v>0.9951628762709176</v>
      </c>
      <c r="F81" s="78">
        <f t="shared" si="27"/>
        <v>0.96017554170993979</v>
      </c>
      <c r="G81" s="78">
        <f t="shared" si="27"/>
        <v>0.92676101153234347</v>
      </c>
      <c r="H81" s="78">
        <f t="shared" si="27"/>
        <v>0.94602333824603524</v>
      </c>
      <c r="I81" s="78">
        <f t="shared" si="27"/>
        <v>0.95736609428091668</v>
      </c>
      <c r="J81" s="78">
        <f t="shared" si="27"/>
        <v>0.95709410747792478</v>
      </c>
      <c r="K81" s="78">
        <f t="shared" si="27"/>
        <v>0.95390290341591644</v>
      </c>
      <c r="L81" s="78"/>
      <c r="M81" s="78"/>
      <c r="N81" s="78"/>
      <c r="O81" s="78"/>
      <c r="P81" s="78"/>
      <c r="Q81" s="78"/>
    </row>
    <row r="82" spans="2:17">
      <c r="B82" s="98" t="s">
        <v>153</v>
      </c>
      <c r="C82" s="192"/>
      <c r="D82" s="192"/>
      <c r="E82" s="78">
        <f t="shared" si="27"/>
        <v>4.83712372908238E-3</v>
      </c>
      <c r="F82" s="78">
        <f t="shared" si="27"/>
        <v>3.9824458290060247E-2</v>
      </c>
      <c r="G82" s="78">
        <f t="shared" si="27"/>
        <v>7.3238988467656543E-2</v>
      </c>
      <c r="H82" s="78">
        <f t="shared" si="27"/>
        <v>5.3976661753964816E-2</v>
      </c>
      <c r="I82" s="78">
        <f t="shared" si="27"/>
        <v>4.2633905719083223E-2</v>
      </c>
      <c r="J82" s="78">
        <f t="shared" si="27"/>
        <v>4.2905892522075516E-2</v>
      </c>
      <c r="K82" s="78">
        <f t="shared" si="27"/>
        <v>4.6097096584083307E-2</v>
      </c>
      <c r="L82" s="78"/>
      <c r="M82" s="78"/>
      <c r="N82" s="78"/>
      <c r="O82" s="78"/>
      <c r="P82" s="78"/>
      <c r="Q82" s="78"/>
    </row>
    <row r="83" spans="2:17">
      <c r="B83" s="202" t="s">
        <v>196</v>
      </c>
      <c r="C83" s="192"/>
      <c r="D83" s="192"/>
      <c r="E83" s="192"/>
      <c r="F83" s="192"/>
      <c r="G83" s="192"/>
      <c r="H83" s="82"/>
      <c r="I83" s="82"/>
      <c r="J83" s="82"/>
      <c r="K83" s="82"/>
      <c r="L83" s="82"/>
      <c r="M83" s="82"/>
      <c r="N83" s="82"/>
      <c r="O83" s="82"/>
      <c r="P83" s="82"/>
      <c r="Q83" s="82"/>
    </row>
    <row r="84" spans="2:17">
      <c r="B84" s="98" t="s">
        <v>96</v>
      </c>
      <c r="C84" s="192"/>
      <c r="D84" s="192"/>
      <c r="E84" s="219">
        <f t="shared" ref="E84:K86" si="28">E38/E$33</f>
        <v>0.91369653093917824</v>
      </c>
      <c r="F84" s="219">
        <f t="shared" si="28"/>
        <v>0.92453108991242128</v>
      </c>
      <c r="G84" s="219">
        <f t="shared" si="28"/>
        <v>0.94373811258879148</v>
      </c>
      <c r="H84" s="219">
        <f t="shared" si="28"/>
        <v>0.94456385738636395</v>
      </c>
      <c r="I84" s="219">
        <f t="shared" si="28"/>
        <v>0.9447422708136971</v>
      </c>
      <c r="J84" s="219">
        <f t="shared" si="28"/>
        <v>0.95151790797785696</v>
      </c>
      <c r="K84" s="219">
        <f t="shared" si="28"/>
        <v>0.95537599421335828</v>
      </c>
      <c r="L84" s="82"/>
      <c r="M84" s="82"/>
      <c r="N84" s="82"/>
      <c r="O84" s="82"/>
      <c r="P84" s="82"/>
      <c r="Q84" s="82"/>
    </row>
    <row r="85" spans="2:17">
      <c r="B85" s="98" t="s">
        <v>97</v>
      </c>
      <c r="C85" s="192"/>
      <c r="D85" s="192"/>
      <c r="E85" s="219">
        <f t="shared" si="28"/>
        <v>6.7331170189970313E-2</v>
      </c>
      <c r="F85" s="219">
        <f t="shared" si="28"/>
        <v>5.5127454251115801E-2</v>
      </c>
      <c r="G85" s="219">
        <f t="shared" si="28"/>
        <v>3.6278205626755176E-2</v>
      </c>
      <c r="H85" s="219">
        <f t="shared" si="28"/>
        <v>3.0463403213532757E-2</v>
      </c>
      <c r="I85" s="219">
        <f t="shared" si="28"/>
        <v>3.147577859304064E-2</v>
      </c>
      <c r="J85" s="219">
        <f t="shared" si="28"/>
        <v>2.414156228044239E-2</v>
      </c>
      <c r="K85" s="219">
        <f t="shared" si="28"/>
        <v>2.0180517706016452E-2</v>
      </c>
      <c r="L85" s="82"/>
      <c r="M85" s="82"/>
      <c r="N85" s="82"/>
      <c r="O85" s="82"/>
      <c r="P85" s="82"/>
      <c r="Q85" s="82"/>
    </row>
    <row r="86" spans="2:17">
      <c r="B86" s="98" t="s">
        <v>98</v>
      </c>
      <c r="C86" s="192"/>
      <c r="D86" s="192"/>
      <c r="E86" s="219">
        <f t="shared" si="28"/>
        <v>1.8972298870851532E-2</v>
      </c>
      <c r="F86" s="219">
        <f t="shared" si="28"/>
        <v>2.0341455836462786E-2</v>
      </c>
      <c r="G86" s="219">
        <f t="shared" si="28"/>
        <v>1.9983681784453269E-2</v>
      </c>
      <c r="H86" s="219">
        <f t="shared" si="28"/>
        <v>2.4972739400103281E-2</v>
      </c>
      <c r="I86" s="219">
        <f t="shared" si="28"/>
        <v>2.3781950593262172E-2</v>
      </c>
      <c r="J86" s="219">
        <f t="shared" si="28"/>
        <v>2.4340529741700628E-2</v>
      </c>
      <c r="K86" s="219">
        <f t="shared" si="28"/>
        <v>2.444348808062512E-2</v>
      </c>
      <c r="L86" s="82"/>
      <c r="M86" s="82"/>
      <c r="N86" s="82"/>
      <c r="O86" s="82"/>
      <c r="P86" s="82"/>
      <c r="Q86" s="82"/>
    </row>
    <row r="87" spans="2:17">
      <c r="B87" s="177" t="s">
        <v>41</v>
      </c>
      <c r="C87" s="177"/>
      <c r="D87" s="177"/>
      <c r="E87" s="179"/>
      <c r="F87" s="179"/>
      <c r="G87" s="218"/>
      <c r="H87" s="179"/>
      <c r="I87" s="179"/>
      <c r="J87" s="179"/>
      <c r="K87" s="179"/>
      <c r="L87" s="92"/>
      <c r="M87" s="92"/>
      <c r="N87" s="92"/>
      <c r="O87" s="92"/>
      <c r="P87" s="92"/>
      <c r="Q87" s="92"/>
    </row>
    <row r="88" spans="2:17">
      <c r="B88" s="110" t="s">
        <v>197</v>
      </c>
      <c r="C88" s="192"/>
      <c r="D88" s="192"/>
      <c r="E88" s="192"/>
      <c r="F88" s="93">
        <f t="shared" ref="F88:K92" si="29">F42/E42-1</f>
        <v>0.34448189473684221</v>
      </c>
      <c r="G88" s="93">
        <f t="shared" si="29"/>
        <v>0.56089645071391736</v>
      </c>
      <c r="H88" s="93">
        <f t="shared" si="29"/>
        <v>0.21777779192259006</v>
      </c>
      <c r="I88" s="93">
        <f t="shared" si="29"/>
        <v>0.34115147868214857</v>
      </c>
      <c r="J88" s="93">
        <f t="shared" si="29"/>
        <v>0.13760599576695198</v>
      </c>
      <c r="K88" s="93">
        <f t="shared" si="29"/>
        <v>0.16510133216376022</v>
      </c>
      <c r="L88" s="93"/>
      <c r="M88" s="93"/>
      <c r="N88" s="93"/>
      <c r="O88" s="93"/>
      <c r="P88" s="93"/>
      <c r="Q88" s="93"/>
    </row>
    <row r="89" spans="2:17">
      <c r="B89" s="98" t="s">
        <v>185</v>
      </c>
      <c r="C89" s="192"/>
      <c r="D89" s="192"/>
      <c r="E89" s="192"/>
      <c r="F89" s="78">
        <f t="shared" si="29"/>
        <v>0.31718061674008813</v>
      </c>
      <c r="G89" s="78">
        <f t="shared" si="29"/>
        <v>0.49397993311036781</v>
      </c>
      <c r="H89" s="78">
        <f t="shared" si="29"/>
        <v>0.2347707225615645</v>
      </c>
      <c r="I89" s="78">
        <f t="shared" si="29"/>
        <v>0.35735385382213414</v>
      </c>
      <c r="J89" s="78">
        <f t="shared" si="29"/>
        <v>0.13982209677952584</v>
      </c>
      <c r="K89" s="78">
        <f t="shared" si="29"/>
        <v>0.16208346542155505</v>
      </c>
      <c r="L89" s="78"/>
      <c r="M89" s="78"/>
      <c r="N89" s="78"/>
      <c r="O89" s="78"/>
      <c r="P89" s="78"/>
      <c r="Q89" s="78"/>
    </row>
    <row r="90" spans="2:17">
      <c r="B90" s="197" t="s">
        <v>186</v>
      </c>
      <c r="C90" s="192"/>
      <c r="D90" s="192"/>
      <c r="E90" s="192"/>
      <c r="F90" s="78"/>
      <c r="G90" s="78">
        <f t="shared" si="29"/>
        <v>0.46620926243567751</v>
      </c>
      <c r="H90" s="78">
        <f t="shared" si="29"/>
        <v>0.22850164194724099</v>
      </c>
      <c r="I90" s="78">
        <f t="shared" si="29"/>
        <v>0.30619541885971358</v>
      </c>
      <c r="J90" s="78">
        <f t="shared" si="29"/>
        <v>0.10090580427892237</v>
      </c>
      <c r="K90" s="78">
        <f t="shared" si="29"/>
        <v>0.14239821966225952</v>
      </c>
      <c r="L90" s="78"/>
      <c r="M90" s="78"/>
      <c r="N90" s="78"/>
      <c r="O90" s="78"/>
      <c r="P90" s="78"/>
      <c r="Q90" s="78"/>
    </row>
    <row r="91" spans="2:17">
      <c r="B91" s="197" t="s">
        <v>187</v>
      </c>
      <c r="C91" s="192"/>
      <c r="D91" s="192"/>
      <c r="E91" s="192"/>
      <c r="F91" s="78"/>
      <c r="G91" s="78">
        <f t="shared" si="29"/>
        <v>1.5733333333333333</v>
      </c>
      <c r="H91" s="78">
        <f t="shared" si="29"/>
        <v>0.37360000000000015</v>
      </c>
      <c r="I91" s="78">
        <f t="shared" si="29"/>
        <v>1.3705882352941177</v>
      </c>
      <c r="J91" s="78">
        <f t="shared" si="29"/>
        <v>0.56451612903225801</v>
      </c>
      <c r="K91" s="78">
        <f t="shared" si="29"/>
        <v>0.31325000000000003</v>
      </c>
      <c r="L91" s="78"/>
      <c r="M91" s="78"/>
      <c r="N91" s="78"/>
      <c r="O91" s="78"/>
      <c r="P91" s="78"/>
      <c r="Q91" s="78"/>
    </row>
    <row r="92" spans="2:17">
      <c r="B92" s="98" t="s">
        <v>153</v>
      </c>
      <c r="C92" s="192"/>
      <c r="D92" s="192"/>
      <c r="E92" s="192"/>
      <c r="F92" s="78">
        <f>F46/E46-1</f>
        <v>6.5418720000000032</v>
      </c>
      <c r="G92" s="78">
        <f t="shared" si="29"/>
        <v>3.2138238357797562</v>
      </c>
      <c r="H92" s="78">
        <f t="shared" si="29"/>
        <v>-2.1074110349330932E-2</v>
      </c>
      <c r="I92" s="78">
        <f t="shared" si="29"/>
        <v>5.3891177108172483E-2</v>
      </c>
      <c r="J92" s="78">
        <f t="shared" si="29"/>
        <v>8.7002118644067927E-2</v>
      </c>
      <c r="K92" s="78">
        <f t="shared" si="29"/>
        <v>0.23736183524504706</v>
      </c>
      <c r="L92" s="78"/>
      <c r="M92" s="78"/>
      <c r="N92" s="78"/>
      <c r="O92" s="78"/>
      <c r="P92" s="78"/>
      <c r="Q92" s="78"/>
    </row>
    <row r="93" spans="2:17">
      <c r="B93" s="198"/>
      <c r="C93" s="192"/>
      <c r="D93" s="192"/>
      <c r="E93" s="192"/>
      <c r="F93" s="192"/>
      <c r="G93" s="192"/>
      <c r="H93" s="82"/>
      <c r="I93" s="82"/>
      <c r="J93" s="82"/>
      <c r="K93" s="82"/>
      <c r="L93" s="82"/>
      <c r="M93" s="82"/>
      <c r="N93" s="82"/>
      <c r="O93" s="82"/>
      <c r="P93" s="82"/>
      <c r="Q93" s="82"/>
    </row>
    <row r="94" spans="2:17">
      <c r="B94" s="110" t="s">
        <v>201</v>
      </c>
      <c r="C94" s="192"/>
      <c r="D94" s="192"/>
      <c r="E94" s="192"/>
      <c r="F94" s="93">
        <f t="shared" ref="F94:K94" si="30">F33/E33-1</f>
        <v>0.31152500834220076</v>
      </c>
      <c r="G94" s="93">
        <f t="shared" si="30"/>
        <v>0.49551396599938236</v>
      </c>
      <c r="H94" s="93">
        <f t="shared" si="30"/>
        <v>0.22294874046082569</v>
      </c>
      <c r="I94" s="93">
        <f t="shared" si="30"/>
        <v>0.3021781168914337</v>
      </c>
      <c r="J94" s="93">
        <f t="shared" si="30"/>
        <v>0.17160479295765496</v>
      </c>
      <c r="K94" s="93">
        <f t="shared" si="30"/>
        <v>0.15867911668662016</v>
      </c>
      <c r="L94" s="93"/>
      <c r="M94" s="93"/>
      <c r="N94" s="93"/>
      <c r="O94" s="93"/>
      <c r="P94" s="93"/>
      <c r="Q94" s="93"/>
    </row>
    <row r="95" spans="2:17">
      <c r="B95" s="98" t="s">
        <v>185</v>
      </c>
      <c r="C95" s="192"/>
      <c r="D95" s="192"/>
      <c r="E95" s="192"/>
      <c r="F95" s="78">
        <f t="shared" ref="F95:K95" si="31">F35/E35-1</f>
        <v>0.2654152052676475</v>
      </c>
      <c r="G95" s="78">
        <f t="shared" si="31"/>
        <v>0.44346942374942055</v>
      </c>
      <c r="H95" s="78">
        <f t="shared" si="31"/>
        <v>0.24836720099134002</v>
      </c>
      <c r="I95" s="78">
        <f t="shared" si="31"/>
        <v>0.31779114470663083</v>
      </c>
      <c r="J95" s="78">
        <f t="shared" si="31"/>
        <v>0.17127194114275346</v>
      </c>
      <c r="K95" s="78">
        <f t="shared" si="31"/>
        <v>0.15481577506237976</v>
      </c>
      <c r="L95" s="78"/>
      <c r="M95" s="78"/>
      <c r="N95" s="78"/>
      <c r="O95" s="78"/>
      <c r="P95" s="78"/>
      <c r="Q95" s="78"/>
    </row>
    <row r="96" spans="2:17">
      <c r="B96" s="197" t="s">
        <v>186</v>
      </c>
      <c r="C96" s="192"/>
      <c r="D96" s="192"/>
      <c r="E96" s="192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</row>
    <row r="97" spans="2:17">
      <c r="B97" s="197" t="s">
        <v>187</v>
      </c>
      <c r="C97" s="192"/>
      <c r="D97" s="192"/>
      <c r="E97" s="192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</row>
    <row r="98" spans="2:17">
      <c r="B98" s="98" t="s">
        <v>153</v>
      </c>
      <c r="C98" s="192"/>
      <c r="D98" s="192"/>
      <c r="E98" s="192"/>
      <c r="F98" s="78">
        <f t="shared" ref="F98:K98" si="32">F36/E36-1</f>
        <v>9.7978988995187954</v>
      </c>
      <c r="G98" s="78">
        <f t="shared" si="32"/>
        <v>1.7503181414619662</v>
      </c>
      <c r="H98" s="78">
        <f t="shared" si="32"/>
        <v>-9.8694672231271707E-2</v>
      </c>
      <c r="I98" s="78">
        <f t="shared" si="32"/>
        <v>2.8535986868894581E-2</v>
      </c>
      <c r="J98" s="78">
        <f t="shared" si="32"/>
        <v>0.1790791502006126</v>
      </c>
      <c r="K98" s="78">
        <f t="shared" si="32"/>
        <v>0.2448579906450512</v>
      </c>
      <c r="L98" s="78"/>
      <c r="M98" s="78"/>
      <c r="N98" s="78"/>
      <c r="O98" s="78"/>
      <c r="P98" s="78"/>
      <c r="Q98" s="78"/>
    </row>
    <row r="99" spans="2:17">
      <c r="B99" s="198"/>
      <c r="C99" s="192"/>
      <c r="D99" s="192"/>
      <c r="E99" s="192"/>
      <c r="F99" s="192"/>
      <c r="G99" s="192"/>
      <c r="H99" s="82"/>
      <c r="I99" s="82"/>
      <c r="J99" s="82"/>
      <c r="K99" s="82"/>
      <c r="L99" s="82"/>
      <c r="M99" s="82"/>
      <c r="N99" s="82"/>
      <c r="O99" s="82"/>
      <c r="P99" s="82"/>
      <c r="Q99" s="82"/>
    </row>
    <row r="100" spans="2:17">
      <c r="B100" s="110" t="s">
        <v>199</v>
      </c>
      <c r="C100" s="192"/>
      <c r="D100" s="192"/>
      <c r="E100" s="192"/>
      <c r="F100" s="93">
        <f t="shared" ref="F100:K104" si="33">F54/E54-1</f>
        <v>0.4490775461226939</v>
      </c>
      <c r="G100" s="93">
        <f t="shared" si="33"/>
        <v>0.2961046130490288</v>
      </c>
      <c r="H100" s="93">
        <f t="shared" si="33"/>
        <v>0.23729535471848795</v>
      </c>
      <c r="I100" s="93">
        <f t="shared" si="33"/>
        <v>0.20762064588308693</v>
      </c>
      <c r="J100" s="93">
        <f t="shared" si="33"/>
        <v>0.16034491973845966</v>
      </c>
      <c r="K100" s="93">
        <f t="shared" si="33"/>
        <v>0.13818728984016326</v>
      </c>
      <c r="L100" s="93"/>
      <c r="M100" s="93"/>
      <c r="N100" s="93"/>
      <c r="O100" s="93"/>
      <c r="P100" s="93"/>
      <c r="Q100" s="93"/>
    </row>
    <row r="101" spans="2:17">
      <c r="B101" s="98" t="s">
        <v>185</v>
      </c>
      <c r="C101" s="192"/>
      <c r="D101" s="192"/>
      <c r="E101" s="192"/>
      <c r="F101" s="78">
        <f t="shared" si="33"/>
        <v>0.3779332015609953</v>
      </c>
      <c r="G101" s="78">
        <f t="shared" si="33"/>
        <v>0.22237751949389439</v>
      </c>
      <c r="H101" s="78">
        <f t="shared" si="33"/>
        <v>0.25124872118914365</v>
      </c>
      <c r="I101" s="78">
        <f t="shared" si="33"/>
        <v>0.24047710657945354</v>
      </c>
      <c r="J101" s="78">
        <f t="shared" si="33"/>
        <v>0.16477977667493793</v>
      </c>
      <c r="K101" s="78">
        <f t="shared" si="33"/>
        <v>0.13314692763464486</v>
      </c>
      <c r="L101" s="78"/>
      <c r="M101" s="78"/>
      <c r="N101" s="78"/>
      <c r="O101" s="78"/>
      <c r="P101" s="78"/>
      <c r="Q101" s="78"/>
    </row>
    <row r="102" spans="2:17">
      <c r="B102" s="197" t="s">
        <v>186</v>
      </c>
      <c r="C102" s="192"/>
      <c r="D102" s="192"/>
      <c r="E102" s="192"/>
      <c r="F102" s="78" t="e">
        <f t="shared" si="33"/>
        <v>#DIV/0!</v>
      </c>
      <c r="G102" s="78">
        <f t="shared" si="33"/>
        <v>0.20910395408163263</v>
      </c>
      <c r="H102" s="78">
        <f t="shared" si="33"/>
        <v>0.24230236698094543</v>
      </c>
      <c r="I102" s="78">
        <f t="shared" si="33"/>
        <v>0.14329688992675926</v>
      </c>
      <c r="J102" s="78">
        <f t="shared" si="33"/>
        <v>0.12765759910871788</v>
      </c>
      <c r="K102" s="78">
        <f t="shared" si="33"/>
        <v>0.11320599374279605</v>
      </c>
      <c r="L102" s="78"/>
      <c r="M102" s="78"/>
      <c r="N102" s="78"/>
      <c r="O102" s="78"/>
      <c r="P102" s="78"/>
      <c r="Q102" s="78"/>
    </row>
    <row r="103" spans="2:17">
      <c r="B103" s="197" t="s">
        <v>187</v>
      </c>
      <c r="C103" s="192"/>
      <c r="D103" s="192"/>
      <c r="E103" s="192"/>
      <c r="F103" s="78" t="e">
        <f t="shared" si="33"/>
        <v>#DIV/0!</v>
      </c>
      <c r="G103" s="78">
        <f t="shared" si="33"/>
        <v>0.38095238095238093</v>
      </c>
      <c r="H103" s="78">
        <f t="shared" si="33"/>
        <v>0.34482758620689657</v>
      </c>
      <c r="I103" s="78">
        <f t="shared" si="33"/>
        <v>1.1794871794871793</v>
      </c>
      <c r="J103" s="78">
        <f t="shared" si="33"/>
        <v>0.35294117647058831</v>
      </c>
      <c r="K103" s="78">
        <f t="shared" si="33"/>
        <v>0.21739130434782616</v>
      </c>
      <c r="L103" s="78"/>
      <c r="M103" s="78"/>
      <c r="N103" s="78"/>
      <c r="O103" s="78"/>
      <c r="P103" s="78"/>
      <c r="Q103" s="78"/>
    </row>
    <row r="104" spans="2:17">
      <c r="B104" s="98" t="s">
        <v>153</v>
      </c>
      <c r="C104" s="192"/>
      <c r="D104" s="192"/>
      <c r="E104" s="192"/>
      <c r="F104" s="78">
        <f t="shared" si="33"/>
        <v>5.6481481481481479</v>
      </c>
      <c r="G104" s="78">
        <f t="shared" si="33"/>
        <v>1.4128133704735375</v>
      </c>
      <c r="H104" s="78">
        <f t="shared" si="33"/>
        <v>0.13022396675132764</v>
      </c>
      <c r="I104" s="78">
        <f t="shared" si="33"/>
        <v>-7.1501532175689442E-2</v>
      </c>
      <c r="J104" s="78">
        <f t="shared" si="33"/>
        <v>0.11001100110011008</v>
      </c>
      <c r="K104" s="78">
        <f t="shared" si="33"/>
        <v>0.19821605550049548</v>
      </c>
      <c r="L104" s="78"/>
      <c r="M104" s="78"/>
      <c r="N104" s="78"/>
      <c r="O104" s="78"/>
      <c r="P104" s="78"/>
      <c r="Q104" s="78"/>
    </row>
    <row r="105" spans="2:17">
      <c r="B105" s="98"/>
      <c r="C105" s="192"/>
      <c r="D105" s="192"/>
      <c r="E105" s="192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</row>
    <row r="106" spans="2:17" hidden="1" outlineLevel="1">
      <c r="B106" s="110" t="s">
        <v>202</v>
      </c>
      <c r="C106" s="192"/>
      <c r="D106" s="192"/>
      <c r="E106" s="192"/>
      <c r="F106" s="220">
        <f t="shared" ref="F106:K107" si="34">(1+F88)/(1+F100)</f>
        <v>0.9278191483501218</v>
      </c>
      <c r="G106" s="220">
        <f t="shared" si="34"/>
        <v>1.2042981986168366</v>
      </c>
      <c r="H106" s="220">
        <f t="shared" si="34"/>
        <v>0.98422562347666898</v>
      </c>
      <c r="I106" s="220">
        <f t="shared" si="34"/>
        <v>1.1105734928052804</v>
      </c>
      <c r="J106" s="220">
        <f t="shared" si="34"/>
        <v>0.98040330630599648</v>
      </c>
      <c r="K106" s="220">
        <f t="shared" si="34"/>
        <v>1.023646409131292</v>
      </c>
      <c r="L106" s="93"/>
      <c r="M106" s="93"/>
      <c r="N106" s="93"/>
      <c r="O106" s="93"/>
      <c r="P106" s="93"/>
      <c r="Q106" s="93"/>
    </row>
    <row r="107" spans="2:17" hidden="1" outlineLevel="1">
      <c r="B107" s="98" t="s">
        <v>185</v>
      </c>
      <c r="C107" s="192"/>
      <c r="D107" s="192"/>
      <c r="E107" s="192"/>
      <c r="F107" s="221">
        <f t="shared" si="34"/>
        <v>0.95591035563111226</v>
      </c>
      <c r="G107" s="221">
        <f>(1+G89)/(1+G101)</f>
        <v>1.2221919245773809</v>
      </c>
      <c r="H107" s="221">
        <f t="shared" si="34"/>
        <v>0.98683075686829147</v>
      </c>
      <c r="I107" s="221">
        <f t="shared" si="34"/>
        <v>1.0942191892319253</v>
      </c>
      <c r="J107" s="221">
        <f t="shared" si="34"/>
        <v>0.97857304840348613</v>
      </c>
      <c r="K107" s="221">
        <f t="shared" si="34"/>
        <v>1.0255364393453485</v>
      </c>
      <c r="L107" s="78"/>
      <c r="M107" s="78"/>
      <c r="N107" s="78"/>
      <c r="O107" s="78"/>
      <c r="P107" s="78"/>
      <c r="Q107" s="78"/>
    </row>
    <row r="108" spans="2:17" hidden="1" outlineLevel="1">
      <c r="B108" s="197" t="s">
        <v>186</v>
      </c>
      <c r="C108" s="192"/>
      <c r="D108" s="192"/>
      <c r="E108" s="192"/>
      <c r="F108" s="221"/>
      <c r="G108" s="221"/>
      <c r="H108" s="221"/>
      <c r="I108" s="221"/>
      <c r="J108" s="221"/>
      <c r="K108" s="221"/>
      <c r="L108" s="78"/>
      <c r="M108" s="78"/>
      <c r="N108" s="78"/>
      <c r="O108" s="78"/>
      <c r="P108" s="78"/>
      <c r="Q108" s="78"/>
    </row>
    <row r="109" spans="2:17" hidden="1" outlineLevel="1">
      <c r="B109" s="197" t="s">
        <v>187</v>
      </c>
      <c r="C109" s="192"/>
      <c r="D109" s="192"/>
      <c r="E109" s="192"/>
      <c r="F109" s="221"/>
      <c r="G109" s="221"/>
      <c r="H109" s="221"/>
      <c r="I109" s="221"/>
      <c r="J109" s="221"/>
      <c r="K109" s="221"/>
      <c r="L109" s="78"/>
      <c r="M109" s="78"/>
      <c r="N109" s="78"/>
      <c r="O109" s="78"/>
      <c r="P109" s="78"/>
      <c r="Q109" s="78"/>
    </row>
    <row r="110" spans="2:17" hidden="1" outlineLevel="1">
      <c r="B110" s="98" t="s">
        <v>153</v>
      </c>
      <c r="C110" s="192"/>
      <c r="D110" s="192"/>
      <c r="E110" s="192"/>
      <c r="F110" s="221">
        <f>(1+F92)/(1+F104)</f>
        <v>1.1344320000000006</v>
      </c>
      <c r="G110" s="221">
        <f t="shared" ref="G110:K110" si="35">(1+G92)/(1+G104)</f>
        <v>1.7464358774473938</v>
      </c>
      <c r="H110" s="221">
        <f t="shared" si="35"/>
        <v>0.86613442861635292</v>
      </c>
      <c r="I110" s="221">
        <f>(1+I92)/(1+I104)</f>
        <v>1.1350489135191428</v>
      </c>
      <c r="J110" s="221">
        <f t="shared" si="35"/>
        <v>0.97927148250491347</v>
      </c>
      <c r="K110" s="221">
        <f t="shared" si="35"/>
        <v>1.0326700510854032</v>
      </c>
      <c r="L110" s="78"/>
      <c r="M110" s="78"/>
      <c r="N110" s="78"/>
      <c r="O110" s="78"/>
      <c r="P110" s="78"/>
      <c r="Q110" s="78"/>
    </row>
    <row r="111" spans="2:17" hidden="1" outlineLevel="1">
      <c r="B111" s="98"/>
      <c r="C111" s="192"/>
      <c r="D111" s="192"/>
      <c r="E111" s="192"/>
      <c r="F111" s="192"/>
      <c r="G111" s="192"/>
      <c r="H111" s="82"/>
      <c r="I111" s="82"/>
      <c r="J111" s="82"/>
      <c r="K111" s="82"/>
      <c r="L111" s="82"/>
      <c r="M111" s="82"/>
      <c r="N111" s="82"/>
      <c r="O111" s="82"/>
      <c r="P111" s="82"/>
      <c r="Q111" s="82"/>
    </row>
    <row r="112" spans="2:17" collapsed="1">
      <c r="B112" s="110" t="s">
        <v>198</v>
      </c>
      <c r="C112" s="192"/>
      <c r="D112" s="192"/>
      <c r="E112" s="192"/>
      <c r="F112" s="192"/>
      <c r="G112" s="222">
        <f t="shared" ref="G112:K116" si="36">G48/F48-1</f>
        <v>0.14892937040588028</v>
      </c>
      <c r="H112" s="223">
        <f t="shared" si="36"/>
        <v>-3.5735132824895155E-2</v>
      </c>
      <c r="I112" s="223">
        <f t="shared" si="36"/>
        <v>9.8508253492539444E-2</v>
      </c>
      <c r="J112" s="222">
        <f t="shared" si="36"/>
        <v>-3.7362681112541818E-2</v>
      </c>
      <c r="K112" s="222">
        <f t="shared" si="36"/>
        <v>1.4504425853546943E-2</v>
      </c>
      <c r="L112" s="82"/>
      <c r="M112" s="82"/>
      <c r="N112" s="82"/>
      <c r="O112" s="82"/>
      <c r="P112" s="82"/>
      <c r="Q112" s="82"/>
    </row>
    <row r="113" spans="2:17">
      <c r="B113" s="98" t="s">
        <v>185</v>
      </c>
      <c r="C113" s="192"/>
      <c r="D113" s="192"/>
      <c r="E113" s="192"/>
      <c r="F113" s="192"/>
      <c r="G113" s="219">
        <f t="shared" si="36"/>
        <v>0.16010798188748065</v>
      </c>
      <c r="H113" s="224">
        <f t="shared" si="36"/>
        <v>-2.8159453792556688E-3</v>
      </c>
      <c r="I113" s="224">
        <f t="shared" si="36"/>
        <v>9.001481877108497E-2</v>
      </c>
      <c r="J113" s="219">
        <f t="shared" si="36"/>
        <v>-4.9011846609996801E-2</v>
      </c>
      <c r="K113" s="219">
        <f t="shared" si="36"/>
        <v>1.2479998257710179E-2</v>
      </c>
      <c r="L113" s="82"/>
      <c r="M113" s="82"/>
      <c r="N113" s="82"/>
      <c r="O113" s="82"/>
      <c r="P113" s="82"/>
      <c r="Q113" s="82"/>
    </row>
    <row r="114" spans="2:17">
      <c r="B114" s="197" t="s">
        <v>186</v>
      </c>
      <c r="C114" s="192"/>
      <c r="D114" s="192"/>
      <c r="E114" s="192"/>
      <c r="F114" s="192"/>
      <c r="G114" s="219">
        <f t="shared" si="36"/>
        <v>0.17512087669391874</v>
      </c>
      <c r="H114" s="224">
        <f t="shared" si="36"/>
        <v>9.9999999999988987E-4</v>
      </c>
      <c r="I114" s="224">
        <f t="shared" si="36"/>
        <v>0.10000000000000009</v>
      </c>
      <c r="J114" s="219">
        <f t="shared" si="36"/>
        <v>-3.0000000000000027E-2</v>
      </c>
      <c r="K114" s="219">
        <f t="shared" si="36"/>
        <v>2.0000000000000018E-2</v>
      </c>
      <c r="L114" s="82"/>
      <c r="M114" s="82"/>
      <c r="N114" s="82"/>
      <c r="O114" s="82"/>
      <c r="P114" s="82"/>
      <c r="Q114" s="82"/>
    </row>
    <row r="115" spans="2:17">
      <c r="B115" s="197" t="s">
        <v>187</v>
      </c>
      <c r="C115" s="192"/>
      <c r="D115" s="192"/>
      <c r="E115" s="192"/>
      <c r="F115" s="192"/>
      <c r="G115" s="219">
        <f t="shared" si="36"/>
        <v>0.28666666666666685</v>
      </c>
      <c r="H115" s="224">
        <f t="shared" si="36"/>
        <v>1.0000000000000009E-2</v>
      </c>
      <c r="I115" s="224">
        <f t="shared" si="36"/>
        <v>0.30000000000000004</v>
      </c>
      <c r="J115" s="219">
        <f t="shared" si="36"/>
        <v>-3.0000000000000027E-2</v>
      </c>
      <c r="K115" s="219">
        <f t="shared" si="36"/>
        <v>3.0000000000000027E-2</v>
      </c>
      <c r="L115" s="82"/>
      <c r="M115" s="82"/>
      <c r="N115" s="82"/>
      <c r="O115" s="82"/>
      <c r="P115" s="82"/>
      <c r="Q115" s="82"/>
    </row>
    <row r="116" spans="2:17">
      <c r="B116" s="98" t="s">
        <v>153</v>
      </c>
      <c r="C116" s="192"/>
      <c r="D116" s="192"/>
      <c r="E116" s="192"/>
      <c r="F116" s="192"/>
      <c r="G116" s="219">
        <f t="shared" si="36"/>
        <v>0.4204287007648051</v>
      </c>
      <c r="H116" s="224">
        <f t="shared" si="36"/>
        <v>-0.35000000000000009</v>
      </c>
      <c r="I116" s="224">
        <f t="shared" si="36"/>
        <v>3.0000000000000027E-2</v>
      </c>
      <c r="J116" s="219">
        <f t="shared" si="36"/>
        <v>7.0000000000000062E-2</v>
      </c>
      <c r="K116" s="219">
        <f t="shared" si="36"/>
        <v>7.0000000000000062E-2</v>
      </c>
      <c r="L116" s="82"/>
      <c r="M116" s="82"/>
      <c r="N116" s="82"/>
      <c r="O116" s="82"/>
      <c r="P116" s="82"/>
      <c r="Q116" s="82"/>
    </row>
    <row r="118" spans="2:17">
      <c r="B118" s="147" t="s">
        <v>203</v>
      </c>
      <c r="C118" s="148"/>
      <c r="D118" s="148"/>
      <c r="E118" s="148"/>
      <c r="F118" s="148"/>
      <c r="G118" s="148"/>
      <c r="H118" s="148"/>
      <c r="I118" s="148"/>
      <c r="J118" s="148"/>
      <c r="K118" s="148"/>
    </row>
    <row r="119" spans="2:17">
      <c r="B119" s="156" t="s">
        <v>204</v>
      </c>
      <c r="C119" s="225">
        <v>4523805</v>
      </c>
      <c r="D119" s="225">
        <v>4521660</v>
      </c>
      <c r="E119" s="225">
        <v>4931355.0000000009</v>
      </c>
      <c r="F119" s="225">
        <v>5160870</v>
      </c>
      <c r="G119" s="225">
        <v>5570565.0000000009</v>
      </c>
      <c r="H119" s="225">
        <v>6003855.0000000009</v>
      </c>
      <c r="I119" s="225">
        <v>6455735.0000000009</v>
      </c>
      <c r="J119" s="225">
        <v>6922630.0000000009</v>
      </c>
      <c r="K119" s="225"/>
      <c r="L119" s="92"/>
      <c r="M119" s="92"/>
      <c r="N119" s="92"/>
      <c r="O119" s="92"/>
      <c r="P119" s="92"/>
      <c r="Q119" s="92"/>
    </row>
    <row r="120" spans="2:17">
      <c r="B120" s="226" t="s">
        <v>205</v>
      </c>
      <c r="C120" s="156"/>
      <c r="D120" s="227">
        <f>D119/C119-1</f>
        <v>-4.7415836889519447E-4</v>
      </c>
      <c r="E120" s="227">
        <f t="shared" ref="E120:J120" si="37">E119/D119-1</f>
        <v>9.0607210626186152E-2</v>
      </c>
      <c r="F120" s="227">
        <f t="shared" si="37"/>
        <v>4.6541974771639572E-2</v>
      </c>
      <c r="G120" s="227">
        <f t="shared" si="37"/>
        <v>7.9384871155444792E-2</v>
      </c>
      <c r="H120" s="227">
        <f t="shared" si="37"/>
        <v>7.7782056218713924E-2</v>
      </c>
      <c r="I120" s="227">
        <f t="shared" si="37"/>
        <v>7.5264975586518901E-2</v>
      </c>
      <c r="J120" s="227">
        <f t="shared" si="37"/>
        <v>7.2322516336249754E-2</v>
      </c>
      <c r="K120" s="227"/>
      <c r="L120" s="92"/>
      <c r="M120" s="92"/>
      <c r="N120" s="92"/>
      <c r="O120" s="92"/>
      <c r="P120" s="92"/>
      <c r="Q120" s="92"/>
    </row>
    <row r="121" spans="2:17">
      <c r="B121" s="226" t="s">
        <v>206</v>
      </c>
      <c r="C121" s="156"/>
      <c r="D121" s="228">
        <f>D42/D119</f>
        <v>0</v>
      </c>
      <c r="E121" s="228">
        <f t="shared" ref="E121:J121" si="38">E42/E119</f>
        <v>4.6234756978558627E-3</v>
      </c>
      <c r="F121" s="228">
        <f t="shared" si="38"/>
        <v>5.9397324869644068E-3</v>
      </c>
      <c r="G121" s="228">
        <f>G42/G119</f>
        <v>8.5894360805411994E-3</v>
      </c>
      <c r="H121" s="228">
        <f t="shared" si="38"/>
        <v>9.7051388484974358E-3</v>
      </c>
      <c r="I121" s="228">
        <f t="shared" si="38"/>
        <v>1.2104980272772393E-2</v>
      </c>
      <c r="J121" s="228">
        <f t="shared" si="38"/>
        <v>1.2841936942624498E-2</v>
      </c>
      <c r="K121" s="228"/>
      <c r="L121" s="92"/>
      <c r="M121" s="92"/>
      <c r="N121" s="92"/>
      <c r="O121" s="92"/>
      <c r="P121" s="92"/>
      <c r="Q121" s="92"/>
    </row>
    <row r="122" spans="2:17">
      <c r="B122" s="156" t="s">
        <v>207</v>
      </c>
      <c r="C122" s="225">
        <v>245000</v>
      </c>
      <c r="D122" s="225">
        <v>274700</v>
      </c>
      <c r="E122" s="225">
        <v>360500</v>
      </c>
      <c r="F122" s="225">
        <v>421300</v>
      </c>
      <c r="G122" s="225">
        <v>517500</v>
      </c>
      <c r="H122" s="225">
        <v>627900</v>
      </c>
      <c r="I122" s="225">
        <v>746400</v>
      </c>
      <c r="J122" s="225">
        <v>876200</v>
      </c>
      <c r="K122" s="225">
        <v>1016800</v>
      </c>
      <c r="L122" s="78"/>
      <c r="M122" s="78"/>
      <c r="N122" s="78"/>
      <c r="O122" s="78"/>
      <c r="P122" s="78"/>
      <c r="Q122" s="78"/>
    </row>
    <row r="123" spans="2:17">
      <c r="B123" s="226" t="s">
        <v>205</v>
      </c>
      <c r="C123" s="156"/>
      <c r="D123" s="227">
        <f>D122/C122-1</f>
        <v>0.12122448979591827</v>
      </c>
      <c r="E123" s="227">
        <f t="shared" ref="E123:K123" si="39">E122/D122-1</f>
        <v>0.31234073534765194</v>
      </c>
      <c r="F123" s="227">
        <f t="shared" si="39"/>
        <v>0.1686546463245493</v>
      </c>
      <c r="G123" s="227">
        <f t="shared" si="39"/>
        <v>0.22834084975077151</v>
      </c>
      <c r="H123" s="227">
        <f t="shared" si="39"/>
        <v>0.21333333333333337</v>
      </c>
      <c r="I123" s="227">
        <f t="shared" si="39"/>
        <v>0.18872431915910171</v>
      </c>
      <c r="J123" s="227">
        <f t="shared" si="39"/>
        <v>0.17390139335476951</v>
      </c>
      <c r="K123" s="227">
        <f t="shared" si="39"/>
        <v>0.16046564711253142</v>
      </c>
      <c r="L123" s="78"/>
      <c r="M123" s="78"/>
      <c r="N123" s="78"/>
      <c r="O123" s="78"/>
      <c r="P123" s="78"/>
      <c r="Q123" s="78"/>
    </row>
    <row r="124" spans="2:17">
      <c r="B124" s="226" t="s">
        <v>206</v>
      </c>
      <c r="C124" s="156"/>
      <c r="D124" s="156"/>
      <c r="E124" s="179"/>
      <c r="F124" s="228">
        <f t="shared" ref="F124:K124" si="40">F148/F122</f>
        <v>7.0970804652266795E-2</v>
      </c>
      <c r="G124" s="228">
        <f t="shared" si="40"/>
        <v>8.6318840579710149E-2</v>
      </c>
      <c r="H124" s="228">
        <f t="shared" si="40"/>
        <v>8.7843937214246035E-2</v>
      </c>
      <c r="I124" s="228">
        <f t="shared" si="40"/>
        <v>0.10030526404727125</v>
      </c>
      <c r="J124" s="228">
        <f t="shared" si="40"/>
        <v>9.7393321987337078E-2</v>
      </c>
      <c r="K124" s="228">
        <f t="shared" si="40"/>
        <v>9.7529099121179685E-2</v>
      </c>
      <c r="L124" s="78"/>
      <c r="M124" s="78"/>
      <c r="N124" s="78"/>
      <c r="O124" s="78"/>
      <c r="P124" s="78"/>
      <c r="Q124" s="78"/>
    </row>
    <row r="125" spans="2:17">
      <c r="B125" s="156" t="s">
        <v>208</v>
      </c>
      <c r="C125" s="225">
        <v>133000</v>
      </c>
      <c r="D125" s="225">
        <v>144800</v>
      </c>
      <c r="E125" s="225">
        <v>185800</v>
      </c>
      <c r="F125" s="225">
        <v>213700</v>
      </c>
      <c r="G125" s="225">
        <v>258500</v>
      </c>
      <c r="H125" s="225">
        <v>312700</v>
      </c>
      <c r="I125" s="225">
        <v>368900</v>
      </c>
      <c r="J125" s="225">
        <v>431700</v>
      </c>
      <c r="K125" s="225">
        <v>500600</v>
      </c>
      <c r="L125" s="78"/>
      <c r="M125" s="78"/>
      <c r="N125" s="78"/>
      <c r="O125" s="78"/>
      <c r="P125" s="78"/>
      <c r="Q125" s="78"/>
    </row>
    <row r="126" spans="2:17">
      <c r="B126" s="226" t="s">
        <v>205</v>
      </c>
      <c r="C126" s="156"/>
      <c r="D126" s="227">
        <f>D125/C125-1</f>
        <v>8.8721804511278091E-2</v>
      </c>
      <c r="E126" s="227">
        <f t="shared" ref="E126" si="41">E125/D125-1</f>
        <v>0.28314917127071815</v>
      </c>
      <c r="F126" s="227">
        <f>F125/E125-1</f>
        <v>0.15016146393972019</v>
      </c>
      <c r="G126" s="227">
        <f t="shared" ref="G126:K126" si="42">G125/F125-1</f>
        <v>0.2096396817969115</v>
      </c>
      <c r="H126" s="227">
        <f t="shared" si="42"/>
        <v>0.2096711798839459</v>
      </c>
      <c r="I126" s="227">
        <f t="shared" si="42"/>
        <v>0.17972497601535009</v>
      </c>
      <c r="J126" s="227">
        <f t="shared" si="42"/>
        <v>0.17023583626999184</v>
      </c>
      <c r="K126" s="227">
        <f t="shared" si="42"/>
        <v>0.15960157516794071</v>
      </c>
      <c r="L126" s="78"/>
      <c r="M126" s="78"/>
      <c r="N126" s="78"/>
      <c r="O126" s="78"/>
      <c r="P126" s="78"/>
      <c r="Q126" s="78"/>
    </row>
    <row r="127" spans="2:17">
      <c r="B127" s="226" t="s">
        <v>206</v>
      </c>
      <c r="C127" s="156"/>
      <c r="D127" s="156"/>
      <c r="E127" s="179"/>
      <c r="F127" s="228">
        <f>F137/F125</f>
        <v>0.13640617688348153</v>
      </c>
      <c r="G127" s="228">
        <f t="shared" ref="G127:K127" si="43">G137/G125</f>
        <v>0.16533849129593811</v>
      </c>
      <c r="H127" s="228">
        <f t="shared" si="43"/>
        <v>0.16791224872665522</v>
      </c>
      <c r="I127" s="228">
        <f t="shared" si="43"/>
        <v>0.18591300050117446</v>
      </c>
      <c r="J127" s="228">
        <f t="shared" si="43"/>
        <v>0.17489867853904273</v>
      </c>
      <c r="K127" s="228">
        <f t="shared" si="43"/>
        <v>0.17230395617162506</v>
      </c>
      <c r="L127" s="78"/>
      <c r="M127" s="78"/>
      <c r="N127" s="78"/>
      <c r="O127" s="78"/>
      <c r="P127" s="78"/>
      <c r="Q127" s="78"/>
    </row>
    <row r="128" spans="2:17">
      <c r="B128" s="156" t="s">
        <v>209</v>
      </c>
      <c r="C128" s="225">
        <v>87300</v>
      </c>
      <c r="D128" s="225">
        <v>97600</v>
      </c>
      <c r="E128" s="225">
        <v>135900</v>
      </c>
      <c r="F128" s="225">
        <v>168000</v>
      </c>
      <c r="G128" s="225">
        <v>211500</v>
      </c>
      <c r="H128" s="225">
        <v>257300</v>
      </c>
      <c r="I128" s="225">
        <v>310900</v>
      </c>
      <c r="J128" s="225">
        <v>373200</v>
      </c>
      <c r="K128" s="225">
        <v>441400</v>
      </c>
      <c r="L128" s="78"/>
      <c r="M128" s="78"/>
      <c r="N128" s="78"/>
      <c r="O128" s="78"/>
      <c r="P128" s="78"/>
      <c r="Q128" s="78"/>
    </row>
    <row r="129" spans="2:17">
      <c r="B129" s="226" t="s">
        <v>205</v>
      </c>
      <c r="C129" s="156"/>
      <c r="D129" s="227">
        <f>D128/C128-1</f>
        <v>0.11798396334478811</v>
      </c>
      <c r="E129" s="227">
        <f t="shared" ref="E129:K129" si="44">E128/D128-1</f>
        <v>0.39241803278688514</v>
      </c>
      <c r="F129" s="227">
        <f t="shared" si="44"/>
        <v>0.23620309050772637</v>
      </c>
      <c r="G129" s="227">
        <f t="shared" si="44"/>
        <v>0.2589285714285714</v>
      </c>
      <c r="H129" s="227">
        <f t="shared" si="44"/>
        <v>0.21654846335697409</v>
      </c>
      <c r="I129" s="227">
        <f t="shared" si="44"/>
        <v>0.20831713952584541</v>
      </c>
      <c r="J129" s="227">
        <f t="shared" si="44"/>
        <v>0.20038597619813436</v>
      </c>
      <c r="K129" s="227">
        <f t="shared" si="44"/>
        <v>0.18274383708467301</v>
      </c>
      <c r="L129" s="78"/>
      <c r="M129" s="78"/>
      <c r="N129" s="78"/>
      <c r="O129" s="78"/>
      <c r="P129" s="78"/>
      <c r="Q129" s="78"/>
    </row>
    <row r="130" spans="2:17">
      <c r="B130" s="226" t="s">
        <v>206</v>
      </c>
      <c r="C130" s="156"/>
      <c r="D130" s="156"/>
      <c r="E130" s="179"/>
      <c r="F130" s="228">
        <f t="shared" ref="F130:K130" si="45">F137/F128</f>
        <v>0.17351190476190476</v>
      </c>
      <c r="G130" s="228">
        <f t="shared" si="45"/>
        <v>0.20208037825059103</v>
      </c>
      <c r="H130" s="228">
        <f t="shared" si="45"/>
        <v>0.20406591596123236</v>
      </c>
      <c r="I130" s="228">
        <f t="shared" si="45"/>
        <v>0.2205960305078265</v>
      </c>
      <c r="J130" s="228">
        <f t="shared" si="45"/>
        <v>0.2023144681814168</v>
      </c>
      <c r="K130" s="228">
        <f t="shared" si="45"/>
        <v>0.1954131410501031</v>
      </c>
      <c r="L130" s="78"/>
      <c r="M130" s="78"/>
      <c r="N130" s="78"/>
      <c r="O130" s="78"/>
      <c r="P130" s="78"/>
      <c r="Q130" s="78"/>
    </row>
    <row r="131" spans="2:17">
      <c r="B131" s="156" t="s">
        <v>210</v>
      </c>
      <c r="C131" s="225">
        <v>32100</v>
      </c>
      <c r="D131" s="225">
        <v>33999.999999999985</v>
      </c>
      <c r="E131" s="225">
        <v>47000.000000000015</v>
      </c>
      <c r="F131" s="225">
        <v>59800.000000000015</v>
      </c>
      <c r="G131" s="225">
        <v>74900</v>
      </c>
      <c r="H131" s="225">
        <v>90400.000000000029</v>
      </c>
      <c r="I131" s="225">
        <v>110599.99999999997</v>
      </c>
      <c r="J131" s="225">
        <v>133699.99999999997</v>
      </c>
      <c r="K131" s="225">
        <v>158700</v>
      </c>
      <c r="L131" s="78"/>
      <c r="M131" s="78"/>
      <c r="N131" s="78"/>
      <c r="O131" s="78"/>
      <c r="P131" s="78"/>
      <c r="Q131" s="78"/>
    </row>
    <row r="132" spans="2:17">
      <c r="B132" s="226" t="s">
        <v>205</v>
      </c>
      <c r="C132" s="156"/>
      <c r="D132" s="227">
        <f>D131/C131-1</f>
        <v>5.9190031152647427E-2</v>
      </c>
      <c r="E132" s="227">
        <f t="shared" ref="E132:K132" si="46">E131/D131-1</f>
        <v>0.38235294117647167</v>
      </c>
      <c r="F132" s="227">
        <f t="shared" si="46"/>
        <v>0.27234042553191484</v>
      </c>
      <c r="G132" s="227">
        <f t="shared" si="46"/>
        <v>0.2525083612040131</v>
      </c>
      <c r="H132" s="227">
        <f t="shared" si="46"/>
        <v>0.2069425901201607</v>
      </c>
      <c r="I132" s="227">
        <f t="shared" si="46"/>
        <v>0.22345132743362761</v>
      </c>
      <c r="J132" s="227">
        <f t="shared" si="46"/>
        <v>0.20886075949367089</v>
      </c>
      <c r="K132" s="227">
        <f t="shared" si="46"/>
        <v>0.18698578908003016</v>
      </c>
      <c r="L132" s="78"/>
      <c r="M132" s="78"/>
      <c r="N132" s="78"/>
      <c r="O132" s="78"/>
      <c r="P132" s="78"/>
      <c r="Q132" s="78"/>
    </row>
    <row r="133" spans="2:17">
      <c r="B133" s="226" t="s">
        <v>206</v>
      </c>
      <c r="C133" s="156"/>
      <c r="D133" s="156"/>
      <c r="E133" s="179"/>
      <c r="F133" s="228">
        <f>F137/F131</f>
        <v>0.48745819397993301</v>
      </c>
      <c r="G133" s="104">
        <f t="shared" ref="G133:K133" si="47">G137/G131</f>
        <v>0.57062750333778367</v>
      </c>
      <c r="H133" s="228">
        <f t="shared" si="47"/>
        <v>0.58082035593833037</v>
      </c>
      <c r="I133" s="228">
        <f t="shared" si="47"/>
        <v>0.62010222319062636</v>
      </c>
      <c r="J133" s="228">
        <f t="shared" si="47"/>
        <v>0.56472520213391741</v>
      </c>
      <c r="K133" s="228">
        <f t="shared" si="47"/>
        <v>0.54351203818220228</v>
      </c>
      <c r="L133" s="78"/>
      <c r="M133" s="78"/>
      <c r="N133" s="78"/>
      <c r="O133" s="78"/>
      <c r="P133" s="78"/>
      <c r="Q133" s="78"/>
    </row>
    <row r="134" spans="2:17">
      <c r="B134" s="197"/>
      <c r="C134" s="110"/>
      <c r="D134" s="110"/>
      <c r="E134" s="92"/>
      <c r="F134" s="92"/>
      <c r="G134" s="92"/>
      <c r="H134" s="92"/>
      <c r="I134" s="92"/>
      <c r="J134" s="92"/>
      <c r="K134" s="92"/>
      <c r="L134" s="92"/>
      <c r="M134" s="92"/>
      <c r="N134" s="93"/>
      <c r="O134" s="92"/>
      <c r="P134" s="92"/>
      <c r="Q134" s="92"/>
    </row>
    <row r="135" spans="2:17">
      <c r="B135" s="229" t="s">
        <v>211</v>
      </c>
      <c r="C135" s="110"/>
      <c r="D135" s="110"/>
      <c r="E135" s="92">
        <f>E136+E139</f>
        <v>22800</v>
      </c>
      <c r="F135" s="92">
        <f t="shared" ref="F135:K135" si="48">F136+F139</f>
        <v>30654.1872</v>
      </c>
      <c r="G135" s="92">
        <f t="shared" si="48"/>
        <v>47848.011999999995</v>
      </c>
      <c r="H135" s="92">
        <f t="shared" si="48"/>
        <v>58268.246401245582</v>
      </c>
      <c r="I135" s="92">
        <f t="shared" si="48"/>
        <v>78146.544821246294</v>
      </c>
      <c r="J135" s="92">
        <f t="shared" si="48"/>
        <v>88899.977937120639</v>
      </c>
      <c r="K135" s="92">
        <f t="shared" si="48"/>
        <v>103577.48272386815</v>
      </c>
      <c r="L135" s="92"/>
      <c r="M135" s="92">
        <f t="shared" ref="M135" si="49">M136+M139</f>
        <v>25332.474999999995</v>
      </c>
      <c r="N135" s="92">
        <f>N136+N139</f>
        <v>32935.771401245584</v>
      </c>
      <c r="O135" s="92">
        <f>O136+O139</f>
        <v>35458.019649999995</v>
      </c>
      <c r="P135" s="92">
        <f>P136+P139</f>
        <v>42688.5251712463</v>
      </c>
      <c r="Q135" s="93"/>
    </row>
    <row r="136" spans="2:17">
      <c r="B136" s="98" t="s">
        <v>185</v>
      </c>
      <c r="C136" s="110"/>
      <c r="D136" s="110"/>
      <c r="E136" s="230">
        <v>22700</v>
      </c>
      <c r="F136" s="230">
        <v>29900</v>
      </c>
      <c r="G136" s="91">
        <v>44670</v>
      </c>
      <c r="H136" s="92">
        <f>H137+H138</f>
        <v>55157.208176825086</v>
      </c>
      <c r="I136" s="92">
        <f>I137+I138</f>
        <v>74867.849084883259</v>
      </c>
      <c r="J136" s="92">
        <f t="shared" ref="J136:K136" si="50">J137+J138</f>
        <v>85336.028725304743</v>
      </c>
      <c r="K136" s="92">
        <f t="shared" si="50"/>
        <v>99167.587986415499</v>
      </c>
      <c r="L136" s="92"/>
      <c r="M136" s="92">
        <f>M137+M138</f>
        <v>23902.714999999997</v>
      </c>
      <c r="N136" s="92">
        <f t="shared" ref="N136" si="51">N137+N138</f>
        <v>31254.493176825086</v>
      </c>
      <c r="O136" s="92">
        <f>O137+O138</f>
        <v>33871.325249999994</v>
      </c>
      <c r="P136" s="92">
        <f t="shared" ref="P136" si="52">P137+P138</f>
        <v>40996.523834883264</v>
      </c>
      <c r="Q136" s="92"/>
    </row>
    <row r="137" spans="2:17">
      <c r="B137" s="197" t="s">
        <v>186</v>
      </c>
      <c r="C137" s="110"/>
      <c r="D137" s="110"/>
      <c r="E137" s="92"/>
      <c r="F137" s="100">
        <f>F136-F138</f>
        <v>29150</v>
      </c>
      <c r="G137" s="100">
        <f>G136-G138</f>
        <v>42740</v>
      </c>
      <c r="H137" s="100">
        <f>H331*AVERAGE(G188:H188)</f>
        <v>52506.160176825084</v>
      </c>
      <c r="I137" s="100">
        <f>I331*AVERAGE(H188:I188)</f>
        <v>68583.305884883259</v>
      </c>
      <c r="J137" s="100">
        <f t="shared" ref="H137:K139" si="53">J331*AVERAGE(I188:J188)</f>
        <v>75503.759525304748</v>
      </c>
      <c r="K137" s="100">
        <f t="shared" si="53"/>
        <v>86255.360459515505</v>
      </c>
      <c r="L137" s="92"/>
      <c r="M137" s="100">
        <f>M331*AVERAGE(G188,M188)</f>
        <v>22682.714999999997</v>
      </c>
      <c r="N137" s="100">
        <f>H137-M137</f>
        <v>29823.445176825087</v>
      </c>
      <c r="O137" s="100">
        <f>O331*AVERAGE(H188,O188)</f>
        <v>31252.325249999994</v>
      </c>
      <c r="P137" s="100">
        <f>I137-O137</f>
        <v>37330.980634883264</v>
      </c>
      <c r="Q137" s="92"/>
    </row>
    <row r="138" spans="2:17">
      <c r="B138" s="197" t="s">
        <v>187</v>
      </c>
      <c r="C138" s="110"/>
      <c r="D138" s="110"/>
      <c r="E138" s="92"/>
      <c r="F138" s="100">
        <f>F332*AVERAGE(E189:F189)</f>
        <v>750</v>
      </c>
      <c r="G138" s="99">
        <v>1930</v>
      </c>
      <c r="H138" s="100">
        <f>H332*AVERAGE(G189:H189)</f>
        <v>2651.0480000000002</v>
      </c>
      <c r="I138" s="100">
        <f t="shared" si="53"/>
        <v>6284.543200000001</v>
      </c>
      <c r="J138" s="100">
        <f>J332*AVERAGE(I189:J189)</f>
        <v>9832.2692000000006</v>
      </c>
      <c r="K138" s="100">
        <f t="shared" si="53"/>
        <v>12912.2275269</v>
      </c>
      <c r="L138" s="92"/>
      <c r="M138" s="100">
        <f>M332*AVERAGE(G189,M189)</f>
        <v>1220</v>
      </c>
      <c r="N138" s="100">
        <f>H138-M138</f>
        <v>1431.0480000000002</v>
      </c>
      <c r="O138" s="100">
        <f>O332*AVERAGE(H189,O189)</f>
        <v>2619</v>
      </c>
      <c r="P138" s="100">
        <f>I138-O138</f>
        <v>3665.543200000001</v>
      </c>
      <c r="Q138" s="92"/>
    </row>
    <row r="139" spans="2:17">
      <c r="B139" s="98" t="s">
        <v>153</v>
      </c>
      <c r="C139" s="110"/>
      <c r="D139" s="110"/>
      <c r="E139" s="92">
        <f>E350-E136</f>
        <v>100</v>
      </c>
      <c r="F139" s="92">
        <f>F350-F136</f>
        <v>754.1872000000003</v>
      </c>
      <c r="G139" s="92">
        <f>G350-G136</f>
        <v>3178.0119999999952</v>
      </c>
      <c r="H139" s="92">
        <f t="shared" si="53"/>
        <v>3111.0382244204975</v>
      </c>
      <c r="I139" s="92">
        <f t="shared" si="53"/>
        <v>3278.6957363630372</v>
      </c>
      <c r="J139" s="92">
        <f t="shared" si="53"/>
        <v>3563.9492118158937</v>
      </c>
      <c r="K139" s="92">
        <f t="shared" si="53"/>
        <v>4409.8947374526533</v>
      </c>
      <c r="L139" s="92"/>
      <c r="M139" s="92">
        <f>M333*AVERAGE(G190,M190)</f>
        <v>1429.76</v>
      </c>
      <c r="N139" s="92">
        <f>H139-M139</f>
        <v>1681.2782244204975</v>
      </c>
      <c r="O139" s="92">
        <f>O333*AVERAGE(H190,O190)</f>
        <v>1586.6944000000001</v>
      </c>
      <c r="P139" s="92">
        <f>I139-O139</f>
        <v>1692.0013363630371</v>
      </c>
      <c r="Q139" s="92"/>
    </row>
    <row r="140" spans="2:17">
      <c r="B140" s="197"/>
      <c r="C140" s="110"/>
      <c r="D140" s="110"/>
      <c r="E140" s="92"/>
      <c r="F140" s="92"/>
      <c r="G140" s="319">
        <f>G138/G135</f>
        <v>4.0336054087262811E-2</v>
      </c>
      <c r="H140" s="92"/>
      <c r="I140" s="93"/>
      <c r="J140" s="92"/>
      <c r="K140" s="92"/>
      <c r="L140" s="92"/>
      <c r="M140" s="92"/>
      <c r="N140" s="92"/>
      <c r="O140" s="92"/>
      <c r="P140" s="92"/>
      <c r="Q140" s="92"/>
    </row>
    <row r="141" spans="2:17">
      <c r="B141" s="229" t="s">
        <v>212</v>
      </c>
      <c r="C141" s="110"/>
      <c r="D141" s="110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</row>
    <row r="142" spans="2:17">
      <c r="B142" s="197" t="s">
        <v>213</v>
      </c>
      <c r="C142" s="110"/>
      <c r="D142" s="110"/>
      <c r="E142" s="92"/>
      <c r="F142" s="92">
        <f t="shared" ref="F142:J142" si="54">F350-F143</f>
        <v>30573.811644444446</v>
      </c>
      <c r="G142" s="92">
        <f t="shared" si="54"/>
        <v>47728.438666666661</v>
      </c>
      <c r="H142" s="92">
        <f t="shared" si="54"/>
        <v>58189.886930304761</v>
      </c>
      <c r="I142" s="92">
        <f t="shared" si="54"/>
        <v>78099.816478795197</v>
      </c>
      <c r="J142" s="92">
        <f t="shared" si="54"/>
        <v>88859.730485174121</v>
      </c>
      <c r="K142" s="92">
        <f>K350-K143</f>
        <v>103536.65150573906</v>
      </c>
      <c r="L142" s="92"/>
      <c r="M142" s="92">
        <f>M350-M143</f>
        <v>25278.474999999995</v>
      </c>
      <c r="N142" s="92">
        <f>N350-N143</f>
        <v>32911.411930304763</v>
      </c>
      <c r="O142" s="92">
        <f>O350-O143</f>
        <v>35436.35298333333</v>
      </c>
      <c r="P142" s="92">
        <f>P350-P143</f>
        <v>42663.463495461874</v>
      </c>
      <c r="Q142" s="92"/>
    </row>
    <row r="143" spans="2:17">
      <c r="B143" s="197" t="s">
        <v>214</v>
      </c>
      <c r="C143" s="110"/>
      <c r="D143" s="110"/>
      <c r="E143" s="92"/>
      <c r="F143" s="92">
        <f>F144+F145</f>
        <v>80.37555555555555</v>
      </c>
      <c r="G143" s="92">
        <f>G144+G145</f>
        <v>119.57333333333332</v>
      </c>
      <c r="H143" s="92">
        <f>H144+H145</f>
        <v>78.359470940821197</v>
      </c>
      <c r="I143" s="92">
        <f t="shared" ref="I143:K143" si="55">I144+I145</f>
        <v>46.728342451091919</v>
      </c>
      <c r="J143" s="92">
        <f t="shared" si="55"/>
        <v>40.247451946524208</v>
      </c>
      <c r="K143" s="92">
        <f t="shared" si="55"/>
        <v>40.83121812907676</v>
      </c>
      <c r="L143" s="92"/>
      <c r="M143" s="92">
        <f t="shared" ref="M143:O143" si="56">M144+M145</f>
        <v>54</v>
      </c>
      <c r="N143" s="92">
        <f>N144+N145</f>
        <v>24.35947094082119</v>
      </c>
      <c r="O143" s="92">
        <f t="shared" si="56"/>
        <v>21.666666666666664</v>
      </c>
      <c r="P143" s="92">
        <f>P144+P145</f>
        <v>25.061675784425251</v>
      </c>
      <c r="Q143" s="92"/>
    </row>
    <row r="144" spans="2:17">
      <c r="B144" s="231" t="s">
        <v>185</v>
      </c>
      <c r="C144" s="110"/>
      <c r="D144" s="110"/>
      <c r="E144" s="92"/>
      <c r="F144" s="100">
        <f t="shared" ref="F144:K145" si="57">F500/F$508</f>
        <v>76.396567656765669</v>
      </c>
      <c r="G144" s="100">
        <f t="shared" si="57"/>
        <v>116.09061488673139</v>
      </c>
      <c r="H144" s="100">
        <f t="shared" si="57"/>
        <v>76.120628913940592</v>
      </c>
      <c r="I144" s="100">
        <f t="shared" si="57"/>
        <v>44.268956006297607</v>
      </c>
      <c r="J144" s="100">
        <f t="shared" si="57"/>
        <v>37.879954773199252</v>
      </c>
      <c r="K144" s="100">
        <f t="shared" si="57"/>
        <v>38.429381768542832</v>
      </c>
      <c r="L144" s="92"/>
      <c r="M144" s="100">
        <f>M500/M$508</f>
        <v>52</v>
      </c>
      <c r="N144" s="100">
        <f>N500/N$508</f>
        <v>24.120628913940585</v>
      </c>
      <c r="O144" s="100">
        <f>O500/O$508</f>
        <v>20.555555555555554</v>
      </c>
      <c r="P144" s="100">
        <f>P500/P$508</f>
        <v>23.71340045074205</v>
      </c>
      <c r="Q144" s="92"/>
    </row>
    <row r="145" spans="2:17">
      <c r="B145" s="231" t="s">
        <v>153</v>
      </c>
      <c r="C145" s="110"/>
      <c r="D145" s="110"/>
      <c r="E145" s="92"/>
      <c r="F145" s="100">
        <f>F501/F$508</f>
        <v>3.9789878987898786</v>
      </c>
      <c r="G145" s="100">
        <f>G501/G$508</f>
        <v>3.4827184466019419</v>
      </c>
      <c r="H145" s="100">
        <f>H501/H$508</f>
        <v>2.2388420268806057</v>
      </c>
      <c r="I145" s="100">
        <f t="shared" si="57"/>
        <v>2.459386444794311</v>
      </c>
      <c r="J145" s="100">
        <f t="shared" si="57"/>
        <v>2.3674971733249532</v>
      </c>
      <c r="K145" s="100">
        <f t="shared" si="57"/>
        <v>2.401836360533927</v>
      </c>
      <c r="L145" s="92"/>
      <c r="M145" s="100">
        <f t="shared" ref="M145" si="58">M501/M$508</f>
        <v>2</v>
      </c>
      <c r="N145" s="100">
        <f>N501/N$508</f>
        <v>0.23884202688060574</v>
      </c>
      <c r="O145" s="100">
        <f>O501/O$508</f>
        <v>1.1111111111111112</v>
      </c>
      <c r="P145" s="100">
        <f>P501/P$508</f>
        <v>1.3482753336832001</v>
      </c>
      <c r="Q145" s="92"/>
    </row>
    <row r="146" spans="2:17">
      <c r="B146" s="197"/>
      <c r="C146" s="110"/>
      <c r="D146" s="110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</row>
    <row r="147" spans="2:17">
      <c r="B147" s="229" t="s">
        <v>215</v>
      </c>
      <c r="E147" s="92"/>
      <c r="F147" s="92"/>
      <c r="G147" s="232"/>
      <c r="H147" s="92"/>
      <c r="I147" s="92"/>
      <c r="J147" s="92"/>
      <c r="K147" s="92"/>
      <c r="L147" s="92"/>
      <c r="M147" s="92"/>
      <c r="N147" s="92"/>
      <c r="O147" s="92"/>
      <c r="P147" s="92"/>
      <c r="Q147" s="92"/>
    </row>
    <row r="148" spans="2:17">
      <c r="B148" s="98" t="s">
        <v>185</v>
      </c>
      <c r="C148" s="110"/>
      <c r="D148" s="110"/>
      <c r="E148" s="92">
        <f>E136</f>
        <v>22700</v>
      </c>
      <c r="F148" s="92">
        <f t="shared" ref="F148:K148" si="59">F136</f>
        <v>29900</v>
      </c>
      <c r="G148" s="92">
        <f t="shared" si="59"/>
        <v>44670</v>
      </c>
      <c r="H148" s="92">
        <f t="shared" si="59"/>
        <v>55157.208176825086</v>
      </c>
      <c r="I148" s="92">
        <f t="shared" si="59"/>
        <v>74867.849084883259</v>
      </c>
      <c r="J148" s="92">
        <f t="shared" si="59"/>
        <v>85336.028725304743</v>
      </c>
      <c r="K148" s="92">
        <f t="shared" si="59"/>
        <v>99167.587986415499</v>
      </c>
      <c r="L148" s="92"/>
      <c r="M148" s="92"/>
      <c r="N148" s="92"/>
      <c r="O148" s="92"/>
      <c r="P148" s="92"/>
      <c r="Q148" s="92"/>
    </row>
    <row r="149" spans="2:17">
      <c r="B149" s="197" t="s">
        <v>216</v>
      </c>
      <c r="C149" s="110"/>
      <c r="D149" s="110"/>
      <c r="E149" s="233">
        <v>1200</v>
      </c>
      <c r="F149" s="233">
        <v>1800</v>
      </c>
      <c r="G149" s="99">
        <v>3000</v>
      </c>
      <c r="H149" s="99"/>
      <c r="I149" s="92"/>
      <c r="J149" s="92"/>
      <c r="K149" s="92"/>
      <c r="L149" s="92"/>
      <c r="M149" s="92"/>
      <c r="N149" s="92"/>
      <c r="O149" s="92"/>
      <c r="P149" s="92"/>
      <c r="Q149" s="92"/>
    </row>
    <row r="150" spans="2:17">
      <c r="B150" s="197" t="s">
        <v>217</v>
      </c>
      <c r="C150" s="110"/>
      <c r="D150" s="110"/>
      <c r="E150" s="233">
        <v>4600</v>
      </c>
      <c r="F150" s="233">
        <v>6200</v>
      </c>
      <c r="G150" s="99">
        <v>9100</v>
      </c>
      <c r="H150" s="99"/>
      <c r="I150" s="92"/>
      <c r="J150" s="92"/>
      <c r="K150" s="92"/>
      <c r="L150" s="92"/>
      <c r="M150" s="92"/>
      <c r="N150" s="92"/>
      <c r="O150" s="92"/>
      <c r="P150" s="92"/>
      <c r="Q150" s="92"/>
    </row>
    <row r="151" spans="2:17">
      <c r="B151" s="197" t="s">
        <v>218</v>
      </c>
      <c r="C151" s="110"/>
      <c r="D151" s="110"/>
      <c r="E151" s="233">
        <v>3900</v>
      </c>
      <c r="F151" s="233">
        <v>5300</v>
      </c>
      <c r="G151" s="99">
        <v>8400</v>
      </c>
      <c r="H151" s="99"/>
      <c r="I151" s="92"/>
      <c r="J151" s="92"/>
      <c r="K151" s="92"/>
      <c r="L151" s="92"/>
      <c r="M151" s="92"/>
      <c r="N151" s="92"/>
      <c r="O151" s="92"/>
      <c r="P151" s="92"/>
      <c r="Q151" s="92"/>
    </row>
    <row r="152" spans="2:17">
      <c r="B152" s="197" t="s">
        <v>219</v>
      </c>
      <c r="C152" s="110"/>
      <c r="D152" s="110"/>
      <c r="E152" s="112">
        <f>E148-SUM(E149:E151)</f>
        <v>13000</v>
      </c>
      <c r="F152" s="112">
        <f t="shared" ref="F152:G152" si="60">F148-SUM(F149:F151)</f>
        <v>16600</v>
      </c>
      <c r="G152" s="112">
        <f t="shared" si="60"/>
        <v>24170</v>
      </c>
      <c r="H152" s="112"/>
      <c r="I152" s="92"/>
      <c r="J152" s="92"/>
      <c r="K152" s="92"/>
      <c r="L152" s="92"/>
      <c r="M152" s="92"/>
      <c r="N152" s="92"/>
      <c r="O152" s="92"/>
      <c r="P152" s="92"/>
      <c r="Q152" s="92"/>
    </row>
    <row r="153" spans="2:17">
      <c r="B153" s="98" t="s">
        <v>153</v>
      </c>
      <c r="C153" s="110"/>
      <c r="D153" s="110"/>
      <c r="E153" s="92">
        <f t="shared" ref="E153:K153" si="61">E350-E148</f>
        <v>100</v>
      </c>
      <c r="F153" s="92">
        <f t="shared" si="61"/>
        <v>754.1872000000003</v>
      </c>
      <c r="G153" s="92">
        <f t="shared" si="61"/>
        <v>3178.0119999999952</v>
      </c>
      <c r="H153" s="92">
        <f t="shared" si="61"/>
        <v>3111.0382244204957</v>
      </c>
      <c r="I153" s="92">
        <f t="shared" si="61"/>
        <v>3278.6957363630354</v>
      </c>
      <c r="J153" s="92">
        <f t="shared" si="61"/>
        <v>3563.949211815896</v>
      </c>
      <c r="K153" s="92">
        <f t="shared" si="61"/>
        <v>4409.894737452647</v>
      </c>
      <c r="L153" s="92"/>
      <c r="M153" s="92"/>
      <c r="N153" s="92"/>
      <c r="O153" s="92"/>
      <c r="P153" s="92"/>
      <c r="Q153" s="92"/>
    </row>
    <row r="154" spans="2:17">
      <c r="B154" s="98"/>
      <c r="C154" s="110"/>
      <c r="D154" s="110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</row>
    <row r="155" spans="2:17">
      <c r="B155" s="229" t="s">
        <v>220</v>
      </c>
      <c r="C155" s="110"/>
      <c r="D155" s="110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</row>
    <row r="156" spans="2:17">
      <c r="B156" s="98" t="s">
        <v>221</v>
      </c>
      <c r="C156" s="110"/>
      <c r="D156" s="110"/>
      <c r="E156" s="92">
        <f>E135-E157</f>
        <v>17895.948827292112</v>
      </c>
      <c r="F156" s="92">
        <f t="shared" ref="F156:G156" si="62">F135-F157</f>
        <v>23010.875098089171</v>
      </c>
      <c r="G156" s="92">
        <f t="shared" si="62"/>
        <v>32749.543728665201</v>
      </c>
      <c r="H156" s="92"/>
      <c r="I156" s="92"/>
      <c r="J156" s="92"/>
      <c r="K156" s="92"/>
      <c r="L156" s="92"/>
      <c r="M156" s="92"/>
      <c r="N156" s="92"/>
      <c r="O156" s="92"/>
      <c r="P156" s="92"/>
      <c r="Q156" s="92"/>
    </row>
    <row r="157" spans="2:17">
      <c r="B157" s="98" t="s">
        <v>222</v>
      </c>
      <c r="C157" s="110"/>
      <c r="D157" s="110"/>
      <c r="E157" s="100">
        <f>E159/46.9%</f>
        <v>4904.0511727078892</v>
      </c>
      <c r="F157" s="100">
        <f>F159/47.1%</f>
        <v>7643.3121019108276</v>
      </c>
      <c r="G157" s="100">
        <f>G159/45.7%</f>
        <v>15098.468271334792</v>
      </c>
      <c r="H157" s="92"/>
      <c r="I157" s="92"/>
      <c r="J157" s="92"/>
      <c r="K157" s="92"/>
      <c r="L157" s="92"/>
      <c r="M157" s="92"/>
      <c r="N157" s="92"/>
      <c r="O157" s="92"/>
      <c r="P157" s="92"/>
      <c r="Q157" s="92"/>
    </row>
    <row r="158" spans="2:17">
      <c r="B158" s="234" t="s">
        <v>223</v>
      </c>
      <c r="C158" s="110"/>
      <c r="D158" s="110"/>
      <c r="E158" s="100">
        <f>E157-E159</f>
        <v>2604.0511727078892</v>
      </c>
      <c r="F158" s="100">
        <f t="shared" ref="F158:G158" si="63">F157-F159</f>
        <v>4043.3121019108276</v>
      </c>
      <c r="G158" s="100">
        <f t="shared" si="63"/>
        <v>8198.468271334792</v>
      </c>
    </row>
    <row r="159" spans="2:17">
      <c r="B159" s="234" t="s">
        <v>224</v>
      </c>
      <c r="C159" s="110"/>
      <c r="D159" s="110"/>
      <c r="E159" s="233">
        <v>2300</v>
      </c>
      <c r="F159" s="233">
        <v>3600</v>
      </c>
      <c r="G159" s="99">
        <v>6900</v>
      </c>
      <c r="H159" s="92"/>
      <c r="I159" s="92"/>
      <c r="J159" s="92"/>
      <c r="K159" s="92"/>
      <c r="L159" s="92"/>
      <c r="M159" s="92"/>
      <c r="N159" s="92"/>
      <c r="O159" s="92"/>
      <c r="P159" s="92"/>
      <c r="Q159" s="92"/>
    </row>
    <row r="160" spans="2:17">
      <c r="B160" s="197"/>
      <c r="C160" s="110"/>
      <c r="D160" s="110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</row>
    <row r="161" spans="2:17">
      <c r="B161" s="177" t="s">
        <v>99</v>
      </c>
      <c r="C161" s="177"/>
      <c r="D161" s="177"/>
      <c r="E161" s="179"/>
      <c r="F161" s="179"/>
      <c r="G161" s="218"/>
      <c r="H161" s="179"/>
      <c r="I161" s="179"/>
      <c r="J161" s="179"/>
      <c r="K161" s="179"/>
      <c r="L161" s="92"/>
      <c r="M161" s="179"/>
      <c r="N161" s="179"/>
      <c r="O161" s="179"/>
      <c r="P161" s="179"/>
      <c r="Q161" s="92"/>
    </row>
    <row r="162" spans="2:17">
      <c r="B162" s="229" t="s">
        <v>225</v>
      </c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</row>
    <row r="163" spans="2:17">
      <c r="B163" s="98" t="s">
        <v>185</v>
      </c>
      <c r="E163" s="104">
        <f t="shared" ref="E163:K168" si="64">E148/E$350</f>
        <v>0.99561403508771928</v>
      </c>
      <c r="F163" s="104">
        <f t="shared" si="64"/>
        <v>0.97539692717737436</v>
      </c>
      <c r="G163" s="104">
        <f t="shared" si="64"/>
        <v>0.93358110677618134</v>
      </c>
      <c r="H163" s="78">
        <f t="shared" si="64"/>
        <v>0.94660834302447805</v>
      </c>
      <c r="I163" s="78">
        <f t="shared" si="64"/>
        <v>0.95804426486336947</v>
      </c>
      <c r="J163" s="78">
        <f t="shared" si="64"/>
        <v>0.95991057259500456</v>
      </c>
      <c r="K163" s="78">
        <f t="shared" si="64"/>
        <v>0.95742419470446893</v>
      </c>
      <c r="L163" s="78"/>
      <c r="M163" s="78"/>
      <c r="N163" s="78"/>
      <c r="O163" s="78"/>
      <c r="P163" s="78"/>
      <c r="Q163" s="78"/>
    </row>
    <row r="164" spans="2:17">
      <c r="B164" s="197" t="s">
        <v>216</v>
      </c>
      <c r="E164" s="104">
        <f t="shared" si="64"/>
        <v>5.2631578947368418E-2</v>
      </c>
      <c r="F164" s="104">
        <f t="shared" si="64"/>
        <v>5.8719547455494105E-2</v>
      </c>
      <c r="G164" s="104">
        <f t="shared" si="64"/>
        <v>6.2698529669320435E-2</v>
      </c>
      <c r="H164" s="78"/>
      <c r="I164" s="78"/>
      <c r="J164" s="78"/>
      <c r="K164" s="78"/>
      <c r="L164" s="78"/>
      <c r="M164" s="78"/>
      <c r="N164" s="78"/>
      <c r="O164" s="78"/>
      <c r="P164" s="78"/>
      <c r="Q164" s="78"/>
    </row>
    <row r="165" spans="2:17">
      <c r="B165" s="197" t="s">
        <v>217</v>
      </c>
      <c r="E165" s="104">
        <f t="shared" si="64"/>
        <v>0.20175438596491227</v>
      </c>
      <c r="F165" s="104">
        <f t="shared" si="64"/>
        <v>0.2022562190133686</v>
      </c>
      <c r="G165" s="104">
        <f t="shared" si="64"/>
        <v>0.19018553999693866</v>
      </c>
      <c r="H165" s="78"/>
      <c r="I165" s="78"/>
      <c r="J165" s="78"/>
      <c r="K165" s="78"/>
      <c r="L165" s="78"/>
      <c r="M165" s="78"/>
      <c r="N165" s="78"/>
      <c r="O165" s="78"/>
      <c r="P165" s="78"/>
      <c r="Q165" s="78"/>
    </row>
    <row r="166" spans="2:17">
      <c r="B166" s="197" t="s">
        <v>218</v>
      </c>
      <c r="E166" s="104">
        <f t="shared" si="64"/>
        <v>0.17105263157894737</v>
      </c>
      <c r="F166" s="104">
        <f t="shared" si="64"/>
        <v>0.17289644528562154</v>
      </c>
      <c r="G166" s="104">
        <f t="shared" si="64"/>
        <v>0.17555588307409722</v>
      </c>
      <c r="H166" s="78"/>
      <c r="I166" s="78"/>
      <c r="J166" s="78"/>
      <c r="K166" s="78"/>
      <c r="L166" s="78"/>
      <c r="M166" s="78"/>
      <c r="N166" s="78"/>
      <c r="O166" s="78"/>
      <c r="P166" s="78"/>
      <c r="Q166" s="78"/>
    </row>
    <row r="167" spans="2:17">
      <c r="B167" s="197" t="s">
        <v>219</v>
      </c>
      <c r="E167" s="104">
        <f t="shared" si="64"/>
        <v>0.57017543859649122</v>
      </c>
      <c r="F167" s="104">
        <f t="shared" si="64"/>
        <v>0.54152471542289005</v>
      </c>
      <c r="G167" s="104">
        <f t="shared" si="64"/>
        <v>0.50514115403582494</v>
      </c>
      <c r="H167" s="78"/>
      <c r="I167" s="78"/>
      <c r="J167" s="78"/>
      <c r="K167" s="78"/>
      <c r="L167" s="78"/>
      <c r="M167" s="78"/>
      <c r="N167" s="78"/>
      <c r="O167" s="78"/>
      <c r="P167" s="78"/>
      <c r="Q167" s="78"/>
    </row>
    <row r="168" spans="2:17">
      <c r="B168" s="98" t="s">
        <v>153</v>
      </c>
      <c r="E168" s="104">
        <f t="shared" si="64"/>
        <v>4.3859649122807015E-3</v>
      </c>
      <c r="F168" s="104">
        <f t="shared" si="64"/>
        <v>2.460307282262569E-2</v>
      </c>
      <c r="G168" s="104">
        <f t="shared" si="64"/>
        <v>6.6418893223818692E-2</v>
      </c>
      <c r="H168" s="78">
        <f>H153/H$350</f>
        <v>5.3391656975521957E-2</v>
      </c>
      <c r="I168" s="78">
        <f>I153/I$350</f>
        <v>4.1955735136630527E-2</v>
      </c>
      <c r="J168" s="78">
        <f>J153/J$350</f>
        <v>4.0089427404995458E-2</v>
      </c>
      <c r="K168" s="78">
        <f t="shared" ref="K168" si="65">K153/K$350</f>
        <v>4.2575805295531108E-2</v>
      </c>
      <c r="L168" s="78"/>
      <c r="M168" s="78"/>
      <c r="N168" s="78"/>
      <c r="O168" s="78"/>
      <c r="P168" s="78"/>
      <c r="Q168" s="78"/>
    </row>
    <row r="169" spans="2:17">
      <c r="B169" s="9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</row>
    <row r="170" spans="2:17">
      <c r="B170" s="177" t="s">
        <v>41</v>
      </c>
      <c r="C170" s="177"/>
      <c r="D170" s="177"/>
      <c r="E170" s="177"/>
      <c r="F170" s="177"/>
      <c r="G170" s="177"/>
      <c r="H170" s="177"/>
      <c r="I170" s="177"/>
      <c r="J170" s="177"/>
      <c r="K170" s="177"/>
      <c r="M170" s="179"/>
      <c r="N170" s="179"/>
      <c r="O170" s="179"/>
      <c r="P170" s="179"/>
    </row>
    <row r="171" spans="2:17">
      <c r="B171" s="229" t="s">
        <v>225</v>
      </c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</row>
    <row r="172" spans="2:17">
      <c r="B172" s="98" t="s">
        <v>185</v>
      </c>
      <c r="E172" s="78"/>
      <c r="F172" s="78">
        <f t="shared" ref="F172:K177" si="66">F148/E148-1</f>
        <v>0.31718061674008813</v>
      </c>
      <c r="G172" s="78">
        <f t="shared" si="66"/>
        <v>0.49397993311036781</v>
      </c>
      <c r="H172" s="78">
        <f t="shared" si="66"/>
        <v>0.2347707225615645</v>
      </c>
      <c r="I172" s="78">
        <f t="shared" si="66"/>
        <v>0.35735385382213414</v>
      </c>
      <c r="J172" s="78">
        <f t="shared" si="66"/>
        <v>0.13982209677952584</v>
      </c>
      <c r="K172" s="78">
        <f t="shared" si="66"/>
        <v>0.16208346542155505</v>
      </c>
      <c r="L172" s="78"/>
      <c r="M172" s="78"/>
      <c r="N172" s="78"/>
      <c r="O172" s="78"/>
      <c r="P172" s="78"/>
      <c r="Q172" s="78"/>
    </row>
    <row r="173" spans="2:17">
      <c r="B173" s="197" t="s">
        <v>216</v>
      </c>
      <c r="F173" s="78">
        <f t="shared" si="66"/>
        <v>0.5</v>
      </c>
      <c r="G173" s="78">
        <f t="shared" si="66"/>
        <v>0.66666666666666674</v>
      </c>
    </row>
    <row r="174" spans="2:17">
      <c r="B174" s="197" t="s">
        <v>217</v>
      </c>
      <c r="F174" s="78">
        <f t="shared" si="66"/>
        <v>0.34782608695652173</v>
      </c>
      <c r="G174" s="78">
        <f t="shared" si="66"/>
        <v>0.467741935483871</v>
      </c>
    </row>
    <row r="175" spans="2:17">
      <c r="B175" s="197" t="s">
        <v>218</v>
      </c>
      <c r="F175" s="78">
        <f t="shared" si="66"/>
        <v>0.35897435897435903</v>
      </c>
      <c r="G175" s="78">
        <f t="shared" si="66"/>
        <v>0.58490566037735858</v>
      </c>
    </row>
    <row r="176" spans="2:17">
      <c r="B176" s="197" t="s">
        <v>219</v>
      </c>
      <c r="F176" s="78">
        <f t="shared" si="66"/>
        <v>0.27692307692307683</v>
      </c>
      <c r="G176" s="78">
        <f t="shared" si="66"/>
        <v>0.4560240963855422</v>
      </c>
    </row>
    <row r="177" spans="1:17">
      <c r="B177" s="98" t="s">
        <v>153</v>
      </c>
      <c r="C177" s="110"/>
      <c r="D177" s="110"/>
      <c r="E177" s="92"/>
      <c r="F177" s="78">
        <f t="shared" si="66"/>
        <v>6.5418720000000032</v>
      </c>
      <c r="G177" s="78">
        <f t="shared" si="66"/>
        <v>3.2138238357797562</v>
      </c>
      <c r="H177" s="78">
        <f>H153/G153-1</f>
        <v>-2.1074110349331487E-2</v>
      </c>
      <c r="I177" s="78">
        <f>I153/H153-1</f>
        <v>5.3891177108172483E-2</v>
      </c>
      <c r="J177" s="78">
        <f>J153/I153-1</f>
        <v>8.700211864406926E-2</v>
      </c>
      <c r="K177" s="78">
        <f t="shared" ref="K177" si="67">K153/J153-1</f>
        <v>0.23736183524504462</v>
      </c>
      <c r="L177" s="78"/>
      <c r="M177" s="78"/>
      <c r="N177" s="78"/>
      <c r="O177" s="78"/>
      <c r="P177" s="78"/>
      <c r="Q177" s="78"/>
    </row>
    <row r="178" spans="1:17">
      <c r="B178" s="98"/>
      <c r="C178" s="110"/>
      <c r="D178" s="110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3"/>
      <c r="P178" s="92"/>
      <c r="Q178" s="92"/>
    </row>
    <row r="179" spans="1:17">
      <c r="B179" s="147" t="s">
        <v>226</v>
      </c>
      <c r="C179" s="148"/>
      <c r="D179" s="148"/>
      <c r="E179" s="148"/>
      <c r="F179" s="148"/>
      <c r="G179" s="148"/>
      <c r="H179" s="148"/>
      <c r="I179" s="148"/>
      <c r="J179" s="148"/>
      <c r="K179" s="148"/>
      <c r="M179" s="148"/>
      <c r="N179" s="148"/>
      <c r="O179" s="235"/>
      <c r="P179" s="148"/>
    </row>
    <row r="180" spans="1:17">
      <c r="A180" s="273" t="str">
        <f>"Stores"&amp;B180</f>
        <v>StoresTotal store count</v>
      </c>
      <c r="B180" s="110" t="s">
        <v>199</v>
      </c>
      <c r="D180" s="92">
        <f>D54</f>
        <v>12528.604793836497</v>
      </c>
      <c r="E180" s="92">
        <f t="shared" ref="E180:K180" si="68">E199+E204</f>
        <v>20001</v>
      </c>
      <c r="F180" s="92">
        <f t="shared" si="68"/>
        <v>28983</v>
      </c>
      <c r="G180" s="92">
        <f>G199+G204</f>
        <v>37565</v>
      </c>
      <c r="H180" s="122">
        <f>H199+H204</f>
        <v>46479</v>
      </c>
      <c r="I180" s="92">
        <f>I199+I204</f>
        <v>56129</v>
      </c>
      <c r="J180" s="92">
        <f t="shared" si="68"/>
        <v>65129</v>
      </c>
      <c r="K180" s="92">
        <f t="shared" si="68"/>
        <v>74129</v>
      </c>
      <c r="L180" s="92"/>
      <c r="M180" s="122">
        <f>M199+M204</f>
        <v>43218</v>
      </c>
      <c r="N180" s="92">
        <f t="shared" ref="N180" si="69">N199+N204</f>
        <v>46479</v>
      </c>
      <c r="O180" s="122">
        <f>O199+O204</f>
        <v>53014</v>
      </c>
      <c r="P180" s="92">
        <f>P199+P204</f>
        <v>56129</v>
      </c>
      <c r="Q180" s="92"/>
    </row>
    <row r="181" spans="1:17">
      <c r="B181" s="98" t="s">
        <v>227</v>
      </c>
      <c r="E181" s="92"/>
      <c r="F181" s="100">
        <f>F184-F182</f>
        <v>9678</v>
      </c>
      <c r="G181" s="100">
        <f t="shared" ref="G181:K181" si="70">G184-G182</f>
        <v>9889</v>
      </c>
      <c r="H181" s="100">
        <f t="shared" si="70"/>
        <v>10523</v>
      </c>
      <c r="I181" s="100">
        <f t="shared" si="70"/>
        <v>11640.808225742046</v>
      </c>
      <c r="J181" s="100">
        <f t="shared" si="70"/>
        <v>11245.16</v>
      </c>
      <c r="K181" s="100">
        <f t="shared" si="70"/>
        <v>11605.16</v>
      </c>
      <c r="L181" s="92"/>
      <c r="M181" s="100">
        <f>M184-M182</f>
        <v>6232.66</v>
      </c>
      <c r="N181" s="100">
        <f>H181-M181</f>
        <v>4290.34</v>
      </c>
      <c r="O181" s="100">
        <f>O184-O182</f>
        <v>7464.58</v>
      </c>
      <c r="P181" s="100">
        <f>I181-O181</f>
        <v>4176.2282257420466</v>
      </c>
      <c r="Q181" s="92"/>
    </row>
    <row r="182" spans="1:17">
      <c r="B182" s="98" t="s">
        <v>228</v>
      </c>
      <c r="E182" s="100">
        <f>E238</f>
        <v>-577</v>
      </c>
      <c r="F182" s="100">
        <f t="shared" ref="F182" si="71">F238</f>
        <v>-696</v>
      </c>
      <c r="G182" s="99">
        <v>-1307</v>
      </c>
      <c r="H182" s="99">
        <v>-1609</v>
      </c>
      <c r="I182" s="100">
        <f>H180*I183</f>
        <v>-1990.8082257420469</v>
      </c>
      <c r="J182" s="100">
        <f>I180*J183</f>
        <v>-2245.16</v>
      </c>
      <c r="K182" s="100">
        <f t="shared" ref="K182" si="72">J180*K183</f>
        <v>-2605.16</v>
      </c>
      <c r="L182" s="92"/>
      <c r="M182" s="99">
        <f>F180*M183</f>
        <v>-579.66</v>
      </c>
      <c r="N182" s="100">
        <f>H182-M182</f>
        <v>-1029.3400000000001</v>
      </c>
      <c r="O182" s="99">
        <f>H180*O183</f>
        <v>-929.58</v>
      </c>
      <c r="P182" s="100">
        <f>I182-O182</f>
        <v>-1061.228225742047</v>
      </c>
      <c r="Q182" s="92"/>
    </row>
    <row r="183" spans="1:17">
      <c r="B183" s="185" t="s">
        <v>229</v>
      </c>
      <c r="E183" s="104">
        <f>E182/D180</f>
        <v>-4.6054609391450972E-2</v>
      </c>
      <c r="F183" s="104">
        <f>F182/E180</f>
        <v>-3.4798260086995651E-2</v>
      </c>
      <c r="G183" s="104">
        <f>G182/F180</f>
        <v>-4.509540075216506E-2</v>
      </c>
      <c r="H183" s="104">
        <f>H182/G180</f>
        <v>-4.2832423798748832E-2</v>
      </c>
      <c r="I183" s="149">
        <f>H183</f>
        <v>-4.2832423798748832E-2</v>
      </c>
      <c r="J183" s="149">
        <v>-0.04</v>
      </c>
      <c r="K183" s="149">
        <v>-0.04</v>
      </c>
      <c r="L183" s="92"/>
      <c r="M183" s="104">
        <v>-0.02</v>
      </c>
      <c r="N183" s="104">
        <f>N182/M180</f>
        <v>-2.381739090193901E-2</v>
      </c>
      <c r="O183" s="104">
        <v>-0.02</v>
      </c>
      <c r="P183" s="104">
        <f>P182/O180</f>
        <v>-2.0017886327046572E-2</v>
      </c>
      <c r="Q183" s="92"/>
    </row>
    <row r="184" spans="1:17">
      <c r="B184" s="98" t="s">
        <v>230</v>
      </c>
      <c r="E184" s="100">
        <f>E180-D180</f>
        <v>7472.3952061635027</v>
      </c>
      <c r="F184" s="100">
        <f>F193+F196</f>
        <v>8982</v>
      </c>
      <c r="G184" s="100">
        <f>G193+G196</f>
        <v>8582</v>
      </c>
      <c r="H184" s="100">
        <f>H193+H196</f>
        <v>8914</v>
      </c>
      <c r="I184" s="100">
        <f t="shared" ref="I184:K184" si="73">I193+I196</f>
        <v>9650</v>
      </c>
      <c r="J184" s="100">
        <f t="shared" si="73"/>
        <v>9000</v>
      </c>
      <c r="K184" s="100">
        <f t="shared" si="73"/>
        <v>9000</v>
      </c>
      <c r="L184" s="92"/>
      <c r="M184" s="100">
        <f>M193+M196</f>
        <v>5653</v>
      </c>
      <c r="N184" s="100">
        <f>H184-M184</f>
        <v>3261</v>
      </c>
      <c r="O184" s="100">
        <f>O193+O196</f>
        <v>6535</v>
      </c>
      <c r="P184" s="100">
        <f>I184-O184</f>
        <v>3115</v>
      </c>
      <c r="Q184" s="92"/>
    </row>
    <row r="185" spans="1:17">
      <c r="B185" s="98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</row>
    <row r="186" spans="1:17">
      <c r="B186" s="229" t="s">
        <v>211</v>
      </c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</row>
    <row r="187" spans="1:17">
      <c r="A187" s="273" t="str">
        <f>"Stores"&amp;B187</f>
        <v>StoresML China</v>
      </c>
      <c r="B187" s="187" t="s">
        <v>185</v>
      </c>
      <c r="C187" s="110"/>
      <c r="D187" s="110"/>
      <c r="E187" s="91">
        <v>19731</v>
      </c>
      <c r="F187" s="91">
        <v>27188</v>
      </c>
      <c r="G187" s="91">
        <v>33234</v>
      </c>
      <c r="H187" s="91">
        <v>41584</v>
      </c>
      <c r="I187" s="92">
        <f t="shared" ref="I187:K187" si="74">I188+I189</f>
        <v>51584</v>
      </c>
      <c r="J187" s="92">
        <f t="shared" si="74"/>
        <v>60084</v>
      </c>
      <c r="K187" s="92">
        <f t="shared" si="74"/>
        <v>68084</v>
      </c>
      <c r="L187" s="92"/>
      <c r="M187" s="91">
        <v>38613</v>
      </c>
      <c r="N187" s="92">
        <f t="shared" ref="N187:P187" si="75">N188+N189</f>
        <v>41584</v>
      </c>
      <c r="O187" s="91">
        <v>48281</v>
      </c>
      <c r="P187" s="92">
        <f t="shared" si="75"/>
        <v>51584</v>
      </c>
      <c r="Q187" s="92"/>
    </row>
    <row r="188" spans="1:17">
      <c r="A188" s="273" t="str">
        <f t="shared" ref="A188:A190" si="76">"Stores"&amp;B188</f>
        <v>StoresMixue</v>
      </c>
      <c r="B188" s="197" t="s">
        <v>186</v>
      </c>
      <c r="E188" s="100">
        <f>E187-E189</f>
        <v>19331</v>
      </c>
      <c r="F188" s="100">
        <f t="shared" ref="F188:H188" si="77">F187-F189</f>
        <v>25088</v>
      </c>
      <c r="G188" s="100">
        <f t="shared" si="77"/>
        <v>30334</v>
      </c>
      <c r="H188" s="100">
        <f t="shared" si="77"/>
        <v>37684</v>
      </c>
      <c r="I188" s="100">
        <f t="shared" ref="I188:K190" si="78">H188+I194</f>
        <v>43084</v>
      </c>
      <c r="J188" s="100">
        <f t="shared" si="78"/>
        <v>48584</v>
      </c>
      <c r="K188" s="100">
        <f>J188+K194</f>
        <v>54084</v>
      </c>
      <c r="L188" s="92"/>
      <c r="M188" s="100">
        <f>M187-M189</f>
        <v>35413</v>
      </c>
      <c r="N188" s="100">
        <f>H188</f>
        <v>37684</v>
      </c>
      <c r="O188" s="100">
        <f>O187-O189</f>
        <v>42481</v>
      </c>
      <c r="P188" s="100">
        <f>I188</f>
        <v>43084</v>
      </c>
      <c r="Q188" s="92"/>
    </row>
    <row r="189" spans="1:17">
      <c r="A189" s="273" t="str">
        <f t="shared" si="76"/>
        <v>StoresLucky Cup</v>
      </c>
      <c r="B189" s="197" t="s">
        <v>187</v>
      </c>
      <c r="E189" s="237">
        <v>400</v>
      </c>
      <c r="F189" s="237">
        <v>2100</v>
      </c>
      <c r="G189" s="237">
        <v>2900</v>
      </c>
      <c r="H189" s="237">
        <f>G189+H195</f>
        <v>3900</v>
      </c>
      <c r="I189" s="100">
        <f t="shared" si="78"/>
        <v>8500</v>
      </c>
      <c r="J189" s="100">
        <f t="shared" si="78"/>
        <v>11500</v>
      </c>
      <c r="K189" s="100">
        <f t="shared" si="78"/>
        <v>14000</v>
      </c>
      <c r="L189" s="92"/>
      <c r="M189" s="237">
        <f>G189+M195</f>
        <v>3200</v>
      </c>
      <c r="N189" s="100">
        <f>H189</f>
        <v>3900</v>
      </c>
      <c r="O189" s="237">
        <f>H189+O195</f>
        <v>5800</v>
      </c>
      <c r="P189" s="100">
        <f>I189</f>
        <v>8500</v>
      </c>
      <c r="Q189" s="92"/>
    </row>
    <row r="190" spans="1:17">
      <c r="A190" s="273" t="str">
        <f t="shared" si="76"/>
        <v>StoresOverseas</v>
      </c>
      <c r="B190" s="187" t="s">
        <v>153</v>
      </c>
      <c r="C190" s="110"/>
      <c r="D190" s="110"/>
      <c r="E190" s="186">
        <v>270</v>
      </c>
      <c r="F190" s="91">
        <v>1795</v>
      </c>
      <c r="G190" s="91">
        <v>4331</v>
      </c>
      <c r="H190" s="91">
        <v>4895</v>
      </c>
      <c r="I190" s="92">
        <f t="shared" si="78"/>
        <v>4545</v>
      </c>
      <c r="J190" s="92">
        <f t="shared" si="78"/>
        <v>5045</v>
      </c>
      <c r="K190" s="92">
        <f t="shared" si="78"/>
        <v>6045</v>
      </c>
      <c r="L190" s="92"/>
      <c r="M190" s="91">
        <v>4605</v>
      </c>
      <c r="N190" s="92">
        <f>H190</f>
        <v>4895</v>
      </c>
      <c r="O190" s="91">
        <v>4733</v>
      </c>
      <c r="P190" s="92">
        <f>I190</f>
        <v>4545</v>
      </c>
      <c r="Q190" s="92"/>
    </row>
    <row r="191" spans="1:17">
      <c r="B191" s="110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</row>
    <row r="192" spans="1:17" s="110" customFormat="1">
      <c r="A192" s="270"/>
      <c r="B192" s="110" t="s">
        <v>230</v>
      </c>
      <c r="E192" s="92"/>
      <c r="F192" s="92">
        <f>F193+F196</f>
        <v>8982</v>
      </c>
      <c r="G192" s="92">
        <f t="shared" ref="G192:K192" si="79">G193+G196</f>
        <v>8582</v>
      </c>
      <c r="H192" s="92">
        <f t="shared" si="79"/>
        <v>8914</v>
      </c>
      <c r="I192" s="92">
        <f>I193+I196</f>
        <v>9650</v>
      </c>
      <c r="J192" s="92">
        <f t="shared" si="79"/>
        <v>9000</v>
      </c>
      <c r="K192" s="92">
        <f t="shared" si="79"/>
        <v>9000</v>
      </c>
      <c r="L192" s="92"/>
      <c r="M192" s="92">
        <f t="shared" ref="M192:P192" si="80">M193+M196</f>
        <v>5653</v>
      </c>
      <c r="N192" s="92">
        <f t="shared" si="80"/>
        <v>3261</v>
      </c>
      <c r="O192" s="92">
        <f t="shared" si="80"/>
        <v>6535</v>
      </c>
      <c r="P192" s="92">
        <f t="shared" si="80"/>
        <v>3115</v>
      </c>
      <c r="Q192" s="92"/>
    </row>
    <row r="193" spans="2:17">
      <c r="B193" s="98" t="s">
        <v>185</v>
      </c>
      <c r="E193" s="92"/>
      <c r="F193" s="100">
        <f>F187-E187</f>
        <v>7457</v>
      </c>
      <c r="G193" s="100">
        <f t="shared" ref="G193:H193" si="81">G187-F187</f>
        <v>6046</v>
      </c>
      <c r="H193" s="100">
        <f t="shared" si="81"/>
        <v>8350</v>
      </c>
      <c r="I193" s="237">
        <v>10000</v>
      </c>
      <c r="J193" s="237">
        <v>8500</v>
      </c>
      <c r="K193" s="237">
        <v>8000</v>
      </c>
      <c r="L193" s="92"/>
      <c r="M193" s="100">
        <f>M187-G187</f>
        <v>5379</v>
      </c>
      <c r="N193" s="100">
        <f>H193-M193</f>
        <v>2971</v>
      </c>
      <c r="O193" s="100">
        <f>O187-H187</f>
        <v>6697</v>
      </c>
      <c r="P193" s="100">
        <f>I193-O193</f>
        <v>3303</v>
      </c>
      <c r="Q193" s="92"/>
    </row>
    <row r="194" spans="2:17">
      <c r="B194" s="197" t="s">
        <v>186</v>
      </c>
      <c r="E194" s="92"/>
      <c r="F194" s="100">
        <f t="shared" ref="F194:H196" si="82">F188-E188</f>
        <v>5757</v>
      </c>
      <c r="G194" s="100">
        <f t="shared" si="82"/>
        <v>5246</v>
      </c>
      <c r="H194" s="100">
        <f t="shared" si="82"/>
        <v>7350</v>
      </c>
      <c r="I194" s="100">
        <f t="shared" ref="I194:K194" si="83">I193-I195</f>
        <v>5400</v>
      </c>
      <c r="J194" s="100">
        <f t="shared" si="83"/>
        <v>5500</v>
      </c>
      <c r="K194" s="100">
        <f t="shared" si="83"/>
        <v>5500</v>
      </c>
      <c r="L194" s="92"/>
      <c r="M194" s="100">
        <f>M188-G188</f>
        <v>5079</v>
      </c>
      <c r="N194" s="100">
        <f>H194-M194</f>
        <v>2271</v>
      </c>
      <c r="O194" s="100">
        <f>O188-H188</f>
        <v>4797</v>
      </c>
      <c r="P194" s="100">
        <f>I194-O194</f>
        <v>603</v>
      </c>
      <c r="Q194" s="92"/>
    </row>
    <row r="195" spans="2:17">
      <c r="B195" s="197" t="s">
        <v>187</v>
      </c>
      <c r="E195" s="92"/>
      <c r="F195" s="100">
        <f t="shared" si="82"/>
        <v>1700</v>
      </c>
      <c r="G195" s="100">
        <f t="shared" si="82"/>
        <v>800</v>
      </c>
      <c r="H195" s="237">
        <v>1000</v>
      </c>
      <c r="I195" s="237">
        <v>4600</v>
      </c>
      <c r="J195" s="237">
        <v>3000</v>
      </c>
      <c r="K195" s="237">
        <v>2500</v>
      </c>
      <c r="L195" s="92"/>
      <c r="M195" s="237">
        <v>300</v>
      </c>
      <c r="N195" s="100">
        <f>H195-M195</f>
        <v>700</v>
      </c>
      <c r="O195" s="237">
        <v>1900</v>
      </c>
      <c r="P195" s="100">
        <f>I195-O195</f>
        <v>2700</v>
      </c>
      <c r="Q195" s="92"/>
    </row>
    <row r="196" spans="2:17">
      <c r="B196" s="98" t="s">
        <v>153</v>
      </c>
      <c r="E196" s="92"/>
      <c r="F196" s="100">
        <f t="shared" si="82"/>
        <v>1525</v>
      </c>
      <c r="G196" s="100">
        <f t="shared" si="82"/>
        <v>2536</v>
      </c>
      <c r="H196" s="100">
        <f t="shared" si="82"/>
        <v>564</v>
      </c>
      <c r="I196" s="237">
        <v>-350</v>
      </c>
      <c r="J196" s="237">
        <v>500</v>
      </c>
      <c r="K196" s="237">
        <v>1000</v>
      </c>
      <c r="L196" s="92"/>
      <c r="M196" s="100">
        <f>M190-G190</f>
        <v>274</v>
      </c>
      <c r="N196" s="100">
        <f>H196-M196</f>
        <v>290</v>
      </c>
      <c r="O196" s="100">
        <f>O190-H190</f>
        <v>-162</v>
      </c>
      <c r="P196" s="100">
        <f>I196-O196</f>
        <v>-188</v>
      </c>
      <c r="Q196" s="92"/>
    </row>
    <row r="197" spans="2:17">
      <c r="B197" s="110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</row>
    <row r="198" spans="2:17">
      <c r="B198" s="229" t="s">
        <v>225</v>
      </c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</row>
    <row r="199" spans="2:17">
      <c r="B199" s="98" t="s">
        <v>185</v>
      </c>
      <c r="C199" s="100"/>
      <c r="E199" s="100">
        <f t="shared" ref="E199:K199" si="84">E187</f>
        <v>19731</v>
      </c>
      <c r="F199" s="100">
        <f t="shared" si="84"/>
        <v>27188</v>
      </c>
      <c r="G199" s="100">
        <f t="shared" si="84"/>
        <v>33234</v>
      </c>
      <c r="H199" s="100">
        <f>H187</f>
        <v>41584</v>
      </c>
      <c r="I199" s="100">
        <f t="shared" si="84"/>
        <v>51584</v>
      </c>
      <c r="J199" s="100">
        <f t="shared" si="84"/>
        <v>60084</v>
      </c>
      <c r="K199" s="100">
        <f t="shared" si="84"/>
        <v>68084</v>
      </c>
      <c r="L199" s="100"/>
      <c r="M199" s="100">
        <f t="shared" ref="M199:P199" si="85">M187</f>
        <v>38613</v>
      </c>
      <c r="N199" s="100">
        <f t="shared" si="85"/>
        <v>41584</v>
      </c>
      <c r="O199" s="100">
        <f t="shared" si="85"/>
        <v>48281</v>
      </c>
      <c r="P199" s="100">
        <f t="shared" si="85"/>
        <v>51584</v>
      </c>
      <c r="Q199" s="100"/>
    </row>
    <row r="200" spans="2:17">
      <c r="B200" s="197" t="s">
        <v>216</v>
      </c>
      <c r="E200" s="238">
        <v>782</v>
      </c>
      <c r="F200" s="99">
        <v>1190</v>
      </c>
      <c r="G200" s="99">
        <v>1513</v>
      </c>
      <c r="H200" s="99">
        <v>1983</v>
      </c>
      <c r="I200" s="100"/>
      <c r="J200" s="100"/>
      <c r="K200" s="100"/>
      <c r="L200" s="100"/>
      <c r="M200" s="99">
        <v>1812</v>
      </c>
      <c r="N200" s="100">
        <f>H200</f>
        <v>1983</v>
      </c>
      <c r="O200" s="99">
        <v>2356</v>
      </c>
      <c r="P200" s="100"/>
      <c r="Q200" s="100"/>
    </row>
    <row r="201" spans="2:17">
      <c r="B201" s="197" t="s">
        <v>217</v>
      </c>
      <c r="E201" s="99">
        <v>4172</v>
      </c>
      <c r="F201" s="99">
        <v>5710</v>
      </c>
      <c r="G201" s="99">
        <v>6886</v>
      </c>
      <c r="H201" s="99">
        <v>8143</v>
      </c>
      <c r="I201" s="100"/>
      <c r="J201" s="100"/>
      <c r="K201" s="100"/>
      <c r="L201" s="100"/>
      <c r="M201" s="99">
        <v>7671</v>
      </c>
      <c r="N201" s="100">
        <f>H201</f>
        <v>8143</v>
      </c>
      <c r="O201" s="99">
        <v>8878</v>
      </c>
      <c r="P201" s="100"/>
      <c r="Q201" s="100"/>
    </row>
    <row r="202" spans="2:17">
      <c r="B202" s="197" t="s">
        <v>218</v>
      </c>
      <c r="E202" s="99">
        <v>3187</v>
      </c>
      <c r="F202" s="99">
        <v>4739</v>
      </c>
      <c r="G202" s="99">
        <v>5955</v>
      </c>
      <c r="H202" s="99">
        <v>7600</v>
      </c>
      <c r="I202" s="100"/>
      <c r="J202" s="100"/>
      <c r="K202" s="100"/>
      <c r="L202" s="100"/>
      <c r="M202" s="99">
        <v>7033</v>
      </c>
      <c r="N202" s="100">
        <f>H202</f>
        <v>7600</v>
      </c>
      <c r="O202" s="99">
        <v>9243</v>
      </c>
      <c r="P202" s="100"/>
      <c r="Q202" s="100"/>
    </row>
    <row r="203" spans="2:17">
      <c r="B203" s="197" t="s">
        <v>219</v>
      </c>
      <c r="E203" s="112">
        <f>E199-SUM(E200:E202)</f>
        <v>11590</v>
      </c>
      <c r="F203" s="112">
        <f>F199-SUM(F200:F202)</f>
        <v>15549</v>
      </c>
      <c r="G203" s="112">
        <f>G199-SUM(G200:G202)</f>
        <v>18880</v>
      </c>
      <c r="H203" s="112">
        <f>H199-SUM(H200:H202)</f>
        <v>23858</v>
      </c>
      <c r="I203" s="100"/>
      <c r="J203" s="100"/>
      <c r="K203" s="100"/>
      <c r="L203" s="100"/>
      <c r="M203" s="112">
        <f>M199-SUM(M200:M202)</f>
        <v>22097</v>
      </c>
      <c r="N203" s="112">
        <f>N199-SUM(N200:N202)</f>
        <v>23858</v>
      </c>
      <c r="O203" s="112">
        <f>O199-SUM(O200:O202)</f>
        <v>27804</v>
      </c>
      <c r="P203" s="100"/>
      <c r="Q203" s="100"/>
    </row>
    <row r="204" spans="2:17">
      <c r="B204" s="98" t="s">
        <v>153</v>
      </c>
      <c r="E204" s="112">
        <f t="shared" ref="E204:K204" si="86">E190</f>
        <v>270</v>
      </c>
      <c r="F204" s="112">
        <f t="shared" si="86"/>
        <v>1795</v>
      </c>
      <c r="G204" s="112">
        <f t="shared" si="86"/>
        <v>4331</v>
      </c>
      <c r="H204" s="112">
        <f t="shared" si="86"/>
        <v>4895</v>
      </c>
      <c r="I204" s="100">
        <f t="shared" si="86"/>
        <v>4545</v>
      </c>
      <c r="J204" s="100">
        <f t="shared" si="86"/>
        <v>5045</v>
      </c>
      <c r="K204" s="100">
        <f t="shared" si="86"/>
        <v>6045</v>
      </c>
      <c r="L204" s="100"/>
      <c r="M204" s="112">
        <f t="shared" ref="M204:P204" si="87">M190</f>
        <v>4605</v>
      </c>
      <c r="N204" s="100">
        <f t="shared" si="87"/>
        <v>4895</v>
      </c>
      <c r="O204" s="112">
        <f t="shared" si="87"/>
        <v>4733</v>
      </c>
      <c r="P204" s="100">
        <f t="shared" si="87"/>
        <v>4545</v>
      </c>
      <c r="Q204" s="100"/>
    </row>
    <row r="205" spans="2:17">
      <c r="B205" s="98"/>
      <c r="E205" s="112"/>
      <c r="F205" s="112"/>
      <c r="G205" s="112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</row>
    <row r="206" spans="2:17">
      <c r="B206" s="239" t="s">
        <v>231</v>
      </c>
      <c r="C206" s="177"/>
      <c r="D206" s="177"/>
      <c r="E206" s="240">
        <v>1412.6000000000001</v>
      </c>
      <c r="F206" s="240">
        <v>1411.75</v>
      </c>
      <c r="G206" s="240">
        <v>1409.8090000000002</v>
      </c>
      <c r="H206" s="240">
        <v>1406.5510000000002</v>
      </c>
      <c r="I206" s="240">
        <v>1402.663</v>
      </c>
      <c r="J206" s="240">
        <v>1398.2360000000001</v>
      </c>
      <c r="K206" s="240">
        <v>1398.2360000000001</v>
      </c>
      <c r="L206" s="100"/>
      <c r="M206" s="100"/>
      <c r="N206" s="100"/>
      <c r="O206" s="100"/>
      <c r="P206" s="100"/>
      <c r="Q206" s="100"/>
    </row>
    <row r="207" spans="2:17">
      <c r="B207" s="241" t="s">
        <v>232</v>
      </c>
      <c r="C207" s="177"/>
      <c r="D207" s="177"/>
      <c r="E207" s="242">
        <f>E199/E206</f>
        <v>13.967860682429562</v>
      </c>
      <c r="F207" s="242">
        <f t="shared" ref="F207:K207" si="88">F199/F206</f>
        <v>19.258367274659111</v>
      </c>
      <c r="G207" s="242">
        <f>G199/G206</f>
        <v>23.573406042946239</v>
      </c>
      <c r="H207" s="242">
        <f t="shared" si="88"/>
        <v>29.564516323972608</v>
      </c>
      <c r="I207" s="242">
        <f t="shared" si="88"/>
        <v>36.775761533597162</v>
      </c>
      <c r="J207" s="242">
        <f t="shared" si="88"/>
        <v>42.971286678357586</v>
      </c>
      <c r="K207" s="242">
        <f t="shared" si="88"/>
        <v>48.692781476088442</v>
      </c>
      <c r="L207" s="100"/>
      <c r="M207" s="100"/>
      <c r="N207" s="100"/>
      <c r="O207" s="100"/>
      <c r="P207" s="100"/>
      <c r="Q207" s="100"/>
    </row>
    <row r="208" spans="2:17">
      <c r="B208" s="98"/>
      <c r="E208" s="238"/>
      <c r="F208" s="99"/>
      <c r="G208" s="133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</row>
    <row r="209" spans="2:17" hidden="1" outlineLevel="1">
      <c r="B209" s="229" t="s">
        <v>233</v>
      </c>
      <c r="E209" s="92"/>
      <c r="F209" s="92"/>
      <c r="G209" s="91" t="s">
        <v>234</v>
      </c>
      <c r="H209" s="92"/>
      <c r="I209" s="92"/>
      <c r="J209" s="92"/>
      <c r="K209" s="92"/>
      <c r="L209" s="92"/>
      <c r="M209" s="92"/>
      <c r="N209" s="92"/>
      <c r="O209" s="92"/>
      <c r="P209" s="92"/>
      <c r="Q209" s="92"/>
    </row>
    <row r="210" spans="2:17" hidden="1" outlineLevel="1">
      <c r="B210" s="187" t="s">
        <v>235</v>
      </c>
      <c r="C210" s="122">
        <f>C211+C212</f>
        <v>7206</v>
      </c>
      <c r="D210" s="122">
        <f>D211+D212</f>
        <v>12966</v>
      </c>
      <c r="E210" s="122">
        <f>E211+E212</f>
        <v>20023</v>
      </c>
      <c r="F210" s="92"/>
      <c r="G210" s="243">
        <v>27320</v>
      </c>
      <c r="H210" s="92"/>
      <c r="I210" s="92"/>
      <c r="J210" s="92"/>
      <c r="K210" s="92"/>
      <c r="L210" s="92"/>
      <c r="M210" s="92"/>
      <c r="N210" s="92"/>
      <c r="O210" s="92"/>
      <c r="P210" s="92"/>
      <c r="Q210" s="92"/>
    </row>
    <row r="211" spans="2:17" hidden="1" outlineLevel="1">
      <c r="B211" s="197" t="s">
        <v>214</v>
      </c>
      <c r="C211" s="244">
        <v>35</v>
      </c>
      <c r="D211" s="244">
        <v>38</v>
      </c>
      <c r="E211" s="244">
        <v>37</v>
      </c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</row>
    <row r="212" spans="2:17" hidden="1" outlineLevel="1">
      <c r="B212" s="197" t="s">
        <v>213</v>
      </c>
      <c r="C212" s="244">
        <v>7171</v>
      </c>
      <c r="D212" s="244">
        <v>12928</v>
      </c>
      <c r="E212" s="244">
        <v>19986</v>
      </c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</row>
    <row r="213" spans="2:17" hidden="1" outlineLevel="1">
      <c r="B213" s="187" t="s">
        <v>236</v>
      </c>
      <c r="C213" s="236">
        <f>C214+C215</f>
        <v>12</v>
      </c>
      <c r="D213" s="236">
        <f>D214+D215</f>
        <v>142</v>
      </c>
      <c r="E213" s="236">
        <f>E214+E215</f>
        <v>469</v>
      </c>
      <c r="F213" s="92"/>
      <c r="G213" s="243">
        <v>2781</v>
      </c>
      <c r="H213" s="92"/>
      <c r="I213" s="92"/>
      <c r="J213" s="92"/>
      <c r="K213" s="92"/>
      <c r="L213" s="92"/>
      <c r="M213" s="92"/>
      <c r="N213" s="92"/>
      <c r="O213" s="92"/>
      <c r="P213" s="92"/>
      <c r="Q213" s="92"/>
    </row>
    <row r="214" spans="2:17" hidden="1" outlineLevel="1">
      <c r="B214" s="197" t="s">
        <v>214</v>
      </c>
      <c r="C214" s="245">
        <v>3</v>
      </c>
      <c r="D214" s="245">
        <v>2</v>
      </c>
      <c r="E214" s="245">
        <v>6</v>
      </c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</row>
    <row r="215" spans="2:17" hidden="1" outlineLevel="1">
      <c r="B215" s="197" t="s">
        <v>213</v>
      </c>
      <c r="C215" s="245">
        <v>9</v>
      </c>
      <c r="D215" s="245">
        <v>140</v>
      </c>
      <c r="E215" s="245">
        <v>463</v>
      </c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</row>
    <row r="216" spans="2:17" hidden="1" outlineLevel="1">
      <c r="B216" s="187" t="s">
        <v>237</v>
      </c>
      <c r="C216" s="236">
        <f>C217+C218</f>
        <v>7</v>
      </c>
      <c r="D216" s="236">
        <f>D217+D218</f>
        <v>18</v>
      </c>
      <c r="E216" s="236">
        <f>E217+E218</f>
        <v>19</v>
      </c>
      <c r="F216" s="100"/>
      <c r="G216" s="243">
        <v>45</v>
      </c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</row>
    <row r="217" spans="2:17" hidden="1" outlineLevel="1">
      <c r="B217" s="197" t="s">
        <v>214</v>
      </c>
      <c r="C217" s="245">
        <v>1</v>
      </c>
      <c r="D217" s="245">
        <v>3</v>
      </c>
      <c r="E217" s="245">
        <v>3</v>
      </c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</row>
    <row r="218" spans="2:17" hidden="1" outlineLevel="1">
      <c r="B218" s="197" t="s">
        <v>213</v>
      </c>
      <c r="C218" s="245">
        <v>6</v>
      </c>
      <c r="D218" s="245">
        <v>15</v>
      </c>
      <c r="E218" s="245">
        <v>16</v>
      </c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</row>
    <row r="219" spans="2:17" hidden="1" outlineLevel="1"/>
    <row r="220" spans="2:17" hidden="1" outlineLevel="1">
      <c r="B220" s="246" t="s">
        <v>238</v>
      </c>
    </row>
    <row r="221" spans="2:17" hidden="1" outlineLevel="1">
      <c r="B221" s="187" t="s">
        <v>235</v>
      </c>
      <c r="C221" s="78">
        <f>C210/SUM(C210,C213,C216)</f>
        <v>0.99737024221453285</v>
      </c>
      <c r="D221" s="78">
        <f>D210/SUM(D210,D213,D216)</f>
        <v>0.98781045253694955</v>
      </c>
      <c r="E221" s="78">
        <f>E210/SUM(E210,E213,E216)</f>
        <v>0.97620788845009998</v>
      </c>
    </row>
    <row r="222" spans="2:17" hidden="1" outlineLevel="1">
      <c r="B222" s="197" t="s">
        <v>214</v>
      </c>
      <c r="C222" s="78">
        <f>C211/C210</f>
        <v>4.8570635581459895E-3</v>
      </c>
      <c r="D222" s="78">
        <f>D211/D210</f>
        <v>2.9307419404596639E-3</v>
      </c>
      <c r="E222" s="78">
        <f>E211/E210</f>
        <v>1.8478749438146133E-3</v>
      </c>
    </row>
    <row r="223" spans="2:17" hidden="1" outlineLevel="1">
      <c r="B223" s="197" t="s">
        <v>213</v>
      </c>
      <c r="C223" s="78">
        <f>C212/C210</f>
        <v>0.99514293644185403</v>
      </c>
      <c r="D223" s="78">
        <f>D212/D210</f>
        <v>0.99706925805954039</v>
      </c>
      <c r="E223" s="78">
        <f>E212/E210</f>
        <v>0.99815212505618534</v>
      </c>
    </row>
    <row r="224" spans="2:17" hidden="1" outlineLevel="1">
      <c r="B224" s="187" t="s">
        <v>236</v>
      </c>
      <c r="C224" s="78">
        <f>C213/SUM(C210,C213,C216)</f>
        <v>1.6608996539792388E-3</v>
      </c>
      <c r="D224" s="78">
        <f>D213/SUM(D210,D213,D216)</f>
        <v>1.081822337345726E-2</v>
      </c>
      <c r="E224" s="78">
        <f>E213/SUM(E210,E213,E216)</f>
        <v>2.2865779337916239E-2</v>
      </c>
    </row>
    <row r="225" spans="2:17" hidden="1" outlineLevel="1">
      <c r="B225" s="197" t="s">
        <v>214</v>
      </c>
      <c r="C225" s="78">
        <f>C214/C213</f>
        <v>0.25</v>
      </c>
      <c r="D225" s="78">
        <f>D214/D213</f>
        <v>1.4084507042253521E-2</v>
      </c>
      <c r="E225" s="78">
        <f>E214/E213</f>
        <v>1.279317697228145E-2</v>
      </c>
    </row>
    <row r="226" spans="2:17" hidden="1" outlineLevel="1">
      <c r="B226" s="197" t="s">
        <v>213</v>
      </c>
      <c r="C226" s="78">
        <f>C215/C213</f>
        <v>0.75</v>
      </c>
      <c r="D226" s="78">
        <f>D215/D213</f>
        <v>0.9859154929577465</v>
      </c>
      <c r="E226" s="78">
        <f>E215/E213</f>
        <v>0.98720682302771856</v>
      </c>
    </row>
    <row r="227" spans="2:17" hidden="1" outlineLevel="1">
      <c r="B227" s="187" t="s">
        <v>237</v>
      </c>
      <c r="C227" s="78">
        <f>C216/SUM(C210,C213,C216)</f>
        <v>9.6885813148788922E-4</v>
      </c>
      <c r="D227" s="78">
        <f>D216/SUM(D210,D213,D216)</f>
        <v>1.3713240895931737E-3</v>
      </c>
      <c r="E227" s="78">
        <f>E216/SUM(E210,E213,E216)</f>
        <v>9.2633221198381351E-4</v>
      </c>
      <c r="F227" s="78"/>
    </row>
    <row r="228" spans="2:17" hidden="1" outlineLevel="1">
      <c r="B228" s="197" t="s">
        <v>214</v>
      </c>
      <c r="C228" s="78">
        <f>C217/C216</f>
        <v>0.14285714285714285</v>
      </c>
      <c r="D228" s="78">
        <f>D217/D216</f>
        <v>0.16666666666666666</v>
      </c>
      <c r="E228" s="78">
        <f>E217/E216</f>
        <v>0.15789473684210525</v>
      </c>
    </row>
    <row r="229" spans="2:17" hidden="1" outlineLevel="1">
      <c r="B229" s="197" t="s">
        <v>213</v>
      </c>
      <c r="C229" s="78">
        <f>C218/C216</f>
        <v>0.8571428571428571</v>
      </c>
      <c r="D229" s="78">
        <f>D218/D216</f>
        <v>0.83333333333333337</v>
      </c>
      <c r="E229" s="78">
        <f>E218/E216</f>
        <v>0.84210526315789469</v>
      </c>
    </row>
    <row r="230" spans="2:17" collapsed="1">
      <c r="B230" s="187"/>
    </row>
    <row r="231" spans="2:17">
      <c r="B231" s="229" t="s">
        <v>239</v>
      </c>
      <c r="C231" s="100"/>
      <c r="D231" s="100"/>
      <c r="E231" s="78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</row>
    <row r="232" spans="2:17">
      <c r="B232" s="187" t="s">
        <v>214</v>
      </c>
      <c r="C232" s="110"/>
      <c r="D232" s="99">
        <v>40</v>
      </c>
      <c r="E232" s="92">
        <f>E180-E241</f>
        <v>47</v>
      </c>
      <c r="F232" s="92">
        <f>F180-F241</f>
        <v>54</v>
      </c>
      <c r="G232" s="92">
        <f>G180-G241</f>
        <v>49</v>
      </c>
      <c r="H232" s="91">
        <v>21</v>
      </c>
      <c r="I232" s="247">
        <f t="shared" ref="I232:K232" si="89">I233+I234</f>
        <v>17</v>
      </c>
      <c r="J232" s="247">
        <f t="shared" si="89"/>
        <v>17</v>
      </c>
      <c r="K232" s="247">
        <f t="shared" si="89"/>
        <v>17</v>
      </c>
      <c r="L232" s="92"/>
      <c r="M232" s="92"/>
      <c r="N232" s="92">
        <f>H232</f>
        <v>21</v>
      </c>
      <c r="O232" s="91">
        <v>18</v>
      </c>
      <c r="P232" s="92">
        <f>I232</f>
        <v>17</v>
      </c>
      <c r="Q232" s="92"/>
    </row>
    <row r="233" spans="2:17">
      <c r="B233" s="197" t="s">
        <v>185</v>
      </c>
      <c r="C233" s="110"/>
      <c r="D233" s="110"/>
      <c r="E233" s="99">
        <v>44</v>
      </c>
      <c r="F233" s="99">
        <v>52</v>
      </c>
      <c r="G233" s="99">
        <v>48</v>
      </c>
      <c r="H233" s="100">
        <f>H232-H234</f>
        <v>20</v>
      </c>
      <c r="I233" s="237">
        <f>H233-4</f>
        <v>16</v>
      </c>
      <c r="J233" s="237">
        <f>I233</f>
        <v>16</v>
      </c>
      <c r="K233" s="237">
        <f t="shared" ref="K233:K234" si="90">J233</f>
        <v>16</v>
      </c>
      <c r="L233" s="92"/>
      <c r="M233" s="92"/>
      <c r="N233" s="100">
        <f>H233</f>
        <v>20</v>
      </c>
      <c r="O233" s="100">
        <f>O232-O234</f>
        <v>17</v>
      </c>
      <c r="P233" s="100">
        <f>I233</f>
        <v>16</v>
      </c>
      <c r="Q233" s="92"/>
    </row>
    <row r="234" spans="2:17">
      <c r="B234" s="197" t="s">
        <v>153</v>
      </c>
      <c r="C234" s="110"/>
      <c r="D234" s="110"/>
      <c r="E234" s="99">
        <v>3</v>
      </c>
      <c r="F234" s="99">
        <v>2</v>
      </c>
      <c r="G234" s="99">
        <v>1</v>
      </c>
      <c r="H234" s="237">
        <f>G234</f>
        <v>1</v>
      </c>
      <c r="I234" s="237">
        <f t="shared" ref="I234:J234" si="91">H234</f>
        <v>1</v>
      </c>
      <c r="J234" s="237">
        <f t="shared" si="91"/>
        <v>1</v>
      </c>
      <c r="K234" s="237">
        <f t="shared" si="90"/>
        <v>1</v>
      </c>
      <c r="L234" s="92"/>
      <c r="M234" s="92"/>
      <c r="N234" s="100">
        <f>H234</f>
        <v>1</v>
      </c>
      <c r="O234" s="237">
        <v>1</v>
      </c>
      <c r="P234" s="100">
        <f>I234</f>
        <v>1</v>
      </c>
      <c r="Q234" s="92"/>
    </row>
    <row r="235" spans="2:17">
      <c r="B235" s="187" t="s">
        <v>213</v>
      </c>
      <c r="C235" s="110"/>
      <c r="D235" s="110"/>
      <c r="E235" s="99"/>
      <c r="F235" s="99"/>
      <c r="G235" s="99"/>
      <c r="H235" s="92"/>
      <c r="I235" s="92"/>
      <c r="J235" s="92"/>
      <c r="K235" s="92"/>
      <c r="L235" s="92"/>
      <c r="M235" s="92"/>
      <c r="N235" s="92"/>
      <c r="O235" s="92"/>
      <c r="P235" s="92"/>
      <c r="Q235" s="92"/>
    </row>
    <row r="236" spans="2:17">
      <c r="B236" s="197" t="s">
        <v>240</v>
      </c>
      <c r="E236" s="99">
        <v>12509</v>
      </c>
      <c r="F236" s="112">
        <f>E241</f>
        <v>19954</v>
      </c>
      <c r="G236" s="112">
        <f>F241</f>
        <v>28929</v>
      </c>
      <c r="H236" s="112"/>
      <c r="I236" s="100"/>
      <c r="J236" s="100"/>
      <c r="K236" s="100"/>
      <c r="L236" s="100"/>
      <c r="M236" s="92"/>
      <c r="N236" s="100"/>
      <c r="O236" s="100"/>
      <c r="P236" s="100"/>
      <c r="Q236" s="100"/>
    </row>
    <row r="237" spans="2:17">
      <c r="B237" s="197" t="s">
        <v>241</v>
      </c>
      <c r="E237" s="99">
        <v>8022</v>
      </c>
      <c r="F237" s="99">
        <v>9671</v>
      </c>
      <c r="G237" s="99">
        <v>9894</v>
      </c>
    </row>
    <row r="238" spans="2:17">
      <c r="B238" s="197" t="s">
        <v>242</v>
      </c>
      <c r="E238" s="238">
        <f>E239+E240</f>
        <v>-577</v>
      </c>
      <c r="F238" s="99">
        <f>F239+F240</f>
        <v>-696</v>
      </c>
      <c r="G238" s="99">
        <f>G239+G240</f>
        <v>-1307</v>
      </c>
    </row>
    <row r="239" spans="2:17">
      <c r="B239" s="231" t="s">
        <v>243</v>
      </c>
      <c r="E239" s="238">
        <v>-371</v>
      </c>
      <c r="F239" s="238">
        <v>-432</v>
      </c>
      <c r="G239" s="238">
        <v>-666</v>
      </c>
    </row>
    <row r="240" spans="2:17">
      <c r="B240" s="231" t="s">
        <v>244</v>
      </c>
      <c r="E240" s="238">
        <v>-206</v>
      </c>
      <c r="F240" s="238">
        <v>-264</v>
      </c>
      <c r="G240" s="238">
        <v>-641</v>
      </c>
    </row>
    <row r="241" spans="2:17">
      <c r="B241" s="197" t="s">
        <v>245</v>
      </c>
      <c r="D241" s="92">
        <f>E236</f>
        <v>12509</v>
      </c>
      <c r="E241" s="92">
        <f>SUM(E236:E238)</f>
        <v>19954</v>
      </c>
      <c r="F241" s="92">
        <f>SUM(F236:F238)</f>
        <v>28929</v>
      </c>
      <c r="G241" s="92">
        <f>SUM(G236:G238)</f>
        <v>37516</v>
      </c>
      <c r="H241" s="122">
        <f>H180-H232</f>
        <v>46458</v>
      </c>
      <c r="I241" s="92">
        <f>I180-I232</f>
        <v>56112</v>
      </c>
      <c r="J241" s="92">
        <f>J180-J232</f>
        <v>65112</v>
      </c>
      <c r="K241" s="92">
        <f t="shared" ref="K241" si="92">K180-K232</f>
        <v>74112</v>
      </c>
      <c r="L241" s="92"/>
      <c r="M241" s="91">
        <f>M180-M232</f>
        <v>43218</v>
      </c>
      <c r="N241" s="92">
        <f>N180-N232</f>
        <v>46458</v>
      </c>
      <c r="O241" s="91">
        <f>O180-O232</f>
        <v>52996</v>
      </c>
      <c r="P241" s="92">
        <f>P180-P232</f>
        <v>56112</v>
      </c>
      <c r="Q241" s="92"/>
    </row>
    <row r="243" spans="2:17">
      <c r="B243" s="110" t="s">
        <v>246</v>
      </c>
      <c r="E243" s="91">
        <v>9784</v>
      </c>
      <c r="F243" s="91">
        <v>13625</v>
      </c>
      <c r="G243" s="91">
        <v>16784</v>
      </c>
    </row>
    <row r="244" spans="2:17">
      <c r="B244" s="197" t="s">
        <v>240</v>
      </c>
      <c r="E244" s="99">
        <v>6366</v>
      </c>
      <c r="F244" s="99">
        <v>9784</v>
      </c>
      <c r="G244" s="99">
        <v>13625</v>
      </c>
    </row>
    <row r="245" spans="2:17">
      <c r="B245" s="197" t="s">
        <v>241</v>
      </c>
      <c r="E245" s="99">
        <v>3856</v>
      </c>
      <c r="F245" s="99">
        <v>4559</v>
      </c>
      <c r="G245" s="99">
        <v>4286</v>
      </c>
    </row>
    <row r="246" spans="2:17">
      <c r="B246" s="197" t="s">
        <v>247</v>
      </c>
      <c r="E246" s="238">
        <v>-166</v>
      </c>
      <c r="F246" s="238">
        <v>-412</v>
      </c>
      <c r="G246" s="238">
        <v>-523</v>
      </c>
    </row>
    <row r="247" spans="2:17">
      <c r="B247" s="197" t="s">
        <v>242</v>
      </c>
      <c r="E247" s="191">
        <f>E248+E249</f>
        <v>-272</v>
      </c>
      <c r="F247" s="191">
        <f>F248+F249</f>
        <v>-306</v>
      </c>
      <c r="G247" s="191">
        <f>G248+G249</f>
        <v>-604</v>
      </c>
    </row>
    <row r="248" spans="2:17">
      <c r="B248" s="231" t="s">
        <v>243</v>
      </c>
      <c r="E248" s="238">
        <v>-179</v>
      </c>
      <c r="F248" s="238">
        <v>-176</v>
      </c>
      <c r="G248" s="238">
        <v>-282</v>
      </c>
    </row>
    <row r="249" spans="2:17">
      <c r="B249" s="231" t="s">
        <v>244</v>
      </c>
      <c r="E249" s="238">
        <v>-93</v>
      </c>
      <c r="F249" s="238">
        <v>-130</v>
      </c>
      <c r="G249" s="238">
        <v>-322</v>
      </c>
    </row>
    <row r="250" spans="2:17">
      <c r="B250" s="197" t="s">
        <v>245</v>
      </c>
      <c r="E250" s="100">
        <f>SUM(E244:E247)</f>
        <v>9784</v>
      </c>
      <c r="F250" s="100">
        <f>SUM(F244:F247)</f>
        <v>13625</v>
      </c>
      <c r="G250" s="100">
        <f>SUM(G244:G247)</f>
        <v>16784</v>
      </c>
    </row>
    <row r="252" spans="2:17">
      <c r="B252" s="110" t="s">
        <v>248</v>
      </c>
      <c r="E252" s="104">
        <f>1+E247/E244</f>
        <v>0.95727301288092992</v>
      </c>
      <c r="F252" s="104">
        <f t="shared" ref="F252:G252" si="93">1+F247/F244</f>
        <v>0.96872444807849556</v>
      </c>
      <c r="G252" s="104">
        <f t="shared" si="93"/>
        <v>0.95566972477064216</v>
      </c>
    </row>
    <row r="254" spans="2:17">
      <c r="B254" s="110" t="s">
        <v>249</v>
      </c>
      <c r="E254" s="138">
        <f>E241/E243</f>
        <v>2.0394521668029437</v>
      </c>
      <c r="F254" s="138">
        <f>F241/F243</f>
        <v>2.1232293577981651</v>
      </c>
      <c r="G254" s="138">
        <f>G241/G243</f>
        <v>2.2352240228789322</v>
      </c>
    </row>
    <row r="255" spans="2:17">
      <c r="B255" s="77" t="s">
        <v>250</v>
      </c>
      <c r="D255" s="78"/>
      <c r="E255" s="78">
        <f>E246/(E246+E247)</f>
        <v>0.37899543378995432</v>
      </c>
      <c r="F255" s="78">
        <f>F246/(F246+F247)</f>
        <v>0.57381615598885793</v>
      </c>
      <c r="G255" s="78">
        <f>G246/(G246+G247)</f>
        <v>0.46406388642413487</v>
      </c>
    </row>
    <row r="256" spans="2:17">
      <c r="D256" s="78"/>
      <c r="E256" s="78"/>
      <c r="F256" s="78"/>
      <c r="G256" s="78"/>
    </row>
    <row r="257" spans="2:17">
      <c r="B257" s="110" t="s">
        <v>251</v>
      </c>
      <c r="D257" s="78"/>
      <c r="E257" s="99">
        <v>3585</v>
      </c>
      <c r="F257" s="99">
        <v>5382</v>
      </c>
      <c r="G257" s="99">
        <v>7041</v>
      </c>
    </row>
    <row r="258" spans="2:17">
      <c r="B258" s="77" t="s">
        <v>252</v>
      </c>
      <c r="D258" s="78"/>
      <c r="E258" s="78">
        <f>E257/E250</f>
        <v>0.36641455437448894</v>
      </c>
      <c r="F258" s="78">
        <f>F257/F250</f>
        <v>0.39500917431192661</v>
      </c>
      <c r="G258" s="78">
        <f>G257/G250</f>
        <v>0.41950667302192562</v>
      </c>
    </row>
    <row r="259" spans="2:17">
      <c r="D259" s="78"/>
      <c r="E259" s="78"/>
      <c r="F259" s="78"/>
      <c r="G259" s="78"/>
    </row>
    <row r="260" spans="2:17">
      <c r="B260" s="156" t="s">
        <v>99</v>
      </c>
      <c r="C260" s="177"/>
      <c r="D260" s="177"/>
      <c r="E260" s="177"/>
      <c r="F260" s="177"/>
      <c r="G260" s="177"/>
      <c r="H260" s="177"/>
      <c r="I260" s="177"/>
      <c r="J260" s="177"/>
      <c r="K260" s="177"/>
      <c r="M260" s="177"/>
      <c r="N260" s="177"/>
      <c r="O260" s="177"/>
      <c r="P260" s="177"/>
    </row>
    <row r="261" spans="2:17">
      <c r="B261" s="229" t="s">
        <v>211</v>
      </c>
      <c r="D261" s="78"/>
      <c r="E261" s="78"/>
      <c r="F261" s="78"/>
      <c r="G261" s="78"/>
    </row>
    <row r="262" spans="2:17">
      <c r="B262" s="187" t="s">
        <v>185</v>
      </c>
      <c r="D262" s="78"/>
      <c r="E262" s="78">
        <f t="shared" ref="E262:K265" si="94">E187/E$180</f>
        <v>0.98650067496625171</v>
      </c>
      <c r="F262" s="78">
        <f t="shared" si="94"/>
        <v>0.93806714280785286</v>
      </c>
      <c r="G262" s="78">
        <f t="shared" si="94"/>
        <v>0.88470650871822176</v>
      </c>
      <c r="H262" s="78">
        <f t="shared" si="94"/>
        <v>0.89468362055982276</v>
      </c>
      <c r="I262" s="78">
        <f t="shared" si="94"/>
        <v>0.91902581553207785</v>
      </c>
      <c r="J262" s="78">
        <f t="shared" si="94"/>
        <v>0.92253834697293069</v>
      </c>
      <c r="K262" s="78">
        <f t="shared" si="94"/>
        <v>0.9184529671248769</v>
      </c>
      <c r="M262" s="78">
        <f t="shared" ref="M262:P265" si="95">M187/M$180</f>
        <v>0.89344717478828262</v>
      </c>
      <c r="N262" s="78">
        <f t="shared" si="95"/>
        <v>0.89468362055982276</v>
      </c>
      <c r="O262" s="78">
        <f t="shared" si="95"/>
        <v>0.9107216961557324</v>
      </c>
      <c r="P262" s="78">
        <f t="shared" si="95"/>
        <v>0.91902581553207785</v>
      </c>
    </row>
    <row r="263" spans="2:17">
      <c r="B263" s="197" t="s">
        <v>186</v>
      </c>
      <c r="D263" s="78"/>
      <c r="E263" s="78">
        <f t="shared" si="94"/>
        <v>0.96650167491625416</v>
      </c>
      <c r="F263" s="78">
        <f t="shared" si="94"/>
        <v>0.86561087534071701</v>
      </c>
      <c r="G263" s="78">
        <f t="shared" si="94"/>
        <v>0.8075069878876614</v>
      </c>
      <c r="H263" s="78">
        <f t="shared" si="94"/>
        <v>0.81077475849308289</v>
      </c>
      <c r="I263" s="78">
        <f t="shared" si="94"/>
        <v>0.76758894689019941</v>
      </c>
      <c r="J263" s="78">
        <f t="shared" si="94"/>
        <v>0.74596569884383301</v>
      </c>
      <c r="K263" s="78">
        <f t="shared" si="94"/>
        <v>0.72959300678546857</v>
      </c>
      <c r="M263" s="78">
        <f t="shared" si="95"/>
        <v>0.81940395205701333</v>
      </c>
      <c r="N263" s="78">
        <f t="shared" si="95"/>
        <v>0.81077475849308289</v>
      </c>
      <c r="O263" s="78">
        <f t="shared" si="95"/>
        <v>0.80131663334213599</v>
      </c>
      <c r="P263" s="78">
        <f t="shared" si="95"/>
        <v>0.76758894689019941</v>
      </c>
    </row>
    <row r="264" spans="2:17">
      <c r="B264" s="197" t="s">
        <v>187</v>
      </c>
      <c r="D264" s="78"/>
      <c r="E264" s="78">
        <f t="shared" si="94"/>
        <v>1.9999000049997499E-2</v>
      </c>
      <c r="F264" s="78">
        <f t="shared" si="94"/>
        <v>7.2456267467135904E-2</v>
      </c>
      <c r="G264" s="78">
        <f t="shared" si="94"/>
        <v>7.7199520830560364E-2</v>
      </c>
      <c r="H264" s="78">
        <f t="shared" si="94"/>
        <v>8.3908862066739823E-2</v>
      </c>
      <c r="I264" s="78">
        <f t="shared" si="94"/>
        <v>0.15143686864187852</v>
      </c>
      <c r="J264" s="78">
        <f t="shared" si="94"/>
        <v>0.17657264812909765</v>
      </c>
      <c r="K264" s="78">
        <f t="shared" si="94"/>
        <v>0.18885996033940833</v>
      </c>
      <c r="M264" s="78">
        <f t="shared" si="95"/>
        <v>7.4043222731269384E-2</v>
      </c>
      <c r="N264" s="78">
        <f t="shared" si="95"/>
        <v>8.3908862066739823E-2</v>
      </c>
      <c r="O264" s="78">
        <f t="shared" si="95"/>
        <v>0.10940506281359641</v>
      </c>
      <c r="P264" s="78">
        <f t="shared" si="95"/>
        <v>0.15143686864187852</v>
      </c>
    </row>
    <row r="265" spans="2:17">
      <c r="B265" s="187" t="s">
        <v>153</v>
      </c>
      <c r="D265" s="78"/>
      <c r="E265" s="78">
        <f t="shared" si="94"/>
        <v>1.3499325033748313E-2</v>
      </c>
      <c r="F265" s="78">
        <f t="shared" si="94"/>
        <v>6.1932857192147119E-2</v>
      </c>
      <c r="G265" s="78">
        <f t="shared" si="94"/>
        <v>0.11529349128177825</v>
      </c>
      <c r="H265" s="78">
        <f t="shared" si="94"/>
        <v>0.10531637944017729</v>
      </c>
      <c r="I265" s="78">
        <f t="shared" si="94"/>
        <v>8.0974184467922108E-2</v>
      </c>
      <c r="J265" s="78">
        <f t="shared" si="94"/>
        <v>7.7461653027069352E-2</v>
      </c>
      <c r="K265" s="78">
        <f t="shared" si="94"/>
        <v>8.1547032875123091E-2</v>
      </c>
      <c r="M265" s="78">
        <f t="shared" si="95"/>
        <v>0.10655282521171734</v>
      </c>
      <c r="N265" s="78">
        <f t="shared" si="95"/>
        <v>0.10531637944017729</v>
      </c>
      <c r="O265" s="78">
        <f t="shared" si="95"/>
        <v>8.9278303844267548E-2</v>
      </c>
      <c r="P265" s="78">
        <f t="shared" si="95"/>
        <v>8.0974184467922108E-2</v>
      </c>
    </row>
    <row r="266" spans="2:17">
      <c r="B266" s="229"/>
      <c r="D266" s="78"/>
      <c r="E266" s="78"/>
      <c r="F266" s="78"/>
      <c r="G266" s="78"/>
    </row>
    <row r="267" spans="2:17">
      <c r="B267" s="229" t="s">
        <v>225</v>
      </c>
      <c r="D267" s="78"/>
      <c r="E267" s="78"/>
      <c r="F267" s="78"/>
      <c r="G267" s="78"/>
    </row>
    <row r="268" spans="2:17">
      <c r="B268" s="98" t="s">
        <v>185</v>
      </c>
      <c r="E268" s="78">
        <f t="shared" ref="E268:K273" si="96">E199/E$180</f>
        <v>0.98650067496625171</v>
      </c>
      <c r="F268" s="78">
        <f t="shared" si="96"/>
        <v>0.93806714280785286</v>
      </c>
      <c r="G268" s="78">
        <f t="shared" si="96"/>
        <v>0.88470650871822176</v>
      </c>
      <c r="H268" s="78">
        <f t="shared" si="96"/>
        <v>0.89468362055982276</v>
      </c>
      <c r="I268" s="78">
        <f t="shared" si="96"/>
        <v>0.91902581553207785</v>
      </c>
      <c r="J268" s="78">
        <f t="shared" si="96"/>
        <v>0.92253834697293069</v>
      </c>
      <c r="K268" s="78">
        <f t="shared" si="96"/>
        <v>0.9184529671248769</v>
      </c>
      <c r="L268" s="78"/>
      <c r="M268" s="78">
        <f t="shared" ref="M268:P268" si="97">M199/M$180</f>
        <v>0.89344717478828262</v>
      </c>
      <c r="N268" s="78">
        <f t="shared" si="97"/>
        <v>0.89468362055982276</v>
      </c>
      <c r="O268" s="78">
        <f t="shared" si="97"/>
        <v>0.9107216961557324</v>
      </c>
      <c r="P268" s="78">
        <f t="shared" si="97"/>
        <v>0.91902581553207785</v>
      </c>
      <c r="Q268" s="78"/>
    </row>
    <row r="269" spans="2:17">
      <c r="B269" s="197" t="s">
        <v>216</v>
      </c>
      <c r="E269" s="78">
        <f t="shared" si="96"/>
        <v>3.9098045097745115E-2</v>
      </c>
      <c r="F269" s="78">
        <f t="shared" si="96"/>
        <v>4.1058551564710347E-2</v>
      </c>
      <c r="G269" s="78">
        <f t="shared" si="96"/>
        <v>4.0276853454013044E-2</v>
      </c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</row>
    <row r="270" spans="2:17">
      <c r="B270" s="197" t="s">
        <v>217</v>
      </c>
      <c r="E270" s="78">
        <f t="shared" si="96"/>
        <v>0.20858957052147392</v>
      </c>
      <c r="F270" s="78">
        <f t="shared" si="96"/>
        <v>0.19701204154159335</v>
      </c>
      <c r="G270" s="78">
        <f t="shared" si="96"/>
        <v>0.18330893118594435</v>
      </c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</row>
    <row r="271" spans="2:17">
      <c r="B271" s="197" t="s">
        <v>218</v>
      </c>
      <c r="E271" s="78">
        <f t="shared" si="96"/>
        <v>0.15934203289835508</v>
      </c>
      <c r="F271" s="78">
        <f t="shared" si="96"/>
        <v>0.16350964358417003</v>
      </c>
      <c r="G271" s="78">
        <f t="shared" si="96"/>
        <v>0.15852522294689206</v>
      </c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</row>
    <row r="272" spans="2:17">
      <c r="B272" s="197" t="s">
        <v>219</v>
      </c>
      <c r="E272" s="78">
        <f t="shared" si="96"/>
        <v>0.57947102644867754</v>
      </c>
      <c r="F272" s="78">
        <f t="shared" si="96"/>
        <v>0.53648690611737915</v>
      </c>
      <c r="G272" s="78">
        <f>G203/G$180</f>
        <v>0.5025955011313723</v>
      </c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</row>
    <row r="273" spans="2:17">
      <c r="B273" s="98" t="s">
        <v>153</v>
      </c>
      <c r="E273" s="78">
        <f t="shared" si="96"/>
        <v>1.3499325033748313E-2</v>
      </c>
      <c r="F273" s="78">
        <f t="shared" si="96"/>
        <v>6.1932857192147119E-2</v>
      </c>
      <c r="G273" s="78">
        <f t="shared" si="96"/>
        <v>0.11529349128177825</v>
      </c>
      <c r="H273" s="78">
        <f>H204/H$180</f>
        <v>0.10531637944017729</v>
      </c>
      <c r="I273" s="78">
        <f>I204/I$180</f>
        <v>8.0974184467922108E-2</v>
      </c>
      <c r="J273" s="78">
        <f>J204/J$180</f>
        <v>7.7461653027069352E-2</v>
      </c>
      <c r="K273" s="78">
        <f t="shared" ref="K273" si="98">K204/K$180</f>
        <v>8.1547032875123091E-2</v>
      </c>
      <c r="L273" s="78"/>
      <c r="M273" s="78">
        <f t="shared" ref="M273:P273" si="99">M204/M$180</f>
        <v>0.10655282521171734</v>
      </c>
      <c r="N273" s="78">
        <f t="shared" si="99"/>
        <v>0.10531637944017729</v>
      </c>
      <c r="O273" s="78">
        <f t="shared" si="99"/>
        <v>8.9278303844267548E-2</v>
      </c>
      <c r="P273" s="78">
        <f t="shared" si="99"/>
        <v>8.0974184467922108E-2</v>
      </c>
      <c r="Q273" s="78"/>
    </row>
    <row r="274" spans="2:17">
      <c r="D274" s="78"/>
      <c r="E274" s="78"/>
      <c r="F274" s="78"/>
      <c r="G274" s="78"/>
    </row>
    <row r="275" spans="2:17">
      <c r="B275" s="229" t="s">
        <v>239</v>
      </c>
      <c r="D275" s="78"/>
      <c r="E275" s="78"/>
      <c r="F275" s="78"/>
      <c r="G275" s="78"/>
    </row>
    <row r="276" spans="2:17">
      <c r="B276" s="98" t="s">
        <v>214</v>
      </c>
      <c r="D276" s="78"/>
      <c r="E276" s="104">
        <f t="shared" ref="E276:K276" si="100">E232/E$180</f>
        <v>2.3498825058747065E-3</v>
      </c>
      <c r="F276" s="104">
        <f t="shared" si="100"/>
        <v>1.8631611634406377E-3</v>
      </c>
      <c r="G276" s="104">
        <f t="shared" si="100"/>
        <v>1.3044056967922268E-3</v>
      </c>
      <c r="H276" s="104">
        <f t="shared" si="100"/>
        <v>4.5181694959013749E-4</v>
      </c>
      <c r="I276" s="104">
        <f t="shared" si="100"/>
        <v>3.0287373728375705E-4</v>
      </c>
      <c r="J276" s="104">
        <f t="shared" si="100"/>
        <v>2.6102043636475302E-4</v>
      </c>
      <c r="K276" s="104">
        <f t="shared" si="100"/>
        <v>2.293299518407101E-4</v>
      </c>
      <c r="L276" s="104"/>
      <c r="M276" s="104">
        <f t="shared" ref="M276:P276" si="101">M232/M$180</f>
        <v>0</v>
      </c>
      <c r="N276" s="104">
        <f t="shared" si="101"/>
        <v>4.5181694959013749E-4</v>
      </c>
      <c r="O276" s="104">
        <f t="shared" si="101"/>
        <v>3.3953295355943711E-4</v>
      </c>
      <c r="P276" s="104">
        <f t="shared" si="101"/>
        <v>3.0287373728375705E-4</v>
      </c>
      <c r="Q276" s="104"/>
    </row>
    <row r="277" spans="2:17">
      <c r="B277" s="98" t="s">
        <v>213</v>
      </c>
      <c r="D277" s="78"/>
      <c r="E277" s="104">
        <f t="shared" ref="E277:K277" si="102">E241/E$180</f>
        <v>0.99765011749412524</v>
      </c>
      <c r="F277" s="104">
        <f t="shared" si="102"/>
        <v>0.99813683883655935</v>
      </c>
      <c r="G277" s="104">
        <f t="shared" si="102"/>
        <v>0.99869559430320776</v>
      </c>
      <c r="H277" s="104">
        <f t="shared" si="102"/>
        <v>0.99954818305040982</v>
      </c>
      <c r="I277" s="104">
        <f t="shared" si="102"/>
        <v>0.99969712626271623</v>
      </c>
      <c r="J277" s="104">
        <f t="shared" si="102"/>
        <v>0.99973897956363522</v>
      </c>
      <c r="K277" s="104">
        <f t="shared" si="102"/>
        <v>0.99977067004815934</v>
      </c>
      <c r="L277" s="104"/>
      <c r="M277" s="104">
        <f t="shared" ref="M277:P277" si="103">M241/M$180</f>
        <v>1</v>
      </c>
      <c r="N277" s="104">
        <f t="shared" si="103"/>
        <v>0.99954818305040982</v>
      </c>
      <c r="O277" s="104">
        <f t="shared" si="103"/>
        <v>0.99966046704644052</v>
      </c>
      <c r="P277" s="104">
        <f t="shared" si="103"/>
        <v>0.99969712626271623</v>
      </c>
      <c r="Q277" s="104"/>
    </row>
    <row r="278" spans="2:17">
      <c r="D278" s="78"/>
      <c r="E278" s="78"/>
      <c r="F278" s="78"/>
      <c r="G278" s="78"/>
    </row>
    <row r="279" spans="2:17">
      <c r="B279" s="156" t="s">
        <v>41</v>
      </c>
      <c r="C279" s="177"/>
      <c r="D279" s="177"/>
      <c r="E279" s="177"/>
      <c r="F279" s="177"/>
      <c r="G279" s="177"/>
      <c r="H279" s="177"/>
      <c r="I279" s="177"/>
      <c r="J279" s="177"/>
      <c r="K279" s="177"/>
      <c r="M279" s="177"/>
      <c r="N279" s="177"/>
      <c r="O279" s="177"/>
      <c r="P279" s="177"/>
    </row>
    <row r="280" spans="2:17">
      <c r="B280" s="110" t="s">
        <v>199</v>
      </c>
      <c r="F280" s="93">
        <f t="shared" ref="F280:K280" si="104">F180/E180-1</f>
        <v>0.4490775461226939</v>
      </c>
      <c r="G280" s="93">
        <f t="shared" si="104"/>
        <v>0.2961046130490288</v>
      </c>
      <c r="H280" s="93">
        <f t="shared" si="104"/>
        <v>0.23729535471848795</v>
      </c>
      <c r="I280" s="93">
        <f t="shared" si="104"/>
        <v>0.20762064588308693</v>
      </c>
      <c r="J280" s="93">
        <f t="shared" si="104"/>
        <v>0.16034491973845966</v>
      </c>
      <c r="K280" s="93">
        <f t="shared" si="104"/>
        <v>0.13818728984016326</v>
      </c>
    </row>
    <row r="282" spans="2:17">
      <c r="B282" s="229" t="s">
        <v>253</v>
      </c>
      <c r="D282" s="78"/>
      <c r="E282" s="78"/>
      <c r="F282" s="78"/>
      <c r="G282" s="78"/>
    </row>
    <row r="283" spans="2:17">
      <c r="B283" s="187" t="s">
        <v>185</v>
      </c>
      <c r="D283" s="78"/>
      <c r="E283" s="78"/>
      <c r="F283" s="93">
        <f t="shared" ref="F283:K286" si="105">F187/E187-1</f>
        <v>0.3779332015609953</v>
      </c>
      <c r="G283" s="93">
        <f t="shared" si="105"/>
        <v>0.22237751949389439</v>
      </c>
      <c r="H283" s="93">
        <f t="shared" si="105"/>
        <v>0.25124872118914365</v>
      </c>
      <c r="I283" s="93">
        <f t="shared" si="105"/>
        <v>0.24047710657945354</v>
      </c>
      <c r="J283" s="93">
        <f t="shared" si="105"/>
        <v>0.16477977667493793</v>
      </c>
      <c r="K283" s="93">
        <f t="shared" si="105"/>
        <v>0.13314692763464486</v>
      </c>
    </row>
    <row r="284" spans="2:17">
      <c r="B284" s="197" t="s">
        <v>186</v>
      </c>
      <c r="D284" s="78"/>
      <c r="E284" s="78"/>
      <c r="F284" s="78">
        <f t="shared" si="105"/>
        <v>0.29781180487300185</v>
      </c>
      <c r="G284" s="78">
        <f t="shared" si="105"/>
        <v>0.20910395408163263</v>
      </c>
      <c r="H284" s="78">
        <f t="shared" si="105"/>
        <v>0.24230236698094543</v>
      </c>
      <c r="I284" s="78">
        <f t="shared" si="105"/>
        <v>0.14329688992675926</v>
      </c>
      <c r="J284" s="78">
        <f t="shared" si="105"/>
        <v>0.12765759910871788</v>
      </c>
      <c r="K284" s="78">
        <f t="shared" si="105"/>
        <v>0.11320599374279605</v>
      </c>
    </row>
    <row r="285" spans="2:17">
      <c r="B285" s="197" t="s">
        <v>187</v>
      </c>
      <c r="D285" s="78"/>
      <c r="E285" s="78"/>
      <c r="F285" s="78">
        <f t="shared" si="105"/>
        <v>4.25</v>
      </c>
      <c r="G285" s="78">
        <f t="shared" si="105"/>
        <v>0.38095238095238093</v>
      </c>
      <c r="H285" s="78">
        <f t="shared" si="105"/>
        <v>0.34482758620689657</v>
      </c>
      <c r="I285" s="78">
        <f t="shared" si="105"/>
        <v>1.1794871794871793</v>
      </c>
      <c r="J285" s="78">
        <f t="shared" si="105"/>
        <v>0.35294117647058831</v>
      </c>
      <c r="K285" s="78">
        <f t="shared" si="105"/>
        <v>0.21739130434782616</v>
      </c>
    </row>
    <row r="286" spans="2:17">
      <c r="B286" s="187" t="s">
        <v>153</v>
      </c>
      <c r="D286" s="78"/>
      <c r="E286" s="78"/>
      <c r="F286" s="93">
        <f t="shared" si="105"/>
        <v>5.6481481481481479</v>
      </c>
      <c r="G286" s="93">
        <f t="shared" si="105"/>
        <v>1.4128133704735375</v>
      </c>
      <c r="H286" s="93">
        <f t="shared" si="105"/>
        <v>0.13022396675132764</v>
      </c>
      <c r="I286" s="93">
        <f t="shared" si="105"/>
        <v>-7.1501532175689442E-2</v>
      </c>
      <c r="J286" s="93">
        <f t="shared" si="105"/>
        <v>0.11001100110011008</v>
      </c>
      <c r="K286" s="93">
        <f t="shared" si="105"/>
        <v>0.19821605550049548</v>
      </c>
    </row>
    <row r="287" spans="2:17">
      <c r="B287" s="187"/>
      <c r="D287" s="78"/>
      <c r="E287" s="78"/>
      <c r="F287" s="78"/>
      <c r="G287" s="78"/>
      <c r="H287" s="78"/>
      <c r="I287" s="78"/>
      <c r="J287" s="78"/>
      <c r="K287" s="78"/>
    </row>
    <row r="288" spans="2:17">
      <c r="B288" s="229" t="s">
        <v>254</v>
      </c>
      <c r="D288" s="78"/>
      <c r="E288" s="78"/>
      <c r="F288" s="78"/>
      <c r="G288" s="93">
        <f t="shared" ref="G288:K288" si="106">AVERAGE(F180:G180)/AVERAGE(E180:F180)-1</f>
        <v>0.35856606238771849</v>
      </c>
      <c r="H288" s="93">
        <f t="shared" si="106"/>
        <v>0.26290797619763184</v>
      </c>
      <c r="I288" s="93">
        <f t="shared" si="106"/>
        <v>0.22088429870068049</v>
      </c>
      <c r="J288" s="93">
        <f t="shared" si="106"/>
        <v>0.18175970684547016</v>
      </c>
      <c r="K288" s="93">
        <f t="shared" si="106"/>
        <v>0.14844381401639484</v>
      </c>
    </row>
    <row r="289" spans="2:17">
      <c r="B289" s="187" t="s">
        <v>185</v>
      </c>
      <c r="D289" s="78"/>
      <c r="E289" s="78"/>
      <c r="F289" s="78"/>
      <c r="G289" s="93">
        <f t="shared" ref="G289:K292" si="107">AVERAGE(F187:G187)/AVERAGE(E187:F187)-1</f>
        <v>0.28779385749909414</v>
      </c>
      <c r="H289" s="93">
        <f t="shared" si="107"/>
        <v>0.23825758829565391</v>
      </c>
      <c r="I289" s="93">
        <f t="shared" si="107"/>
        <v>0.24526183538720625</v>
      </c>
      <c r="J289" s="93">
        <f t="shared" si="107"/>
        <v>0.19856603125536676</v>
      </c>
      <c r="K289" s="93">
        <f t="shared" si="107"/>
        <v>0.14775942973815237</v>
      </c>
    </row>
    <row r="290" spans="2:17">
      <c r="B290" s="197" t="s">
        <v>186</v>
      </c>
      <c r="D290" s="78"/>
      <c r="E290" s="78"/>
      <c r="F290" s="78"/>
      <c r="G290" s="78">
        <f t="shared" si="107"/>
        <v>0.24770931358202564</v>
      </c>
      <c r="H290" s="78">
        <f t="shared" si="107"/>
        <v>0.22727436757966157</v>
      </c>
      <c r="I290" s="78">
        <f t="shared" si="107"/>
        <v>0.18745038078155773</v>
      </c>
      <c r="J290" s="78">
        <f t="shared" si="107"/>
        <v>0.13495443740095081</v>
      </c>
      <c r="K290" s="78">
        <f t="shared" si="107"/>
        <v>0.11999825457084268</v>
      </c>
    </row>
    <row r="291" spans="2:17">
      <c r="B291" s="197" t="s">
        <v>187</v>
      </c>
      <c r="D291" s="78"/>
      <c r="E291" s="78"/>
      <c r="F291" s="78"/>
      <c r="G291" s="78">
        <f t="shared" si="107"/>
        <v>1</v>
      </c>
      <c r="H291" s="78">
        <f t="shared" si="107"/>
        <v>0.3600000000000001</v>
      </c>
      <c r="I291" s="78">
        <f t="shared" si="107"/>
        <v>0.82352941176470584</v>
      </c>
      <c r="J291" s="78">
        <f t="shared" si="107"/>
        <v>0.61290322580645151</v>
      </c>
      <c r="K291" s="78">
        <f t="shared" si="107"/>
        <v>0.27499999999999991</v>
      </c>
    </row>
    <row r="292" spans="2:17">
      <c r="B292" s="187" t="s">
        <v>153</v>
      </c>
      <c r="D292" s="78"/>
      <c r="E292" s="78"/>
      <c r="F292" s="78"/>
      <c r="G292" s="93">
        <f t="shared" si="107"/>
        <v>1.9665859564164649</v>
      </c>
      <c r="H292" s="93">
        <f t="shared" si="107"/>
        <v>0.50603983023179899</v>
      </c>
      <c r="I292" s="93">
        <f t="shared" si="107"/>
        <v>2.3195317580749997E-2</v>
      </c>
      <c r="J292" s="93">
        <f t="shared" si="107"/>
        <v>1.5889830508474478E-2</v>
      </c>
      <c r="K292" s="93">
        <f t="shared" si="107"/>
        <v>0.1564129301355579</v>
      </c>
    </row>
    <row r="293" spans="2:17">
      <c r="B293" s="187"/>
      <c r="D293" s="78"/>
      <c r="E293" s="78"/>
      <c r="F293" s="78"/>
      <c r="G293" s="78"/>
      <c r="H293" s="78"/>
      <c r="I293" s="78"/>
      <c r="J293" s="78"/>
      <c r="K293" s="78"/>
    </row>
    <row r="294" spans="2:17">
      <c r="B294" s="229" t="s">
        <v>225</v>
      </c>
      <c r="D294" s="78"/>
      <c r="E294" s="78"/>
      <c r="F294" s="78"/>
      <c r="G294" s="78"/>
    </row>
    <row r="295" spans="2:17">
      <c r="B295" s="98" t="s">
        <v>185</v>
      </c>
      <c r="D295" s="78"/>
      <c r="E295" s="78"/>
      <c r="F295" s="78">
        <f t="shared" ref="F295:K300" si="108">F199/E199-1</f>
        <v>0.3779332015609953</v>
      </c>
      <c r="G295" s="78">
        <f t="shared" si="108"/>
        <v>0.22237751949389439</v>
      </c>
      <c r="H295" s="78">
        <f t="shared" si="108"/>
        <v>0.25124872118914365</v>
      </c>
      <c r="I295" s="78">
        <f t="shared" si="108"/>
        <v>0.24047710657945354</v>
      </c>
      <c r="J295" s="78">
        <f t="shared" si="108"/>
        <v>0.16477977667493793</v>
      </c>
      <c r="K295" s="78">
        <f t="shared" si="108"/>
        <v>0.13314692763464486</v>
      </c>
      <c r="L295" s="78"/>
      <c r="M295" s="78"/>
      <c r="N295" s="78"/>
      <c r="O295" s="78"/>
      <c r="P295" s="78"/>
      <c r="Q295" s="78"/>
    </row>
    <row r="296" spans="2:17">
      <c r="B296" s="197" t="s">
        <v>216</v>
      </c>
      <c r="D296" s="78"/>
      <c r="E296" s="78"/>
      <c r="F296" s="78">
        <f t="shared" si="108"/>
        <v>0.52173913043478271</v>
      </c>
      <c r="G296" s="78">
        <f t="shared" si="108"/>
        <v>0.27142857142857135</v>
      </c>
    </row>
    <row r="297" spans="2:17">
      <c r="B297" s="197" t="s">
        <v>217</v>
      </c>
      <c r="D297" s="78"/>
      <c r="E297" s="78"/>
      <c r="F297" s="78">
        <f t="shared" si="108"/>
        <v>0.36864813039309685</v>
      </c>
      <c r="G297" s="78">
        <f t="shared" si="108"/>
        <v>0.20595446584938704</v>
      </c>
    </row>
    <row r="298" spans="2:17">
      <c r="B298" s="197" t="s">
        <v>218</v>
      </c>
      <c r="D298" s="78"/>
      <c r="E298" s="78"/>
      <c r="F298" s="78">
        <f t="shared" si="108"/>
        <v>0.48697834954502661</v>
      </c>
      <c r="G298" s="78">
        <f t="shared" si="108"/>
        <v>0.25659421818949135</v>
      </c>
    </row>
    <row r="299" spans="2:17">
      <c r="B299" s="197" t="s">
        <v>219</v>
      </c>
      <c r="D299" s="78"/>
      <c r="E299" s="78"/>
      <c r="F299" s="78">
        <f t="shared" si="108"/>
        <v>0.34158757549611729</v>
      </c>
      <c r="G299" s="78">
        <f t="shared" si="108"/>
        <v>0.2142259952408514</v>
      </c>
    </row>
    <row r="300" spans="2:17">
      <c r="B300" s="98" t="s">
        <v>153</v>
      </c>
      <c r="D300" s="78"/>
      <c r="E300" s="78"/>
      <c r="F300" s="78">
        <f t="shared" si="108"/>
        <v>5.6481481481481479</v>
      </c>
      <c r="G300" s="78">
        <f t="shared" si="108"/>
        <v>1.4128133704735375</v>
      </c>
      <c r="H300" s="78">
        <f>H204/G204-1</f>
        <v>0.13022396675132764</v>
      </c>
      <c r="I300" s="78">
        <f>I204/H204-1</f>
        <v>-7.1501532175689442E-2</v>
      </c>
      <c r="J300" s="78">
        <f>J204/I204-1</f>
        <v>0.11001100110011008</v>
      </c>
      <c r="K300" s="78">
        <f t="shared" ref="K300" si="109">K204/J204-1</f>
        <v>0.19821605550049548</v>
      </c>
      <c r="L300" s="78"/>
      <c r="M300" s="78"/>
      <c r="N300" s="78"/>
      <c r="O300" s="78"/>
      <c r="P300" s="78"/>
      <c r="Q300" s="78"/>
    </row>
    <row r="301" spans="2:17">
      <c r="D301" s="78"/>
      <c r="E301" s="78"/>
      <c r="F301" s="78"/>
      <c r="G301" s="78"/>
    </row>
    <row r="302" spans="2:17">
      <c r="B302" s="229" t="s">
        <v>239</v>
      </c>
      <c r="D302" s="78"/>
      <c r="E302" s="78"/>
      <c r="F302" s="78"/>
      <c r="G302" s="78"/>
    </row>
    <row r="303" spans="2:17">
      <c r="B303" s="98" t="s">
        <v>214</v>
      </c>
      <c r="D303" s="78"/>
      <c r="E303" s="78">
        <f t="shared" ref="E303:K303" si="110">E232/D232-1</f>
        <v>0.17500000000000004</v>
      </c>
      <c r="F303" s="78">
        <f t="shared" si="110"/>
        <v>0.14893617021276606</v>
      </c>
      <c r="G303" s="78">
        <f t="shared" si="110"/>
        <v>-9.259259259259256E-2</v>
      </c>
      <c r="H303" s="78">
        <f t="shared" si="110"/>
        <v>-0.5714285714285714</v>
      </c>
      <c r="I303" s="78">
        <f t="shared" si="110"/>
        <v>-0.19047619047619047</v>
      </c>
      <c r="J303" s="78">
        <f t="shared" si="110"/>
        <v>0</v>
      </c>
      <c r="K303" s="78">
        <f t="shared" si="110"/>
        <v>0</v>
      </c>
      <c r="L303" s="78"/>
      <c r="M303" s="78"/>
      <c r="N303" s="78"/>
      <c r="O303" s="78"/>
      <c r="P303" s="78"/>
      <c r="Q303" s="78"/>
    </row>
    <row r="304" spans="2:17">
      <c r="B304" s="98" t="s">
        <v>213</v>
      </c>
      <c r="D304" s="78"/>
      <c r="E304" s="78">
        <f t="shared" ref="E304:K304" si="111">E241/D241-1</f>
        <v>0.5951714765368934</v>
      </c>
      <c r="F304" s="78">
        <f t="shared" si="111"/>
        <v>0.44978450436002815</v>
      </c>
      <c r="G304" s="78">
        <f t="shared" si="111"/>
        <v>0.29683017041722848</v>
      </c>
      <c r="H304" s="78">
        <f t="shared" si="111"/>
        <v>0.23835163663503578</v>
      </c>
      <c r="I304" s="78">
        <f t="shared" si="111"/>
        <v>0.20780059408498008</v>
      </c>
      <c r="J304" s="78">
        <f t="shared" si="111"/>
        <v>0.16039349871685205</v>
      </c>
      <c r="K304" s="78">
        <f t="shared" si="111"/>
        <v>0.13822336896424625</v>
      </c>
      <c r="L304" s="78"/>
      <c r="M304" s="78"/>
      <c r="N304" s="78"/>
      <c r="O304" s="104"/>
      <c r="P304" s="78"/>
      <c r="Q304" s="78"/>
    </row>
    <row r="305" spans="2:17">
      <c r="D305" s="78"/>
      <c r="E305" s="78"/>
      <c r="F305" s="78"/>
      <c r="G305" s="78"/>
      <c r="L305" s="114"/>
      <c r="M305" s="78">
        <f>M306/M307</f>
        <v>0.39184106566768556</v>
      </c>
      <c r="N305" s="78">
        <f>N306/N307</f>
        <v>0.41068274476451028</v>
      </c>
      <c r="O305" s="78">
        <f>O306/O307</f>
        <v>0.39041052310996738</v>
      </c>
      <c r="P305" s="78">
        <f>P306/P307</f>
        <v>0.3912494193750814</v>
      </c>
    </row>
    <row r="306" spans="2:17">
      <c r="B306" s="147" t="s">
        <v>255</v>
      </c>
      <c r="C306" s="148"/>
      <c r="D306" s="148"/>
      <c r="E306" s="148"/>
      <c r="F306" s="148"/>
      <c r="G306" s="148"/>
      <c r="H306" s="148"/>
      <c r="I306" s="148"/>
      <c r="J306" s="148"/>
      <c r="K306" s="148"/>
      <c r="L306" s="114"/>
      <c r="M306" s="248">
        <f>M387/AVERAGE(G180,M180)</f>
        <v>0.24575229936991694</v>
      </c>
      <c r="N306" s="248">
        <f>N387/AVERAGE(M180:N180)</f>
        <v>0.30159655283900239</v>
      </c>
      <c r="O306" s="248">
        <f>O387/AVERAGE(N180:O180)</f>
        <v>0.27827453187661444</v>
      </c>
      <c r="P306" s="248">
        <f>P387/AVERAGE(O180:P180)</f>
        <v>0.30605463817612971</v>
      </c>
    </row>
    <row r="307" spans="2:17">
      <c r="B307" s="164" t="s">
        <v>256</v>
      </c>
      <c r="C307" s="110"/>
      <c r="D307" s="249"/>
      <c r="E307" s="250">
        <v>1.4017999999999999</v>
      </c>
      <c r="F307" s="250">
        <v>1.2516</v>
      </c>
      <c r="G307" s="251">
        <v>1.4379999999999999</v>
      </c>
      <c r="H307" s="252">
        <f>H350/AVERAGE(G180:H180)</f>
        <v>1.3866128789978007</v>
      </c>
      <c r="I307" s="252">
        <f>I350/AVERAGE(H180:I180)</f>
        <v>1.523205691978136</v>
      </c>
      <c r="J307" s="252">
        <f>J350/AVERAGE(I180:J180)</f>
        <v>1.4662946434399484</v>
      </c>
      <c r="K307" s="252">
        <f>K350/AVERAGE(J180:K180)</f>
        <v>1.4875624053751761</v>
      </c>
      <c r="L307" s="253"/>
      <c r="M307" s="252">
        <f>M350/AVERAGE(G180,M180)</f>
        <v>0.62717341519874215</v>
      </c>
      <c r="N307" s="252">
        <f>N350/AVERAGE(M180:N180)</f>
        <v>0.73437843854857099</v>
      </c>
      <c r="O307" s="252">
        <f>O350/AVERAGE(H180,O180)</f>
        <v>0.71277415798096333</v>
      </c>
      <c r="P307" s="252">
        <f>P350/AVERAGE(O180:P180)</f>
        <v>0.78224943736650632</v>
      </c>
      <c r="Q307" s="253"/>
    </row>
    <row r="308" spans="2:17">
      <c r="B308" s="201" t="s">
        <v>257</v>
      </c>
      <c r="C308" s="110"/>
      <c r="D308" s="249"/>
      <c r="E308" s="99">
        <v>221746.4</v>
      </c>
      <c r="F308" s="99">
        <v>191807.7</v>
      </c>
      <c r="G308" s="99">
        <v>221804.5</v>
      </c>
      <c r="H308" s="252"/>
      <c r="I308" s="252"/>
      <c r="J308" s="252"/>
      <c r="K308" s="252"/>
      <c r="L308" s="253"/>
      <c r="M308" s="253"/>
      <c r="N308" s="253"/>
      <c r="O308" s="253"/>
      <c r="P308" s="253"/>
      <c r="Q308" s="253"/>
    </row>
    <row r="309" spans="2:17">
      <c r="B309" s="201" t="s">
        <v>258</v>
      </c>
      <c r="C309" s="110"/>
      <c r="D309" s="249"/>
      <c r="E309" s="167">
        <f>E308/E312</f>
        <v>655.62143632472544</v>
      </c>
      <c r="F309" s="167">
        <f t="shared" ref="F309:G309" si="112">F308/F312</f>
        <v>603.20732500000008</v>
      </c>
      <c r="G309" s="167">
        <f t="shared" si="112"/>
        <v>636.69305639777474</v>
      </c>
      <c r="H309" s="252"/>
      <c r="I309" s="252"/>
      <c r="J309" s="252"/>
      <c r="K309" s="252"/>
      <c r="L309" s="253"/>
      <c r="M309" s="253"/>
      <c r="N309" s="253"/>
      <c r="O309" s="253"/>
      <c r="P309" s="253"/>
      <c r="Q309" s="253"/>
    </row>
    <row r="310" spans="2:17">
      <c r="B310" s="201" t="s">
        <v>259</v>
      </c>
      <c r="C310" s="110"/>
      <c r="D310" s="249"/>
      <c r="E310" s="99">
        <v>370.8</v>
      </c>
      <c r="F310" s="99">
        <v>330.9</v>
      </c>
      <c r="G310" s="99">
        <v>350.3</v>
      </c>
      <c r="H310" s="252"/>
      <c r="I310" s="252"/>
      <c r="J310" s="252"/>
      <c r="K310" s="252"/>
    </row>
    <row r="311" spans="2:17">
      <c r="B311" s="98" t="s">
        <v>260</v>
      </c>
      <c r="C311" s="110"/>
      <c r="D311" s="249"/>
      <c r="E311" s="99">
        <v>5504.8</v>
      </c>
      <c r="F311" s="99">
        <v>7788.1</v>
      </c>
      <c r="G311" s="99">
        <v>11591.5</v>
      </c>
      <c r="H311" s="252"/>
      <c r="I311" s="252"/>
      <c r="J311" s="252"/>
      <c r="K311" s="252"/>
      <c r="L311" s="253"/>
      <c r="M311" s="253"/>
      <c r="N311" s="253"/>
      <c r="O311" s="253"/>
      <c r="P311" s="253"/>
      <c r="Q311" s="253"/>
    </row>
    <row r="312" spans="2:17">
      <c r="B312" s="98" t="s">
        <v>261</v>
      </c>
      <c r="C312" s="110"/>
      <c r="D312" s="249"/>
      <c r="E312" s="167">
        <f>E307*10^6/E313</f>
        <v>338.22323022728364</v>
      </c>
      <c r="F312" s="167">
        <f t="shared" ref="F312:G312" si="113">F307*10^6/F313</f>
        <v>317.97972612484438</v>
      </c>
      <c r="G312" s="167">
        <f t="shared" si="113"/>
        <v>348.36959154997817</v>
      </c>
      <c r="H312" s="252"/>
      <c r="I312" s="252"/>
      <c r="J312" s="252"/>
      <c r="K312" s="252"/>
      <c r="L312" s="253"/>
      <c r="M312" s="253"/>
      <c r="N312" s="253"/>
      <c r="O312" s="253"/>
      <c r="P312" s="253"/>
      <c r="Q312" s="253"/>
    </row>
    <row r="313" spans="2:17">
      <c r="B313" s="98" t="s">
        <v>262</v>
      </c>
      <c r="C313" s="110"/>
      <c r="D313" s="249"/>
      <c r="E313" s="99">
        <v>4144.6000000000004</v>
      </c>
      <c r="F313" s="99">
        <v>3936.1</v>
      </c>
      <c r="G313" s="99">
        <v>4127.8</v>
      </c>
      <c r="H313" s="252"/>
      <c r="I313" s="252"/>
      <c r="J313" s="252"/>
      <c r="K313" s="252"/>
      <c r="L313" s="254"/>
      <c r="M313" s="254"/>
      <c r="N313" s="254"/>
      <c r="O313" s="254"/>
      <c r="P313" s="254"/>
      <c r="Q313" s="254"/>
    </row>
    <row r="314" spans="2:17">
      <c r="B314" s="197" t="s">
        <v>263</v>
      </c>
      <c r="C314" s="110"/>
      <c r="D314" s="249"/>
      <c r="E314" s="99">
        <v>4144.6000000000004</v>
      </c>
      <c r="F314" s="99">
        <v>4010.8</v>
      </c>
      <c r="G314" s="99">
        <v>4492.8</v>
      </c>
      <c r="H314" s="252"/>
      <c r="I314" s="252"/>
      <c r="J314" s="252"/>
      <c r="K314" s="252"/>
      <c r="L314" s="253"/>
      <c r="M314" s="253"/>
      <c r="N314" s="253"/>
      <c r="O314" s="253"/>
      <c r="P314" s="253"/>
      <c r="Q314" s="253"/>
    </row>
    <row r="315" spans="2:17">
      <c r="B315" s="197" t="s">
        <v>264</v>
      </c>
      <c r="C315" s="110"/>
      <c r="D315" s="249"/>
      <c r="E315" s="99"/>
      <c r="F315" s="99">
        <v>3592</v>
      </c>
      <c r="G315" s="99">
        <v>3856.5</v>
      </c>
      <c r="H315" s="252"/>
      <c r="I315" s="252"/>
      <c r="J315" s="252"/>
      <c r="K315" s="252"/>
      <c r="L315" s="78"/>
      <c r="M315" s="78"/>
      <c r="N315" s="78"/>
      <c r="O315" s="78"/>
      <c r="P315" s="78"/>
      <c r="Q315" s="78"/>
    </row>
    <row r="316" spans="2:17">
      <c r="B316" s="197" t="s">
        <v>265</v>
      </c>
      <c r="C316" s="110"/>
      <c r="D316" s="249"/>
      <c r="E316" s="99"/>
      <c r="F316" s="99"/>
      <c r="G316" s="99">
        <v>3302.1</v>
      </c>
      <c r="H316" s="252"/>
      <c r="I316" s="252"/>
      <c r="J316" s="252"/>
      <c r="K316" s="252"/>
      <c r="L316" s="253"/>
      <c r="M316" s="253"/>
      <c r="N316" s="253"/>
      <c r="O316" s="253"/>
      <c r="P316" s="253"/>
      <c r="Q316" s="253"/>
    </row>
    <row r="317" spans="2:17">
      <c r="B317" s="197"/>
      <c r="C317" s="110"/>
      <c r="D317" s="249"/>
      <c r="E317" s="99"/>
      <c r="F317" s="99"/>
      <c r="G317" s="99"/>
      <c r="H317" s="252"/>
      <c r="I317" s="252"/>
      <c r="J317" s="252"/>
      <c r="K317" s="252"/>
      <c r="L317" s="253"/>
      <c r="M317" s="253"/>
      <c r="N317" s="253"/>
      <c r="O317" s="253"/>
      <c r="P317" s="253"/>
      <c r="Q317" s="253"/>
    </row>
    <row r="318" spans="2:17">
      <c r="B318" s="98" t="s">
        <v>266</v>
      </c>
      <c r="C318" s="110"/>
      <c r="D318" s="249"/>
      <c r="E318" s="255">
        <v>11.2</v>
      </c>
      <c r="F318" s="255">
        <v>11.9</v>
      </c>
      <c r="G318" s="255">
        <v>11.8</v>
      </c>
      <c r="H318" s="252"/>
      <c r="I318" s="252"/>
      <c r="J318" s="252"/>
      <c r="K318" s="252"/>
      <c r="L318" s="253"/>
      <c r="M318" s="253"/>
      <c r="N318" s="253"/>
      <c r="O318" s="253"/>
      <c r="P318" s="253"/>
      <c r="Q318" s="253"/>
    </row>
    <row r="319" spans="2:17">
      <c r="B319" s="201"/>
      <c r="C319" s="110"/>
      <c r="D319" s="249"/>
      <c r="E319" s="250"/>
      <c r="F319" s="250"/>
      <c r="G319" s="250"/>
      <c r="H319" s="252"/>
      <c r="I319" s="252"/>
      <c r="J319" s="252"/>
      <c r="K319" s="252"/>
      <c r="L319" s="253"/>
      <c r="M319" s="253"/>
      <c r="N319" s="253"/>
      <c r="O319" s="253"/>
      <c r="P319" s="253"/>
      <c r="Q319" s="253"/>
    </row>
    <row r="320" spans="2:17">
      <c r="B320" s="229" t="s">
        <v>225</v>
      </c>
      <c r="C320" s="110"/>
      <c r="D320" s="249"/>
      <c r="E320" s="249"/>
      <c r="F320" s="252"/>
      <c r="G320" s="252"/>
      <c r="H320" s="252"/>
      <c r="I320" s="252"/>
      <c r="J320" s="252"/>
      <c r="K320" s="252"/>
      <c r="L320" s="253"/>
      <c r="M320" s="253"/>
      <c r="N320" s="253"/>
      <c r="O320" s="253"/>
      <c r="P320" s="253"/>
      <c r="Q320" s="253"/>
    </row>
    <row r="321" spans="1:17">
      <c r="B321" s="98" t="s">
        <v>267</v>
      </c>
      <c r="C321" s="110"/>
      <c r="D321" s="249"/>
      <c r="E321" s="249"/>
      <c r="F321" s="253">
        <f>F330</f>
        <v>1.2745369679660692</v>
      </c>
      <c r="G321" s="253">
        <f>G330</f>
        <v>1.478600509748105</v>
      </c>
      <c r="H321" s="253">
        <f>H330</f>
        <v>1.4744368514749147</v>
      </c>
      <c r="I321" s="253">
        <f t="shared" ref="I321:K321" si="114">I330</f>
        <v>1.6071580174498381</v>
      </c>
      <c r="J321" s="253">
        <f t="shared" si="114"/>
        <v>1.52838823522056</v>
      </c>
      <c r="K321" s="253">
        <f t="shared" si="114"/>
        <v>1.5474625177332173</v>
      </c>
      <c r="L321" s="253"/>
      <c r="M321" s="253">
        <f>M330</f>
        <v>0.66537823430345033</v>
      </c>
      <c r="N321" s="253">
        <f>N330</f>
        <v>0.77944295115341189</v>
      </c>
      <c r="O321" s="253">
        <f>O330</f>
        <v>0.75382685695209473</v>
      </c>
      <c r="P321" s="253">
        <f>P330</f>
        <v>0.82103887918456442</v>
      </c>
      <c r="Q321" s="253"/>
    </row>
    <row r="322" spans="1:17">
      <c r="B322" s="197" t="s">
        <v>268</v>
      </c>
      <c r="D322" s="253"/>
      <c r="E322" s="253"/>
      <c r="F322" s="253">
        <f t="shared" ref="F322:G325" si="115">F149/AVERAGE(E200:F200)</f>
        <v>1.8255578093306288</v>
      </c>
      <c r="G322" s="253">
        <f t="shared" si="115"/>
        <v>2.2197558268590454</v>
      </c>
      <c r="H322" s="253"/>
      <c r="I322" s="253"/>
      <c r="J322" s="253"/>
      <c r="K322" s="253"/>
      <c r="L322" s="253"/>
      <c r="M322" s="253"/>
      <c r="N322" s="253"/>
      <c r="O322" s="253"/>
      <c r="P322" s="253"/>
      <c r="Q322" s="253"/>
    </row>
    <row r="323" spans="1:17">
      <c r="B323" s="197" t="s">
        <v>269</v>
      </c>
      <c r="D323" s="253"/>
      <c r="E323" s="253"/>
      <c r="F323" s="253">
        <f t="shared" si="115"/>
        <v>1.2548067192875936</v>
      </c>
      <c r="G323" s="253">
        <f t="shared" si="115"/>
        <v>1.444903143855192</v>
      </c>
      <c r="H323" s="253"/>
      <c r="I323" s="253"/>
      <c r="J323" s="253"/>
      <c r="K323" s="253"/>
      <c r="L323" s="253"/>
      <c r="M323" s="253"/>
      <c r="N323" s="253"/>
      <c r="O323" s="253"/>
      <c r="P323" s="253"/>
      <c r="Q323" s="253"/>
    </row>
    <row r="324" spans="1:17">
      <c r="B324" s="197" t="s">
        <v>270</v>
      </c>
      <c r="D324" s="253"/>
      <c r="E324" s="253"/>
      <c r="F324" s="253">
        <f t="shared" si="115"/>
        <v>1.337370678778703</v>
      </c>
      <c r="G324" s="253">
        <f t="shared" si="115"/>
        <v>1.5709743781559753</v>
      </c>
      <c r="H324" s="253"/>
      <c r="I324" s="253"/>
      <c r="J324" s="253"/>
      <c r="K324" s="253"/>
      <c r="L324" s="253"/>
      <c r="M324" s="253"/>
      <c r="N324" s="253"/>
      <c r="O324" s="253"/>
      <c r="P324" s="253"/>
      <c r="Q324" s="253"/>
    </row>
    <row r="325" spans="1:17">
      <c r="B325" s="197" t="s">
        <v>271</v>
      </c>
      <c r="D325" s="253"/>
      <c r="E325" s="253"/>
      <c r="F325" s="253">
        <f t="shared" si="115"/>
        <v>1.2233317366152032</v>
      </c>
      <c r="G325" s="253">
        <f t="shared" si="115"/>
        <v>1.4040489122542044</v>
      </c>
      <c r="H325" s="253"/>
      <c r="I325" s="253"/>
      <c r="J325" s="253"/>
      <c r="K325" s="253"/>
      <c r="L325" s="253"/>
      <c r="M325" s="253"/>
      <c r="N325" s="253"/>
      <c r="O325" s="253"/>
      <c r="P325" s="253"/>
      <c r="Q325" s="253"/>
    </row>
    <row r="326" spans="1:17">
      <c r="B326" s="98" t="s">
        <v>272</v>
      </c>
      <c r="C326" s="110"/>
      <c r="D326" s="249"/>
      <c r="E326" s="249"/>
      <c r="F326" s="252">
        <f>F333</f>
        <v>0.73044765133171941</v>
      </c>
      <c r="G326" s="252">
        <f>G333</f>
        <v>1.0375488083578175</v>
      </c>
      <c r="H326" s="252">
        <f>H333</f>
        <v>0.67440672543258129</v>
      </c>
      <c r="I326" s="252">
        <f>I333</f>
        <v>0.69463892719555875</v>
      </c>
      <c r="J326" s="252">
        <f>J333</f>
        <v>0.74326365209924794</v>
      </c>
      <c r="K326" s="252">
        <f t="shared" ref="K326" si="116">K333</f>
        <v>0.7952921077461953</v>
      </c>
      <c r="L326" s="253"/>
      <c r="M326" s="252">
        <f>M333</f>
        <v>0.32</v>
      </c>
      <c r="N326" s="252">
        <f>N333</f>
        <v>0.35395331040431527</v>
      </c>
      <c r="O326" s="252">
        <f>O333</f>
        <v>0.3296</v>
      </c>
      <c r="P326" s="252">
        <f>P333</f>
        <v>0.36473406690300436</v>
      </c>
      <c r="Q326" s="253"/>
    </row>
    <row r="327" spans="1:17">
      <c r="B327" s="98" t="s">
        <v>273</v>
      </c>
      <c r="D327" s="257"/>
      <c r="E327" s="257"/>
      <c r="F327" s="257">
        <f>F326/F330</f>
        <v>0.57310825004737365</v>
      </c>
      <c r="G327" s="257">
        <f>G326/G321</f>
        <v>0.70171003020591061</v>
      </c>
      <c r="H327" s="257">
        <f t="shared" ref="H327:K327" si="117">H326/H321</f>
        <v>0.4573995317316954</v>
      </c>
      <c r="I327" s="257">
        <f t="shared" si="117"/>
        <v>0.43221569979645108</v>
      </c>
      <c r="J327" s="257">
        <f t="shared" si="117"/>
        <v>0.48630553086663114</v>
      </c>
      <c r="K327" s="257">
        <f t="shared" si="117"/>
        <v>0.51393303465028017</v>
      </c>
      <c r="L327" s="257"/>
      <c r="M327" s="257">
        <f t="shared" ref="M327:P327" si="118">M326/M321</f>
        <v>0.48092946763578953</v>
      </c>
      <c r="N327" s="257">
        <f t="shared" si="118"/>
        <v>0.45411060537597869</v>
      </c>
      <c r="O327" s="257">
        <f t="shared" si="118"/>
        <v>0.43723568212023239</v>
      </c>
      <c r="P327" s="257">
        <f t="shared" si="118"/>
        <v>0.44423482998180214</v>
      </c>
      <c r="Q327" s="257"/>
    </row>
    <row r="328" spans="1:17">
      <c r="B328" s="98"/>
      <c r="C328" s="110"/>
      <c r="D328" s="110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</row>
    <row r="329" spans="1:17">
      <c r="B329" s="229" t="s">
        <v>211</v>
      </c>
      <c r="C329" s="110"/>
      <c r="D329" s="110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</row>
    <row r="330" spans="1:17">
      <c r="B330" s="187" t="s">
        <v>185</v>
      </c>
      <c r="C330" s="110"/>
      <c r="D330" s="110"/>
      <c r="E330" s="92"/>
      <c r="F330" s="252">
        <f>F136/AVERAGE(E187:F187)</f>
        <v>1.2745369679660692</v>
      </c>
      <c r="G330" s="252">
        <f t="shared" ref="G330:K330" si="119">G136/AVERAGE(F187:G187)</f>
        <v>1.478600509748105</v>
      </c>
      <c r="H330" s="252">
        <f>H136/AVERAGE(G187:H187)</f>
        <v>1.4744368514749147</v>
      </c>
      <c r="I330" s="252">
        <f t="shared" si="119"/>
        <v>1.6071580174498381</v>
      </c>
      <c r="J330" s="252">
        <f t="shared" si="119"/>
        <v>1.52838823522056</v>
      </c>
      <c r="K330" s="252">
        <f t="shared" si="119"/>
        <v>1.5474625177332173</v>
      </c>
      <c r="L330" s="92"/>
      <c r="M330" s="252">
        <f>M136/AVERAGE(M187,G187)</f>
        <v>0.66537823430345033</v>
      </c>
      <c r="N330" s="252">
        <f>N136/AVERAGE(M187:N187)</f>
        <v>0.77944295115341189</v>
      </c>
      <c r="O330" s="252">
        <f>O136/AVERAGE(N187:O187)</f>
        <v>0.75382685695209473</v>
      </c>
      <c r="P330" s="252">
        <f>P136/AVERAGE(O187:P187)</f>
        <v>0.82103887918456442</v>
      </c>
      <c r="Q330" s="92"/>
    </row>
    <row r="331" spans="1:17">
      <c r="B331" s="197" t="s">
        <v>186</v>
      </c>
      <c r="C331" s="110"/>
      <c r="D331" s="110"/>
      <c r="E331" s="258"/>
      <c r="F331" s="105">
        <f>F137/AVERAGE(E188:F188)</f>
        <v>1.3125014070555392</v>
      </c>
      <c r="G331" s="105">
        <f>G137/AVERAGE(F188:G188)</f>
        <v>1.5423478041211072</v>
      </c>
      <c r="H331" s="105">
        <f>G331*(1+H346)</f>
        <v>1.5438901519252282</v>
      </c>
      <c r="I331" s="105">
        <f>H331*(1+I346)</f>
        <v>1.6982791671177511</v>
      </c>
      <c r="J331" s="105">
        <f>I331*(1+J346)</f>
        <v>1.6473307921042184</v>
      </c>
      <c r="K331" s="105">
        <f>J331*(1+K346)</f>
        <v>1.6802774079463028</v>
      </c>
      <c r="L331" s="93"/>
      <c r="M331" s="259">
        <v>0.69</v>
      </c>
      <c r="N331" s="105">
        <f>N137/AVERAGE(M188:N188)</f>
        <v>0.8159964205596697</v>
      </c>
      <c r="O331" s="259">
        <f>M331*(1+O346)</f>
        <v>0.77969999999999984</v>
      </c>
      <c r="P331" s="105">
        <f>P137/AVERAGE(O188:P188)</f>
        <v>0.87257595126239151</v>
      </c>
      <c r="Q331" s="92"/>
    </row>
    <row r="332" spans="1:17">
      <c r="B332" s="197" t="s">
        <v>187</v>
      </c>
      <c r="C332" s="110"/>
      <c r="D332" s="110"/>
      <c r="E332" s="258"/>
      <c r="F332" s="260">
        <v>0.6</v>
      </c>
      <c r="G332" s="105">
        <f>G138/AVERAGE(F189:G189)</f>
        <v>0.77200000000000002</v>
      </c>
      <c r="H332" s="105">
        <f>G332*(1+H347)</f>
        <v>0.77972000000000008</v>
      </c>
      <c r="I332" s="105">
        <f>H332*(1+I347)</f>
        <v>1.0136360000000002</v>
      </c>
      <c r="J332" s="105">
        <f t="shared" ref="J332:K333" si="120">I332*(1+J347)</f>
        <v>0.98322692000000012</v>
      </c>
      <c r="K332" s="105">
        <f t="shared" si="120"/>
        <v>1.0127237276000001</v>
      </c>
      <c r="L332" s="93"/>
      <c r="M332" s="259">
        <v>0.4</v>
      </c>
      <c r="N332" s="105">
        <f>N138/AVERAGE(M189:N189)</f>
        <v>0.4031121126760564</v>
      </c>
      <c r="O332" s="259">
        <f>M332*(1+O347)</f>
        <v>0.54</v>
      </c>
      <c r="P332" s="105">
        <f>P138/AVERAGE(O189:P189)</f>
        <v>0.51266338461538474</v>
      </c>
      <c r="Q332" s="92"/>
    </row>
    <row r="333" spans="1:17">
      <c r="B333" s="187" t="s">
        <v>153</v>
      </c>
      <c r="C333" s="110"/>
      <c r="D333" s="110"/>
      <c r="E333" s="92"/>
      <c r="F333" s="232">
        <f>F139/AVERAGE(E190:F190)</f>
        <v>0.73044765133171941</v>
      </c>
      <c r="G333" s="232">
        <f>G139/AVERAGE(F190:G190)</f>
        <v>1.0375488083578175</v>
      </c>
      <c r="H333" s="232">
        <f>G333*(1+H348)</f>
        <v>0.67440672543258129</v>
      </c>
      <c r="I333" s="232">
        <f>H333*(1+I348)</f>
        <v>0.69463892719555875</v>
      </c>
      <c r="J333" s="232">
        <f t="shared" si="120"/>
        <v>0.74326365209924794</v>
      </c>
      <c r="K333" s="232">
        <f t="shared" si="120"/>
        <v>0.7952921077461953</v>
      </c>
      <c r="L333" s="92"/>
      <c r="M333" s="259">
        <v>0.32</v>
      </c>
      <c r="N333" s="105">
        <f>N139/AVERAGE(M190:N190)</f>
        <v>0.35395331040431527</v>
      </c>
      <c r="O333" s="259">
        <f>M333*(1+O348)</f>
        <v>0.3296</v>
      </c>
      <c r="P333" s="105">
        <f>P139/AVERAGE(O190:P190)</f>
        <v>0.36473406690300436</v>
      </c>
      <c r="Q333" s="92"/>
    </row>
    <row r="334" spans="1:17">
      <c r="B334" s="98"/>
      <c r="C334" s="110"/>
      <c r="D334" s="110"/>
      <c r="E334" s="92"/>
      <c r="F334" s="92"/>
      <c r="G334" s="93"/>
      <c r="H334" s="92"/>
      <c r="I334" s="92"/>
      <c r="J334" s="92"/>
      <c r="K334" s="92"/>
      <c r="L334" s="92"/>
      <c r="M334" s="92"/>
      <c r="N334" s="92"/>
      <c r="O334" s="92"/>
      <c r="P334" s="92"/>
      <c r="Q334" s="92"/>
    </row>
    <row r="335" spans="1:17" s="261" customFormat="1">
      <c r="A335" s="273"/>
      <c r="B335" s="261" t="s">
        <v>41</v>
      </c>
      <c r="L335" s="262"/>
      <c r="M335" s="262"/>
      <c r="N335" s="262"/>
      <c r="O335" s="262"/>
      <c r="P335" s="262"/>
      <c r="Q335" s="262"/>
    </row>
    <row r="336" spans="1:17">
      <c r="B336" s="164" t="s">
        <v>256</v>
      </c>
      <c r="C336" s="110"/>
      <c r="D336" s="110"/>
      <c r="E336" s="92"/>
      <c r="F336" s="78"/>
      <c r="G336" s="78">
        <f t="shared" ref="G336:K336" si="121">G307/F307-1</f>
        <v>0.14892937040588028</v>
      </c>
      <c r="H336" s="78">
        <f t="shared" si="121"/>
        <v>-3.5735132824895155E-2</v>
      </c>
      <c r="I336" s="78">
        <f t="shared" si="121"/>
        <v>9.8508253492539444E-2</v>
      </c>
      <c r="J336" s="78">
        <f t="shared" si="121"/>
        <v>-3.7362681112541818E-2</v>
      </c>
      <c r="K336" s="78">
        <f t="shared" si="121"/>
        <v>1.4504425853546943E-2</v>
      </c>
      <c r="L336" s="92"/>
      <c r="M336" s="92"/>
      <c r="N336" s="92"/>
      <c r="O336" s="92"/>
      <c r="P336" s="92"/>
      <c r="Q336" s="92"/>
    </row>
    <row r="337" spans="2:17">
      <c r="B337" s="98" t="s">
        <v>267</v>
      </c>
      <c r="C337" s="110"/>
      <c r="D337" s="110"/>
      <c r="E337" s="92"/>
      <c r="F337" s="92"/>
      <c r="G337" s="78">
        <f>G321/F330-1</f>
        <v>0.16010798188748065</v>
      </c>
      <c r="H337" s="78">
        <f t="shared" ref="H337:K337" si="122">H321/G330-1</f>
        <v>-2.8159453792556688E-3</v>
      </c>
      <c r="I337" s="78">
        <f t="shared" si="122"/>
        <v>9.001481877108497E-2</v>
      </c>
      <c r="J337" s="78">
        <f t="shared" si="122"/>
        <v>-4.9011846609996801E-2</v>
      </c>
      <c r="K337" s="78">
        <f t="shared" si="122"/>
        <v>1.2479998257710179E-2</v>
      </c>
      <c r="L337" s="92"/>
      <c r="M337" s="92"/>
      <c r="N337" s="92"/>
      <c r="O337" s="92"/>
      <c r="P337" s="92"/>
      <c r="Q337" s="92"/>
    </row>
    <row r="338" spans="2:17">
      <c r="B338" s="197" t="s">
        <v>268</v>
      </c>
      <c r="C338" s="110"/>
      <c r="D338" s="110"/>
      <c r="E338" s="92"/>
      <c r="F338" s="92"/>
      <c r="G338" s="78">
        <f t="shared" ref="G338:K342" si="123">G322/F322-1</f>
        <v>0.21593291404612147</v>
      </c>
      <c r="H338" s="92"/>
      <c r="I338" s="92"/>
      <c r="J338" s="92"/>
      <c r="K338" s="92"/>
      <c r="L338" s="92"/>
      <c r="M338" s="92"/>
      <c r="N338" s="92"/>
      <c r="O338" s="92"/>
      <c r="P338" s="92"/>
      <c r="Q338" s="92"/>
    </row>
    <row r="339" spans="2:17">
      <c r="B339" s="197" t="s">
        <v>269</v>
      </c>
      <c r="C339" s="110"/>
      <c r="D339" s="110"/>
      <c r="E339" s="92"/>
      <c r="F339" s="92"/>
      <c r="G339" s="78">
        <f t="shared" si="123"/>
        <v>0.15149458609491995</v>
      </c>
      <c r="H339" s="92"/>
      <c r="I339" s="92"/>
      <c r="J339" s="92"/>
      <c r="K339" s="92"/>
      <c r="L339" s="92"/>
      <c r="M339" s="92"/>
      <c r="N339" s="92"/>
      <c r="O339" s="92"/>
      <c r="P339" s="92"/>
      <c r="Q339" s="92"/>
    </row>
    <row r="340" spans="2:17">
      <c r="B340" s="197" t="s">
        <v>270</v>
      </c>
      <c r="C340" s="110"/>
      <c r="D340" s="110"/>
      <c r="E340" s="92"/>
      <c r="F340" s="92"/>
      <c r="G340" s="78">
        <f t="shared" si="123"/>
        <v>0.17467386049662825</v>
      </c>
      <c r="H340" s="92"/>
      <c r="I340" s="92"/>
      <c r="J340" s="92"/>
      <c r="K340" s="92"/>
      <c r="L340" s="92"/>
      <c r="M340" s="92"/>
      <c r="N340" s="92"/>
      <c r="O340" s="92"/>
      <c r="P340" s="92"/>
      <c r="Q340" s="92"/>
    </row>
    <row r="341" spans="2:17">
      <c r="B341" s="197" t="s">
        <v>271</v>
      </c>
      <c r="C341" s="110"/>
      <c r="D341" s="110"/>
      <c r="E341" s="92"/>
      <c r="F341" s="92"/>
      <c r="G341" s="78">
        <f t="shared" si="123"/>
        <v>0.14772540450803762</v>
      </c>
      <c r="H341" s="92"/>
      <c r="I341" s="92"/>
      <c r="J341" s="92"/>
      <c r="K341" s="92"/>
      <c r="L341" s="92"/>
      <c r="M341" s="92"/>
      <c r="N341" s="92"/>
      <c r="O341" s="92"/>
      <c r="P341" s="92"/>
      <c r="Q341" s="92"/>
    </row>
    <row r="342" spans="2:17">
      <c r="B342" s="98" t="s">
        <v>272</v>
      </c>
      <c r="C342" s="110"/>
      <c r="D342" s="110"/>
      <c r="E342" s="92"/>
      <c r="F342" s="92"/>
      <c r="G342" s="78">
        <f t="shared" si="123"/>
        <v>0.4204287007648051</v>
      </c>
      <c r="H342" s="78">
        <f t="shared" si="123"/>
        <v>-0.35000000000000009</v>
      </c>
      <c r="I342" s="78">
        <f t="shared" si="123"/>
        <v>3.0000000000000027E-2</v>
      </c>
      <c r="J342" s="78">
        <f t="shared" si="123"/>
        <v>7.0000000000000062E-2</v>
      </c>
      <c r="K342" s="78">
        <f t="shared" si="123"/>
        <v>7.0000000000000062E-2</v>
      </c>
      <c r="L342" s="92"/>
      <c r="M342" s="92"/>
      <c r="N342" s="92"/>
      <c r="O342" s="92"/>
      <c r="P342" s="92"/>
      <c r="Q342" s="92"/>
    </row>
    <row r="343" spans="2:17">
      <c r="B343" s="98"/>
      <c r="C343" s="110"/>
      <c r="D343" s="110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</row>
    <row r="344" spans="2:17">
      <c r="B344" s="229" t="s">
        <v>211</v>
      </c>
      <c r="C344" s="110"/>
      <c r="D344" s="110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</row>
    <row r="345" spans="2:17">
      <c r="B345" s="187" t="s">
        <v>185</v>
      </c>
      <c r="C345" s="110"/>
      <c r="D345" s="110"/>
      <c r="E345" s="92"/>
      <c r="F345" s="92"/>
      <c r="G345" s="194">
        <f>G330/F330-1</f>
        <v>0.16010798188748065</v>
      </c>
      <c r="H345" s="194">
        <f>H330/G330-1</f>
        <v>-2.8159453792556688E-3</v>
      </c>
      <c r="I345" s="194">
        <f t="shared" ref="I345:K345" si="124">I330/H330-1</f>
        <v>9.001481877108497E-2</v>
      </c>
      <c r="J345" s="194">
        <f t="shared" si="124"/>
        <v>-4.9011846609996801E-2</v>
      </c>
      <c r="K345" s="194">
        <f t="shared" si="124"/>
        <v>1.2479998257710179E-2</v>
      </c>
      <c r="L345" s="92"/>
      <c r="M345" s="92"/>
      <c r="N345" s="92"/>
      <c r="O345" s="104">
        <f>O330/M330-1</f>
        <v>0.13292984063603552</v>
      </c>
      <c r="P345" s="104">
        <f>P330/N330-1</f>
        <v>5.3366225160673242E-2</v>
      </c>
      <c r="Q345" s="92"/>
    </row>
    <row r="346" spans="2:17">
      <c r="B346" s="197" t="s">
        <v>186</v>
      </c>
      <c r="C346" s="110"/>
      <c r="D346" s="110"/>
      <c r="E346" s="92"/>
      <c r="F346" s="78"/>
      <c r="G346" s="78"/>
      <c r="H346" s="257">
        <f>H356+H374</f>
        <v>1E-3</v>
      </c>
      <c r="I346" s="257">
        <f t="shared" ref="I346:K346" si="125">I356+I374</f>
        <v>9.9999999999999992E-2</v>
      </c>
      <c r="J346" s="257">
        <f t="shared" si="125"/>
        <v>-0.03</v>
      </c>
      <c r="K346" s="257">
        <f t="shared" si="125"/>
        <v>0.02</v>
      </c>
      <c r="L346" s="92"/>
      <c r="M346" s="92"/>
      <c r="N346" s="92"/>
      <c r="O346" s="120">
        <v>0.13</v>
      </c>
      <c r="P346" s="104">
        <f>P331/N331-1</f>
        <v>6.9337964330671298E-2</v>
      </c>
      <c r="Q346" s="92"/>
    </row>
    <row r="347" spans="2:17">
      <c r="B347" s="197" t="s">
        <v>187</v>
      </c>
      <c r="C347" s="110"/>
      <c r="D347" s="110"/>
      <c r="E347" s="92"/>
      <c r="F347" s="78"/>
      <c r="G347" s="78"/>
      <c r="H347" s="257">
        <f>H358+H376</f>
        <v>0.01</v>
      </c>
      <c r="I347" s="257">
        <f>I358+I376</f>
        <v>0.3</v>
      </c>
      <c r="J347" s="257">
        <f t="shared" ref="J347:K347" si="126">J358+J376</f>
        <v>-0.03</v>
      </c>
      <c r="K347" s="257">
        <f t="shared" si="126"/>
        <v>0.03</v>
      </c>
      <c r="L347" s="92"/>
      <c r="M347" s="92"/>
      <c r="N347" s="92"/>
      <c r="O347" s="120">
        <v>0.35</v>
      </c>
      <c r="P347" s="104">
        <f>P332/N332-1</f>
        <v>0.27176378107835353</v>
      </c>
      <c r="Q347" s="92"/>
    </row>
    <row r="348" spans="2:17">
      <c r="B348" s="187" t="s">
        <v>153</v>
      </c>
      <c r="C348" s="110"/>
      <c r="D348" s="110"/>
      <c r="E348" s="92"/>
      <c r="F348" s="78"/>
      <c r="G348" s="78">
        <f t="shared" ref="G348" si="127">G333/F333-1</f>
        <v>0.4204287007648051</v>
      </c>
      <c r="H348" s="257">
        <f>H360+H378</f>
        <v>-0.35000000000000003</v>
      </c>
      <c r="I348" s="257">
        <f t="shared" ref="I348:K348" si="128">I360+I378</f>
        <v>0.03</v>
      </c>
      <c r="J348" s="257">
        <f t="shared" si="128"/>
        <v>7.0000000000000007E-2</v>
      </c>
      <c r="K348" s="257">
        <f t="shared" si="128"/>
        <v>7.0000000000000007E-2</v>
      </c>
      <c r="L348" s="92"/>
      <c r="M348" s="92"/>
      <c r="N348" s="92"/>
      <c r="O348" s="120">
        <v>0.03</v>
      </c>
      <c r="P348" s="104">
        <f>P333/N333-1</f>
        <v>3.0458131572139946E-2</v>
      </c>
      <c r="Q348" s="92"/>
    </row>
    <row r="349" spans="2:17">
      <c r="B349" s="187"/>
      <c r="C349" s="110"/>
      <c r="D349" s="110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</row>
    <row r="350" spans="2:17">
      <c r="B350" s="110" t="s">
        <v>197</v>
      </c>
      <c r="C350" s="110"/>
      <c r="D350" s="110"/>
      <c r="E350" s="91">
        <v>22800</v>
      </c>
      <c r="F350" s="92">
        <f>F307*AVERAGE(E180:F180)</f>
        <v>30654.1872</v>
      </c>
      <c r="G350" s="92">
        <f>G307*AVERAGE(F180:G180)</f>
        <v>47848.011999999995</v>
      </c>
      <c r="H350" s="92">
        <f>H136+H139</f>
        <v>58268.246401245582</v>
      </c>
      <c r="I350" s="92">
        <f>I136+I139</f>
        <v>78146.544821246294</v>
      </c>
      <c r="J350" s="92">
        <f>J136+J139</f>
        <v>88899.977937120639</v>
      </c>
      <c r="K350" s="92">
        <f t="shared" ref="K350" si="129">K136+K139</f>
        <v>103577.48272386815</v>
      </c>
      <c r="L350" s="92"/>
      <c r="M350" s="92">
        <f>M136+M139</f>
        <v>25332.474999999995</v>
      </c>
      <c r="N350" s="92">
        <f>N136+N139</f>
        <v>32935.771401245584</v>
      </c>
      <c r="O350" s="92">
        <f>O136+O139</f>
        <v>35458.019649999995</v>
      </c>
      <c r="P350" s="92">
        <f>P136+P139</f>
        <v>42688.5251712463</v>
      </c>
      <c r="Q350" s="92"/>
    </row>
    <row r="351" spans="2:17">
      <c r="B351" s="98" t="s">
        <v>274</v>
      </c>
      <c r="C351" s="110"/>
      <c r="D351" s="110"/>
      <c r="E351" s="133">
        <f>E350/E362</f>
        <v>6.333333333333333</v>
      </c>
      <c r="F351" s="133">
        <f>F350/F362</f>
        <v>6.5221674893617019</v>
      </c>
      <c r="G351" s="133">
        <f>G350/G362</f>
        <v>6.4659475675675671</v>
      </c>
      <c r="H351" s="133">
        <f>H350/H362</f>
        <v>6.4418371662584804</v>
      </c>
      <c r="I351" s="133">
        <f t="shared" ref="I351:K351" si="130">I350/I362</f>
        <v>6.4907261990712142</v>
      </c>
      <c r="J351" s="133">
        <f t="shared" si="130"/>
        <v>6.5360707319513365</v>
      </c>
      <c r="K351" s="133">
        <f t="shared" si="130"/>
        <v>6.5596896060381011</v>
      </c>
      <c r="L351" s="133"/>
      <c r="M351" s="133"/>
      <c r="N351" s="133"/>
      <c r="O351" s="133"/>
      <c r="P351" s="133"/>
      <c r="Q351" s="133"/>
    </row>
    <row r="352" spans="2:17">
      <c r="B352" s="98" t="s">
        <v>205</v>
      </c>
      <c r="F352" s="104">
        <f>F351/E351-1</f>
        <v>2.9815919372900401E-2</v>
      </c>
      <c r="G352" s="104">
        <f>G351/F351-1</f>
        <v>-8.619821843863229E-3</v>
      </c>
      <c r="H352" s="104">
        <f t="shared" ref="H352:K352" si="131">H351/G351-1</f>
        <v>-3.7288272224819119E-3</v>
      </c>
      <c r="I352" s="104">
        <f t="shared" si="131"/>
        <v>7.5892996905926324E-3</v>
      </c>
      <c r="J352" s="104">
        <f t="shared" si="131"/>
        <v>6.9860492477114011E-3</v>
      </c>
      <c r="K352" s="104">
        <f t="shared" si="131"/>
        <v>3.6136197197660369E-3</v>
      </c>
      <c r="L352" s="78"/>
      <c r="M352" s="78"/>
      <c r="N352" s="78"/>
      <c r="O352" s="78"/>
      <c r="P352" s="78"/>
      <c r="Q352" s="78"/>
    </row>
    <row r="353" spans="2:17">
      <c r="B353" s="197" t="s">
        <v>275</v>
      </c>
      <c r="C353" s="110"/>
      <c r="D353" s="110"/>
      <c r="E353" s="92"/>
      <c r="F353" s="133">
        <f>G353/(1+G354)</f>
        <v>6.5351882362961948</v>
      </c>
      <c r="G353" s="133">
        <f t="shared" ref="G353:K353" si="132">G148/G364</f>
        <v>6.4920559939366393</v>
      </c>
      <c r="H353" s="133">
        <f t="shared" si="132"/>
        <v>6.4648896906013524</v>
      </c>
      <c r="I353" s="133">
        <f t="shared" si="132"/>
        <v>6.511053511164536</v>
      </c>
      <c r="J353" s="133">
        <f t="shared" si="132"/>
        <v>6.5518374373089561</v>
      </c>
      <c r="K353" s="133">
        <f t="shared" si="132"/>
        <v>6.5715629664569297</v>
      </c>
      <c r="L353" s="133"/>
      <c r="M353" s="133"/>
      <c r="N353" s="133"/>
      <c r="O353" s="133"/>
      <c r="P353" s="133"/>
      <c r="Q353" s="133"/>
    </row>
    <row r="354" spans="2:17">
      <c r="B354" s="197" t="s">
        <v>205</v>
      </c>
      <c r="C354" s="110"/>
      <c r="D354" s="110"/>
      <c r="E354" s="92"/>
      <c r="G354" s="257">
        <v>-6.6E-3</v>
      </c>
      <c r="H354" s="104">
        <v>0</v>
      </c>
      <c r="I354" s="104">
        <v>1.4999999999999999E-2</v>
      </c>
      <c r="J354" s="104">
        <v>1.4999999999999999E-2</v>
      </c>
      <c r="K354" s="104">
        <v>1.4999999999999999E-2</v>
      </c>
      <c r="L354" s="257"/>
      <c r="M354" s="257"/>
      <c r="N354" s="257"/>
      <c r="O354" s="257"/>
      <c r="P354" s="257"/>
      <c r="Q354" s="257"/>
    </row>
    <row r="355" spans="2:17">
      <c r="B355" s="231" t="s">
        <v>186</v>
      </c>
      <c r="C355" s="110"/>
      <c r="D355" s="110"/>
      <c r="E355" s="92"/>
      <c r="F355" s="133"/>
      <c r="G355" s="133">
        <f>G44/G365</f>
        <v>6.4360520169833606</v>
      </c>
      <c r="H355" s="263">
        <f>G355*(1+H356)</f>
        <v>6.403871756898444</v>
      </c>
      <c r="I355" s="263">
        <f t="shared" ref="I355:K355" si="133">H355*(1+I356)</f>
        <v>6.403871756898444</v>
      </c>
      <c r="J355" s="263">
        <f t="shared" si="133"/>
        <v>6.403871756898444</v>
      </c>
      <c r="K355" s="263">
        <f t="shared" si="133"/>
        <v>6.403871756898444</v>
      </c>
      <c r="L355" s="257"/>
      <c r="M355" s="257"/>
      <c r="N355" s="257"/>
      <c r="O355" s="257"/>
      <c r="P355" s="257"/>
      <c r="Q355" s="257"/>
    </row>
    <row r="356" spans="2:17">
      <c r="B356" s="231" t="s">
        <v>205</v>
      </c>
      <c r="C356" s="110"/>
      <c r="D356" s="110"/>
      <c r="E356" s="92"/>
      <c r="G356" s="78"/>
      <c r="H356" s="149">
        <v>-5.0000000000000001E-3</v>
      </c>
      <c r="I356" s="149">
        <v>0</v>
      </c>
      <c r="J356" s="149">
        <v>0</v>
      </c>
      <c r="K356" s="149">
        <v>0</v>
      </c>
      <c r="L356" s="257"/>
      <c r="M356" s="257"/>
      <c r="N356" s="257"/>
      <c r="O356" s="257"/>
      <c r="P356" s="257"/>
      <c r="Q356" s="257"/>
    </row>
    <row r="357" spans="2:17">
      <c r="B357" s="231" t="s">
        <v>187</v>
      </c>
      <c r="C357" s="110"/>
      <c r="D357" s="110"/>
      <c r="E357" s="92"/>
      <c r="G357" s="133">
        <f>G45/G366</f>
        <v>8.0416666666666661</v>
      </c>
      <c r="H357" s="263">
        <f>G357*(1+H358)</f>
        <v>7.9612499999999997</v>
      </c>
      <c r="I357" s="263">
        <f t="shared" ref="I357:K357" si="134">H357*(1+I358)</f>
        <v>7.9612499999999997</v>
      </c>
      <c r="J357" s="263">
        <f t="shared" si="134"/>
        <v>7.9612499999999997</v>
      </c>
      <c r="K357" s="263">
        <f t="shared" si="134"/>
        <v>7.9612499999999997</v>
      </c>
      <c r="L357" s="257"/>
      <c r="M357" s="257"/>
      <c r="N357" s="257"/>
      <c r="O357" s="257"/>
      <c r="P357" s="257"/>
      <c r="Q357" s="257"/>
    </row>
    <row r="358" spans="2:17">
      <c r="B358" s="231" t="s">
        <v>205</v>
      </c>
      <c r="C358" s="110"/>
      <c r="D358" s="110"/>
      <c r="E358" s="92"/>
      <c r="G358" s="78"/>
      <c r="H358" s="149">
        <v>-0.01</v>
      </c>
      <c r="I358" s="149">
        <v>0</v>
      </c>
      <c r="J358" s="149">
        <v>0</v>
      </c>
      <c r="K358" s="149">
        <v>0</v>
      </c>
      <c r="L358" s="257"/>
      <c r="M358" s="257"/>
      <c r="N358" s="257"/>
      <c r="O358" s="257"/>
      <c r="P358" s="257"/>
      <c r="Q358" s="257"/>
    </row>
    <row r="359" spans="2:17">
      <c r="B359" s="197" t="s">
        <v>276</v>
      </c>
      <c r="C359" s="110"/>
      <c r="D359" s="110"/>
      <c r="E359" s="92"/>
      <c r="F359" s="133">
        <f>F153/F367</f>
        <v>6.0446992117696388</v>
      </c>
      <c r="G359" s="255">
        <v>6.12</v>
      </c>
      <c r="H359" s="133">
        <f>G359*(1+H360)</f>
        <v>6.0587999999999997</v>
      </c>
      <c r="I359" s="133">
        <f t="shared" ref="I359:K359" si="135">H359*(1+I360)</f>
        <v>6.0587999999999997</v>
      </c>
      <c r="J359" s="133">
        <f t="shared" si="135"/>
        <v>6.1799759999999999</v>
      </c>
      <c r="K359" s="133">
        <f t="shared" si="135"/>
        <v>6.3035755199999999</v>
      </c>
      <c r="L359" s="133"/>
      <c r="M359" s="133"/>
      <c r="N359" s="133"/>
      <c r="O359" s="133"/>
      <c r="P359" s="133"/>
      <c r="Q359" s="133"/>
    </row>
    <row r="360" spans="2:17">
      <c r="B360" s="197" t="s">
        <v>205</v>
      </c>
      <c r="C360" s="110"/>
      <c r="D360" s="110"/>
      <c r="E360" s="92"/>
      <c r="F360" s="78"/>
      <c r="G360" s="78">
        <f>G359/F359-1</f>
        <v>1.2457325930088192E-2</v>
      </c>
      <c r="H360" s="149">
        <v>-0.01</v>
      </c>
      <c r="I360" s="149">
        <v>0</v>
      </c>
      <c r="J360" s="149">
        <v>0.02</v>
      </c>
      <c r="K360" s="149">
        <v>0.02</v>
      </c>
      <c r="L360" s="257"/>
      <c r="M360" s="257"/>
      <c r="N360" s="257"/>
      <c r="O360" s="257"/>
      <c r="P360" s="257"/>
      <c r="Q360" s="257"/>
    </row>
    <row r="361" spans="2:17">
      <c r="B361" s="197"/>
      <c r="C361" s="110"/>
      <c r="D361" s="110"/>
      <c r="E361" s="92"/>
      <c r="F361" s="78"/>
      <c r="G361" s="78"/>
      <c r="H361" s="78"/>
      <c r="I361" s="78"/>
      <c r="J361" s="78"/>
      <c r="K361" s="78"/>
      <c r="L361" s="257"/>
      <c r="M361" s="257"/>
      <c r="N361" s="257"/>
      <c r="O361" s="257"/>
      <c r="P361" s="257"/>
      <c r="Q361" s="257"/>
    </row>
    <row r="362" spans="2:17">
      <c r="B362" s="98" t="s">
        <v>277</v>
      </c>
      <c r="C362" s="110"/>
      <c r="D362" s="110"/>
      <c r="E362" s="91">
        <v>3600</v>
      </c>
      <c r="F362" s="91">
        <v>4700</v>
      </c>
      <c r="G362" s="91">
        <v>7400</v>
      </c>
      <c r="H362" s="92">
        <f>H364+H367</f>
        <v>9045.2839612971293</v>
      </c>
      <c r="I362" s="92">
        <f t="shared" ref="I362:K362" si="136">I364+I367</f>
        <v>12039.7228945551</v>
      </c>
      <c r="J362" s="92">
        <f t="shared" si="136"/>
        <v>13601.440618219816</v>
      </c>
      <c r="K362" s="92">
        <f t="shared" si="136"/>
        <v>15789.997537158853</v>
      </c>
      <c r="L362" s="92"/>
      <c r="M362" s="92"/>
      <c r="N362" s="92"/>
      <c r="O362" s="92"/>
      <c r="P362" s="92"/>
      <c r="Q362" s="92"/>
    </row>
    <row r="363" spans="2:17">
      <c r="B363" s="197" t="s">
        <v>205</v>
      </c>
      <c r="C363" s="110"/>
      <c r="D363" s="110"/>
      <c r="E363" s="92"/>
      <c r="F363" s="78">
        <f>F362/E362-1</f>
        <v>0.30555555555555558</v>
      </c>
      <c r="G363" s="78">
        <f>G362/F362-1</f>
        <v>0.57446808510638303</v>
      </c>
      <c r="H363" s="78">
        <f t="shared" ref="H363:K363" si="137">H362/G362-1</f>
        <v>0.22233567044555791</v>
      </c>
      <c r="I363" s="78">
        <f t="shared" si="137"/>
        <v>0.3310497432773305</v>
      </c>
      <c r="J363" s="78">
        <f t="shared" si="137"/>
        <v>0.12971375980513589</v>
      </c>
      <c r="K363" s="78">
        <f t="shared" si="137"/>
        <v>0.16090625841555006</v>
      </c>
      <c r="L363" s="78"/>
      <c r="M363" s="78"/>
      <c r="N363" s="78"/>
      <c r="O363" s="78"/>
      <c r="P363" s="78"/>
      <c r="Q363" s="78"/>
    </row>
    <row r="364" spans="2:17">
      <c r="B364" s="197" t="s">
        <v>278</v>
      </c>
      <c r="C364" s="110"/>
      <c r="D364" s="110"/>
      <c r="E364" s="100" t="e">
        <f>E148/E353</f>
        <v>#DIV/0!</v>
      </c>
      <c r="F364" s="100">
        <f>F148/F353</f>
        <v>4575.231641215245</v>
      </c>
      <c r="G364" s="100">
        <f>G362-G367</f>
        <v>6880.7169934640533</v>
      </c>
      <c r="H364" s="100">
        <f>H365+H366</f>
        <v>8531.8096389196799</v>
      </c>
      <c r="I364" s="100">
        <f t="shared" ref="I364:K364" si="138">I365+I366</f>
        <v>11498.576836529908</v>
      </c>
      <c r="J364" s="100">
        <f t="shared" si="138"/>
        <v>13024.747567661709</v>
      </c>
      <c r="K364" s="100">
        <f t="shared" si="138"/>
        <v>15090.41129067685</v>
      </c>
      <c r="L364" s="100"/>
      <c r="M364" s="100"/>
      <c r="N364" s="100"/>
      <c r="O364" s="100"/>
      <c r="P364" s="100"/>
      <c r="Q364" s="100"/>
    </row>
    <row r="365" spans="2:17">
      <c r="B365" s="231" t="s">
        <v>186</v>
      </c>
      <c r="C365" s="110"/>
      <c r="D365" s="110"/>
      <c r="E365" s="92"/>
      <c r="F365" s="100"/>
      <c r="G365" s="100">
        <f>G364-G366</f>
        <v>6640.7169934640533</v>
      </c>
      <c r="H365" s="100">
        <f>H373*365*AVERAGE(G188:H188)/1000000</f>
        <v>8198.88163891968</v>
      </c>
      <c r="I365" s="100">
        <f>I373*365*AVERAGE(H188:I188)/1000000</f>
        <v>10709.341636529909</v>
      </c>
      <c r="J365" s="100">
        <f>J373*365*AVERAGE(I188:J188)/1000000</f>
        <v>11789.976367661709</v>
      </c>
      <c r="K365" s="100">
        <f t="shared" ref="K365" si="139">K373*365*AVERAGE(J188:K188)/1000000</f>
        <v>13468.848012276851</v>
      </c>
      <c r="L365" s="100"/>
      <c r="M365" s="100"/>
      <c r="N365" s="100"/>
      <c r="O365" s="100"/>
      <c r="P365" s="100"/>
      <c r="Q365" s="100"/>
    </row>
    <row r="366" spans="2:17">
      <c r="B366" s="231" t="s">
        <v>187</v>
      </c>
      <c r="C366" s="110"/>
      <c r="D366" s="110"/>
      <c r="E366" s="92"/>
      <c r="F366" s="100"/>
      <c r="G366" s="256">
        <v>240</v>
      </c>
      <c r="H366" s="100">
        <f>H375*365*AVERAGE(G189:H189)/1000000</f>
        <v>332.928</v>
      </c>
      <c r="I366" s="100">
        <f>I375*365*AVERAGE(H189:I189)/1000000</f>
        <v>789.23520000000008</v>
      </c>
      <c r="J366" s="100">
        <f>J375*365*AVERAGE(I189:J189)/1000000</f>
        <v>1234.7711999999999</v>
      </c>
      <c r="K366" s="100">
        <f t="shared" ref="K366" si="140">K375*365*AVERAGE(J189:K189)/1000000</f>
        <v>1621.5632783999999</v>
      </c>
      <c r="L366" s="100"/>
      <c r="M366" s="100"/>
      <c r="N366" s="100"/>
      <c r="O366" s="100"/>
      <c r="P366" s="100"/>
      <c r="Q366" s="100"/>
    </row>
    <row r="367" spans="2:17">
      <c r="B367" s="197" t="s">
        <v>279</v>
      </c>
      <c r="C367" s="110"/>
      <c r="D367" s="110"/>
      <c r="E367" s="92"/>
      <c r="F367" s="100">
        <f>F362-F364</f>
        <v>124.76835878475504</v>
      </c>
      <c r="G367" s="100">
        <f t="shared" ref="G367:K367" si="141">G153/G359</f>
        <v>519.28300653594692</v>
      </c>
      <c r="H367" s="100">
        <f t="shared" si="141"/>
        <v>513.47432237745033</v>
      </c>
      <c r="I367" s="100">
        <f t="shared" si="141"/>
        <v>541.14605802519236</v>
      </c>
      <c r="J367" s="100">
        <f t="shared" si="141"/>
        <v>576.69305055810833</v>
      </c>
      <c r="K367" s="100">
        <f t="shared" si="141"/>
        <v>699.58624648200407</v>
      </c>
      <c r="L367" s="100"/>
      <c r="M367" s="100"/>
      <c r="N367" s="100"/>
      <c r="O367" s="100"/>
      <c r="P367" s="100"/>
      <c r="Q367" s="100"/>
    </row>
    <row r="368" spans="2:17">
      <c r="B368" s="98" t="s">
        <v>280</v>
      </c>
      <c r="C368" s="110"/>
      <c r="D368" s="110"/>
      <c r="E368" s="92"/>
      <c r="F368" s="133">
        <f t="shared" ref="F368:K368" si="142">F350/F387</f>
        <v>2.4423617383830174</v>
      </c>
      <c r="G368" s="133">
        <f t="shared" si="142"/>
        <v>2.4972592680351622</v>
      </c>
      <c r="H368" s="133">
        <f t="shared" si="142"/>
        <v>2.4845263078936926</v>
      </c>
      <c r="I368" s="133">
        <f t="shared" si="142"/>
        <v>2.5584033554850398</v>
      </c>
      <c r="J368" s="133">
        <f t="shared" si="142"/>
        <v>2.466471660804447</v>
      </c>
      <c r="K368" s="133">
        <f t="shared" si="142"/>
        <v>2.470127046002514</v>
      </c>
      <c r="L368" s="131"/>
      <c r="M368" s="131"/>
      <c r="N368" s="131"/>
      <c r="O368" s="131"/>
      <c r="P368" s="131"/>
      <c r="Q368" s="131"/>
    </row>
    <row r="369" spans="1:17">
      <c r="B369" s="197"/>
      <c r="C369" s="110"/>
      <c r="D369" s="110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</row>
    <row r="370" spans="1:17">
      <c r="B370" s="98" t="s">
        <v>281</v>
      </c>
      <c r="C370" s="110"/>
      <c r="D370" s="110"/>
      <c r="E370" s="92">
        <f>E362/365/AVERAGE(D180:E180)*1000000</f>
        <v>606.40230713770734</v>
      </c>
      <c r="F370" s="92">
        <f>F362/365/AVERAGE(E180:F180)*1000000</f>
        <v>525.751769098772</v>
      </c>
      <c r="G370" s="92">
        <f>G362/365/AVERAGE(F180:G180)*1000000</f>
        <v>609.30373873714393</v>
      </c>
      <c r="H370" s="92">
        <f t="shared" ref="H370:K370" si="143">H362/365/AVERAGE(G180:H180)*1000000</f>
        <v>589.72918694885379</v>
      </c>
      <c r="I370" s="92">
        <f t="shared" si="143"/>
        <v>642.94289289067683</v>
      </c>
      <c r="J370" s="92">
        <f t="shared" si="143"/>
        <v>614.62700806272767</v>
      </c>
      <c r="K370" s="92">
        <f t="shared" si="143"/>
        <v>621.29668995810289</v>
      </c>
      <c r="L370" s="92"/>
      <c r="M370" s="92"/>
      <c r="N370" s="92"/>
      <c r="O370" s="92"/>
      <c r="P370" s="92"/>
      <c r="Q370" s="92"/>
    </row>
    <row r="371" spans="1:17">
      <c r="B371" s="197" t="s">
        <v>205</v>
      </c>
      <c r="C371" s="110"/>
      <c r="D371" s="110"/>
      <c r="E371" s="92"/>
      <c r="F371" s="78">
        <f>F370/E370-1</f>
        <v>-0.1329984023636317</v>
      </c>
      <c r="G371" s="78">
        <f>G370/F370-1</f>
        <v>0.15891904611485042</v>
      </c>
      <c r="H371" s="78">
        <f t="shared" ref="H371:K371" si="144">H370/G370-1</f>
        <v>-3.2126098272202919E-2</v>
      </c>
      <c r="I371" s="78">
        <f t="shared" si="144"/>
        <v>9.0234139872134467E-2</v>
      </c>
      <c r="J371" s="78">
        <f t="shared" si="144"/>
        <v>-4.4041057364582858E-2</v>
      </c>
      <c r="K371" s="78">
        <f t="shared" si="144"/>
        <v>1.0851592604753435E-2</v>
      </c>
      <c r="L371" s="92"/>
      <c r="M371" s="92"/>
      <c r="N371" s="92"/>
      <c r="O371" s="92"/>
      <c r="P371" s="92"/>
      <c r="Q371" s="92"/>
    </row>
    <row r="372" spans="1:17">
      <c r="B372" s="197" t="s">
        <v>278</v>
      </c>
      <c r="C372" s="110"/>
      <c r="D372" s="110"/>
      <c r="E372" s="100"/>
      <c r="F372" s="100">
        <f>F364/365*1000000/AVERAGE(E187:F187)</f>
        <v>534.32004982241278</v>
      </c>
      <c r="G372" s="100">
        <f>G364/365*1000000/AVERAGE(F187:G187)</f>
        <v>623.98727066790536</v>
      </c>
      <c r="H372" s="100">
        <f t="shared" ref="H372:K372" si="145">H364/365*1000000/AVERAGE(G187:H187)</f>
        <v>624.84484825969867</v>
      </c>
      <c r="I372" s="100">
        <f t="shared" si="145"/>
        <v>676.26116771999489</v>
      </c>
      <c r="J372" s="100">
        <f t="shared" si="145"/>
        <v>639.11308363008084</v>
      </c>
      <c r="K372" s="100">
        <f t="shared" si="145"/>
        <v>645.14687874035405</v>
      </c>
      <c r="L372" s="92"/>
      <c r="M372" s="92"/>
      <c r="N372" s="92"/>
      <c r="O372" s="92"/>
      <c r="P372" s="92"/>
      <c r="Q372" s="92"/>
    </row>
    <row r="373" spans="1:17">
      <c r="B373" s="231" t="s">
        <v>186</v>
      </c>
      <c r="C373" s="110"/>
      <c r="D373" s="110"/>
      <c r="E373" s="92"/>
      <c r="F373" s="92"/>
      <c r="G373" s="100">
        <f>G365/365*1000000/AVERAGE(F188:G188)</f>
        <v>656.55318059877834</v>
      </c>
      <c r="H373" s="100">
        <f>G373*(1+H374)</f>
        <v>660.49249968237098</v>
      </c>
      <c r="I373" s="100">
        <f t="shared" ref="I373:K373" si="146">H373*(1+I374)</f>
        <v>726.54174965060815</v>
      </c>
      <c r="J373" s="100">
        <f t="shared" si="146"/>
        <v>704.74549716108993</v>
      </c>
      <c r="K373" s="100">
        <f t="shared" si="146"/>
        <v>718.84040710431179</v>
      </c>
      <c r="L373" s="92"/>
      <c r="M373" s="92"/>
      <c r="N373" s="92"/>
      <c r="O373" s="92"/>
      <c r="P373" s="92"/>
      <c r="Q373" s="92"/>
    </row>
    <row r="374" spans="1:17">
      <c r="B374" s="231" t="s">
        <v>205</v>
      </c>
      <c r="C374" s="110"/>
      <c r="D374" s="110"/>
      <c r="E374" s="92"/>
      <c r="F374" s="92"/>
      <c r="G374" s="100"/>
      <c r="H374" s="166">
        <v>6.0000000000000001E-3</v>
      </c>
      <c r="I374" s="166">
        <f>AVERAGE(6%,20%,9%,5%)</f>
        <v>9.9999999999999992E-2</v>
      </c>
      <c r="J374" s="166">
        <v>-0.03</v>
      </c>
      <c r="K374" s="166">
        <v>0.02</v>
      </c>
      <c r="L374" s="92"/>
      <c r="M374" s="92"/>
      <c r="N374" s="92"/>
      <c r="O374" s="92"/>
      <c r="P374" s="92"/>
      <c r="Q374" s="92"/>
    </row>
    <row r="375" spans="1:17">
      <c r="B375" s="231" t="s">
        <v>187</v>
      </c>
      <c r="C375" s="110"/>
      <c r="D375" s="110"/>
      <c r="E375" s="92"/>
      <c r="F375" s="92"/>
      <c r="G375" s="100">
        <f>G366/365*1000000/AVERAGE(F189:G189)</f>
        <v>263.01369863013696</v>
      </c>
      <c r="H375" s="100">
        <f>G375*(1+H376)</f>
        <v>268.27397260273972</v>
      </c>
      <c r="I375" s="100">
        <f t="shared" ref="I375:K375" si="147">H375*(1+I376)</f>
        <v>348.75616438356167</v>
      </c>
      <c r="J375" s="100">
        <f t="shared" si="147"/>
        <v>338.29347945205478</v>
      </c>
      <c r="K375" s="100">
        <f t="shared" si="147"/>
        <v>348.44228383561642</v>
      </c>
      <c r="L375" s="92"/>
      <c r="M375" s="92"/>
      <c r="N375" s="92"/>
      <c r="O375" s="92"/>
      <c r="P375" s="92"/>
      <c r="Q375" s="92"/>
    </row>
    <row r="376" spans="1:17">
      <c r="B376" s="231" t="s">
        <v>205</v>
      </c>
      <c r="C376" s="110"/>
      <c r="D376" s="110"/>
      <c r="E376" s="92"/>
      <c r="F376" s="92"/>
      <c r="G376" s="100"/>
      <c r="H376" s="166">
        <v>0.02</v>
      </c>
      <c r="I376" s="166">
        <v>0.3</v>
      </c>
      <c r="J376" s="166">
        <v>-0.03</v>
      </c>
      <c r="K376" s="166">
        <v>0.03</v>
      </c>
      <c r="L376" s="92"/>
      <c r="M376" s="92"/>
      <c r="N376" s="92"/>
      <c r="O376" s="92"/>
      <c r="P376" s="92"/>
      <c r="Q376" s="92"/>
    </row>
    <row r="377" spans="1:17">
      <c r="B377" s="197" t="s">
        <v>279</v>
      </c>
      <c r="C377" s="110"/>
      <c r="D377" s="110"/>
      <c r="E377" s="92"/>
      <c r="F377" s="100">
        <f>F367/365*1000000/AVERAGE(E190:F190)</f>
        <v>331.07130262298591</v>
      </c>
      <c r="G377" s="100">
        <f>G367/365*1000000/AVERAGE(F190:G190)</f>
        <v>464.47703839100075</v>
      </c>
      <c r="H377" s="100">
        <f>G377*(1+H378)</f>
        <v>306.55484533806043</v>
      </c>
      <c r="I377" s="100">
        <f t="shared" ref="I377:K377" si="148">H377*(1+I378)</f>
        <v>315.75149069820225</v>
      </c>
      <c r="J377" s="100">
        <f t="shared" si="148"/>
        <v>331.53906523311235</v>
      </c>
      <c r="K377" s="100">
        <f t="shared" si="148"/>
        <v>348.11601849476801</v>
      </c>
      <c r="L377" s="92"/>
      <c r="M377" s="92"/>
      <c r="N377" s="92"/>
      <c r="O377" s="92"/>
      <c r="P377" s="92"/>
      <c r="Q377" s="92"/>
    </row>
    <row r="378" spans="1:17">
      <c r="B378" s="197" t="s">
        <v>205</v>
      </c>
      <c r="C378" s="110"/>
      <c r="D378" s="110"/>
      <c r="E378" s="92"/>
      <c r="F378" s="78"/>
      <c r="G378" s="78">
        <f>G377/F377-1</f>
        <v>0.4029516744915016</v>
      </c>
      <c r="H378" s="166">
        <v>-0.34</v>
      </c>
      <c r="I378" s="166">
        <v>0.03</v>
      </c>
      <c r="J378" s="166">
        <v>0.05</v>
      </c>
      <c r="K378" s="166">
        <v>0.05</v>
      </c>
      <c r="L378" s="92"/>
      <c r="M378" s="92"/>
      <c r="N378" s="92"/>
      <c r="O378" s="92"/>
      <c r="P378" s="92"/>
      <c r="Q378" s="92"/>
    </row>
    <row r="379" spans="1:17">
      <c r="B379" s="197"/>
      <c r="C379" s="110"/>
      <c r="D379" s="110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</row>
    <row r="380" spans="1:17">
      <c r="B380" s="98" t="s">
        <v>282</v>
      </c>
      <c r="C380" s="110"/>
      <c r="D380" s="110"/>
      <c r="E380" s="99">
        <v>2000</v>
      </c>
      <c r="F380" s="99">
        <v>2600</v>
      </c>
      <c r="G380" s="99">
        <v>4100</v>
      </c>
      <c r="H380" s="92"/>
      <c r="I380" s="92"/>
      <c r="J380" s="92"/>
      <c r="K380" s="92"/>
      <c r="L380" s="92"/>
      <c r="M380" s="92"/>
      <c r="N380" s="92"/>
      <c r="O380" s="92"/>
      <c r="P380" s="92"/>
      <c r="Q380" s="92"/>
    </row>
    <row r="381" spans="1:17">
      <c r="B381" s="197" t="s">
        <v>283</v>
      </c>
      <c r="C381" s="110"/>
      <c r="D381" s="110"/>
      <c r="E381" s="133">
        <f>E362/E380</f>
        <v>1.8</v>
      </c>
      <c r="F381" s="133">
        <f t="shared" ref="F381:G381" si="149">F362/F380</f>
        <v>1.8076923076923077</v>
      </c>
      <c r="G381" s="133">
        <f t="shared" si="149"/>
        <v>1.8048780487804879</v>
      </c>
      <c r="H381" s="92"/>
      <c r="I381" s="92"/>
      <c r="J381" s="92"/>
      <c r="K381" s="92"/>
      <c r="L381" s="92"/>
      <c r="M381" s="92"/>
      <c r="N381" s="92"/>
      <c r="O381" s="92"/>
      <c r="P381" s="92"/>
      <c r="Q381" s="92"/>
    </row>
    <row r="382" spans="1:17">
      <c r="B382" s="197"/>
      <c r="C382" s="110"/>
      <c r="D382" s="110"/>
      <c r="E382" s="133"/>
      <c r="F382" s="133"/>
      <c r="G382" s="133"/>
      <c r="H382" s="92"/>
      <c r="I382" s="92"/>
      <c r="J382" s="92"/>
      <c r="K382" s="92"/>
      <c r="L382" s="92"/>
      <c r="M382" s="92"/>
      <c r="N382" s="92"/>
      <c r="O382" s="92"/>
      <c r="P382" s="92"/>
      <c r="Q382" s="92"/>
    </row>
    <row r="383" spans="1:17">
      <c r="B383" s="147" t="s">
        <v>284</v>
      </c>
      <c r="C383" s="148"/>
      <c r="D383" s="148"/>
      <c r="E383" s="148"/>
      <c r="F383" s="148"/>
      <c r="G383" s="148"/>
      <c r="H383" s="148"/>
      <c r="I383" s="148"/>
      <c r="J383" s="148"/>
      <c r="K383" s="148"/>
      <c r="M383" s="265"/>
      <c r="N383" s="265"/>
      <c r="O383" s="148"/>
      <c r="P383" s="148"/>
    </row>
    <row r="384" spans="1:17">
      <c r="A384" s="273" t="str">
        <f>"Rev"&amp;B384</f>
        <v>RevTotal revenue</v>
      </c>
      <c r="B384" s="110" t="s">
        <v>285</v>
      </c>
      <c r="C384" s="244">
        <f>IS!C7</f>
        <v>2566.0300000000002</v>
      </c>
      <c r="D384" s="244">
        <f>IS!D7</f>
        <v>4679.9973</v>
      </c>
      <c r="E384" s="91">
        <f>IS!E7</f>
        <v>10350.985999999999</v>
      </c>
      <c r="F384" s="91">
        <f>IS!F7</f>
        <v>13575.577000000001</v>
      </c>
      <c r="G384" s="91">
        <f>IS!G7</f>
        <v>20302.465</v>
      </c>
      <c r="H384" s="91">
        <f>IS!H7</f>
        <v>24828.874</v>
      </c>
      <c r="I384" s="92">
        <f>I387+I391+I392</f>
        <v>32331.61638985468</v>
      </c>
      <c r="J384" s="92">
        <f>J387+J391+J392</f>
        <v>37879.876726422015</v>
      </c>
      <c r="K384" s="92">
        <f t="shared" ref="K384" si="150">K387+K391+K392</f>
        <v>43890.62210556872</v>
      </c>
      <c r="L384" s="92"/>
      <c r="M384" s="91">
        <f>M387+M391+M392</f>
        <v>10677.054</v>
      </c>
      <c r="N384" s="92">
        <f>N387+N391+N392</f>
        <v>14151.819999999998</v>
      </c>
      <c r="O384" s="91">
        <f>O387+O391+O392</f>
        <v>14874.808999999999</v>
      </c>
      <c r="P384" s="92">
        <f>P387+P391+P392</f>
        <v>17456.807389854683</v>
      </c>
      <c r="Q384" s="92"/>
    </row>
    <row r="385" spans="2:17">
      <c r="B385" s="110"/>
      <c r="C385" s="90"/>
      <c r="D385" s="90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3"/>
      <c r="P385" s="92"/>
      <c r="Q385" s="92"/>
    </row>
    <row r="386" spans="2:17">
      <c r="B386" s="229" t="s">
        <v>286</v>
      </c>
      <c r="C386" s="90"/>
      <c r="D386" s="90"/>
      <c r="E386" s="92"/>
      <c r="F386" s="92"/>
      <c r="G386" s="92"/>
      <c r="H386" s="92"/>
      <c r="I386" s="92"/>
      <c r="J386" s="92"/>
      <c r="K386" s="92"/>
      <c r="L386" s="93"/>
      <c r="M386" s="252"/>
      <c r="N386" s="252"/>
      <c r="O386" s="252"/>
      <c r="P386" s="252"/>
      <c r="Q386" s="92"/>
    </row>
    <row r="387" spans="2:17">
      <c r="B387" s="187" t="s">
        <v>96</v>
      </c>
      <c r="C387" s="110"/>
      <c r="D387" s="110"/>
      <c r="E387" s="91">
        <f>IS!E98</f>
        <v>9457.66</v>
      </c>
      <c r="F387" s="91">
        <f>IS!F98</f>
        <v>12551.043</v>
      </c>
      <c r="G387" s="91">
        <f>IS!G98</f>
        <v>19160.21</v>
      </c>
      <c r="H387" s="91">
        <f>IS!H98</f>
        <v>23452.456999999999</v>
      </c>
      <c r="I387" s="92">
        <f t="shared" ref="I387:K387" si="151">I388+I389+I390</f>
        <v>30545.044687228659</v>
      </c>
      <c r="J387" s="92">
        <f t="shared" si="151"/>
        <v>36043.38105718419</v>
      </c>
      <c r="K387" s="92">
        <f t="shared" si="151"/>
        <v>41932.046730750517</v>
      </c>
      <c r="L387" s="100"/>
      <c r="M387" s="91">
        <f>IS!M98</f>
        <v>9926.3040000000001</v>
      </c>
      <c r="N387" s="92">
        <f t="shared" ref="N387" si="152">N388+N389+N390</f>
        <v>13526.152999999998</v>
      </c>
      <c r="O387" s="91">
        <f>IS!O98</f>
        <v>13843.183999999999</v>
      </c>
      <c r="P387" s="92">
        <f t="shared" ref="P387" si="153">P388+P389+P390</f>
        <v>16701.860687228662</v>
      </c>
      <c r="Q387" s="93"/>
    </row>
    <row r="388" spans="2:17">
      <c r="B388" s="197" t="s">
        <v>213</v>
      </c>
      <c r="E388" s="100">
        <f>E415-E391-E392</f>
        <v>9138.0510000000013</v>
      </c>
      <c r="F388" s="100">
        <f>F415-F391-F392</f>
        <v>12077.418999999998</v>
      </c>
      <c r="G388" s="100">
        <f>G415-G391-G392</f>
        <v>18433.052</v>
      </c>
      <c r="H388" s="100">
        <f>H496</f>
        <v>22631.879915170986</v>
      </c>
      <c r="I388" s="100">
        <f t="shared" ref="I388:K388" si="154">I496</f>
        <v>29677.930261942176</v>
      </c>
      <c r="J388" s="100">
        <f t="shared" si="154"/>
        <v>35099.593541643771</v>
      </c>
      <c r="K388" s="100">
        <f t="shared" si="154"/>
        <v>40896.977344766936</v>
      </c>
      <c r="L388" s="100"/>
      <c r="M388" s="100">
        <f>M496</f>
        <v>9577.2652999999991</v>
      </c>
      <c r="N388" s="100">
        <f t="shared" ref="N388" si="155">N496</f>
        <v>13054.614615170987</v>
      </c>
      <c r="O388" s="100">
        <f>O496</f>
        <v>13465.814133666665</v>
      </c>
      <c r="P388" s="100">
        <f>P496</f>
        <v>16212.116128275513</v>
      </c>
      <c r="Q388" s="92"/>
    </row>
    <row r="389" spans="2:17">
      <c r="B389" s="197" t="s">
        <v>214</v>
      </c>
      <c r="E389" s="100">
        <f>E418</f>
        <v>82.793000000000006</v>
      </c>
      <c r="F389" s="100">
        <f t="shared" ref="F389:G389" si="156">F418</f>
        <v>72.337999999999994</v>
      </c>
      <c r="G389" s="100">
        <f t="shared" si="156"/>
        <v>107.616</v>
      </c>
      <c r="H389" s="100">
        <f>H499</f>
        <v>70.523523846739081</v>
      </c>
      <c r="I389" s="100">
        <f>I499</f>
        <v>42.055508205982726</v>
      </c>
      <c r="J389" s="100">
        <f>J499</f>
        <v>36.222706751871783</v>
      </c>
      <c r="K389" s="100">
        <f t="shared" ref="K389" si="157">K499</f>
        <v>36.748096316169082</v>
      </c>
      <c r="L389" s="100"/>
      <c r="M389" s="100">
        <f>M499</f>
        <v>48.6</v>
      </c>
      <c r="N389" s="100">
        <f>N499</f>
        <v>21.923523846739073</v>
      </c>
      <c r="O389" s="100">
        <f>O499</f>
        <v>19.5</v>
      </c>
      <c r="P389" s="100">
        <f>P499</f>
        <v>22.555508205982726</v>
      </c>
      <c r="Q389" s="92"/>
    </row>
    <row r="390" spans="2:17">
      <c r="B390" s="197" t="s">
        <v>287</v>
      </c>
      <c r="D390" s="100"/>
      <c r="E390" s="100">
        <f>E387-E388-E389</f>
        <v>236.81599999999855</v>
      </c>
      <c r="F390" s="100">
        <f t="shared" ref="F390:H390" si="158">F387-F388-F389</f>
        <v>401.28600000000165</v>
      </c>
      <c r="G390" s="100">
        <f t="shared" si="158"/>
        <v>619.54199999999946</v>
      </c>
      <c r="H390" s="100">
        <f t="shared" si="158"/>
        <v>750.0535609822731</v>
      </c>
      <c r="I390" s="264">
        <f>H390*(1+I449)</f>
        <v>825.05891708050046</v>
      </c>
      <c r="J390" s="264">
        <f t="shared" ref="J390:K390" si="159">I390*(1+J449)</f>
        <v>907.56480878855064</v>
      </c>
      <c r="K390" s="264">
        <f t="shared" si="159"/>
        <v>998.32128966740584</v>
      </c>
      <c r="L390" s="100"/>
      <c r="M390" s="100">
        <f>M387-M388-M389</f>
        <v>300.43870000000095</v>
      </c>
      <c r="N390" s="100">
        <f>H390-M390</f>
        <v>449.61486098227215</v>
      </c>
      <c r="O390" s="100">
        <f t="shared" ref="O390" si="160">O387-O388-O389</f>
        <v>357.86986633333436</v>
      </c>
      <c r="P390" s="100">
        <f>I390-O390</f>
        <v>467.18905074716611</v>
      </c>
      <c r="Q390" s="92"/>
    </row>
    <row r="391" spans="2:17">
      <c r="B391" s="187" t="s">
        <v>97</v>
      </c>
      <c r="C391" s="110"/>
      <c r="D391" s="110"/>
      <c r="E391" s="91">
        <f>IS!E99</f>
        <v>696.94399999999996</v>
      </c>
      <c r="F391" s="91">
        <f>IS!F99</f>
        <v>748.38699999999994</v>
      </c>
      <c r="G391" s="91">
        <f>IS!G99</f>
        <v>736.53700000000003</v>
      </c>
      <c r="H391" s="91">
        <f>IS!H99</f>
        <v>756.37199999999996</v>
      </c>
      <c r="I391" s="92">
        <f t="shared" ref="I391:K391" si="161">I511</f>
        <v>1017.6627990421898</v>
      </c>
      <c r="J391" s="92">
        <f t="shared" si="161"/>
        <v>914.47940316639722</v>
      </c>
      <c r="K391" s="92">
        <f t="shared" si="161"/>
        <v>885.73547652950663</v>
      </c>
      <c r="L391" s="100"/>
      <c r="M391" s="91">
        <f>IS!M99</f>
        <v>457.89400000000001</v>
      </c>
      <c r="N391" s="92">
        <f>N511</f>
        <v>298.47799999999995</v>
      </c>
      <c r="O391" s="91">
        <f>IS!O99</f>
        <v>651.50400000000002</v>
      </c>
      <c r="P391" s="92">
        <f t="shared" ref="P391" si="162">P511</f>
        <v>366.1587990421898</v>
      </c>
      <c r="Q391" s="93"/>
    </row>
    <row r="392" spans="2:17">
      <c r="B392" s="187" t="s">
        <v>98</v>
      </c>
      <c r="C392" s="110"/>
      <c r="D392" s="110"/>
      <c r="E392" s="91">
        <f>IS!E100</f>
        <v>196.38200000000001</v>
      </c>
      <c r="F392" s="91">
        <f>IS!F100</f>
        <v>276.14699999999999</v>
      </c>
      <c r="G392" s="91">
        <f>IS!G100</f>
        <v>405.71800000000002</v>
      </c>
      <c r="H392" s="91">
        <f>IS!H100</f>
        <v>620.04499999999996</v>
      </c>
      <c r="I392" s="92">
        <f t="shared" ref="I392:K392" si="163">I524</f>
        <v>768.90890358382944</v>
      </c>
      <c r="J392" s="92">
        <f t="shared" si="163"/>
        <v>922.0162660714285</v>
      </c>
      <c r="K392" s="92">
        <f t="shared" si="163"/>
        <v>1072.8398982886904</v>
      </c>
      <c r="L392" s="100"/>
      <c r="M392" s="91">
        <f>IS!M100</f>
        <v>292.85599999999999</v>
      </c>
      <c r="N392" s="92">
        <f t="shared" ref="N392" si="164">N524</f>
        <v>327.18900000000002</v>
      </c>
      <c r="O392" s="91">
        <f>IS!O100</f>
        <v>380.12099999999998</v>
      </c>
      <c r="P392" s="92">
        <f t="shared" ref="P392" si="165">P524</f>
        <v>388.78790358382935</v>
      </c>
      <c r="Q392" s="93"/>
    </row>
    <row r="394" spans="2:17">
      <c r="B394" s="229" t="s">
        <v>288</v>
      </c>
    </row>
    <row r="395" spans="2:17">
      <c r="B395" s="187" t="s">
        <v>185</v>
      </c>
      <c r="E395" s="91">
        <v>10300.916999999999</v>
      </c>
      <c r="F395" s="91">
        <v>13034.937</v>
      </c>
      <c r="G395" s="91">
        <v>18815.532999999999</v>
      </c>
      <c r="H395" s="178">
        <f>H497+H500+H512+H525+H390*0.9</f>
        <v>23488.694266370188</v>
      </c>
      <c r="I395" s="178">
        <f t="shared" ref="I395:K395" si="166">I497+I500+I512+I525+I390*0.9</f>
        <v>30953.193304944045</v>
      </c>
      <c r="J395" s="178">
        <f t="shared" si="166"/>
        <v>36254.606806848693</v>
      </c>
      <c r="K395" s="178">
        <f t="shared" si="166"/>
        <v>41867.391859232805</v>
      </c>
      <c r="L395" s="100"/>
      <c r="M395" s="100"/>
      <c r="N395" s="100"/>
      <c r="O395" s="100"/>
      <c r="P395" s="100"/>
      <c r="Q395" s="100"/>
    </row>
    <row r="396" spans="2:17">
      <c r="B396" s="197" t="s">
        <v>216</v>
      </c>
      <c r="E396" s="99">
        <v>496.43200000000002</v>
      </c>
      <c r="F396" s="99">
        <v>719.75599999999997</v>
      </c>
      <c r="G396" s="99">
        <v>1126.18</v>
      </c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</row>
    <row r="397" spans="2:17">
      <c r="B397" s="197" t="s">
        <v>217</v>
      </c>
      <c r="E397" s="99">
        <v>1995.41</v>
      </c>
      <c r="F397" s="99">
        <v>2632.9760000000001</v>
      </c>
      <c r="G397" s="99">
        <v>3674.83</v>
      </c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</row>
    <row r="398" spans="2:17">
      <c r="B398" s="197" t="s">
        <v>218</v>
      </c>
      <c r="E398" s="99">
        <v>1682.6859999999999</v>
      </c>
      <c r="F398" s="99">
        <v>2227.404</v>
      </c>
      <c r="G398" s="99">
        <v>3423.6080000000002</v>
      </c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</row>
    <row r="399" spans="2:17">
      <c r="B399" s="197" t="s">
        <v>219</v>
      </c>
      <c r="E399" s="99">
        <v>5889.5730000000003</v>
      </c>
      <c r="F399" s="99">
        <v>7072.6409999999996</v>
      </c>
      <c r="G399" s="99">
        <v>10066.209999999999</v>
      </c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</row>
    <row r="400" spans="2:17">
      <c r="B400" s="197" t="s">
        <v>287</v>
      </c>
      <c r="E400" s="100">
        <f>E395-SUM(E396:E399)</f>
        <v>236.81599999999889</v>
      </c>
      <c r="F400" s="100">
        <f t="shared" ref="F400" si="167">F395-SUM(F396:F399)</f>
        <v>382.15999999999985</v>
      </c>
      <c r="G400" s="100">
        <f>G395-SUM(G396:G399)</f>
        <v>524.70499999999811</v>
      </c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</row>
    <row r="401" spans="2:17">
      <c r="B401" s="187" t="s">
        <v>153</v>
      </c>
      <c r="E401" s="92">
        <f>E384-E395</f>
        <v>50.068999999999505</v>
      </c>
      <c r="F401" s="92">
        <f>F384-F395</f>
        <v>540.64000000000124</v>
      </c>
      <c r="G401" s="92">
        <f>G384-G395</f>
        <v>1486.9320000000007</v>
      </c>
      <c r="H401" s="92">
        <f>H384-H395</f>
        <v>1340.1797336298114</v>
      </c>
      <c r="I401" s="178">
        <f t="shared" ref="I401:K401" si="168">I498+I501+I513+I526+I390*0.1</f>
        <v>1378.4230849106302</v>
      </c>
      <c r="J401" s="178">
        <f t="shared" si="168"/>
        <v>1625.2699195733328</v>
      </c>
      <c r="K401" s="178">
        <f t="shared" si="168"/>
        <v>2023.2302463359031</v>
      </c>
      <c r="L401" s="100"/>
      <c r="M401" s="100"/>
      <c r="N401" s="100"/>
      <c r="O401" s="100"/>
      <c r="P401" s="100"/>
      <c r="Q401" s="100"/>
    </row>
    <row r="402" spans="2:17">
      <c r="B402" s="197" t="s">
        <v>289</v>
      </c>
      <c r="C402" s="244">
        <v>0</v>
      </c>
      <c r="D402" s="244">
        <v>1.4718</v>
      </c>
      <c r="E402" s="244">
        <v>19.701499999999999</v>
      </c>
      <c r="F402" s="99"/>
    </row>
    <row r="403" spans="2:17">
      <c r="B403" s="197" t="s">
        <v>290</v>
      </c>
      <c r="C403" s="244">
        <v>0</v>
      </c>
      <c r="D403" s="244">
        <v>5.2054999999999998</v>
      </c>
      <c r="E403" s="244">
        <v>30.359100000000002</v>
      </c>
      <c r="F403" s="99"/>
    </row>
    <row r="404" spans="2:17">
      <c r="B404" s="187"/>
      <c r="C404" s="110"/>
      <c r="D404" s="110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</row>
    <row r="405" spans="2:17">
      <c r="B405" s="229" t="s">
        <v>291</v>
      </c>
      <c r="C405" s="110"/>
      <c r="D405" s="110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</row>
    <row r="406" spans="2:17">
      <c r="B406" s="187" t="s">
        <v>185</v>
      </c>
      <c r="C406" s="110"/>
      <c r="D406" s="110"/>
      <c r="E406" s="92"/>
      <c r="F406" s="267">
        <f>F395/AVERAGE(E199:F199)</f>
        <v>0.55563575523775011</v>
      </c>
      <c r="G406" s="267">
        <f>G395/AVERAGE(F199:G199)</f>
        <v>0.62280404488431362</v>
      </c>
      <c r="H406" s="92"/>
      <c r="I406" s="92"/>
      <c r="J406" s="92"/>
      <c r="K406" s="92"/>
      <c r="L406" s="92"/>
      <c r="M406" s="92"/>
      <c r="N406" s="92"/>
      <c r="O406" s="92"/>
      <c r="P406" s="92"/>
      <c r="Q406" s="92"/>
    </row>
    <row r="407" spans="2:17">
      <c r="B407" s="197" t="s">
        <v>216</v>
      </c>
      <c r="C407" s="110"/>
      <c r="D407" s="110"/>
      <c r="E407" s="92"/>
      <c r="F407" s="267">
        <f t="shared" ref="F407:G410" si="169">F396/AVERAGE(E200:F200)</f>
        <v>0.72997565922920893</v>
      </c>
      <c r="G407" s="267">
        <f t="shared" si="169"/>
        <v>0.83328153903070667</v>
      </c>
      <c r="H407" s="92"/>
      <c r="I407" s="92"/>
      <c r="J407" s="92"/>
      <c r="K407" s="92"/>
      <c r="L407" s="92"/>
      <c r="M407" s="92"/>
      <c r="N407" s="92"/>
      <c r="O407" s="92"/>
      <c r="P407" s="92"/>
      <c r="Q407" s="92"/>
    </row>
    <row r="408" spans="2:17">
      <c r="B408" s="197" t="s">
        <v>217</v>
      </c>
      <c r="C408" s="110"/>
      <c r="D408" s="110"/>
      <c r="E408" s="92"/>
      <c r="F408" s="267">
        <f t="shared" si="169"/>
        <v>0.53288322201983407</v>
      </c>
      <c r="G408" s="267">
        <f t="shared" si="169"/>
        <v>0.58349158463004125</v>
      </c>
      <c r="H408" s="92"/>
      <c r="I408" s="92"/>
      <c r="J408" s="92"/>
      <c r="K408" s="92"/>
      <c r="L408" s="92"/>
      <c r="M408" s="92"/>
      <c r="N408" s="92"/>
      <c r="O408" s="92"/>
      <c r="P408" s="92"/>
      <c r="Q408" s="92"/>
    </row>
    <row r="409" spans="2:17">
      <c r="B409" s="197" t="s">
        <v>218</v>
      </c>
      <c r="C409" s="110"/>
      <c r="D409" s="110"/>
      <c r="E409" s="92"/>
      <c r="F409" s="267">
        <f t="shared" si="169"/>
        <v>0.56204996214988645</v>
      </c>
      <c r="G409" s="267">
        <f t="shared" si="169"/>
        <v>0.64028576772021695</v>
      </c>
      <c r="H409" s="92"/>
      <c r="I409" s="92"/>
      <c r="J409" s="92"/>
      <c r="K409" s="92"/>
      <c r="L409" s="92"/>
      <c r="M409" s="92"/>
      <c r="N409" s="92"/>
      <c r="O409" s="92"/>
      <c r="P409" s="92"/>
      <c r="Q409" s="92"/>
    </row>
    <row r="410" spans="2:17">
      <c r="B410" s="197" t="s">
        <v>219</v>
      </c>
      <c r="C410" s="110"/>
      <c r="D410" s="110"/>
      <c r="E410" s="92"/>
      <c r="F410" s="267">
        <f t="shared" si="169"/>
        <v>0.52121603596300525</v>
      </c>
      <c r="G410" s="267">
        <f t="shared" si="169"/>
        <v>0.58475180806877913</v>
      </c>
      <c r="H410" s="92"/>
      <c r="I410" s="92"/>
      <c r="J410" s="92"/>
      <c r="K410" s="92"/>
      <c r="L410" s="92"/>
      <c r="M410" s="92"/>
      <c r="N410" s="92"/>
      <c r="O410" s="92"/>
      <c r="P410" s="92"/>
      <c r="Q410" s="92"/>
    </row>
    <row r="411" spans="2:17">
      <c r="B411" s="197" t="s">
        <v>287</v>
      </c>
      <c r="C411" s="110"/>
      <c r="D411" s="110"/>
      <c r="E411" s="92"/>
      <c r="F411" s="266" t="s">
        <v>292</v>
      </c>
      <c r="G411" s="266" t="s">
        <v>292</v>
      </c>
      <c r="H411" s="92"/>
      <c r="I411" s="92"/>
      <c r="J411" s="92"/>
      <c r="K411" s="92"/>
      <c r="L411" s="92"/>
      <c r="M411" s="92"/>
      <c r="N411" s="92"/>
      <c r="O411" s="92"/>
      <c r="P411" s="92"/>
      <c r="Q411" s="92"/>
    </row>
    <row r="412" spans="2:17">
      <c r="B412" s="187" t="s">
        <v>153</v>
      </c>
      <c r="C412" s="110"/>
      <c r="D412" s="110"/>
      <c r="E412" s="92"/>
      <c r="F412" s="267">
        <f>F401/AVERAGE(E204:F204)</f>
        <v>0.52362227602905687</v>
      </c>
      <c r="G412" s="267">
        <f>G401/AVERAGE(F204:G204)</f>
        <v>0.48544955925563193</v>
      </c>
      <c r="H412" s="92"/>
      <c r="I412" s="92"/>
      <c r="J412" s="92"/>
      <c r="K412" s="92"/>
      <c r="L412" s="92"/>
      <c r="M412" s="92"/>
      <c r="N412" s="92"/>
      <c r="O412" s="92"/>
      <c r="P412" s="92"/>
      <c r="Q412" s="92"/>
    </row>
    <row r="413" spans="2:17">
      <c r="B413" s="187"/>
      <c r="C413" s="110"/>
      <c r="D413" s="110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</row>
    <row r="414" spans="2:17">
      <c r="B414" s="229" t="s">
        <v>220</v>
      </c>
      <c r="C414" s="110"/>
      <c r="D414" s="110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</row>
    <row r="415" spans="2:17">
      <c r="B415" s="98" t="s">
        <v>293</v>
      </c>
      <c r="C415" s="110"/>
      <c r="D415" s="110"/>
      <c r="E415" s="99">
        <v>10031.377</v>
      </c>
      <c r="F415" s="99">
        <v>13101.953</v>
      </c>
      <c r="G415" s="99">
        <v>19575.307000000001</v>
      </c>
      <c r="H415" s="92"/>
      <c r="I415" s="92"/>
      <c r="J415" s="92"/>
      <c r="K415" s="92"/>
      <c r="L415" s="92"/>
      <c r="M415" s="92"/>
      <c r="N415" s="92"/>
      <c r="O415" s="92"/>
      <c r="P415" s="92"/>
      <c r="Q415" s="92"/>
    </row>
    <row r="416" spans="2:17">
      <c r="B416" s="197" t="s">
        <v>294</v>
      </c>
      <c r="E416" s="99">
        <v>7111.741</v>
      </c>
      <c r="F416" s="99">
        <v>10055.804</v>
      </c>
      <c r="G416" s="99">
        <v>16194.026</v>
      </c>
    </row>
    <row r="417" spans="1:17">
      <c r="B417" s="197" t="s">
        <v>295</v>
      </c>
      <c r="E417" s="99">
        <v>2919.636</v>
      </c>
      <c r="F417" s="99">
        <v>3046.1489999999999</v>
      </c>
      <c r="G417" s="99">
        <v>3381.2809999999999</v>
      </c>
    </row>
    <row r="418" spans="1:17">
      <c r="B418" s="98" t="s">
        <v>296</v>
      </c>
      <c r="C418" s="110"/>
      <c r="D418" s="110"/>
      <c r="E418" s="99">
        <v>82.793000000000006</v>
      </c>
      <c r="F418" s="99">
        <v>72.337999999999994</v>
      </c>
      <c r="G418" s="99">
        <v>107.616</v>
      </c>
      <c r="H418" s="92"/>
      <c r="I418" s="92"/>
      <c r="J418" s="92"/>
      <c r="K418" s="92"/>
      <c r="L418" s="92"/>
      <c r="M418" s="92"/>
      <c r="N418" s="92"/>
      <c r="O418" s="92"/>
      <c r="P418" s="92"/>
      <c r="Q418" s="92"/>
    </row>
    <row r="419" spans="1:17">
      <c r="B419" s="98" t="s">
        <v>297</v>
      </c>
      <c r="C419" s="110"/>
      <c r="D419" s="110"/>
      <c r="E419" s="99">
        <v>180.4</v>
      </c>
      <c r="F419" s="99">
        <v>271.3</v>
      </c>
      <c r="G419" s="99">
        <v>341.8</v>
      </c>
      <c r="H419" s="92"/>
      <c r="I419" s="92"/>
      <c r="J419" s="92"/>
      <c r="K419" s="92"/>
      <c r="L419" s="92"/>
      <c r="M419" s="92"/>
      <c r="N419" s="92"/>
      <c r="O419" s="92"/>
      <c r="P419" s="92"/>
      <c r="Q419" s="92"/>
    </row>
    <row r="420" spans="1:17">
      <c r="B420" s="98" t="s">
        <v>298</v>
      </c>
      <c r="C420" s="110"/>
      <c r="D420" s="110"/>
      <c r="E420" s="99">
        <f>E384-E415-E418-E419</f>
        <v>56.415999999998547</v>
      </c>
      <c r="F420" s="99">
        <f>F384-F415-F418-F419</f>
        <v>129.98600000000164</v>
      </c>
      <c r="G420" s="99">
        <f>G384-G415-G418-G419</f>
        <v>277.74199999999945</v>
      </c>
      <c r="H420" s="92"/>
      <c r="I420" s="92"/>
      <c r="J420" s="92"/>
      <c r="K420" s="92"/>
      <c r="L420" s="92"/>
      <c r="M420" s="92"/>
      <c r="N420" s="92"/>
      <c r="O420" s="92"/>
      <c r="P420" s="92"/>
      <c r="Q420" s="92"/>
    </row>
    <row r="421" spans="1:17">
      <c r="B421" s="187"/>
      <c r="C421" s="110"/>
      <c r="D421" s="110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</row>
    <row r="422" spans="1:17">
      <c r="B422" s="229" t="s">
        <v>211</v>
      </c>
      <c r="C422" s="110"/>
      <c r="D422" s="110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</row>
    <row r="423" spans="1:17">
      <c r="B423" s="98" t="s">
        <v>185</v>
      </c>
      <c r="C423" s="110"/>
      <c r="D423" s="110"/>
      <c r="E423" s="100">
        <f>E395</f>
        <v>10300.916999999999</v>
      </c>
      <c r="F423" s="100">
        <f>F395</f>
        <v>13034.937</v>
      </c>
      <c r="G423" s="100">
        <f>G395</f>
        <v>18815.532999999999</v>
      </c>
      <c r="H423" s="100">
        <f t="shared" ref="H423:K423" si="170">H395</f>
        <v>23488.694266370188</v>
      </c>
      <c r="I423" s="100">
        <f t="shared" si="170"/>
        <v>30953.193304944045</v>
      </c>
      <c r="J423" s="100">
        <f t="shared" si="170"/>
        <v>36254.606806848693</v>
      </c>
      <c r="K423" s="100">
        <f t="shared" si="170"/>
        <v>41867.391859232805</v>
      </c>
      <c r="L423" s="92"/>
      <c r="M423" s="92"/>
      <c r="N423" s="92"/>
      <c r="O423" s="92"/>
      <c r="P423" s="92"/>
      <c r="Q423" s="92"/>
    </row>
    <row r="424" spans="1:17">
      <c r="B424" s="197" t="s">
        <v>186</v>
      </c>
      <c r="C424" s="110"/>
      <c r="D424" s="110"/>
      <c r="E424" s="100"/>
      <c r="F424" s="100"/>
      <c r="G424" s="100">
        <f>G423-G425</f>
        <v>18003.434399999998</v>
      </c>
      <c r="H424" s="100">
        <f>H137*H430</f>
        <v>22359.74561186531</v>
      </c>
      <c r="I424" s="100">
        <f t="shared" ref="I424:K424" si="171">I137*I430</f>
        <v>28354.926052971543</v>
      </c>
      <c r="J424" s="100">
        <f t="shared" si="171"/>
        <v>32077.413900291678</v>
      </c>
      <c r="K424" s="100">
        <f t="shared" si="171"/>
        <v>36416.000929785689</v>
      </c>
      <c r="L424" s="92"/>
      <c r="M424" s="92"/>
      <c r="N424" s="92"/>
      <c r="O424" s="92"/>
      <c r="P424" s="92"/>
      <c r="Q424" s="92"/>
    </row>
    <row r="425" spans="1:17">
      <c r="A425" s="273" t="str">
        <f>"Rev"&amp;B425</f>
        <v>RevLucky Cup</v>
      </c>
      <c r="B425" s="197" t="s">
        <v>187</v>
      </c>
      <c r="C425" s="110"/>
      <c r="D425" s="110"/>
      <c r="E425" s="100"/>
      <c r="F425" s="100"/>
      <c r="G425" s="100">
        <f>G384*4%</f>
        <v>812.09860000000003</v>
      </c>
      <c r="H425" s="100">
        <f>H423-H424</f>
        <v>1128.9486545048785</v>
      </c>
      <c r="I425" s="100">
        <f t="shared" ref="I425:K425" si="172">I423-I424</f>
        <v>2598.267251972502</v>
      </c>
      <c r="J425" s="100">
        <f t="shared" si="172"/>
        <v>4177.1929065570148</v>
      </c>
      <c r="K425" s="100">
        <f t="shared" si="172"/>
        <v>5451.3909294471159</v>
      </c>
      <c r="L425" s="92"/>
      <c r="M425" s="92"/>
      <c r="N425" s="92"/>
      <c r="O425" s="92"/>
      <c r="P425" s="92"/>
      <c r="Q425" s="92"/>
    </row>
    <row r="426" spans="1:17">
      <c r="B426" s="98" t="s">
        <v>153</v>
      </c>
      <c r="C426" s="110"/>
      <c r="D426" s="110"/>
      <c r="E426" s="100">
        <f>E401</f>
        <v>50.068999999999505</v>
      </c>
      <c r="F426" s="100">
        <f>F401</f>
        <v>540.64000000000124</v>
      </c>
      <c r="G426" s="100">
        <f>G401</f>
        <v>1486.9320000000007</v>
      </c>
      <c r="H426" s="100">
        <f>H401</f>
        <v>1340.1797336298114</v>
      </c>
      <c r="I426" s="100">
        <f t="shared" ref="I426:K426" si="173">I401</f>
        <v>1378.4230849106302</v>
      </c>
      <c r="J426" s="100">
        <f t="shared" si="173"/>
        <v>1625.2699195733328</v>
      </c>
      <c r="K426" s="100">
        <f t="shared" si="173"/>
        <v>2023.2302463359031</v>
      </c>
      <c r="L426" s="92"/>
      <c r="M426" s="92"/>
      <c r="N426" s="92"/>
      <c r="O426" s="92"/>
      <c r="P426" s="92"/>
      <c r="Q426" s="92"/>
    </row>
    <row r="427" spans="1:17">
      <c r="B427" s="187"/>
      <c r="C427" s="110"/>
      <c r="D427" s="110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</row>
    <row r="428" spans="1:17">
      <c r="B428" s="268" t="s">
        <v>299</v>
      </c>
      <c r="C428" s="110"/>
      <c r="D428" s="110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</row>
    <row r="429" spans="1:17">
      <c r="B429" s="98" t="s">
        <v>185</v>
      </c>
      <c r="C429" s="110"/>
      <c r="D429" s="110"/>
      <c r="E429" s="134">
        <f t="shared" ref="E429:K429" si="174">E423/E43</f>
        <v>0.45378488986784138</v>
      </c>
      <c r="F429" s="134">
        <f t="shared" si="174"/>
        <v>0.43595107023411372</v>
      </c>
      <c r="G429" s="134">
        <f t="shared" si="174"/>
        <v>0.4212118423998209</v>
      </c>
      <c r="H429" s="134">
        <f>H423/H43</f>
        <v>0.42584994858821051</v>
      </c>
      <c r="I429" s="134">
        <f>I423/I43</f>
        <v>0.41343772638439369</v>
      </c>
      <c r="J429" s="134">
        <f t="shared" si="174"/>
        <v>0.42484525409017648</v>
      </c>
      <c r="K429" s="134">
        <f t="shared" si="174"/>
        <v>0.42218826442534857</v>
      </c>
      <c r="L429" s="92"/>
      <c r="M429" s="92"/>
      <c r="N429" s="92"/>
      <c r="O429" s="92"/>
      <c r="P429" s="92"/>
      <c r="Q429" s="92"/>
    </row>
    <row r="430" spans="1:17">
      <c r="B430" s="197" t="s">
        <v>186</v>
      </c>
      <c r="C430" s="110"/>
      <c r="D430" s="110"/>
      <c r="E430" s="134"/>
      <c r="F430" s="134"/>
      <c r="G430" s="134">
        <f>G424/G44</f>
        <v>0.42123150210575572</v>
      </c>
      <c r="H430" s="166">
        <f>H429</f>
        <v>0.42584994858821051</v>
      </c>
      <c r="I430" s="166">
        <f t="shared" ref="I430:K430" si="175">I429</f>
        <v>0.41343772638439369</v>
      </c>
      <c r="J430" s="166">
        <f t="shared" si="175"/>
        <v>0.42484525409017648</v>
      </c>
      <c r="K430" s="166">
        <f t="shared" si="175"/>
        <v>0.42218826442534857</v>
      </c>
      <c r="L430" s="92"/>
      <c r="M430" s="92"/>
      <c r="N430" s="92"/>
      <c r="O430" s="92"/>
      <c r="P430" s="92"/>
      <c r="Q430" s="92"/>
    </row>
    <row r="431" spans="1:17">
      <c r="B431" s="197" t="s">
        <v>187</v>
      </c>
      <c r="C431" s="110"/>
      <c r="D431" s="110"/>
      <c r="E431" s="134"/>
      <c r="F431" s="134"/>
      <c r="G431" s="134">
        <f>G425/G45</f>
        <v>0.42077647668393786</v>
      </c>
      <c r="H431" s="134">
        <f t="shared" ref="H431:K432" si="176">H425/H45</f>
        <v>0.42584994858821057</v>
      </c>
      <c r="I431" s="134">
        <f t="shared" si="176"/>
        <v>0.41343772638439363</v>
      </c>
      <c r="J431" s="134">
        <f t="shared" si="176"/>
        <v>0.42484525409017632</v>
      </c>
      <c r="K431" s="134">
        <f t="shared" si="176"/>
        <v>0.42218826442534813</v>
      </c>
      <c r="L431" s="92"/>
      <c r="M431" s="92"/>
      <c r="N431" s="92"/>
      <c r="O431" s="92"/>
      <c r="P431" s="92"/>
      <c r="Q431" s="92"/>
    </row>
    <row r="432" spans="1:17">
      <c r="B432" s="98" t="s">
        <v>153</v>
      </c>
      <c r="C432" s="110"/>
      <c r="D432" s="110"/>
      <c r="E432" s="134">
        <f>E426/E46</f>
        <v>0.50068999999999508</v>
      </c>
      <c r="F432" s="134">
        <f>F426/F46</f>
        <v>0.71685120086896337</v>
      </c>
      <c r="G432" s="134">
        <f>G426/G46</f>
        <v>0.46788117854809957</v>
      </c>
      <c r="H432" s="134">
        <f>H426/H46</f>
        <v>0.43078214954412869</v>
      </c>
      <c r="I432" s="134">
        <f t="shared" si="176"/>
        <v>0.42041811614995273</v>
      </c>
      <c r="J432" s="134">
        <f t="shared" si="176"/>
        <v>0.45603060621204244</v>
      </c>
      <c r="K432" s="134">
        <f t="shared" si="176"/>
        <v>0.45879331974817356</v>
      </c>
      <c r="L432" s="92"/>
      <c r="M432" s="92"/>
      <c r="N432" s="92"/>
      <c r="O432" s="92"/>
      <c r="P432" s="92"/>
      <c r="Q432" s="92"/>
    </row>
    <row r="433" spans="1:17">
      <c r="B433" s="187"/>
      <c r="C433" s="110"/>
      <c r="D433" s="110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</row>
    <row r="434" spans="1:17">
      <c r="B434" s="98" t="s">
        <v>185</v>
      </c>
      <c r="C434" s="110"/>
      <c r="D434" s="110"/>
      <c r="E434" s="78">
        <f>E395/E148</f>
        <v>0.45378488986784138</v>
      </c>
      <c r="F434" s="78">
        <f t="shared" ref="F434:G434" si="177">F395/F148</f>
        <v>0.43595107023411372</v>
      </c>
      <c r="G434" s="78">
        <f t="shared" si="177"/>
        <v>0.4212118423998209</v>
      </c>
      <c r="H434" s="92"/>
      <c r="I434" s="92"/>
      <c r="J434" s="92"/>
      <c r="K434" s="92"/>
      <c r="L434" s="92"/>
      <c r="M434" s="92"/>
      <c r="N434" s="92"/>
      <c r="O434" s="92"/>
      <c r="P434" s="92"/>
      <c r="Q434" s="92"/>
    </row>
    <row r="435" spans="1:17">
      <c r="B435" s="197" t="s">
        <v>216</v>
      </c>
      <c r="C435" s="110"/>
      <c r="D435" s="110"/>
      <c r="E435" s="78">
        <f t="shared" ref="E435:G438" si="178">E396/E149</f>
        <v>0.41369333333333336</v>
      </c>
      <c r="F435" s="78">
        <f t="shared" si="178"/>
        <v>0.39986444444444441</v>
      </c>
      <c r="G435" s="78">
        <f t="shared" si="178"/>
        <v>0.37539333333333336</v>
      </c>
      <c r="H435" s="92"/>
      <c r="I435" s="92"/>
      <c r="J435" s="92"/>
      <c r="K435" s="92"/>
      <c r="L435" s="92"/>
      <c r="M435" s="92"/>
      <c r="N435" s="92"/>
      <c r="O435" s="92"/>
      <c r="P435" s="92"/>
      <c r="Q435" s="92"/>
    </row>
    <row r="436" spans="1:17">
      <c r="B436" s="197" t="s">
        <v>217</v>
      </c>
      <c r="C436" s="110"/>
      <c r="D436" s="110"/>
      <c r="E436" s="78">
        <f t="shared" si="178"/>
        <v>0.43378478260869568</v>
      </c>
      <c r="F436" s="78">
        <f t="shared" si="178"/>
        <v>0.42467354838709681</v>
      </c>
      <c r="G436" s="78">
        <f t="shared" si="178"/>
        <v>0.40382747252747253</v>
      </c>
      <c r="H436" s="92"/>
      <c r="I436" s="92"/>
      <c r="J436" s="92"/>
      <c r="K436" s="92"/>
      <c r="L436" s="92"/>
      <c r="M436" s="92"/>
      <c r="N436" s="92"/>
      <c r="O436" s="92"/>
      <c r="P436" s="92"/>
      <c r="Q436" s="92"/>
    </row>
    <row r="437" spans="1:17">
      <c r="B437" s="197" t="s">
        <v>218</v>
      </c>
      <c r="C437" s="110"/>
      <c r="D437" s="110"/>
      <c r="E437" s="78">
        <f t="shared" si="178"/>
        <v>0.43145794871794868</v>
      </c>
      <c r="F437" s="78">
        <f t="shared" si="178"/>
        <v>0.42026490566037733</v>
      </c>
      <c r="G437" s="78">
        <f t="shared" si="178"/>
        <v>0.40757238095238096</v>
      </c>
      <c r="H437" s="92"/>
      <c r="I437" s="92"/>
      <c r="J437" s="92"/>
      <c r="K437" s="92"/>
      <c r="L437" s="92"/>
      <c r="M437" s="92"/>
      <c r="N437" s="92"/>
      <c r="O437" s="92"/>
      <c r="P437" s="92"/>
      <c r="Q437" s="92"/>
    </row>
    <row r="438" spans="1:17">
      <c r="B438" s="197" t="s">
        <v>219</v>
      </c>
      <c r="C438" s="110"/>
      <c r="D438" s="110"/>
      <c r="E438" s="78">
        <f t="shared" si="178"/>
        <v>0.45304407692307697</v>
      </c>
      <c r="F438" s="78">
        <f t="shared" si="178"/>
        <v>0.42606271084337349</v>
      </c>
      <c r="G438" s="78">
        <f t="shared" si="178"/>
        <v>0.41647538270583362</v>
      </c>
      <c r="H438" s="92"/>
      <c r="I438" s="92"/>
      <c r="J438" s="92"/>
      <c r="K438" s="92"/>
      <c r="L438" s="92"/>
      <c r="M438" s="92"/>
      <c r="N438" s="92"/>
      <c r="O438" s="92"/>
      <c r="P438" s="92"/>
      <c r="Q438" s="92"/>
    </row>
    <row r="439" spans="1:17">
      <c r="B439" s="197" t="s">
        <v>287</v>
      </c>
      <c r="C439" s="110"/>
      <c r="D439" s="110"/>
      <c r="H439" s="92"/>
      <c r="I439" s="92"/>
      <c r="J439" s="92"/>
      <c r="K439" s="92"/>
      <c r="L439" s="92"/>
      <c r="M439" s="92"/>
      <c r="N439" s="92"/>
      <c r="O439" s="92"/>
      <c r="P439" s="92"/>
      <c r="Q439" s="92"/>
    </row>
    <row r="440" spans="1:17">
      <c r="B440" s="98" t="s">
        <v>153</v>
      </c>
      <c r="C440" s="110"/>
      <c r="D440" s="110"/>
      <c r="E440" s="93">
        <f>E401/E153</f>
        <v>0.50068999999999508</v>
      </c>
      <c r="F440" s="93">
        <f t="shared" ref="F440:G440" si="179">F401/F153</f>
        <v>0.71685120086896337</v>
      </c>
      <c r="G440" s="93">
        <f t="shared" si="179"/>
        <v>0.46788117854809957</v>
      </c>
      <c r="H440" s="92"/>
      <c r="I440" s="92"/>
      <c r="J440" s="92"/>
      <c r="K440" s="92"/>
      <c r="L440" s="92"/>
      <c r="M440" s="92"/>
      <c r="N440" s="92"/>
      <c r="O440" s="92"/>
      <c r="P440" s="92"/>
      <c r="Q440" s="92"/>
    </row>
    <row r="441" spans="1:17">
      <c r="B441" s="187"/>
      <c r="C441" s="110"/>
      <c r="D441" s="110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</row>
    <row r="442" spans="1:17">
      <c r="B442" s="177" t="s">
        <v>41</v>
      </c>
      <c r="C442" s="177"/>
      <c r="D442" s="177"/>
      <c r="E442" s="177"/>
      <c r="F442" s="177"/>
      <c r="G442" s="177"/>
      <c r="H442" s="177"/>
      <c r="I442" s="177"/>
      <c r="J442" s="177"/>
      <c r="K442" s="177"/>
      <c r="L442" s="92"/>
      <c r="M442" s="92"/>
      <c r="N442" s="92"/>
      <c r="O442" s="92"/>
      <c r="P442" s="92"/>
      <c r="Q442" s="92"/>
    </row>
    <row r="443" spans="1:17" s="134" customFormat="1">
      <c r="A443" s="320"/>
      <c r="B443" s="194" t="s">
        <v>285</v>
      </c>
      <c r="C443" s="194"/>
      <c r="D443" s="194">
        <f>D384/C384-1</f>
        <v>0.82382797551080844</v>
      </c>
      <c r="E443" s="194">
        <f t="shared" ref="E443:K443" si="180">E384/D384-1</f>
        <v>1.2117504213090036</v>
      </c>
      <c r="F443" s="194">
        <f t="shared" si="180"/>
        <v>0.31152500834220076</v>
      </c>
      <c r="G443" s="194">
        <f t="shared" si="180"/>
        <v>0.49551396599938236</v>
      </c>
      <c r="H443" s="194">
        <f t="shared" si="180"/>
        <v>0.22294874046082569</v>
      </c>
      <c r="I443" s="194">
        <f t="shared" si="180"/>
        <v>0.3021781168914337</v>
      </c>
      <c r="J443" s="194">
        <f t="shared" si="180"/>
        <v>0.17160479295765496</v>
      </c>
      <c r="K443" s="194">
        <f t="shared" si="180"/>
        <v>0.15867911668662016</v>
      </c>
      <c r="L443" s="194"/>
      <c r="M443" s="194"/>
      <c r="N443" s="194"/>
      <c r="O443" s="194"/>
      <c r="P443" s="194"/>
      <c r="Q443" s="194"/>
    </row>
    <row r="444" spans="1:17">
      <c r="B444" s="110"/>
      <c r="C444" s="110"/>
      <c r="D444" s="110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</row>
    <row r="445" spans="1:17">
      <c r="B445" s="229" t="s">
        <v>286</v>
      </c>
      <c r="C445" s="110"/>
      <c r="D445" s="110"/>
      <c r="E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</row>
    <row r="446" spans="1:17">
      <c r="B446" s="98" t="s">
        <v>96</v>
      </c>
      <c r="C446" s="110"/>
      <c r="D446" s="110"/>
      <c r="E446" s="92"/>
      <c r="F446" s="78">
        <f>F387/E387-1</f>
        <v>0.32707699367496823</v>
      </c>
      <c r="G446" s="78">
        <f>G387/F387-1</f>
        <v>0.52658308954881283</v>
      </c>
      <c r="H446" s="78">
        <f t="shared" ref="H446:K448" si="181">H387/G387-1</f>
        <v>0.22401878685045729</v>
      </c>
      <c r="I446" s="78">
        <f t="shared" si="181"/>
        <v>0.30242407809248562</v>
      </c>
      <c r="J446" s="78">
        <f t="shared" si="181"/>
        <v>0.18000747506696135</v>
      </c>
      <c r="K446" s="78">
        <f t="shared" si="181"/>
        <v>0.16337717219768422</v>
      </c>
      <c r="L446" s="92"/>
      <c r="M446" s="92"/>
      <c r="N446" s="92"/>
      <c r="O446" s="92"/>
      <c r="P446" s="92"/>
      <c r="Q446" s="92"/>
    </row>
    <row r="447" spans="1:17">
      <c r="B447" s="197" t="s">
        <v>213</v>
      </c>
      <c r="C447" s="110"/>
      <c r="D447" s="110"/>
      <c r="E447" s="92"/>
      <c r="F447" s="78">
        <f>F388/E388-1</f>
        <v>0.32166246391052056</v>
      </c>
      <c r="G447" s="78">
        <f t="shared" ref="G447:J448" si="182">G388/F388-1</f>
        <v>0.52624099569618332</v>
      </c>
      <c r="H447" s="78">
        <f t="shared" si="182"/>
        <v>0.22778799274102779</v>
      </c>
      <c r="I447" s="78">
        <f t="shared" si="182"/>
        <v>0.31133296806015487</v>
      </c>
      <c r="J447" s="78">
        <f t="shared" si="182"/>
        <v>0.18268333511970436</v>
      </c>
      <c r="K447" s="78">
        <f t="shared" si="181"/>
        <v>0.16516954238358572</v>
      </c>
      <c r="L447" s="92"/>
      <c r="M447" s="92"/>
      <c r="N447" s="92"/>
      <c r="O447" s="92"/>
      <c r="P447" s="92"/>
      <c r="Q447" s="92"/>
    </row>
    <row r="448" spans="1:17">
      <c r="B448" s="197" t="s">
        <v>214</v>
      </c>
      <c r="C448" s="110"/>
      <c r="D448" s="110"/>
      <c r="E448" s="92"/>
      <c r="F448" s="78">
        <f>F389/E389-1</f>
        <v>-0.12627879168528755</v>
      </c>
      <c r="G448" s="78">
        <f t="shared" si="182"/>
        <v>0.48768282230639515</v>
      </c>
      <c r="H448" s="78">
        <f t="shared" si="182"/>
        <v>-0.34467436211400648</v>
      </c>
      <c r="I448" s="78">
        <f t="shared" si="182"/>
        <v>-0.40366694810405002</v>
      </c>
      <c r="J448" s="78">
        <f t="shared" si="182"/>
        <v>-0.13869292520595866</v>
      </c>
      <c r="K448" s="78">
        <f t="shared" si="181"/>
        <v>1.4504425853546943E-2</v>
      </c>
      <c r="L448" s="92"/>
      <c r="M448" s="92"/>
      <c r="N448" s="92"/>
      <c r="O448" s="92"/>
      <c r="P448" s="92"/>
      <c r="Q448" s="92"/>
    </row>
    <row r="449" spans="2:17">
      <c r="B449" s="197" t="s">
        <v>287</v>
      </c>
      <c r="C449" s="110"/>
      <c r="D449" s="110"/>
      <c r="E449" s="92"/>
      <c r="F449" s="78">
        <f>F390/E390-1</f>
        <v>0.69450543882171845</v>
      </c>
      <c r="G449" s="78">
        <f>G390/F390-1</f>
        <v>0.54389138918376645</v>
      </c>
      <c r="H449" s="78">
        <f>H390/G390-1</f>
        <v>0.21065813291475588</v>
      </c>
      <c r="I449" s="146">
        <v>0.1</v>
      </c>
      <c r="J449" s="146">
        <v>0.1</v>
      </c>
      <c r="K449" s="146">
        <v>0.1</v>
      </c>
      <c r="L449" s="92"/>
      <c r="M449" s="92"/>
      <c r="N449" s="92"/>
      <c r="O449" s="92"/>
      <c r="P449" s="92"/>
      <c r="Q449" s="92"/>
    </row>
    <row r="450" spans="2:17">
      <c r="B450" s="98" t="s">
        <v>97</v>
      </c>
      <c r="C450" s="110"/>
      <c r="D450" s="110"/>
      <c r="E450" s="92"/>
      <c r="F450" s="78">
        <f>F391/E391-1</f>
        <v>7.381224316444368E-2</v>
      </c>
      <c r="G450" s="78">
        <f>G391/F391-1</f>
        <v>-1.5834053771644818E-2</v>
      </c>
      <c r="H450" s="78">
        <f t="shared" ref="H450:K451" si="183">H391/G391-1</f>
        <v>2.6930079547938357E-2</v>
      </c>
      <c r="I450" s="78">
        <f t="shared" si="183"/>
        <v>0.34545276536173986</v>
      </c>
      <c r="J450" s="78">
        <f t="shared" si="183"/>
        <v>-0.10139252016768951</v>
      </c>
      <c r="K450" s="78">
        <f t="shared" si="183"/>
        <v>-3.1432010975167235E-2</v>
      </c>
      <c r="L450" s="92"/>
      <c r="M450" s="92"/>
      <c r="N450" s="92"/>
      <c r="O450" s="92"/>
      <c r="P450" s="92"/>
      <c r="Q450" s="92"/>
    </row>
    <row r="451" spans="2:17">
      <c r="B451" s="98" t="s">
        <v>98</v>
      </c>
      <c r="C451" s="110"/>
      <c r="D451" s="110"/>
      <c r="E451" s="92"/>
      <c r="F451" s="78">
        <f>F392/E392-1</f>
        <v>0.40617266348239656</v>
      </c>
      <c r="G451" s="78">
        <f>G392/F392-1</f>
        <v>0.4692102394739035</v>
      </c>
      <c r="H451" s="78">
        <f t="shared" si="183"/>
        <v>0.52826593841042291</v>
      </c>
      <c r="I451" s="78">
        <f t="shared" si="183"/>
        <v>0.24008564472551108</v>
      </c>
      <c r="J451" s="78">
        <f t="shared" si="183"/>
        <v>0.19912288929673805</v>
      </c>
      <c r="K451" s="78">
        <f t="shared" si="183"/>
        <v>0.16358022929454208</v>
      </c>
      <c r="L451" s="92"/>
      <c r="M451" s="92"/>
      <c r="N451" s="92"/>
      <c r="O451" s="92"/>
      <c r="P451" s="92"/>
      <c r="Q451" s="92"/>
    </row>
    <row r="452" spans="2:17">
      <c r="C452" s="110"/>
      <c r="D452" s="110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</row>
    <row r="453" spans="2:17">
      <c r="B453" s="229" t="s">
        <v>225</v>
      </c>
      <c r="C453" s="110"/>
      <c r="D453" s="110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</row>
    <row r="454" spans="2:17">
      <c r="B454" s="98" t="s">
        <v>185</v>
      </c>
      <c r="C454" s="110"/>
      <c r="D454" s="110"/>
      <c r="E454" s="92"/>
      <c r="F454" s="78">
        <f>F395/E395-1</f>
        <v>0.2654152052676475</v>
      </c>
      <c r="G454" s="78">
        <f t="shared" ref="G454:K454" si="184">G395/F395-1</f>
        <v>0.44346942374942055</v>
      </c>
      <c r="H454" s="78">
        <f t="shared" si="184"/>
        <v>0.24836720099134002</v>
      </c>
      <c r="I454" s="78">
        <f t="shared" si="184"/>
        <v>0.31779114470663083</v>
      </c>
      <c r="J454" s="78">
        <f t="shared" si="184"/>
        <v>0.17127194114275346</v>
      </c>
      <c r="K454" s="78">
        <f t="shared" si="184"/>
        <v>0.15481577506237976</v>
      </c>
      <c r="L454" s="92"/>
      <c r="M454" s="92"/>
      <c r="N454" s="92"/>
      <c r="O454" s="92"/>
      <c r="P454" s="92"/>
      <c r="Q454" s="92"/>
    </row>
    <row r="455" spans="2:17">
      <c r="B455" s="197" t="s">
        <v>216</v>
      </c>
      <c r="C455" s="110"/>
      <c r="D455" s="110"/>
      <c r="E455" s="92"/>
      <c r="F455" s="78">
        <f t="shared" ref="F455:K460" si="185">F396/E396-1</f>
        <v>0.4498581880297805</v>
      </c>
      <c r="G455" s="78">
        <f t="shared" si="185"/>
        <v>0.56466913787450213</v>
      </c>
      <c r="H455" s="92"/>
      <c r="I455" s="92"/>
      <c r="J455" s="92"/>
      <c r="K455" s="92"/>
      <c r="L455" s="92"/>
      <c r="M455" s="92"/>
      <c r="N455" s="92"/>
      <c r="O455" s="92"/>
      <c r="P455" s="92"/>
      <c r="Q455" s="92"/>
    </row>
    <row r="456" spans="2:17">
      <c r="B456" s="197" t="s">
        <v>217</v>
      </c>
      <c r="C456" s="110"/>
      <c r="D456" s="110"/>
      <c r="E456" s="92"/>
      <c r="F456" s="78">
        <f t="shared" si="185"/>
        <v>0.3195162898852868</v>
      </c>
      <c r="G456" s="78">
        <f t="shared" si="185"/>
        <v>0.39569445372840462</v>
      </c>
      <c r="H456" s="92"/>
      <c r="I456" s="92"/>
      <c r="J456" s="92"/>
      <c r="K456" s="92"/>
      <c r="L456" s="92"/>
      <c r="M456" s="92"/>
      <c r="N456" s="92"/>
      <c r="O456" s="92"/>
      <c r="P456" s="92"/>
      <c r="Q456" s="92"/>
    </row>
    <row r="457" spans="2:17">
      <c r="B457" s="197" t="s">
        <v>218</v>
      </c>
      <c r="C457" s="110"/>
      <c r="D457" s="110"/>
      <c r="E457" s="92"/>
      <c r="F457" s="78">
        <f t="shared" si="185"/>
        <v>0.32371933919935159</v>
      </c>
      <c r="G457" s="78">
        <f t="shared" si="185"/>
        <v>0.53703953122109871</v>
      </c>
      <c r="H457" s="92"/>
      <c r="I457" s="92"/>
      <c r="J457" s="92"/>
      <c r="K457" s="92"/>
      <c r="L457" s="92"/>
      <c r="M457" s="92"/>
      <c r="N457" s="92"/>
      <c r="O457" s="92"/>
      <c r="P457" s="92"/>
      <c r="Q457" s="92"/>
    </row>
    <row r="458" spans="2:17">
      <c r="B458" s="197" t="s">
        <v>219</v>
      </c>
      <c r="C458" s="110"/>
      <c r="D458" s="110"/>
      <c r="E458" s="92"/>
      <c r="F458" s="78">
        <f t="shared" si="185"/>
        <v>0.2008750040113263</v>
      </c>
      <c r="G458" s="78">
        <f t="shared" si="185"/>
        <v>0.42326041997607389</v>
      </c>
      <c r="H458" s="92"/>
      <c r="I458" s="92"/>
      <c r="J458" s="92"/>
      <c r="K458" s="92"/>
      <c r="L458" s="92"/>
      <c r="M458" s="92"/>
      <c r="N458" s="92"/>
      <c r="O458" s="92"/>
      <c r="P458" s="92"/>
      <c r="Q458" s="92"/>
    </row>
    <row r="459" spans="2:17">
      <c r="B459" s="197" t="s">
        <v>287</v>
      </c>
      <c r="C459" s="110"/>
      <c r="D459" s="110"/>
      <c r="E459" s="92"/>
      <c r="F459" s="78">
        <f t="shared" si="185"/>
        <v>0.61374231470847262</v>
      </c>
      <c r="G459" s="78">
        <f t="shared" si="185"/>
        <v>0.37299822064056487</v>
      </c>
      <c r="H459" s="92"/>
      <c r="I459" s="92"/>
      <c r="J459" s="92"/>
      <c r="K459" s="92"/>
      <c r="L459" s="92"/>
      <c r="M459" s="92"/>
      <c r="N459" s="92"/>
      <c r="O459" s="92"/>
      <c r="P459" s="92"/>
      <c r="Q459" s="92"/>
    </row>
    <row r="460" spans="2:17">
      <c r="B460" s="98" t="s">
        <v>153</v>
      </c>
      <c r="C460" s="110"/>
      <c r="D460" s="110"/>
      <c r="E460" s="92"/>
      <c r="F460" s="78">
        <f t="shared" si="185"/>
        <v>9.7978988995187954</v>
      </c>
      <c r="G460" s="78">
        <f t="shared" si="185"/>
        <v>1.7503181414619662</v>
      </c>
      <c r="H460" s="78">
        <f t="shared" si="185"/>
        <v>-9.8694672231271707E-2</v>
      </c>
      <c r="I460" s="78">
        <f t="shared" si="185"/>
        <v>2.8535986868894581E-2</v>
      </c>
      <c r="J460" s="78">
        <f t="shared" si="185"/>
        <v>0.1790791502006126</v>
      </c>
      <c r="K460" s="78">
        <f t="shared" si="185"/>
        <v>0.2448579906450512</v>
      </c>
      <c r="L460" s="92"/>
      <c r="M460" s="92"/>
      <c r="N460" s="92"/>
      <c r="O460" s="92"/>
      <c r="P460" s="92"/>
      <c r="Q460" s="92"/>
    </row>
    <row r="461" spans="2:17">
      <c r="B461" s="187"/>
      <c r="C461" s="110"/>
      <c r="D461" s="110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</row>
    <row r="462" spans="2:17">
      <c r="B462" s="229" t="s">
        <v>300</v>
      </c>
      <c r="C462" s="110"/>
      <c r="D462" s="110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</row>
    <row r="463" spans="2:17">
      <c r="B463" s="187" t="s">
        <v>185</v>
      </c>
      <c r="C463" s="110"/>
      <c r="D463" s="110"/>
      <c r="E463" s="92"/>
      <c r="F463" s="92"/>
      <c r="G463" s="78">
        <f>G406/F406-1</f>
        <v>0.12088547040645903</v>
      </c>
      <c r="H463" s="92"/>
      <c r="I463" s="92"/>
      <c r="J463" s="92"/>
      <c r="K463" s="92"/>
      <c r="L463" s="92"/>
      <c r="M463" s="92"/>
      <c r="N463" s="92"/>
      <c r="O463" s="92"/>
      <c r="P463" s="92"/>
      <c r="Q463" s="92"/>
    </row>
    <row r="464" spans="2:17">
      <c r="B464" s="197" t="s">
        <v>216</v>
      </c>
      <c r="C464" s="110"/>
      <c r="D464" s="110"/>
      <c r="E464" s="92"/>
      <c r="F464" s="92"/>
      <c r="G464" s="78">
        <f t="shared" ref="G464:G469" si="186">G407/F407-1</f>
        <v>0.14151962260026552</v>
      </c>
      <c r="H464" s="92"/>
      <c r="I464" s="92"/>
      <c r="J464" s="92"/>
      <c r="K464" s="92"/>
      <c r="L464" s="92"/>
      <c r="M464" s="92"/>
      <c r="N464" s="92"/>
      <c r="O464" s="92"/>
      <c r="P464" s="92"/>
      <c r="Q464" s="92"/>
    </row>
    <row r="465" spans="2:17">
      <c r="B465" s="197" t="s">
        <v>217</v>
      </c>
      <c r="C465" s="110"/>
      <c r="D465" s="110"/>
      <c r="E465" s="92"/>
      <c r="F465" s="92"/>
      <c r="G465" s="78">
        <f t="shared" si="186"/>
        <v>9.4970831354723284E-2</v>
      </c>
      <c r="H465" s="92"/>
      <c r="I465" s="92"/>
      <c r="J465" s="92"/>
      <c r="K465" s="92"/>
      <c r="L465" s="92"/>
      <c r="M465" s="92"/>
      <c r="N465" s="92"/>
      <c r="O465" s="92"/>
      <c r="P465" s="92"/>
      <c r="Q465" s="92"/>
    </row>
    <row r="466" spans="2:17">
      <c r="B466" s="197" t="s">
        <v>218</v>
      </c>
      <c r="C466" s="110"/>
      <c r="D466" s="110"/>
      <c r="E466" s="92"/>
      <c r="F466" s="92"/>
      <c r="G466" s="78">
        <f t="shared" si="186"/>
        <v>0.13919724373091724</v>
      </c>
      <c r="H466" s="92"/>
      <c r="I466" s="92"/>
      <c r="J466" s="92"/>
      <c r="K466" s="92"/>
      <c r="L466" s="92"/>
      <c r="M466" s="92"/>
      <c r="N466" s="92"/>
      <c r="O466" s="92"/>
      <c r="P466" s="92"/>
      <c r="Q466" s="92"/>
    </row>
    <row r="467" spans="2:17">
      <c r="B467" s="197" t="s">
        <v>219</v>
      </c>
      <c r="C467" s="110"/>
      <c r="D467" s="110"/>
      <c r="E467" s="92"/>
      <c r="F467" s="92"/>
      <c r="G467" s="78">
        <f t="shared" si="186"/>
        <v>0.12189911231028105</v>
      </c>
      <c r="H467" s="92"/>
      <c r="I467" s="92"/>
      <c r="J467" s="92"/>
      <c r="K467" s="92"/>
      <c r="L467" s="92"/>
      <c r="M467" s="92"/>
      <c r="N467" s="92"/>
      <c r="O467" s="92"/>
      <c r="P467" s="92"/>
      <c r="Q467" s="92"/>
    </row>
    <row r="468" spans="2:17">
      <c r="B468" s="197" t="s">
        <v>287</v>
      </c>
      <c r="C468" s="110"/>
      <c r="D468" s="110"/>
      <c r="E468" s="92"/>
      <c r="F468" s="92"/>
      <c r="G468" s="78"/>
      <c r="H468" s="92"/>
      <c r="I468" s="92"/>
      <c r="J468" s="92"/>
      <c r="K468" s="92"/>
      <c r="L468" s="92"/>
      <c r="M468" s="92"/>
      <c r="N468" s="92"/>
      <c r="O468" s="92"/>
      <c r="P468" s="92"/>
      <c r="Q468" s="92"/>
    </row>
    <row r="469" spans="2:17">
      <c r="B469" s="187" t="s">
        <v>153</v>
      </c>
      <c r="C469" s="110"/>
      <c r="D469" s="110"/>
      <c r="E469" s="92"/>
      <c r="F469" s="92"/>
      <c r="G469" s="78">
        <f t="shared" si="186"/>
        <v>-7.2901246797427377E-2</v>
      </c>
      <c r="H469" s="92"/>
      <c r="I469" s="92"/>
      <c r="J469" s="92"/>
      <c r="K469" s="92"/>
      <c r="L469" s="92"/>
      <c r="M469" s="92"/>
      <c r="N469" s="92"/>
      <c r="O469" s="92"/>
      <c r="P469" s="92"/>
      <c r="Q469" s="92"/>
    </row>
    <row r="470" spans="2:17">
      <c r="B470" s="187"/>
      <c r="C470" s="110"/>
      <c r="D470" s="110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</row>
    <row r="471" spans="2:17">
      <c r="B471" s="229" t="s">
        <v>220</v>
      </c>
      <c r="C471" s="110"/>
      <c r="D471" s="110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</row>
    <row r="472" spans="2:17">
      <c r="B472" s="98" t="s">
        <v>293</v>
      </c>
      <c r="C472" s="110"/>
      <c r="D472" s="110"/>
      <c r="E472" s="92"/>
      <c r="F472" s="78">
        <f>F415/E415-1</f>
        <v>0.30609715894438017</v>
      </c>
      <c r="G472" s="78">
        <f>G415/F415-1</f>
        <v>0.494075501568354</v>
      </c>
      <c r="H472" s="92"/>
      <c r="I472" s="92"/>
      <c r="J472" s="92"/>
      <c r="K472" s="92"/>
      <c r="L472" s="92"/>
      <c r="M472" s="92"/>
      <c r="N472" s="92"/>
      <c r="O472" s="92"/>
      <c r="P472" s="92"/>
      <c r="Q472" s="92"/>
    </row>
    <row r="473" spans="2:17">
      <c r="B473" s="197" t="s">
        <v>294</v>
      </c>
      <c r="C473" s="110"/>
      <c r="D473" s="110"/>
      <c r="E473" s="92"/>
      <c r="F473" s="78">
        <f t="shared" ref="F473:G477" si="187">F416/E416-1</f>
        <v>0.41397219049456391</v>
      </c>
      <c r="G473" s="78">
        <f t="shared" si="187"/>
        <v>0.6104158354717335</v>
      </c>
      <c r="H473" s="92"/>
      <c r="I473" s="92"/>
      <c r="J473" s="92"/>
      <c r="K473" s="92"/>
      <c r="L473" s="92"/>
      <c r="M473" s="92"/>
      <c r="N473" s="92"/>
      <c r="O473" s="92"/>
      <c r="P473" s="92"/>
      <c r="Q473" s="92"/>
    </row>
    <row r="474" spans="2:17">
      <c r="B474" s="197" t="s">
        <v>295</v>
      </c>
      <c r="C474" s="110"/>
      <c r="D474" s="110"/>
      <c r="E474" s="92"/>
      <c r="F474" s="78">
        <f t="shared" si="187"/>
        <v>4.3331771494802718E-2</v>
      </c>
      <c r="G474" s="78">
        <f t="shared" si="187"/>
        <v>0.1100182558371241</v>
      </c>
      <c r="H474" s="92"/>
      <c r="I474" s="92"/>
      <c r="J474" s="92"/>
      <c r="K474" s="92"/>
      <c r="L474" s="92"/>
      <c r="M474" s="92"/>
      <c r="N474" s="92"/>
      <c r="O474" s="92"/>
      <c r="P474" s="92"/>
      <c r="Q474" s="92"/>
    </row>
    <row r="475" spans="2:17">
      <c r="B475" s="98" t="s">
        <v>296</v>
      </c>
      <c r="C475" s="110"/>
      <c r="D475" s="110"/>
      <c r="E475" s="92"/>
      <c r="F475" s="78">
        <f t="shared" si="187"/>
        <v>-0.12627879168528755</v>
      </c>
      <c r="G475" s="78">
        <f t="shared" si="187"/>
        <v>0.48768282230639515</v>
      </c>
      <c r="H475" s="92"/>
      <c r="I475" s="92"/>
      <c r="J475" s="92"/>
      <c r="K475" s="92"/>
      <c r="L475" s="92"/>
      <c r="M475" s="92"/>
      <c r="N475" s="92"/>
      <c r="O475" s="92"/>
      <c r="P475" s="92"/>
      <c r="Q475" s="92"/>
    </row>
    <row r="476" spans="2:17">
      <c r="B476" s="98" t="s">
        <v>297</v>
      </c>
      <c r="C476" s="110"/>
      <c r="D476" s="110"/>
      <c r="E476" s="92"/>
      <c r="F476" s="78">
        <f t="shared" si="187"/>
        <v>0.50388026607538805</v>
      </c>
      <c r="G476" s="78">
        <f t="shared" si="187"/>
        <v>0.25985993365278293</v>
      </c>
      <c r="H476" s="92"/>
      <c r="I476" s="92"/>
      <c r="J476" s="92"/>
      <c r="K476" s="92"/>
      <c r="L476" s="92"/>
      <c r="M476" s="92"/>
      <c r="N476" s="92"/>
      <c r="O476" s="92"/>
      <c r="P476" s="92"/>
      <c r="Q476" s="92"/>
    </row>
    <row r="477" spans="2:17">
      <c r="B477" s="98" t="s">
        <v>298</v>
      </c>
      <c r="C477" s="110"/>
      <c r="D477" s="110"/>
      <c r="E477" s="92"/>
      <c r="F477" s="78">
        <f t="shared" si="187"/>
        <v>1.3040626772547679</v>
      </c>
      <c r="G477" s="78">
        <f t="shared" si="187"/>
        <v>1.1367070299878135</v>
      </c>
      <c r="H477" s="92"/>
      <c r="I477" s="92"/>
      <c r="J477" s="92"/>
      <c r="K477" s="92"/>
      <c r="L477" s="92"/>
      <c r="M477" s="92"/>
      <c r="N477" s="92"/>
      <c r="O477" s="92"/>
      <c r="P477" s="92"/>
      <c r="Q477" s="92"/>
    </row>
    <row r="478" spans="2:17">
      <c r="B478" s="187"/>
      <c r="C478" s="110"/>
      <c r="D478" s="110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</row>
    <row r="479" spans="2:17">
      <c r="B479" s="177" t="s">
        <v>238</v>
      </c>
      <c r="C479" s="177"/>
      <c r="D479" s="177"/>
      <c r="E479" s="177"/>
      <c r="F479" s="177"/>
      <c r="G479" s="177"/>
      <c r="H479" s="177"/>
      <c r="I479" s="177"/>
      <c r="J479" s="177"/>
      <c r="K479" s="177"/>
      <c r="L479" s="92"/>
      <c r="M479" s="92"/>
      <c r="N479" s="92"/>
      <c r="O479" s="92"/>
      <c r="P479" s="92"/>
      <c r="Q479" s="92"/>
    </row>
    <row r="480" spans="2:17">
      <c r="B480" s="229" t="s">
        <v>286</v>
      </c>
      <c r="C480" s="110"/>
      <c r="D480" s="110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</row>
    <row r="481" spans="2:17">
      <c r="B481" s="98" t="s">
        <v>96</v>
      </c>
      <c r="C481" s="110"/>
      <c r="D481" s="110"/>
      <c r="E481" s="134">
        <f>E387/E$384</f>
        <v>0.91369653093917824</v>
      </c>
      <c r="F481" s="134">
        <f>F387/F$384</f>
        <v>0.92453108991242128</v>
      </c>
      <c r="G481" s="134">
        <f t="shared" ref="G481:K486" si="188">G387/G$384</f>
        <v>0.94373811258879148</v>
      </c>
      <c r="H481" s="134">
        <f t="shared" si="188"/>
        <v>0.94456385738636395</v>
      </c>
      <c r="I481" s="134">
        <f t="shared" si="188"/>
        <v>0.9447422708136971</v>
      </c>
      <c r="J481" s="134">
        <f t="shared" si="188"/>
        <v>0.95151790797785696</v>
      </c>
      <c r="K481" s="134">
        <f t="shared" si="188"/>
        <v>0.95537599421335828</v>
      </c>
      <c r="L481" s="92"/>
      <c r="M481" s="92"/>
      <c r="N481" s="92"/>
      <c r="O481" s="92"/>
      <c r="P481" s="92"/>
      <c r="Q481" s="92"/>
    </row>
    <row r="482" spans="2:17">
      <c r="B482" s="197" t="s">
        <v>213</v>
      </c>
      <c r="C482" s="110"/>
      <c r="D482" s="110"/>
      <c r="E482" s="134">
        <f t="shared" ref="E482:J486" si="189">E388/E$384</f>
        <v>0.882819375854629</v>
      </c>
      <c r="F482" s="134">
        <f t="shared" si="189"/>
        <v>0.88964314371315467</v>
      </c>
      <c r="G482" s="134">
        <f t="shared" si="189"/>
        <v>0.9079218705708888</v>
      </c>
      <c r="H482" s="134">
        <f t="shared" si="189"/>
        <v>0.91151455016328919</v>
      </c>
      <c r="I482" s="134">
        <f t="shared" si="189"/>
        <v>0.91792287475162537</v>
      </c>
      <c r="J482" s="134">
        <f t="shared" si="189"/>
        <v>0.92660263377153662</v>
      </c>
      <c r="K482" s="134">
        <f t="shared" si="188"/>
        <v>0.93179306609960399</v>
      </c>
      <c r="L482" s="92"/>
      <c r="M482" s="92"/>
      <c r="N482" s="92"/>
      <c r="O482" s="92"/>
      <c r="P482" s="92"/>
      <c r="Q482" s="92"/>
    </row>
    <row r="483" spans="2:17">
      <c r="B483" s="197" t="s">
        <v>214</v>
      </c>
      <c r="C483" s="110"/>
      <c r="D483" s="110"/>
      <c r="E483" s="134">
        <f t="shared" si="189"/>
        <v>7.9985616829160062E-3</v>
      </c>
      <c r="F483" s="134">
        <f t="shared" si="189"/>
        <v>5.3285396267134712E-3</v>
      </c>
      <c r="G483" s="134">
        <f t="shared" si="189"/>
        <v>5.3006371393818433E-3</v>
      </c>
      <c r="H483" s="134">
        <f t="shared" si="189"/>
        <v>2.8403834924910039E-3</v>
      </c>
      <c r="I483" s="134">
        <f t="shared" si="189"/>
        <v>1.3007548926375144E-3</v>
      </c>
      <c r="J483" s="134">
        <f t="shared" si="189"/>
        <v>9.5625197023425576E-4</v>
      </c>
      <c r="K483" s="134">
        <f t="shared" si="188"/>
        <v>8.372653326211702E-4</v>
      </c>
      <c r="L483" s="92"/>
      <c r="M483" s="92"/>
      <c r="N483" s="92"/>
      <c r="O483" s="92"/>
      <c r="P483" s="92"/>
      <c r="Q483" s="92"/>
    </row>
    <row r="484" spans="2:17">
      <c r="B484" s="197" t="s">
        <v>287</v>
      </c>
      <c r="C484" s="110"/>
      <c r="D484" s="110"/>
      <c r="E484" s="134">
        <f t="shared" si="189"/>
        <v>2.2878593401633292E-2</v>
      </c>
      <c r="F484" s="134">
        <f t="shared" si="189"/>
        <v>2.9559406572553168E-2</v>
      </c>
      <c r="G484" s="134">
        <f t="shared" si="189"/>
        <v>3.0515604878520883E-2</v>
      </c>
      <c r="H484" s="134">
        <f t="shared" si="189"/>
        <v>3.0208923730583721E-2</v>
      </c>
      <c r="I484" s="134">
        <f t="shared" si="189"/>
        <v>2.5518641169434239E-2</v>
      </c>
      <c r="J484" s="134">
        <f t="shared" si="189"/>
        <v>2.3959022236086237E-2</v>
      </c>
      <c r="K484" s="134">
        <f t="shared" si="188"/>
        <v>2.2745662781132957E-2</v>
      </c>
      <c r="L484" s="92"/>
      <c r="M484" s="92"/>
      <c r="N484" s="92"/>
      <c r="O484" s="92"/>
      <c r="P484" s="92"/>
      <c r="Q484" s="92"/>
    </row>
    <row r="485" spans="2:17">
      <c r="B485" s="98" t="s">
        <v>97</v>
      </c>
      <c r="C485" s="110"/>
      <c r="D485" s="110"/>
      <c r="E485" s="134">
        <f t="shared" si="189"/>
        <v>6.7331170189970313E-2</v>
      </c>
      <c r="F485" s="134">
        <f t="shared" si="189"/>
        <v>5.5127454251115801E-2</v>
      </c>
      <c r="G485" s="134">
        <f t="shared" si="189"/>
        <v>3.6278205626755176E-2</v>
      </c>
      <c r="H485" s="134">
        <f t="shared" si="189"/>
        <v>3.0463403213532757E-2</v>
      </c>
      <c r="I485" s="134">
        <f t="shared" si="189"/>
        <v>3.147577859304064E-2</v>
      </c>
      <c r="J485" s="134">
        <f t="shared" si="189"/>
        <v>2.414156228044239E-2</v>
      </c>
      <c r="K485" s="134">
        <f t="shared" si="188"/>
        <v>2.0180517706016452E-2</v>
      </c>
      <c r="L485" s="92"/>
      <c r="M485" s="92"/>
      <c r="N485" s="92"/>
      <c r="O485" s="92"/>
      <c r="P485" s="92"/>
      <c r="Q485" s="92"/>
    </row>
    <row r="486" spans="2:17">
      <c r="B486" s="98" t="s">
        <v>98</v>
      </c>
      <c r="C486" s="110"/>
      <c r="D486" s="110"/>
      <c r="E486" s="134">
        <f t="shared" si="189"/>
        <v>1.8972298870851532E-2</v>
      </c>
      <c r="F486" s="134">
        <f t="shared" si="189"/>
        <v>2.0341455836462786E-2</v>
      </c>
      <c r="G486" s="134">
        <f t="shared" si="189"/>
        <v>1.9983681784453269E-2</v>
      </c>
      <c r="H486" s="134">
        <f t="shared" si="189"/>
        <v>2.4972739400103281E-2</v>
      </c>
      <c r="I486" s="134">
        <f t="shared" si="189"/>
        <v>2.3781950593262172E-2</v>
      </c>
      <c r="J486" s="134">
        <f t="shared" si="189"/>
        <v>2.4340529741700628E-2</v>
      </c>
      <c r="K486" s="134">
        <f t="shared" si="188"/>
        <v>2.444348808062512E-2</v>
      </c>
      <c r="L486" s="92"/>
      <c r="M486" s="92"/>
      <c r="N486" s="92"/>
      <c r="O486" s="92"/>
      <c r="P486" s="92"/>
      <c r="Q486" s="92"/>
    </row>
    <row r="487" spans="2:17">
      <c r="B487" s="187"/>
      <c r="C487" s="110"/>
      <c r="D487" s="110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</row>
    <row r="488" spans="2:17">
      <c r="B488" s="229" t="s">
        <v>211</v>
      </c>
      <c r="C488" s="110"/>
      <c r="D488" s="110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</row>
    <row r="489" spans="2:17">
      <c r="B489" s="98" t="s">
        <v>185</v>
      </c>
      <c r="C489" s="110"/>
      <c r="D489" s="110"/>
      <c r="E489" s="92"/>
      <c r="F489" s="134">
        <f>F423/F$384</f>
        <v>0.96017554170993979</v>
      </c>
      <c r="G489" s="134">
        <f>G423/G$384</f>
        <v>0.92676101153234347</v>
      </c>
      <c r="H489" s="134">
        <f t="shared" ref="H489:K492" si="190">H423/H$384</f>
        <v>0.94602333824603524</v>
      </c>
      <c r="I489" s="134">
        <f t="shared" si="190"/>
        <v>0.95736609428091668</v>
      </c>
      <c r="J489" s="134">
        <f t="shared" si="190"/>
        <v>0.95709410747792478</v>
      </c>
      <c r="K489" s="134">
        <f t="shared" si="190"/>
        <v>0.95390290341591644</v>
      </c>
      <c r="L489" s="92"/>
      <c r="M489" s="92"/>
      <c r="N489" s="92"/>
      <c r="O489" s="92"/>
      <c r="P489" s="92"/>
      <c r="Q489" s="92"/>
    </row>
    <row r="490" spans="2:17">
      <c r="B490" s="197" t="s">
        <v>186</v>
      </c>
      <c r="C490" s="110"/>
      <c r="D490" s="110"/>
      <c r="E490" s="92"/>
      <c r="F490" s="134"/>
      <c r="G490" s="134">
        <f>G424/G$384</f>
        <v>0.88676101153234343</v>
      </c>
      <c r="H490" s="134">
        <f t="shared" si="190"/>
        <v>0.90055415367870928</v>
      </c>
      <c r="I490" s="134">
        <f t="shared" si="190"/>
        <v>0.87700304590614342</v>
      </c>
      <c r="J490" s="134">
        <f t="shared" si="190"/>
        <v>0.84681938465541529</v>
      </c>
      <c r="K490" s="134">
        <f t="shared" si="190"/>
        <v>0.82969890110455569</v>
      </c>
      <c r="L490" s="92"/>
      <c r="M490" s="92"/>
      <c r="N490" s="92"/>
      <c r="O490" s="92"/>
      <c r="P490" s="92"/>
      <c r="Q490" s="92"/>
    </row>
    <row r="491" spans="2:17">
      <c r="B491" s="197" t="s">
        <v>187</v>
      </c>
      <c r="C491" s="110"/>
      <c r="D491" s="110"/>
      <c r="E491" s="92"/>
      <c r="F491" s="134"/>
      <c r="G491" s="134">
        <f>G425/G$384</f>
        <v>0.04</v>
      </c>
      <c r="H491" s="134">
        <f t="shared" si="190"/>
        <v>4.546918456732587E-2</v>
      </c>
      <c r="I491" s="134">
        <f t="shared" si="190"/>
        <v>8.0363048374773205E-2</v>
      </c>
      <c r="J491" s="134">
        <f t="shared" si="190"/>
        <v>0.11027472282250947</v>
      </c>
      <c r="K491" s="134">
        <f t="shared" si="190"/>
        <v>0.1242040023113607</v>
      </c>
      <c r="L491" s="92"/>
      <c r="M491" s="92"/>
      <c r="N491" s="92"/>
      <c r="O491" s="92"/>
      <c r="P491" s="92"/>
      <c r="Q491" s="92"/>
    </row>
    <row r="492" spans="2:17">
      <c r="B492" s="98" t="s">
        <v>153</v>
      </c>
      <c r="C492" s="110"/>
      <c r="D492" s="110"/>
      <c r="E492" s="92"/>
      <c r="F492" s="134">
        <f>F426/F$384</f>
        <v>3.9824458290060247E-2</v>
      </c>
      <c r="G492" s="134">
        <f>G426/G$384</f>
        <v>7.3238988467656543E-2</v>
      </c>
      <c r="H492" s="134">
        <f t="shared" si="190"/>
        <v>5.3976661753964816E-2</v>
      </c>
      <c r="I492" s="134">
        <f t="shared" si="190"/>
        <v>4.2633905719083223E-2</v>
      </c>
      <c r="J492" s="134">
        <f t="shared" si="190"/>
        <v>4.2905892522075516E-2</v>
      </c>
      <c r="K492" s="134">
        <f t="shared" si="190"/>
        <v>4.6097096584083307E-2</v>
      </c>
      <c r="L492" s="92"/>
      <c r="M492" s="92"/>
      <c r="N492" s="92"/>
      <c r="O492" s="92"/>
      <c r="P492" s="92"/>
      <c r="Q492" s="92"/>
    </row>
    <row r="493" spans="2:17">
      <c r="B493" s="187"/>
      <c r="C493" s="110"/>
      <c r="D493" s="110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</row>
    <row r="494" spans="2:17" s="273" customFormat="1">
      <c r="B494" s="269" t="s">
        <v>301</v>
      </c>
      <c r="C494" s="270"/>
      <c r="D494" s="270"/>
      <c r="E494" s="271"/>
      <c r="F494" s="271"/>
      <c r="G494" s="271"/>
      <c r="H494" s="271"/>
      <c r="I494" s="271"/>
      <c r="J494" s="271"/>
      <c r="K494" s="271"/>
      <c r="L494" s="271"/>
      <c r="M494" s="272"/>
      <c r="N494" s="271"/>
      <c r="O494" s="272"/>
      <c r="P494" s="271"/>
      <c r="Q494" s="271"/>
    </row>
    <row r="495" spans="2:17">
      <c r="B495" s="177" t="s">
        <v>302</v>
      </c>
      <c r="C495" s="177"/>
      <c r="D495" s="177"/>
      <c r="E495" s="177"/>
      <c r="F495" s="177"/>
      <c r="G495" s="177"/>
      <c r="H495" s="177"/>
      <c r="I495" s="177"/>
      <c r="J495" s="177"/>
      <c r="K495" s="177"/>
      <c r="L495" s="92"/>
      <c r="M495" s="177"/>
      <c r="N495" s="177"/>
      <c r="O495" s="177"/>
      <c r="P495" s="177"/>
      <c r="Q495" s="92"/>
    </row>
    <row r="496" spans="2:17">
      <c r="B496" s="274" t="s">
        <v>213</v>
      </c>
      <c r="C496" s="110"/>
      <c r="D496" s="110"/>
      <c r="E496" s="92">
        <f>E388</f>
        <v>9138.0510000000013</v>
      </c>
      <c r="F496" s="92">
        <f>F388</f>
        <v>12077.418999999998</v>
      </c>
      <c r="G496" s="92">
        <f>G388</f>
        <v>18433.052</v>
      </c>
      <c r="H496" s="92">
        <f>H497+H498</f>
        <v>22631.879915170986</v>
      </c>
      <c r="I496" s="92">
        <f t="shared" ref="I496:K496" si="191">I497+I498</f>
        <v>29677.930261942176</v>
      </c>
      <c r="J496" s="92">
        <f t="shared" si="191"/>
        <v>35099.593541643771</v>
      </c>
      <c r="K496" s="92">
        <f t="shared" si="191"/>
        <v>40896.977344766936</v>
      </c>
      <c r="L496" s="92"/>
      <c r="M496" s="92">
        <f>M497+M498</f>
        <v>9577.2652999999991</v>
      </c>
      <c r="N496" s="92">
        <f t="shared" ref="N496:P496" si="192">N497+N498</f>
        <v>13054.614615170987</v>
      </c>
      <c r="O496" s="92">
        <f t="shared" si="192"/>
        <v>13465.814133666665</v>
      </c>
      <c r="P496" s="92">
        <f t="shared" si="192"/>
        <v>16212.116128275513</v>
      </c>
      <c r="Q496" s="92"/>
    </row>
    <row r="497" spans="2:17">
      <c r="B497" s="231" t="s">
        <v>185</v>
      </c>
      <c r="C497" s="110"/>
      <c r="D497" s="110"/>
      <c r="E497" s="92"/>
      <c r="F497" s="100">
        <f>F395-F500-F512-F525</f>
        <v>12084.161332808912</v>
      </c>
      <c r="G497" s="100">
        <f>G395-G500-G512-G525</f>
        <v>17817.376709001943</v>
      </c>
      <c r="H497" s="100">
        <f>(H136-H144)*H506</f>
        <v>21481.624143685349</v>
      </c>
      <c r="I497" s="100">
        <f t="shared" ref="I497" si="193">(I136-I144)*I506</f>
        <v>28432.960448973245</v>
      </c>
      <c r="J497" s="100">
        <f>(J136-J144)*J506</f>
        <v>33692.768764359957</v>
      </c>
      <c r="K497" s="100">
        <f t="shared" ref="K497" si="194">(K136-K144)*K506</f>
        <v>39156.01764883555</v>
      </c>
      <c r="L497" s="92"/>
      <c r="M497" s="100">
        <f>(M136-M144)*M506</f>
        <v>9063.2716999999993</v>
      </c>
      <c r="N497" s="100">
        <f>H497-M497</f>
        <v>12418.352443685349</v>
      </c>
      <c r="O497" s="100">
        <f>(O136-O144)*O506</f>
        <v>12863.292483888887</v>
      </c>
      <c r="P497" s="100">
        <f>I497-O497</f>
        <v>15569.667965084358</v>
      </c>
      <c r="Q497" s="92"/>
    </row>
    <row r="498" spans="2:17">
      <c r="B498" s="231" t="s">
        <v>153</v>
      </c>
      <c r="C498" s="110"/>
      <c r="D498" s="110"/>
      <c r="E498" s="92"/>
      <c r="F498" s="100">
        <f>F401-F501-F513-F526</f>
        <v>394.54366719109049</v>
      </c>
      <c r="G498" s="100">
        <f>G401-G501-G513-G526</f>
        <v>1235.2172909980588</v>
      </c>
      <c r="H498" s="100">
        <f>(H139-H145)*H507</f>
        <v>1150.2557714856382</v>
      </c>
      <c r="I498" s="100">
        <f t="shared" ref="I498:K498" si="195">(I139-I145)*I506</f>
        <v>1244.9698129689323</v>
      </c>
      <c r="J498" s="100">
        <f t="shared" si="195"/>
        <v>1406.8247772838147</v>
      </c>
      <c r="K498" s="100">
        <f t="shared" si="195"/>
        <v>1740.9596959313874</v>
      </c>
      <c r="L498" s="92"/>
      <c r="M498" s="100">
        <f>(M139-M145)*M507</f>
        <v>513.99360000000001</v>
      </c>
      <c r="N498" s="100">
        <f>H498-M498</f>
        <v>636.26217148563819</v>
      </c>
      <c r="O498" s="100">
        <f t="shared" ref="O498" si="196">(O139-O145)*O506</f>
        <v>602.52164977777784</v>
      </c>
      <c r="P498" s="100">
        <f>I498-O498</f>
        <v>642.44816319115444</v>
      </c>
      <c r="Q498" s="92"/>
    </row>
    <row r="499" spans="2:17">
      <c r="B499" s="274" t="s">
        <v>214</v>
      </c>
      <c r="C499" s="110"/>
      <c r="D499" s="110"/>
      <c r="E499" s="92">
        <f>E389</f>
        <v>82.793000000000006</v>
      </c>
      <c r="F499" s="92">
        <f>F389</f>
        <v>72.337999999999994</v>
      </c>
      <c r="G499" s="92">
        <f>G389</f>
        <v>107.616</v>
      </c>
      <c r="H499" s="92">
        <f t="shared" ref="H499:K499" si="197">H500+H501</f>
        <v>70.523523846739081</v>
      </c>
      <c r="I499" s="92">
        <f t="shared" si="197"/>
        <v>42.055508205982726</v>
      </c>
      <c r="J499" s="92">
        <f t="shared" si="197"/>
        <v>36.222706751871783</v>
      </c>
      <c r="K499" s="92">
        <f t="shared" si="197"/>
        <v>36.748096316169082</v>
      </c>
      <c r="L499" s="92"/>
      <c r="M499" s="92">
        <f>M500+M501</f>
        <v>48.6</v>
      </c>
      <c r="N499" s="92">
        <f t="shared" ref="N499:P499" si="198">N500+N501</f>
        <v>21.923523846739073</v>
      </c>
      <c r="O499" s="92">
        <f t="shared" si="198"/>
        <v>19.5</v>
      </c>
      <c r="P499" s="92">
        <f t="shared" si="198"/>
        <v>22.555508205982726</v>
      </c>
      <c r="Q499" s="92"/>
    </row>
    <row r="500" spans="2:17">
      <c r="B500" s="231" t="s">
        <v>185</v>
      </c>
      <c r="C500" s="110"/>
      <c r="D500" s="110"/>
      <c r="E500" s="92"/>
      <c r="F500" s="112">
        <f>F499-F501</f>
        <v>68.756910891089106</v>
      </c>
      <c r="G500" s="112">
        <f>G499-G501</f>
        <v>104.48155339805825</v>
      </c>
      <c r="H500" s="100">
        <f>H503*AVERAGE(G233:H233)</f>
        <v>68.508566022546532</v>
      </c>
      <c r="I500" s="100">
        <f>I503*AVERAGE(H233:I233)</f>
        <v>39.842060405667844</v>
      </c>
      <c r="J500" s="100">
        <f>J503*AVERAGE(I233:J233)</f>
        <v>34.091959295879327</v>
      </c>
      <c r="K500" s="100">
        <f t="shared" ref="K500" si="199">K503*AVERAGE(J233:K233)</f>
        <v>34.58644359168855</v>
      </c>
      <c r="L500" s="92"/>
      <c r="M500" s="100">
        <f>M503*AVERAGE(F233,M233)</f>
        <v>46.800000000000004</v>
      </c>
      <c r="N500" s="100">
        <f>H500-M500</f>
        <v>21.708566022546528</v>
      </c>
      <c r="O500" s="100">
        <f>O503*AVERAGE(H233,O233)</f>
        <v>18.5</v>
      </c>
      <c r="P500" s="100">
        <f>I500-O500</f>
        <v>21.342060405667844</v>
      </c>
      <c r="Q500" s="92"/>
    </row>
    <row r="501" spans="2:17">
      <c r="B501" s="231" t="s">
        <v>153</v>
      </c>
      <c r="C501" s="110"/>
      <c r="D501" s="110"/>
      <c r="E501" s="92"/>
      <c r="F501" s="112">
        <f t="shared" ref="F501:K501" si="200">F503*AVERAGE(E234:F234)</f>
        <v>3.5810891089108909</v>
      </c>
      <c r="G501" s="112">
        <f t="shared" si="200"/>
        <v>3.1344466019417476</v>
      </c>
      <c r="H501" s="100">
        <f>H503*AVERAGE(G234:H234)</f>
        <v>2.0149578241925452</v>
      </c>
      <c r="I501" s="100">
        <f t="shared" si="200"/>
        <v>2.2134478003148801</v>
      </c>
      <c r="J501" s="100">
        <f t="shared" si="200"/>
        <v>2.130747455992458</v>
      </c>
      <c r="K501" s="100">
        <f t="shared" si="200"/>
        <v>2.1616527244805344</v>
      </c>
      <c r="L501" s="92"/>
      <c r="M501" s="100">
        <f>M503*AVERAGE(F234,M234)</f>
        <v>1.8</v>
      </c>
      <c r="N501" s="100">
        <f>H501-M501</f>
        <v>0.21495782419254517</v>
      </c>
      <c r="O501" s="100">
        <f>O503*AVERAGE(H234,O234)</f>
        <v>1</v>
      </c>
      <c r="P501" s="100">
        <f>I501-O501</f>
        <v>1.2134478003148801</v>
      </c>
      <c r="Q501" s="92"/>
    </row>
    <row r="502" spans="2:17">
      <c r="B502" s="187"/>
      <c r="C502" s="110"/>
      <c r="D502" s="110"/>
      <c r="E502" s="92"/>
      <c r="F502" s="232"/>
      <c r="G502" s="232"/>
      <c r="H502" s="92"/>
      <c r="I502" s="92"/>
      <c r="J502" s="92"/>
      <c r="K502" s="92"/>
      <c r="L502" s="92"/>
      <c r="M502" s="92"/>
      <c r="N502" s="92"/>
      <c r="O502" s="92"/>
      <c r="P502" s="92"/>
      <c r="Q502" s="92"/>
    </row>
    <row r="503" spans="2:17">
      <c r="B503" s="98" t="s">
        <v>303</v>
      </c>
      <c r="C503" s="110"/>
      <c r="D503" s="110"/>
      <c r="E503" s="92"/>
      <c r="F503" s="105">
        <f>F499/AVERAGE(E232:F232)</f>
        <v>1.4324356435643564</v>
      </c>
      <c r="G503" s="105">
        <f>G499/AVERAGE(F232:G232)</f>
        <v>2.0896310679611649</v>
      </c>
      <c r="H503" s="259">
        <f>G503*(1+H336)</f>
        <v>2.0149578241925452</v>
      </c>
      <c r="I503" s="259">
        <f>H503*(1+I336)</f>
        <v>2.2134478003148801</v>
      </c>
      <c r="J503" s="259">
        <f>I503*(1+J336)</f>
        <v>2.130747455992458</v>
      </c>
      <c r="K503" s="259">
        <f t="shared" ref="K503" si="201">J503*(1+K336)</f>
        <v>2.1616527244805344</v>
      </c>
      <c r="L503" s="92"/>
      <c r="M503" s="259">
        <v>0.9</v>
      </c>
      <c r="N503" s="105">
        <f>N499/AVERAGE(M232:N232)</f>
        <v>1.0439773260351939</v>
      </c>
      <c r="O503" s="259">
        <v>1</v>
      </c>
      <c r="P503" s="105">
        <f>P499/AVERAGE(O232:P232)</f>
        <v>1.2888861831990128</v>
      </c>
      <c r="Q503" s="92"/>
    </row>
    <row r="504" spans="2:17">
      <c r="B504" s="187"/>
      <c r="C504" s="110"/>
      <c r="D504" s="110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</row>
    <row r="505" spans="2:17">
      <c r="B505" s="275" t="s">
        <v>304</v>
      </c>
      <c r="C505" s="110"/>
      <c r="D505" s="110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</row>
    <row r="506" spans="2:17">
      <c r="B506" s="231" t="s">
        <v>185</v>
      </c>
      <c r="C506" s="110"/>
      <c r="D506" s="110"/>
      <c r="E506" s="92"/>
      <c r="F506" s="78">
        <f>F497/(F136-F144)</f>
        <v>0.40518783587713031</v>
      </c>
      <c r="G506" s="78">
        <f>G497/(G136-G144)</f>
        <v>0.39990602294835287</v>
      </c>
      <c r="H506" s="146">
        <v>0.39</v>
      </c>
      <c r="I506" s="146">
        <f>H506-1%</f>
        <v>0.38</v>
      </c>
      <c r="J506" s="146">
        <v>0.39500000000000002</v>
      </c>
      <c r="K506" s="146">
        <f>J506</f>
        <v>0.39500000000000002</v>
      </c>
      <c r="L506" s="92"/>
      <c r="M506" s="146">
        <v>0.38</v>
      </c>
      <c r="N506" s="78">
        <f>N497/(N136-N144)</f>
        <v>0.39763702545123675</v>
      </c>
      <c r="O506" s="146">
        <f>I506</f>
        <v>0.38</v>
      </c>
      <c r="P506" s="78">
        <f>P497/(P136-P144)</f>
        <v>0.37999999999999995</v>
      </c>
      <c r="Q506" s="92"/>
    </row>
    <row r="507" spans="2:17">
      <c r="B507" s="231" t="s">
        <v>153</v>
      </c>
      <c r="C507" s="110"/>
      <c r="D507" s="110"/>
      <c r="E507" s="92"/>
      <c r="F507" s="78">
        <f>F498/(F139-F145)</f>
        <v>0.52591222120328207</v>
      </c>
      <c r="G507" s="78">
        <f>G498/(G139-G145)</f>
        <v>0.38910250353514764</v>
      </c>
      <c r="H507" s="146">
        <v>0.37</v>
      </c>
      <c r="I507" s="146">
        <f>H507</f>
        <v>0.37</v>
      </c>
      <c r="J507" s="146">
        <f t="shared" ref="I507:K508" si="202">I507</f>
        <v>0.37</v>
      </c>
      <c r="K507" s="146">
        <f t="shared" si="202"/>
        <v>0.37</v>
      </c>
      <c r="L507" s="92"/>
      <c r="M507" s="146">
        <v>0.36</v>
      </c>
      <c r="N507" s="78">
        <f>N498/(N139-N145)</f>
        <v>0.37849331678337611</v>
      </c>
      <c r="O507" s="146">
        <f>I507</f>
        <v>0.37</v>
      </c>
      <c r="P507" s="78">
        <f>P498/(P139-P145)</f>
        <v>0.37999999999999995</v>
      </c>
      <c r="Q507" s="92"/>
    </row>
    <row r="508" spans="2:17">
      <c r="B508" s="98" t="s">
        <v>305</v>
      </c>
      <c r="C508" s="110"/>
      <c r="D508" s="110"/>
      <c r="E508" s="92"/>
      <c r="F508" s="146">
        <v>0.9</v>
      </c>
      <c r="G508" s="146">
        <v>0.9</v>
      </c>
      <c r="H508" s="146">
        <f>G508</f>
        <v>0.9</v>
      </c>
      <c r="I508" s="146">
        <f t="shared" si="202"/>
        <v>0.9</v>
      </c>
      <c r="J508" s="146">
        <f t="shared" si="202"/>
        <v>0.9</v>
      </c>
      <c r="K508" s="146">
        <f t="shared" si="202"/>
        <v>0.9</v>
      </c>
      <c r="L508" s="92"/>
      <c r="M508" s="146">
        <f>H508</f>
        <v>0.9</v>
      </c>
      <c r="N508" s="146">
        <f>H508</f>
        <v>0.9</v>
      </c>
      <c r="O508" s="146">
        <f>I508</f>
        <v>0.9</v>
      </c>
      <c r="P508" s="146">
        <f>J508</f>
        <v>0.9</v>
      </c>
      <c r="Q508" s="92"/>
    </row>
    <row r="509" spans="2:17">
      <c r="B509" s="187"/>
      <c r="C509" s="110"/>
      <c r="D509" s="110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</row>
    <row r="510" spans="2:17">
      <c r="B510" s="177" t="s">
        <v>306</v>
      </c>
      <c r="C510" s="177"/>
      <c r="D510" s="177"/>
      <c r="E510" s="177"/>
      <c r="F510" s="177"/>
      <c r="G510" s="177"/>
      <c r="H510" s="177"/>
      <c r="I510" s="177"/>
      <c r="J510" s="177"/>
      <c r="K510" s="177"/>
      <c r="L510" s="92"/>
      <c r="M510" s="177"/>
      <c r="N510" s="177"/>
      <c r="O510" s="177"/>
      <c r="P510" s="177"/>
      <c r="Q510" s="92"/>
    </row>
    <row r="511" spans="2:17">
      <c r="B511" s="187" t="s">
        <v>307</v>
      </c>
      <c r="C511" s="110"/>
      <c r="D511" s="110"/>
      <c r="E511" s="92">
        <f>E391</f>
        <v>696.94399999999996</v>
      </c>
      <c r="F511" s="92">
        <f>F391</f>
        <v>748.38699999999994</v>
      </c>
      <c r="G511" s="92">
        <f>G391</f>
        <v>736.53700000000003</v>
      </c>
      <c r="H511" s="92">
        <f>H391</f>
        <v>756.37199999999996</v>
      </c>
      <c r="I511" s="92">
        <f>I512+I513</f>
        <v>1017.6627990421898</v>
      </c>
      <c r="J511" s="92">
        <f>J512+J513</f>
        <v>914.47940316639722</v>
      </c>
      <c r="K511" s="92">
        <f t="shared" ref="K511" si="203">K512+K513</f>
        <v>885.73547652950663</v>
      </c>
      <c r="L511" s="92"/>
      <c r="M511" s="92">
        <f>M391</f>
        <v>457.89400000000001</v>
      </c>
      <c r="N511" s="92">
        <f>H511-M511</f>
        <v>298.47799999999995</v>
      </c>
      <c r="O511" s="92">
        <f>O391</f>
        <v>651.50400000000002</v>
      </c>
      <c r="P511" s="92">
        <f>I511-O511</f>
        <v>366.1587990421898</v>
      </c>
      <c r="Q511" s="92"/>
    </row>
    <row r="512" spans="2:17">
      <c r="B512" s="197" t="s">
        <v>185</v>
      </c>
      <c r="C512" s="110"/>
      <c r="D512" s="110"/>
      <c r="E512" s="92"/>
      <c r="F512" s="100">
        <f>F520*F516</f>
        <v>621.32175630000006</v>
      </c>
      <c r="G512" s="100">
        <f>G520*G516</f>
        <v>518.64298759999997</v>
      </c>
      <c r="H512" s="100">
        <f>H520*H516</f>
        <v>708.50126427824762</v>
      </c>
      <c r="I512" s="100">
        <f>I520*I516</f>
        <v>1048.0090916088568</v>
      </c>
      <c r="J512" s="100">
        <f>J520*J516</f>
        <v>869.54416421172652</v>
      </c>
      <c r="K512" s="100">
        <f t="shared" ref="K512:K513" si="204">K520*K516</f>
        <v>793.07325781621194</v>
      </c>
      <c r="L512" s="92"/>
      <c r="M512" s="100"/>
      <c r="N512" s="100"/>
      <c r="O512" s="100"/>
      <c r="P512" s="100"/>
      <c r="Q512" s="92"/>
    </row>
    <row r="513" spans="2:17">
      <c r="B513" s="197" t="s">
        <v>153</v>
      </c>
      <c r="C513" s="110"/>
      <c r="D513" s="110"/>
      <c r="E513" s="92"/>
      <c r="F513" s="100">
        <f>F511-F512</f>
        <v>127.06524369999988</v>
      </c>
      <c r="G513" s="100">
        <f>G511-G512</f>
        <v>217.89401240000007</v>
      </c>
      <c r="H513" s="100">
        <f>H511-H512</f>
        <v>47.870735721752339</v>
      </c>
      <c r="I513" s="100">
        <f t="shared" ref="I513:J513" si="205">I521*I517</f>
        <v>-30.346292566666989</v>
      </c>
      <c r="J513" s="100">
        <f t="shared" si="205"/>
        <v>44.935238954670695</v>
      </c>
      <c r="K513" s="100">
        <f t="shared" si="204"/>
        <v>92.662218713294649</v>
      </c>
      <c r="L513" s="92"/>
      <c r="M513" s="100"/>
      <c r="N513" s="100"/>
      <c r="O513" s="100"/>
      <c r="P513" s="100"/>
      <c r="Q513" s="92"/>
    </row>
    <row r="514" spans="2:17">
      <c r="B514" s="187"/>
      <c r="C514" s="110"/>
      <c r="D514" s="110"/>
      <c r="E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</row>
    <row r="515" spans="2:17">
      <c r="B515" s="98" t="s">
        <v>308</v>
      </c>
      <c r="C515" s="110"/>
      <c r="D515" s="110"/>
      <c r="E515" s="100"/>
      <c r="F515" s="100">
        <f t="shared" ref="F515:K515" si="206">F181-(IF((F232-E232)&gt;0,(F232-E232),0))</f>
        <v>9671</v>
      </c>
      <c r="G515" s="100">
        <f t="shared" si="206"/>
        <v>9889</v>
      </c>
      <c r="H515" s="100">
        <f t="shared" si="206"/>
        <v>10523</v>
      </c>
      <c r="I515" s="100">
        <f t="shared" si="206"/>
        <v>11640.808225742046</v>
      </c>
      <c r="J515" s="100">
        <f t="shared" si="206"/>
        <v>11245.16</v>
      </c>
      <c r="K515" s="100">
        <f t="shared" si="206"/>
        <v>11605.16</v>
      </c>
      <c r="L515" s="92"/>
      <c r="M515" s="100">
        <f>M181-(IF((M232-F232)&gt;0,(M232-F232),0))</f>
        <v>6232.66</v>
      </c>
      <c r="N515" s="100">
        <f>N181-(IF((N232-G232)&gt;0,(N232-G232),0))</f>
        <v>4290.34</v>
      </c>
      <c r="O515" s="100">
        <f>O181-(IF((O232-H232)&gt;0,(O232-H232),0))</f>
        <v>7464.58</v>
      </c>
      <c r="P515" s="100">
        <f>I515-O515</f>
        <v>4176.2282257420466</v>
      </c>
      <c r="Q515" s="92"/>
    </row>
    <row r="516" spans="2:17">
      <c r="B516" s="197" t="s">
        <v>185</v>
      </c>
      <c r="C516" s="110"/>
      <c r="D516" s="110"/>
      <c r="E516" s="92"/>
      <c r="F516" s="100">
        <f t="shared" ref="F516:I516" si="207">ROUND(F515*F193/F184,0)</f>
        <v>8029</v>
      </c>
      <c r="G516" s="100">
        <f t="shared" si="207"/>
        <v>6967</v>
      </c>
      <c r="H516" s="100">
        <f t="shared" si="207"/>
        <v>9857</v>
      </c>
      <c r="I516" s="100">
        <f t="shared" si="207"/>
        <v>12063</v>
      </c>
      <c r="J516" s="100">
        <f>ROUND(J515*J193/J184,0)</f>
        <v>10620</v>
      </c>
      <c r="K516" s="100">
        <f t="shared" ref="K516" si="208">ROUND(K515*K193/K184,0)</f>
        <v>10316</v>
      </c>
      <c r="L516" s="92"/>
      <c r="M516" s="100"/>
      <c r="N516" s="100"/>
      <c r="O516" s="100"/>
      <c r="P516" s="100"/>
      <c r="Q516" s="92"/>
    </row>
    <row r="517" spans="2:17">
      <c r="B517" s="197" t="s">
        <v>153</v>
      </c>
      <c r="C517" s="110"/>
      <c r="D517" s="110"/>
      <c r="E517" s="92"/>
      <c r="F517" s="100">
        <f>F515-F516</f>
        <v>1642</v>
      </c>
      <c r="G517" s="100">
        <f t="shared" ref="G517:K517" si="209">G515-G516</f>
        <v>2922</v>
      </c>
      <c r="H517" s="100">
        <f t="shared" si="209"/>
        <v>666</v>
      </c>
      <c r="I517" s="100">
        <f t="shared" si="209"/>
        <v>-422.19177425795351</v>
      </c>
      <c r="J517" s="100">
        <f t="shared" si="209"/>
        <v>625.15999999999985</v>
      </c>
      <c r="K517" s="100">
        <f t="shared" si="209"/>
        <v>1289.1599999999999</v>
      </c>
      <c r="L517" s="92"/>
      <c r="M517" s="100"/>
      <c r="N517" s="100"/>
      <c r="O517" s="100"/>
      <c r="P517" s="100"/>
      <c r="Q517" s="92"/>
    </row>
    <row r="518" spans="2:17">
      <c r="B518" s="187"/>
      <c r="C518" s="110"/>
      <c r="D518" s="110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</row>
    <row r="519" spans="2:17">
      <c r="B519" s="98" t="s">
        <v>309</v>
      </c>
      <c r="C519" s="110"/>
      <c r="D519" s="110"/>
      <c r="E519" s="276">
        <v>8.6879100000000001E-2</v>
      </c>
      <c r="F519" s="277">
        <v>7.7384700000000001E-2</v>
      </c>
      <c r="G519" s="277">
        <v>7.4442800000000003E-2</v>
      </c>
      <c r="H519" s="278">
        <f t="shared" ref="H519:K519" si="210">H511/H515</f>
        <v>7.1877981564192714E-2</v>
      </c>
      <c r="I519" s="278">
        <f t="shared" si="210"/>
        <v>8.7422005354556784E-2</v>
      </c>
      <c r="J519" s="278">
        <f t="shared" si="210"/>
        <v>8.1322044609983074E-2</v>
      </c>
      <c r="K519" s="278">
        <f t="shared" si="210"/>
        <v>7.6322556218915261E-2</v>
      </c>
      <c r="L519" s="92"/>
      <c r="M519" s="278">
        <f>M511/M515</f>
        <v>7.3466866474346429E-2</v>
      </c>
      <c r="N519" s="278">
        <f>N511/N515</f>
        <v>6.9569777686616902E-2</v>
      </c>
      <c r="O519" s="278">
        <f>O511/O515</f>
        <v>8.7279391472795523E-2</v>
      </c>
      <c r="P519" s="278">
        <f>P511/P515</f>
        <v>8.7676913054034411E-2</v>
      </c>
      <c r="Q519" s="92"/>
    </row>
    <row r="520" spans="2:17">
      <c r="B520" s="197" t="s">
        <v>185</v>
      </c>
      <c r="C520" s="110"/>
      <c r="D520" s="110"/>
      <c r="E520" s="92"/>
      <c r="F520" s="279">
        <f>F519</f>
        <v>7.7384700000000001E-2</v>
      </c>
      <c r="G520" s="279">
        <f>G519</f>
        <v>7.4442800000000003E-2</v>
      </c>
      <c r="H520" s="280">
        <f>H519</f>
        <v>7.1877981564192714E-2</v>
      </c>
      <c r="I520" s="280">
        <f>H520+0.015</f>
        <v>8.6877981564192713E-2</v>
      </c>
      <c r="J520" s="280">
        <f>I520-0.005</f>
        <v>8.1877981564192709E-2</v>
      </c>
      <c r="K520" s="280">
        <f>J520-0.005</f>
        <v>7.6877981564192704E-2</v>
      </c>
      <c r="L520" s="92"/>
      <c r="M520" s="279"/>
      <c r="N520" s="105"/>
      <c r="O520" s="279"/>
      <c r="P520" s="105"/>
      <c r="Q520" s="92"/>
    </row>
    <row r="521" spans="2:17">
      <c r="B521" s="197" t="s">
        <v>153</v>
      </c>
      <c r="C521" s="110"/>
      <c r="D521" s="110"/>
      <c r="E521" s="92"/>
      <c r="F521" s="105">
        <f>F513/F517</f>
        <v>7.7384435870889084E-2</v>
      </c>
      <c r="G521" s="105">
        <f>G513/G517</f>
        <v>7.4570161670089008E-2</v>
      </c>
      <c r="H521" s="105">
        <f>H513/H517</f>
        <v>7.18779815641927E-2</v>
      </c>
      <c r="I521" s="259">
        <f t="shared" ref="I521:K521" si="211">H521</f>
        <v>7.18779815641927E-2</v>
      </c>
      <c r="J521" s="259">
        <f t="shared" si="211"/>
        <v>7.18779815641927E-2</v>
      </c>
      <c r="K521" s="259">
        <f t="shared" si="211"/>
        <v>7.18779815641927E-2</v>
      </c>
      <c r="L521" s="92"/>
      <c r="M521" s="279"/>
      <c r="N521" s="105"/>
      <c r="O521" s="279"/>
      <c r="P521" s="105"/>
      <c r="Q521" s="92"/>
    </row>
    <row r="522" spans="2:17">
      <c r="B522" s="187"/>
      <c r="C522" s="110"/>
      <c r="D522" s="110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</row>
    <row r="523" spans="2:17">
      <c r="B523" s="177" t="s">
        <v>98</v>
      </c>
      <c r="C523" s="177"/>
      <c r="D523" s="177"/>
      <c r="E523" s="177"/>
      <c r="F523" s="177"/>
      <c r="G523" s="177"/>
      <c r="H523" s="177"/>
      <c r="I523" s="177"/>
      <c r="J523" s="177"/>
      <c r="K523" s="177"/>
      <c r="L523" s="92"/>
      <c r="M523" s="177"/>
      <c r="N523" s="177"/>
      <c r="O523" s="177"/>
      <c r="P523" s="177"/>
      <c r="Q523" s="92"/>
    </row>
    <row r="524" spans="2:17">
      <c r="B524" s="187" t="s">
        <v>310</v>
      </c>
      <c r="C524" s="110"/>
      <c r="D524" s="110"/>
      <c r="E524" s="92">
        <f>E392</f>
        <v>196.38200000000001</v>
      </c>
      <c r="F524" s="92">
        <f>F392</f>
        <v>276.14699999999999</v>
      </c>
      <c r="G524" s="92">
        <f>G392</f>
        <v>405.71800000000002</v>
      </c>
      <c r="H524" s="92">
        <f>H392</f>
        <v>620.04499999999996</v>
      </c>
      <c r="I524" s="92">
        <f t="shared" ref="I524:K524" si="212">I525+I526</f>
        <v>768.90890358382944</v>
      </c>
      <c r="J524" s="92">
        <f t="shared" si="212"/>
        <v>922.0162660714285</v>
      </c>
      <c r="K524" s="92">
        <f t="shared" si="212"/>
        <v>1072.8398982886904</v>
      </c>
      <c r="L524" s="92"/>
      <c r="M524" s="92">
        <f>M392</f>
        <v>292.85599999999999</v>
      </c>
      <c r="N524" s="92">
        <f>N525+N526</f>
        <v>327.18900000000002</v>
      </c>
      <c r="O524" s="92">
        <f>O392</f>
        <v>380.12099999999998</v>
      </c>
      <c r="P524" s="92">
        <f>P525+P526</f>
        <v>388.78790358382935</v>
      </c>
      <c r="Q524" s="92"/>
    </row>
    <row r="525" spans="2:17">
      <c r="B525" s="197" t="s">
        <v>185</v>
      </c>
      <c r="C525" s="110"/>
      <c r="D525" s="110"/>
      <c r="E525" s="92"/>
      <c r="F525" s="100">
        <f>F524-F526</f>
        <v>260.697</v>
      </c>
      <c r="G525" s="100">
        <f>G524-G526</f>
        <v>375.03175000000005</v>
      </c>
      <c r="H525" s="100">
        <f>H524-H526</f>
        <v>555.01208750000001</v>
      </c>
      <c r="I525" s="100">
        <f>I533*AVERAGE(H529:I529)</f>
        <v>689.8286785838294</v>
      </c>
      <c r="J525" s="100">
        <f t="shared" ref="F525:K526" si="213">J533*AVERAGE(I529:J529)</f>
        <v>841.39359107142855</v>
      </c>
      <c r="K525" s="100">
        <f t="shared" si="213"/>
        <v>985.2253482886905</v>
      </c>
      <c r="L525" s="92"/>
      <c r="M525" s="100">
        <f>M524-M526</f>
        <v>274.93561249999999</v>
      </c>
      <c r="N525" s="100">
        <f>H525-M525</f>
        <v>280.07647500000002</v>
      </c>
      <c r="O525" s="100">
        <f>O524-O526</f>
        <v>340.18256250000002</v>
      </c>
      <c r="P525" s="100">
        <f>I525-O525</f>
        <v>349.64611608382938</v>
      </c>
      <c r="Q525" s="92"/>
    </row>
    <row r="526" spans="2:17">
      <c r="B526" s="197" t="s">
        <v>153</v>
      </c>
      <c r="C526" s="110"/>
      <c r="D526" s="110"/>
      <c r="E526" s="92"/>
      <c r="F526" s="100">
        <f t="shared" si="213"/>
        <v>15.45</v>
      </c>
      <c r="G526" s="100">
        <f t="shared" si="213"/>
        <v>30.686249999999998</v>
      </c>
      <c r="H526" s="100">
        <f t="shared" si="213"/>
        <v>65.032912499999981</v>
      </c>
      <c r="I526" s="100">
        <f t="shared" si="213"/>
        <v>79.080224999999984</v>
      </c>
      <c r="J526" s="100">
        <f t="shared" si="213"/>
        <v>80.622674999999987</v>
      </c>
      <c r="K526" s="100">
        <f t="shared" si="213"/>
        <v>87.61454999999998</v>
      </c>
      <c r="L526" s="92"/>
      <c r="M526" s="100">
        <f>M534*AVERAGE(F530,M530)</f>
        <v>17.920387499999997</v>
      </c>
      <c r="N526" s="100">
        <f>H526-M526</f>
        <v>47.112524999999984</v>
      </c>
      <c r="O526" s="100">
        <f>O534*AVERAGE(H530,O530)</f>
        <v>39.938437499999992</v>
      </c>
      <c r="P526" s="100">
        <f>I526-O526</f>
        <v>39.141787499999992</v>
      </c>
      <c r="Q526" s="92"/>
    </row>
    <row r="527" spans="2:17">
      <c r="B527" s="187"/>
      <c r="C527" s="110"/>
      <c r="D527" s="110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</row>
    <row r="528" spans="2:17">
      <c r="B528" s="98" t="s">
        <v>308</v>
      </c>
      <c r="C528" s="110"/>
      <c r="D528" s="110"/>
      <c r="E528" s="100"/>
      <c r="F528" s="100">
        <f t="shared" ref="F528:K528" si="214">F529+F530</f>
        <v>24441.5</v>
      </c>
      <c r="G528" s="100">
        <f t="shared" si="214"/>
        <v>33222.5</v>
      </c>
      <c r="H528" s="100">
        <f t="shared" si="214"/>
        <v>41987</v>
      </c>
      <c r="I528" s="100">
        <f t="shared" si="214"/>
        <v>51285</v>
      </c>
      <c r="J528" s="100">
        <f t="shared" si="214"/>
        <v>60612</v>
      </c>
      <c r="K528" s="100">
        <f t="shared" si="214"/>
        <v>69612</v>
      </c>
      <c r="L528" s="92"/>
      <c r="M528" s="100">
        <f t="shared" ref="M528:P528" si="215">M529+M530</f>
        <v>36073.5</v>
      </c>
      <c r="N528" s="100">
        <f t="shared" si="215"/>
        <v>44838</v>
      </c>
      <c r="O528" s="100">
        <f t="shared" si="215"/>
        <v>49727</v>
      </c>
      <c r="P528" s="100">
        <f t="shared" si="215"/>
        <v>54554</v>
      </c>
      <c r="Q528" s="92"/>
    </row>
    <row r="529" spans="1:17">
      <c r="B529" s="197" t="s">
        <v>185</v>
      </c>
      <c r="C529" s="110"/>
      <c r="D529" s="110"/>
      <c r="E529" s="100"/>
      <c r="F529" s="100">
        <f t="shared" ref="F529:K529" si="216">AVERAGE(E187-E233,F187-F233)</f>
        <v>23411.5</v>
      </c>
      <c r="G529" s="100">
        <f t="shared" si="216"/>
        <v>30161</v>
      </c>
      <c r="H529" s="100">
        <f t="shared" si="216"/>
        <v>37375</v>
      </c>
      <c r="I529" s="100">
        <f t="shared" si="216"/>
        <v>46566</v>
      </c>
      <c r="J529" s="100">
        <f t="shared" si="216"/>
        <v>55818</v>
      </c>
      <c r="K529" s="100">
        <f t="shared" si="216"/>
        <v>64068</v>
      </c>
      <c r="L529" s="92"/>
      <c r="M529" s="100">
        <f>AVERAGE(F187-F233,M187-M233)</f>
        <v>32874.5</v>
      </c>
      <c r="N529" s="100">
        <f t="shared" ref="N529" si="217">AVERAGE(M187-M233,N187-N233)</f>
        <v>40088.5</v>
      </c>
      <c r="O529" s="100">
        <f>AVERAGE(H187-H233,O187-O233)</f>
        <v>44914</v>
      </c>
      <c r="P529" s="100">
        <f t="shared" ref="P529" si="218">AVERAGE(O187-O233,P187-P233)</f>
        <v>49916</v>
      </c>
      <c r="Q529" s="92"/>
    </row>
    <row r="530" spans="1:17">
      <c r="B530" s="197" t="s">
        <v>153</v>
      </c>
      <c r="C530" s="110"/>
      <c r="D530" s="110"/>
      <c r="E530" s="100"/>
      <c r="F530" s="100">
        <f t="shared" ref="F530:K530" si="219">AVERAGE(E190-E234,F190-F234)</f>
        <v>1030</v>
      </c>
      <c r="G530" s="100">
        <f t="shared" si="219"/>
        <v>3061.5</v>
      </c>
      <c r="H530" s="100">
        <f t="shared" si="219"/>
        <v>4612</v>
      </c>
      <c r="I530" s="100">
        <f t="shared" si="219"/>
        <v>4719</v>
      </c>
      <c r="J530" s="100">
        <f t="shared" si="219"/>
        <v>4794</v>
      </c>
      <c r="K530" s="100">
        <f t="shared" si="219"/>
        <v>5544</v>
      </c>
      <c r="L530" s="92"/>
      <c r="M530" s="100">
        <f>AVERAGE(F190-F234,M190-M234)</f>
        <v>3199</v>
      </c>
      <c r="N530" s="100">
        <f t="shared" ref="N530" si="220">AVERAGE(M190-M234,N190-N234)</f>
        <v>4749.5</v>
      </c>
      <c r="O530" s="100">
        <f>AVERAGE(H190-H234,O190-O234)</f>
        <v>4813</v>
      </c>
      <c r="P530" s="100">
        <f t="shared" ref="P530" si="221">AVERAGE(O190-O234,P190-P234)</f>
        <v>4638</v>
      </c>
      <c r="Q530" s="92"/>
    </row>
    <row r="531" spans="1:17">
      <c r="B531" s="197"/>
      <c r="C531" s="110"/>
      <c r="D531" s="110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</row>
    <row r="532" spans="1:17">
      <c r="B532" s="98" t="s">
        <v>309</v>
      </c>
      <c r="C532" s="110"/>
      <c r="D532" s="110"/>
      <c r="E532" s="92"/>
      <c r="F532" s="281">
        <f>F524/AVERAGE(E528:F528)</f>
        <v>1.1298283656895034E-2</v>
      </c>
      <c r="G532" s="281">
        <f>G524/AVERAGE(F528:G528)</f>
        <v>1.4071795227524973E-2</v>
      </c>
      <c r="H532" s="282">
        <f t="shared" ref="H532:K532" si="222">H524/AVERAGE(G528:H528)</f>
        <v>1.6488475525033405E-2</v>
      </c>
      <c r="I532" s="282">
        <f t="shared" si="222"/>
        <v>1.6487453975122853E-2</v>
      </c>
      <c r="J532" s="282">
        <f t="shared" si="222"/>
        <v>1.6479731647344047E-2</v>
      </c>
      <c r="K532" s="282">
        <f t="shared" si="222"/>
        <v>1.647683834452467E-2</v>
      </c>
      <c r="L532" s="92"/>
      <c r="M532" s="282">
        <f>M524/AVERAGE(F528,M528)</f>
        <v>9.6787903825497814E-3</v>
      </c>
      <c r="N532" s="281">
        <f>N524/AVERAGE(M528:N528)</f>
        <v>8.0875771676461317E-3</v>
      </c>
      <c r="O532" s="282">
        <f>O524/AVERAGE(H528,O528)</f>
        <v>8.2892688139215385E-3</v>
      </c>
      <c r="P532" s="281">
        <f>P524/AVERAGE(O528:P528)</f>
        <v>7.4565434467224008E-3</v>
      </c>
      <c r="Q532" s="92"/>
    </row>
    <row r="533" spans="1:17">
      <c r="B533" s="197" t="s">
        <v>152</v>
      </c>
      <c r="C533" s="110"/>
      <c r="D533" s="110"/>
      <c r="E533" s="92"/>
      <c r="F533" s="281">
        <f>F525/AVERAGE(E529:F529)</f>
        <v>1.1135424898020203E-2</v>
      </c>
      <c r="G533" s="281">
        <f>G525/AVERAGE(F529:G529)</f>
        <v>1.4000905315227031E-2</v>
      </c>
      <c r="H533" s="281">
        <f>H525/AVERAGE(G529:H529)</f>
        <v>1.6436036706349206E-2</v>
      </c>
      <c r="I533" s="280">
        <f t="shared" ref="I533:K534" si="223">H533</f>
        <v>1.6436036706349206E-2</v>
      </c>
      <c r="J533" s="280">
        <f t="shared" si="223"/>
        <v>1.6436036706349206E-2</v>
      </c>
      <c r="K533" s="280">
        <f t="shared" si="223"/>
        <v>1.6436036706349206E-2</v>
      </c>
      <c r="L533" s="92"/>
      <c r="M533" s="281">
        <f>M525/AVERAGE(L529:M529)</f>
        <v>8.3631876530441528E-3</v>
      </c>
      <c r="N533" s="281">
        <f>N525/AVERAGE(M529:N529)</f>
        <v>7.6772192755232109E-3</v>
      </c>
      <c r="O533" s="281">
        <f>O525/AVERAGE(N529:O529)</f>
        <v>8.0040601747007438E-3</v>
      </c>
      <c r="P533" s="281">
        <f>P525/AVERAGE(O529:P529)</f>
        <v>7.3741667422509627E-3</v>
      </c>
      <c r="Q533" s="92"/>
    </row>
    <row r="534" spans="1:17">
      <c r="B534" s="197" t="s">
        <v>153</v>
      </c>
      <c r="C534" s="110"/>
      <c r="D534" s="110"/>
      <c r="E534" s="92"/>
      <c r="F534" s="283">
        <v>1.4999999999999999E-2</v>
      </c>
      <c r="G534" s="283">
        <v>1.4999999999999999E-2</v>
      </c>
      <c r="H534" s="280">
        <f>G534*1.13</f>
        <v>1.6949999999999996E-2</v>
      </c>
      <c r="I534" s="280">
        <f t="shared" si="223"/>
        <v>1.6949999999999996E-2</v>
      </c>
      <c r="J534" s="280">
        <f t="shared" si="223"/>
        <v>1.6949999999999996E-2</v>
      </c>
      <c r="K534" s="280">
        <f t="shared" si="223"/>
        <v>1.6949999999999996E-2</v>
      </c>
      <c r="L534" s="92"/>
      <c r="M534" s="280">
        <f>H534/2</f>
        <v>8.4749999999999982E-3</v>
      </c>
      <c r="N534" s="281">
        <f>N526/AVERAGE(M530:N530)</f>
        <v>1.1854444234761272E-2</v>
      </c>
      <c r="O534" s="280">
        <f>I534/2</f>
        <v>8.4749999999999982E-3</v>
      </c>
      <c r="P534" s="281">
        <f>P526/AVERAGE(O530:P530)</f>
        <v>8.2830996719923805E-3</v>
      </c>
      <c r="Q534" s="92"/>
    </row>
    <row r="535" spans="1:17">
      <c r="B535" s="187"/>
      <c r="C535" s="110"/>
      <c r="D535" s="110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</row>
    <row r="537" spans="1:17">
      <c r="B537" s="147" t="s">
        <v>100</v>
      </c>
      <c r="C537" s="148"/>
      <c r="D537" s="148"/>
      <c r="E537" s="148"/>
      <c r="F537" s="148"/>
      <c r="G537" s="148"/>
      <c r="H537" s="148"/>
      <c r="I537" s="148"/>
      <c r="J537" s="148"/>
      <c r="K537" s="148"/>
      <c r="M537" s="148"/>
      <c r="N537" s="148"/>
      <c r="O537" s="148"/>
      <c r="P537" s="148"/>
    </row>
    <row r="538" spans="1:17">
      <c r="A538" s="273" t="str">
        <f>B538</f>
        <v>Total GP</v>
      </c>
      <c r="B538" s="110" t="s">
        <v>311</v>
      </c>
      <c r="E538" s="92">
        <f>IS!E7+IS!E9</f>
        <v>3243.8620000000001</v>
      </c>
      <c r="F538" s="92">
        <f>IS!F7+IS!F9</f>
        <v>3846.8369999999995</v>
      </c>
      <c r="G538" s="92">
        <f>IS!G7+IS!G9</f>
        <v>5998.9670000000006</v>
      </c>
      <c r="H538" s="92">
        <f>IS!H7+IS!H9</f>
        <v>8060.2069999999985</v>
      </c>
      <c r="I538" s="92">
        <f t="shared" ref="I538:J538" si="224">SUM(I540:I542)</f>
        <v>10137.220505109595</v>
      </c>
      <c r="J538" s="92">
        <f t="shared" si="224"/>
        <v>11808.620988502124</v>
      </c>
      <c r="K538" s="92">
        <f t="shared" ref="K538" si="225">SUM(K540:K542)</f>
        <v>13702.53271791618</v>
      </c>
      <c r="L538" s="92"/>
      <c r="M538" s="92">
        <f>IS!M7+IS!M9</f>
        <v>3402.6949999999997</v>
      </c>
      <c r="N538" s="92">
        <f t="shared" ref="N538" si="226">SUM(N540:N542)</f>
        <v>4657.5119999999988</v>
      </c>
      <c r="O538" s="92">
        <f>IS!O7+IS!O9</f>
        <v>4706.3729999999996</v>
      </c>
      <c r="P538" s="92">
        <f t="shared" ref="P538" si="227">SUM(P540:P542)</f>
        <v>5430.8475051095957</v>
      </c>
      <c r="Q538" s="92"/>
    </row>
    <row r="539" spans="1:17">
      <c r="B539" s="275" t="s">
        <v>312</v>
      </c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</row>
    <row r="540" spans="1:17">
      <c r="B540" s="98" t="s">
        <v>96</v>
      </c>
      <c r="E540" s="99">
        <f>IS!E121</f>
        <v>2973.8670000000002</v>
      </c>
      <c r="F540" s="99">
        <f>IS!F121</f>
        <v>3490.2069999999999</v>
      </c>
      <c r="G540" s="99">
        <f>IS!G121</f>
        <v>5508.0010000000002</v>
      </c>
      <c r="H540" s="100">
        <f>H387*H563</f>
        <v>7410.976412</v>
      </c>
      <c r="I540" s="100">
        <f>I387*I563</f>
        <v>9316.2386296047407</v>
      </c>
      <c r="J540" s="100">
        <f t="shared" ref="J540:K540" si="228">J387*J563</f>
        <v>10885.101079269625</v>
      </c>
      <c r="K540" s="100">
        <f t="shared" si="228"/>
        <v>12663.478112686656</v>
      </c>
      <c r="L540" s="100"/>
      <c r="M540" s="100">
        <f>M387*M563</f>
        <v>3077.1542399999998</v>
      </c>
      <c r="N540" s="100">
        <f>H540-M540</f>
        <v>4333.8221720000001</v>
      </c>
      <c r="O540" s="100">
        <f>O387*O563</f>
        <v>4262.3163536000002</v>
      </c>
      <c r="P540" s="100">
        <f>I540-O540</f>
        <v>5053.9222760047405</v>
      </c>
      <c r="Q540" s="100"/>
    </row>
    <row r="541" spans="1:17">
      <c r="B541" s="98" t="s">
        <v>97</v>
      </c>
      <c r="E541" s="99">
        <f>IS!E122</f>
        <v>129.571</v>
      </c>
      <c r="F541" s="99">
        <f>IS!F122</f>
        <v>140.64099999999999</v>
      </c>
      <c r="G541" s="99">
        <f>IS!G122</f>
        <v>168.16</v>
      </c>
      <c r="H541" s="100">
        <f>H538-H540-H542</f>
        <v>150.71440799999851</v>
      </c>
      <c r="I541" s="100">
        <f t="shared" ref="I541:K542" si="229">I391*I564</f>
        <v>202.77911702345554</v>
      </c>
      <c r="J541" s="100">
        <f t="shared" si="229"/>
        <v>182.21883131106856</v>
      </c>
      <c r="K541" s="100">
        <f t="shared" si="229"/>
        <v>176.49132700541688</v>
      </c>
      <c r="L541" s="100"/>
      <c r="M541" s="100">
        <f>M391*M564</f>
        <v>86.313018999999997</v>
      </c>
      <c r="N541" s="100">
        <f>H541-M541</f>
        <v>64.401388999998517</v>
      </c>
      <c r="O541" s="100">
        <f t="shared" ref="O541" si="230">O391*O564</f>
        <v>129.81844868613732</v>
      </c>
      <c r="P541" s="100">
        <f>I541-O541</f>
        <v>72.960668337318225</v>
      </c>
      <c r="Q541" s="100"/>
    </row>
    <row r="542" spans="1:17">
      <c r="B542" s="98" t="s">
        <v>98</v>
      </c>
      <c r="E542" s="99">
        <f>IS!E123</f>
        <v>140.42400000000001</v>
      </c>
      <c r="F542" s="99">
        <f>IS!F123</f>
        <v>215.989</v>
      </c>
      <c r="G542" s="99">
        <f>IS!G123</f>
        <v>322.80599999999998</v>
      </c>
      <c r="H542" s="100">
        <f>H392*H565</f>
        <v>498.51618000000002</v>
      </c>
      <c r="I542" s="100">
        <f t="shared" si="229"/>
        <v>618.20275848139886</v>
      </c>
      <c r="J542" s="100">
        <f t="shared" si="229"/>
        <v>741.3010779214286</v>
      </c>
      <c r="K542" s="100">
        <f t="shared" si="229"/>
        <v>862.56327822410708</v>
      </c>
      <c r="L542" s="100"/>
      <c r="M542" s="100">
        <f>M538-M540-M541</f>
        <v>239.22774099999987</v>
      </c>
      <c r="N542" s="100">
        <f>H542-M542</f>
        <v>259.28843900000015</v>
      </c>
      <c r="O542" s="100">
        <f>O538-O540-O541</f>
        <v>314.23819771386206</v>
      </c>
      <c r="P542" s="100">
        <f>I542-O542</f>
        <v>303.9645607675368</v>
      </c>
      <c r="Q542" s="100"/>
    </row>
    <row r="544" spans="1:17">
      <c r="B544" s="275" t="s">
        <v>220</v>
      </c>
    </row>
    <row r="545" spans="2:16">
      <c r="B545" s="98" t="s">
        <v>293</v>
      </c>
      <c r="E545" s="112">
        <f>E546+E547</f>
        <v>3212.9279999999999</v>
      </c>
      <c r="F545" s="112">
        <f>F546+F547</f>
        <v>3810.07</v>
      </c>
      <c r="G545" s="112">
        <f>G546+G547</f>
        <v>5892.3490000000002</v>
      </c>
    </row>
    <row r="546" spans="2:16">
      <c r="B546" s="197" t="s">
        <v>294</v>
      </c>
      <c r="E546" s="99">
        <v>2336.3710000000001</v>
      </c>
      <c r="F546" s="99">
        <v>2994.1660000000002</v>
      </c>
      <c r="G546" s="99">
        <v>4945.299</v>
      </c>
    </row>
    <row r="547" spans="2:16">
      <c r="B547" s="197" t="s">
        <v>295</v>
      </c>
      <c r="E547" s="99">
        <v>876.55700000000002</v>
      </c>
      <c r="F547" s="99">
        <v>815.904</v>
      </c>
      <c r="G547" s="99">
        <v>947.05</v>
      </c>
    </row>
    <row r="548" spans="2:16">
      <c r="B548" s="98" t="s">
        <v>296</v>
      </c>
      <c r="E548" s="284">
        <v>-1.925</v>
      </c>
      <c r="F548" s="284">
        <v>-7.3109999999999999</v>
      </c>
      <c r="G548" s="284">
        <v>8.3780000000000001</v>
      </c>
    </row>
    <row r="550" spans="2:16">
      <c r="B550" s="275" t="s">
        <v>225</v>
      </c>
    </row>
    <row r="551" spans="2:16">
      <c r="B551" s="98" t="s">
        <v>185</v>
      </c>
      <c r="E551" s="99">
        <v>3223.3449999999998</v>
      </c>
      <c r="F551" s="99">
        <v>3614.3119999999999</v>
      </c>
      <c r="G551" s="99">
        <v>5402.6930000000002</v>
      </c>
      <c r="H551" s="100">
        <f>H538-H552</f>
        <v>7564.3404985569687</v>
      </c>
      <c r="I551" s="100">
        <f t="shared" ref="I551:K551" si="231">I538-I552</f>
        <v>9709.9093487872997</v>
      </c>
      <c r="J551" s="100">
        <f t="shared" si="231"/>
        <v>11304.78731343439</v>
      </c>
      <c r="K551" s="100">
        <f t="shared" si="231"/>
        <v>13075.33134155205</v>
      </c>
    </row>
    <row r="552" spans="2:16">
      <c r="B552" s="98" t="s">
        <v>153</v>
      </c>
      <c r="E552" s="99">
        <v>20.516999999999999</v>
      </c>
      <c r="F552" s="99">
        <v>232.52500000000001</v>
      </c>
      <c r="G552" s="99">
        <v>596.274</v>
      </c>
      <c r="H552" s="100">
        <f>H575*H401</f>
        <v>495.86650144303019</v>
      </c>
      <c r="I552" s="100">
        <f>I575*I401</f>
        <v>427.31115632229535</v>
      </c>
      <c r="J552" s="100">
        <f>J575*J401</f>
        <v>503.83367506773317</v>
      </c>
      <c r="K552" s="100">
        <f t="shared" ref="K552" si="232">K575*K401</f>
        <v>627.20137636412994</v>
      </c>
    </row>
    <row r="554" spans="2:16">
      <c r="B554" s="275" t="s">
        <v>211</v>
      </c>
    </row>
    <row r="555" spans="2:16">
      <c r="B555" s="98" t="s">
        <v>186</v>
      </c>
      <c r="G555" s="285">
        <f>G384*96%*G578</f>
        <v>5905.5810191999999</v>
      </c>
      <c r="H555" s="127">
        <f>H556+H557</f>
        <v>7919.0958669531838</v>
      </c>
      <c r="I555" s="127">
        <f t="shared" ref="I555:K555" si="233">I556+I557</f>
        <v>9812.4542418953733</v>
      </c>
      <c r="J555" s="127">
        <f t="shared" si="233"/>
        <v>11244.727507099089</v>
      </c>
      <c r="K555" s="127">
        <f t="shared" si="233"/>
        <v>12912.117001245388</v>
      </c>
    </row>
    <row r="556" spans="2:16">
      <c r="B556" s="197" t="s">
        <v>185</v>
      </c>
      <c r="G556" s="140">
        <f>G555-G557</f>
        <v>5309.3070191999996</v>
      </c>
      <c r="H556" s="140">
        <f>H551-H558</f>
        <v>7423.2293655101539</v>
      </c>
      <c r="I556" s="140">
        <f t="shared" ref="I556:K556" si="234">I551-I558</f>
        <v>9385.1430855730778</v>
      </c>
      <c r="J556" s="140">
        <f t="shared" si="234"/>
        <v>10740.893832031355</v>
      </c>
      <c r="K556" s="140">
        <f t="shared" si="234"/>
        <v>12284.915624881258</v>
      </c>
    </row>
    <row r="557" spans="2:16">
      <c r="B557" s="197" t="s">
        <v>153</v>
      </c>
      <c r="E557" s="140">
        <f t="shared" ref="E557:F557" si="235">E552</f>
        <v>20.516999999999999</v>
      </c>
      <c r="F557" s="140">
        <f t="shared" si="235"/>
        <v>232.52500000000001</v>
      </c>
      <c r="G557" s="140">
        <f>G552</f>
        <v>596.274</v>
      </c>
      <c r="H557" s="100">
        <f>H552</f>
        <v>495.86650144303019</v>
      </c>
      <c r="I557" s="100">
        <f t="shared" ref="I557:K557" si="236">I552</f>
        <v>427.31115632229535</v>
      </c>
      <c r="J557" s="100">
        <f t="shared" si="236"/>
        <v>503.83367506773317</v>
      </c>
      <c r="K557" s="100">
        <f t="shared" si="236"/>
        <v>627.20137636412994</v>
      </c>
    </row>
    <row r="558" spans="2:16">
      <c r="B558" s="98" t="s">
        <v>187</v>
      </c>
      <c r="G558" s="140">
        <f>G538-G555</f>
        <v>93.385980800000652</v>
      </c>
      <c r="H558" s="140">
        <f>H425*H581</f>
        <v>141.11113304681487</v>
      </c>
      <c r="I558" s="140">
        <f t="shared" ref="I558:K558" si="237">I425*I581</f>
        <v>324.76626321422259</v>
      </c>
      <c r="J558" s="140">
        <f t="shared" si="237"/>
        <v>563.893481403034</v>
      </c>
      <c r="K558" s="140">
        <f t="shared" si="237"/>
        <v>790.41571667079234</v>
      </c>
    </row>
    <row r="560" spans="2:16">
      <c r="B560" s="177" t="s">
        <v>103</v>
      </c>
      <c r="C560" s="177"/>
      <c r="D560" s="177"/>
      <c r="E560" s="177"/>
      <c r="F560" s="177"/>
      <c r="G560" s="177"/>
      <c r="H560" s="177"/>
      <c r="I560" s="177"/>
      <c r="J560" s="177"/>
      <c r="K560" s="177"/>
      <c r="M560" s="177"/>
      <c r="N560" s="177"/>
      <c r="O560" s="177"/>
      <c r="P560" s="177"/>
    </row>
    <row r="561" spans="2:17">
      <c r="B561" s="110" t="s">
        <v>313</v>
      </c>
      <c r="E561" s="174">
        <f t="shared" ref="E561:K561" si="238">E538/E384</f>
        <v>0.31338676334795551</v>
      </c>
      <c r="F561" s="174">
        <f t="shared" si="238"/>
        <v>0.28336453028847314</v>
      </c>
      <c r="G561" s="174">
        <f t="shared" si="238"/>
        <v>0.2954797360813084</v>
      </c>
      <c r="H561" s="174">
        <f>H538/H384</f>
        <v>0.32463038799101396</v>
      </c>
      <c r="I561" s="174">
        <f t="shared" si="238"/>
        <v>0.31353893300214175</v>
      </c>
      <c r="J561" s="174">
        <f t="shared" si="238"/>
        <v>0.3117386329894089</v>
      </c>
      <c r="K561" s="174">
        <f t="shared" si="238"/>
        <v>0.31219727724428037</v>
      </c>
      <c r="L561" s="93"/>
      <c r="M561" s="174">
        <f t="shared" ref="M561:N561" si="239">M538/M384</f>
        <v>0.31869230969516493</v>
      </c>
      <c r="N561" s="174">
        <f t="shared" si="239"/>
        <v>0.32911046070399425</v>
      </c>
      <c r="O561" s="174">
        <f>O538/O384</f>
        <v>0.31639888619746309</v>
      </c>
      <c r="P561" s="174">
        <f t="shared" ref="P561" si="240">P538/P384</f>
        <v>0.3111019892598359</v>
      </c>
      <c r="Q561" s="93"/>
    </row>
    <row r="562" spans="2:17">
      <c r="B562" s="275" t="s">
        <v>312</v>
      </c>
      <c r="E562" s="174"/>
      <c r="F562" s="174"/>
      <c r="G562" s="174"/>
      <c r="H562" s="174"/>
      <c r="I562" s="174"/>
      <c r="J562" s="174"/>
      <c r="K562" s="174"/>
      <c r="L562" s="93"/>
      <c r="M562" s="93"/>
      <c r="N562" s="174"/>
      <c r="O562" s="93"/>
      <c r="P562" s="174"/>
      <c r="Q562" s="93"/>
    </row>
    <row r="563" spans="2:17">
      <c r="B563" s="98" t="s">
        <v>96</v>
      </c>
      <c r="E563" s="104">
        <f t="shared" ref="E563:G563" si="241">E540/E387</f>
        <v>0.31444004119412206</v>
      </c>
      <c r="F563" s="104">
        <f t="shared" si="241"/>
        <v>0.27808103278747431</v>
      </c>
      <c r="G563" s="104">
        <f t="shared" si="241"/>
        <v>0.28747080538261327</v>
      </c>
      <c r="H563" s="286">
        <v>0.316</v>
      </c>
      <c r="I563" s="149">
        <v>0.30499999999999999</v>
      </c>
      <c r="J563" s="149">
        <f>I563-0.3%</f>
        <v>0.30199999999999999</v>
      </c>
      <c r="K563" s="149">
        <f t="shared" ref="K563:K565" si="242">J563</f>
        <v>0.30199999999999999</v>
      </c>
      <c r="L563" s="78"/>
      <c r="M563" s="149">
        <v>0.31</v>
      </c>
      <c r="N563" s="104">
        <f>N540/N387</f>
        <v>0.32040316060301849</v>
      </c>
      <c r="O563" s="149">
        <f>M563-0.21%</f>
        <v>0.30790000000000001</v>
      </c>
      <c r="P563" s="104">
        <f t="shared" ref="P563" si="243">P540/P387</f>
        <v>0.30259636160594378</v>
      </c>
      <c r="Q563" s="78"/>
    </row>
    <row r="564" spans="2:17">
      <c r="B564" s="98" t="s">
        <v>97</v>
      </c>
      <c r="E564" s="104">
        <f t="shared" ref="E564:H565" si="244">E541/E391</f>
        <v>0.18591307192543446</v>
      </c>
      <c r="F564" s="104">
        <f t="shared" si="244"/>
        <v>0.18792549843864204</v>
      </c>
      <c r="G564" s="104">
        <f t="shared" si="244"/>
        <v>0.22831168020072309</v>
      </c>
      <c r="H564" s="104">
        <f t="shared" si="244"/>
        <v>0.1992596341482743</v>
      </c>
      <c r="I564" s="149">
        <f>H564</f>
        <v>0.1992596341482743</v>
      </c>
      <c r="J564" s="149">
        <f t="shared" ref="J564" si="245">I564</f>
        <v>0.1992596341482743</v>
      </c>
      <c r="K564" s="149">
        <f t="shared" si="242"/>
        <v>0.1992596341482743</v>
      </c>
      <c r="L564" s="257"/>
      <c r="M564" s="149">
        <v>0.1885</v>
      </c>
      <c r="N564" s="104">
        <f t="shared" ref="N564:P565" si="246">N541/N391</f>
        <v>0.21576594924918596</v>
      </c>
      <c r="O564" s="149">
        <f>I564</f>
        <v>0.1992596341482743</v>
      </c>
      <c r="P564" s="104">
        <f t="shared" si="246"/>
        <v>0.1992596341482743</v>
      </c>
      <c r="Q564" s="257"/>
    </row>
    <row r="565" spans="2:17">
      <c r="B565" s="98" t="s">
        <v>98</v>
      </c>
      <c r="E565" s="104">
        <f t="shared" si="244"/>
        <v>0.71505535130510944</v>
      </c>
      <c r="F565" s="104">
        <f t="shared" si="244"/>
        <v>0.78215225948498446</v>
      </c>
      <c r="G565" s="104">
        <f t="shared" si="244"/>
        <v>0.79564130750915651</v>
      </c>
      <c r="H565" s="286">
        <v>0.80400000000000005</v>
      </c>
      <c r="I565" s="149">
        <f t="shared" ref="I565:J565" si="247">H565</f>
        <v>0.80400000000000005</v>
      </c>
      <c r="J565" s="149">
        <f t="shared" si="247"/>
        <v>0.80400000000000005</v>
      </c>
      <c r="K565" s="149">
        <f t="shared" si="242"/>
        <v>0.80400000000000005</v>
      </c>
      <c r="L565" s="257"/>
      <c r="M565" s="104">
        <f>M542/M392</f>
        <v>0.81687840098888143</v>
      </c>
      <c r="N565" s="104">
        <f>N542/N392</f>
        <v>0.79247297127959726</v>
      </c>
      <c r="O565" s="104">
        <f>O542/O392</f>
        <v>0.82667939344014685</v>
      </c>
      <c r="P565" s="104">
        <f t="shared" si="246"/>
        <v>0.78182617814393196</v>
      </c>
      <c r="Q565" s="257"/>
    </row>
    <row r="567" spans="2:17">
      <c r="B567" s="275" t="s">
        <v>220</v>
      </c>
    </row>
    <row r="568" spans="2:17">
      <c r="B568" s="98" t="s">
        <v>293</v>
      </c>
      <c r="E568" s="78">
        <f t="shared" ref="E568:G571" si="248">E545/E415</f>
        <v>0.32028783286681378</v>
      </c>
      <c r="F568" s="78">
        <f t="shared" si="248"/>
        <v>0.29080168429851644</v>
      </c>
      <c r="G568" s="78">
        <f t="shared" si="248"/>
        <v>0.3010092766361212</v>
      </c>
      <c r="H568" s="78"/>
    </row>
    <row r="569" spans="2:17">
      <c r="B569" s="197" t="s">
        <v>294</v>
      </c>
      <c r="E569" s="78">
        <f t="shared" si="248"/>
        <v>0.32852307191727032</v>
      </c>
      <c r="F569" s="78">
        <f t="shared" si="248"/>
        <v>0.29775500795361565</v>
      </c>
      <c r="G569" s="78">
        <f t="shared" si="248"/>
        <v>0.30537798321430387</v>
      </c>
      <c r="H569" s="78"/>
    </row>
    <row r="570" spans="2:17">
      <c r="B570" s="197" t="s">
        <v>295</v>
      </c>
      <c r="E570" s="78">
        <f t="shared" si="248"/>
        <v>0.30022817912917915</v>
      </c>
      <c r="F570" s="78">
        <f t="shared" si="248"/>
        <v>0.26784769884861181</v>
      </c>
      <c r="G570" s="78">
        <f t="shared" si="248"/>
        <v>0.28008615669623432</v>
      </c>
      <c r="H570" s="78"/>
    </row>
    <row r="571" spans="2:17">
      <c r="B571" s="98" t="s">
        <v>296</v>
      </c>
      <c r="E571" s="78">
        <f t="shared" si="248"/>
        <v>-2.3250757914316425E-2</v>
      </c>
      <c r="F571" s="78">
        <f t="shared" si="248"/>
        <v>-0.10106721225358734</v>
      </c>
      <c r="G571" s="78">
        <f t="shared" si="248"/>
        <v>7.7850877192982462E-2</v>
      </c>
      <c r="H571" s="78"/>
    </row>
    <row r="573" spans="2:17">
      <c r="B573" s="275" t="s">
        <v>225</v>
      </c>
      <c r="E573" s="78"/>
    </row>
    <row r="574" spans="2:17">
      <c r="B574" s="98" t="s">
        <v>185</v>
      </c>
      <c r="E574" s="104">
        <f t="shared" ref="E574:K574" si="249">E551/E395</f>
        <v>0.31291825766579812</v>
      </c>
      <c r="F574" s="104">
        <f t="shared" si="249"/>
        <v>0.27727882382553898</v>
      </c>
      <c r="G574" s="104">
        <f t="shared" si="249"/>
        <v>0.28714004540822735</v>
      </c>
      <c r="H574" s="104">
        <f>H551/H395</f>
        <v>0.3220417624230042</v>
      </c>
      <c r="I574" s="104">
        <f t="shared" si="249"/>
        <v>0.31369653053652369</v>
      </c>
      <c r="J574" s="104">
        <f t="shared" si="249"/>
        <v>0.31181657475040808</v>
      </c>
      <c r="K574" s="104">
        <f t="shared" si="249"/>
        <v>0.31230346006539245</v>
      </c>
    </row>
    <row r="575" spans="2:17">
      <c r="B575" s="98" t="s">
        <v>153</v>
      </c>
      <c r="E575" s="104">
        <f>E552/E401</f>
        <v>0.40977451117458313</v>
      </c>
      <c r="F575" s="104">
        <f>F552/F401</f>
        <v>0.4300921130511976</v>
      </c>
      <c r="G575" s="104">
        <f>G552/G401</f>
        <v>0.40100959559683946</v>
      </c>
      <c r="H575" s="149">
        <v>0.37</v>
      </c>
      <c r="I575" s="149">
        <v>0.31</v>
      </c>
      <c r="J575" s="149">
        <f>I575</f>
        <v>0.31</v>
      </c>
      <c r="K575" s="149">
        <f>J575</f>
        <v>0.31</v>
      </c>
    </row>
    <row r="576" spans="2:17">
      <c r="B576" s="98"/>
    </row>
    <row r="577" spans="2:17">
      <c r="B577" s="275" t="s">
        <v>211</v>
      </c>
    </row>
    <row r="578" spans="2:17">
      <c r="B578" s="98" t="s">
        <v>186</v>
      </c>
      <c r="E578" s="286">
        <v>0.314</v>
      </c>
      <c r="F578" s="286">
        <v>0.28899999999999998</v>
      </c>
      <c r="G578" s="286">
        <v>0.30299999999999999</v>
      </c>
      <c r="H578" s="287">
        <f>H555/H423</f>
        <v>0.33714500163984451</v>
      </c>
      <c r="I578" s="134">
        <f t="shared" ref="H578:K579" si="250">I555/I423</f>
        <v>0.31700943244288998</v>
      </c>
      <c r="J578" s="134">
        <f t="shared" si="250"/>
        <v>0.31015996303606025</v>
      </c>
      <c r="K578" s="134">
        <f t="shared" si="250"/>
        <v>0.30840509589560078</v>
      </c>
    </row>
    <row r="579" spans="2:17">
      <c r="B579" s="197" t="s">
        <v>185</v>
      </c>
      <c r="E579" s="104"/>
      <c r="F579" s="104"/>
      <c r="G579" s="104">
        <f>G556/(G384*96%-G401)</f>
        <v>0.29490523314818201</v>
      </c>
      <c r="H579" s="134">
        <f t="shared" si="250"/>
        <v>0.33199077907089336</v>
      </c>
      <c r="I579" s="134">
        <f t="shared" si="250"/>
        <v>0.33098809949425112</v>
      </c>
      <c r="J579" s="134">
        <f t="shared" si="250"/>
        <v>0.33484288557107433</v>
      </c>
      <c r="K579" s="134">
        <f t="shared" si="250"/>
        <v>0.33734938793987873</v>
      </c>
    </row>
    <row r="580" spans="2:17">
      <c r="B580" s="197" t="s">
        <v>153</v>
      </c>
      <c r="E580" s="104">
        <f t="shared" ref="E580:K580" si="251">E557/E401</f>
        <v>0.40977451117458313</v>
      </c>
      <c r="F580" s="104">
        <f t="shared" si="251"/>
        <v>0.4300921130511976</v>
      </c>
      <c r="G580" s="104">
        <f t="shared" si="251"/>
        <v>0.40100959559683946</v>
      </c>
      <c r="H580" s="104">
        <f t="shared" si="251"/>
        <v>0.37</v>
      </c>
      <c r="I580" s="104">
        <f t="shared" si="251"/>
        <v>0.31</v>
      </c>
      <c r="J580" s="104">
        <f t="shared" si="251"/>
        <v>0.31</v>
      </c>
      <c r="K580" s="104">
        <f t="shared" si="251"/>
        <v>0.31</v>
      </c>
    </row>
    <row r="581" spans="2:17">
      <c r="B581" s="98" t="s">
        <v>187</v>
      </c>
      <c r="E581" s="104"/>
      <c r="F581" s="104"/>
      <c r="G581" s="104">
        <f>G558/(G384*4%)</f>
        <v>0.11499340203270964</v>
      </c>
      <c r="H581" s="166">
        <f>G581+1%</f>
        <v>0.12499340203270963</v>
      </c>
      <c r="I581" s="166">
        <f>H581</f>
        <v>0.12499340203270963</v>
      </c>
      <c r="J581" s="166">
        <f t="shared" ref="J581:K581" si="252">I581+1%</f>
        <v>0.13499340203270963</v>
      </c>
      <c r="K581" s="166">
        <f t="shared" si="252"/>
        <v>0.14499340203270963</v>
      </c>
    </row>
    <row r="582" spans="2:17">
      <c r="B582" s="98"/>
      <c r="E582" s="286"/>
      <c r="F582" s="286"/>
      <c r="G582" s="286"/>
    </row>
    <row r="583" spans="2:17">
      <c r="B583" s="177" t="s">
        <v>314</v>
      </c>
      <c r="C583" s="177"/>
      <c r="D583" s="177"/>
      <c r="E583" s="177"/>
      <c r="F583" s="177"/>
      <c r="G583" s="177"/>
      <c r="H583" s="288"/>
      <c r="I583" s="288"/>
      <c r="J583" s="288"/>
      <c r="K583" s="288"/>
      <c r="M583" s="288"/>
      <c r="N583" s="288"/>
      <c r="O583" s="288"/>
      <c r="P583" s="288"/>
    </row>
    <row r="584" spans="2:17">
      <c r="B584" s="110" t="s">
        <v>315</v>
      </c>
      <c r="E584" s="92">
        <f t="shared" ref="E584:K584" si="253">E538-E384</f>
        <v>-7107.1239999999989</v>
      </c>
      <c r="F584" s="92">
        <f t="shared" si="253"/>
        <v>-9728.7400000000016</v>
      </c>
      <c r="G584" s="92">
        <f t="shared" si="253"/>
        <v>-14303.498</v>
      </c>
      <c r="H584" s="92">
        <f>H538-H384</f>
        <v>-16768.667000000001</v>
      </c>
      <c r="I584" s="92">
        <f t="shared" si="253"/>
        <v>-22194.395884745085</v>
      </c>
      <c r="J584" s="92">
        <f t="shared" si="253"/>
        <v>-26071.255737919892</v>
      </c>
      <c r="K584" s="92">
        <f t="shared" si="253"/>
        <v>-30188.089387652541</v>
      </c>
      <c r="L584" s="92"/>
      <c r="M584" s="92">
        <f t="shared" ref="M584:P584" si="254">M538-M384</f>
        <v>-7274.3590000000004</v>
      </c>
      <c r="N584" s="92">
        <f t="shared" si="254"/>
        <v>-9494.3079999999991</v>
      </c>
      <c r="O584" s="92">
        <f t="shared" si="254"/>
        <v>-10168.436</v>
      </c>
      <c r="P584" s="92">
        <f t="shared" si="254"/>
        <v>-12025.959884745087</v>
      </c>
      <c r="Q584" s="92"/>
    </row>
    <row r="585" spans="2:17">
      <c r="B585" s="187" t="s">
        <v>96</v>
      </c>
      <c r="C585" s="110"/>
      <c r="D585" s="110"/>
      <c r="E585" s="92">
        <f>E540-E387</f>
        <v>-6483.7929999999997</v>
      </c>
      <c r="F585" s="92">
        <f>F540-F387</f>
        <v>-9060.8359999999993</v>
      </c>
      <c r="G585" s="92">
        <f>G540-G387</f>
        <v>-13652.208999999999</v>
      </c>
      <c r="H585" s="92">
        <f t="shared" ref="H585:K585" si="255">H540-H387</f>
        <v>-16041.480587999999</v>
      </c>
      <c r="I585" s="92">
        <f t="shared" si="255"/>
        <v>-21228.806057623919</v>
      </c>
      <c r="J585" s="92">
        <f t="shared" si="255"/>
        <v>-25158.279977914564</v>
      </c>
      <c r="K585" s="92">
        <f t="shared" si="255"/>
        <v>-29268.568618063859</v>
      </c>
      <c r="L585" s="92"/>
      <c r="M585" s="92"/>
      <c r="N585" s="92"/>
      <c r="O585" s="92"/>
      <c r="P585" s="92"/>
      <c r="Q585" s="92"/>
    </row>
    <row r="586" spans="2:17">
      <c r="B586" s="197" t="s">
        <v>316</v>
      </c>
      <c r="E586" s="100"/>
      <c r="F586" s="100">
        <f>SUM(F587:F590)</f>
        <v>-7022.1478999999999</v>
      </c>
      <c r="G586" s="100">
        <f>SUM(G587:G590)</f>
        <v>-10512.200929999999</v>
      </c>
      <c r="H586" s="100">
        <f>SUM(H587:H590)</f>
        <v>-12218.64757047722</v>
      </c>
      <c r="I586" s="100">
        <f t="shared" ref="I586:K586" si="256">SUM(I587:I590)</f>
        <v>-16734.366665851299</v>
      </c>
      <c r="J586" s="100">
        <f t="shared" si="256"/>
        <v>-18928.994492648711</v>
      </c>
      <c r="K586" s="100">
        <f t="shared" si="256"/>
        <v>-22002.73113883286</v>
      </c>
      <c r="L586" s="100"/>
      <c r="M586" s="100"/>
      <c r="N586" s="100"/>
      <c r="O586" s="100"/>
      <c r="P586" s="100"/>
      <c r="Q586" s="100"/>
    </row>
    <row r="587" spans="2:17">
      <c r="B587" s="231" t="s">
        <v>317</v>
      </c>
      <c r="E587" s="100"/>
      <c r="F587" s="100">
        <f t="shared" ref="F587:G592" si="257">F$585*F618</f>
        <v>-1993.3839199999998</v>
      </c>
      <c r="G587" s="100">
        <f t="shared" si="257"/>
        <v>-2866.9638899999995</v>
      </c>
      <c r="H587" s="100">
        <f>G587*(1+H609)</f>
        <v>-3153.9530057637189</v>
      </c>
      <c r="I587" s="100">
        <f t="shared" ref="H587:K591" si="258">H587*(1+I609)</f>
        <v>-4240.0490220168685</v>
      </c>
      <c r="J587" s="100">
        <f t="shared" si="258"/>
        <v>-4813.9919310328696</v>
      </c>
      <c r="K587" s="100">
        <f t="shared" si="258"/>
        <v>-5616.536327501507</v>
      </c>
      <c r="L587" s="100"/>
      <c r="M587" s="100"/>
      <c r="N587" s="100"/>
      <c r="O587" s="100"/>
      <c r="P587" s="100"/>
      <c r="Q587" s="100"/>
    </row>
    <row r="588" spans="2:17">
      <c r="B588" s="231" t="s">
        <v>318</v>
      </c>
      <c r="E588" s="100"/>
      <c r="F588" s="100">
        <f t="shared" si="257"/>
        <v>-679.56269999999995</v>
      </c>
      <c r="G588" s="100">
        <f t="shared" si="257"/>
        <v>-819.13253999999995</v>
      </c>
      <c r="H588" s="100">
        <f>G588*(1+H610)</f>
        <v>-971.2172747907324</v>
      </c>
      <c r="I588" s="100">
        <f t="shared" si="258"/>
        <v>-1318.5932743622473</v>
      </c>
      <c r="J588" s="100">
        <f t="shared" si="258"/>
        <v>-1489.6329656335395</v>
      </c>
      <c r="K588" s="100">
        <f t="shared" si="258"/>
        <v>-1729.3242325460919</v>
      </c>
      <c r="L588" s="100"/>
      <c r="M588" s="100"/>
      <c r="N588" s="100"/>
      <c r="O588" s="100"/>
      <c r="P588" s="100"/>
      <c r="Q588" s="100"/>
    </row>
    <row r="589" spans="2:17">
      <c r="B589" s="231" t="s">
        <v>319</v>
      </c>
      <c r="E589" s="100"/>
      <c r="F589" s="100">
        <f t="shared" si="257"/>
        <v>-1902.7755599999998</v>
      </c>
      <c r="G589" s="100">
        <f>G$585*G620</f>
        <v>-2866.9638899999995</v>
      </c>
      <c r="H589" s="100">
        <f>G589*(1+H611)</f>
        <v>-3399.2604617675634</v>
      </c>
      <c r="I589" s="100">
        <f t="shared" si="258"/>
        <v>-4615.0764602678655</v>
      </c>
      <c r="J589" s="100">
        <f t="shared" si="258"/>
        <v>-5213.7153797173878</v>
      </c>
      <c r="K589" s="100">
        <f t="shared" si="258"/>
        <v>-6052.6348139113215</v>
      </c>
      <c r="L589" s="100"/>
      <c r="M589" s="100"/>
      <c r="N589" s="100"/>
      <c r="O589" s="100"/>
      <c r="P589" s="100"/>
      <c r="Q589" s="100"/>
    </row>
    <row r="590" spans="2:17">
      <c r="B590" s="231" t="s">
        <v>109</v>
      </c>
      <c r="E590" s="100"/>
      <c r="F590" s="100">
        <f t="shared" si="257"/>
        <v>-2446.4257200000002</v>
      </c>
      <c r="G590" s="100">
        <f t="shared" si="257"/>
        <v>-3959.1406099999995</v>
      </c>
      <c r="H590" s="100">
        <f t="shared" si="258"/>
        <v>-4694.2168281552067</v>
      </c>
      <c r="I590" s="100">
        <f t="shared" si="258"/>
        <v>-6560.6479092043182</v>
      </c>
      <c r="J590" s="100">
        <f t="shared" si="258"/>
        <v>-7411.6542162649139</v>
      </c>
      <c r="K590" s="100">
        <f t="shared" si="258"/>
        <v>-8604.235764873938</v>
      </c>
      <c r="L590" s="100"/>
      <c r="M590" s="100"/>
      <c r="N590" s="100"/>
      <c r="O590" s="100"/>
      <c r="P590" s="100"/>
      <c r="Q590" s="100"/>
    </row>
    <row r="591" spans="2:17">
      <c r="B591" s="197" t="s">
        <v>320</v>
      </c>
      <c r="E591" s="100"/>
      <c r="F591" s="100">
        <f t="shared" si="257"/>
        <v>-1902.7755599999998</v>
      </c>
      <c r="G591" s="100">
        <f t="shared" si="257"/>
        <v>-2866.9638899999995</v>
      </c>
      <c r="H591" s="100">
        <f>G591*(1+H613)</f>
        <v>-3329.1726171950363</v>
      </c>
      <c r="I591" s="100">
        <f t="shared" si="258"/>
        <v>-4431.2943574433712</v>
      </c>
      <c r="J591" s="100">
        <f t="shared" si="258"/>
        <v>-5006.0942093506346</v>
      </c>
      <c r="K591" s="100">
        <f t="shared" si="258"/>
        <v>-5811.6060978529968</v>
      </c>
      <c r="L591" s="100"/>
      <c r="M591" s="100"/>
      <c r="N591" s="100"/>
      <c r="O591" s="100"/>
      <c r="P591" s="100"/>
      <c r="Q591" s="100"/>
    </row>
    <row r="592" spans="2:17">
      <c r="B592" s="197" t="s">
        <v>109</v>
      </c>
      <c r="E592" s="100"/>
      <c r="F592" s="100">
        <f t="shared" si="257"/>
        <v>-135.91254000000012</v>
      </c>
      <c r="G592" s="100">
        <f>G$585*G623</f>
        <v>-273.04418000000021</v>
      </c>
      <c r="H592" s="100">
        <f>H585-H586-H591</f>
        <v>-493.66040032774208</v>
      </c>
      <c r="I592" s="100">
        <f t="shared" ref="I592:K592" si="259">I585-I586-I591</f>
        <v>-63.145034329248119</v>
      </c>
      <c r="J592" s="100">
        <f t="shared" si="259"/>
        <v>-1223.1912759152183</v>
      </c>
      <c r="K592" s="100">
        <f t="shared" si="259"/>
        <v>-1454.231381378002</v>
      </c>
      <c r="L592" s="100"/>
      <c r="M592" s="100"/>
      <c r="N592" s="100"/>
      <c r="O592" s="100"/>
      <c r="P592" s="100"/>
      <c r="Q592" s="100"/>
    </row>
    <row r="593" spans="2:17">
      <c r="B593" s="187" t="s">
        <v>97</v>
      </c>
      <c r="C593" s="110"/>
      <c r="D593" s="110"/>
      <c r="E593" s="92">
        <f t="shared" ref="E593:K594" si="260">E541-E391</f>
        <v>-567.37299999999993</v>
      </c>
      <c r="F593" s="92">
        <f t="shared" si="260"/>
        <v>-607.74599999999998</v>
      </c>
      <c r="G593" s="92">
        <f t="shared" si="260"/>
        <v>-568.37700000000007</v>
      </c>
      <c r="H593" s="92">
        <f t="shared" si="260"/>
        <v>-605.65759200000139</v>
      </c>
      <c r="I593" s="92">
        <f t="shared" si="260"/>
        <v>-814.88368201873425</v>
      </c>
      <c r="J593" s="92">
        <f t="shared" si="260"/>
        <v>-732.26057185532864</v>
      </c>
      <c r="K593" s="92">
        <f t="shared" si="260"/>
        <v>-709.24414952408972</v>
      </c>
      <c r="L593" s="92"/>
      <c r="M593" s="92"/>
      <c r="N593" s="92"/>
      <c r="O593" s="92"/>
      <c r="P593" s="92"/>
      <c r="Q593" s="92"/>
    </row>
    <row r="594" spans="2:17">
      <c r="B594" s="187" t="s">
        <v>98</v>
      </c>
      <c r="C594" s="110"/>
      <c r="D594" s="110"/>
      <c r="E594" s="92">
        <f t="shared" si="260"/>
        <v>-55.957999999999998</v>
      </c>
      <c r="F594" s="92">
        <f t="shared" si="260"/>
        <v>-60.157999999999987</v>
      </c>
      <c r="G594" s="92">
        <f t="shared" si="260"/>
        <v>-82.912000000000035</v>
      </c>
      <c r="H594" s="92">
        <f t="shared" si="260"/>
        <v>-121.52881999999994</v>
      </c>
      <c r="I594" s="92">
        <f t="shared" si="260"/>
        <v>-150.70614510243058</v>
      </c>
      <c r="J594" s="92">
        <f t="shared" si="260"/>
        <v>-180.7151881499999</v>
      </c>
      <c r="K594" s="92">
        <f t="shared" si="260"/>
        <v>-210.27662006458331</v>
      </c>
      <c r="L594" s="92"/>
      <c r="M594" s="92"/>
      <c r="N594" s="92"/>
      <c r="O594" s="92"/>
      <c r="P594" s="92"/>
      <c r="Q594" s="92"/>
    </row>
    <row r="596" spans="2:17">
      <c r="B596" s="77" t="s">
        <v>321</v>
      </c>
    </row>
    <row r="597" spans="2:17">
      <c r="B597" s="77" t="s">
        <v>322</v>
      </c>
    </row>
    <row r="598" spans="2:17">
      <c r="B598" s="77" t="s">
        <v>323</v>
      </c>
      <c r="F598" s="289">
        <v>8.9999999999999993E-3</v>
      </c>
      <c r="G598" s="289">
        <v>7.0000000000000001E-3</v>
      </c>
      <c r="H598" s="289">
        <v>4.0000000000000001E-3</v>
      </c>
      <c r="I598" s="289">
        <v>1.4999999999999999E-2</v>
      </c>
      <c r="J598" s="289">
        <v>1.4999999999999999E-2</v>
      </c>
      <c r="K598" s="289">
        <v>1.4999999999999999E-2</v>
      </c>
    </row>
    <row r="599" spans="2:17">
      <c r="B599" s="197" t="s">
        <v>316</v>
      </c>
    </row>
    <row r="600" spans="2:17">
      <c r="B600" s="231" t="s">
        <v>317</v>
      </c>
      <c r="G600" s="257"/>
      <c r="H600" s="146">
        <v>-0.1</v>
      </c>
      <c r="I600" s="146">
        <v>0.01</v>
      </c>
      <c r="J600" s="146">
        <v>5.0000000000000001E-3</v>
      </c>
      <c r="K600" s="146">
        <v>5.0000000000000001E-3</v>
      </c>
      <c r="L600" s="257"/>
      <c r="M600" s="257"/>
      <c r="N600" s="257"/>
      <c r="O600" s="257"/>
      <c r="P600" s="257"/>
      <c r="Q600" s="257"/>
    </row>
    <row r="601" spans="2:17">
      <c r="B601" s="231" t="s">
        <v>318</v>
      </c>
      <c r="G601" s="257">
        <v>0.18</v>
      </c>
      <c r="H601" s="146">
        <v>-0.03</v>
      </c>
      <c r="I601" s="146">
        <v>0.02</v>
      </c>
      <c r="J601" s="146">
        <v>0</v>
      </c>
      <c r="K601" s="146">
        <v>0</v>
      </c>
      <c r="L601" s="257"/>
      <c r="M601" s="257"/>
      <c r="N601" s="257"/>
      <c r="O601" s="257"/>
      <c r="P601" s="257"/>
      <c r="Q601" s="257"/>
    </row>
    <row r="602" spans="2:17">
      <c r="B602" s="231" t="s">
        <v>319</v>
      </c>
      <c r="G602" s="257"/>
      <c r="H602" s="146">
        <v>-0.03</v>
      </c>
      <c r="I602" s="146">
        <v>0.02</v>
      </c>
      <c r="J602" s="146">
        <v>0</v>
      </c>
      <c r="K602" s="146">
        <v>0</v>
      </c>
      <c r="L602" s="257"/>
      <c r="M602" s="257"/>
      <c r="N602" s="257"/>
      <c r="O602" s="257"/>
      <c r="P602" s="257"/>
      <c r="Q602" s="257"/>
    </row>
    <row r="603" spans="2:17">
      <c r="B603" s="231" t="s">
        <v>109</v>
      </c>
      <c r="G603" s="257"/>
      <c r="H603" s="146">
        <v>-0.03</v>
      </c>
      <c r="I603" s="146">
        <v>0.05</v>
      </c>
      <c r="J603" s="146">
        <v>0</v>
      </c>
      <c r="K603" s="146">
        <v>0</v>
      </c>
      <c r="L603" s="257"/>
      <c r="M603" s="257"/>
      <c r="N603" s="257"/>
      <c r="O603" s="257"/>
      <c r="P603" s="257"/>
      <c r="Q603" s="257"/>
    </row>
    <row r="604" spans="2:17">
      <c r="B604" s="197" t="s">
        <v>320</v>
      </c>
      <c r="G604" s="257">
        <v>0.04</v>
      </c>
      <c r="H604" s="146">
        <v>-0.05</v>
      </c>
      <c r="I604" s="146">
        <v>0</v>
      </c>
      <c r="J604" s="146">
        <v>0</v>
      </c>
      <c r="K604" s="146">
        <v>0</v>
      </c>
      <c r="L604" s="257"/>
      <c r="M604" s="257"/>
      <c r="N604" s="257"/>
      <c r="O604" s="257"/>
      <c r="P604" s="257"/>
      <c r="Q604" s="257"/>
    </row>
    <row r="605" spans="2:17">
      <c r="B605" s="197" t="s">
        <v>109</v>
      </c>
      <c r="G605" s="257"/>
      <c r="H605" s="146">
        <f>(1+H614)/(1+H$363)-1</f>
        <v>0.47912501377537886</v>
      </c>
      <c r="I605" s="146">
        <f t="shared" ref="I605:K605" si="261">(1+I614)/(1+I$363)-1</f>
        <v>-0.90390149606078274</v>
      </c>
      <c r="J605" s="146">
        <f t="shared" si="261"/>
        <v>16.146944919236024</v>
      </c>
      <c r="K605" s="146">
        <f t="shared" si="261"/>
        <v>2.4099100787714045E-2</v>
      </c>
      <c r="L605" s="257"/>
      <c r="M605" s="257"/>
      <c r="N605" s="257"/>
      <c r="O605" s="257"/>
      <c r="P605" s="257"/>
      <c r="Q605" s="257"/>
    </row>
    <row r="606" spans="2:17">
      <c r="B606" s="197"/>
    </row>
    <row r="607" spans="2:17">
      <c r="B607" s="77" t="s">
        <v>324</v>
      </c>
    </row>
    <row r="608" spans="2:17">
      <c r="B608" s="197" t="s">
        <v>316</v>
      </c>
    </row>
    <row r="609" spans="2:17">
      <c r="B609" s="231" t="s">
        <v>317</v>
      </c>
      <c r="G609" s="78">
        <f t="shared" ref="G609:K613" si="262">(1+G600)*(1+G$363)-1</f>
        <v>0.57446808510638303</v>
      </c>
      <c r="H609" s="78">
        <f t="shared" si="262"/>
        <v>0.10010210340100212</v>
      </c>
      <c r="I609" s="78">
        <f t="shared" si="262"/>
        <v>0.34436024071010385</v>
      </c>
      <c r="J609" s="78">
        <f t="shared" si="262"/>
        <v>0.13536232860416142</v>
      </c>
      <c r="K609" s="78">
        <f t="shared" si="262"/>
        <v>0.16671078970762765</v>
      </c>
      <c r="L609" s="78"/>
      <c r="M609" s="78"/>
      <c r="N609" s="78"/>
      <c r="O609" s="78"/>
      <c r="P609" s="78"/>
      <c r="Q609" s="78"/>
    </row>
    <row r="610" spans="2:17">
      <c r="B610" s="231" t="s">
        <v>318</v>
      </c>
      <c r="G610" s="78">
        <f t="shared" si="262"/>
        <v>0.85787234042553195</v>
      </c>
      <c r="H610" s="78">
        <f>(1+H601)*(1+H$363)-1</f>
        <v>0.18566560033219104</v>
      </c>
      <c r="I610" s="78">
        <f t="shared" si="262"/>
        <v>0.3576707381428772</v>
      </c>
      <c r="J610" s="78">
        <f t="shared" si="262"/>
        <v>0.12971375980513589</v>
      </c>
      <c r="K610" s="78">
        <f t="shared" si="262"/>
        <v>0.16090625841555006</v>
      </c>
      <c r="L610" s="78"/>
      <c r="M610" s="78"/>
      <c r="N610" s="78"/>
      <c r="O610" s="78"/>
      <c r="P610" s="78"/>
      <c r="Q610" s="78"/>
    </row>
    <row r="611" spans="2:17">
      <c r="B611" s="231" t="s">
        <v>319</v>
      </c>
      <c r="G611" s="78">
        <f t="shared" si="262"/>
        <v>0.57446808510638303</v>
      </c>
      <c r="H611" s="78">
        <f>(1+H602)*(1+H$363)-1</f>
        <v>0.18566560033219104</v>
      </c>
      <c r="I611" s="78">
        <f t="shared" si="262"/>
        <v>0.3576707381428772</v>
      </c>
      <c r="J611" s="78">
        <f t="shared" si="262"/>
        <v>0.12971375980513589</v>
      </c>
      <c r="K611" s="78">
        <f t="shared" si="262"/>
        <v>0.16090625841555006</v>
      </c>
      <c r="L611" s="78"/>
      <c r="M611" s="78"/>
      <c r="N611" s="78"/>
      <c r="O611" s="78"/>
      <c r="P611" s="78"/>
      <c r="Q611" s="78"/>
    </row>
    <row r="612" spans="2:17">
      <c r="B612" s="197" t="s">
        <v>109</v>
      </c>
      <c r="G612" s="78">
        <f t="shared" si="262"/>
        <v>0.57446808510638303</v>
      </c>
      <c r="H612" s="78">
        <f t="shared" si="262"/>
        <v>0.18566560033219104</v>
      </c>
      <c r="I612" s="78">
        <f t="shared" si="262"/>
        <v>0.39760223044119702</v>
      </c>
      <c r="J612" s="78">
        <f t="shared" si="262"/>
        <v>0.12971375980513589</v>
      </c>
      <c r="K612" s="78">
        <f t="shared" si="262"/>
        <v>0.16090625841555006</v>
      </c>
      <c r="L612" s="78"/>
      <c r="M612" s="78"/>
      <c r="N612" s="78"/>
      <c r="O612" s="78"/>
      <c r="P612" s="78"/>
      <c r="Q612" s="78"/>
    </row>
    <row r="613" spans="2:17">
      <c r="B613" s="197" t="s">
        <v>320</v>
      </c>
      <c r="G613" s="78">
        <f>(1+G604)*(1+G$363)-1</f>
        <v>0.6374468085106384</v>
      </c>
      <c r="H613" s="78">
        <f>(1+H604)*(1+H$363)-1</f>
        <v>0.16121888692328001</v>
      </c>
      <c r="I613" s="78">
        <f t="shared" si="262"/>
        <v>0.3310497432773305</v>
      </c>
      <c r="J613" s="78">
        <f t="shared" si="262"/>
        <v>0.12971375980513589</v>
      </c>
      <c r="K613" s="78">
        <f t="shared" si="262"/>
        <v>0.16090625841555006</v>
      </c>
      <c r="L613" s="78"/>
      <c r="M613" s="78"/>
      <c r="N613" s="78"/>
      <c r="O613" s="78"/>
      <c r="P613" s="78"/>
      <c r="Q613" s="78"/>
    </row>
    <row r="614" spans="2:17">
      <c r="B614" s="197" t="s">
        <v>109</v>
      </c>
      <c r="G614" s="78">
        <f>(1+G605)*(1+G$363)-1</f>
        <v>0.57446808510638303</v>
      </c>
      <c r="H614" s="78">
        <f>H592/G592-1</f>
        <v>0.8079872653859228</v>
      </c>
      <c r="I614" s="78">
        <f t="shared" ref="I614:K614" si="263">I592/H592-1</f>
        <v>-0.87208811100236927</v>
      </c>
      <c r="J614" s="78">
        <f t="shared" si="263"/>
        <v>18.371139613881702</v>
      </c>
      <c r="K614" s="78">
        <f t="shared" si="263"/>
        <v>0.18888305534219452</v>
      </c>
      <c r="L614" s="78"/>
      <c r="M614" s="78"/>
      <c r="N614" s="78"/>
      <c r="O614" s="78"/>
      <c r="P614" s="78"/>
      <c r="Q614" s="78"/>
    </row>
    <row r="615" spans="2:17">
      <c r="B615" s="197"/>
    </row>
    <row r="616" spans="2:17">
      <c r="B616" s="201" t="s">
        <v>314</v>
      </c>
    </row>
    <row r="617" spans="2:17">
      <c r="B617" s="274" t="s">
        <v>316</v>
      </c>
      <c r="C617" s="93">
        <f>C636/C$635</f>
        <v>0.7567613154533811</v>
      </c>
      <c r="D617" s="93">
        <f t="shared" ref="D617" si="264">D636/D$635</f>
        <v>0.7723415570327683</v>
      </c>
      <c r="E617" s="93">
        <f>E636/E$635</f>
        <v>0.77720204526373737</v>
      </c>
      <c r="F617" s="93">
        <f>SUM(F618:F621)</f>
        <v>0.77500000000000002</v>
      </c>
      <c r="G617" s="93">
        <f>SUM(G618:G621)</f>
        <v>0.77</v>
      </c>
      <c r="H617" s="93">
        <f>H586/H$585</f>
        <v>0.76169076186256213</v>
      </c>
      <c r="I617" s="93">
        <f t="shared" ref="H617:K623" si="265">I586/I$585</f>
        <v>0.78828581411630883</v>
      </c>
      <c r="J617" s="93">
        <f t="shared" si="265"/>
        <v>0.7523962094891109</v>
      </c>
      <c r="K617" s="93">
        <f t="shared" si="265"/>
        <v>0.75175289321300465</v>
      </c>
      <c r="L617" s="93"/>
      <c r="M617" s="93"/>
      <c r="N617" s="93"/>
      <c r="O617" s="93"/>
      <c r="P617" s="93"/>
      <c r="Q617" s="93"/>
    </row>
    <row r="618" spans="2:17">
      <c r="B618" s="231" t="s">
        <v>317</v>
      </c>
      <c r="C618" s="78">
        <f>(C637+C639)/C$635</f>
        <v>0.17384741829103259</v>
      </c>
      <c r="D618" s="78">
        <f t="shared" ref="D618" si="266">(D637+D639)/D$635</f>
        <v>0.20313302363878316</v>
      </c>
      <c r="E618" s="78">
        <f>(E637+E639)/E$635</f>
        <v>0.22203405708958782</v>
      </c>
      <c r="F618" s="257">
        <v>0.22</v>
      </c>
      <c r="G618" s="257">
        <v>0.21</v>
      </c>
      <c r="H618" s="78">
        <f t="shared" si="265"/>
        <v>0.19661233814808013</v>
      </c>
      <c r="I618" s="78">
        <f t="shared" si="265"/>
        <v>0.19973092271452245</v>
      </c>
      <c r="J618" s="78">
        <f t="shared" si="265"/>
        <v>0.19134821360040821</v>
      </c>
      <c r="K618" s="78">
        <f t="shared" si="265"/>
        <v>0.19189651536410002</v>
      </c>
      <c r="L618" s="78"/>
      <c r="M618" s="78"/>
      <c r="N618" s="78"/>
      <c r="O618" s="78"/>
      <c r="P618" s="78"/>
      <c r="Q618" s="78"/>
    </row>
    <row r="619" spans="2:17">
      <c r="B619" s="231" t="s">
        <v>318</v>
      </c>
      <c r="C619" s="78">
        <f>(C638)/C$635</f>
        <v>8.2772472871354322E-2</v>
      </c>
      <c r="D619" s="78">
        <f t="shared" ref="D619:E619" si="267">(D638)/D$635</f>
        <v>8.2786688218045676E-2</v>
      </c>
      <c r="E619" s="78">
        <f t="shared" si="267"/>
        <v>8.6905789783060156E-2</v>
      </c>
      <c r="F619" s="257">
        <v>7.4999999999999997E-2</v>
      </c>
      <c r="G619" s="257">
        <v>0.06</v>
      </c>
      <c r="H619" s="78">
        <f t="shared" si="265"/>
        <v>6.0544116826551655E-2</v>
      </c>
      <c r="I619" s="78">
        <f t="shared" si="265"/>
        <v>6.2113397747524279E-2</v>
      </c>
      <c r="J619" s="78">
        <f t="shared" si="265"/>
        <v>5.9210445505067433E-2</v>
      </c>
      <c r="K619" s="78">
        <f t="shared" si="265"/>
        <v>5.9084687574328269E-2</v>
      </c>
      <c r="L619" s="78"/>
      <c r="M619" s="78"/>
      <c r="N619" s="78"/>
      <c r="O619" s="78"/>
      <c r="P619" s="78"/>
      <c r="Q619" s="78"/>
    </row>
    <row r="620" spans="2:17">
      <c r="B620" s="231" t="s">
        <v>319</v>
      </c>
      <c r="C620" s="78">
        <f>SUM(C640:C641,C643)/C635</f>
        <v>0.27576994824422463</v>
      </c>
      <c r="D620" s="78">
        <f t="shared" ref="D620:E620" si="268">SUM(D640:D641,D643)/D635</f>
        <v>0.22915729083239192</v>
      </c>
      <c r="E620" s="78">
        <f t="shared" si="268"/>
        <v>0.21468631047301184</v>
      </c>
      <c r="F620" s="257">
        <v>0.21</v>
      </c>
      <c r="G620" s="257">
        <v>0.21</v>
      </c>
      <c r="H620" s="78">
        <f t="shared" si="265"/>
        <v>0.21190440889293077</v>
      </c>
      <c r="I620" s="78">
        <f t="shared" si="265"/>
        <v>0.21739689211633498</v>
      </c>
      <c r="J620" s="78">
        <f t="shared" si="265"/>
        <v>0.20723655926773601</v>
      </c>
      <c r="K620" s="78">
        <f t="shared" si="265"/>
        <v>0.20679640651014894</v>
      </c>
      <c r="L620" s="78"/>
      <c r="M620" s="78"/>
      <c r="N620" s="78"/>
      <c r="O620" s="78"/>
      <c r="P620" s="78"/>
      <c r="Q620" s="78"/>
    </row>
    <row r="621" spans="2:17">
      <c r="B621" s="231" t="s">
        <v>109</v>
      </c>
      <c r="C621" s="78">
        <f>C617-SUM(C618:C620)</f>
        <v>0.22437147604676955</v>
      </c>
      <c r="D621" s="78">
        <f>D617-SUM(D618:D620)</f>
        <v>0.25726455434354756</v>
      </c>
      <c r="E621" s="78">
        <f>E617-SUM(E618:E620)</f>
        <v>0.25357588791807761</v>
      </c>
      <c r="F621" s="257">
        <v>0.27</v>
      </c>
      <c r="G621" s="257">
        <v>0.28999999999999998</v>
      </c>
      <c r="H621" s="78">
        <f t="shared" si="265"/>
        <v>0.29262989799499967</v>
      </c>
      <c r="I621" s="78">
        <f t="shared" si="265"/>
        <v>0.30904460153792718</v>
      </c>
      <c r="J621" s="78">
        <f t="shared" si="265"/>
        <v>0.29460099111589921</v>
      </c>
      <c r="K621" s="78">
        <f t="shared" si="265"/>
        <v>0.29397528376442744</v>
      </c>
      <c r="L621" s="78"/>
      <c r="M621" s="78"/>
      <c r="N621" s="78"/>
      <c r="O621" s="78"/>
      <c r="P621" s="78"/>
      <c r="Q621" s="78"/>
    </row>
    <row r="622" spans="2:17">
      <c r="B622" s="274" t="s">
        <v>320</v>
      </c>
      <c r="C622" s="93">
        <f>C645/C635</f>
        <v>0.21603111964705121</v>
      </c>
      <c r="D622" s="93">
        <f t="shared" ref="D622:E622" si="269">D645/D635</f>
        <v>0.19707999972377566</v>
      </c>
      <c r="E622" s="93">
        <f t="shared" si="269"/>
        <v>0.20925762195864619</v>
      </c>
      <c r="F622" s="290">
        <v>0.21</v>
      </c>
      <c r="G622" s="290">
        <v>0.21</v>
      </c>
      <c r="H622" s="93">
        <f t="shared" si="265"/>
        <v>0.20753524582297345</v>
      </c>
      <c r="I622" s="93">
        <f t="shared" si="265"/>
        <v>0.20873968820549646</v>
      </c>
      <c r="J622" s="93">
        <f t="shared" si="265"/>
        <v>0.19898396129406629</v>
      </c>
      <c r="K622" s="93">
        <f t="shared" si="265"/>
        <v>0.19856133634995093</v>
      </c>
      <c r="L622" s="93"/>
      <c r="M622" s="93"/>
      <c r="N622" s="93"/>
      <c r="O622" s="93"/>
      <c r="P622" s="93"/>
      <c r="Q622" s="93"/>
    </row>
    <row r="623" spans="2:17">
      <c r="B623" s="274" t="s">
        <v>109</v>
      </c>
      <c r="C623" s="93">
        <f>C646/C635</f>
        <v>2.7207564899567743E-2</v>
      </c>
      <c r="D623" s="93">
        <f t="shared" ref="D623:E623" si="270">D646/D635</f>
        <v>3.0578443243456096E-2</v>
      </c>
      <c r="E623" s="93">
        <f t="shared" si="270"/>
        <v>1.3540332777616461E-2</v>
      </c>
      <c r="F623" s="290">
        <f>1-F622-F617</f>
        <v>1.5000000000000013E-2</v>
      </c>
      <c r="G623" s="290">
        <f>1-G622-G617</f>
        <v>2.0000000000000018E-2</v>
      </c>
      <c r="H623" s="93">
        <f t="shared" si="265"/>
        <v>3.0773992314464416E-2</v>
      </c>
      <c r="I623" s="93">
        <f t="shared" si="265"/>
        <v>2.9744976781947092E-3</v>
      </c>
      <c r="J623" s="93">
        <f t="shared" si="265"/>
        <v>4.8619829216822785E-2</v>
      </c>
      <c r="K623" s="93">
        <f t="shared" si="265"/>
        <v>4.9685770437044377E-2</v>
      </c>
      <c r="L623" s="93"/>
      <c r="M623" s="93"/>
      <c r="N623" s="93"/>
      <c r="O623" s="93"/>
      <c r="P623" s="93"/>
      <c r="Q623" s="93"/>
    </row>
    <row r="624" spans="2:17">
      <c r="B624" s="197"/>
    </row>
    <row r="625" spans="2:17">
      <c r="B625" s="197"/>
    </row>
    <row r="626" spans="2:17">
      <c r="B626" s="291" t="s">
        <v>325</v>
      </c>
    </row>
    <row r="627" spans="2:17">
      <c r="B627" s="77" t="s">
        <v>326</v>
      </c>
      <c r="C627" s="112">
        <f>SUM(C628:C633)</f>
        <v>1642.704</v>
      </c>
      <c r="D627" s="112">
        <f t="shared" ref="D627" si="271">SUM(D628:D633)</f>
        <v>3083.4458999999997</v>
      </c>
      <c r="E627" s="112">
        <f>SUM(E628:E633)</f>
        <v>7062.9564</v>
      </c>
    </row>
    <row r="628" spans="2:17">
      <c r="B628" s="77" t="s">
        <v>316</v>
      </c>
      <c r="C628" s="99">
        <v>1122.1300000000001</v>
      </c>
      <c r="D628" s="99">
        <v>2137.5643</v>
      </c>
      <c r="E628" s="99">
        <v>4873.7244000000001</v>
      </c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</row>
    <row r="629" spans="2:17">
      <c r="B629" s="77" t="s">
        <v>320</v>
      </c>
      <c r="C629" s="99">
        <v>277.19380000000001</v>
      </c>
      <c r="D629" s="99">
        <v>473.05970000000002</v>
      </c>
      <c r="E629" s="99">
        <v>1211.8869999999999</v>
      </c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</row>
    <row r="630" spans="2:17">
      <c r="B630" s="77" t="s">
        <v>306</v>
      </c>
      <c r="C630" s="99">
        <v>133.3073</v>
      </c>
      <c r="D630" s="99">
        <v>314.79750000000001</v>
      </c>
      <c r="E630" s="99">
        <v>564.52719999999999</v>
      </c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</row>
    <row r="631" spans="2:17">
      <c r="B631" s="77" t="s">
        <v>327</v>
      </c>
      <c r="C631" s="99">
        <v>36.529299999999999</v>
      </c>
      <c r="D631" s="99">
        <v>82.451999999999998</v>
      </c>
      <c r="E631" s="99">
        <v>284.37150000000003</v>
      </c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</row>
    <row r="632" spans="2:17">
      <c r="B632" s="77" t="s">
        <v>328</v>
      </c>
      <c r="C632" s="99">
        <v>8.7802000000000007</v>
      </c>
      <c r="D632" s="99">
        <v>12.386799999999999</v>
      </c>
      <c r="E632" s="99">
        <v>54.1267</v>
      </c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</row>
    <row r="633" spans="2:17">
      <c r="B633" s="77" t="s">
        <v>214</v>
      </c>
      <c r="C633" s="99">
        <v>64.763400000000004</v>
      </c>
      <c r="D633" s="99">
        <v>63.185600000000001</v>
      </c>
      <c r="E633" s="99">
        <v>74.319599999999994</v>
      </c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</row>
    <row r="635" spans="2:17">
      <c r="B635" s="291" t="s">
        <v>329</v>
      </c>
      <c r="C635" s="100">
        <f>C636+C645+C646</f>
        <v>1523.0763999999999</v>
      </c>
      <c r="D635" s="100">
        <f>D636+D645+D646</f>
        <v>2722.4243999999994</v>
      </c>
      <c r="E635" s="100">
        <f t="shared" ref="E635" si="272">E636+E645+E646</f>
        <v>6629.8149000000003</v>
      </c>
    </row>
    <row r="636" spans="2:17">
      <c r="B636" s="110" t="s">
        <v>316</v>
      </c>
      <c r="C636" s="122">
        <f>474.0725+678.5328</f>
        <v>1152.6052999999999</v>
      </c>
      <c r="D636" s="122">
        <f>994.153+1108.4885</f>
        <v>2102.6414999999997</v>
      </c>
      <c r="E636" s="122">
        <f>2845.1055+2307.6002</f>
        <v>5152.7057000000004</v>
      </c>
    </row>
    <row r="637" spans="2:17">
      <c r="B637" s="98" t="s">
        <v>330</v>
      </c>
      <c r="C637" s="99">
        <v>106.5856</v>
      </c>
      <c r="D637" s="99">
        <v>250.26669999999999</v>
      </c>
      <c r="E637" s="99">
        <v>917.6</v>
      </c>
    </row>
    <row r="638" spans="2:17">
      <c r="B638" s="98" t="s">
        <v>318</v>
      </c>
      <c r="C638" s="99">
        <v>126.0688</v>
      </c>
      <c r="D638" s="99">
        <v>225.38050000000001</v>
      </c>
      <c r="E638" s="99">
        <v>576.16930000000002</v>
      </c>
    </row>
    <row r="639" spans="2:17">
      <c r="B639" s="98" t="s">
        <v>331</v>
      </c>
      <c r="C639" s="99">
        <v>158.19730000000001</v>
      </c>
      <c r="D639" s="99">
        <v>302.74759999999998</v>
      </c>
      <c r="E639" s="99">
        <v>554.44470000000001</v>
      </c>
    </row>
    <row r="640" spans="2:17">
      <c r="B640" s="98" t="s">
        <v>332</v>
      </c>
      <c r="C640" s="99">
        <v>89.737399999999994</v>
      </c>
      <c r="D640" s="99">
        <f>130.1209+10.416</f>
        <v>140.5369</v>
      </c>
      <c r="E640" s="99">
        <f>194.5757+251.5043</f>
        <v>446.08000000000004</v>
      </c>
    </row>
    <row r="641" spans="2:5">
      <c r="B641" s="98" t="s">
        <v>333</v>
      </c>
      <c r="C641" s="99">
        <v>186.88319999999999</v>
      </c>
      <c r="D641" s="99">
        <v>255.2439</v>
      </c>
      <c r="E641" s="99">
        <v>595.77560000000005</v>
      </c>
    </row>
    <row r="642" spans="2:5">
      <c r="B642" s="98" t="s">
        <v>334</v>
      </c>
      <c r="C642" s="99">
        <v>126.5217</v>
      </c>
      <c r="D642" s="99">
        <v>214.63640000000001</v>
      </c>
      <c r="E642" s="99">
        <v>438.31560000000002</v>
      </c>
    </row>
    <row r="643" spans="2:5">
      <c r="B643" s="98" t="s">
        <v>335</v>
      </c>
      <c r="C643" s="99">
        <v>143.3981</v>
      </c>
      <c r="D643" s="99">
        <v>228.08260000000001</v>
      </c>
      <c r="E643" s="99">
        <v>381.47489999999999</v>
      </c>
    </row>
    <row r="644" spans="2:5">
      <c r="B644" s="98" t="s">
        <v>109</v>
      </c>
      <c r="C644" s="112">
        <f>C636-SUM(C637:C643)</f>
        <v>215.21319999999992</v>
      </c>
      <c r="D644" s="112">
        <f t="shared" ref="D644" si="273">D636-SUM(D637:D643)</f>
        <v>485.74689999999964</v>
      </c>
      <c r="E644" s="112">
        <f>E636-SUM(E637:E643)</f>
        <v>1242.8456000000006</v>
      </c>
    </row>
    <row r="645" spans="2:5">
      <c r="B645" s="110" t="s">
        <v>320</v>
      </c>
      <c r="C645" s="122">
        <f>39.4972+289.5347</f>
        <v>329.03190000000001</v>
      </c>
      <c r="D645" s="122">
        <f>65.0559+471.4795</f>
        <v>536.53539999999998</v>
      </c>
      <c r="E645" s="122">
        <f>177.5101+1209.8292</f>
        <v>1387.3392999999999</v>
      </c>
    </row>
    <row r="646" spans="2:5">
      <c r="B646" s="110" t="s">
        <v>336</v>
      </c>
      <c r="C646" s="292">
        <f>37.9781+3.4611</f>
        <v>41.4392</v>
      </c>
      <c r="D646" s="292">
        <f>76.6871+6.5604</f>
        <v>83.247500000000002</v>
      </c>
      <c r="E646" s="292">
        <f>86.2925+3.4774</f>
        <v>89.769900000000007</v>
      </c>
    </row>
    <row r="647" spans="2:5">
      <c r="B647" s="110"/>
      <c r="C647" s="293"/>
      <c r="D647" s="245"/>
      <c r="E647" s="245"/>
    </row>
    <row r="648" spans="2:5">
      <c r="C648" s="245"/>
      <c r="D648" s="245"/>
      <c r="E648" s="245"/>
    </row>
    <row r="649" spans="2:5">
      <c r="C649" s="245"/>
      <c r="D649" s="245"/>
      <c r="E649" s="245"/>
    </row>
    <row r="650" spans="2:5">
      <c r="C650" s="245"/>
      <c r="D650" s="245"/>
      <c r="E650" s="245"/>
    </row>
    <row r="651" spans="2:5">
      <c r="C651" s="245"/>
      <c r="D651" s="245"/>
      <c r="E651" s="245"/>
    </row>
    <row r="652" spans="2:5">
      <c r="C652" s="245"/>
      <c r="D652" s="245"/>
      <c r="E652" s="245"/>
    </row>
    <row r="653" spans="2:5">
      <c r="C653" s="245"/>
      <c r="D653" s="245"/>
      <c r="E653" s="245"/>
    </row>
    <row r="654" spans="2:5">
      <c r="C654" s="245"/>
      <c r="D654" s="245"/>
      <c r="E654" s="245"/>
    </row>
  </sheetData>
  <pageMargins left="0.7" right="0.7" top="0.75" bottom="0.75" header="0.3" footer="0.3"/>
  <pageSetup paperSize="9" orientation="portrait" horizontalDpi="300" verticalDpi="300" r:id="rId1"/>
  <customProperties>
    <customPr name="Qube.Worksheet.Visibility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E1D2A-C04D-4EAE-A458-78B3AA961022}">
  <sheetPr>
    <tabColor theme="7"/>
  </sheetPr>
  <dimension ref="A1:L187"/>
  <sheetViews>
    <sheetView showOutlineSymbols="0" showWhiteSpace="0" zoomScale="95" zoomScaleNormal="95" workbookViewId="0">
      <pane xSplit="3" ySplit="4" topLeftCell="D24" activePane="bottomRight" state="frozen"/>
      <selection activeCell="J21" sqref="J21"/>
      <selection pane="topRight" activeCell="J21" sqref="J21"/>
      <selection pane="bottomLeft" activeCell="J21" sqref="J21"/>
      <selection pane="bottomRight" activeCell="G54" sqref="G54"/>
    </sheetView>
  </sheetViews>
  <sheetFormatPr defaultColWidth="9.140625" defaultRowHeight="12.75" outlineLevelRow="2" outlineLevelCol="1"/>
  <cols>
    <col min="1" max="1" width="49.140625" style="77" customWidth="1"/>
    <col min="2" max="3" width="5.5703125" style="77" hidden="1" customWidth="1" outlineLevel="1"/>
    <col min="4" max="4" width="10.85546875" style="77" bestFit="1" customWidth="1" collapsed="1"/>
    <col min="5" max="7" width="9.140625" style="77"/>
    <col min="8" max="8" width="10.85546875" style="77" bestFit="1" customWidth="1"/>
    <col min="9" max="9" width="9.140625" style="77"/>
    <col min="10" max="10" width="9.140625" style="77" customWidth="1" outlineLevel="1"/>
    <col min="11" max="11" width="23" style="77" customWidth="1"/>
    <col min="12" max="16384" width="9.140625" style="77"/>
  </cols>
  <sheetData>
    <row r="1" spans="1:12">
      <c r="A1" s="79" t="s">
        <v>33</v>
      </c>
      <c r="B1" s="79"/>
      <c r="C1" s="79"/>
      <c r="D1" s="80">
        <v>44561</v>
      </c>
      <c r="E1" s="80">
        <v>44926</v>
      </c>
      <c r="F1" s="80">
        <v>45291</v>
      </c>
      <c r="G1" s="80">
        <v>45657</v>
      </c>
      <c r="H1" s="81">
        <v>46022</v>
      </c>
      <c r="I1" s="81">
        <v>46387</v>
      </c>
      <c r="J1" s="81">
        <v>46752</v>
      </c>
      <c r="L1" s="80">
        <f>IS!O4</f>
        <v>45838</v>
      </c>
    </row>
    <row r="2" spans="1:12">
      <c r="A2" s="84" t="s">
        <v>35</v>
      </c>
      <c r="B2" s="84"/>
      <c r="C2" s="84"/>
      <c r="D2" s="85">
        <v>2021</v>
      </c>
      <c r="E2" s="85">
        <v>2022</v>
      </c>
      <c r="F2" s="85">
        <v>2023</v>
      </c>
      <c r="G2" s="85">
        <v>2024</v>
      </c>
      <c r="H2" s="86" t="s">
        <v>36</v>
      </c>
      <c r="I2" s="86" t="s">
        <v>37</v>
      </c>
      <c r="J2" s="86" t="s">
        <v>38</v>
      </c>
      <c r="L2" s="80" t="s">
        <v>337</v>
      </c>
    </row>
    <row r="3" spans="1:12">
      <c r="A3" s="88" t="s">
        <v>338</v>
      </c>
      <c r="B3" s="88"/>
      <c r="C3" s="88"/>
      <c r="D3" s="89"/>
      <c r="E3" s="89"/>
      <c r="F3" s="89"/>
      <c r="G3" s="89"/>
      <c r="H3" s="89"/>
      <c r="I3" s="89"/>
      <c r="J3" s="89"/>
      <c r="L3" s="89"/>
    </row>
    <row r="4" spans="1:12">
      <c r="A4" s="156" t="s">
        <v>339</v>
      </c>
      <c r="B4" s="156"/>
      <c r="C4" s="156"/>
      <c r="D4" s="177"/>
      <c r="E4" s="177"/>
      <c r="F4" s="177"/>
      <c r="G4" s="177"/>
      <c r="H4" s="177"/>
      <c r="I4" s="177"/>
      <c r="J4" s="177"/>
      <c r="L4" s="177"/>
    </row>
    <row r="5" spans="1:12">
      <c r="A5" s="77" t="s">
        <v>340</v>
      </c>
      <c r="D5" s="99">
        <v>1251.915</v>
      </c>
      <c r="E5" s="99">
        <v>1541.1559999999999</v>
      </c>
      <c r="F5" s="99">
        <v>2231.7139999999999</v>
      </c>
      <c r="G5" s="99">
        <v>2215.3519999999999</v>
      </c>
      <c r="H5" s="100">
        <f t="shared" ref="H5:J5" si="0">H70</f>
        <v>3670.6223192222596</v>
      </c>
      <c r="I5" s="100">
        <f t="shared" si="0"/>
        <v>3243.4988192921155</v>
      </c>
      <c r="J5" s="100">
        <f t="shared" si="0"/>
        <v>4762.4104113456215</v>
      </c>
      <c r="K5" s="100"/>
      <c r="L5" s="99">
        <v>2991.7060000000001</v>
      </c>
    </row>
    <row r="6" spans="1:12">
      <c r="A6" s="77" t="s">
        <v>341</v>
      </c>
      <c r="D6" s="99">
        <v>2.0299999999999998</v>
      </c>
      <c r="E6" s="99">
        <v>15.41</v>
      </c>
      <c r="F6" s="99">
        <v>28.472999999999999</v>
      </c>
      <c r="G6" s="99">
        <v>25.623999999999999</v>
      </c>
      <c r="H6" s="100">
        <f t="shared" ref="H6:J6" si="1">H82</f>
        <v>29.101907661015279</v>
      </c>
      <c r="I6" s="100">
        <f t="shared" si="1"/>
        <v>35.183380459883082</v>
      </c>
      <c r="J6" s="100">
        <f t="shared" si="1"/>
        <v>39.25300433158894</v>
      </c>
      <c r="K6" s="100"/>
      <c r="L6" s="99">
        <v>34.75</v>
      </c>
    </row>
    <row r="7" spans="1:12">
      <c r="A7" s="77" t="s">
        <v>342</v>
      </c>
      <c r="D7" s="99">
        <v>181.892</v>
      </c>
      <c r="E7" s="99">
        <v>304.53899999999999</v>
      </c>
      <c r="F7" s="99">
        <v>404.428</v>
      </c>
      <c r="G7" s="99">
        <v>512.505</v>
      </c>
      <c r="H7" s="100">
        <f t="shared" ref="H7:J7" si="2">H86</f>
        <v>673.09064218807214</v>
      </c>
      <c r="I7" s="100">
        <f t="shared" si="2"/>
        <v>786.55437696526405</v>
      </c>
      <c r="J7" s="100">
        <f t="shared" si="2"/>
        <v>907.08403909252002</v>
      </c>
      <c r="K7" s="100"/>
      <c r="L7" s="99">
        <v>485.2</v>
      </c>
    </row>
    <row r="8" spans="1:12">
      <c r="A8" s="77" t="s">
        <v>343</v>
      </c>
      <c r="D8" s="99">
        <v>900.23699999999997</v>
      </c>
      <c r="E8" s="99">
        <v>1865.6759999999999</v>
      </c>
      <c r="F8" s="99">
        <v>746.04600000000005</v>
      </c>
      <c r="G8" s="99">
        <v>3491.643</v>
      </c>
      <c r="H8" s="123">
        <f t="shared" ref="H8:J9" si="3">G8</f>
        <v>3491.643</v>
      </c>
      <c r="I8" s="123">
        <f t="shared" si="3"/>
        <v>3491.643</v>
      </c>
      <c r="J8" s="123">
        <f t="shared" si="3"/>
        <v>3491.643</v>
      </c>
      <c r="K8" s="100"/>
      <c r="L8" s="99">
        <v>5113.5169999999998</v>
      </c>
    </row>
    <row r="9" spans="1:12">
      <c r="A9" s="77" t="s">
        <v>344</v>
      </c>
      <c r="D9" s="99">
        <v>61.865000000000002</v>
      </c>
      <c r="E9" s="99">
        <v>65.146000000000001</v>
      </c>
      <c r="F9" s="99">
        <v>115.62</v>
      </c>
      <c r="G9" s="99">
        <v>1315.8040000000001</v>
      </c>
      <c r="H9" s="123">
        <f t="shared" si="3"/>
        <v>1315.8040000000001</v>
      </c>
      <c r="I9" s="123">
        <f t="shared" si="3"/>
        <v>1315.8040000000001</v>
      </c>
      <c r="J9" s="123">
        <f t="shared" si="3"/>
        <v>1315.8040000000001</v>
      </c>
      <c r="K9" s="100"/>
      <c r="L9" s="99">
        <v>1350.4690000000001</v>
      </c>
    </row>
    <row r="10" spans="1:12">
      <c r="A10" s="77" t="s">
        <v>345</v>
      </c>
      <c r="D10" s="99">
        <v>2675.8270000000002</v>
      </c>
      <c r="E10" s="99">
        <v>2764.1379999999999</v>
      </c>
      <c r="F10" s="99">
        <v>5621.9040000000005</v>
      </c>
      <c r="G10" s="99">
        <v>4335.1229999999996</v>
      </c>
      <c r="H10" s="100">
        <f>CF!H69</f>
        <v>10782.546901577643</v>
      </c>
      <c r="I10" s="100">
        <f>CF!I69</f>
        <v>16541.121689609754</v>
      </c>
      <c r="J10" s="100">
        <f>CF!J69</f>
        <v>22068.98298654196</v>
      </c>
      <c r="K10" s="100"/>
      <c r="L10" s="99">
        <v>8405.4719999999998</v>
      </c>
    </row>
    <row r="11" spans="1:12">
      <c r="D11" s="100"/>
      <c r="E11" s="100"/>
      <c r="F11" s="100"/>
      <c r="G11" s="100"/>
      <c r="H11" s="100"/>
      <c r="I11" s="100"/>
      <c r="J11" s="100"/>
      <c r="K11" s="100"/>
      <c r="L11" s="100"/>
    </row>
    <row r="12" spans="1:12">
      <c r="A12" s="110" t="s">
        <v>346</v>
      </c>
      <c r="B12" s="110"/>
      <c r="C12" s="110"/>
      <c r="D12" s="92">
        <f>SUM(D5:D10)</f>
        <v>5073.7659999999996</v>
      </c>
      <c r="E12" s="92">
        <f>SUM(E5:E10)</f>
        <v>6556.0650000000005</v>
      </c>
      <c r="F12" s="92">
        <f t="shared" ref="F12:J12" si="4">SUM(F5:F10)</f>
        <v>9148.1850000000013</v>
      </c>
      <c r="G12" s="92">
        <f t="shared" si="4"/>
        <v>11896.050999999999</v>
      </c>
      <c r="H12" s="92">
        <f t="shared" si="4"/>
        <v>19962.80877064899</v>
      </c>
      <c r="I12" s="92">
        <f t="shared" si="4"/>
        <v>25413.805266327017</v>
      </c>
      <c r="J12" s="92">
        <f t="shared" si="4"/>
        <v>32585.177441311691</v>
      </c>
      <c r="K12" s="100"/>
      <c r="L12" s="92">
        <f t="shared" ref="L12" si="5">SUM(L5:L10)</f>
        <v>18381.114000000001</v>
      </c>
    </row>
    <row r="13" spans="1:12">
      <c r="D13" s="100">
        <f t="shared" ref="D13:F13" si="6">D10+D21+D9</f>
        <v>2737.692</v>
      </c>
      <c r="E13" s="100">
        <f t="shared" si="6"/>
        <v>2829.2840000000001</v>
      </c>
      <c r="F13" s="100">
        <f t="shared" si="6"/>
        <v>6037.5240000000003</v>
      </c>
      <c r="G13" s="100">
        <f>G10+G21+G9</f>
        <v>7617.8529999999992</v>
      </c>
      <c r="H13" s="100"/>
      <c r="I13" s="100"/>
      <c r="J13" s="100"/>
      <c r="K13" s="100"/>
      <c r="L13" s="100"/>
    </row>
    <row r="14" spans="1:12">
      <c r="A14" s="77" t="s">
        <v>347</v>
      </c>
      <c r="D14" s="99">
        <v>1033.4970000000001</v>
      </c>
      <c r="E14" s="99">
        <v>1701.086</v>
      </c>
      <c r="F14" s="99">
        <v>3390.0529999999999</v>
      </c>
      <c r="G14" s="99">
        <v>5317.826</v>
      </c>
      <c r="H14" s="100">
        <f t="shared" ref="H14:J14" si="7">H126</f>
        <v>7434.5975810527771</v>
      </c>
      <c r="I14" s="100">
        <f t="shared" si="7"/>
        <v>9398.5602258847157</v>
      </c>
      <c r="J14" s="100">
        <f t="shared" si="7"/>
        <v>11307.925968746333</v>
      </c>
      <c r="K14" s="100"/>
      <c r="L14" s="99">
        <v>5382.1689999999999</v>
      </c>
    </row>
    <row r="15" spans="1:12">
      <c r="A15" s="77" t="s">
        <v>348</v>
      </c>
      <c r="D15" s="99"/>
      <c r="E15" s="99"/>
      <c r="F15" s="99"/>
      <c r="G15" s="99"/>
      <c r="H15" s="123">
        <f>L15</f>
        <v>17.529</v>
      </c>
      <c r="I15" s="123">
        <f>H15</f>
        <v>17.529</v>
      </c>
      <c r="J15" s="123">
        <f>I15</f>
        <v>17.529</v>
      </c>
      <c r="K15" s="100"/>
      <c r="L15" s="99">
        <v>17.529</v>
      </c>
    </row>
    <row r="16" spans="1:12">
      <c r="A16" s="77" t="s">
        <v>349</v>
      </c>
      <c r="D16" s="99">
        <v>166.03100000000001</v>
      </c>
      <c r="E16" s="99">
        <v>445.56</v>
      </c>
      <c r="F16" s="99">
        <v>426.98599999999999</v>
      </c>
      <c r="G16" s="99">
        <v>382.18900000000002</v>
      </c>
      <c r="H16" s="100">
        <f t="shared" ref="H16:J16" si="8">H164</f>
        <v>340.3870787229414</v>
      </c>
      <c r="I16" s="100">
        <f t="shared" si="8"/>
        <v>285.15739095661814</v>
      </c>
      <c r="J16" s="100">
        <f t="shared" si="8"/>
        <v>225.13401765545055</v>
      </c>
      <c r="K16" s="100"/>
      <c r="L16" s="99">
        <v>393.8</v>
      </c>
    </row>
    <row r="17" spans="1:12">
      <c r="A17" s="77" t="s">
        <v>350</v>
      </c>
      <c r="D17" s="99">
        <v>9.0289999999999999</v>
      </c>
      <c r="E17" s="99">
        <v>20.591000000000001</v>
      </c>
      <c r="F17" s="99">
        <v>25.623999999999999</v>
      </c>
      <c r="G17" s="99">
        <v>41.963999999999999</v>
      </c>
      <c r="H17" s="100">
        <f t="shared" ref="H17:J17" si="9">H174</f>
        <v>53.673999999999999</v>
      </c>
      <c r="I17" s="100">
        <f t="shared" si="9"/>
        <v>65.384</v>
      </c>
      <c r="J17" s="100">
        <f t="shared" si="9"/>
        <v>77.093999999999994</v>
      </c>
      <c r="K17" s="100"/>
      <c r="L17" s="99">
        <v>41.773000000000003</v>
      </c>
    </row>
    <row r="18" spans="1:12">
      <c r="A18" s="77" t="s">
        <v>351</v>
      </c>
      <c r="D18" s="99">
        <v>0</v>
      </c>
      <c r="E18" s="99">
        <v>2.82</v>
      </c>
      <c r="F18" s="99">
        <v>3.016</v>
      </c>
      <c r="G18" s="99">
        <v>0</v>
      </c>
      <c r="H18" s="123">
        <f>L18</f>
        <v>103.846</v>
      </c>
      <c r="I18" s="123">
        <f t="shared" ref="I18:J18" si="10">H18</f>
        <v>103.846</v>
      </c>
      <c r="J18" s="123">
        <f t="shared" si="10"/>
        <v>103.846</v>
      </c>
      <c r="K18" s="100"/>
      <c r="L18" s="99">
        <v>103.846</v>
      </c>
    </row>
    <row r="19" spans="1:12" ht="25.5">
      <c r="A19" s="294" t="s">
        <v>352</v>
      </c>
      <c r="D19" s="99">
        <v>11.4</v>
      </c>
      <c r="E19" s="99">
        <v>11.4</v>
      </c>
      <c r="F19" s="99">
        <v>10.46</v>
      </c>
      <c r="G19" s="99">
        <v>6.59</v>
      </c>
      <c r="H19" s="123">
        <f t="shared" ref="H19:J22" si="11">G19</f>
        <v>6.59</v>
      </c>
      <c r="I19" s="123">
        <f t="shared" si="11"/>
        <v>6.59</v>
      </c>
      <c r="J19" s="123">
        <f t="shared" si="11"/>
        <v>6.59</v>
      </c>
      <c r="K19" s="100"/>
      <c r="L19" s="99">
        <v>6.59</v>
      </c>
    </row>
    <row r="20" spans="1:12">
      <c r="A20" s="77" t="s">
        <v>353</v>
      </c>
      <c r="D20" s="99">
        <v>23.613</v>
      </c>
      <c r="E20" s="99">
        <v>41.597999999999999</v>
      </c>
      <c r="F20" s="99">
        <v>111.889</v>
      </c>
      <c r="G20" s="99">
        <v>76.004999999999995</v>
      </c>
      <c r="H20" s="123">
        <f t="shared" si="11"/>
        <v>76.004999999999995</v>
      </c>
      <c r="I20" s="123">
        <f t="shared" si="11"/>
        <v>76.004999999999995</v>
      </c>
      <c r="J20" s="123">
        <f t="shared" si="11"/>
        <v>76.004999999999995</v>
      </c>
      <c r="K20" s="100"/>
      <c r="L20" s="99">
        <v>106.71599999999999</v>
      </c>
    </row>
    <row r="21" spans="1:12">
      <c r="A21" s="77" t="s">
        <v>344</v>
      </c>
      <c r="D21" s="99">
        <v>0</v>
      </c>
      <c r="E21" s="99">
        <v>0</v>
      </c>
      <c r="F21" s="99">
        <v>300</v>
      </c>
      <c r="G21" s="99">
        <v>1966.9259999999999</v>
      </c>
      <c r="H21" s="123">
        <f t="shared" si="11"/>
        <v>1966.9259999999999</v>
      </c>
      <c r="I21" s="123">
        <f t="shared" si="11"/>
        <v>1966.9259999999999</v>
      </c>
      <c r="J21" s="123">
        <f t="shared" si="11"/>
        <v>1966.9259999999999</v>
      </c>
      <c r="K21" s="100"/>
      <c r="L21" s="99">
        <v>2742.3490000000002</v>
      </c>
    </row>
    <row r="22" spans="1:12">
      <c r="A22" s="77" t="s">
        <v>354</v>
      </c>
      <c r="D22" s="99">
        <v>999.04700000000003</v>
      </c>
      <c r="E22" s="99">
        <v>1166.2360000000001</v>
      </c>
      <c r="F22" s="99">
        <v>1177.3530000000001</v>
      </c>
      <c r="G22" s="99">
        <f>G24-SUM(G14:G21)</f>
        <v>95.770999999999731</v>
      </c>
      <c r="H22" s="123">
        <f t="shared" si="11"/>
        <v>95.770999999999731</v>
      </c>
      <c r="I22" s="123">
        <f t="shared" si="11"/>
        <v>95.770999999999731</v>
      </c>
      <c r="J22" s="123">
        <f t="shared" si="11"/>
        <v>95.770999999999731</v>
      </c>
      <c r="K22" s="100"/>
      <c r="L22" s="99">
        <f>L24-SUM(L14:L21)</f>
        <v>117.01800000000003</v>
      </c>
    </row>
    <row r="23" spans="1:12">
      <c r="D23" s="100"/>
      <c r="E23" s="100"/>
      <c r="F23" s="100"/>
      <c r="G23" s="100"/>
      <c r="H23" s="100"/>
      <c r="I23" s="100"/>
      <c r="J23" s="100"/>
      <c r="K23" s="100"/>
      <c r="L23" s="100"/>
    </row>
    <row r="24" spans="1:12">
      <c r="A24" s="110" t="s">
        <v>355</v>
      </c>
      <c r="B24" s="110"/>
      <c r="C24" s="110"/>
      <c r="D24" s="92">
        <f>SUM(D14:D22)</f>
        <v>2242.6170000000002</v>
      </c>
      <c r="E24" s="92">
        <f>SUM(E14:E22)</f>
        <v>3389.2910000000002</v>
      </c>
      <c r="F24" s="92">
        <f t="shared" ref="F24:J24" si="12">SUM(F14:F22)</f>
        <v>5445.3810000000003</v>
      </c>
      <c r="G24" s="92">
        <v>7887.2709999999997</v>
      </c>
      <c r="H24" s="92">
        <f t="shared" si="12"/>
        <v>10095.325659775721</v>
      </c>
      <c r="I24" s="92">
        <f t="shared" si="12"/>
        <v>12015.768616841331</v>
      </c>
      <c r="J24" s="92">
        <f t="shared" si="12"/>
        <v>13876.820986401781</v>
      </c>
      <c r="K24" s="100"/>
      <c r="L24" s="92">
        <v>8911.7900000000009</v>
      </c>
    </row>
    <row r="25" spans="1:12">
      <c r="K25" s="100"/>
    </row>
    <row r="26" spans="1:12">
      <c r="A26" s="295" t="s">
        <v>356</v>
      </c>
      <c r="B26" s="295"/>
      <c r="C26" s="295"/>
      <c r="D26" s="92">
        <f>D12+D24</f>
        <v>7316.3829999999998</v>
      </c>
      <c r="E26" s="92">
        <f>E12+E24</f>
        <v>9945.3559999999998</v>
      </c>
      <c r="F26" s="92">
        <f t="shared" ref="F26:J26" si="13">F12+F24</f>
        <v>14593.566000000003</v>
      </c>
      <c r="G26" s="92">
        <f t="shared" si="13"/>
        <v>19783.322</v>
      </c>
      <c r="H26" s="92">
        <f t="shared" si="13"/>
        <v>30058.13443042471</v>
      </c>
      <c r="I26" s="92">
        <f t="shared" si="13"/>
        <v>37429.573883168348</v>
      </c>
      <c r="J26" s="92">
        <f t="shared" si="13"/>
        <v>46461.998427713472</v>
      </c>
      <c r="K26" s="100"/>
      <c r="L26" s="92">
        <f t="shared" ref="L26" si="14">L12+L24</f>
        <v>27292.904000000002</v>
      </c>
    </row>
    <row r="27" spans="1:12">
      <c r="D27" s="100"/>
      <c r="E27" s="100"/>
      <c r="F27" s="100"/>
      <c r="G27" s="100"/>
      <c r="K27" s="100"/>
    </row>
    <row r="28" spans="1:12">
      <c r="A28" s="156" t="s">
        <v>357</v>
      </c>
      <c r="B28" s="156"/>
      <c r="C28" s="156"/>
      <c r="D28" s="177"/>
      <c r="E28" s="177"/>
      <c r="F28" s="177"/>
      <c r="G28" s="177"/>
      <c r="H28" s="177"/>
      <c r="I28" s="177"/>
      <c r="J28" s="177"/>
      <c r="K28" s="100"/>
      <c r="L28" s="177"/>
    </row>
    <row r="29" spans="1:12">
      <c r="A29" s="77" t="s">
        <v>358</v>
      </c>
      <c r="D29" s="99">
        <v>596.68100000000004</v>
      </c>
      <c r="E29" s="99">
        <v>881.80600000000004</v>
      </c>
      <c r="F29" s="99">
        <v>1316.78</v>
      </c>
      <c r="G29" s="99">
        <v>1767.2629999999999</v>
      </c>
      <c r="H29" s="100">
        <f t="shared" ref="H29" si="15">H95</f>
        <v>2314.6638023854771</v>
      </c>
      <c r="I29" s="100">
        <f>I95</f>
        <v>2480.2834501147759</v>
      </c>
      <c r="J29" s="100">
        <f>J95</f>
        <v>3071.819514263017</v>
      </c>
      <c r="K29" s="100"/>
      <c r="L29" s="99">
        <v>2507.498</v>
      </c>
    </row>
    <row r="30" spans="1:12">
      <c r="A30" s="77" t="s">
        <v>359</v>
      </c>
      <c r="D30" s="99">
        <v>600.75300000000004</v>
      </c>
      <c r="E30" s="99">
        <v>910.19600000000003</v>
      </c>
      <c r="F30" s="99">
        <v>1571.615</v>
      </c>
      <c r="G30" s="99">
        <v>2043.625</v>
      </c>
      <c r="H30" s="100">
        <f t="shared" ref="H30" si="16">H100</f>
        <v>2683.9637928246534</v>
      </c>
      <c r="I30" s="100">
        <f>I100</f>
        <v>3136.4029397286617</v>
      </c>
      <c r="J30" s="100">
        <f>J100</f>
        <v>3617.0176279069497</v>
      </c>
      <c r="K30" s="100"/>
      <c r="L30" s="99">
        <v>2077.3850000000002</v>
      </c>
    </row>
    <row r="31" spans="1:12">
      <c r="A31" s="77" t="s">
        <v>360</v>
      </c>
      <c r="D31" s="99">
        <v>305.81700000000001</v>
      </c>
      <c r="E31" s="99">
        <v>198.30500000000001</v>
      </c>
      <c r="F31" s="99">
        <v>259.27100000000002</v>
      </c>
      <c r="G31" s="99">
        <v>359.63600000000002</v>
      </c>
      <c r="H31" s="100">
        <f t="shared" ref="H31:J31" si="17">H108</f>
        <v>250.65547714642241</v>
      </c>
      <c r="I31" s="100">
        <f t="shared" si="17"/>
        <v>297.83110451975051</v>
      </c>
      <c r="J31" s="100">
        <f t="shared" si="17"/>
        <v>345.97954740531617</v>
      </c>
      <c r="K31" s="100"/>
      <c r="L31" s="99">
        <v>535.38599999999997</v>
      </c>
    </row>
    <row r="32" spans="1:12">
      <c r="A32" s="77" t="s">
        <v>361</v>
      </c>
      <c r="D32" s="99">
        <v>30.03</v>
      </c>
      <c r="E32" s="99">
        <v>140.08799999999999</v>
      </c>
      <c r="F32" s="99">
        <v>259.74799999999999</v>
      </c>
      <c r="G32" s="99">
        <v>0</v>
      </c>
      <c r="H32" s="123">
        <f t="shared" ref="H32:J33" si="18">G32</f>
        <v>0</v>
      </c>
      <c r="I32" s="123">
        <f t="shared" si="18"/>
        <v>0</v>
      </c>
      <c r="J32" s="123">
        <f t="shared" si="18"/>
        <v>0</v>
      </c>
      <c r="K32" s="100"/>
      <c r="L32" s="99">
        <v>0</v>
      </c>
    </row>
    <row r="33" spans="1:12">
      <c r="A33" s="77" t="s">
        <v>362</v>
      </c>
      <c r="D33" s="99">
        <v>50.320999999999998</v>
      </c>
      <c r="E33" s="99">
        <v>78.813000000000002</v>
      </c>
      <c r="F33" s="99">
        <v>72.064999999999998</v>
      </c>
      <c r="G33" s="99">
        <v>52.003999999999998</v>
      </c>
      <c r="H33" s="123">
        <f t="shared" si="18"/>
        <v>52.003999999999998</v>
      </c>
      <c r="I33" s="123">
        <f t="shared" si="18"/>
        <v>52.003999999999998</v>
      </c>
      <c r="J33" s="123">
        <f t="shared" si="18"/>
        <v>52.003999999999998</v>
      </c>
      <c r="K33" s="100"/>
      <c r="L33" s="99">
        <v>63.719000000000001</v>
      </c>
    </row>
    <row r="34" spans="1:12">
      <c r="A34" s="77" t="s">
        <v>363</v>
      </c>
      <c r="D34" s="99">
        <v>122.57599999999999</v>
      </c>
      <c r="E34" s="99">
        <v>129.44499999999999</v>
      </c>
      <c r="F34" s="99">
        <v>254.834</v>
      </c>
      <c r="G34" s="99">
        <v>294.31</v>
      </c>
      <c r="H34" s="123">
        <f>G34*IS!I29/IS!H29</f>
        <v>376.8203928567774</v>
      </c>
      <c r="I34" s="123">
        <f>H34*IS!J29/IS!I29</f>
        <v>446.59018104421722</v>
      </c>
      <c r="J34" s="123">
        <f>I34*IS!K29/IS!J29</f>
        <v>526.99177943360314</v>
      </c>
      <c r="K34" s="100"/>
      <c r="L34" s="99">
        <v>506.54899999999998</v>
      </c>
    </row>
    <row r="35" spans="1:12">
      <c r="K35" s="100"/>
    </row>
    <row r="36" spans="1:12">
      <c r="A36" s="110" t="s">
        <v>364</v>
      </c>
      <c r="B36" s="110"/>
      <c r="C36" s="110"/>
      <c r="D36" s="92">
        <f>SUM(D29:D34)</f>
        <v>1706.1780000000001</v>
      </c>
      <c r="E36" s="92">
        <f>SUM(E29:E34)</f>
        <v>2338.6530000000002</v>
      </c>
      <c r="F36" s="92">
        <f t="shared" ref="F36:J36" si="19">SUM(F29:F34)</f>
        <v>3734.3130000000001</v>
      </c>
      <c r="G36" s="92">
        <f t="shared" si="19"/>
        <v>4516.8380000000006</v>
      </c>
      <c r="H36" s="92">
        <f t="shared" si="19"/>
        <v>5678.1074652133302</v>
      </c>
      <c r="I36" s="92">
        <f t="shared" si="19"/>
        <v>6413.1116754074055</v>
      </c>
      <c r="J36" s="92">
        <f t="shared" si="19"/>
        <v>7613.8124690088862</v>
      </c>
      <c r="K36" s="100"/>
      <c r="L36" s="92">
        <f t="shared" ref="L36" si="20">SUM(L29:L34)</f>
        <v>5690.5370000000003</v>
      </c>
    </row>
    <row r="37" spans="1:12">
      <c r="K37" s="100"/>
    </row>
    <row r="38" spans="1:12">
      <c r="A38" s="77" t="s">
        <v>365</v>
      </c>
      <c r="D38" s="99">
        <v>2.0009999999999999</v>
      </c>
      <c r="E38" s="99">
        <v>58.024000000000001</v>
      </c>
      <c r="F38" s="99">
        <v>122.407</v>
      </c>
      <c r="G38" s="99">
        <v>134.09</v>
      </c>
      <c r="H38" s="123">
        <f>G38*IS!I7/IS!H7</f>
        <v>174.60906369397236</v>
      </c>
      <c r="I38" s="123">
        <f>H38*IS!J7/IS!I7</f>
        <v>204.57281591770646</v>
      </c>
      <c r="J38" s="123">
        <f>I38*IS!K7/IS!J7</f>
        <v>237.03424964562265</v>
      </c>
      <c r="K38" s="100"/>
      <c r="L38" s="99">
        <v>141.773</v>
      </c>
    </row>
    <row r="39" spans="1:12">
      <c r="A39" s="77" t="s">
        <v>366</v>
      </c>
      <c r="D39" s="99">
        <v>62.408000000000001</v>
      </c>
      <c r="E39" s="99">
        <v>62.735999999999997</v>
      </c>
      <c r="F39" s="99">
        <v>54.36</v>
      </c>
      <c r="G39" s="99">
        <v>40.548000000000002</v>
      </c>
      <c r="H39" s="123">
        <f t="shared" ref="H39:J41" si="21">G39</f>
        <v>40.548000000000002</v>
      </c>
      <c r="I39" s="123">
        <f t="shared" si="21"/>
        <v>40.548000000000002</v>
      </c>
      <c r="J39" s="123">
        <f t="shared" si="21"/>
        <v>40.548000000000002</v>
      </c>
      <c r="K39" s="100"/>
      <c r="L39" s="99">
        <v>47.387999999999998</v>
      </c>
    </row>
    <row r="40" spans="1:12">
      <c r="A40" s="77" t="s">
        <v>367</v>
      </c>
      <c r="D40" s="99">
        <v>2.5590000000000002</v>
      </c>
      <c r="E40" s="99">
        <v>8.1000000000000003E-2</v>
      </c>
      <c r="F40" s="99">
        <v>1.6379999999999999</v>
      </c>
      <c r="G40" s="99">
        <v>20.712</v>
      </c>
      <c r="H40" s="123">
        <f t="shared" si="21"/>
        <v>20.712</v>
      </c>
      <c r="I40" s="123">
        <f t="shared" si="21"/>
        <v>20.712</v>
      </c>
      <c r="J40" s="123">
        <f t="shared" si="21"/>
        <v>20.712</v>
      </c>
      <c r="K40" s="100"/>
      <c r="L40" s="99">
        <v>19.945</v>
      </c>
    </row>
    <row r="41" spans="1:12">
      <c r="A41" s="77" t="s">
        <v>368</v>
      </c>
      <c r="D41" s="99">
        <v>0</v>
      </c>
      <c r="E41" s="99">
        <v>0</v>
      </c>
      <c r="F41" s="99">
        <v>60.408000000000001</v>
      </c>
      <c r="G41" s="99">
        <v>2.492</v>
      </c>
      <c r="H41" s="123">
        <f t="shared" si="21"/>
        <v>2.492</v>
      </c>
      <c r="I41" s="123">
        <f t="shared" si="21"/>
        <v>2.492</v>
      </c>
      <c r="J41" s="123">
        <f t="shared" si="21"/>
        <v>2.492</v>
      </c>
      <c r="K41" s="100"/>
      <c r="L41" s="99">
        <v>3.4460000000000002</v>
      </c>
    </row>
    <row r="42" spans="1:12">
      <c r="A42" s="77" t="s">
        <v>369</v>
      </c>
      <c r="D42" s="99"/>
      <c r="E42" s="99"/>
      <c r="F42" s="99"/>
      <c r="G42" s="99"/>
      <c r="H42" s="123">
        <f>L42</f>
        <v>5</v>
      </c>
      <c r="I42" s="123">
        <f>H42</f>
        <v>5</v>
      </c>
      <c r="J42" s="123">
        <f>I42</f>
        <v>5</v>
      </c>
      <c r="K42" s="100"/>
      <c r="L42" s="99">
        <v>5</v>
      </c>
    </row>
    <row r="43" spans="1:12">
      <c r="A43" s="77" t="s">
        <v>360</v>
      </c>
      <c r="D43" s="99">
        <v>0.52700000000000002</v>
      </c>
      <c r="E43" s="99">
        <v>6.5949999999999998</v>
      </c>
      <c r="F43" s="99">
        <v>24.975000000000001</v>
      </c>
      <c r="G43" s="99">
        <v>7.8220000000000001</v>
      </c>
      <c r="H43" s="168">
        <f t="shared" ref="H43:J43" si="22">H115</f>
        <v>9.6999499130429481</v>
      </c>
      <c r="I43" s="168">
        <f t="shared" si="22"/>
        <v>11.631431965761701</v>
      </c>
      <c r="J43" s="168">
        <f t="shared" si="22"/>
        <v>13.534104273744868</v>
      </c>
      <c r="K43" s="100"/>
      <c r="L43" s="99">
        <v>3.351</v>
      </c>
    </row>
    <row r="44" spans="1:12">
      <c r="K44" s="100"/>
    </row>
    <row r="45" spans="1:12">
      <c r="A45" s="110" t="s">
        <v>370</v>
      </c>
      <c r="B45" s="110"/>
      <c r="C45" s="110"/>
      <c r="D45" s="92">
        <f>SUM(D38:D43)</f>
        <v>67.495000000000005</v>
      </c>
      <c r="E45" s="92">
        <f>SUM(E38:E43)</f>
        <v>127.43599999999999</v>
      </c>
      <c r="F45" s="92">
        <f t="shared" ref="F45:J45" si="23">SUM(F38:F43)</f>
        <v>263.78800000000001</v>
      </c>
      <c r="G45" s="92">
        <f t="shared" si="23"/>
        <v>205.66399999999999</v>
      </c>
      <c r="H45" s="92">
        <f t="shared" si="23"/>
        <v>253.0610136070153</v>
      </c>
      <c r="I45" s="92">
        <f t="shared" si="23"/>
        <v>284.95624788346817</v>
      </c>
      <c r="J45" s="92">
        <f t="shared" si="23"/>
        <v>319.32035391936751</v>
      </c>
      <c r="K45" s="100"/>
      <c r="L45" s="92">
        <f t="shared" ref="L45" si="24">SUM(L38:L43)</f>
        <v>220.90299999999999</v>
      </c>
    </row>
    <row r="46" spans="1:12">
      <c r="K46" s="100"/>
    </row>
    <row r="47" spans="1:12">
      <c r="A47" s="295" t="s">
        <v>371</v>
      </c>
      <c r="B47" s="295"/>
      <c r="C47" s="295"/>
      <c r="D47" s="92">
        <f>D36+D45</f>
        <v>1773.6730000000002</v>
      </c>
      <c r="E47" s="92">
        <f>E36+E45</f>
        <v>2466.0890000000004</v>
      </c>
      <c r="F47" s="92">
        <f t="shared" ref="F47:J47" si="25">F36+F45</f>
        <v>3998.1010000000001</v>
      </c>
      <c r="G47" s="92">
        <f t="shared" si="25"/>
        <v>4722.5020000000004</v>
      </c>
      <c r="H47" s="92">
        <f t="shared" si="25"/>
        <v>5931.1684788203456</v>
      </c>
      <c r="I47" s="92">
        <f t="shared" si="25"/>
        <v>6698.0679232908733</v>
      </c>
      <c r="J47" s="92">
        <f t="shared" si="25"/>
        <v>7933.1328229282535</v>
      </c>
      <c r="K47" s="100"/>
      <c r="L47" s="92">
        <f t="shared" ref="L47" si="26">L36+L45</f>
        <v>5911.4400000000005</v>
      </c>
    </row>
    <row r="48" spans="1:12">
      <c r="K48" s="100"/>
    </row>
    <row r="49" spans="1:12" outlineLevel="1">
      <c r="A49" s="156" t="s">
        <v>372</v>
      </c>
      <c r="B49" s="156"/>
      <c r="C49" s="156"/>
      <c r="D49" s="177"/>
      <c r="E49" s="177"/>
      <c r="F49" s="177"/>
      <c r="G49" s="177"/>
      <c r="H49" s="177"/>
      <c r="I49" s="177"/>
      <c r="J49" s="177"/>
      <c r="K49" s="100"/>
      <c r="L49" s="177"/>
    </row>
    <row r="50" spans="1:12" outlineLevel="2">
      <c r="A50" s="77" t="s">
        <v>373</v>
      </c>
      <c r="D50" s="99">
        <v>360</v>
      </c>
      <c r="E50" s="99">
        <v>360</v>
      </c>
      <c r="F50" s="99">
        <v>360</v>
      </c>
      <c r="G50" s="99">
        <v>360</v>
      </c>
      <c r="H50" s="123">
        <f t="shared" ref="H50:J51" si="27">G50</f>
        <v>360</v>
      </c>
      <c r="I50" s="123">
        <f t="shared" si="27"/>
        <v>360</v>
      </c>
      <c r="J50" s="123">
        <f t="shared" si="27"/>
        <v>360</v>
      </c>
      <c r="K50" s="100"/>
      <c r="L50" s="99">
        <v>379.61900000000003</v>
      </c>
    </row>
    <row r="51" spans="1:12" outlineLevel="2">
      <c r="A51" s="77" t="s">
        <v>374</v>
      </c>
      <c r="D51" s="99"/>
      <c r="E51" s="99"/>
      <c r="F51" s="99"/>
      <c r="G51" s="99"/>
      <c r="H51" s="123">
        <f>CF!H59+CF!H60</f>
        <v>3495.3669724770639</v>
      </c>
      <c r="I51" s="123">
        <f>H51</f>
        <v>3495.3669724770639</v>
      </c>
      <c r="J51" s="123">
        <f t="shared" si="27"/>
        <v>3495.3669724770639</v>
      </c>
      <c r="K51" s="100"/>
      <c r="L51" s="99"/>
    </row>
    <row r="52" spans="1:12" outlineLevel="2">
      <c r="A52" s="77" t="s">
        <v>375</v>
      </c>
      <c r="D52" s="99">
        <v>5177.3509999999997</v>
      </c>
      <c r="E52" s="99">
        <v>7094.2969999999996</v>
      </c>
      <c r="F52" s="99">
        <v>10146.993</v>
      </c>
      <c r="G52" s="99">
        <v>14595.519</v>
      </c>
      <c r="H52" s="100">
        <f t="shared" ref="H52:J52" si="28">H181</f>
        <v>20116.297979127303</v>
      </c>
      <c r="I52" s="100">
        <f t="shared" si="28"/>
        <v>26666.361008645403</v>
      </c>
      <c r="J52" s="100">
        <f t="shared" si="28"/>
        <v>34402.574113020943</v>
      </c>
      <c r="K52" s="100"/>
      <c r="L52" s="99">
        <v>20870.625</v>
      </c>
    </row>
    <row r="53" spans="1:12" outlineLevel="2">
      <c r="A53" s="77" t="s">
        <v>59</v>
      </c>
      <c r="D53" s="99">
        <v>5.359</v>
      </c>
      <c r="E53" s="99">
        <v>24.97</v>
      </c>
      <c r="F53" s="99">
        <v>88.471999999999994</v>
      </c>
      <c r="G53" s="99">
        <v>105.301</v>
      </c>
      <c r="H53" s="123">
        <f>G53-IS!I33</f>
        <v>155.30099999999999</v>
      </c>
      <c r="I53" s="123">
        <f>H53-IS!J33</f>
        <v>209.77797875501531</v>
      </c>
      <c r="J53" s="123">
        <f>I53-IS!K33</f>
        <v>270.92451928721374</v>
      </c>
      <c r="K53" s="100"/>
      <c r="L53" s="99">
        <v>131.22</v>
      </c>
    </row>
    <row r="54" spans="1:12" outlineLevel="2">
      <c r="K54" s="100"/>
    </row>
    <row r="55" spans="1:12">
      <c r="A55" s="296" t="s">
        <v>376</v>
      </c>
      <c r="B55" s="296"/>
      <c r="C55" s="296"/>
      <c r="D55" s="92">
        <f>SUM(D50:D53)</f>
        <v>5542.71</v>
      </c>
      <c r="E55" s="92">
        <f>SUM(E50:E53)</f>
        <v>7479.2669999999998</v>
      </c>
      <c r="F55" s="92">
        <f t="shared" ref="F55:J55" si="29">SUM(F50:F53)</f>
        <v>10595.465</v>
      </c>
      <c r="G55" s="92">
        <f t="shared" si="29"/>
        <v>15060.82</v>
      </c>
      <c r="H55" s="92">
        <f t="shared" si="29"/>
        <v>24126.965951604365</v>
      </c>
      <c r="I55" s="92">
        <f t="shared" si="29"/>
        <v>30731.505959877482</v>
      </c>
      <c r="J55" s="92">
        <f t="shared" si="29"/>
        <v>38528.86560478522</v>
      </c>
      <c r="K55" s="100"/>
      <c r="L55" s="92">
        <f t="shared" ref="L55" si="30">SUM(L50:L53)</f>
        <v>21381.464</v>
      </c>
    </row>
    <row r="56" spans="1:12">
      <c r="K56" s="100"/>
    </row>
    <row r="57" spans="1:12">
      <c r="A57" s="297" t="s">
        <v>377</v>
      </c>
      <c r="B57" s="297"/>
      <c r="C57" s="297"/>
      <c r="D57" s="92">
        <f>D47+D55</f>
        <v>7316.3829999999998</v>
      </c>
      <c r="E57" s="92">
        <f>E47+E55</f>
        <v>9945.3559999999998</v>
      </c>
      <c r="F57" s="92">
        <f t="shared" ref="F57:J57" si="31">F47+F55</f>
        <v>14593.566000000001</v>
      </c>
      <c r="G57" s="92">
        <f t="shared" si="31"/>
        <v>19783.322</v>
      </c>
      <c r="H57" s="92">
        <f>H47+H55</f>
        <v>30058.13443042471</v>
      </c>
      <c r="I57" s="92">
        <f t="shared" si="31"/>
        <v>37429.573883168356</v>
      </c>
      <c r="J57" s="92">
        <f t="shared" si="31"/>
        <v>46461.998427713472</v>
      </c>
      <c r="K57" s="100"/>
      <c r="L57" s="92">
        <f t="shared" ref="L57" si="32">L47+L55</f>
        <v>27292.904000000002</v>
      </c>
    </row>
    <row r="59" spans="1:12">
      <c r="A59" s="298" t="s">
        <v>378</v>
      </c>
      <c r="B59" s="298"/>
      <c r="C59" s="298"/>
      <c r="D59" s="299">
        <f>D57-D26</f>
        <v>0</v>
      </c>
      <c r="E59" s="299">
        <f>E57-E26</f>
        <v>0</v>
      </c>
      <c r="F59" s="299">
        <f t="shared" ref="F59:G59" si="33">F57-F26</f>
        <v>0</v>
      </c>
      <c r="G59" s="299">
        <f t="shared" si="33"/>
        <v>0</v>
      </c>
      <c r="H59" s="300">
        <f>H57-H26</f>
        <v>0</v>
      </c>
      <c r="I59" s="301">
        <f>I57-I26</f>
        <v>0</v>
      </c>
      <c r="J59" s="301">
        <f t="shared" ref="J59" si="34">J57-J26</f>
        <v>0</v>
      </c>
      <c r="L59" s="299">
        <f t="shared" ref="L59" si="35">L57-L26</f>
        <v>0</v>
      </c>
    </row>
    <row r="60" spans="1:12">
      <c r="H60" s="127"/>
      <c r="I60" s="127"/>
      <c r="J60" s="127"/>
    </row>
    <row r="61" spans="1:12">
      <c r="A61" s="147" t="s">
        <v>379</v>
      </c>
      <c r="B61" s="147"/>
      <c r="C61" s="147"/>
      <c r="D61" s="302"/>
      <c r="E61" s="302"/>
      <c r="F61" s="302"/>
      <c r="G61" s="302"/>
      <c r="H61" s="302"/>
      <c r="I61" s="302"/>
      <c r="J61" s="302"/>
      <c r="L61" s="302"/>
    </row>
    <row r="62" spans="1:12">
      <c r="A62" s="303" t="s">
        <v>380</v>
      </c>
      <c r="B62" s="303"/>
      <c r="C62" s="303"/>
      <c r="D62" s="100">
        <f>D32</f>
        <v>30.03</v>
      </c>
      <c r="E62" s="100">
        <f>E32</f>
        <v>140.08799999999999</v>
      </c>
      <c r="F62" s="100">
        <f>F32</f>
        <v>259.74799999999999</v>
      </c>
      <c r="G62" s="100">
        <f>G32</f>
        <v>0</v>
      </c>
      <c r="H62" s="100">
        <f>H32</f>
        <v>0</v>
      </c>
      <c r="I62" s="100">
        <f t="shared" ref="I62:J62" si="36">I32</f>
        <v>0</v>
      </c>
      <c r="J62" s="100">
        <f t="shared" si="36"/>
        <v>0</v>
      </c>
      <c r="L62" s="100"/>
    </row>
    <row r="63" spans="1:12">
      <c r="A63" s="303" t="s">
        <v>381</v>
      </c>
      <c r="B63" s="303"/>
      <c r="C63" s="303"/>
      <c r="D63" s="100">
        <f>D10+D9+D8+D21</f>
        <v>3637.9290000000001</v>
      </c>
      <c r="E63" s="100">
        <f t="shared" ref="E63:I63" si="37">E10+E9+E8+E21</f>
        <v>4694.96</v>
      </c>
      <c r="F63" s="100">
        <f t="shared" si="37"/>
        <v>6783.5700000000006</v>
      </c>
      <c r="G63" s="100">
        <f t="shared" si="37"/>
        <v>11109.495999999999</v>
      </c>
      <c r="H63" s="100">
        <f t="shared" si="37"/>
        <v>17556.919901577643</v>
      </c>
      <c r="I63" s="100">
        <f t="shared" si="37"/>
        <v>23315.494689609754</v>
      </c>
      <c r="J63" s="100">
        <f t="shared" ref="J63" si="38">J10+J9+J8</f>
        <v>26876.42998654196</v>
      </c>
      <c r="L63" s="100"/>
    </row>
    <row r="64" spans="1:12">
      <c r="A64" s="303" t="s">
        <v>382</v>
      </c>
      <c r="B64" s="303"/>
      <c r="C64" s="303"/>
      <c r="D64" s="100">
        <f>D62-D63</f>
        <v>-3607.8989999999999</v>
      </c>
      <c r="E64" s="100">
        <f>E62-E63</f>
        <v>-4554.8720000000003</v>
      </c>
      <c r="F64" s="100">
        <f>F62-F63</f>
        <v>-6523.822000000001</v>
      </c>
      <c r="G64" s="100">
        <f>G62-G63</f>
        <v>-11109.495999999999</v>
      </c>
      <c r="H64" s="100">
        <f t="shared" ref="H64:J64" si="39">H62-H63</f>
        <v>-17556.919901577643</v>
      </c>
      <c r="I64" s="100">
        <f t="shared" si="39"/>
        <v>-23315.494689609754</v>
      </c>
      <c r="J64" s="100">
        <f t="shared" si="39"/>
        <v>-26876.42998654196</v>
      </c>
      <c r="L64" s="100"/>
    </row>
    <row r="65" spans="1:12">
      <c r="A65" s="303" t="s">
        <v>383</v>
      </c>
      <c r="B65" s="303"/>
      <c r="C65" s="303"/>
      <c r="D65" s="100">
        <f>D55</f>
        <v>5542.71</v>
      </c>
      <c r="E65" s="100">
        <f>E55</f>
        <v>7479.2669999999998</v>
      </c>
      <c r="F65" s="100">
        <f t="shared" ref="F65:J65" si="40">F55</f>
        <v>10595.465</v>
      </c>
      <c r="G65" s="100">
        <f t="shared" si="40"/>
        <v>15060.82</v>
      </c>
      <c r="H65" s="100">
        <f t="shared" si="40"/>
        <v>24126.965951604365</v>
      </c>
      <c r="I65" s="100">
        <f t="shared" si="40"/>
        <v>30731.505959877482</v>
      </c>
      <c r="J65" s="100">
        <f t="shared" si="40"/>
        <v>38528.86560478522</v>
      </c>
      <c r="L65" s="100"/>
    </row>
    <row r="66" spans="1:12">
      <c r="A66" s="304" t="s">
        <v>384</v>
      </c>
      <c r="B66" s="304"/>
      <c r="C66" s="304"/>
      <c r="D66" s="78">
        <f>D64/D65</f>
        <v>-0.65092689316236996</v>
      </c>
      <c r="E66" s="78">
        <f>E64/E65</f>
        <v>-0.60899978567418445</v>
      </c>
      <c r="F66" s="78">
        <f t="shared" ref="F66:J66" si="41">F64/F65</f>
        <v>-0.61571832854905384</v>
      </c>
      <c r="G66" s="78">
        <f t="shared" si="41"/>
        <v>-0.73764217353371198</v>
      </c>
      <c r="H66" s="78">
        <f t="shared" si="41"/>
        <v>-0.72768867568324169</v>
      </c>
      <c r="I66" s="78">
        <f t="shared" si="41"/>
        <v>-0.7586837664268733</v>
      </c>
      <c r="J66" s="78">
        <f t="shared" si="41"/>
        <v>-0.69756608622299932</v>
      </c>
      <c r="L66" s="78"/>
    </row>
    <row r="68" spans="1:12">
      <c r="A68" s="147" t="s">
        <v>385</v>
      </c>
      <c r="B68" s="147"/>
      <c r="C68" s="147"/>
      <c r="D68" s="302"/>
      <c r="E68" s="302"/>
      <c r="F68" s="302"/>
      <c r="G68" s="302"/>
      <c r="H68" s="302"/>
      <c r="I68" s="302"/>
      <c r="J68" s="302"/>
      <c r="L68" s="302"/>
    </row>
    <row r="70" spans="1:12">
      <c r="A70" s="296" t="s">
        <v>340</v>
      </c>
      <c r="B70" s="296"/>
      <c r="C70" s="296"/>
      <c r="D70" s="92">
        <f>D5</f>
        <v>1251.915</v>
      </c>
      <c r="E70" s="92">
        <f>E5</f>
        <v>1541.1559999999999</v>
      </c>
      <c r="F70" s="92">
        <f>F5</f>
        <v>2231.7139999999999</v>
      </c>
      <c r="G70" s="92">
        <f>G5</f>
        <v>2215.3519999999999</v>
      </c>
      <c r="H70" s="92">
        <f>-H77/365*IS!I9*2-BS!G70</f>
        <v>3670.6223192222596</v>
      </c>
      <c r="I70" s="92">
        <f>-I77/365*IS!J9*2-BS!H70</f>
        <v>3243.4988192921155</v>
      </c>
      <c r="J70" s="92">
        <f>-J77/365*IS!K9*2-BS!I70</f>
        <v>4762.4104113456215</v>
      </c>
      <c r="L70" s="92"/>
    </row>
    <row r="71" spans="1:12">
      <c r="A71" s="77" t="s">
        <v>386</v>
      </c>
      <c r="D71" s="99">
        <v>699.80600000000004</v>
      </c>
      <c r="E71" s="99">
        <v>1001.747</v>
      </c>
      <c r="F71" s="99">
        <v>1278.3409999999999</v>
      </c>
      <c r="G71" s="99">
        <v>1533.5778</v>
      </c>
      <c r="L71" s="99"/>
    </row>
    <row r="72" spans="1:12">
      <c r="A72" s="77" t="s">
        <v>387</v>
      </c>
      <c r="D72" s="99">
        <v>555.11900000000003</v>
      </c>
      <c r="E72" s="99">
        <v>513.80799999999999</v>
      </c>
      <c r="F72" s="99">
        <v>899.048</v>
      </c>
      <c r="G72" s="99">
        <v>634.63699999999994</v>
      </c>
      <c r="L72" s="99"/>
    </row>
    <row r="73" spans="1:12">
      <c r="A73" s="77" t="s">
        <v>388</v>
      </c>
      <c r="D73" s="99">
        <v>0.82699999999999996</v>
      </c>
      <c r="E73" s="99">
        <v>28.387</v>
      </c>
      <c r="F73" s="99">
        <v>89.644999999999996</v>
      </c>
      <c r="G73" s="99">
        <v>94.411000000000001</v>
      </c>
      <c r="L73" s="99"/>
    </row>
    <row r="74" spans="1:12">
      <c r="A74" s="77" t="s">
        <v>389</v>
      </c>
      <c r="D74" s="99">
        <v>-3.8370000000000002</v>
      </c>
      <c r="E74" s="99">
        <v>-2.786</v>
      </c>
      <c r="F74" s="99">
        <v>-35.32</v>
      </c>
      <c r="G74" s="99">
        <v>-47.274000000000001</v>
      </c>
      <c r="L74" s="99"/>
    </row>
    <row r="76" spans="1:12">
      <c r="A76" s="305" t="s">
        <v>390</v>
      </c>
      <c r="B76" s="305"/>
      <c r="C76" s="305"/>
      <c r="D76" s="111">
        <f>-365*D70/IS!E9</f>
        <v>64.294498731132322</v>
      </c>
      <c r="E76" s="111">
        <f>-365*E70/IS!F9</f>
        <v>57.820636588088476</v>
      </c>
      <c r="F76" s="111">
        <f>-365*F70/IS!G9</f>
        <v>56.94939867156971</v>
      </c>
      <c r="G76" s="111">
        <f>-365*G70/IS!H9</f>
        <v>48.221094735795035</v>
      </c>
      <c r="L76" s="111"/>
    </row>
    <row r="77" spans="1:12">
      <c r="A77" s="305" t="s">
        <v>391</v>
      </c>
      <c r="B77" s="305"/>
      <c r="C77" s="305"/>
      <c r="E77" s="111">
        <f>-365*AVERAGE(D70:E70)/IS!F9</f>
        <v>52.394807292619589</v>
      </c>
      <c r="F77" s="111">
        <f>-365*AVERAGE(E70:F70)/IS!G9</f>
        <v>48.138488571117364</v>
      </c>
      <c r="G77" s="111">
        <f>-365*AVERAGE(F70:G70)/IS!H9</f>
        <v>48.399168818845283</v>
      </c>
      <c r="H77" s="170">
        <f t="shared" ref="H77:J77" si="42">G77</f>
        <v>48.399168818845283</v>
      </c>
      <c r="I77" s="170">
        <f t="shared" si="42"/>
        <v>48.399168818845283</v>
      </c>
      <c r="J77" s="170">
        <f t="shared" si="42"/>
        <v>48.399168818845283</v>
      </c>
      <c r="L77" s="111"/>
    </row>
    <row r="78" spans="1:12">
      <c r="A78" s="305" t="s">
        <v>392</v>
      </c>
      <c r="B78" s="305"/>
      <c r="C78" s="305"/>
      <c r="D78" s="136">
        <v>42.7</v>
      </c>
      <c r="E78" s="136">
        <v>52.4</v>
      </c>
      <c r="F78" s="136">
        <v>48.1</v>
      </c>
    </row>
    <row r="79" spans="1:12">
      <c r="A79" s="305"/>
      <c r="B79" s="305"/>
      <c r="C79" s="305"/>
      <c r="E79" s="111"/>
      <c r="F79" s="111"/>
      <c r="G79" s="111"/>
      <c r="L79" s="111"/>
    </row>
    <row r="81" spans="1:12">
      <c r="A81" s="296" t="s">
        <v>393</v>
      </c>
      <c r="B81" s="296"/>
      <c r="C81" s="296"/>
    </row>
    <row r="82" spans="1:12">
      <c r="A82" s="110" t="s">
        <v>341</v>
      </c>
      <c r="B82" s="110"/>
      <c r="C82" s="110"/>
      <c r="D82" s="92">
        <f>D6</f>
        <v>2.0299999999999998</v>
      </c>
      <c r="E82" s="92">
        <f>E6</f>
        <v>15.41</v>
      </c>
      <c r="F82" s="92">
        <f>F6</f>
        <v>28.472999999999999</v>
      </c>
      <c r="G82" s="92">
        <f>G6</f>
        <v>25.623999999999999</v>
      </c>
      <c r="H82" s="92">
        <f>-H84/365*IS!I9*2-BS!G82</f>
        <v>29.101907661015279</v>
      </c>
      <c r="I82" s="92">
        <f>-I84/365*IS!J9*2-BS!H82</f>
        <v>35.183380459883082</v>
      </c>
      <c r="J82" s="92">
        <f>-J84/365*IS!K9*2-BS!I82</f>
        <v>39.25300433158894</v>
      </c>
      <c r="L82" s="92"/>
    </row>
    <row r="83" spans="1:12">
      <c r="A83" s="305" t="s">
        <v>394</v>
      </c>
      <c r="B83" s="305"/>
      <c r="C83" s="305"/>
      <c r="D83" s="138">
        <f>365*D82/IS!E7</f>
        <v>7.1582552618658743E-2</v>
      </c>
      <c r="E83" s="138">
        <f>365*E82/IS!F7</f>
        <v>0.41432124763463085</v>
      </c>
      <c r="F83" s="138">
        <f>365*F82/IS!G7</f>
        <v>0.51189079749675714</v>
      </c>
      <c r="G83" s="138">
        <f>365*G82/IS!H7</f>
        <v>0.37668885024749815</v>
      </c>
      <c r="L83" s="138"/>
    </row>
    <row r="84" spans="1:12">
      <c r="A84" s="305" t="s">
        <v>395</v>
      </c>
      <c r="B84" s="305"/>
      <c r="C84" s="305"/>
      <c r="D84" s="138">
        <f>D83</f>
        <v>7.1582552618658743E-2</v>
      </c>
      <c r="E84" s="138">
        <f>365*AVERAGE(D82:E82)/IS!F7</f>
        <v>0.23445043993341866</v>
      </c>
      <c r="F84" s="138">
        <f>365*AVERAGE(E82:F82)/IS!G7</f>
        <v>0.39446675563780059</v>
      </c>
      <c r="G84" s="138">
        <f>365*AVERAGE(F82:G82)/IS!H7</f>
        <v>0.3976298925194916</v>
      </c>
      <c r="H84" s="306">
        <v>0.45</v>
      </c>
      <c r="I84" s="306">
        <f t="shared" ref="I84:J84" si="43">H84</f>
        <v>0.45</v>
      </c>
      <c r="J84" s="306">
        <f t="shared" si="43"/>
        <v>0.45</v>
      </c>
      <c r="L84" s="138"/>
    </row>
    <row r="86" spans="1:12">
      <c r="A86" s="110" t="s">
        <v>342</v>
      </c>
      <c r="B86" s="110"/>
      <c r="C86" s="110"/>
      <c r="D86" s="92">
        <f>D7</f>
        <v>181.892</v>
      </c>
      <c r="E86" s="92">
        <f>E7</f>
        <v>304.53899999999999</v>
      </c>
      <c r="F86" s="92">
        <f>F7</f>
        <v>404.428</v>
      </c>
      <c r="G86" s="92">
        <f>G7</f>
        <v>512.505</v>
      </c>
      <c r="H86" s="92">
        <f>H87*(IS!I9+IS!I11+IS!I13+IS!I15)</f>
        <v>673.09064218807214</v>
      </c>
      <c r="I86" s="92">
        <f>I87*(IS!J9+IS!J11+IS!J13+IS!J15)</f>
        <v>786.55437696526405</v>
      </c>
      <c r="J86" s="92">
        <f>J87*(IS!K9+IS!K11+IS!K13+IS!K15)</f>
        <v>907.08403909252002</v>
      </c>
      <c r="L86" s="92"/>
    </row>
    <row r="87" spans="1:12">
      <c r="A87" s="307" t="s">
        <v>396</v>
      </c>
      <c r="B87" s="307"/>
      <c r="C87" s="307"/>
      <c r="D87" s="78">
        <f>D86/(IS!E9+IS!E11+IS!E13+IS!E15)</f>
        <v>-2.3010596472531685E-2</v>
      </c>
      <c r="E87" s="78">
        <f>E86/(IS!F9+IS!F11+IS!F13+IS!F15)</f>
        <v>-2.7605105556291289E-2</v>
      </c>
      <c r="F87" s="78">
        <f>F86/(IS!G9+IS!G11+IS!G13+IS!G15)</f>
        <v>-2.4784608230518649E-2</v>
      </c>
      <c r="G87" s="78">
        <f>G86/(IS!H9+IS!H11+IS!H13+IS!H15)</f>
        <v>-2.6653923528481144E-2</v>
      </c>
      <c r="H87" s="146">
        <f t="shared" ref="H87:J87" si="44">G87</f>
        <v>-2.6653923528481144E-2</v>
      </c>
      <c r="I87" s="146">
        <f t="shared" si="44"/>
        <v>-2.6653923528481144E-2</v>
      </c>
      <c r="J87" s="146">
        <f t="shared" si="44"/>
        <v>-2.6653923528481144E-2</v>
      </c>
      <c r="L87" s="78"/>
    </row>
    <row r="88" spans="1:12">
      <c r="A88" s="77" t="s">
        <v>397</v>
      </c>
      <c r="D88" s="99">
        <v>110.723</v>
      </c>
      <c r="E88" s="99">
        <v>131.99799999999999</v>
      </c>
      <c r="F88" s="99">
        <v>108.002</v>
      </c>
      <c r="G88" s="99">
        <v>103.485</v>
      </c>
      <c r="L88" s="99"/>
    </row>
    <row r="89" spans="1:12">
      <c r="A89" s="77" t="s">
        <v>398</v>
      </c>
      <c r="D89" s="99">
        <v>26.785</v>
      </c>
      <c r="E89" s="99">
        <v>57.948</v>
      </c>
      <c r="F89" s="99">
        <v>27.132000000000001</v>
      </c>
      <c r="G89" s="99">
        <v>55.238</v>
      </c>
      <c r="L89" s="99"/>
    </row>
    <row r="90" spans="1:12">
      <c r="A90" s="77" t="s">
        <v>399</v>
      </c>
      <c r="D90" s="99">
        <v>26.986999999999998</v>
      </c>
      <c r="E90" s="99">
        <v>85.57</v>
      </c>
      <c r="F90" s="99">
        <v>216.14699999999999</v>
      </c>
      <c r="G90" s="99">
        <v>277.23399999999998</v>
      </c>
      <c r="L90" s="99"/>
    </row>
    <row r="91" spans="1:12">
      <c r="A91" s="77" t="s">
        <v>400</v>
      </c>
      <c r="D91" s="99">
        <v>23.382999999999999</v>
      </c>
      <c r="E91" s="99">
        <v>37.421999999999997</v>
      </c>
      <c r="F91" s="99">
        <v>54.862000000000002</v>
      </c>
      <c r="G91" s="99">
        <v>76.58</v>
      </c>
      <c r="L91" s="99"/>
    </row>
    <row r="92" spans="1:12">
      <c r="A92" s="77" t="s">
        <v>401</v>
      </c>
      <c r="D92" s="99">
        <v>-5.9859999999999998</v>
      </c>
      <c r="E92" s="99">
        <v>-8.3989999999999991</v>
      </c>
      <c r="F92" s="99">
        <v>-1.7150000000000001</v>
      </c>
      <c r="G92" s="99">
        <v>-3.2000000000000001E-2</v>
      </c>
      <c r="L92" s="99"/>
    </row>
    <row r="93" spans="1:12">
      <c r="D93" s="99"/>
      <c r="E93" s="99"/>
      <c r="F93" s="99"/>
      <c r="G93" s="99"/>
      <c r="L93" s="99"/>
    </row>
    <row r="94" spans="1:12">
      <c r="A94" s="296" t="s">
        <v>402</v>
      </c>
      <c r="B94" s="296"/>
      <c r="C94" s="296"/>
      <c r="D94" s="111"/>
      <c r="E94" s="111"/>
      <c r="F94" s="111"/>
      <c r="G94" s="111"/>
      <c r="L94" s="111"/>
    </row>
    <row r="95" spans="1:12">
      <c r="A95" s="110" t="s">
        <v>358</v>
      </c>
      <c r="B95" s="110"/>
      <c r="C95" s="110"/>
      <c r="D95" s="92">
        <f>D29</f>
        <v>596.68100000000004</v>
      </c>
      <c r="E95" s="92">
        <f>E29</f>
        <v>881.80600000000004</v>
      </c>
      <c r="F95" s="92">
        <f>F29</f>
        <v>1316.78</v>
      </c>
      <c r="G95" s="92">
        <f>G29</f>
        <v>1767.2629999999999</v>
      </c>
      <c r="H95" s="92">
        <f>-H97/365*IS!I9*2-BS!G95</f>
        <v>2314.6638023854771</v>
      </c>
      <c r="I95" s="92">
        <f>-I97/365*IS!J9*2-BS!H95</f>
        <v>2480.2834501147759</v>
      </c>
      <c r="J95" s="92">
        <f>-J97/365*IS!K9*2-BS!I95</f>
        <v>3071.819514263017</v>
      </c>
      <c r="L95" s="92"/>
    </row>
    <row r="96" spans="1:12">
      <c r="A96" s="305" t="s">
        <v>403</v>
      </c>
      <c r="B96" s="305"/>
      <c r="C96" s="305"/>
      <c r="D96" s="111">
        <f>-365*D95/IS!E9</f>
        <v>30.643698491823141</v>
      </c>
      <c r="E96" s="111">
        <f>-365*E95/IS!F9</f>
        <v>33.083337616176394</v>
      </c>
      <c r="F96" s="111">
        <f>-365*F95/IS!G9</f>
        <v>33.601899339588122</v>
      </c>
      <c r="G96" s="111">
        <f>-365*G95/IS!H9</f>
        <v>38.467636992254661</v>
      </c>
      <c r="L96" s="111"/>
    </row>
    <row r="97" spans="1:12">
      <c r="A97" s="305" t="s">
        <v>404</v>
      </c>
      <c r="B97" s="305"/>
      <c r="C97" s="305"/>
      <c r="D97" s="111">
        <f>D98</f>
        <v>23.9</v>
      </c>
      <c r="E97" s="111">
        <f>-365*AVERAGE(D95:E95)/IS!F9</f>
        <v>27.734719758159841</v>
      </c>
      <c r="F97" s="111">
        <f>-365*AVERAGE(E95:F95)/IS!G9</f>
        <v>28.052015318210977</v>
      </c>
      <c r="G97" s="111">
        <f>-365*AVERAGE(F95:G95)/IS!H9</f>
        <v>33.564853276649828</v>
      </c>
      <c r="H97" s="170">
        <f t="shared" ref="H97:J97" si="45">G97</f>
        <v>33.564853276649828</v>
      </c>
      <c r="I97" s="170">
        <f t="shared" si="45"/>
        <v>33.564853276649828</v>
      </c>
      <c r="J97" s="170">
        <f t="shared" si="45"/>
        <v>33.564853276649828</v>
      </c>
      <c r="L97" s="111"/>
    </row>
    <row r="98" spans="1:12">
      <c r="A98" s="305" t="s">
        <v>405</v>
      </c>
      <c r="B98" s="305"/>
      <c r="C98" s="305"/>
      <c r="D98" s="135">
        <v>23.9</v>
      </c>
      <c r="E98" s="135">
        <v>27.7</v>
      </c>
      <c r="F98" s="135">
        <v>28.1</v>
      </c>
      <c r="G98" s="136"/>
      <c r="H98" s="136"/>
      <c r="I98" s="136"/>
      <c r="J98" s="136"/>
      <c r="K98" s="136"/>
      <c r="L98" s="136"/>
    </row>
    <row r="100" spans="1:12">
      <c r="A100" s="110" t="s">
        <v>359</v>
      </c>
      <c r="B100" s="110"/>
      <c r="C100" s="110"/>
      <c r="D100" s="92">
        <f>D30</f>
        <v>600.75300000000004</v>
      </c>
      <c r="E100" s="92">
        <f t="shared" ref="E100:G100" si="46">E30</f>
        <v>910.19600000000003</v>
      </c>
      <c r="F100" s="92">
        <f t="shared" si="46"/>
        <v>1571.615</v>
      </c>
      <c r="G100" s="92">
        <f t="shared" si="46"/>
        <v>2043.625</v>
      </c>
      <c r="H100" s="92">
        <f>H101*(IS!I9+IS!I11+IS!I13+IS!I15)</f>
        <v>2683.9637928246534</v>
      </c>
      <c r="I100" s="92">
        <f>I101*(IS!J9+IS!J11+IS!J13+IS!J15)</f>
        <v>3136.4029397286617</v>
      </c>
      <c r="J100" s="92">
        <f>J101*(IS!K9+IS!K11+IS!K13+IS!K15)</f>
        <v>3617.0176279069497</v>
      </c>
      <c r="L100" s="92"/>
    </row>
    <row r="101" spans="1:12">
      <c r="A101" s="307" t="s">
        <v>396</v>
      </c>
      <c r="B101" s="307"/>
      <c r="C101" s="307"/>
      <c r="D101" s="78">
        <f>D100/(IS!E9+IS!E11+IS!E13+IS!E15)</f>
        <v>-7.5999410983786139E-2</v>
      </c>
      <c r="E101" s="78">
        <f>E100/(IS!F9+IS!F11+IS!F13+IS!F15)</f>
        <v>-8.2505218237776137E-2</v>
      </c>
      <c r="F101" s="78">
        <f>F100/(IS!G9+IS!G11+IS!G13+IS!G15)</f>
        <v>-9.6313465101839066E-2</v>
      </c>
      <c r="G101" s="78">
        <f>G100/(IS!H9+IS!H11+IS!H13+IS!H15)</f>
        <v>-0.10628310840068346</v>
      </c>
      <c r="H101" s="146">
        <f t="shared" ref="H101:J101" si="47">G101</f>
        <v>-0.10628310840068346</v>
      </c>
      <c r="I101" s="146">
        <f t="shared" si="47"/>
        <v>-0.10628310840068346</v>
      </c>
      <c r="J101" s="146">
        <f t="shared" si="47"/>
        <v>-0.10628310840068346</v>
      </c>
      <c r="L101" s="78"/>
    </row>
    <row r="102" spans="1:12">
      <c r="A102" s="77" t="s">
        <v>406</v>
      </c>
      <c r="D102" s="99">
        <v>261.52699999999999</v>
      </c>
      <c r="E102" s="99">
        <v>466.08199999999999</v>
      </c>
      <c r="F102" s="99">
        <v>689.51300000000003</v>
      </c>
      <c r="G102" s="99">
        <v>960.95299999999997</v>
      </c>
      <c r="L102" s="99"/>
    </row>
    <row r="103" spans="1:12">
      <c r="A103" s="77" t="s">
        <v>407</v>
      </c>
      <c r="D103" s="99">
        <v>170.35</v>
      </c>
      <c r="E103" s="99">
        <v>256.88600000000002</v>
      </c>
      <c r="F103" s="99">
        <v>336.072</v>
      </c>
      <c r="G103" s="99">
        <v>472.34800000000001</v>
      </c>
      <c r="L103" s="99"/>
    </row>
    <row r="104" spans="1:12">
      <c r="A104" s="77" t="s">
        <v>408</v>
      </c>
      <c r="D104" s="99">
        <v>132.15</v>
      </c>
      <c r="E104" s="99">
        <v>146.435</v>
      </c>
      <c r="F104" s="99">
        <v>498.70800000000003</v>
      </c>
      <c r="G104" s="99">
        <v>499.01299999999998</v>
      </c>
      <c r="L104" s="99"/>
    </row>
    <row r="105" spans="1:12">
      <c r="A105" s="77" t="s">
        <v>409</v>
      </c>
      <c r="D105" s="99">
        <v>36.725999999999999</v>
      </c>
      <c r="E105" s="99">
        <v>40.792999999999999</v>
      </c>
      <c r="F105" s="99">
        <v>47.322000000000003</v>
      </c>
      <c r="G105" s="99">
        <v>111.31100000000001</v>
      </c>
      <c r="L105" s="99"/>
    </row>
    <row r="107" spans="1:12">
      <c r="A107" s="296" t="s">
        <v>360</v>
      </c>
      <c r="B107" s="296"/>
      <c r="C107" s="296"/>
    </row>
    <row r="108" spans="1:12">
      <c r="A108" s="110" t="s">
        <v>32</v>
      </c>
      <c r="B108" s="110"/>
      <c r="C108" s="110"/>
      <c r="D108" s="92">
        <f t="shared" ref="D108:F108" si="48">D31</f>
        <v>305.81700000000001</v>
      </c>
      <c r="E108" s="92">
        <f t="shared" si="48"/>
        <v>198.30500000000001</v>
      </c>
      <c r="F108" s="92">
        <f t="shared" si="48"/>
        <v>259.27100000000002</v>
      </c>
      <c r="G108" s="92">
        <f>G31</f>
        <v>359.63600000000002</v>
      </c>
      <c r="H108" s="92">
        <f t="shared" ref="H108:J108" si="49">H109+H111</f>
        <v>250.65547714642241</v>
      </c>
      <c r="I108" s="92">
        <f t="shared" si="49"/>
        <v>297.83110451975051</v>
      </c>
      <c r="J108" s="92">
        <f t="shared" si="49"/>
        <v>345.97954740531617</v>
      </c>
      <c r="L108" s="92"/>
    </row>
    <row r="109" spans="1:12">
      <c r="A109" s="77" t="s">
        <v>410</v>
      </c>
      <c r="D109" s="99">
        <v>192.46199999999999</v>
      </c>
      <c r="E109" s="99">
        <v>74.436000000000007</v>
      </c>
      <c r="F109" s="99">
        <v>25.710999999999999</v>
      </c>
      <c r="G109" s="99">
        <v>74.436000000000007</v>
      </c>
      <c r="H109" s="100">
        <f>H110*(IS!I98+IS!I99)</f>
        <v>97.047308419918096</v>
      </c>
      <c r="I109" s="100">
        <f>I110*(IS!J98+IS!J99)</f>
        <v>113.63603341684379</v>
      </c>
      <c r="J109" s="100">
        <f>J110*(IS!K98+IS!K99)</f>
        <v>131.6538043364715</v>
      </c>
      <c r="L109" s="99"/>
    </row>
    <row r="110" spans="1:12">
      <c r="A110" s="307" t="s">
        <v>411</v>
      </c>
      <c r="B110" s="307"/>
      <c r="C110" s="307"/>
      <c r="D110" s="78">
        <f>D109/(IS!E98+IS!E99)</f>
        <v>1.8953176312931554E-2</v>
      </c>
      <c r="E110" s="78">
        <f>E109/(IS!F98+IS!F99)</f>
        <v>5.5969315978203578E-3</v>
      </c>
      <c r="F110" s="78">
        <f>F109/(IS!G98+IS!G99)</f>
        <v>1.2922212862233207E-3</v>
      </c>
      <c r="G110" s="78">
        <f>G109/(IS!H98+IS!H99)</f>
        <v>3.0747459945295172E-3</v>
      </c>
      <c r="H110" s="146">
        <f t="shared" ref="H110:J110" si="50">G110</f>
        <v>3.0747459945295172E-3</v>
      </c>
      <c r="I110" s="146">
        <f t="shared" si="50"/>
        <v>3.0747459945295172E-3</v>
      </c>
      <c r="J110" s="146">
        <f t="shared" si="50"/>
        <v>3.0747459945295172E-3</v>
      </c>
      <c r="L110" s="78"/>
    </row>
    <row r="111" spans="1:12">
      <c r="A111" s="77" t="s">
        <v>98</v>
      </c>
      <c r="D111" s="99">
        <v>113.355</v>
      </c>
      <c r="E111" s="99">
        <v>123.869</v>
      </c>
      <c r="F111" s="99">
        <v>233.56</v>
      </c>
      <c r="G111" s="99">
        <v>123.869</v>
      </c>
      <c r="H111" s="100">
        <f>H112*IS!I100</f>
        <v>153.60816872650432</v>
      </c>
      <c r="I111" s="100">
        <f>I112*IS!J100</f>
        <v>184.1950711029067</v>
      </c>
      <c r="J111" s="100">
        <f>J112*IS!K100</f>
        <v>214.32574306884467</v>
      </c>
      <c r="L111" s="99"/>
    </row>
    <row r="112" spans="1:12">
      <c r="A112" s="307" t="s">
        <v>412</v>
      </c>
      <c r="B112" s="307"/>
      <c r="C112" s="307"/>
      <c r="D112" s="78">
        <f>D111/IS!E100</f>
        <v>0.5772168528683892</v>
      </c>
      <c r="E112" s="78">
        <f>E111/IS!F100</f>
        <v>0.44856181671356199</v>
      </c>
      <c r="F112" s="78">
        <f>F111/IS!G100</f>
        <v>0.57567078611252154</v>
      </c>
      <c r="G112" s="78">
        <f>G111/IS!H100</f>
        <v>0.1997742099363756</v>
      </c>
      <c r="H112" s="146">
        <f t="shared" ref="H112:J112" si="51">G112</f>
        <v>0.1997742099363756</v>
      </c>
      <c r="I112" s="146">
        <f t="shared" si="51"/>
        <v>0.1997742099363756</v>
      </c>
      <c r="J112" s="146">
        <f t="shared" si="51"/>
        <v>0.1997742099363756</v>
      </c>
      <c r="L112" s="78"/>
    </row>
    <row r="114" spans="1:12">
      <c r="A114" s="110" t="s">
        <v>413</v>
      </c>
      <c r="B114" s="110"/>
      <c r="C114" s="110"/>
      <c r="D114" s="99"/>
    </row>
    <row r="115" spans="1:12">
      <c r="A115" s="77" t="s">
        <v>98</v>
      </c>
      <c r="D115" s="112">
        <f t="shared" ref="D115:G115" si="52">D43</f>
        <v>0.52700000000000002</v>
      </c>
      <c r="E115" s="112">
        <f t="shared" si="52"/>
        <v>6.5949999999999998</v>
      </c>
      <c r="F115" s="112">
        <f t="shared" si="52"/>
        <v>24.975000000000001</v>
      </c>
      <c r="G115" s="112">
        <f t="shared" si="52"/>
        <v>7.8220000000000001</v>
      </c>
      <c r="H115" s="111">
        <f>H116*IS!I100</f>
        <v>9.6999499130429481</v>
      </c>
      <c r="I115" s="111">
        <f>I116*IS!J100</f>
        <v>11.631431965761701</v>
      </c>
      <c r="J115" s="111">
        <f>J116*IS!K100</f>
        <v>13.534104273744868</v>
      </c>
      <c r="L115" s="112"/>
    </row>
    <row r="116" spans="1:12">
      <c r="A116" s="307" t="s">
        <v>412</v>
      </c>
      <c r="B116" s="307"/>
      <c r="C116" s="307"/>
      <c r="D116" s="78">
        <f>D115/IS!E100</f>
        <v>2.6835453351121792E-3</v>
      </c>
      <c r="E116" s="78">
        <f>E115/IS!F100</f>
        <v>2.3882207664758261E-2</v>
      </c>
      <c r="F116" s="78">
        <f>F115/IS!G100</f>
        <v>6.1557535036651075E-2</v>
      </c>
      <c r="G116" s="78">
        <f>G115/IS!H100</f>
        <v>1.261521341192978E-2</v>
      </c>
      <c r="H116" s="146">
        <f t="shared" ref="H116:J116" si="53">G116</f>
        <v>1.261521341192978E-2</v>
      </c>
      <c r="I116" s="146">
        <f t="shared" si="53"/>
        <v>1.261521341192978E-2</v>
      </c>
      <c r="J116" s="146">
        <f t="shared" si="53"/>
        <v>1.261521341192978E-2</v>
      </c>
      <c r="L116" s="78"/>
    </row>
    <row r="118" spans="1:12">
      <c r="A118" s="308" t="s">
        <v>414</v>
      </c>
      <c r="B118" s="308"/>
      <c r="C118" s="308"/>
      <c r="D118" s="309">
        <f>D5+D6+D7-D29-D30</f>
        <v>238.40299999999991</v>
      </c>
      <c r="E118" s="309">
        <f>E5+E6+E7-E29-E30</f>
        <v>69.102999999999952</v>
      </c>
      <c r="F118" s="309">
        <f>F5+F6+F7-F29-F30</f>
        <v>-223.7800000000002</v>
      </c>
      <c r="G118" s="309">
        <f t="shared" ref="G118" si="54">G5+G6+G7-G29-G30</f>
        <v>-1057.4070000000002</v>
      </c>
      <c r="H118" s="309">
        <f>H5+H6+H7-H29-H30</f>
        <v>-625.81272613878355</v>
      </c>
      <c r="I118" s="309">
        <f>I5+I6+I7-I29-I30</f>
        <v>-1551.4498131261748</v>
      </c>
      <c r="J118" s="309">
        <f>J5+J6+J7-J29-J30</f>
        <v>-980.08968740023556</v>
      </c>
      <c r="L118" s="309"/>
    </row>
    <row r="120" spans="1:12">
      <c r="A120" s="147" t="s">
        <v>415</v>
      </c>
      <c r="B120" s="147"/>
      <c r="C120" s="147"/>
      <c r="D120" s="302"/>
      <c r="E120" s="302"/>
      <c r="F120" s="302"/>
      <c r="G120" s="302"/>
      <c r="H120" s="302"/>
      <c r="I120" s="302"/>
      <c r="J120" s="302"/>
      <c r="L120" s="302"/>
    </row>
    <row r="121" spans="1:12">
      <c r="A121" s="110" t="s">
        <v>416</v>
      </c>
      <c r="B121" s="110"/>
      <c r="C121" s="110"/>
      <c r="D121" s="92">
        <v>423.42200000000003</v>
      </c>
      <c r="E121" s="92">
        <f>D126</f>
        <v>1033.4970000000001</v>
      </c>
      <c r="F121" s="92">
        <f>E126</f>
        <v>1701.086</v>
      </c>
      <c r="G121" s="92">
        <f>F126</f>
        <v>3390.0529999999999</v>
      </c>
      <c r="H121" s="92">
        <f t="shared" ref="H121:J121" si="55">G126</f>
        <v>5317.826</v>
      </c>
      <c r="I121" s="92">
        <f t="shared" si="55"/>
        <v>7434.5975810527771</v>
      </c>
      <c r="J121" s="92">
        <f t="shared" si="55"/>
        <v>9398.5602258847157</v>
      </c>
      <c r="K121" s="110"/>
      <c r="L121" s="92"/>
    </row>
    <row r="122" spans="1:12">
      <c r="A122" s="77" t="s">
        <v>417</v>
      </c>
      <c r="D122" s="100">
        <f>D134</f>
        <v>685.92499999999995</v>
      </c>
      <c r="E122" s="100">
        <f>E134</f>
        <v>778.00100000000009</v>
      </c>
      <c r="F122" s="100">
        <f>F134</f>
        <v>1924.4409999999998</v>
      </c>
      <c r="G122" s="100">
        <f>G134</f>
        <v>2325.3409999999999</v>
      </c>
      <c r="H122" s="100">
        <f t="shared" ref="H122:J122" si="56">H134</f>
        <v>2325.3409999999999</v>
      </c>
      <c r="I122" s="100">
        <f t="shared" si="56"/>
        <v>2325.3409999999999</v>
      </c>
      <c r="J122" s="100">
        <f t="shared" si="56"/>
        <v>2325.3409999999999</v>
      </c>
      <c r="L122" s="100"/>
    </row>
    <row r="123" spans="1:12">
      <c r="A123" s="77" t="s">
        <v>418</v>
      </c>
      <c r="D123" s="99">
        <v>-57.238999999999997</v>
      </c>
      <c r="E123" s="99">
        <v>-105.31</v>
      </c>
      <c r="F123" s="99">
        <v>-160.50399999999999</v>
      </c>
      <c r="G123" s="99">
        <v>-314.887</v>
      </c>
      <c r="H123" s="100">
        <f t="shared" ref="H123:J123" si="57">H151</f>
        <v>-208.56941894722235</v>
      </c>
      <c r="I123" s="100">
        <f t="shared" si="57"/>
        <v>-361.37835516806115</v>
      </c>
      <c r="J123" s="100">
        <f t="shared" si="57"/>
        <v>-415.97525713838405</v>
      </c>
      <c r="L123" s="99"/>
    </row>
    <row r="124" spans="1:12">
      <c r="A124" s="77" t="s">
        <v>419</v>
      </c>
      <c r="D124" s="99">
        <v>-3.7839999999999998</v>
      </c>
      <c r="E124" s="99">
        <v>-1.657</v>
      </c>
      <c r="F124" s="99">
        <v>-4.5549999999999997</v>
      </c>
      <c r="G124" s="99">
        <v>-64.031000000000006</v>
      </c>
      <c r="L124" s="99"/>
    </row>
    <row r="125" spans="1:12">
      <c r="A125" s="77" t="s">
        <v>109</v>
      </c>
      <c r="D125" s="100">
        <f>D126-D121-D122-D124-D123</f>
        <v>-14.826999999999906</v>
      </c>
      <c r="E125" s="100">
        <f>E126-E121-E122-E124-E123</f>
        <v>-3.4450000000001495</v>
      </c>
      <c r="F125" s="100">
        <f>F126-F121-F122-F124-F123</f>
        <v>-70.414999999999935</v>
      </c>
      <c r="G125" s="100">
        <f>G126-G121-G122-G124-G123</f>
        <v>-18.64999999999975</v>
      </c>
      <c r="H125" s="169">
        <v>0</v>
      </c>
      <c r="I125" s="169">
        <v>0</v>
      </c>
      <c r="J125" s="169">
        <v>0</v>
      </c>
      <c r="L125" s="100"/>
    </row>
    <row r="126" spans="1:12">
      <c r="A126" s="110" t="s">
        <v>420</v>
      </c>
      <c r="B126" s="110"/>
      <c r="C126" s="110"/>
      <c r="D126" s="92">
        <f>D14</f>
        <v>1033.4970000000001</v>
      </c>
      <c r="E126" s="92">
        <f t="shared" ref="E126:G126" si="58">E14</f>
        <v>1701.086</v>
      </c>
      <c r="F126" s="92">
        <f t="shared" si="58"/>
        <v>3390.0529999999999</v>
      </c>
      <c r="G126" s="92">
        <f t="shared" si="58"/>
        <v>5317.826</v>
      </c>
      <c r="H126" s="92">
        <f t="shared" ref="H126:I126" si="59">SUM(H121:H125)</f>
        <v>7434.5975810527771</v>
      </c>
      <c r="I126" s="92">
        <f t="shared" si="59"/>
        <v>9398.5602258847157</v>
      </c>
      <c r="J126" s="92">
        <f t="shared" ref="J126" si="60">SUM(J121:J125)</f>
        <v>11307.925968746333</v>
      </c>
      <c r="L126" s="92"/>
    </row>
    <row r="127" spans="1:12">
      <c r="A127" s="98" t="s">
        <v>421</v>
      </c>
      <c r="B127" s="98"/>
      <c r="C127" s="98"/>
      <c r="D127" s="99">
        <v>57.139000000000003</v>
      </c>
      <c r="E127" s="99">
        <v>711.89</v>
      </c>
      <c r="F127" s="99">
        <v>616.63599999999997</v>
      </c>
      <c r="G127" s="99">
        <v>924.80200000000002</v>
      </c>
      <c r="L127" s="99"/>
    </row>
    <row r="128" spans="1:12">
      <c r="A128" s="98" t="s">
        <v>422</v>
      </c>
      <c r="B128" s="98"/>
      <c r="C128" s="98"/>
      <c r="D128" s="99">
        <v>546.28599999999994</v>
      </c>
      <c r="E128" s="99">
        <v>523.86400000000003</v>
      </c>
      <c r="F128" s="99">
        <v>1767.634</v>
      </c>
      <c r="G128" s="99">
        <v>3017.248</v>
      </c>
      <c r="L128" s="99"/>
    </row>
    <row r="129" spans="1:12">
      <c r="A129" s="98" t="s">
        <v>423</v>
      </c>
      <c r="B129" s="98"/>
      <c r="C129" s="98"/>
      <c r="D129" s="99">
        <v>352.55099999999999</v>
      </c>
      <c r="E129" s="99">
        <v>372.15</v>
      </c>
      <c r="F129" s="99">
        <v>860.26599999999996</v>
      </c>
      <c r="G129" s="99">
        <v>1144.559</v>
      </c>
      <c r="L129" s="99"/>
    </row>
    <row r="130" spans="1:12">
      <c r="A130" s="98" t="s">
        <v>424</v>
      </c>
      <c r="B130" s="98"/>
      <c r="C130" s="98"/>
      <c r="D130" s="99">
        <v>52.991999999999997</v>
      </c>
      <c r="E130" s="99">
        <v>59.302</v>
      </c>
      <c r="F130" s="99">
        <v>115.97499999999999</v>
      </c>
      <c r="G130" s="99">
        <v>210.33</v>
      </c>
      <c r="L130" s="99"/>
    </row>
    <row r="131" spans="1:12">
      <c r="A131" s="98" t="s">
        <v>425</v>
      </c>
      <c r="B131" s="98"/>
      <c r="C131" s="98"/>
      <c r="D131" s="99">
        <v>16.751999999999999</v>
      </c>
      <c r="E131" s="99">
        <v>20.472999999999999</v>
      </c>
      <c r="F131" s="99">
        <v>14.984999999999999</v>
      </c>
      <c r="G131" s="99">
        <v>6.9489999999999998</v>
      </c>
      <c r="L131" s="99"/>
    </row>
    <row r="132" spans="1:12">
      <c r="A132" s="98" t="s">
        <v>426</v>
      </c>
      <c r="B132" s="98"/>
      <c r="C132" s="98"/>
      <c r="D132" s="99">
        <v>7.7770000000000001</v>
      </c>
      <c r="E132" s="99">
        <v>13.407</v>
      </c>
      <c r="F132" s="99">
        <v>14.557</v>
      </c>
      <c r="G132" s="99">
        <v>13.938000000000001</v>
      </c>
      <c r="L132" s="99"/>
    </row>
    <row r="133" spans="1:12">
      <c r="D133" s="134">
        <f>D134/IS!E7</f>
        <v>6.6266633922604096E-2</v>
      </c>
      <c r="E133" s="134">
        <f>E134/IS!F7</f>
        <v>5.7308871659746033E-2</v>
      </c>
      <c r="F133" s="134">
        <f>F134/IS!G7</f>
        <v>9.4788539224177945E-2</v>
      </c>
      <c r="G133" s="134">
        <f>G134/IS!H7</f>
        <v>9.365471023776592E-2</v>
      </c>
      <c r="H133" s="134">
        <f>H134/IS!I7</f>
        <v>7.1921582019316158E-2</v>
      </c>
      <c r="I133" s="134">
        <f>I134/IS!J7</f>
        <v>6.138723778839611E-2</v>
      </c>
      <c r="J133" s="134">
        <f>J134/IS!K7</f>
        <v>5.2980360916437479E-2</v>
      </c>
      <c r="L133" s="134"/>
    </row>
    <row r="134" spans="1:12">
      <c r="A134" s="110" t="s">
        <v>427</v>
      </c>
      <c r="B134" s="110"/>
      <c r="C134" s="110"/>
      <c r="D134" s="92">
        <f>SUM(D136:D141)</f>
        <v>685.92499999999995</v>
      </c>
      <c r="E134" s="92">
        <f>SUM(E136:E141)</f>
        <v>778.00100000000009</v>
      </c>
      <c r="F134" s="92">
        <f>SUM(F136:F141)</f>
        <v>1924.4409999999998</v>
      </c>
      <c r="G134" s="92">
        <f>SUM(G136:G141)</f>
        <v>2325.3409999999999</v>
      </c>
      <c r="H134" s="92">
        <f t="shared" ref="H134:J134" si="61">G134*(1+H135)</f>
        <v>2325.3409999999999</v>
      </c>
      <c r="I134" s="92">
        <f t="shared" si="61"/>
        <v>2325.3409999999999</v>
      </c>
      <c r="J134" s="92">
        <f t="shared" si="61"/>
        <v>2325.3409999999999</v>
      </c>
      <c r="L134" s="92"/>
    </row>
    <row r="135" spans="1:12">
      <c r="A135" s="183" t="s">
        <v>428</v>
      </c>
      <c r="B135" s="183"/>
      <c r="C135" s="183"/>
      <c r="E135" s="78">
        <f>E134/D134-1</f>
        <v>0.13423625031891273</v>
      </c>
      <c r="F135" s="78">
        <f>F134/E134-1</f>
        <v>1.4735713707308853</v>
      </c>
      <c r="G135" s="78">
        <f>G134/F134-1</f>
        <v>0.20832023429141255</v>
      </c>
      <c r="H135" s="146">
        <v>0</v>
      </c>
      <c r="I135" s="146">
        <v>0</v>
      </c>
      <c r="J135" s="146">
        <v>0</v>
      </c>
      <c r="L135" s="78"/>
    </row>
    <row r="136" spans="1:12">
      <c r="A136" s="77" t="s">
        <v>421</v>
      </c>
      <c r="D136" s="99">
        <v>301.58699999999999</v>
      </c>
      <c r="E136" s="99">
        <v>700.54300000000001</v>
      </c>
      <c r="F136" s="99">
        <v>1778.7149999999999</v>
      </c>
      <c r="G136" s="99">
        <v>2089.2109999999998</v>
      </c>
      <c r="L136" s="99"/>
    </row>
    <row r="137" spans="1:12">
      <c r="A137" s="77" t="s">
        <v>429</v>
      </c>
      <c r="D137" s="99">
        <v>33.585999999999999</v>
      </c>
      <c r="E137" s="99">
        <v>0.44500000000000001</v>
      </c>
      <c r="F137" s="99">
        <v>41.465000000000003</v>
      </c>
      <c r="G137" s="99">
        <v>66.704999999999998</v>
      </c>
      <c r="L137" s="99"/>
    </row>
    <row r="138" spans="1:12">
      <c r="A138" s="77" t="s">
        <v>423</v>
      </c>
      <c r="D138" s="99">
        <v>309.80900000000003</v>
      </c>
      <c r="E138" s="99">
        <v>23.146000000000001</v>
      </c>
      <c r="F138" s="99">
        <v>70.311000000000007</v>
      </c>
      <c r="G138" s="99">
        <v>107.026</v>
      </c>
      <c r="L138" s="99"/>
    </row>
    <row r="139" spans="1:12">
      <c r="A139" s="77" t="s">
        <v>424</v>
      </c>
      <c r="D139" s="99">
        <v>22.632000000000001</v>
      </c>
      <c r="E139" s="99">
        <v>28.341000000000001</v>
      </c>
      <c r="F139" s="99">
        <v>19.940999999999999</v>
      </c>
      <c r="G139" s="99">
        <v>37.558999999999997</v>
      </c>
      <c r="L139" s="99"/>
    </row>
    <row r="140" spans="1:12">
      <c r="A140" s="77" t="s">
        <v>425</v>
      </c>
      <c r="D140" s="99">
        <v>11.464</v>
      </c>
      <c r="E140" s="99">
        <v>16.373999999999999</v>
      </c>
      <c r="F140" s="99">
        <v>8.8140000000000001</v>
      </c>
      <c r="G140" s="99">
        <v>21.058</v>
      </c>
      <c r="L140" s="99"/>
    </row>
    <row r="141" spans="1:12">
      <c r="A141" s="77" t="s">
        <v>426</v>
      </c>
      <c r="D141" s="99">
        <v>6.8470000000000004</v>
      </c>
      <c r="E141" s="99">
        <v>9.1519999999999992</v>
      </c>
      <c r="F141" s="99">
        <v>5.1950000000000003</v>
      </c>
      <c r="G141" s="99">
        <v>3.782</v>
      </c>
      <c r="L141" s="99"/>
    </row>
    <row r="143" spans="1:12">
      <c r="A143" s="110" t="s">
        <v>430</v>
      </c>
      <c r="B143" s="110"/>
      <c r="C143" s="110"/>
      <c r="E143" s="176">
        <f>AVERAGE(D121:E121)/E151</f>
        <v>-6.9172870572595198</v>
      </c>
      <c r="F143" s="176">
        <f>AVERAGE(E121:F121)/F151</f>
        <v>-8.5187378507700746</v>
      </c>
      <c r="G143" s="176">
        <f t="shared" ref="G143:J143" si="62">AVERAGE(F121:G121)/G151</f>
        <v>-8.084073016669473</v>
      </c>
      <c r="H143" s="176">
        <f t="shared" si="62"/>
        <v>-20.875253534180615</v>
      </c>
      <c r="I143" s="176">
        <f t="shared" si="62"/>
        <v>-17.644144147927989</v>
      </c>
      <c r="J143" s="176">
        <f t="shared" si="62"/>
        <v>-20.233364266348108</v>
      </c>
      <c r="L143" s="176"/>
    </row>
    <row r="144" spans="1:12">
      <c r="A144" s="77" t="s">
        <v>429</v>
      </c>
      <c r="E144" s="138"/>
      <c r="F144" s="138"/>
      <c r="G144" s="138"/>
      <c r="L144" s="138"/>
    </row>
    <row r="145" spans="1:12">
      <c r="A145" s="77" t="s">
        <v>425</v>
      </c>
      <c r="E145" s="138">
        <f t="shared" ref="E145:G149" si="63">AVERAGE(D128:E128)/E153</f>
        <v>-22.293862755718511</v>
      </c>
      <c r="F145" s="138">
        <f t="shared" si="63"/>
        <v>-26.003109255140487</v>
      </c>
      <c r="G145" s="138">
        <f t="shared" si="63"/>
        <v>-22.213936861652737</v>
      </c>
      <c r="L145" s="138"/>
    </row>
    <row r="146" spans="1:12">
      <c r="A146" s="77" t="s">
        <v>423</v>
      </c>
      <c r="E146" s="138">
        <f t="shared" si="63"/>
        <v>-8.5176770644789741</v>
      </c>
      <c r="F146" s="138">
        <f t="shared" si="63"/>
        <v>-9.995912143529182</v>
      </c>
      <c r="G146" s="138">
        <f t="shared" si="63"/>
        <v>-8.24766124453879</v>
      </c>
      <c r="L146" s="138"/>
    </row>
    <row r="147" spans="1:12">
      <c r="A147" s="77" t="s">
        <v>426</v>
      </c>
      <c r="E147" s="138">
        <f t="shared" si="63"/>
        <v>-2.4648579832301682</v>
      </c>
      <c r="F147" s="138">
        <f t="shared" si="63"/>
        <v>-2.718315756823821</v>
      </c>
      <c r="G147" s="138">
        <f t="shared" si="63"/>
        <v>-3.4240487733215805</v>
      </c>
      <c r="L147" s="138"/>
    </row>
    <row r="148" spans="1:12">
      <c r="A148" s="77" t="s">
        <v>424</v>
      </c>
      <c r="E148" s="138">
        <f t="shared" si="63"/>
        <v>-1.4709950209436495</v>
      </c>
      <c r="F148" s="138">
        <f t="shared" si="63"/>
        <v>-0.96900961958898124</v>
      </c>
      <c r="G148" s="138">
        <f t="shared" si="63"/>
        <v>-0.31074150681438245</v>
      </c>
      <c r="L148" s="138"/>
    </row>
    <row r="149" spans="1:12">
      <c r="A149" s="77" t="s">
        <v>421</v>
      </c>
      <c r="E149" s="138">
        <f t="shared" si="63"/>
        <v>-3.1750599520383695</v>
      </c>
      <c r="F149" s="138">
        <f t="shared" si="63"/>
        <v>-3.2821596244131457</v>
      </c>
      <c r="G149" s="138">
        <f t="shared" si="63"/>
        <v>-5.2651515151515156</v>
      </c>
      <c r="L149" s="138"/>
    </row>
    <row r="151" spans="1:12">
      <c r="A151" s="110" t="s">
        <v>431</v>
      </c>
      <c r="B151" s="110"/>
      <c r="C151" s="110"/>
      <c r="D151" s="92">
        <f>IS!E318</f>
        <v>-57.238999999999997</v>
      </c>
      <c r="E151" s="92">
        <f>IS!F318</f>
        <v>-105.31</v>
      </c>
      <c r="F151" s="92">
        <f>IS!G318</f>
        <v>-160.50399999999999</v>
      </c>
      <c r="G151" s="92">
        <f>IS!H318</f>
        <v>-314.887</v>
      </c>
      <c r="H151" s="92">
        <f>IS!I318</f>
        <v>-208.56941894722235</v>
      </c>
      <c r="I151" s="92">
        <f>IS!J318</f>
        <v>-361.37835516806115</v>
      </c>
      <c r="J151" s="92">
        <f>IS!K318</f>
        <v>-415.97525713838405</v>
      </c>
      <c r="L151" s="92"/>
    </row>
    <row r="152" spans="1:12">
      <c r="A152" s="98" t="s">
        <v>421</v>
      </c>
      <c r="B152" s="98"/>
      <c r="C152" s="98"/>
      <c r="D152" s="99"/>
    </row>
    <row r="153" spans="1:12">
      <c r="A153" s="98" t="s">
        <v>422</v>
      </c>
      <c r="B153" s="98"/>
      <c r="C153" s="98"/>
      <c r="D153" s="99">
        <v>-15.733000000000001</v>
      </c>
      <c r="E153" s="99">
        <v>-24.001000000000001</v>
      </c>
      <c r="F153" s="99">
        <v>-44.061999999999998</v>
      </c>
      <c r="G153" s="99">
        <v>-107.7</v>
      </c>
      <c r="L153" s="99"/>
    </row>
    <row r="154" spans="1:12">
      <c r="A154" s="98" t="s">
        <v>423</v>
      </c>
      <c r="B154" s="98"/>
      <c r="C154" s="98"/>
      <c r="D154" s="99">
        <v>-21.920999999999999</v>
      </c>
      <c r="E154" s="99">
        <v>-42.540999999999997</v>
      </c>
      <c r="F154" s="99">
        <v>-61.646000000000001</v>
      </c>
      <c r="G154" s="99">
        <v>-121.539</v>
      </c>
      <c r="L154" s="99"/>
    </row>
    <row r="155" spans="1:12">
      <c r="A155" s="98" t="s">
        <v>424</v>
      </c>
      <c r="B155" s="98"/>
      <c r="C155" s="98"/>
      <c r="D155" s="99">
        <v>-9.8879999999999999</v>
      </c>
      <c r="E155" s="99">
        <v>-22.779</v>
      </c>
      <c r="F155" s="99">
        <v>-32.24</v>
      </c>
      <c r="G155" s="99">
        <v>-47.649000000000001</v>
      </c>
      <c r="L155" s="99"/>
    </row>
    <row r="156" spans="1:12">
      <c r="A156" s="98" t="s">
        <v>425</v>
      </c>
      <c r="B156" s="98"/>
      <c r="C156" s="98"/>
      <c r="D156" s="99">
        <v>-7.6079999999999997</v>
      </c>
      <c r="E156" s="99">
        <v>-12.653</v>
      </c>
      <c r="F156" s="99">
        <v>-18.295999999999999</v>
      </c>
      <c r="G156" s="99">
        <v>-35.292999999999999</v>
      </c>
      <c r="L156" s="99"/>
    </row>
    <row r="157" spans="1:12">
      <c r="A157" s="98" t="s">
        <v>426</v>
      </c>
      <c r="B157" s="98"/>
      <c r="C157" s="98"/>
      <c r="D157" s="99">
        <v>-2.089</v>
      </c>
      <c r="E157" s="99">
        <v>-3.3359999999999999</v>
      </c>
      <c r="F157" s="99">
        <v>-4.26</v>
      </c>
      <c r="G157" s="99">
        <v>-2.706</v>
      </c>
      <c r="L157" s="99"/>
    </row>
    <row r="159" spans="1:12">
      <c r="A159" s="147" t="s">
        <v>432</v>
      </c>
      <c r="B159" s="147"/>
      <c r="C159" s="147"/>
      <c r="D159" s="302"/>
      <c r="E159" s="302"/>
      <c r="F159" s="302"/>
      <c r="G159" s="302"/>
      <c r="H159" s="302"/>
      <c r="I159" s="302"/>
      <c r="J159" s="302"/>
      <c r="L159" s="302"/>
    </row>
    <row r="160" spans="1:12">
      <c r="A160" s="110" t="s">
        <v>433</v>
      </c>
      <c r="B160" s="110"/>
      <c r="C160" s="110"/>
      <c r="D160" s="92">
        <v>101.188</v>
      </c>
      <c r="E160" s="92">
        <f>D16</f>
        <v>166.03100000000001</v>
      </c>
      <c r="F160" s="92">
        <f>E16</f>
        <v>445.56</v>
      </c>
      <c r="G160" s="92">
        <f>F16</f>
        <v>426.98599999999999</v>
      </c>
      <c r="H160" s="92">
        <f t="shared" ref="H160:J160" si="64">G164</f>
        <v>382.18900000000002</v>
      </c>
      <c r="I160" s="92">
        <f t="shared" si="64"/>
        <v>340.3870787229414</v>
      </c>
      <c r="J160" s="92">
        <f t="shared" si="64"/>
        <v>285.15739095661814</v>
      </c>
      <c r="L160" s="92"/>
    </row>
    <row r="161" spans="1:12">
      <c r="A161" s="77" t="s">
        <v>417</v>
      </c>
      <c r="D161" s="99">
        <v>107.455</v>
      </c>
      <c r="E161" s="99">
        <v>379.47699999999998</v>
      </c>
      <c r="F161" s="99">
        <v>94.141000000000005</v>
      </c>
      <c r="G161" s="99">
        <v>79.405000000000001</v>
      </c>
      <c r="H161" s="100">
        <f t="shared" ref="H161:J161" si="65">G161*(1+H166)</f>
        <v>87.345500000000001</v>
      </c>
      <c r="I161" s="100">
        <f t="shared" si="65"/>
        <v>96.080050000000014</v>
      </c>
      <c r="J161" s="100">
        <f t="shared" si="65"/>
        <v>115.29606000000001</v>
      </c>
      <c r="L161" s="99"/>
    </row>
    <row r="162" spans="1:12">
      <c r="A162" s="77" t="s">
        <v>418</v>
      </c>
      <c r="D162" s="100">
        <f>IS!E322</f>
        <v>-42.363</v>
      </c>
      <c r="E162" s="100">
        <f>IS!F322</f>
        <v>-75.781999999999996</v>
      </c>
      <c r="F162" s="100">
        <f>IS!G322</f>
        <v>-103.47199999999999</v>
      </c>
      <c r="G162" s="100">
        <f>IS!H322</f>
        <v>-99.177999999999997</v>
      </c>
      <c r="H162" s="100">
        <f>IS!I322</f>
        <v>-129.14742127705861</v>
      </c>
      <c r="I162" s="100">
        <f>IS!J322</f>
        <v>-151.30973776632328</v>
      </c>
      <c r="J162" s="100">
        <f>IS!K322</f>
        <v>-175.31943330116761</v>
      </c>
      <c r="L162" s="100"/>
    </row>
    <row r="163" spans="1:12">
      <c r="A163" s="77" t="s">
        <v>109</v>
      </c>
      <c r="D163" s="100">
        <f>D164-D160-D161-D162</f>
        <v>-0.24899999999999523</v>
      </c>
      <c r="E163" s="100">
        <f>E164-E160-E161-E162</f>
        <v>-24.165999999999983</v>
      </c>
      <c r="F163" s="100">
        <f>F164-F160-F161-F162</f>
        <v>-9.2430000000000234</v>
      </c>
      <c r="G163" s="100">
        <f>G164-G160-G161-G162</f>
        <v>-25.023999999999972</v>
      </c>
      <c r="H163" s="169">
        <v>0</v>
      </c>
      <c r="I163" s="169">
        <v>0</v>
      </c>
      <c r="J163" s="169">
        <v>0</v>
      </c>
      <c r="L163" s="100"/>
    </row>
    <row r="164" spans="1:12">
      <c r="A164" s="110" t="s">
        <v>434</v>
      </c>
      <c r="B164" s="110"/>
      <c r="C164" s="110"/>
      <c r="D164" s="92">
        <f>D16</f>
        <v>166.03100000000001</v>
      </c>
      <c r="E164" s="92">
        <f>E16</f>
        <v>445.56</v>
      </c>
      <c r="F164" s="92">
        <f>F16</f>
        <v>426.98599999999999</v>
      </c>
      <c r="G164" s="92">
        <f>G16</f>
        <v>382.18900000000002</v>
      </c>
      <c r="H164" s="92">
        <f t="shared" ref="H164:I164" si="66">SUM(H160:H163)</f>
        <v>340.3870787229414</v>
      </c>
      <c r="I164" s="92">
        <f t="shared" si="66"/>
        <v>285.15739095661814</v>
      </c>
      <c r="J164" s="92">
        <f t="shared" ref="J164" si="67">SUM(J160:J163)</f>
        <v>225.13401765545055</v>
      </c>
      <c r="L164" s="92"/>
    </row>
    <row r="166" spans="1:12">
      <c r="A166" s="110" t="s">
        <v>435</v>
      </c>
      <c r="B166" s="110"/>
      <c r="C166" s="110"/>
      <c r="E166" s="78">
        <f>E161/D161-1</f>
        <v>2.5314969056814478</v>
      </c>
      <c r="F166" s="78">
        <f>F161/E161-1</f>
        <v>-0.75191908864041823</v>
      </c>
      <c r="G166" s="78">
        <f>G161/F161-1</f>
        <v>-0.15653116070574991</v>
      </c>
      <c r="H166" s="146">
        <v>0.1</v>
      </c>
      <c r="I166" s="146">
        <v>0.1</v>
      </c>
      <c r="J166" s="146">
        <v>0.2</v>
      </c>
      <c r="L166" s="78"/>
    </row>
    <row r="167" spans="1:12">
      <c r="A167" s="110" t="s">
        <v>430</v>
      </c>
      <c r="B167" s="110"/>
      <c r="C167" s="110"/>
      <c r="E167" s="176">
        <f>AVERAGE(D160:E160)/E162</f>
        <v>-1.7630769839803648</v>
      </c>
      <c r="F167" s="176">
        <f>AVERAGE(E160:F160)/F162</f>
        <v>-2.9553454074532244</v>
      </c>
      <c r="G167" s="176">
        <f t="shared" ref="G167:J167" si="68">AVERAGE(F160:G160)/G162</f>
        <v>-4.3988888664824861</v>
      </c>
      <c r="H167" s="176">
        <f t="shared" si="68"/>
        <v>-3.1327570926255093</v>
      </c>
      <c r="I167" s="176">
        <f t="shared" si="68"/>
        <v>-2.3877381898541756</v>
      </c>
      <c r="J167" s="176">
        <f t="shared" si="68"/>
        <v>-1.7840134943996353</v>
      </c>
      <c r="L167" s="176"/>
    </row>
    <row r="169" spans="1:12">
      <c r="A169" s="147" t="s">
        <v>436</v>
      </c>
      <c r="B169" s="147"/>
      <c r="C169" s="147"/>
      <c r="D169" s="302"/>
      <c r="E169" s="302"/>
      <c r="F169" s="302"/>
      <c r="G169" s="302"/>
      <c r="H169" s="302"/>
      <c r="I169" s="302"/>
      <c r="J169" s="302"/>
      <c r="L169" s="302"/>
    </row>
    <row r="170" spans="1:12">
      <c r="A170" s="110" t="s">
        <v>437</v>
      </c>
      <c r="B170" s="110"/>
      <c r="C170" s="110"/>
      <c r="D170" s="92">
        <v>4.47</v>
      </c>
      <c r="E170" s="92">
        <f>D174</f>
        <v>9.0289999999999999</v>
      </c>
      <c r="F170" s="92">
        <f>E174</f>
        <v>20.591000000000001</v>
      </c>
      <c r="G170" s="92">
        <f t="shared" ref="G170:J170" si="69">F174</f>
        <v>25.623999999999999</v>
      </c>
      <c r="H170" s="92">
        <f t="shared" si="69"/>
        <v>41.963999999999999</v>
      </c>
      <c r="I170" s="92">
        <f t="shared" si="69"/>
        <v>53.673999999999999</v>
      </c>
      <c r="J170" s="92">
        <f t="shared" si="69"/>
        <v>65.384</v>
      </c>
      <c r="L170" s="92"/>
    </row>
    <row r="171" spans="1:12">
      <c r="A171" s="77" t="s">
        <v>438</v>
      </c>
      <c r="D171" s="99">
        <v>5.7560000000000002</v>
      </c>
      <c r="E171" s="99">
        <v>10.79</v>
      </c>
      <c r="F171" s="99">
        <v>5.6139999999999999</v>
      </c>
      <c r="G171" s="99">
        <v>17</v>
      </c>
      <c r="H171" s="237">
        <f t="shared" ref="H171:J172" si="70">G171</f>
        <v>17</v>
      </c>
      <c r="I171" s="237">
        <f t="shared" si="70"/>
        <v>17</v>
      </c>
      <c r="J171" s="237">
        <f t="shared" si="70"/>
        <v>17</v>
      </c>
      <c r="L171" s="99"/>
    </row>
    <row r="172" spans="1:12">
      <c r="A172" s="77" t="s">
        <v>439</v>
      </c>
      <c r="D172" s="112">
        <f>IS!E240</f>
        <v>-1.1970000000000001</v>
      </c>
      <c r="E172" s="112">
        <f>IS!F240</f>
        <v>-2.6720000000000002</v>
      </c>
      <c r="F172" s="112">
        <f>IS!G240</f>
        <v>-3.8</v>
      </c>
      <c r="G172" s="112">
        <f>IS!H240</f>
        <v>-5.29</v>
      </c>
      <c r="H172" s="237">
        <f t="shared" si="70"/>
        <v>-5.29</v>
      </c>
      <c r="I172" s="237">
        <f t="shared" si="70"/>
        <v>-5.29</v>
      </c>
      <c r="J172" s="237">
        <f t="shared" si="70"/>
        <v>-5.29</v>
      </c>
      <c r="L172" s="112"/>
    </row>
    <row r="173" spans="1:12">
      <c r="A173" s="77" t="s">
        <v>109</v>
      </c>
      <c r="D173" s="100">
        <f>D174-D170-D171-D172</f>
        <v>0</v>
      </c>
      <c r="E173" s="100">
        <f>E174-E170-E171-E172</f>
        <v>3.4440000000000022</v>
      </c>
      <c r="F173" s="100">
        <f>F174-F170-F171-F172</f>
        <v>3.2189999999999976</v>
      </c>
      <c r="G173" s="100">
        <f>G174-G170-G171-G172</f>
        <v>4.63</v>
      </c>
      <c r="L173" s="100"/>
    </row>
    <row r="174" spans="1:12">
      <c r="A174" s="110" t="s">
        <v>440</v>
      </c>
      <c r="B174" s="110"/>
      <c r="C174" s="110"/>
      <c r="D174" s="92">
        <f>D17</f>
        <v>9.0289999999999999</v>
      </c>
      <c r="E174" s="92">
        <f>E17</f>
        <v>20.591000000000001</v>
      </c>
      <c r="F174" s="92">
        <f>F17</f>
        <v>25.623999999999999</v>
      </c>
      <c r="G174" s="92">
        <f>G17</f>
        <v>41.963999999999999</v>
      </c>
      <c r="H174" s="92">
        <f t="shared" ref="H174:I174" si="71">SUM(H170:H173)</f>
        <v>53.673999999999999</v>
      </c>
      <c r="I174" s="92">
        <f t="shared" si="71"/>
        <v>65.384</v>
      </c>
      <c r="J174" s="92">
        <f t="shared" ref="J174" si="72">SUM(J170:J173)</f>
        <v>77.093999999999994</v>
      </c>
      <c r="L174" s="92"/>
    </row>
    <row r="176" spans="1:12">
      <c r="A176" s="147" t="s">
        <v>441</v>
      </c>
      <c r="B176" s="147"/>
      <c r="C176" s="147"/>
      <c r="D176" s="302"/>
      <c r="E176" s="302"/>
      <c r="F176" s="302"/>
      <c r="G176" s="302"/>
      <c r="H176" s="302"/>
      <c r="I176" s="302"/>
      <c r="J176" s="302"/>
      <c r="L176" s="302"/>
    </row>
    <row r="177" spans="1:12">
      <c r="A177" s="310" t="s">
        <v>442</v>
      </c>
      <c r="B177" s="310"/>
      <c r="C177" s="310"/>
      <c r="D177" s="91">
        <f xml:space="preserve"> 2591.473-107.936</f>
        <v>2483.5369999999998</v>
      </c>
      <c r="E177" s="92">
        <f>D181</f>
        <v>5177.3509999999997</v>
      </c>
      <c r="F177" s="92">
        <f>E181</f>
        <v>7094.2969999999996</v>
      </c>
      <c r="G177" s="92">
        <f t="shared" ref="G177:J177" si="73">F181</f>
        <v>10146.993</v>
      </c>
      <c r="H177" s="92">
        <f t="shared" si="73"/>
        <v>14595.519</v>
      </c>
      <c r="I177" s="92">
        <f t="shared" si="73"/>
        <v>20116.297979127303</v>
      </c>
      <c r="J177" s="92">
        <f t="shared" si="73"/>
        <v>26666.361008645403</v>
      </c>
      <c r="L177" s="92"/>
    </row>
    <row r="178" spans="1:12">
      <c r="A178" s="311" t="s">
        <v>443</v>
      </c>
      <c r="B178" s="311"/>
      <c r="C178" s="311"/>
      <c r="D178" s="112">
        <f>IS!E34</f>
        <v>1910.3610000000003</v>
      </c>
      <c r="E178" s="100">
        <f>IS!F34</f>
        <v>1996.7149999999997</v>
      </c>
      <c r="F178" s="100">
        <f>IS!G34</f>
        <v>3137.3410000000003</v>
      </c>
      <c r="G178" s="100">
        <f>IS!H34</f>
        <v>4436.503999999999</v>
      </c>
      <c r="H178" s="100">
        <f>IS!I34</f>
        <v>5652.9476549347146</v>
      </c>
      <c r="I178" s="100">
        <f>IS!J34</f>
        <v>6704.3940218147745</v>
      </c>
      <c r="J178" s="100">
        <f>IS!K34</f>
        <v>7914.5537922070635</v>
      </c>
      <c r="L178" s="100"/>
    </row>
    <row r="179" spans="1:12">
      <c r="A179" s="311" t="s">
        <v>444</v>
      </c>
      <c r="B179" s="311"/>
      <c r="C179" s="311"/>
      <c r="D179" s="99">
        <v>-104.4</v>
      </c>
      <c r="E179" s="99">
        <v>-104.4</v>
      </c>
      <c r="F179" s="99">
        <v>-100</v>
      </c>
      <c r="G179" s="99">
        <v>0</v>
      </c>
      <c r="H179" s="100">
        <f>-IS!H58</f>
        <v>0</v>
      </c>
      <c r="I179" s="100">
        <f>-IS!I58</f>
        <v>0</v>
      </c>
      <c r="J179" s="100">
        <f>-IS!J58</f>
        <v>0</v>
      </c>
      <c r="L179" s="99"/>
    </row>
    <row r="180" spans="1:12">
      <c r="A180" s="311" t="s">
        <v>109</v>
      </c>
      <c r="B180" s="311"/>
      <c r="C180" s="311"/>
      <c r="D180" s="100">
        <f>D181-SUM(D177:D179)</f>
        <v>887.85299999999916</v>
      </c>
      <c r="E180" s="100">
        <f>E181-SUM(E177:E179)</f>
        <v>24.631000000000313</v>
      </c>
      <c r="F180" s="100">
        <f>F181-SUM(F177:F179)</f>
        <v>15.355000000001382</v>
      </c>
      <c r="G180" s="100">
        <f>G181-SUM(G177:G179)</f>
        <v>12.022000000000844</v>
      </c>
      <c r="H180" s="312">
        <f>CF!H54+CF!H55</f>
        <v>-132.16867580741257</v>
      </c>
      <c r="I180" s="312">
        <f>CF!I54+CF!I55</f>
        <v>-154.33099229667724</v>
      </c>
      <c r="J180" s="312">
        <f>CF!J54+CF!J55</f>
        <v>-178.34068783152156</v>
      </c>
      <c r="L180" s="100"/>
    </row>
    <row r="181" spans="1:12">
      <c r="A181" s="310" t="s">
        <v>445</v>
      </c>
      <c r="B181" s="310"/>
      <c r="C181" s="310"/>
      <c r="D181" s="92">
        <f>D52</f>
        <v>5177.3509999999997</v>
      </c>
      <c r="E181" s="92">
        <f>E52</f>
        <v>7094.2969999999996</v>
      </c>
      <c r="F181" s="92">
        <f>F52</f>
        <v>10146.993</v>
      </c>
      <c r="G181" s="92">
        <f>G52</f>
        <v>14595.519</v>
      </c>
      <c r="H181" s="92">
        <f t="shared" ref="H181:I181" si="74">SUM(H177:H180)</f>
        <v>20116.297979127303</v>
      </c>
      <c r="I181" s="92">
        <f t="shared" si="74"/>
        <v>26666.361008645403</v>
      </c>
      <c r="J181" s="92">
        <f t="shared" ref="J181" si="75">SUM(J177:J180)</f>
        <v>34402.574113020943</v>
      </c>
      <c r="L181" s="92"/>
    </row>
    <row r="184" spans="1:12">
      <c r="A184" s="77" t="s">
        <v>446</v>
      </c>
      <c r="D184" s="100">
        <f>D8+D9+D10+D21</f>
        <v>3637.9290000000001</v>
      </c>
      <c r="E184" s="100">
        <f t="shared" ref="E184:I184" si="76">E8+E9+E10+E21</f>
        <v>4694.96</v>
      </c>
      <c r="F184" s="100">
        <f>F8+F9+F10+F21</f>
        <v>6783.5700000000006</v>
      </c>
      <c r="G184" s="100">
        <f>G8+G9+G10+G21</f>
        <v>11109.495999999999</v>
      </c>
      <c r="H184" s="100">
        <f t="shared" si="76"/>
        <v>17556.919901577643</v>
      </c>
      <c r="I184" s="100">
        <f t="shared" si="76"/>
        <v>23315.494689609754</v>
      </c>
      <c r="J184" s="100">
        <f t="shared" ref="J184" si="77">J8+J9+J10</f>
        <v>26876.42998654196</v>
      </c>
      <c r="L184" s="100"/>
    </row>
    <row r="186" spans="1:12">
      <c r="A186" s="77" t="s">
        <v>447</v>
      </c>
      <c r="D186" s="313">
        <v>-97.283000000000001</v>
      </c>
      <c r="E186" s="313">
        <v>-199.77600000000001</v>
      </c>
      <c r="F186" s="313">
        <v>-424.488</v>
      </c>
      <c r="G186" s="313">
        <f>F186+G123</f>
        <v>-739.375</v>
      </c>
      <c r="H186" s="127">
        <f t="shared" ref="H186:J186" si="78">G186+H123</f>
        <v>-947.9444189472224</v>
      </c>
      <c r="I186" s="127">
        <f t="shared" si="78"/>
        <v>-1309.3227741152837</v>
      </c>
      <c r="J186" s="127">
        <f t="shared" si="78"/>
        <v>-1725.2980312536677</v>
      </c>
      <c r="L186" s="313"/>
    </row>
    <row r="187" spans="1:12">
      <c r="A187" s="77" t="s">
        <v>448</v>
      </c>
      <c r="D187" s="313">
        <v>-2.5840000000000001</v>
      </c>
      <c r="E187" s="313">
        <v>-5.2460000000000004</v>
      </c>
      <c r="F187" s="313">
        <v>-9.0459999999999994</v>
      </c>
      <c r="G187" s="313">
        <f>F187+G172</f>
        <v>-14.335999999999999</v>
      </c>
      <c r="H187" s="127">
        <f t="shared" ref="H187:J187" si="79">G187+H172</f>
        <v>-19.625999999999998</v>
      </c>
      <c r="I187" s="127">
        <f t="shared" si="79"/>
        <v>-24.915999999999997</v>
      </c>
      <c r="J187" s="127">
        <f t="shared" si="79"/>
        <v>-30.205999999999996</v>
      </c>
      <c r="L187" s="313"/>
    </row>
  </sheetData>
  <pageMargins left="0.7" right="0.7" top="0.75" bottom="0.75" header="0.3" footer="0.3"/>
  <pageSetup paperSize="9" orientation="portrait" horizontalDpi="300" verticalDpi="300" r:id="rId1"/>
  <customProperties>
    <customPr name="Qube.Worksheet.Visibility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B8A5-5135-4C04-8EAC-9A308DEFFB70}">
  <sheetPr>
    <tabColor theme="7"/>
  </sheetPr>
  <dimension ref="A1:J73"/>
  <sheetViews>
    <sheetView showOutlineSymbols="0" showWhiteSpace="0" zoomScaleNormal="100" workbookViewId="0">
      <pane xSplit="3" ySplit="2" topLeftCell="D30" activePane="bottomRight" state="frozen"/>
      <selection activeCell="J21" sqref="J21"/>
      <selection pane="topRight" activeCell="J21" sqref="J21"/>
      <selection pane="bottomLeft" activeCell="J21" sqref="J21"/>
      <selection pane="bottomRight" activeCell="G63" sqref="E63:G63"/>
    </sheetView>
  </sheetViews>
  <sheetFormatPr defaultColWidth="9.140625" defaultRowHeight="12.75" outlineLevelRow="3" outlineLevelCol="1"/>
  <cols>
    <col min="1" max="1" width="81.42578125" style="77" bestFit="1" customWidth="1"/>
    <col min="2" max="3" width="9.5703125" style="77" hidden="1" customWidth="1" outlineLevel="1"/>
    <col min="4" max="4" width="9.140625" style="77" collapsed="1"/>
    <col min="5" max="9" width="9.140625" style="77"/>
    <col min="10" max="10" width="9.140625" style="77" customWidth="1" outlineLevel="1"/>
    <col min="11" max="16384" width="9.140625" style="77"/>
  </cols>
  <sheetData>
    <row r="1" spans="1:10">
      <c r="A1" s="79" t="s">
        <v>33</v>
      </c>
      <c r="B1" s="79"/>
      <c r="C1" s="79"/>
      <c r="D1" s="80">
        <v>44561</v>
      </c>
      <c r="E1" s="80">
        <v>44926</v>
      </c>
      <c r="F1" s="80">
        <v>45291</v>
      </c>
      <c r="G1" s="80">
        <v>45657</v>
      </c>
      <c r="H1" s="81">
        <v>46022</v>
      </c>
      <c r="I1" s="81">
        <v>46387</v>
      </c>
      <c r="J1" s="81">
        <v>46387</v>
      </c>
    </row>
    <row r="2" spans="1:10">
      <c r="A2" s="84" t="s">
        <v>35</v>
      </c>
      <c r="B2" s="84"/>
      <c r="C2" s="84"/>
      <c r="D2" s="85">
        <v>2021</v>
      </c>
      <c r="E2" s="85">
        <v>2022</v>
      </c>
      <c r="F2" s="85">
        <v>2023</v>
      </c>
      <c r="G2" s="85">
        <v>2024</v>
      </c>
      <c r="H2" s="86" t="s">
        <v>36</v>
      </c>
      <c r="I2" s="86" t="s">
        <v>37</v>
      </c>
      <c r="J2" s="86" t="s">
        <v>38</v>
      </c>
    </row>
    <row r="3" spans="1:10">
      <c r="A3" s="88" t="s">
        <v>449</v>
      </c>
      <c r="B3" s="88"/>
      <c r="C3" s="88"/>
      <c r="D3" s="89"/>
      <c r="E3" s="89"/>
      <c r="F3" s="89"/>
      <c r="G3" s="89"/>
      <c r="H3" s="89"/>
      <c r="I3" s="89"/>
      <c r="J3" s="89"/>
    </row>
    <row r="4" spans="1:10">
      <c r="A4" s="314" t="s">
        <v>450</v>
      </c>
      <c r="B4" s="314"/>
      <c r="C4" s="314"/>
      <c r="D4" s="314"/>
      <c r="E4" s="314"/>
      <c r="F4" s="314"/>
      <c r="G4" s="314"/>
      <c r="H4" s="314"/>
      <c r="I4" s="314"/>
      <c r="J4" s="314"/>
    </row>
    <row r="5" spans="1:10">
      <c r="A5" s="110" t="s">
        <v>55</v>
      </c>
      <c r="B5" s="110"/>
      <c r="C5" s="110"/>
      <c r="D5" s="92">
        <f>IS!E29</f>
        <v>2558.8740000000003</v>
      </c>
      <c r="E5" s="92">
        <f>IS!F29</f>
        <v>2658.0429999999997</v>
      </c>
      <c r="F5" s="92">
        <f>IS!G29</f>
        <v>4154.0020000000004</v>
      </c>
      <c r="G5" s="92">
        <f>IS!H29</f>
        <v>5810.5829999999987</v>
      </c>
      <c r="H5" s="92">
        <f>IS!I29</f>
        <v>7439.5914810468948</v>
      </c>
      <c r="I5" s="92">
        <f>IS!J29</f>
        <v>8817.0613093080428</v>
      </c>
      <c r="J5" s="92">
        <f>IS!K29</f>
        <v>10404.435713080231</v>
      </c>
    </row>
    <row r="6" spans="1:10">
      <c r="A6" s="98" t="s">
        <v>51</v>
      </c>
      <c r="B6" s="98"/>
      <c r="C6" s="98"/>
      <c r="D6" s="99">
        <v>5.9729999999999999</v>
      </c>
      <c r="E6" s="99">
        <v>9.19</v>
      </c>
      <c r="F6" s="99">
        <v>14.696999999999999</v>
      </c>
      <c r="G6" s="99">
        <v>6.367</v>
      </c>
      <c r="H6" s="111">
        <f>-IS!I24</f>
        <v>3.0212545303539642</v>
      </c>
      <c r="I6" s="111">
        <f>-IS!J24</f>
        <v>3.0212545303539642</v>
      </c>
      <c r="J6" s="111">
        <f>-IS!K24</f>
        <v>3.0212545303539642</v>
      </c>
    </row>
    <row r="7" spans="1:10">
      <c r="A7" s="98" t="s">
        <v>451</v>
      </c>
      <c r="B7" s="98"/>
      <c r="C7" s="98"/>
      <c r="D7" s="99">
        <v>0</v>
      </c>
      <c r="E7" s="99">
        <v>0.18</v>
      </c>
      <c r="F7" s="99">
        <v>-0.19600000000000001</v>
      </c>
      <c r="G7" s="99">
        <v>3.016</v>
      </c>
      <c r="H7" s="111">
        <f>-IS!I27</f>
        <v>0</v>
      </c>
      <c r="I7" s="111">
        <f>-IS!J27</f>
        <v>0</v>
      </c>
      <c r="J7" s="111">
        <f>-IS!K27</f>
        <v>0</v>
      </c>
    </row>
    <row r="8" spans="1:10">
      <c r="A8" s="98" t="s">
        <v>452</v>
      </c>
      <c r="B8" s="98"/>
      <c r="C8" s="98"/>
      <c r="D8" s="99">
        <v>0</v>
      </c>
      <c r="E8" s="99">
        <v>0</v>
      </c>
      <c r="F8" s="99">
        <v>-1.272</v>
      </c>
      <c r="G8" s="99">
        <v>0</v>
      </c>
      <c r="H8" s="111"/>
      <c r="I8" s="111"/>
      <c r="J8" s="111"/>
    </row>
    <row r="9" spans="1:10">
      <c r="A9" s="98" t="s">
        <v>112</v>
      </c>
      <c r="B9" s="98"/>
      <c r="C9" s="98"/>
      <c r="D9" s="99">
        <v>-38.220999999999997</v>
      </c>
      <c r="E9" s="99">
        <v>-44.322000000000003</v>
      </c>
      <c r="F9" s="99">
        <v>-53.801000000000002</v>
      </c>
      <c r="G9" s="99">
        <v>-107.015</v>
      </c>
      <c r="H9" s="111">
        <f>-IS!I149</f>
        <v>-153.59067344036694</v>
      </c>
      <c r="I9" s="111">
        <f>-IS!J149</f>
        <v>-196.913876622087</v>
      </c>
      <c r="J9" s="111">
        <f>-IS!K149</f>
        <v>-277.53392365453658</v>
      </c>
    </row>
    <row r="10" spans="1:10">
      <c r="A10" s="98" t="s">
        <v>453</v>
      </c>
      <c r="B10" s="98"/>
      <c r="C10" s="98"/>
      <c r="D10" s="99">
        <v>1.1559999999999999</v>
      </c>
      <c r="E10" s="99">
        <v>0.30299999999999999</v>
      </c>
      <c r="F10" s="99">
        <v>-0.19800000000000001</v>
      </c>
      <c r="G10" s="99">
        <v>5.8360000000000003</v>
      </c>
      <c r="H10" s="77">
        <f>-IS!I151</f>
        <v>0</v>
      </c>
      <c r="I10" s="77">
        <f>-IS!J151</f>
        <v>0</v>
      </c>
      <c r="J10" s="77">
        <f>-IS!K151</f>
        <v>0</v>
      </c>
    </row>
    <row r="11" spans="1:10">
      <c r="A11" s="98" t="s">
        <v>454</v>
      </c>
      <c r="B11" s="98"/>
      <c r="C11" s="98"/>
      <c r="D11" s="99">
        <v>-1.248</v>
      </c>
      <c r="E11" s="99">
        <v>3.851</v>
      </c>
      <c r="F11" s="99">
        <v>-0.16800000000000001</v>
      </c>
      <c r="G11" s="99">
        <v>-3.4239999999999999</v>
      </c>
    </row>
    <row r="12" spans="1:10">
      <c r="A12" s="98" t="s">
        <v>113</v>
      </c>
      <c r="B12" s="98"/>
      <c r="C12" s="98"/>
      <c r="D12" s="99">
        <v>-25.998999999999999</v>
      </c>
      <c r="E12" s="99">
        <v>-25.643999999999998</v>
      </c>
      <c r="F12" s="99">
        <v>-53.332999999999998</v>
      </c>
      <c r="G12" s="99">
        <v>-45.17</v>
      </c>
      <c r="H12" s="100">
        <f>-IS!I150</f>
        <v>-104.74929</v>
      </c>
      <c r="I12" s="100">
        <f>-IS!J150</f>
        <v>-104.74929</v>
      </c>
      <c r="J12" s="100">
        <f>-IS!K150</f>
        <v>-104.74929</v>
      </c>
    </row>
    <row r="13" spans="1:10">
      <c r="A13" s="98" t="s">
        <v>131</v>
      </c>
      <c r="B13" s="98"/>
      <c r="C13" s="98"/>
      <c r="D13" s="99">
        <v>57.238999999999997</v>
      </c>
      <c r="E13" s="99">
        <v>105.31</v>
      </c>
      <c r="F13" s="99">
        <v>160.50399999999999</v>
      </c>
      <c r="G13" s="99">
        <v>314.887</v>
      </c>
      <c r="H13" s="100">
        <f>-BS!H123</f>
        <v>208.56941894722235</v>
      </c>
      <c r="I13" s="100">
        <f>-BS!I123</f>
        <v>361.37835516806115</v>
      </c>
      <c r="J13" s="100">
        <f>-BS!J123</f>
        <v>415.97525713838405</v>
      </c>
    </row>
    <row r="14" spans="1:10">
      <c r="A14" s="98" t="s">
        <v>133</v>
      </c>
      <c r="B14" s="98"/>
      <c r="C14" s="98"/>
      <c r="D14" s="99">
        <v>42.363</v>
      </c>
      <c r="E14" s="99">
        <v>75.781999999999996</v>
      </c>
      <c r="F14" s="99">
        <v>103.47199999999999</v>
      </c>
      <c r="G14" s="99">
        <v>99.177999999999997</v>
      </c>
      <c r="H14" s="100">
        <f>-BS!H162</f>
        <v>129.14742127705861</v>
      </c>
      <c r="I14" s="100">
        <f>-BS!I162</f>
        <v>151.30973776632328</v>
      </c>
      <c r="J14" s="100">
        <f>-BS!J162</f>
        <v>175.31943330116761</v>
      </c>
    </row>
    <row r="15" spans="1:10">
      <c r="A15" s="98" t="s">
        <v>134</v>
      </c>
      <c r="B15" s="98"/>
      <c r="C15" s="98"/>
      <c r="D15" s="99">
        <v>1.1970000000000001</v>
      </c>
      <c r="E15" s="99">
        <v>2.6720000000000002</v>
      </c>
      <c r="F15" s="99">
        <v>3.8</v>
      </c>
      <c r="G15" s="99">
        <v>5.29</v>
      </c>
      <c r="H15" s="77">
        <f>-BS!H172</f>
        <v>5.29</v>
      </c>
      <c r="I15" s="77">
        <f>-BS!I172</f>
        <v>5.29</v>
      </c>
      <c r="J15" s="77">
        <f>-BS!J172</f>
        <v>5.29</v>
      </c>
    </row>
    <row r="16" spans="1:10">
      <c r="A16" s="98" t="s">
        <v>138</v>
      </c>
      <c r="B16" s="98"/>
      <c r="C16" s="98"/>
      <c r="D16" s="99">
        <v>2.2970000000000002</v>
      </c>
      <c r="E16" s="99">
        <v>2.0760000000000001</v>
      </c>
      <c r="F16" s="99">
        <v>32.189</v>
      </c>
      <c r="G16" s="99">
        <v>36.994999999999997</v>
      </c>
    </row>
    <row r="17" spans="1:10">
      <c r="A17" s="98" t="s">
        <v>455</v>
      </c>
      <c r="B17" s="98"/>
      <c r="C17" s="98"/>
      <c r="D17" s="99">
        <v>1.7869999999999999</v>
      </c>
      <c r="E17" s="99">
        <v>4.0979999999999999</v>
      </c>
      <c r="F17" s="99">
        <v>-1.6379999999999999</v>
      </c>
      <c r="G17" s="99">
        <v>0.32900000000000001</v>
      </c>
    </row>
    <row r="18" spans="1:10">
      <c r="A18" s="98" t="s">
        <v>53</v>
      </c>
      <c r="B18" s="98"/>
      <c r="C18" s="98"/>
      <c r="D18" s="99">
        <v>14.827</v>
      </c>
      <c r="E18" s="99">
        <v>0</v>
      </c>
      <c r="F18" s="99">
        <v>65.524000000000001</v>
      </c>
      <c r="G18" s="99">
        <v>0</v>
      </c>
    </row>
    <row r="19" spans="1:10">
      <c r="A19" s="98" t="s">
        <v>64</v>
      </c>
      <c r="B19" s="98"/>
      <c r="C19" s="98"/>
      <c r="D19" s="99">
        <v>22.553999999999998</v>
      </c>
      <c r="E19" s="99">
        <v>24.981000000000002</v>
      </c>
      <c r="F19" s="99">
        <v>16.427</v>
      </c>
      <c r="G19" s="99">
        <v>15.786</v>
      </c>
    </row>
    <row r="20" spans="1:10">
      <c r="A20" s="98" t="s">
        <v>115</v>
      </c>
      <c r="B20" s="98"/>
      <c r="C20" s="98"/>
      <c r="D20" s="99">
        <v>0.99399999999999999</v>
      </c>
      <c r="E20" s="99">
        <v>0.16300000000000001</v>
      </c>
      <c r="F20" s="99">
        <v>-31.963000000000001</v>
      </c>
      <c r="G20" s="99">
        <v>-5.62</v>
      </c>
    </row>
    <row r="21" spans="1:10">
      <c r="A21" s="98" t="s">
        <v>109</v>
      </c>
      <c r="B21" s="98"/>
      <c r="C21" s="98"/>
      <c r="D21" s="99"/>
      <c r="E21" s="99"/>
      <c r="F21" s="99"/>
      <c r="G21" s="99"/>
      <c r="H21" s="100">
        <f>BS!H33-BS!G33+BS!H39-BS!G39+BS!H42-BS!G42</f>
        <v>5</v>
      </c>
      <c r="I21" s="100">
        <f>BS!I33-BS!H33+BS!I39-BS!H39+BS!I42-BS!H42</f>
        <v>0</v>
      </c>
      <c r="J21" s="100">
        <f>BS!J33-BS!I33+BS!J39-BS!I39+BS!J42-BS!I42</f>
        <v>0</v>
      </c>
    </row>
    <row r="22" spans="1:10">
      <c r="A22" s="187" t="s">
        <v>456</v>
      </c>
      <c r="B22" s="187"/>
      <c r="C22" s="187"/>
      <c r="D22" s="92">
        <f>SUM(D23:D31)</f>
        <v>-399.54400000000027</v>
      </c>
      <c r="E22" s="92">
        <f t="shared" ref="E22:J22" si="0">SUM(E23:E31)</f>
        <v>228.172</v>
      </c>
      <c r="F22" s="92">
        <f>SUM(F23:F31)</f>
        <v>242.76699999999994</v>
      </c>
      <c r="G22" s="92">
        <f>SUM(G23:G31)</f>
        <v>1076.74</v>
      </c>
      <c r="H22" s="92">
        <f t="shared" si="0"/>
        <v>-310.91810025100153</v>
      </c>
      <c r="I22" s="92">
        <f t="shared" si="0"/>
        <v>1179.227026824612</v>
      </c>
      <c r="J22" s="92">
        <f t="shared" si="0"/>
        <v>-303.69668841508764</v>
      </c>
    </row>
    <row r="23" spans="1:10">
      <c r="A23" s="197" t="s">
        <v>457</v>
      </c>
      <c r="B23" s="197"/>
      <c r="C23" s="197"/>
      <c r="D23" s="99">
        <v>-842.71900000000005</v>
      </c>
      <c r="E23" s="99">
        <v>-291.31700000000001</v>
      </c>
      <c r="F23" s="99">
        <v>-725.81899999999996</v>
      </c>
      <c r="G23" s="99">
        <v>-20.632999999999999</v>
      </c>
      <c r="H23" s="100">
        <f>BS!G5-BS!H5</f>
        <v>-1455.2703192222598</v>
      </c>
      <c r="I23" s="100">
        <f>BS!H5-BS!I5</f>
        <v>427.12349993014413</v>
      </c>
      <c r="J23" s="100">
        <f>BS!I5-BS!J5</f>
        <v>-1518.911592053506</v>
      </c>
    </row>
    <row r="24" spans="1:10">
      <c r="A24" s="197" t="s">
        <v>458</v>
      </c>
      <c r="B24" s="197"/>
      <c r="C24" s="197"/>
      <c r="D24" s="99">
        <v>0.29399999999999998</v>
      </c>
      <c r="E24" s="99">
        <v>-14.114000000000001</v>
      </c>
      <c r="F24" s="99">
        <v>-8.9550000000000001</v>
      </c>
      <c r="G24" s="99">
        <v>5.0640000000000001</v>
      </c>
      <c r="H24" s="100">
        <f>BS!G6-BS!H6-H12</f>
        <v>101.27138233898472</v>
      </c>
      <c r="I24" s="100">
        <f>BS!H6-BS!I6-I12</f>
        <v>98.667817201132195</v>
      </c>
      <c r="J24" s="100">
        <f>BS!I6-BS!J6-J12</f>
        <v>100.67966612829414</v>
      </c>
    </row>
    <row r="25" spans="1:10">
      <c r="A25" s="197" t="s">
        <v>459</v>
      </c>
      <c r="B25" s="197"/>
      <c r="C25" s="197"/>
      <c r="D25" s="99">
        <v>-88.418999999999997</v>
      </c>
      <c r="E25" s="99">
        <v>-62.411000000000001</v>
      </c>
      <c r="F25" s="99">
        <v>50.804000000000002</v>
      </c>
      <c r="G25" s="99">
        <v>2.3140000000000001</v>
      </c>
      <c r="H25" s="100">
        <f>BS!G7-BS!H7+BS!G20-BS!H20</f>
        <v>-160.58564218807214</v>
      </c>
      <c r="I25" s="100">
        <f>BS!H7-BS!I7+BS!H20-BS!I20</f>
        <v>-113.46373477719192</v>
      </c>
      <c r="J25" s="100">
        <f>BS!I7-BS!J7+BS!I20-BS!J20</f>
        <v>-120.52966212725596</v>
      </c>
    </row>
    <row r="26" spans="1:10">
      <c r="A26" s="315" t="s">
        <v>460</v>
      </c>
      <c r="B26" s="315"/>
      <c r="C26" s="315"/>
      <c r="D26" s="233">
        <v>-57.825000000000003</v>
      </c>
      <c r="E26" s="233">
        <v>59.969000000000001</v>
      </c>
      <c r="F26" s="233">
        <v>-14.632999999999999</v>
      </c>
      <c r="G26" s="233">
        <v>16.414000000000001</v>
      </c>
      <c r="H26" s="100"/>
      <c r="I26" s="100"/>
      <c r="J26" s="100"/>
    </row>
    <row r="27" spans="1:10">
      <c r="A27" s="197" t="s">
        <v>461</v>
      </c>
      <c r="B27" s="197"/>
      <c r="C27" s="197"/>
      <c r="D27" s="99">
        <v>0</v>
      </c>
      <c r="E27" s="99">
        <v>0</v>
      </c>
      <c r="F27" s="99">
        <v>-11.986000000000001</v>
      </c>
      <c r="G27" s="99">
        <v>3.2570000000000001</v>
      </c>
      <c r="H27" s="100">
        <f>BS!G22-BS!H22</f>
        <v>0</v>
      </c>
      <c r="I27" s="100">
        <f>BS!H22-BS!I22</f>
        <v>0</v>
      </c>
      <c r="J27" s="100">
        <f>BS!I22-BS!J22</f>
        <v>0</v>
      </c>
    </row>
    <row r="28" spans="1:10">
      <c r="A28" s="197" t="s">
        <v>462</v>
      </c>
      <c r="B28" s="197"/>
      <c r="C28" s="197"/>
      <c r="D28" s="99">
        <v>261.20499999999998</v>
      </c>
      <c r="E28" s="99">
        <v>286.16000000000003</v>
      </c>
      <c r="F28" s="99">
        <v>466.09399999999999</v>
      </c>
      <c r="G28" s="99">
        <v>452.78199999999998</v>
      </c>
      <c r="H28" s="100">
        <f>BS!H29-BS!G29</f>
        <v>547.40080238547716</v>
      </c>
      <c r="I28" s="100">
        <f>BS!I29-BS!H29</f>
        <v>165.61964772929878</v>
      </c>
      <c r="J28" s="100">
        <f>BS!J29-BS!I29</f>
        <v>591.53606414824117</v>
      </c>
    </row>
    <row r="29" spans="1:10">
      <c r="A29" s="197" t="s">
        <v>463</v>
      </c>
      <c r="B29" s="197"/>
      <c r="C29" s="197"/>
      <c r="D29" s="99">
        <v>194.11799999999999</v>
      </c>
      <c r="E29" s="99">
        <v>295.30599999999998</v>
      </c>
      <c r="F29" s="99">
        <v>343.32</v>
      </c>
      <c r="G29" s="99">
        <v>522.64700000000005</v>
      </c>
      <c r="H29" s="100">
        <f>BS!H30-BS!G30+BS!H34-BS!G34+BS!H40-BS!G40+BS!H41-BS!G41</f>
        <v>722.84918568143075</v>
      </c>
      <c r="I29" s="100">
        <f>BS!I30-BS!H30+BS!I34-BS!H34+BS!I40-BS!H40+BS!I41-BS!H41</f>
        <v>522.2089350914481</v>
      </c>
      <c r="J29" s="100">
        <f>BS!J30-BS!I30+BS!J34-BS!I34+BS!J40-BS!I40+BS!J41-BS!I41</f>
        <v>561.01628656767389</v>
      </c>
    </row>
    <row r="30" spans="1:10">
      <c r="A30" s="197" t="s">
        <v>464</v>
      </c>
      <c r="B30" s="197"/>
      <c r="C30" s="197"/>
      <c r="D30" s="99">
        <v>131.80099999999999</v>
      </c>
      <c r="E30" s="99">
        <v>-101.444</v>
      </c>
      <c r="F30" s="99">
        <v>79.558999999999997</v>
      </c>
      <c r="G30" s="99">
        <v>83.212000000000003</v>
      </c>
      <c r="H30" s="111">
        <f>BS!H43-BS!G43+BS!H31-BS!G31</f>
        <v>-107.10257294053466</v>
      </c>
      <c r="I30" s="111">
        <f>BS!I43-BS!H43+BS!I31-BS!H31</f>
        <v>49.107109426046861</v>
      </c>
      <c r="J30" s="111">
        <f>BS!J43-BS!I43+BS!J31-BS!I31</f>
        <v>50.05111519354881</v>
      </c>
    </row>
    <row r="31" spans="1:10">
      <c r="A31" s="197" t="s">
        <v>465</v>
      </c>
      <c r="B31" s="197"/>
      <c r="C31" s="197"/>
      <c r="D31" s="99">
        <v>2.0009999999999999</v>
      </c>
      <c r="E31" s="99">
        <v>56.023000000000003</v>
      </c>
      <c r="F31" s="99">
        <v>64.382999999999996</v>
      </c>
      <c r="G31" s="99">
        <v>11.683</v>
      </c>
      <c r="H31" s="100">
        <f>BS!H38-BS!G38</f>
        <v>40.519063693972356</v>
      </c>
      <c r="I31" s="100">
        <f>BS!I38-BS!H38</f>
        <v>29.963752223734105</v>
      </c>
      <c r="J31" s="100">
        <f>BS!J38-BS!I38</f>
        <v>32.461433727916187</v>
      </c>
    </row>
    <row r="32" spans="1:10">
      <c r="A32" s="110" t="s">
        <v>466</v>
      </c>
      <c r="B32" s="110"/>
      <c r="C32" s="110"/>
      <c r="D32" s="92">
        <f>SUM(D5:D22)</f>
        <v>2244.2490000000003</v>
      </c>
      <c r="E32" s="92">
        <f t="shared" ref="E32:J32" si="1">SUM(E5:E22)</f>
        <v>3044.855</v>
      </c>
      <c r="F32" s="92">
        <f t="shared" si="1"/>
        <v>4650.813000000001</v>
      </c>
      <c r="G32" s="92">
        <f t="shared" si="1"/>
        <v>7213.7779999999975</v>
      </c>
      <c r="H32" s="92">
        <f t="shared" si="1"/>
        <v>7221.361512110162</v>
      </c>
      <c r="I32" s="92">
        <f t="shared" si="1"/>
        <v>10215.624516975307</v>
      </c>
      <c r="J32" s="92">
        <f t="shared" si="1"/>
        <v>10318.061755980512</v>
      </c>
    </row>
    <row r="33" spans="1:10">
      <c r="D33" s="99"/>
      <c r="E33" s="99"/>
      <c r="F33" s="99"/>
      <c r="G33" s="99"/>
    </row>
    <row r="34" spans="1:10">
      <c r="A34" s="98" t="s">
        <v>467</v>
      </c>
      <c r="B34" s="98"/>
      <c r="C34" s="98"/>
      <c r="D34" s="99">
        <v>-590.08100000000002</v>
      </c>
      <c r="E34" s="99">
        <v>-658.54600000000005</v>
      </c>
      <c r="F34" s="99">
        <v>-910.74199999999996</v>
      </c>
      <c r="G34" s="99">
        <v>-1280.1659999999999</v>
      </c>
      <c r="H34" s="100">
        <f>IS!I30</f>
        <v>-1736.6438261121802</v>
      </c>
      <c r="I34" s="100">
        <f>IS!J30</f>
        <v>-2058.1903087382534</v>
      </c>
      <c r="J34" s="100">
        <f>IS!K30</f>
        <v>-2428.7353803409687</v>
      </c>
    </row>
    <row r="35" spans="1:10">
      <c r="A35" s="98" t="s">
        <v>468</v>
      </c>
      <c r="B35" s="98"/>
      <c r="C35" s="98"/>
      <c r="D35" s="99">
        <v>38.220999999999997</v>
      </c>
      <c r="E35" s="99">
        <v>44.322000000000003</v>
      </c>
      <c r="F35" s="99">
        <v>53.801000000000002</v>
      </c>
      <c r="G35" s="99">
        <v>75.096000000000004</v>
      </c>
      <c r="H35" s="111">
        <f t="shared" ref="H35:J35" si="2">-H9-H7</f>
        <v>153.59067344036694</v>
      </c>
      <c r="I35" s="111">
        <f t="shared" si="2"/>
        <v>196.913876622087</v>
      </c>
      <c r="J35" s="111">
        <f t="shared" si="2"/>
        <v>277.53392365453658</v>
      </c>
    </row>
    <row r="36" spans="1:10">
      <c r="A36" s="110" t="s">
        <v>469</v>
      </c>
      <c r="B36" s="110"/>
      <c r="C36" s="110"/>
      <c r="D36" s="92">
        <f>D32+D34+D35</f>
        <v>1692.3890000000001</v>
      </c>
      <c r="E36" s="92">
        <f>E32+E34+E35</f>
        <v>2430.6310000000003</v>
      </c>
      <c r="F36" s="92">
        <f t="shared" ref="F36:J36" si="3">F32+F34+F35</f>
        <v>3793.8720000000008</v>
      </c>
      <c r="G36" s="92">
        <f t="shared" si="3"/>
        <v>6008.7079999999969</v>
      </c>
      <c r="H36" s="92">
        <f t="shared" si="3"/>
        <v>5638.3083594383488</v>
      </c>
      <c r="I36" s="92">
        <f t="shared" si="3"/>
        <v>8354.3480848591407</v>
      </c>
      <c r="J36" s="92">
        <f t="shared" si="3"/>
        <v>8166.8602992940805</v>
      </c>
    </row>
    <row r="37" spans="1:10">
      <c r="E37" s="100">
        <f t="shared" ref="E37:F37" si="4">E43+E44+E45</f>
        <v>-939.79500000000007</v>
      </c>
      <c r="F37" s="100">
        <f t="shared" si="4"/>
        <v>862.9069999999997</v>
      </c>
      <c r="G37" s="100">
        <f>G43+G44+G45</f>
        <v>-5640.4269999999997</v>
      </c>
    </row>
    <row r="38" spans="1:10">
      <c r="A38" s="314" t="s">
        <v>470</v>
      </c>
      <c r="B38" s="314"/>
      <c r="C38" s="314"/>
      <c r="D38" s="314"/>
      <c r="E38" s="314"/>
      <c r="F38" s="314"/>
      <c r="G38" s="314"/>
      <c r="H38" s="314"/>
      <c r="I38" s="314"/>
      <c r="J38" s="314"/>
    </row>
    <row r="39" spans="1:10">
      <c r="A39" s="98" t="s">
        <v>471</v>
      </c>
      <c r="B39" s="98"/>
      <c r="C39" s="98"/>
      <c r="D39" s="99">
        <v>-944.52300000000002</v>
      </c>
      <c r="E39" s="99">
        <v>-997.29300000000001</v>
      </c>
      <c r="F39" s="99">
        <v>-1685.2919999999999</v>
      </c>
      <c r="G39" s="99">
        <v>-1438.614</v>
      </c>
      <c r="H39" s="100">
        <f>-BS!H122-BS!H125-H10-BS!H15+BS!G15</f>
        <v>-2342.87</v>
      </c>
      <c r="I39" s="100">
        <f>-BS!I122-BS!I125-I10-BS!I15+BS!H15</f>
        <v>-2325.3409999999999</v>
      </c>
      <c r="J39" s="100">
        <f>-BS!J122-BS!J125-J10-BS!J15+BS!I15</f>
        <v>-2325.3409999999999</v>
      </c>
    </row>
    <row r="40" spans="1:10">
      <c r="A40" s="98" t="s">
        <v>472</v>
      </c>
      <c r="B40" s="98"/>
      <c r="C40" s="98"/>
      <c r="D40" s="99">
        <v>5.0730000000000004</v>
      </c>
      <c r="E40" s="99">
        <v>0.89300000000000002</v>
      </c>
      <c r="F40" s="99">
        <v>4.7530000000000001</v>
      </c>
      <c r="G40" s="99">
        <v>58.195</v>
      </c>
      <c r="H40" s="77">
        <f>-BS!H124</f>
        <v>0</v>
      </c>
      <c r="I40" s="77">
        <f>-BS!I124</f>
        <v>0</v>
      </c>
      <c r="J40" s="77">
        <f>-BS!J124</f>
        <v>0</v>
      </c>
    </row>
    <row r="41" spans="1:10">
      <c r="A41" s="98" t="s">
        <v>473</v>
      </c>
      <c r="B41" s="98"/>
      <c r="C41" s="98"/>
      <c r="D41" s="99">
        <v>-7.1769999999999996</v>
      </c>
      <c r="E41" s="99">
        <v>-8.7230000000000008</v>
      </c>
      <c r="F41" s="99">
        <v>-5.4329999999999998</v>
      </c>
      <c r="G41" s="99">
        <v>-9.8580000000000005</v>
      </c>
      <c r="H41" s="100">
        <f>-BS!H171</f>
        <v>-17</v>
      </c>
      <c r="I41" s="100">
        <f>-BS!I171</f>
        <v>-17</v>
      </c>
      <c r="J41" s="100">
        <f>-BS!J171</f>
        <v>-17</v>
      </c>
    </row>
    <row r="42" spans="1:10">
      <c r="A42" s="98" t="s">
        <v>474</v>
      </c>
      <c r="B42" s="98"/>
      <c r="C42" s="98"/>
      <c r="D42" s="99">
        <v>-0.67300000000000004</v>
      </c>
      <c r="E42" s="99">
        <v>-253.94300000000001</v>
      </c>
      <c r="F42" s="99">
        <v>-4.1000000000000002E-2</v>
      </c>
      <c r="G42" s="99">
        <v>-1.34</v>
      </c>
      <c r="H42" s="100">
        <f>-BS!H161</f>
        <v>-87.345500000000001</v>
      </c>
      <c r="I42" s="100">
        <f>-BS!I161</f>
        <v>-96.080050000000014</v>
      </c>
      <c r="J42" s="100">
        <f>-BS!J161</f>
        <v>-115.29606000000001</v>
      </c>
    </row>
    <row r="43" spans="1:10">
      <c r="A43" s="98" t="s">
        <v>475</v>
      </c>
      <c r="B43" s="98"/>
      <c r="C43" s="98"/>
      <c r="D43" s="99">
        <v>-2150</v>
      </c>
      <c r="E43" s="99">
        <v>-4336</v>
      </c>
      <c r="F43" s="99">
        <v>-5161</v>
      </c>
      <c r="G43" s="99">
        <v>-3213</v>
      </c>
      <c r="H43" s="100">
        <f>BS!G8-BS!H8</f>
        <v>0</v>
      </c>
      <c r="I43" s="100">
        <f>BS!H8-BS!I8</f>
        <v>0</v>
      </c>
      <c r="J43" s="100">
        <f>BS!I8-BS!J8</f>
        <v>0</v>
      </c>
    </row>
    <row r="44" spans="1:10">
      <c r="A44" s="98" t="s">
        <v>476</v>
      </c>
      <c r="B44" s="98"/>
      <c r="C44" s="98"/>
      <c r="D44" s="99">
        <v>1277.07</v>
      </c>
      <c r="E44" s="99">
        <v>3396.2049999999999</v>
      </c>
      <c r="F44" s="99">
        <v>6333.9629999999997</v>
      </c>
      <c r="G44" s="99">
        <v>512.57299999999998</v>
      </c>
    </row>
    <row r="45" spans="1:10">
      <c r="A45" s="98" t="s">
        <v>477</v>
      </c>
      <c r="B45" s="98"/>
      <c r="C45" s="98"/>
      <c r="D45" s="99">
        <v>0</v>
      </c>
      <c r="E45" s="99">
        <v>0</v>
      </c>
      <c r="F45" s="99">
        <v>-310.05599999999998</v>
      </c>
      <c r="G45" s="99">
        <v>-2940</v>
      </c>
      <c r="H45" s="100">
        <f>BS!G21-BS!H21</f>
        <v>0</v>
      </c>
      <c r="I45" s="100">
        <f>BS!H21-BS!I21</f>
        <v>0</v>
      </c>
      <c r="J45" s="100">
        <f>BS!I21-BS!J21</f>
        <v>0</v>
      </c>
    </row>
    <row r="46" spans="1:10">
      <c r="A46" s="98"/>
      <c r="B46" s="98"/>
      <c r="C46" s="98"/>
      <c r="D46" s="99"/>
      <c r="E46" s="99"/>
      <c r="F46" s="99"/>
      <c r="G46" s="99"/>
    </row>
    <row r="47" spans="1:10">
      <c r="A47" s="98" t="s">
        <v>109</v>
      </c>
      <c r="B47" s="98"/>
      <c r="C47" s="98"/>
      <c r="D47" s="112">
        <f>D48-SUM(D39:D46)</f>
        <v>-11.399999999999864</v>
      </c>
      <c r="E47" s="112">
        <f>E48-SUM(E39:E46)</f>
        <v>-3</v>
      </c>
      <c r="F47" s="112">
        <f>F48-SUM(F39:F46)</f>
        <v>-2.237999999999829</v>
      </c>
      <c r="G47" s="112">
        <f>G48-SUM(G39:G46)</f>
        <v>13.055999999999585</v>
      </c>
      <c r="H47" s="100">
        <f>BS!G18-BS!H18+BS!G19-BS!H19</f>
        <v>-103.846</v>
      </c>
      <c r="I47" s="100">
        <f>BS!H18-BS!I18+BS!H19-BS!I19</f>
        <v>0</v>
      </c>
      <c r="J47" s="100">
        <f>BS!I18-BS!J18+BS!I19-BS!J19</f>
        <v>0</v>
      </c>
    </row>
    <row r="48" spans="1:10">
      <c r="A48" s="110" t="s">
        <v>478</v>
      </c>
      <c r="B48" s="110"/>
      <c r="C48" s="110"/>
      <c r="D48" s="91">
        <v>-1831.63</v>
      </c>
      <c r="E48" s="91">
        <v>-2201.8609999999999</v>
      </c>
      <c r="F48" s="91">
        <v>-825.34400000000005</v>
      </c>
      <c r="G48" s="91">
        <v>-7018.9880000000003</v>
      </c>
      <c r="H48" s="92">
        <f>SUM(H39:H47)</f>
        <v>-2551.0614999999998</v>
      </c>
      <c r="I48" s="92">
        <f>SUM(I39:I47)</f>
        <v>-2438.4210499999999</v>
      </c>
      <c r="J48" s="92">
        <f>SUM(J39:J47)</f>
        <v>-2457.63706</v>
      </c>
    </row>
    <row r="50" spans="1:10">
      <c r="A50" s="314" t="s">
        <v>479</v>
      </c>
      <c r="B50" s="314"/>
      <c r="C50" s="314"/>
      <c r="D50" s="314"/>
      <c r="E50" s="314"/>
      <c r="F50" s="314"/>
      <c r="G50" s="314"/>
      <c r="H50" s="314"/>
      <c r="I50" s="314"/>
      <c r="J50" s="314"/>
    </row>
    <row r="51" spans="1:10">
      <c r="A51" s="98" t="s">
        <v>480</v>
      </c>
      <c r="B51" s="98"/>
      <c r="C51" s="98"/>
      <c r="D51" s="99">
        <v>30</v>
      </c>
      <c r="E51" s="99">
        <v>140</v>
      </c>
      <c r="F51" s="99">
        <v>259.53699999999998</v>
      </c>
      <c r="G51" s="99">
        <v>4.5359999999999996</v>
      </c>
    </row>
    <row r="52" spans="1:10">
      <c r="A52" s="98" t="s">
        <v>481</v>
      </c>
      <c r="B52" s="98"/>
      <c r="C52" s="98"/>
      <c r="D52" s="99">
        <v>0</v>
      </c>
      <c r="E52" s="99">
        <v>-30</v>
      </c>
      <c r="F52" s="99">
        <v>-140</v>
      </c>
      <c r="G52" s="99">
        <v>-264.07299999999998</v>
      </c>
      <c r="H52" s="100">
        <f>BS!H32-BS!G32</f>
        <v>0</v>
      </c>
      <c r="I52" s="100">
        <f>BS!I32-BS!H32</f>
        <v>0</v>
      </c>
    </row>
    <row r="53" spans="1:10">
      <c r="A53" s="98" t="s">
        <v>482</v>
      </c>
      <c r="B53" s="98"/>
      <c r="C53" s="98"/>
      <c r="D53" s="99">
        <v>-1.143</v>
      </c>
      <c r="E53" s="99">
        <v>-3.22</v>
      </c>
      <c r="F53" s="99">
        <v>-7.1180000000000003</v>
      </c>
      <c r="G53" s="99">
        <v>-2.4510000000000001</v>
      </c>
      <c r="H53" s="111">
        <f>-H6</f>
        <v>-3.0212545303539642</v>
      </c>
      <c r="I53" s="111">
        <f>-I6</f>
        <v>-3.0212545303539642</v>
      </c>
      <c r="J53" s="111">
        <f>-J6</f>
        <v>-3.0212545303539642</v>
      </c>
    </row>
    <row r="54" spans="1:10">
      <c r="A54" s="98" t="s">
        <v>483</v>
      </c>
      <c r="B54" s="98"/>
      <c r="C54" s="98"/>
      <c r="D54" s="99">
        <v>-41.71</v>
      </c>
      <c r="E54" s="99">
        <v>-76.399000000000001</v>
      </c>
      <c r="F54" s="99">
        <v>-99.875</v>
      </c>
      <c r="G54" s="99">
        <v>-83.49</v>
      </c>
      <c r="H54" s="123">
        <f>BS!H162</f>
        <v>-129.14742127705861</v>
      </c>
      <c r="I54" s="123">
        <f>BS!I162</f>
        <v>-151.30973776632328</v>
      </c>
      <c r="J54" s="123">
        <f>BS!J162</f>
        <v>-175.31943330116761</v>
      </c>
    </row>
    <row r="55" spans="1:10">
      <c r="A55" s="98" t="s">
        <v>484</v>
      </c>
      <c r="B55" s="98"/>
      <c r="C55" s="98"/>
      <c r="D55" s="99">
        <v>-4.8</v>
      </c>
      <c r="E55" s="99">
        <v>-5.9119999999999999</v>
      </c>
      <c r="F55" s="99">
        <v>-7.4560000000000004</v>
      </c>
      <c r="G55" s="99">
        <v>-4.1269999999999998</v>
      </c>
      <c r="H55" s="168">
        <f>IS!I357</f>
        <v>-3.0212545303539642</v>
      </c>
      <c r="I55" s="168">
        <f>IS!J357</f>
        <v>-3.0212545303539642</v>
      </c>
      <c r="J55" s="168">
        <f>IS!K357</f>
        <v>-3.0212545303539642</v>
      </c>
    </row>
    <row r="56" spans="1:10">
      <c r="A56" s="98" t="s">
        <v>485</v>
      </c>
      <c r="B56" s="98"/>
      <c r="C56" s="98"/>
      <c r="D56" s="99">
        <v>0</v>
      </c>
      <c r="E56" s="99">
        <v>-63.25</v>
      </c>
      <c r="F56" s="99">
        <v>-89.034999999999997</v>
      </c>
      <c r="G56" s="99">
        <v>-7.0350000000000001</v>
      </c>
      <c r="H56" s="100">
        <f>BS!G9-BS!H9</f>
        <v>0</v>
      </c>
      <c r="I56" s="100">
        <f>BS!H9-BS!I9</f>
        <v>0</v>
      </c>
      <c r="J56" s="100">
        <f>BS!I9-BS!J9</f>
        <v>0</v>
      </c>
    </row>
    <row r="57" spans="1:10">
      <c r="A57" s="98" t="s">
        <v>486</v>
      </c>
      <c r="B57" s="98"/>
      <c r="C57" s="98"/>
      <c r="D57" s="99">
        <v>28.9</v>
      </c>
      <c r="E57" s="99">
        <v>0</v>
      </c>
      <c r="F57" s="99">
        <v>63.25</v>
      </c>
      <c r="G57" s="99">
        <v>85.373999999999995</v>
      </c>
    </row>
    <row r="58" spans="1:10" outlineLevel="1">
      <c r="A58" s="316" t="s">
        <v>487</v>
      </c>
      <c r="B58" s="98"/>
      <c r="C58" s="98"/>
      <c r="D58" s="99">
        <v>-404.4</v>
      </c>
      <c r="E58" s="99">
        <v>-104.4</v>
      </c>
      <c r="F58" s="99">
        <v>-100</v>
      </c>
      <c r="G58" s="99">
        <v>0</v>
      </c>
      <c r="H58" s="100">
        <f>BS!H179</f>
        <v>0</v>
      </c>
      <c r="I58" s="100">
        <f>BS!I179</f>
        <v>0</v>
      </c>
      <c r="J58" s="100">
        <f>BS!J179</f>
        <v>0</v>
      </c>
    </row>
    <row r="59" spans="1:10" outlineLevel="1">
      <c r="A59" s="316" t="s">
        <v>488</v>
      </c>
      <c r="B59" s="98"/>
      <c r="C59" s="98"/>
      <c r="D59" s="99">
        <v>1120</v>
      </c>
      <c r="E59" s="99"/>
      <c r="F59" s="99"/>
      <c r="G59" s="99"/>
      <c r="H59" s="136">
        <f>3313/IS!$L$5*1.15</f>
        <v>3495.3669724770639</v>
      </c>
    </row>
    <row r="60" spans="1:10" outlineLevel="3">
      <c r="A60" s="317"/>
      <c r="B60" s="98"/>
      <c r="C60" s="98"/>
      <c r="D60" s="99"/>
      <c r="E60" s="99"/>
      <c r="F60" s="99"/>
      <c r="G60" s="99"/>
    </row>
    <row r="61" spans="1:10" outlineLevel="3">
      <c r="A61" s="98"/>
      <c r="B61" s="98"/>
      <c r="C61" s="98"/>
      <c r="D61" s="99"/>
      <c r="E61" s="99"/>
      <c r="F61" s="99"/>
      <c r="G61" s="99"/>
    </row>
    <row r="62" spans="1:10" outlineLevel="3">
      <c r="A62" s="98" t="s">
        <v>109</v>
      </c>
      <c r="D62" s="100">
        <f>D63-SUM(D51:D61)</f>
        <v>-0.19899999999995543</v>
      </c>
      <c r="E62" s="100">
        <f t="shared" ref="E62" si="5">E63-SUM(E51:E61)</f>
        <v>3.9200000000000159</v>
      </c>
      <c r="F62" s="100">
        <f>F63-SUM(F51:F61)</f>
        <v>9.3780000000000143</v>
      </c>
      <c r="G62" s="100">
        <f>G63-SUM(G51:G61)</f>
        <v>-6.1719999999999118</v>
      </c>
      <c r="H62" s="100"/>
      <c r="I62" s="100"/>
      <c r="J62" s="100"/>
    </row>
    <row r="63" spans="1:10">
      <c r="A63" s="110" t="s">
        <v>489</v>
      </c>
      <c r="B63" s="110"/>
      <c r="C63" s="110"/>
      <c r="D63" s="91">
        <v>726.64800000000002</v>
      </c>
      <c r="E63" s="91">
        <v>-139.261</v>
      </c>
      <c r="F63" s="91">
        <v>-111.319</v>
      </c>
      <c r="G63" s="91">
        <v>-277.43799999999999</v>
      </c>
      <c r="H63" s="92">
        <f>SUM(H51:H61)</f>
        <v>3360.1770421392976</v>
      </c>
      <c r="I63" s="92">
        <f>SUM(I51:I61)</f>
        <v>-157.35224682703119</v>
      </c>
      <c r="J63" s="92">
        <f>SUM(J51:J61)</f>
        <v>-181.36194236187552</v>
      </c>
    </row>
    <row r="65" spans="1:10">
      <c r="A65" s="308" t="s">
        <v>490</v>
      </c>
      <c r="B65" s="308"/>
      <c r="C65" s="308"/>
      <c r="D65" s="309">
        <f t="shared" ref="D65:J65" si="6">D36+D48+D63</f>
        <v>587.40700000000004</v>
      </c>
      <c r="E65" s="309">
        <f t="shared" si="6"/>
        <v>89.509000000000441</v>
      </c>
      <c r="F65" s="309">
        <f>F36+F48+F63</f>
        <v>2857.2090000000007</v>
      </c>
      <c r="G65" s="309">
        <f>G36+G48+G63</f>
        <v>-1287.7180000000035</v>
      </c>
      <c r="H65" s="309">
        <f t="shared" si="6"/>
        <v>6447.4239015776466</v>
      </c>
      <c r="I65" s="309">
        <f t="shared" si="6"/>
        <v>5758.5747880321096</v>
      </c>
      <c r="J65" s="309">
        <f t="shared" si="6"/>
        <v>5527.8612969322048</v>
      </c>
    </row>
    <row r="67" spans="1:10" s="110" customFormat="1">
      <c r="A67" s="110" t="s">
        <v>491</v>
      </c>
      <c r="D67" s="91">
        <v>2089.4859999999999</v>
      </c>
      <c r="E67" s="92">
        <f>BS!D10</f>
        <v>2675.8270000000002</v>
      </c>
      <c r="F67" s="92">
        <f>E69</f>
        <v>2764.1380000000008</v>
      </c>
      <c r="G67" s="92">
        <f>F69</f>
        <v>5621.9040000000014</v>
      </c>
      <c r="H67" s="92">
        <f t="shared" ref="H67:J67" si="7">G69</f>
        <v>4335.1229999999978</v>
      </c>
      <c r="I67" s="92">
        <f>H69</f>
        <v>10782.546901577643</v>
      </c>
      <c r="J67" s="92">
        <f t="shared" si="7"/>
        <v>16541.121689609754</v>
      </c>
    </row>
    <row r="68" spans="1:10">
      <c r="A68" s="77" t="s">
        <v>492</v>
      </c>
      <c r="D68" s="99">
        <v>-1.0660000000000001</v>
      </c>
      <c r="E68" s="99">
        <v>-1.198</v>
      </c>
      <c r="F68" s="99">
        <v>0.55700000000000005</v>
      </c>
      <c r="G68" s="99">
        <v>0.93700000000000006</v>
      </c>
    </row>
    <row r="69" spans="1:10" s="110" customFormat="1">
      <c r="A69" s="110" t="s">
        <v>493</v>
      </c>
      <c r="D69" s="92">
        <f>D65+D67+D68</f>
        <v>2675.8270000000002</v>
      </c>
      <c r="E69" s="92">
        <f>E65+E67+E68</f>
        <v>2764.1380000000008</v>
      </c>
      <c r="F69" s="92">
        <f>F65+F67+F68</f>
        <v>5621.9040000000014</v>
      </c>
      <c r="G69" s="92">
        <f>G65+G67+G68</f>
        <v>4335.1229999999978</v>
      </c>
      <c r="H69" s="92">
        <f t="shared" ref="H69:J69" si="8">H65+H67+H68</f>
        <v>10782.546901577643</v>
      </c>
      <c r="I69" s="92">
        <f t="shared" si="8"/>
        <v>16541.121689609754</v>
      </c>
      <c r="J69" s="92">
        <f t="shared" si="8"/>
        <v>22068.98298654196</v>
      </c>
    </row>
    <row r="70" spans="1:10" s="114" customFormat="1" hidden="1" outlineLevel="1">
      <c r="A70" s="114" t="s">
        <v>494</v>
      </c>
      <c r="D70" s="123">
        <f>D69-BS!D10</f>
        <v>0</v>
      </c>
      <c r="E70" s="123">
        <f>E69-BS!E10</f>
        <v>0</v>
      </c>
      <c r="F70" s="123">
        <f>F69-BS!F10</f>
        <v>0</v>
      </c>
      <c r="G70" s="123">
        <f>G69-BS!G10</f>
        <v>0</v>
      </c>
      <c r="H70" s="123">
        <f>H69-BS!H10</f>
        <v>0</v>
      </c>
      <c r="I70" s="123">
        <f>I69-BS!I10</f>
        <v>0</v>
      </c>
      <c r="J70" s="123">
        <f>J69-BS!J10</f>
        <v>0</v>
      </c>
    </row>
    <row r="71" spans="1:10" collapsed="1"/>
    <row r="72" spans="1:10">
      <c r="A72" s="77" t="s">
        <v>495</v>
      </c>
      <c r="D72" s="100">
        <f>D36+D39-D14</f>
        <v>705.50300000000016</v>
      </c>
      <c r="E72" s="100">
        <f t="shared" ref="E72:I72" si="9">E36+E39-E14</f>
        <v>1357.5560000000003</v>
      </c>
      <c r="F72" s="100">
        <f t="shared" si="9"/>
        <v>2005.1080000000009</v>
      </c>
      <c r="G72" s="100">
        <f t="shared" si="9"/>
        <v>4470.9159999999974</v>
      </c>
      <c r="H72" s="100">
        <f t="shared" si="9"/>
        <v>3166.2909381612903</v>
      </c>
      <c r="I72" s="100">
        <f t="shared" si="9"/>
        <v>5877.6973470928169</v>
      </c>
      <c r="J72" s="100">
        <f>J32+J39-J14</f>
        <v>7817.401322679344</v>
      </c>
    </row>
    <row r="73" spans="1:10">
      <c r="A73" s="77" t="s">
        <v>496</v>
      </c>
      <c r="D73" s="134">
        <f>D72/IS!E7</f>
        <v>6.8158047938621527E-2</v>
      </c>
      <c r="E73" s="134">
        <f>E72/IS!F7</f>
        <v>9.9999874775120068E-2</v>
      </c>
      <c r="F73" s="134">
        <f>F72/IS!G7</f>
        <v>9.8761800599089858E-2</v>
      </c>
      <c r="G73" s="134">
        <f>G72/IS!H7</f>
        <v>0.18006922102065512</v>
      </c>
      <c r="H73" s="134">
        <f>H72/IS!I7</f>
        <v>9.7931724166900574E-2</v>
      </c>
      <c r="I73" s="134">
        <f>I72/IS!J7</f>
        <v>0.15516674960541776</v>
      </c>
      <c r="J73" s="134">
        <f>J72/IS!K7</f>
        <v>0.17811097103787676</v>
      </c>
    </row>
  </sheetData>
  <pageMargins left="0.7" right="0.7" top="0.75" bottom="0.75" header="0.3" footer="0.3"/>
  <pageSetup paperSize="9" orientation="portrait" horizontalDpi="300" verticalDpi="300" r:id="rId1"/>
  <customProperties>
    <customPr name="Qube.Worksheet.Visibility" r:id="rId2"/>
  </customProperties>
</worksheet>
</file>

<file path=docMetadata/LabelInfo.xml><?xml version="1.0" encoding="utf-8"?>
<clbl:labelList xmlns:clbl="http://schemas.microsoft.com/office/2020/mipLabelMetadata">
  <clbl:label id="{a64882d5-5c68-43ae-b974-91da18426e9b}" enabled="1" method="Standard" siteId="{38651f6f-836b-4bdf-9615-4e255c290fe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IS</vt:lpstr>
      <vt:lpstr>Driver</vt:lpstr>
      <vt:lpstr>BS</vt:lpstr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Dai, Molly [GIR]</dc:creator>
  <cp:lastModifiedBy>Peter Wilson</cp:lastModifiedBy>
  <dcterms:created xsi:type="dcterms:W3CDTF">2025-08-28T09:37:06Z</dcterms:created>
  <dcterms:modified xsi:type="dcterms:W3CDTF">2025-11-13T02:40:59Z</dcterms:modified>
</cp:coreProperties>
</file>